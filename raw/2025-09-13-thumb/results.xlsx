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Single Elimination" sheetId="2" r:id="rId6"/>
    <sheet state="visible" name="SE Seeding" sheetId="3" r:id="rId7"/>
    <sheet state="visible" name="Field" sheetId="4" r:id="rId8"/>
  </sheets>
  <definedNames/>
  <calcPr/>
</workbook>
</file>

<file path=xl/sharedStrings.xml><?xml version="1.0" encoding="utf-8"?>
<sst xmlns="http://schemas.openxmlformats.org/spreadsheetml/2006/main" count="490" uniqueCount="213">
  <si>
    <t>#</t>
  </si>
  <si>
    <t>Group</t>
  </si>
  <si>
    <t>Name</t>
  </si>
  <si>
    <t>Rank</t>
  </si>
  <si>
    <t>Points</t>
  </si>
  <si>
    <t>SE Seed</t>
  </si>
  <si>
    <t xml:space="preserve">Round Robin </t>
  </si>
  <si>
    <t>Single Elimination</t>
  </si>
  <si>
    <t>Ring</t>
  </si>
  <si>
    <t>in memorievan</t>
  </si>
  <si>
    <t>Index</t>
  </si>
  <si>
    <t>1 pound feesh</t>
  </si>
  <si>
    <t xml:space="preserve">PDT </t>
  </si>
  <si>
    <t>SE 1 (11:30 - 11:55)</t>
  </si>
  <si>
    <t>Knuckle</t>
  </si>
  <si>
    <t>phylogenetichemistree</t>
  </si>
  <si>
    <t>Team Name</t>
  </si>
  <si>
    <t>SE 2 (11:55 - 12:20)</t>
  </si>
  <si>
    <t>SE 3 (12:20-12:45)</t>
  </si>
  <si>
    <t>Teammate 1 (A)</t>
  </si>
  <si>
    <t>Middle</t>
  </si>
  <si>
    <t>SE 4 (12:45-1:15)</t>
  </si>
  <si>
    <t>Lebron james my almighty goat. Oh how glorius my king is</t>
  </si>
  <si>
    <t>Closing Ceremony (1:20)</t>
  </si>
  <si>
    <t>Teammate 2 (B)</t>
  </si>
  <si>
    <t>Pinky</t>
  </si>
  <si>
    <t>law-abiding citizens</t>
  </si>
  <si>
    <t>Joe</t>
  </si>
  <si>
    <t>Mmmmmmmeteorologyyyyyyyyyyyyyy</t>
  </si>
  <si>
    <t>sqrt(boneca-anurag)</t>
  </si>
  <si>
    <t>Gamblers</t>
  </si>
  <si>
    <t>Galena Eatrs</t>
  </si>
  <si>
    <t>periodih table</t>
  </si>
  <si>
    <t>Alexander W</t>
  </si>
  <si>
    <t>@khildanny92</t>
  </si>
  <si>
    <t>goldenorbweaver</t>
  </si>
  <si>
    <t>helicopter helicopter</t>
  </si>
  <si>
    <t>Msj b wo chem and phys</t>
  </si>
  <si>
    <t>Yajur C</t>
  </si>
  <si>
    <t>fission chips</t>
  </si>
  <si>
    <t>abstractpotato</t>
  </si>
  <si>
    <t>Plezburgerchez</t>
  </si>
  <si>
    <t>green = confirmed</t>
  </si>
  <si>
    <t>S1</t>
  </si>
  <si>
    <t>Orangeberries</t>
  </si>
  <si>
    <t>Aqil and Kyle</t>
  </si>
  <si>
    <t>big toe</t>
  </si>
  <si>
    <t>duckschist</t>
  </si>
  <si>
    <t>Edwin H</t>
  </si>
  <si>
    <t>Dulles Dolls</t>
  </si>
  <si>
    <t>draoethar</t>
  </si>
  <si>
    <t>Anurag S</t>
  </si>
  <si>
    <t>Mono Maestros</t>
  </si>
  <si>
    <t>a.new.rag</t>
  </si>
  <si>
    <t>Drawing</t>
  </si>
  <si>
    <t>Eastlake NSB</t>
  </si>
  <si>
    <t>yellow = waitlist</t>
  </si>
  <si>
    <t>Dynamic Planet Buddies</t>
  </si>
  <si>
    <t>the Index</t>
  </si>
  <si>
    <t>Science Bowlers</t>
  </si>
  <si>
    <t>pain in the upper right quadrant of the abdomen</t>
  </si>
  <si>
    <t>Up Syndrome</t>
  </si>
  <si>
    <t>Praneel A</t>
  </si>
  <si>
    <t>GRB5128</t>
  </si>
  <si>
    <t>dilli</t>
  </si>
  <si>
    <t>Arjun D</t>
  </si>
  <si>
    <t>Random11</t>
  </si>
  <si>
    <t>Rohit H</t>
  </si>
  <si>
    <t>bomjoe</t>
  </si>
  <si>
    <t>Kaiwen Y</t>
  </si>
  <si>
    <t>__lockheedmartin</t>
  </si>
  <si>
    <t>Santhosh B</t>
  </si>
  <si>
    <t>santhosh_b</t>
  </si>
  <si>
    <t>Josh R</t>
  </si>
  <si>
    <t>fishyseaweed</t>
  </si>
  <si>
    <t>Ryan K</t>
  </si>
  <si>
    <t>aaronjudgeisgoat</t>
  </si>
  <si>
    <t>Shannon I</t>
  </si>
  <si>
    <t>shamp0</t>
  </si>
  <si>
    <t>S2</t>
  </si>
  <si>
    <t>Kian D</t>
  </si>
  <si>
    <t>pine2359</t>
  </si>
  <si>
    <t>Ryan E</t>
  </si>
  <si>
    <t>stitch2506</t>
  </si>
  <si>
    <t>Daniel L</t>
  </si>
  <si>
    <t>dannyridel44</t>
  </si>
  <si>
    <t>Akhil B</t>
  </si>
  <si>
    <t>abat48</t>
  </si>
  <si>
    <t>Ishaan K</t>
  </si>
  <si>
    <t>hellcat4024</t>
  </si>
  <si>
    <t>Aravind M</t>
  </si>
  <si>
    <t>phospholipase_c</t>
  </si>
  <si>
    <t xml:space="preserve">Up Syndrome </t>
  </si>
  <si>
    <t>P</t>
  </si>
  <si>
    <t>Akshay R</t>
  </si>
  <si>
    <t>ajrspeculator_30045</t>
  </si>
  <si>
    <t>Charles W</t>
  </si>
  <si>
    <t>ethylene09</t>
  </si>
  <si>
    <t>S3</t>
  </si>
  <si>
    <t>W</t>
  </si>
  <si>
    <t>Ronuk G</t>
  </si>
  <si>
    <t>R</t>
  </si>
  <si>
    <t>r0nster</t>
  </si>
  <si>
    <t>Mahith G</t>
  </si>
  <si>
    <t>krimson4</t>
  </si>
  <si>
    <t>Advai S</t>
  </si>
  <si>
    <t>dwaii</t>
  </si>
  <si>
    <t>Roshan A</t>
  </si>
  <si>
    <t>monoionic</t>
  </si>
  <si>
    <t>Ayden L</t>
  </si>
  <si>
    <t>hi_person</t>
  </si>
  <si>
    <t>Evan W</t>
  </si>
  <si>
    <t>karzinisierung</t>
  </si>
  <si>
    <t>Soham P</t>
  </si>
  <si>
    <t>sp9987</t>
  </si>
  <si>
    <t>Hanish M</t>
  </si>
  <si>
    <t>8rystal</t>
  </si>
  <si>
    <t>Connor C</t>
  </si>
  <si>
    <t>c0nn0r70</t>
  </si>
  <si>
    <t>Connor Z</t>
  </si>
  <si>
    <t>connor.zz</t>
  </si>
  <si>
    <t>S4</t>
  </si>
  <si>
    <t>Sumin Y</t>
  </si>
  <si>
    <t>suminyy</t>
  </si>
  <si>
    <t>Charith N</t>
  </si>
  <si>
    <t>Ducksquire</t>
  </si>
  <si>
    <t>Pts</t>
  </si>
  <si>
    <t>Darius S</t>
  </si>
  <si>
    <t>darisan3141</t>
  </si>
  <si>
    <t>Joseph W</t>
  </si>
  <si>
    <t>cmeng333</t>
  </si>
  <si>
    <t>team #</t>
  </si>
  <si>
    <t>team name</t>
  </si>
  <si>
    <t>Luyao Y</t>
  </si>
  <si>
    <t>optil</t>
  </si>
  <si>
    <t>Raymond S</t>
  </si>
  <si>
    <t>sad_non</t>
  </si>
  <si>
    <t>L</t>
  </si>
  <si>
    <t>T</t>
  </si>
  <si>
    <t>Aleks M</t>
  </si>
  <si>
    <t>S5</t>
  </si>
  <si>
    <t>netherwarden</t>
  </si>
  <si>
    <t>Leroy L</t>
  </si>
  <si>
    <t>on_ne_passe_pas</t>
  </si>
  <si>
    <t>Minghao G</t>
  </si>
  <si>
    <t>sucralose.7</t>
  </si>
  <si>
    <t>Charles H</t>
  </si>
  <si>
    <t>the_batman1718</t>
  </si>
  <si>
    <t>Shivam C</t>
  </si>
  <si>
    <t>shivamc15</t>
  </si>
  <si>
    <t>Saahil D</t>
  </si>
  <si>
    <t>saahil920</t>
  </si>
  <si>
    <t>S6</t>
  </si>
  <si>
    <t>Lishan P</t>
  </si>
  <si>
    <t>bluewater16</t>
  </si>
  <si>
    <t>Raaghav N</t>
  </si>
  <si>
    <t>rasin9</t>
  </si>
  <si>
    <t>Aqil T</t>
  </si>
  <si>
    <t>.tijani.</t>
  </si>
  <si>
    <t>Hansong Z</t>
  </si>
  <si>
    <t>inxstance</t>
  </si>
  <si>
    <t>Mihir K</t>
  </si>
  <si>
    <t>modernnewton</t>
  </si>
  <si>
    <t>Arjun R</t>
  </si>
  <si>
    <t>mistercoolman</t>
  </si>
  <si>
    <t>Selena Y</t>
  </si>
  <si>
    <t>selenastraceae</t>
  </si>
  <si>
    <t>S7</t>
  </si>
  <si>
    <t>Yunyi L</t>
  </si>
  <si>
    <t>yunyi6019</t>
  </si>
  <si>
    <t>Robert Y</t>
  </si>
  <si>
    <t>kangaroo_enjoyer</t>
  </si>
  <si>
    <t>Ryan W</t>
  </si>
  <si>
    <t>ryantheothertrainskid</t>
  </si>
  <si>
    <t>Gordon W</t>
  </si>
  <si>
    <t>aptdon</t>
  </si>
  <si>
    <t>Liran Z</t>
  </si>
  <si>
    <t>toucan24</t>
  </si>
  <si>
    <t>Kedar D</t>
  </si>
  <si>
    <t>kd7456</t>
  </si>
  <si>
    <t>Seojin P</t>
  </si>
  <si>
    <t>seojin65</t>
  </si>
  <si>
    <t>S8</t>
  </si>
  <si>
    <t>Sohil R</t>
  </si>
  <si>
    <t>pi_is_3.14</t>
  </si>
  <si>
    <t>Jianyu W</t>
  </si>
  <si>
    <t>cloudicloud</t>
  </si>
  <si>
    <t>Schedule</t>
  </si>
  <si>
    <t>Round</t>
  </si>
  <si>
    <t>PDT</t>
  </si>
  <si>
    <t>9:00-9:20</t>
  </si>
  <si>
    <t>9:20-9:40</t>
  </si>
  <si>
    <t>9:40-10:00</t>
  </si>
  <si>
    <t>10:00-10:20</t>
  </si>
  <si>
    <t>10:20-10:40</t>
  </si>
  <si>
    <t>Room 1</t>
  </si>
  <si>
    <t>1v2</t>
  </si>
  <si>
    <t>3v4</t>
  </si>
  <si>
    <t>4v6</t>
  </si>
  <si>
    <t>1v4</t>
  </si>
  <si>
    <t>5v6</t>
  </si>
  <si>
    <t>Room 2</t>
  </si>
  <si>
    <t>3v6</t>
  </si>
  <si>
    <t>1v6</t>
  </si>
  <si>
    <t>2v3</t>
  </si>
  <si>
    <t>3v5</t>
  </si>
  <si>
    <t>1v3</t>
  </si>
  <si>
    <t>Room 3</t>
  </si>
  <si>
    <t>4v5</t>
  </si>
  <si>
    <t>2v5</t>
  </si>
  <si>
    <t>1v5</t>
  </si>
  <si>
    <t>2v6</t>
  </si>
  <si>
    <t>2v4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</si>
</sst>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Nunito"/>
    </font>
    <font>
      <sz val="11.0"/>
      <color theme="1"/>
      <name val="Nunito"/>
    </font>
    <font>
      <sz val="30.0"/>
      <color rgb="FFFFFFFF"/>
      <name val="Bungee"/>
    </font>
    <font>
      <color theme="1"/>
      <name val="Nunito"/>
    </font>
    <font>
      <b/>
      <sz val="11.0"/>
      <color theme="1"/>
      <name val="Nunito"/>
    </font>
    <font>
      <i/>
      <color theme="1"/>
      <name val="Nunito"/>
    </font>
    <font>
      <color rgb="FF434343"/>
      <name val="Nunito"/>
    </font>
    <font>
      <b/>
      <color rgb="FF434343"/>
      <name val="Nunito"/>
    </font>
    <font>
      <i/>
      <color rgb="FF434343"/>
      <name val="Nunito"/>
    </font>
    <font>
      <b/>
      <color theme="1"/>
      <name val="Bungee Shade"/>
    </font>
    <font/>
    <font>
      <b/>
      <sz val="15.0"/>
      <color theme="1"/>
      <name val="Nunito"/>
    </font>
    <font>
      <sz val="10.0"/>
      <color theme="1"/>
      <name val="Nunito"/>
    </font>
    <font>
      <color theme="1"/>
      <name val="Bungee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6445"/>
        <bgColor rgb="FF996445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86444"/>
        <bgColor rgb="FF986444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0BC9B"/>
        <bgColor rgb="FFD0BC9B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986444"/>
      </bottom>
    </border>
    <border>
      <right style="thin">
        <color rgb="FF000000"/>
      </right>
      <bottom style="thin">
        <color rgb="FFF8F9FA"/>
      </bottom>
    </border>
    <border>
      <left style="thin">
        <color rgb="FF000000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medium">
        <color rgb="FF986444"/>
      </left>
      <top style="medium">
        <color rgb="FF986444"/>
      </top>
      <bottom style="medium">
        <color rgb="FF986444"/>
      </bottom>
    </border>
    <border>
      <top style="medium">
        <color rgb="FF986444"/>
      </top>
      <bottom style="medium">
        <color rgb="FF986444"/>
      </bottom>
    </border>
    <border>
      <right style="medium">
        <color rgb="FF986444"/>
      </right>
      <top style="medium">
        <color rgb="FF986444"/>
      </top>
      <bottom style="medium">
        <color rgb="FF986444"/>
      </bottom>
    </border>
    <border>
      <right style="medium">
        <color rgb="FF986444"/>
      </right>
    </border>
    <border>
      <left style="medium">
        <color rgb="FF996445"/>
      </left>
      <top style="medium">
        <color rgb="FF996445"/>
      </top>
      <bottom style="medium">
        <color rgb="FF996445"/>
      </bottom>
    </border>
    <border>
      <top style="medium">
        <color rgb="FF996445"/>
      </top>
      <bottom style="medium">
        <color rgb="FF996445"/>
      </bottom>
    </border>
    <border>
      <right style="medium">
        <color rgb="FF986444"/>
      </right>
      <bottom style="medium">
        <color rgb="FF986444"/>
      </bottom>
    </border>
    <border>
      <left style="thin">
        <color rgb="FF000000"/>
      </left>
      <right style="thin">
        <color rgb="FFFFFFFF"/>
      </right>
      <bottom style="thin">
        <color rgb="FFF8F9FA"/>
      </bottom>
    </border>
    <border>
      <top style="medium">
        <color rgb="FF986444"/>
      </top>
    </border>
    <border>
      <right style="thin">
        <color rgb="FFFFFFFF"/>
      </right>
      <bottom style="thin">
        <color rgb="FFF8F9FA"/>
      </bottom>
    </border>
    <border>
      <right style="medium">
        <color rgb="FF996445"/>
      </right>
      <top style="medium">
        <color rgb="FF996445"/>
      </top>
      <bottom style="medium">
        <color rgb="FF996445"/>
      </bottom>
    </border>
    <border>
      <left style="medium">
        <color rgb="FF996445"/>
      </left>
      <bottom style="thin">
        <color rgb="FF996445"/>
      </bottom>
    </border>
    <border>
      <left style="medium">
        <color rgb="FF986444"/>
      </left>
      <right style="thin">
        <color rgb="FF986444"/>
      </right>
      <bottom style="thin">
        <color rgb="FF996445"/>
      </bottom>
    </border>
    <border>
      <bottom style="thin">
        <color rgb="FF000000"/>
      </bottom>
    </border>
    <border>
      <bottom style="thin">
        <color rgb="FF986444"/>
      </bottom>
    </border>
    <border>
      <right style="medium">
        <color rgb="FF986444"/>
      </right>
      <top style="medium">
        <color rgb="FF986444"/>
      </top>
    </border>
    <border>
      <right style="thin">
        <color rgb="FF986444"/>
      </right>
      <bottom style="thin">
        <color rgb="FF986444"/>
      </bottom>
    </border>
    <border>
      <right style="medium">
        <color rgb="FF986444"/>
      </right>
      <bottom style="thin">
        <color rgb="FF986444"/>
      </bottom>
    </border>
    <border>
      <left style="medium">
        <color rgb="FF986444"/>
      </left>
      <right style="thin">
        <color rgb="FF986444"/>
      </right>
      <bottom style="thin">
        <color rgb="FF986444"/>
      </bottom>
    </border>
    <border>
      <left style="thin">
        <color rgb="FF000000"/>
      </left>
      <right style="thin">
        <color rgb="FFF8F9FA"/>
      </right>
    </border>
    <border>
      <right style="thin">
        <color rgb="FFF8F9FA"/>
      </right>
    </border>
    <border>
      <left style="thin">
        <color rgb="FF986444"/>
      </left>
      <right style="thin">
        <color rgb="FF986444"/>
      </right>
      <bottom style="thin">
        <color rgb="FF986444"/>
      </bottom>
    </border>
    <border>
      <left style="thin">
        <color rgb="FF986444"/>
      </left>
      <right style="medium">
        <color rgb="FF986444"/>
      </right>
      <bottom style="thin">
        <color rgb="FF986444"/>
      </bottom>
    </border>
    <border>
      <left style="medium">
        <color rgb="FF996445"/>
      </left>
    </border>
    <border>
      <left style="medium">
        <color rgb="FF986444"/>
      </left>
      <right style="thin">
        <color rgb="FF986444"/>
      </right>
    </border>
    <border>
      <right style="thin">
        <color rgb="FF986444"/>
      </right>
    </border>
    <border>
      <left style="thin">
        <color rgb="FF986444"/>
      </left>
      <right style="thin">
        <color rgb="FF986444"/>
      </right>
    </border>
    <border>
      <left style="thin">
        <color rgb="FF986444"/>
      </left>
      <right style="medium">
        <color rgb="FF986444"/>
      </right>
    </border>
    <border>
      <left style="medium">
        <color rgb="FF996445"/>
      </left>
      <bottom style="medium">
        <color rgb="FF996445"/>
      </bottom>
    </border>
    <border>
      <left style="medium">
        <color rgb="FF986444"/>
      </left>
      <right style="thin">
        <color rgb="FF986444"/>
      </right>
      <bottom style="medium">
        <color rgb="FF986444"/>
      </bottom>
    </border>
    <border>
      <right style="thin">
        <color rgb="FF986444"/>
      </right>
      <bottom style="medium">
        <color rgb="FF986444"/>
      </bottom>
    </border>
    <border>
      <right style="medium">
        <color rgb="FF996445"/>
      </right>
    </border>
    <border>
      <bottom style="medium">
        <color rgb="FF996445"/>
      </bottom>
    </border>
    <border>
      <right style="medium">
        <color rgb="FF996445"/>
      </right>
      <bottom style="medium">
        <color rgb="FF996445"/>
      </bottom>
    </border>
    <border>
      <top style="medium">
        <color rgb="FF996445"/>
      </top>
      <bottom style="thin">
        <color rgb="FF996445"/>
      </bottom>
    </border>
    <border>
      <right style="thin">
        <color rgb="FF996445"/>
      </right>
      <top style="medium">
        <color rgb="FF996445"/>
      </top>
      <bottom style="thin">
        <color rgb="FF996445"/>
      </bottom>
    </border>
    <border>
      <bottom style="thin">
        <color rgb="FF996445"/>
      </bottom>
    </border>
    <border>
      <right style="thin">
        <color rgb="FF996445"/>
      </right>
      <bottom style="thin">
        <color rgb="FF996445"/>
      </bottom>
    </border>
    <border>
      <right style="medium">
        <color rgb="FF996445"/>
      </right>
      <bottom style="thin">
        <color rgb="FF996445"/>
      </bottom>
    </border>
    <border>
      <right style="thin">
        <color rgb="FF996445"/>
      </right>
    </border>
    <border>
      <left style="thin">
        <color rgb="FF986444"/>
      </left>
      <right style="thin">
        <color rgb="FF986444"/>
      </right>
      <bottom style="medium">
        <color rgb="FF986444"/>
      </bottom>
    </border>
    <border>
      <left style="thin">
        <color rgb="FF986444"/>
      </left>
      <right style="medium">
        <color rgb="FF986444"/>
      </right>
      <bottom style="medium">
        <color rgb="FF986444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2" fillId="0" fontId="1" numFmtId="0" xfId="0" applyAlignment="1" applyBorder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3" fontId="5" numFmtId="0" xfId="0" applyAlignment="1" applyFill="1" applyFont="1">
      <alignment readingOrder="0"/>
    </xf>
    <xf borderId="4" fillId="4" fontId="5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5" numFmtId="0" xfId="0" applyAlignment="1" applyFill="1" applyFont="1">
      <alignment readingOrder="0" shrinkToFit="0" wrapText="1"/>
    </xf>
    <xf borderId="0" fillId="5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4" fillId="7" fontId="5" numFmtId="0" xfId="0" applyAlignment="1" applyBorder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7" fontId="5" numFmtId="0" xfId="0" applyAlignment="1" applyFill="1" applyFont="1">
      <alignment readingOrder="0" shrinkToFit="0" wrapText="1"/>
    </xf>
    <xf borderId="0" fillId="7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 vertical="bottom"/>
    </xf>
    <xf borderId="4" fillId="8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8" fontId="5" numFmtId="0" xfId="0" applyAlignment="1" applyFill="1" applyFont="1">
      <alignment horizontal="center" readingOrder="0"/>
    </xf>
    <xf borderId="6" fillId="3" fontId="5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readingOrder="0" shrinkToFit="0" wrapText="1"/>
    </xf>
    <xf borderId="0" fillId="8" fontId="1" numFmtId="0" xfId="0" applyAlignment="1" applyFill="1" applyFont="1">
      <alignment horizontal="center" readingOrder="0"/>
    </xf>
    <xf borderId="6" fillId="0" fontId="5" numFmtId="0" xfId="0" applyAlignment="1" applyBorder="1" applyFont="1">
      <alignment vertical="bottom"/>
    </xf>
    <xf borderId="4" fillId="9" fontId="5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readingOrder="0" vertical="bottom"/>
    </xf>
    <xf borderId="0" fillId="9" fontId="5" numFmtId="0" xfId="0" applyAlignment="1" applyFill="1" applyFont="1">
      <alignment horizontal="center" readingOrder="0"/>
    </xf>
    <xf borderId="0" fillId="9" fontId="5" numFmtId="0" xfId="0" applyAlignment="1" applyFill="1" applyFont="1">
      <alignment readingOrder="0" shrinkToFit="0" wrapText="1"/>
    </xf>
    <xf borderId="6" fillId="0" fontId="7" numFmtId="0" xfId="0" applyAlignment="1" applyBorder="1" applyFont="1">
      <alignment vertical="bottom"/>
    </xf>
    <xf borderId="0" fillId="9" fontId="1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4" fillId="10" fontId="5" numFmtId="0" xfId="0" applyAlignment="1" applyBorder="1" applyFill="1" applyFont="1">
      <alignment horizontal="center" readingOrder="0"/>
    </xf>
    <xf borderId="0" fillId="0" fontId="5" numFmtId="0" xfId="0" applyFont="1"/>
    <xf borderId="0" fillId="10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10" fontId="5" numFmtId="0" xfId="0" applyAlignment="1" applyFill="1" applyFont="1">
      <alignment readingOrder="0" shrinkToFit="0" wrapText="1"/>
    </xf>
    <xf borderId="0" fillId="10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3" fontId="8" numFmtId="0" xfId="0" applyAlignment="1" applyBorder="1" applyFill="1" applyFont="1">
      <alignment horizontal="center" readingOrder="0" shrinkToFit="0" vertical="bottom" wrapText="0"/>
    </xf>
    <xf borderId="8" fillId="3" fontId="3" numFmtId="0" xfId="0" applyAlignment="1" applyBorder="1" applyFill="1" applyFont="1">
      <alignment horizontal="right" readingOrder="0" vertical="bottom"/>
    </xf>
    <xf borderId="9" fillId="8" fontId="9" numFmtId="0" xfId="0" applyAlignment="1" applyBorder="1" applyFill="1" applyFont="1">
      <alignment shrinkToFit="0" vertical="bottom" wrapText="0"/>
    </xf>
    <xf borderId="8" fillId="3" fontId="5" numFmtId="0" xfId="0" applyAlignment="1" applyBorder="1" applyFill="1" applyFont="1">
      <alignment horizontal="center" readingOrder="0" vertical="bottom"/>
    </xf>
    <xf borderId="10" fillId="8" fontId="8" numFmtId="0" xfId="0" applyAlignment="1" applyBorder="1" applyFill="1" applyFont="1">
      <alignment readingOrder="0" shrinkToFit="0" vertical="bottom" wrapText="0"/>
    </xf>
    <xf borderId="9" fillId="8" fontId="10" numFmtId="0" xfId="0" applyAlignment="1" applyBorder="1" applyFill="1" applyFont="1">
      <alignment shrinkToFit="0" vertical="bottom" wrapText="0"/>
    </xf>
    <xf borderId="11" fillId="8" fontId="8" numFmtId="0" xfId="0" applyAlignment="1" applyBorder="1" applyFill="1" applyFont="1">
      <alignment readingOrder="0" shrinkToFit="0" vertical="bottom" wrapText="0"/>
    </xf>
    <xf borderId="12" fillId="7" fontId="11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right" vertical="bottom"/>
    </xf>
    <xf borderId="13" fillId="0" fontId="12" numFmtId="0" xfId="0" applyBorder="1" applyFont="1"/>
    <xf borderId="1" fillId="8" fontId="5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horizontal="center" readingOrder="0"/>
    </xf>
    <xf borderId="14" fillId="0" fontId="12" numFmtId="0" xfId="0" applyBorder="1" applyFont="1"/>
    <xf borderId="15" fillId="3" fontId="5" numFmtId="0" xfId="0" applyAlignment="1" applyBorder="1" applyFill="1" applyFont="1">
      <alignment horizontal="center" readingOrder="0" vertical="center"/>
    </xf>
    <xf borderId="3" fillId="0" fontId="12" numFmtId="0" xfId="0" applyBorder="1" applyFont="1"/>
    <xf borderId="0" fillId="3" fontId="5" numFmtId="0" xfId="0" applyAlignment="1" applyFill="1" applyFont="1">
      <alignment vertical="bottom"/>
    </xf>
    <xf borderId="16" fillId="9" fontId="11" numFmtId="0" xfId="0" applyAlignment="1" applyBorder="1" applyFill="1" applyFont="1">
      <alignment horizontal="center" readingOrder="0"/>
    </xf>
    <xf borderId="17" fillId="0" fontId="12" numFmtId="0" xfId="0" applyBorder="1" applyFont="1"/>
    <xf borderId="18" fillId="0" fontId="12" numFmtId="0" xfId="0" applyBorder="1" applyFont="1"/>
    <xf borderId="19" fillId="8" fontId="8" numFmtId="0" xfId="0" applyAlignment="1" applyBorder="1" applyFill="1" applyFont="1">
      <alignment readingOrder="0" shrinkToFit="0" vertical="bottom" wrapText="0"/>
    </xf>
    <xf borderId="21" fillId="8" fontId="8" numFmtId="0" xfId="0" applyAlignment="1" applyBorder="1" applyFill="1" applyFont="1">
      <alignment readingOrder="0" shrinkToFit="0" vertical="bottom" wrapText="0"/>
    </xf>
    <xf borderId="20" fillId="3" fontId="5" numFmtId="0" xfId="0" applyAlignment="1" applyBorder="1" applyFill="1" applyFont="1">
      <alignment vertical="bottom"/>
    </xf>
    <xf borderId="22" fillId="0" fontId="12" numFmtId="0" xfId="0" applyBorder="1" applyFont="1"/>
    <xf borderId="9" fillId="8" fontId="10" numFmtId="0" xfId="0" applyAlignment="1" applyBorder="1" applyFill="1" applyFont="1">
      <alignment readingOrder="0" shrinkToFit="0" vertical="bottom" wrapText="0"/>
    </xf>
    <xf borderId="12" fillId="0" fontId="5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1" fillId="9" fontId="5" numFmtId="0" xfId="0" applyAlignment="1" applyBorder="1" applyFill="1" applyFont="1">
      <alignment readingOrder="0"/>
    </xf>
    <xf borderId="2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readingOrder="0" vertical="bottom"/>
    </xf>
    <xf borderId="24" fillId="0" fontId="5" numFmtId="0" xfId="0" applyAlignment="1" applyBorder="1" applyFont="1">
      <alignment horizontal="center"/>
    </xf>
    <xf borderId="15" fillId="0" fontId="12" numFmtId="0" xfId="0" applyBorder="1" applyFont="1"/>
    <xf borderId="9" fillId="8" fontId="9" numFmtId="0" xfId="0" applyAlignment="1" applyBorder="1" applyFill="1" applyFont="1">
      <alignment readingOrder="0" shrinkToFit="0" vertical="bottom" wrapText="0"/>
    </xf>
    <xf borderId="8" fillId="11" fontId="3" numFmtId="0" xfId="0" applyAlignment="1" applyBorder="1" applyFill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bottom"/>
    </xf>
    <xf borderId="7" fillId="8" fontId="5" numFmtId="0" xfId="0" applyAlignment="1" applyBorder="1" applyFill="1" applyFont="1">
      <alignment horizontal="center" readingOrder="0"/>
    </xf>
    <xf borderId="25" fillId="8" fontId="5" numFmtId="0" xfId="0" applyAlignment="1" applyBorder="1" applyFill="1" applyFont="1">
      <alignment horizontal="center" readingOrder="0"/>
    </xf>
    <xf borderId="25" fillId="8" fontId="5" numFmtId="0" xfId="0" applyAlignment="1" applyBorder="1" applyFill="1" applyFont="1">
      <alignment shrinkToFit="0" wrapText="1"/>
    </xf>
    <xf borderId="25" fillId="8" fontId="5" numFmtId="0" xfId="0" applyAlignment="1" applyBorder="1" applyFill="1" applyFont="1">
      <alignment horizontal="center"/>
    </xf>
    <xf borderId="25" fillId="8" fontId="1" numFmtId="0" xfId="0" applyAlignment="1" applyBorder="1" applyFill="1" applyFont="1">
      <alignment horizontal="center"/>
    </xf>
    <xf borderId="27" fillId="3" fontId="5" numFmtId="0" xfId="0" applyAlignment="1" applyBorder="1" applyFill="1" applyFont="1">
      <alignment horizontal="center" readingOrder="0" vertical="center"/>
    </xf>
    <xf borderId="26" fillId="0" fontId="5" numFmtId="0" xfId="0" applyAlignment="1" applyBorder="1" applyFont="1">
      <alignment horizontal="center"/>
    </xf>
    <xf borderId="26" fillId="0" fontId="12" numFmtId="0" xfId="0" applyBorder="1" applyFont="1"/>
    <xf borderId="6" fillId="3" fontId="1" numFmtId="0" xfId="0" applyAlignment="1" applyBorder="1" applyFill="1" applyFont="1">
      <alignment horizontal="center" readingOrder="0"/>
    </xf>
    <xf borderId="8" fillId="3" fontId="5" numFmtId="0" xfId="0" applyAlignment="1" applyBorder="1" applyFill="1" applyFont="1">
      <alignment vertical="bottom"/>
    </xf>
    <xf borderId="28" fillId="0" fontId="12" numFmtId="0" xfId="0" applyBorder="1" applyFont="1"/>
    <xf borderId="26" fillId="0" fontId="5" numFmtId="0" xfId="0" applyAlignment="1" applyBorder="1" applyFont="1">
      <alignment horizontal="center" readingOrder="0"/>
    </xf>
    <xf borderId="29" fillId="0" fontId="5" numFmtId="0" xfId="0" applyAlignment="1" applyBorder="1" applyFont="1">
      <alignment horizontal="center" readingOrder="0"/>
    </xf>
    <xf borderId="30" fillId="0" fontId="5" numFmtId="0" xfId="0" applyAlignment="1" applyBorder="1" applyFont="1">
      <alignment horizontal="center"/>
    </xf>
    <xf borderId="26" fillId="3" fontId="5" numFmtId="0" xfId="0" applyAlignment="1" applyBorder="1" applyFill="1" applyFont="1">
      <alignment horizontal="center"/>
    </xf>
    <xf borderId="8" fillId="3" fontId="5" numFmtId="0" xfId="0" applyAlignment="1" applyBorder="1" applyFill="1" applyFont="1">
      <alignment readingOrder="0" vertical="bottom"/>
    </xf>
    <xf borderId="5" fillId="8" fontId="9" numFmtId="0" xfId="0" applyAlignment="1" applyBorder="1" applyFill="1" applyFont="1">
      <alignment shrinkToFit="0" vertical="bottom" wrapText="0"/>
    </xf>
    <xf borderId="31" fillId="8" fontId="8" numFmtId="0" xfId="0" applyAlignment="1" applyBorder="1" applyFill="1" applyFont="1">
      <alignment readingOrder="0" shrinkToFit="0" vertical="bottom" wrapText="0"/>
    </xf>
    <xf borderId="30" fillId="0" fontId="5" numFmtId="0" xfId="0" applyAlignment="1" applyBorder="1" applyFont="1">
      <alignment horizontal="center" readingOrder="0"/>
    </xf>
    <xf borderId="5" fillId="8" fontId="10" numFmtId="0" xfId="0" applyAlignment="1" applyBorder="1" applyFill="1" applyFont="1">
      <alignment shrinkToFit="0" vertical="bottom" wrapText="0"/>
    </xf>
    <xf borderId="32" fillId="8" fontId="8" numFmtId="0" xfId="0" applyAlignment="1" applyBorder="1" applyFill="1" applyFont="1">
      <alignment readingOrder="0" shrinkToFit="0" vertical="bottom" wrapText="0"/>
    </xf>
    <xf borderId="33" fillId="0" fontId="5" numFmtId="0" xfId="0" applyAlignment="1" applyBorder="1" applyFont="1">
      <alignment horizontal="center" readingOrder="0"/>
    </xf>
    <xf borderId="0" fillId="3" fontId="3" numFmtId="0" xfId="0" applyAlignment="1" applyFill="1" applyFont="1">
      <alignment vertical="bottom"/>
    </xf>
    <xf borderId="34" fillId="0" fontId="5" numFmtId="0" xfId="0" applyAlignment="1" applyBorder="1" applyFont="1">
      <alignment horizontal="center" readingOrder="0"/>
    </xf>
    <xf borderId="35" fillId="0" fontId="5" numFmtId="0" xfId="0" applyAlignment="1" applyBorder="1" applyFont="1">
      <alignment horizontal="center" readingOrder="0"/>
    </xf>
    <xf borderId="0" fillId="8" fontId="9" numFmtId="0" xfId="0" applyAlignment="1" applyFill="1" applyFont="1">
      <alignment shrinkToFit="0" vertical="bottom" wrapText="0"/>
    </xf>
    <xf borderId="4" fillId="8" fontId="8" numFmtId="0" xfId="0" applyAlignment="1" applyBorder="1" applyFill="1" applyFont="1">
      <alignment readingOrder="0" shrinkToFit="0" vertical="bottom" wrapText="0"/>
    </xf>
    <xf borderId="8" fillId="9" fontId="5" numFmtId="0" xfId="0" applyAlignment="1" applyBorder="1" applyFill="1" applyFont="1">
      <alignment vertical="bottom"/>
    </xf>
    <xf borderId="36" fillId="0" fontId="5" numFmtId="0" xfId="0" applyAlignment="1" applyBorder="1" applyFont="1">
      <alignment horizontal="left" readingOrder="0" shrinkToFit="0" wrapText="0"/>
    </xf>
    <xf borderId="0" fillId="8" fontId="8" numFmtId="0" xfId="0" applyAlignment="1" applyFill="1" applyFont="1">
      <alignment readingOrder="0" shrinkToFit="0" vertical="bottom" wrapText="0"/>
    </xf>
    <xf borderId="8" fillId="9" fontId="13" numFmtId="0" xfId="0" applyAlignment="1" applyBorder="1" applyFill="1" applyFont="1">
      <alignment horizontal="right" readingOrder="0" vertical="bottom"/>
    </xf>
    <xf borderId="5" fillId="8" fontId="10" numFmtId="0" xfId="0" applyAlignment="1" applyBorder="1" applyFill="1" applyFont="1">
      <alignment readingOrder="0" shrinkToFit="0" vertical="bottom" wrapText="0"/>
    </xf>
    <xf borderId="0" fillId="12" fontId="5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8" fontId="9" numFmtId="0" xfId="0" applyAlignment="1" applyFill="1" applyFont="1">
      <alignment readingOrder="0" shrinkToFit="0" wrapText="0"/>
    </xf>
    <xf borderId="0" fillId="13" fontId="5" numFmtId="0" xfId="0" applyAlignment="1" applyFill="1" applyFont="1">
      <alignment horizontal="center" readingOrder="0"/>
    </xf>
    <xf borderId="4" fillId="8" fontId="8" numFmtId="0" xfId="0" applyAlignment="1" applyBorder="1" applyFill="1" applyFont="1">
      <alignment readingOrder="0" shrinkToFit="0" wrapText="0"/>
    </xf>
    <xf borderId="5" fillId="8" fontId="10" numFmtId="0" xfId="0" applyAlignment="1" applyBorder="1" applyFill="1" applyFont="1">
      <alignment shrinkToFit="0" wrapText="0"/>
    </xf>
    <xf borderId="37" fillId="0" fontId="5" numFmtId="0" xfId="0" applyAlignment="1" applyBorder="1" applyFont="1">
      <alignment horizontal="center" readingOrder="0"/>
    </xf>
    <xf borderId="0" fillId="8" fontId="8" numFmtId="0" xfId="0" applyAlignment="1" applyFill="1" applyFont="1">
      <alignment readingOrder="0" shrinkToFit="0" wrapText="0"/>
    </xf>
    <xf borderId="5" fillId="8" fontId="10" numFmtId="0" xfId="0" applyAlignment="1" applyBorder="1" applyFill="1" applyFont="1">
      <alignment readingOrder="0" shrinkToFit="0" wrapText="0"/>
    </xf>
    <xf borderId="0" fillId="0" fontId="5" numFmtId="0" xfId="0" applyAlignment="1" applyFont="1">
      <alignment horizontal="center"/>
    </xf>
    <xf borderId="0" fillId="8" fontId="2" numFmtId="0" xfId="0" applyAlignment="1" applyFill="1" applyFont="1">
      <alignment vertical="bottom"/>
    </xf>
    <xf borderId="4" fillId="8" fontId="5" numFmtId="0" xfId="0" applyAlignment="1" applyBorder="1" applyFill="1" applyFont="1">
      <alignment readingOrder="0" vertical="bottom"/>
    </xf>
    <xf borderId="8" fillId="8" fontId="3" numFmtId="0" xfId="0" applyAlignment="1" applyBorder="1" applyFill="1" applyFont="1">
      <alignment horizontal="right" readingOrder="0" vertical="bottom"/>
    </xf>
    <xf borderId="5" fillId="8" fontId="7" numFmtId="0" xfId="0" applyAlignment="1" applyBorder="1" applyFill="1" applyFont="1">
      <alignment vertical="bottom"/>
    </xf>
    <xf borderId="0" fillId="8" fontId="5" numFmtId="0" xfId="0" applyAlignment="1" applyFill="1" applyFont="1">
      <alignment readingOrder="0" vertical="bottom"/>
    </xf>
    <xf borderId="5" fillId="8" fontId="7" numFmtId="0" xfId="0" applyAlignment="1" applyBorder="1" applyFill="1" applyFont="1">
      <alignment readingOrder="0" vertical="bottom"/>
    </xf>
    <xf borderId="15" fillId="0" fontId="5" numFmtId="0" xfId="0" applyAlignment="1" applyBorder="1" applyFont="1">
      <alignment horizontal="center" readingOrder="0"/>
    </xf>
    <xf borderId="0" fillId="8" fontId="2" numFmtId="0" xfId="0" applyAlignment="1" applyFill="1" applyFont="1">
      <alignment readingOrder="0"/>
    </xf>
    <xf borderId="4" fillId="8" fontId="5" numFmtId="0" xfId="0" applyAlignment="1" applyBorder="1" applyFill="1" applyFont="1">
      <alignment readingOrder="0"/>
    </xf>
    <xf borderId="5" fillId="8" fontId="7" numFmtId="0" xfId="0" applyAlignment="1" applyBorder="1" applyFill="1" applyFont="1">
      <alignment readingOrder="0"/>
    </xf>
    <xf borderId="0" fillId="8" fontId="5" numFmtId="0" xfId="0" applyAlignment="1" applyFill="1" applyFont="1">
      <alignment readingOrder="0"/>
    </xf>
    <xf borderId="8" fillId="14" fontId="5" numFmtId="0" xfId="0" applyAlignment="1" applyBorder="1" applyFill="1" applyFont="1">
      <alignment readingOrder="0" vertical="bottom"/>
    </xf>
    <xf borderId="36" fillId="7" fontId="5" numFmtId="0" xfId="0" applyAlignment="1" applyBorder="1" applyFill="1" applyFont="1">
      <alignment horizontal="center" readingOrder="0"/>
    </xf>
    <xf borderId="38" fillId="0" fontId="14" numFmtId="0" xfId="0" applyAlignment="1" applyBorder="1" applyFont="1">
      <alignment horizontal="center" readingOrder="0"/>
    </xf>
    <xf borderId="5" fillId="8" fontId="7" numFmtId="0" xfId="0" applyAlignment="1" applyBorder="1" applyFill="1" applyFont="1">
      <alignment readingOrder="0" shrinkToFit="0" wrapText="0"/>
    </xf>
    <xf borderId="39" fillId="0" fontId="5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/>
    </xf>
    <xf borderId="4" fillId="0" fontId="5" numFmtId="0" xfId="0" applyBorder="1" applyFont="1"/>
    <xf borderId="0" fillId="0" fontId="3" numFmtId="0" xfId="0" applyAlignment="1" applyFont="1">
      <alignment horizontal="right" vertical="bottom"/>
    </xf>
    <xf borderId="5" fillId="0" fontId="7" numFmtId="0" xfId="0" applyBorder="1" applyFont="1"/>
    <xf borderId="36" fillId="9" fontId="5" numFmtId="0" xfId="0" applyAlignment="1" applyBorder="1" applyFill="1" applyFont="1">
      <alignment horizontal="center" readingOrder="0"/>
    </xf>
    <xf borderId="38" fillId="0" fontId="3" numFmtId="0" xfId="0" applyAlignment="1" applyBorder="1" applyFont="1">
      <alignment horizontal="center" readingOrder="0"/>
    </xf>
    <xf borderId="5" fillId="3" fontId="5" numFmtId="0" xfId="0" applyBorder="1" applyFill="1" applyFont="1"/>
    <xf borderId="36" fillId="4" fontId="5" numFmtId="0" xfId="0" applyAlignment="1" applyBorder="1" applyFill="1" applyFont="1">
      <alignment horizontal="center" readingOrder="0"/>
    </xf>
    <xf borderId="38" fillId="0" fontId="5" numFmtId="0" xfId="0" applyAlignment="1" applyBorder="1" applyFont="1">
      <alignment horizontal="center" readingOrder="0"/>
    </xf>
    <xf borderId="36" fillId="10" fontId="5" numFmtId="0" xfId="0" applyAlignment="1" applyBorder="1" applyFill="1" applyFont="1">
      <alignment horizontal="center" readingOrder="0"/>
    </xf>
    <xf borderId="37" fillId="3" fontId="5" numFmtId="0" xfId="0" applyAlignment="1" applyBorder="1" applyFill="1" applyFont="1">
      <alignment horizontal="center" readingOrder="0"/>
    </xf>
    <xf borderId="15" fillId="3" fontId="5" numFmtId="0" xfId="0" applyAlignment="1" applyBorder="1" applyFill="1" applyFont="1">
      <alignment horizontal="center" readingOrder="0"/>
    </xf>
    <xf borderId="36" fillId="8" fontId="5" numFmtId="0" xfId="0" applyAlignment="1" applyBorder="1" applyFill="1" applyFont="1">
      <alignment horizontal="center" readingOrder="0"/>
    </xf>
    <xf borderId="40" fillId="0" fontId="5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left" readingOrder="0" shrinkToFit="0" wrapText="0"/>
    </xf>
    <xf borderId="8" fillId="0" fontId="5" numFmtId="0" xfId="0" applyAlignment="1" applyBorder="1" applyFont="1">
      <alignment horizontal="center" readingOrder="0"/>
    </xf>
    <xf borderId="8" fillId="3" fontId="5" numFmtId="0" xfId="0" applyAlignment="1" applyBorder="1" applyFill="1" applyFont="1">
      <alignment horizontal="center" readingOrder="0"/>
    </xf>
    <xf borderId="8" fillId="12" fontId="5" numFmtId="0" xfId="0" applyAlignment="1" applyBorder="1" applyFill="1" applyFont="1">
      <alignment horizontal="center"/>
    </xf>
    <xf borderId="42" fillId="12" fontId="5" numFmtId="0" xfId="0" applyAlignment="1" applyBorder="1" applyFill="1" applyFont="1">
      <alignment horizontal="center"/>
    </xf>
    <xf borderId="8" fillId="0" fontId="5" numFmtId="0" xfId="0" applyAlignment="1" applyBorder="1" applyFont="1">
      <alignment horizontal="center"/>
    </xf>
    <xf borderId="18" fillId="3" fontId="5" numFmtId="0" xfId="0" applyAlignment="1" applyBorder="1" applyFill="1" applyFont="1">
      <alignment horizontal="center" readingOrder="0"/>
    </xf>
    <xf borderId="12" fillId="4" fontId="11" numFmtId="0" xfId="0" applyAlignment="1" applyBorder="1" applyFill="1" applyFont="1">
      <alignment horizontal="center" readingOrder="0"/>
    </xf>
    <xf borderId="12" fillId="10" fontId="11" numFmtId="0" xfId="0" applyAlignment="1" applyBorder="1" applyFill="1" applyFont="1">
      <alignment horizontal="center" readingOrder="0"/>
    </xf>
    <xf borderId="0" fillId="8" fontId="5" numFmtId="0" xfId="0" applyAlignment="1" applyFill="1" applyFont="1">
      <alignment horizontal="center" vertical="bottom"/>
    </xf>
    <xf borderId="8" fillId="10" fontId="5" numFmtId="0" xfId="0" applyAlignment="1" applyBorder="1" applyFill="1" applyFont="1">
      <alignment horizontal="center" readingOrder="0"/>
    </xf>
    <xf borderId="12" fillId="8" fontId="1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5" numFmtId="0" xfId="0" applyAlignment="1" applyFill="1" applyFont="1">
      <alignment horizontal="center" readingOrder="0"/>
    </xf>
    <xf borderId="43" fillId="2" fontId="1" numFmtId="0" xfId="0" applyAlignment="1" applyBorder="1" applyFill="1" applyFont="1">
      <alignment horizontal="center" readingOrder="0"/>
    </xf>
    <xf borderId="44" fillId="0" fontId="15" numFmtId="0" xfId="0" applyAlignment="1" applyBorder="1" applyFont="1">
      <alignment horizontal="center" vertical="bottom"/>
    </xf>
    <xf borderId="44" fillId="0" fontId="12" numFmtId="0" xfId="0" applyBorder="1" applyFont="1"/>
    <xf borderId="45" fillId="5" fontId="15" numFmtId="0" xfId="0" applyAlignment="1" applyBorder="1" applyFill="1" applyFont="1">
      <alignment horizontal="center" vertical="bottom"/>
    </xf>
    <xf borderId="37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 vertical="bottom"/>
    </xf>
    <xf borderId="47" fillId="0" fontId="12" numFmtId="0" xfId="0" applyBorder="1" applyFont="1"/>
    <xf borderId="48" fillId="0" fontId="5" numFmtId="0" xfId="0" applyAlignment="1" applyBorder="1" applyFont="1">
      <alignment horizontal="center" vertical="bottom"/>
    </xf>
    <xf borderId="48" fillId="0" fontId="12" numFmtId="0" xfId="0" applyBorder="1" applyFont="1"/>
    <xf borderId="48" fillId="0" fontId="5" numFmtId="0" xfId="0" applyAlignment="1" applyBorder="1" applyFont="1">
      <alignment horizontal="center" vertical="bottom"/>
    </xf>
    <xf borderId="49" fillId="0" fontId="12" numFmtId="0" xfId="0" applyBorder="1" applyFont="1"/>
    <xf borderId="50" fillId="5" fontId="16" numFmtId="0" xfId="0" applyAlignment="1" applyBorder="1" applyFill="1" applyFont="1">
      <alignment vertical="bottom"/>
    </xf>
    <xf borderId="0" fillId="2" fontId="1" numFmtId="0" xfId="0" applyAlignment="1" applyFill="1" applyFont="1">
      <alignment horizontal="center"/>
    </xf>
    <xf borderId="43" fillId="2" fontId="1" numFmtId="0" xfId="0" applyAlignment="1" applyBorder="1" applyFill="1" applyFont="1">
      <alignment horizontal="center"/>
    </xf>
    <xf borderId="0" fillId="0" fontId="5" numFmtId="0" xfId="0" applyAlignment="1" applyFont="1">
      <alignment horizontal="center" vertical="bottom"/>
    </xf>
    <xf borderId="51" fillId="0" fontId="12" numFmtId="0" xfId="0" applyBorder="1" applyFont="1"/>
    <xf borderId="43" fillId="5" fontId="16" numFmtId="0" xfId="0" applyAlignment="1" applyBorder="1" applyFill="1" applyFont="1">
      <alignment vertical="bottom"/>
    </xf>
    <xf borderId="0" fillId="3" fontId="5" numFmtId="0" xfId="0" applyAlignment="1" applyFill="1" applyFont="1">
      <alignment horizontal="center"/>
    </xf>
    <xf borderId="37" fillId="3" fontId="5" numFmtId="0" xfId="0" applyAlignment="1" applyBorder="1" applyFill="1" applyFont="1">
      <alignment horizontal="center"/>
    </xf>
    <xf borderId="8" fillId="3" fontId="5" numFmtId="0" xfId="0" applyAlignment="1" applyBorder="1" applyFill="1" applyFont="1">
      <alignment horizontal="center"/>
    </xf>
    <xf borderId="18" fillId="3" fontId="5" numFmtId="0" xfId="0" applyAlignment="1" applyBorder="1" applyFill="1" applyFont="1">
      <alignment horizontal="center"/>
    </xf>
    <xf borderId="41" fillId="8" fontId="5" numFmtId="0" xfId="0" applyAlignment="1" applyBorder="1" applyFill="1" applyFont="1">
      <alignment horizontal="center" readingOrder="0"/>
    </xf>
    <xf borderId="52" fillId="0" fontId="5" numFmtId="0" xfId="0" applyAlignment="1" applyBorder="1" applyFont="1">
      <alignment horizontal="center" readingOrder="0"/>
    </xf>
    <xf borderId="53" fillId="0" fontId="5" numFmtId="0" xfId="0" applyAlignment="1" applyBorder="1" applyFont="1">
      <alignment horizontal="center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</dxfs>
  <tableStyles count="1">
    <tableStyle count="2" pivot="0" name="Fiel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6:F2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ie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.25"/>
    <col customWidth="1" min="3" max="3" width="9.5"/>
    <col customWidth="1" min="4" max="4" width="3.25"/>
    <col customWidth="1" min="5" max="5" width="6.38"/>
    <col customWidth="1" min="6" max="6" width="3.25"/>
    <col customWidth="1" min="7" max="7" width="6.38"/>
    <col customWidth="1" min="8" max="8" width="3.25"/>
    <col customWidth="1" min="9" max="9" width="6.38"/>
    <col customWidth="1" min="10" max="10" width="3.25"/>
    <col customWidth="1" min="11" max="11" width="6.38"/>
    <col customWidth="1" min="12" max="12" width="3.25"/>
    <col customWidth="1" min="13" max="13" width="6.38"/>
    <col customWidth="1" min="14" max="14" width="3.25"/>
    <col customWidth="1" min="15" max="15" width="6.38"/>
    <col customWidth="1" min="16" max="18" width="4.5"/>
    <col customWidth="1" min="20" max="20" width="3.25"/>
    <col customWidth="1" min="21" max="21" width="9.5"/>
    <col customWidth="1" min="22" max="22" width="3.25"/>
    <col customWidth="1" min="23" max="23" width="6.38"/>
    <col customWidth="1" min="24" max="24" width="3.25"/>
    <col customWidth="1" min="25" max="25" width="6.38"/>
    <col customWidth="1" min="26" max="26" width="3.25"/>
    <col customWidth="1" min="27" max="27" width="6.38"/>
    <col customWidth="1" min="28" max="28" width="3.25"/>
    <col customWidth="1" min="29" max="29" width="6.38"/>
    <col customWidth="1" min="30" max="30" width="3.25"/>
    <col customWidth="1" min="31" max="31" width="6.38"/>
    <col customWidth="1" min="32" max="32" width="3.25"/>
    <col customWidth="1" min="33" max="33" width="6.38"/>
    <col customWidth="1" min="34" max="36" width="4.5"/>
    <col customWidth="1" min="38" max="38" width="10.38"/>
    <col customWidth="1" min="39" max="39" width="5.75"/>
    <col customWidth="1" min="40" max="40" width="44.88"/>
  </cols>
  <sheetData>
    <row r="1">
      <c r="D1" s="1"/>
      <c r="F1" s="1"/>
    </row>
    <row r="2">
      <c r="A2" s="1"/>
      <c r="B2" s="9"/>
      <c r="C2" s="9" t="s">
        <v>6</v>
      </c>
      <c r="AK2" s="1"/>
      <c r="AL2" s="1"/>
      <c r="AM2" s="1"/>
      <c r="AN2" s="1"/>
      <c r="A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43"/>
      <c r="AN4" s="1"/>
      <c r="A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51" t="s">
        <v>10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6"/>
      <c r="S6" s="1"/>
      <c r="T6" s="60" t="s">
        <v>20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6"/>
      <c r="AK6" s="1"/>
      <c r="AL6" s="68" t="s">
        <v>54</v>
      </c>
      <c r="AM6" s="53"/>
      <c r="AN6" s="56"/>
      <c r="AO6" s="1"/>
    </row>
    <row r="7">
      <c r="A7" s="1"/>
      <c r="B7" s="71"/>
      <c r="C7" s="73"/>
      <c r="D7" s="84" t="str">
        <f>C8</f>
        <v>Eastlake NSB</v>
      </c>
      <c r="E7" s="85"/>
      <c r="F7" s="84" t="str">
        <f>C9</f>
        <v>pain in the upper right quadrant of the abdomen</v>
      </c>
      <c r="G7" s="85"/>
      <c r="H7" s="84" t="str">
        <f>C10</f>
        <v>Msj b wo chem and phys</v>
      </c>
      <c r="I7" s="85"/>
      <c r="J7" s="84" t="str">
        <f>C11</f>
        <v>Aqil and Kyle</v>
      </c>
      <c r="K7" s="85"/>
      <c r="L7" s="84" t="str">
        <f>C12</f>
        <v>Mmmmmmmeteorologyyyyyyyyyyyyyy</v>
      </c>
      <c r="M7" s="85"/>
      <c r="N7" s="84" t="str">
        <f>C13</f>
        <v>1 pound feesh</v>
      </c>
      <c r="O7" s="88"/>
      <c r="P7" s="89" t="s">
        <v>93</v>
      </c>
      <c r="Q7" s="89" t="s">
        <v>99</v>
      </c>
      <c r="R7" s="90" t="s">
        <v>101</v>
      </c>
      <c r="S7" s="1"/>
      <c r="T7" s="71"/>
      <c r="U7" s="91"/>
      <c r="V7" s="92" t="str">
        <f>U8</f>
        <v>Gamblers</v>
      </c>
      <c r="W7" s="85"/>
      <c r="X7" s="84" t="str">
        <f>U9</f>
        <v>periodih table</v>
      </c>
      <c r="Y7" s="85"/>
      <c r="Z7" s="84" t="str">
        <f>U10</f>
        <v>Dynamic Planet Buddies</v>
      </c>
      <c r="AA7" s="85"/>
      <c r="AB7" s="84" t="str">
        <f>U11</f>
        <v>helicopter helicopter</v>
      </c>
      <c r="AC7" s="85"/>
      <c r="AD7" s="84" t="str">
        <f>U12</f>
        <v>dilli</v>
      </c>
      <c r="AE7" s="85"/>
      <c r="AF7" s="84" t="str">
        <f>U13</f>
        <v>Lebron james my almighty goat. Oh how glorius my king is</v>
      </c>
      <c r="AG7" s="88"/>
      <c r="AH7" s="89" t="s">
        <v>126</v>
      </c>
      <c r="AI7" s="89" t="s">
        <v>99</v>
      </c>
      <c r="AJ7" s="90" t="s">
        <v>101</v>
      </c>
      <c r="AK7" s="1"/>
      <c r="AL7" s="96" t="s">
        <v>1</v>
      </c>
      <c r="AM7" s="99" t="s">
        <v>131</v>
      </c>
      <c r="AN7" s="101" t="s">
        <v>132</v>
      </c>
      <c r="AO7" s="1"/>
    </row>
    <row r="8">
      <c r="A8" s="1"/>
      <c r="B8" s="102">
        <v>1.0</v>
      </c>
      <c r="C8" s="106" t="str">
        <f>AN8</f>
        <v>Eastlake NSB</v>
      </c>
      <c r="D8" s="110"/>
      <c r="E8" s="110"/>
      <c r="F8" s="111" t="s">
        <v>99</v>
      </c>
      <c r="G8" s="111">
        <v>36.0</v>
      </c>
      <c r="H8" s="39" t="s">
        <v>137</v>
      </c>
      <c r="I8" s="111">
        <v>10.0</v>
      </c>
      <c r="J8" s="113" t="s">
        <v>138</v>
      </c>
      <c r="K8" s="111">
        <v>16.0</v>
      </c>
      <c r="L8" s="39" t="s">
        <v>137</v>
      </c>
      <c r="M8" s="111">
        <v>8.0</v>
      </c>
      <c r="N8" s="39" t="s">
        <v>137</v>
      </c>
      <c r="O8" s="116">
        <v>10.0</v>
      </c>
      <c r="P8" s="119">
        <f>IFERROR(__xludf.DUMMYFUNCTION("IFERROR(SUM(FILTER(D8:O8,ISNUMBER(D8:O8))),"""")"),80.0)</f>
        <v>80</v>
      </c>
      <c r="Q8" s="119">
        <f t="shared" ref="Q8:Q13" si="1">COUNTIF(D8:O8,"W")*2+COUNTIF(D8:O8,"T")</f>
        <v>3</v>
      </c>
      <c r="R8" s="126">
        <v>5.0</v>
      </c>
      <c r="S8" s="1"/>
      <c r="T8" s="102">
        <v>1.0</v>
      </c>
      <c r="U8" s="106" t="str">
        <f>AN9</f>
        <v>Gamblers</v>
      </c>
      <c r="V8" s="110"/>
      <c r="W8" s="110"/>
      <c r="X8" s="39" t="s">
        <v>137</v>
      </c>
      <c r="Y8" s="111">
        <v>26.0</v>
      </c>
      <c r="Z8" s="111" t="s">
        <v>99</v>
      </c>
      <c r="AA8" s="111">
        <v>44.0</v>
      </c>
      <c r="AB8" s="39" t="s">
        <v>137</v>
      </c>
      <c r="AC8" s="111">
        <v>26.0</v>
      </c>
      <c r="AD8" s="111" t="s">
        <v>99</v>
      </c>
      <c r="AE8" s="111">
        <v>34.0</v>
      </c>
      <c r="AF8" s="39" t="s">
        <v>137</v>
      </c>
      <c r="AG8" s="116">
        <v>20.0</v>
      </c>
      <c r="AH8" s="119">
        <f>IFERROR(__xludf.DUMMYFUNCTION("IFERROR(SUM(FILTER(V8:AG8,ISNUMBER(V8:AG8))),"""")"),150.0)</f>
        <v>150</v>
      </c>
      <c r="AI8" s="119">
        <f t="shared" ref="AI8:AI13" si="2">COUNTIF(V8:AG8,"W")*2+COUNTIF(V8:AG8,"T")</f>
        <v>4</v>
      </c>
      <c r="AJ8" s="126">
        <v>4.0</v>
      </c>
      <c r="AK8" s="1"/>
      <c r="AL8" s="132" t="s">
        <v>10</v>
      </c>
      <c r="AM8" s="133">
        <v>21.0</v>
      </c>
      <c r="AN8" s="135" t="str">
        <f>IFERROR(VLOOKUP(AM8, Field!A:B,2,TRUE),"")</f>
        <v>Eastlake NSB</v>
      </c>
      <c r="AO8" s="1"/>
    </row>
    <row r="9">
      <c r="A9" s="1"/>
      <c r="B9" s="102">
        <v>2.0</v>
      </c>
      <c r="C9" s="106" t="str">
        <f>AN13</f>
        <v>pain in the upper right quadrant of the abdomen</v>
      </c>
      <c r="D9" s="111" t="s">
        <v>137</v>
      </c>
      <c r="E9" s="111">
        <v>6.0</v>
      </c>
      <c r="F9" s="110"/>
      <c r="G9" s="110"/>
      <c r="H9" s="111" t="s">
        <v>99</v>
      </c>
      <c r="I9" s="111">
        <v>28.0</v>
      </c>
      <c r="J9" s="39" t="s">
        <v>137</v>
      </c>
      <c r="K9" s="111">
        <v>14.0</v>
      </c>
      <c r="L9" s="39" t="s">
        <v>137</v>
      </c>
      <c r="M9" s="111">
        <v>18.0</v>
      </c>
      <c r="N9" s="39" t="s">
        <v>137</v>
      </c>
      <c r="O9" s="116">
        <v>12.0</v>
      </c>
      <c r="P9" s="119">
        <f>IFERROR(__xludf.DUMMYFUNCTION("IFERROR(SUM(FILTER(D9:O9,ISNUMBER(D9:O9))),"""")"),78.0)</f>
        <v>78</v>
      </c>
      <c r="Q9" s="119">
        <f t="shared" si="1"/>
        <v>2</v>
      </c>
      <c r="R9" s="126">
        <v>6.0</v>
      </c>
      <c r="S9" s="1"/>
      <c r="T9" s="102">
        <v>2.0</v>
      </c>
      <c r="U9" s="106" t="str">
        <f>AN14</f>
        <v>periodih table</v>
      </c>
      <c r="V9" s="111" t="s">
        <v>99</v>
      </c>
      <c r="W9" s="111">
        <v>28.0</v>
      </c>
      <c r="X9" s="110"/>
      <c r="Y9" s="110"/>
      <c r="Z9" s="39" t="s">
        <v>99</v>
      </c>
      <c r="AA9" s="111">
        <v>34.0</v>
      </c>
      <c r="AB9" s="111" t="s">
        <v>99</v>
      </c>
      <c r="AC9" s="111">
        <v>30.0</v>
      </c>
      <c r="AD9" s="39" t="s">
        <v>137</v>
      </c>
      <c r="AE9" s="111">
        <v>14.0</v>
      </c>
      <c r="AF9" s="39" t="s">
        <v>137</v>
      </c>
      <c r="AG9" s="116">
        <v>14.0</v>
      </c>
      <c r="AH9" s="119">
        <f>IFERROR(__xludf.DUMMYFUNCTION("IFERROR(SUM(FILTER(V9:AG9,ISNUMBER(V9:AG9))),"""")"),120.0)</f>
        <v>120</v>
      </c>
      <c r="AI9" s="119">
        <f t="shared" si="2"/>
        <v>6</v>
      </c>
      <c r="AJ9" s="126">
        <v>2.0</v>
      </c>
      <c r="AK9" s="1"/>
      <c r="AL9" s="140" t="s">
        <v>20</v>
      </c>
      <c r="AM9" s="141">
        <v>1.0</v>
      </c>
      <c r="AN9" s="135" t="str">
        <f>IFERROR(VLOOKUP(AM9, Field!A:B,2,TRUE),"")</f>
        <v>Gamblers</v>
      </c>
      <c r="AO9" s="1"/>
    </row>
    <row r="10">
      <c r="A10" s="1"/>
      <c r="B10" s="102">
        <v>3.0</v>
      </c>
      <c r="C10" s="106" t="str">
        <f>AN18</f>
        <v>Msj b wo chem and phys</v>
      </c>
      <c r="D10" s="111" t="s">
        <v>99</v>
      </c>
      <c r="E10" s="111">
        <v>26.0</v>
      </c>
      <c r="F10" s="39" t="s">
        <v>137</v>
      </c>
      <c r="G10" s="111">
        <v>8.0</v>
      </c>
      <c r="H10" s="110"/>
      <c r="I10" s="110"/>
      <c r="J10" s="111" t="s">
        <v>99</v>
      </c>
      <c r="K10" s="111">
        <v>24.0</v>
      </c>
      <c r="L10" s="39" t="s">
        <v>137</v>
      </c>
      <c r="M10" s="111">
        <v>10.0</v>
      </c>
      <c r="N10" s="39" t="s">
        <v>137</v>
      </c>
      <c r="O10" s="116">
        <v>28.0</v>
      </c>
      <c r="P10" s="119">
        <f>IFERROR(__xludf.DUMMYFUNCTION("IFERROR(SUM(FILTER(D10:O10,ISNUMBER(D10:O10))),"""")"),96.0)</f>
        <v>96</v>
      </c>
      <c r="Q10" s="119">
        <f t="shared" si="1"/>
        <v>4</v>
      </c>
      <c r="R10" s="126">
        <v>3.0</v>
      </c>
      <c r="S10" s="1"/>
      <c r="T10" s="102">
        <v>3.0</v>
      </c>
      <c r="U10" s="106" t="str">
        <f>AN19</f>
        <v>Dynamic Planet Buddies</v>
      </c>
      <c r="V10" s="39" t="s">
        <v>137</v>
      </c>
      <c r="W10" s="111">
        <v>10.0</v>
      </c>
      <c r="X10" s="39" t="s">
        <v>137</v>
      </c>
      <c r="Y10" s="111">
        <v>12.0</v>
      </c>
      <c r="Z10" s="110"/>
      <c r="AA10" s="110"/>
      <c r="AB10" s="39" t="s">
        <v>137</v>
      </c>
      <c r="AC10" s="111">
        <v>24.0</v>
      </c>
      <c r="AD10" s="111" t="s">
        <v>99</v>
      </c>
      <c r="AE10" s="111">
        <v>6.0</v>
      </c>
      <c r="AF10" s="39" t="s">
        <v>137</v>
      </c>
      <c r="AG10" s="116">
        <v>8.0</v>
      </c>
      <c r="AH10" s="119">
        <f>IFERROR(__xludf.DUMMYFUNCTION("IFERROR(SUM(FILTER(V10:AG10,ISNUMBER(V10:AG10))),"""")"),60.0)</f>
        <v>60</v>
      </c>
      <c r="AI10" s="119">
        <f t="shared" si="2"/>
        <v>2</v>
      </c>
      <c r="AJ10" s="126">
        <v>5.0</v>
      </c>
      <c r="AK10" s="1"/>
      <c r="AL10" s="143" t="s">
        <v>8</v>
      </c>
      <c r="AM10" s="144">
        <v>11.0</v>
      </c>
      <c r="AN10" s="135" t="str">
        <f>IFERROR(VLOOKUP(AM10, Field!A:B,2,TRUE),"")</f>
        <v>Dulles Dolls</v>
      </c>
      <c r="AO10" s="1"/>
    </row>
    <row r="11">
      <c r="A11" s="1"/>
      <c r="B11" s="102">
        <v>4.0</v>
      </c>
      <c r="C11" s="106" t="str">
        <f>AN23</f>
        <v>Aqil and Kyle</v>
      </c>
      <c r="D11" s="111" t="s">
        <v>138</v>
      </c>
      <c r="E11" s="111">
        <v>16.0</v>
      </c>
      <c r="F11" s="111" t="s">
        <v>99</v>
      </c>
      <c r="G11" s="111">
        <v>24.0</v>
      </c>
      <c r="H11" s="39" t="s">
        <v>137</v>
      </c>
      <c r="I11" s="111">
        <v>22.0</v>
      </c>
      <c r="J11" s="110"/>
      <c r="K11" s="110"/>
      <c r="L11" s="39" t="s">
        <v>137</v>
      </c>
      <c r="M11" s="111">
        <v>22.0</v>
      </c>
      <c r="N11" s="39" t="s">
        <v>137</v>
      </c>
      <c r="O11" s="116">
        <v>12.0</v>
      </c>
      <c r="P11" s="119">
        <f>IFERROR(__xludf.DUMMYFUNCTION("IFERROR(SUM(FILTER(D11:O11,ISNUMBER(D11:O11))),"""")"),96.0)</f>
        <v>96</v>
      </c>
      <c r="Q11" s="119">
        <f t="shared" si="1"/>
        <v>3</v>
      </c>
      <c r="R11" s="126">
        <v>4.0</v>
      </c>
      <c r="S11" s="1"/>
      <c r="T11" s="102">
        <v>4.0</v>
      </c>
      <c r="U11" s="106" t="str">
        <f>AN24</f>
        <v>helicopter helicopter</v>
      </c>
      <c r="V11" s="111" t="s">
        <v>99</v>
      </c>
      <c r="W11" s="111">
        <v>28.0</v>
      </c>
      <c r="X11" s="39" t="s">
        <v>137</v>
      </c>
      <c r="Y11" s="111">
        <v>22.0</v>
      </c>
      <c r="Z11" s="111" t="s">
        <v>99</v>
      </c>
      <c r="AA11" s="111">
        <v>30.0</v>
      </c>
      <c r="AB11" s="110"/>
      <c r="AC11" s="110"/>
      <c r="AD11" s="111" t="s">
        <v>99</v>
      </c>
      <c r="AE11" s="111">
        <v>22.0</v>
      </c>
      <c r="AF11" s="39" t="s">
        <v>137</v>
      </c>
      <c r="AG11" s="116">
        <v>10.0</v>
      </c>
      <c r="AH11" s="119">
        <f>IFERROR(__xludf.DUMMYFUNCTION("IFERROR(SUM(FILTER(V11:AG11,ISNUMBER(V11:AG11))),"""")"),112.0)</f>
        <v>112</v>
      </c>
      <c r="AI11" s="119">
        <f t="shared" si="2"/>
        <v>6</v>
      </c>
      <c r="AJ11" s="126">
        <v>3.0</v>
      </c>
      <c r="AK11" s="1"/>
      <c r="AL11" s="145" t="s">
        <v>25</v>
      </c>
      <c r="AM11" s="144">
        <v>3.0</v>
      </c>
      <c r="AN11" s="135" t="str">
        <f>IFERROR(VLOOKUP(AM11, Field!A:B,2,TRUE),"")</f>
        <v>sqrt(boneca-anurag)</v>
      </c>
      <c r="AO11" s="1"/>
    </row>
    <row r="12">
      <c r="A12" s="1"/>
      <c r="B12" s="102">
        <v>5.0</v>
      </c>
      <c r="C12" s="106" t="str">
        <f>AN28</f>
        <v>Mmmmmmmeteorologyyyyyyyyyyyyyy</v>
      </c>
      <c r="D12" s="111" t="s">
        <v>99</v>
      </c>
      <c r="E12" s="111">
        <v>36.0</v>
      </c>
      <c r="F12" s="111" t="s">
        <v>99</v>
      </c>
      <c r="G12" s="111">
        <v>34.0</v>
      </c>
      <c r="H12" s="111" t="s">
        <v>99</v>
      </c>
      <c r="I12" s="111">
        <v>20.0</v>
      </c>
      <c r="J12" s="111" t="s">
        <v>99</v>
      </c>
      <c r="K12" s="111">
        <v>34.0</v>
      </c>
      <c r="L12" s="110"/>
      <c r="M12" s="110"/>
      <c r="N12" s="39" t="s">
        <v>137</v>
      </c>
      <c r="O12" s="146">
        <v>14.0</v>
      </c>
      <c r="P12" s="119">
        <f>IFERROR(__xludf.DUMMYFUNCTION("IFERROR(SUM(FILTER(D12:O12,ISNUMBER(D12:O12))),"""")"),138.0)</f>
        <v>138</v>
      </c>
      <c r="Q12" s="119">
        <f t="shared" si="1"/>
        <v>8</v>
      </c>
      <c r="R12" s="147">
        <v>2.0</v>
      </c>
      <c r="S12" s="1"/>
      <c r="T12" s="102">
        <v>5.0</v>
      </c>
      <c r="U12" s="106" t="str">
        <f>AN29</f>
        <v>dilli</v>
      </c>
      <c r="V12" s="39" t="s">
        <v>137</v>
      </c>
      <c r="W12" s="111">
        <v>16.0</v>
      </c>
      <c r="X12" s="111" t="s">
        <v>99</v>
      </c>
      <c r="Y12" s="111">
        <v>26.0</v>
      </c>
      <c r="Z12" s="39" t="s">
        <v>137</v>
      </c>
      <c r="AA12" s="111">
        <v>0.0</v>
      </c>
      <c r="AB12" s="39" t="s">
        <v>137</v>
      </c>
      <c r="AC12" s="111">
        <v>18.0</v>
      </c>
      <c r="AD12" s="110"/>
      <c r="AE12" s="110"/>
      <c r="AF12" s="39" t="s">
        <v>137</v>
      </c>
      <c r="AG12" s="146">
        <v>0.0</v>
      </c>
      <c r="AH12" s="119">
        <f>IFERROR(__xludf.DUMMYFUNCTION("IFERROR(SUM(FILTER(V12:AG12,ISNUMBER(V12:AG12))),"""")"),60.0)</f>
        <v>60</v>
      </c>
      <c r="AI12" s="119">
        <f t="shared" si="2"/>
        <v>2</v>
      </c>
      <c r="AJ12" s="147">
        <v>6.0</v>
      </c>
      <c r="AK12" s="1"/>
      <c r="AL12" s="148" t="s">
        <v>14</v>
      </c>
      <c r="AM12" s="141">
        <v>4.0</v>
      </c>
      <c r="AN12" s="135" t="str">
        <f>IFERROR(VLOOKUP(AM12, Field!A:B,2,TRUE),"")</f>
        <v>Joe</v>
      </c>
      <c r="AO12" s="1"/>
    </row>
    <row r="13">
      <c r="A13" s="1"/>
      <c r="B13" s="149">
        <v>6.0</v>
      </c>
      <c r="C13" s="150" t="str">
        <f>AN33</f>
        <v>1 pound feesh</v>
      </c>
      <c r="D13" s="151" t="s">
        <v>99</v>
      </c>
      <c r="E13" s="151">
        <v>36.0</v>
      </c>
      <c r="F13" s="151" t="s">
        <v>99</v>
      </c>
      <c r="G13" s="151">
        <v>52.0</v>
      </c>
      <c r="H13" s="151" t="s">
        <v>99</v>
      </c>
      <c r="I13" s="151">
        <v>34.0</v>
      </c>
      <c r="J13" s="151" t="s">
        <v>99</v>
      </c>
      <c r="K13" s="151">
        <v>46.0</v>
      </c>
      <c r="L13" s="151" t="s">
        <v>99</v>
      </c>
      <c r="M13" s="152">
        <v>48.0</v>
      </c>
      <c r="N13" s="153"/>
      <c r="O13" s="154"/>
      <c r="P13" s="155">
        <f>IFERROR(__xludf.DUMMYFUNCTION("IFERROR(SUM(FILTER(D13:O13,ISNUMBER(D13:O13))),"""")"),216.0)</f>
        <v>216</v>
      </c>
      <c r="Q13" s="155">
        <f t="shared" si="1"/>
        <v>10</v>
      </c>
      <c r="R13" s="156">
        <v>1.0</v>
      </c>
      <c r="S13" s="1"/>
      <c r="T13" s="149">
        <v>6.0</v>
      </c>
      <c r="U13" s="150" t="str">
        <f>AN34</f>
        <v>Lebron james my almighty goat. Oh how glorius my king is</v>
      </c>
      <c r="V13" s="151" t="s">
        <v>99</v>
      </c>
      <c r="W13" s="151">
        <v>26.0</v>
      </c>
      <c r="X13" s="151" t="s">
        <v>99</v>
      </c>
      <c r="Y13" s="151">
        <v>36.0</v>
      </c>
      <c r="Z13" s="151" t="s">
        <v>99</v>
      </c>
      <c r="AA13" s="151">
        <v>52.0</v>
      </c>
      <c r="AB13" s="151" t="s">
        <v>99</v>
      </c>
      <c r="AC13" s="151">
        <v>46.0</v>
      </c>
      <c r="AD13" s="152" t="s">
        <v>99</v>
      </c>
      <c r="AE13" s="152">
        <v>34.0</v>
      </c>
      <c r="AF13" s="153"/>
      <c r="AG13" s="154"/>
      <c r="AH13" s="155">
        <f>IFERROR(__xludf.DUMMYFUNCTION("IFERROR(SUM(FILTER(V13:AG13,ISNUMBER(V13:AG13))),"""")"),194.0)</f>
        <v>194</v>
      </c>
      <c r="AI13" s="155">
        <f t="shared" si="2"/>
        <v>10</v>
      </c>
      <c r="AJ13" s="156">
        <v>1.0</v>
      </c>
      <c r="AK13" s="1"/>
      <c r="AL13" s="132" t="s">
        <v>10</v>
      </c>
      <c r="AM13" s="141">
        <v>18.0</v>
      </c>
      <c r="AN13" s="135" t="str">
        <f>IFERROR(VLOOKUP(AM13, Field!A:B,2,TRUE),"")</f>
        <v>pain in the upper right quadrant of the abdomen</v>
      </c>
      <c r="A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f>SUM(P8:P13)</f>
        <v>704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>
        <f>SUM(AH8:AH13)</f>
        <v>696</v>
      </c>
      <c r="AI14" s="1"/>
      <c r="AJ14" s="1"/>
      <c r="AK14" s="1"/>
      <c r="AL14" s="140" t="s">
        <v>20</v>
      </c>
      <c r="AM14" s="144">
        <v>22.0</v>
      </c>
      <c r="AN14" s="135" t="str">
        <f>IFERROR(VLOOKUP(AM14, Field!A:B,2,TRUE),"")</f>
        <v>periodih table</v>
      </c>
      <c r="A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3" t="s">
        <v>8</v>
      </c>
      <c r="AM15" s="144">
        <v>14.0</v>
      </c>
      <c r="AN15" s="135" t="str">
        <f>IFERROR(VLOOKUP(AM15, Field!A:B,2,TRUE),"")</f>
        <v>Science Bowlers</v>
      </c>
      <c r="AO15" s="1"/>
    </row>
    <row r="16">
      <c r="A16" s="1"/>
      <c r="B16" s="157" t="s">
        <v>8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6"/>
      <c r="S16" s="1"/>
      <c r="T16" s="158" t="s">
        <v>25</v>
      </c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6"/>
      <c r="AK16" s="1"/>
      <c r="AL16" s="145" t="s">
        <v>25</v>
      </c>
      <c r="AM16" s="141">
        <v>24.0</v>
      </c>
      <c r="AN16" s="135" t="str">
        <f>IFERROR(VLOOKUP(AM16, Field!A:B,2,TRUE),"")</f>
        <v>Mono Maestros</v>
      </c>
      <c r="AO16" s="1"/>
    </row>
    <row r="17">
      <c r="A17" s="1"/>
      <c r="B17" s="71"/>
      <c r="C17" s="91"/>
      <c r="D17" s="84" t="str">
        <f>C18</f>
        <v>Dulles Dolls</v>
      </c>
      <c r="E17" s="85"/>
      <c r="F17" s="84" t="str">
        <f>C19</f>
        <v>Science Bowlers</v>
      </c>
      <c r="G17" s="85"/>
      <c r="H17" s="84" t="str">
        <f>C20</f>
        <v>@khildanny92</v>
      </c>
      <c r="I17" s="85"/>
      <c r="J17" s="84" t="str">
        <f>C21</f>
        <v>in memorievan</v>
      </c>
      <c r="K17" s="85"/>
      <c r="L17" s="84" t="str">
        <f>C22</f>
        <v>Orangeberries</v>
      </c>
      <c r="M17" s="85"/>
      <c r="N17" s="84" t="str">
        <f>C23</f>
        <v>Galena Eatrs</v>
      </c>
      <c r="O17" s="88"/>
      <c r="P17" s="89" t="s">
        <v>93</v>
      </c>
      <c r="Q17" s="89" t="s">
        <v>99</v>
      </c>
      <c r="R17" s="90" t="s">
        <v>101</v>
      </c>
      <c r="S17" s="1"/>
      <c r="T17" s="71"/>
      <c r="U17" s="91"/>
      <c r="V17" s="84" t="str">
        <f>U18</f>
        <v>sqrt(boneca-anurag)</v>
      </c>
      <c r="W17" s="85"/>
      <c r="X17" s="84" t="str">
        <f>U19</f>
        <v>Mono Maestros</v>
      </c>
      <c r="Y17" s="85"/>
      <c r="Z17" s="84" t="str">
        <f>U20</f>
        <v>law-abiding citizens</v>
      </c>
      <c r="AA17" s="85"/>
      <c r="AB17" s="84" t="str">
        <f>U21</f>
        <v>fission chips</v>
      </c>
      <c r="AC17" s="85"/>
      <c r="AD17" s="84" t="str">
        <f>U22</f>
        <v>Up Syndrome </v>
      </c>
      <c r="AE17" s="85"/>
      <c r="AF17" s="84" t="str">
        <f>U23</f>
        <v>big toe</v>
      </c>
      <c r="AG17" s="88"/>
      <c r="AH17" s="89" t="s">
        <v>126</v>
      </c>
      <c r="AI17" s="89" t="s">
        <v>99</v>
      </c>
      <c r="AJ17" s="90" t="s">
        <v>101</v>
      </c>
      <c r="AK17" s="1"/>
      <c r="AL17" s="148" t="s">
        <v>14</v>
      </c>
      <c r="AM17" s="141">
        <v>19.0</v>
      </c>
      <c r="AN17" s="135" t="str">
        <f>IFERROR(VLOOKUP(AM17, Field!A:B,2,TRUE),"")</f>
        <v>Plezburgerchez</v>
      </c>
      <c r="AO17" s="1"/>
    </row>
    <row r="18">
      <c r="A18" s="1"/>
      <c r="B18" s="102">
        <v>1.0</v>
      </c>
      <c r="C18" s="106" t="str">
        <f>AN10</f>
        <v>Dulles Dolls</v>
      </c>
      <c r="D18" s="110"/>
      <c r="E18" s="110"/>
      <c r="F18" s="111" t="s">
        <v>99</v>
      </c>
      <c r="G18" s="111">
        <v>34.0</v>
      </c>
      <c r="H18" s="111" t="s">
        <v>137</v>
      </c>
      <c r="I18" s="111">
        <v>10.0</v>
      </c>
      <c r="J18" s="39" t="s">
        <v>137</v>
      </c>
      <c r="K18" s="111">
        <v>6.0</v>
      </c>
      <c r="L18" s="39" t="s">
        <v>137</v>
      </c>
      <c r="M18" s="111">
        <v>30.0</v>
      </c>
      <c r="N18" s="113" t="s">
        <v>138</v>
      </c>
      <c r="O18" s="116">
        <v>20.0</v>
      </c>
      <c r="P18" s="119">
        <f>IFERROR(__xludf.DUMMYFUNCTION("IFERROR(SUM(FILTER(D18:O18,ISNUMBER(D18:O18))),"""")"),100.0)</f>
        <v>100</v>
      </c>
      <c r="Q18" s="119">
        <f t="shared" ref="Q18:Q23" si="3">COUNTIF(D18:O18,"W")*2+COUNTIF(D18:O18,"T")</f>
        <v>3</v>
      </c>
      <c r="R18" s="126">
        <v>5.0</v>
      </c>
      <c r="S18" s="1"/>
      <c r="T18" s="102">
        <v>1.0</v>
      </c>
      <c r="U18" s="106" t="str">
        <f>AN11</f>
        <v>sqrt(boneca-anurag)</v>
      </c>
      <c r="V18" s="110"/>
      <c r="W18" s="110"/>
      <c r="X18" s="111" t="s">
        <v>99</v>
      </c>
      <c r="Y18" s="111">
        <v>36.0</v>
      </c>
      <c r="Z18" s="39" t="s">
        <v>137</v>
      </c>
      <c r="AA18" s="111">
        <v>12.0</v>
      </c>
      <c r="AB18" s="39" t="s">
        <v>137</v>
      </c>
      <c r="AC18" s="111">
        <v>20.0</v>
      </c>
      <c r="AD18" s="111" t="s">
        <v>99</v>
      </c>
      <c r="AE18" s="111">
        <v>30.0</v>
      </c>
      <c r="AF18" s="111" t="s">
        <v>99</v>
      </c>
      <c r="AG18" s="116">
        <v>36.0</v>
      </c>
      <c r="AH18" s="119">
        <f>IFERROR(__xludf.DUMMYFUNCTION("IFERROR(SUM(FILTER(V18:AG18,ISNUMBER(V18:AG18))),"""")"),134.0)</f>
        <v>134</v>
      </c>
      <c r="AI18" s="119">
        <f t="shared" ref="AI18:AI23" si="4">COUNTIF(V18:AG18,"W")*2+COUNTIF(V18:AG18,"T")</f>
        <v>6</v>
      </c>
      <c r="AJ18" s="126">
        <v>2.0</v>
      </c>
      <c r="AK18" s="1"/>
      <c r="AL18" s="132" t="s">
        <v>10</v>
      </c>
      <c r="AM18" s="144">
        <v>9.0</v>
      </c>
      <c r="AN18" s="135" t="str">
        <f>IFERROR(VLOOKUP(AM18, Field!A:B,2,TRUE),"")</f>
        <v>Msj b wo chem and phys</v>
      </c>
      <c r="AO18" s="1"/>
    </row>
    <row r="19">
      <c r="A19" s="1"/>
      <c r="B19" s="102">
        <v>2.0</v>
      </c>
      <c r="C19" s="106" t="str">
        <f>AN15</f>
        <v>Science Bowlers</v>
      </c>
      <c r="D19" s="111" t="s">
        <v>137</v>
      </c>
      <c r="E19" s="111">
        <v>16.0</v>
      </c>
      <c r="F19" s="110"/>
      <c r="G19" s="110"/>
      <c r="H19" s="39" t="s">
        <v>137</v>
      </c>
      <c r="I19" s="111">
        <v>4.0</v>
      </c>
      <c r="J19" s="39" t="s">
        <v>137</v>
      </c>
      <c r="K19" s="111">
        <v>2.0</v>
      </c>
      <c r="L19" s="39" t="s">
        <v>137</v>
      </c>
      <c r="M19" s="111">
        <v>16.0</v>
      </c>
      <c r="N19" s="39" t="s">
        <v>137</v>
      </c>
      <c r="O19" s="116">
        <v>46.0</v>
      </c>
      <c r="P19" s="119">
        <f>IFERROR(__xludf.DUMMYFUNCTION("IFERROR(SUM(FILTER(D19:O19,ISNUMBER(D19:O19))),"""")"),84.0)</f>
        <v>84</v>
      </c>
      <c r="Q19" s="119">
        <f t="shared" si="3"/>
        <v>0</v>
      </c>
      <c r="R19" s="126">
        <v>6.0</v>
      </c>
      <c r="S19" s="1"/>
      <c r="T19" s="102">
        <v>2.0</v>
      </c>
      <c r="U19" s="106" t="str">
        <f>AN16</f>
        <v>Mono Maestros</v>
      </c>
      <c r="V19" s="39" t="s">
        <v>137</v>
      </c>
      <c r="W19" s="111">
        <v>30.0</v>
      </c>
      <c r="X19" s="110"/>
      <c r="Y19" s="110"/>
      <c r="Z19" s="39" t="s">
        <v>137</v>
      </c>
      <c r="AA19" s="111">
        <v>6.0</v>
      </c>
      <c r="AB19" s="39" t="s">
        <v>137</v>
      </c>
      <c r="AC19" s="111">
        <v>18.0</v>
      </c>
      <c r="AD19" s="111" t="s">
        <v>99</v>
      </c>
      <c r="AE19" s="111">
        <v>24.0</v>
      </c>
      <c r="AF19" s="39" t="s">
        <v>137</v>
      </c>
      <c r="AG19" s="116">
        <v>4.0</v>
      </c>
      <c r="AH19" s="119">
        <f>IFERROR(__xludf.DUMMYFUNCTION("IFERROR(SUM(FILTER(V19:AG19,ISNUMBER(V19:AG19))),"""")"),82.0)</f>
        <v>82</v>
      </c>
      <c r="AI19" s="119">
        <f t="shared" si="4"/>
        <v>2</v>
      </c>
      <c r="AJ19" s="126">
        <v>5.0</v>
      </c>
      <c r="AK19" s="1"/>
      <c r="AL19" s="140" t="s">
        <v>20</v>
      </c>
      <c r="AM19" s="144">
        <v>17.0</v>
      </c>
      <c r="AN19" s="135" t="str">
        <f>IFERROR(VLOOKUP(AM19, Field!A:B,2,TRUE),"")</f>
        <v>Dynamic Planet Buddies</v>
      </c>
      <c r="AO19" s="1"/>
    </row>
    <row r="20">
      <c r="A20" s="1"/>
      <c r="B20" s="102">
        <v>3.0</v>
      </c>
      <c r="C20" s="106" t="str">
        <f>AN20</f>
        <v>@khildanny92</v>
      </c>
      <c r="D20" s="111" t="s">
        <v>99</v>
      </c>
      <c r="E20" s="111">
        <v>28.0</v>
      </c>
      <c r="F20" s="111" t="s">
        <v>99</v>
      </c>
      <c r="G20" s="111">
        <v>36.0</v>
      </c>
      <c r="H20" s="110"/>
      <c r="I20" s="110"/>
      <c r="J20" s="39" t="s">
        <v>137</v>
      </c>
      <c r="K20" s="111">
        <v>16.0</v>
      </c>
      <c r="L20" s="111" t="s">
        <v>99</v>
      </c>
      <c r="M20" s="111">
        <v>38.0</v>
      </c>
      <c r="N20" s="39" t="s">
        <v>137</v>
      </c>
      <c r="O20" s="116">
        <v>28.0</v>
      </c>
      <c r="P20" s="119">
        <f>IFERROR(__xludf.DUMMYFUNCTION("IFERROR(SUM(FILTER(D20:O20,ISNUMBER(D20:O20))),"""")"),146.0)</f>
        <v>146</v>
      </c>
      <c r="Q20" s="119">
        <f t="shared" si="3"/>
        <v>6</v>
      </c>
      <c r="R20" s="126">
        <v>3.0</v>
      </c>
      <c r="S20" s="1"/>
      <c r="T20" s="102">
        <v>3.0</v>
      </c>
      <c r="U20" s="106" t="str">
        <f>AN21</f>
        <v>law-abiding citizens</v>
      </c>
      <c r="V20" s="111" t="s">
        <v>99</v>
      </c>
      <c r="W20" s="111">
        <v>34.0</v>
      </c>
      <c r="X20" s="111" t="s">
        <v>99</v>
      </c>
      <c r="Y20" s="111">
        <v>32.0</v>
      </c>
      <c r="Z20" s="110"/>
      <c r="AA20" s="110"/>
      <c r="AB20" s="39" t="s">
        <v>99</v>
      </c>
      <c r="AC20" s="111">
        <v>20.0</v>
      </c>
      <c r="AD20" s="111" t="s">
        <v>99</v>
      </c>
      <c r="AE20" s="111">
        <v>30.0</v>
      </c>
      <c r="AF20" s="111" t="s">
        <v>99</v>
      </c>
      <c r="AG20" s="116">
        <v>50.0</v>
      </c>
      <c r="AH20" s="119">
        <f>IFERROR(__xludf.DUMMYFUNCTION("IFERROR(SUM(FILTER(V20:AG20,ISNUMBER(V20:AG20))),"""")"),166.0)</f>
        <v>166</v>
      </c>
      <c r="AI20" s="119">
        <f t="shared" si="4"/>
        <v>10</v>
      </c>
      <c r="AJ20" s="126">
        <v>1.0</v>
      </c>
      <c r="AK20" s="1"/>
      <c r="AL20" s="143" t="s">
        <v>8</v>
      </c>
      <c r="AM20" s="141">
        <v>8.0</v>
      </c>
      <c r="AN20" s="135" t="str">
        <f>IFERROR(VLOOKUP(AM20, Field!A:B,2,TRUE),"")</f>
        <v>@khildanny92</v>
      </c>
      <c r="AO20" s="1"/>
    </row>
    <row r="21">
      <c r="A21" s="1"/>
      <c r="B21" s="102">
        <v>4.0</v>
      </c>
      <c r="C21" s="106" t="str">
        <f>AN25</f>
        <v>in memorievan</v>
      </c>
      <c r="D21" s="111" t="s">
        <v>99</v>
      </c>
      <c r="E21" s="111">
        <v>44.0</v>
      </c>
      <c r="F21" s="111" t="s">
        <v>99</v>
      </c>
      <c r="G21" s="111">
        <v>54.0</v>
      </c>
      <c r="H21" s="111" t="s">
        <v>99</v>
      </c>
      <c r="I21" s="111">
        <v>38.0</v>
      </c>
      <c r="J21" s="110"/>
      <c r="K21" s="110"/>
      <c r="L21" s="159" t="s">
        <v>99</v>
      </c>
      <c r="M21" s="40">
        <v>52.0</v>
      </c>
      <c r="N21" s="111" t="s">
        <v>99</v>
      </c>
      <c r="O21" s="116">
        <v>48.0</v>
      </c>
      <c r="P21" s="119">
        <f>IFERROR(__xludf.DUMMYFUNCTION("IFERROR(SUM(FILTER(D21:O21,ISNUMBER(D21:O21))),"""")"),236.0)</f>
        <v>236</v>
      </c>
      <c r="Q21" s="119">
        <f t="shared" si="3"/>
        <v>10</v>
      </c>
      <c r="R21" s="126">
        <v>1.0</v>
      </c>
      <c r="S21" s="1"/>
      <c r="T21" s="102">
        <v>4.0</v>
      </c>
      <c r="U21" s="106" t="str">
        <f>AN26</f>
        <v>fission chips</v>
      </c>
      <c r="V21" s="111" t="s">
        <v>99</v>
      </c>
      <c r="W21" s="111">
        <v>26.0</v>
      </c>
      <c r="X21" s="111" t="s">
        <v>99</v>
      </c>
      <c r="Y21" s="111">
        <v>24.0</v>
      </c>
      <c r="Z21" s="39" t="s">
        <v>137</v>
      </c>
      <c r="AA21" s="111">
        <v>16.0</v>
      </c>
      <c r="AB21" s="110"/>
      <c r="AC21" s="110"/>
      <c r="AD21" s="111" t="s">
        <v>99</v>
      </c>
      <c r="AE21" s="111">
        <v>20.0</v>
      </c>
      <c r="AF21" s="39" t="s">
        <v>137</v>
      </c>
      <c r="AG21" s="116">
        <v>8.0</v>
      </c>
      <c r="AH21" s="119">
        <f>IFERROR(__xludf.DUMMYFUNCTION("IFERROR(SUM(FILTER(V21:AG21,ISNUMBER(V21:AG21))),"""")"),94.0)</f>
        <v>94</v>
      </c>
      <c r="AI21" s="119">
        <f t="shared" si="4"/>
        <v>6</v>
      </c>
      <c r="AJ21" s="126">
        <v>3.0</v>
      </c>
      <c r="AK21" s="1"/>
      <c r="AL21" s="145" t="s">
        <v>25</v>
      </c>
      <c r="AM21" s="141">
        <v>2.0</v>
      </c>
      <c r="AN21" s="135" t="str">
        <f>IFERROR(VLOOKUP(AM21, Field!A:B,2,TRUE),"")</f>
        <v>law-abiding citizens</v>
      </c>
      <c r="AO21" s="1"/>
    </row>
    <row r="22">
      <c r="A22" s="1"/>
      <c r="B22" s="102">
        <v>5.0</v>
      </c>
      <c r="C22" s="106" t="str">
        <f>AN30</f>
        <v>Orangeberries</v>
      </c>
      <c r="D22" s="111" t="s">
        <v>99</v>
      </c>
      <c r="E22" s="111">
        <v>32.0</v>
      </c>
      <c r="F22" s="111" t="s">
        <v>99</v>
      </c>
      <c r="G22" s="111">
        <v>34.0</v>
      </c>
      <c r="H22" s="39" t="s">
        <v>137</v>
      </c>
      <c r="I22" s="111">
        <v>18.0</v>
      </c>
      <c r="J22" s="39" t="s">
        <v>137</v>
      </c>
      <c r="K22" s="111">
        <v>12.0</v>
      </c>
      <c r="L22" s="110"/>
      <c r="M22" s="110"/>
      <c r="N22" s="39" t="s">
        <v>137</v>
      </c>
      <c r="O22" s="146">
        <v>24.0</v>
      </c>
      <c r="P22" s="119">
        <f>IFERROR(__xludf.DUMMYFUNCTION("IFERROR(SUM(FILTER(D22:O22,ISNUMBER(D22:O22))),"""")"),120.0)</f>
        <v>120</v>
      </c>
      <c r="Q22" s="119">
        <f t="shared" si="3"/>
        <v>4</v>
      </c>
      <c r="R22" s="147">
        <v>4.0</v>
      </c>
      <c r="S22" s="1"/>
      <c r="T22" s="102">
        <v>5.0</v>
      </c>
      <c r="U22" s="106" t="str">
        <f>AN31</f>
        <v>Up Syndrome </v>
      </c>
      <c r="V22" s="39" t="s">
        <v>137</v>
      </c>
      <c r="W22" s="111">
        <v>18.0</v>
      </c>
      <c r="X22" s="39" t="s">
        <v>137</v>
      </c>
      <c r="Y22" s="111">
        <v>18.0</v>
      </c>
      <c r="Z22" s="39" t="s">
        <v>137</v>
      </c>
      <c r="AA22" s="111">
        <v>4.0</v>
      </c>
      <c r="AB22" s="39" t="s">
        <v>137</v>
      </c>
      <c r="AC22" s="111">
        <v>18.0</v>
      </c>
      <c r="AD22" s="110"/>
      <c r="AE22" s="110"/>
      <c r="AF22" s="39" t="s">
        <v>137</v>
      </c>
      <c r="AG22" s="146">
        <v>8.0</v>
      </c>
      <c r="AH22" s="119">
        <f>IFERROR(__xludf.DUMMYFUNCTION("IFERROR(SUM(FILTER(V22:AG22,ISNUMBER(V22:AG22))),"""")"),66.0)</f>
        <v>66</v>
      </c>
      <c r="AI22" s="119">
        <f t="shared" si="4"/>
        <v>0</v>
      </c>
      <c r="AJ22" s="147">
        <v>6.0</v>
      </c>
      <c r="AK22" s="1"/>
      <c r="AL22" s="148" t="s">
        <v>14</v>
      </c>
      <c r="AM22" s="144">
        <v>5.0</v>
      </c>
      <c r="AN22" s="135" t="str">
        <f>IFERROR(VLOOKUP(AM22, Field!A:B,2,TRUE),"")</f>
        <v>the Index</v>
      </c>
      <c r="AO22" s="1"/>
    </row>
    <row r="23">
      <c r="A23" s="1"/>
      <c r="B23" s="149">
        <v>6.0</v>
      </c>
      <c r="C23" s="150" t="str">
        <f>AN35</f>
        <v>Galena Eatrs</v>
      </c>
      <c r="D23" s="151" t="s">
        <v>138</v>
      </c>
      <c r="E23" s="151">
        <v>20.0</v>
      </c>
      <c r="F23" s="151" t="s">
        <v>99</v>
      </c>
      <c r="G23" s="151">
        <v>46.0</v>
      </c>
      <c r="H23" s="151" t="s">
        <v>99</v>
      </c>
      <c r="I23" s="151">
        <v>30.0</v>
      </c>
      <c r="J23" s="160" t="s">
        <v>137</v>
      </c>
      <c r="K23" s="151">
        <v>6.0</v>
      </c>
      <c r="L23" s="152" t="s">
        <v>99</v>
      </c>
      <c r="M23" s="152">
        <v>26.0</v>
      </c>
      <c r="N23" s="153"/>
      <c r="O23" s="154"/>
      <c r="P23" s="155">
        <f>IFERROR(__xludf.DUMMYFUNCTION("IFERROR(SUM(FILTER(D23:O23,ISNUMBER(D23:O23))),"""")"),128.0)</f>
        <v>128</v>
      </c>
      <c r="Q23" s="155">
        <f t="shared" si="3"/>
        <v>7</v>
      </c>
      <c r="R23" s="156">
        <v>2.0</v>
      </c>
      <c r="S23" s="1"/>
      <c r="T23" s="149">
        <v>6.0</v>
      </c>
      <c r="U23" s="150" t="str">
        <f>AN36</f>
        <v>big toe</v>
      </c>
      <c r="V23" s="160" t="s">
        <v>137</v>
      </c>
      <c r="W23" s="151">
        <v>16.0</v>
      </c>
      <c r="X23" s="151" t="s">
        <v>99</v>
      </c>
      <c r="Y23" s="151">
        <v>26.0</v>
      </c>
      <c r="Z23" s="160" t="s">
        <v>137</v>
      </c>
      <c r="AA23" s="151">
        <v>12.0</v>
      </c>
      <c r="AB23" s="151" t="s">
        <v>99</v>
      </c>
      <c r="AC23" s="151">
        <v>16.0</v>
      </c>
      <c r="AD23" s="152" t="s">
        <v>99</v>
      </c>
      <c r="AE23" s="152">
        <v>16.0</v>
      </c>
      <c r="AF23" s="153"/>
      <c r="AG23" s="154"/>
      <c r="AH23" s="155">
        <f>IFERROR(__xludf.DUMMYFUNCTION("IFERROR(SUM(FILTER(V23:AG23,ISNUMBER(V23:AG23))),"""")"),86.0)</f>
        <v>86</v>
      </c>
      <c r="AI23" s="155">
        <f t="shared" si="4"/>
        <v>6</v>
      </c>
      <c r="AJ23" s="156">
        <v>4.0</v>
      </c>
      <c r="AK23" s="1"/>
      <c r="AL23" s="132" t="s">
        <v>10</v>
      </c>
      <c r="AM23" s="144">
        <v>23.0</v>
      </c>
      <c r="AN23" s="135" t="str">
        <f>IFERROR(VLOOKUP(AM23, Field!A:B,2,TRUE),"")</f>
        <v>Aqil and Kyle</v>
      </c>
      <c r="AO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f>SUM(P18:P23)</f>
        <v>814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>
        <f>SUM(AH17:AH23)</f>
        <v>628</v>
      </c>
      <c r="AI24" s="1"/>
      <c r="AJ24" s="1"/>
      <c r="AK24" s="1"/>
      <c r="AL24" s="140" t="s">
        <v>20</v>
      </c>
      <c r="AM24" s="141">
        <v>26.0</v>
      </c>
      <c r="AN24" s="135" t="str">
        <f>IFERROR(VLOOKUP(AM24, Field!A:B,2,TRUE),"")</f>
        <v>helicopter helicopter</v>
      </c>
      <c r="A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43" t="s">
        <v>8</v>
      </c>
      <c r="AM25" s="141">
        <v>7.0</v>
      </c>
      <c r="AN25" s="135" t="str">
        <f>IFERROR(VLOOKUP(AM25, Field!A:B,2,TRUE),"")</f>
        <v>in memorievan</v>
      </c>
      <c r="AO25" s="1"/>
    </row>
    <row r="26">
      <c r="A26" s="1"/>
      <c r="B26" s="161" t="s">
        <v>14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6"/>
      <c r="S26" s="1"/>
      <c r="T26" s="162"/>
      <c r="U26" s="162"/>
      <c r="V26" s="163"/>
      <c r="AI26" s="162"/>
      <c r="AJ26" s="162"/>
      <c r="AK26" s="1"/>
      <c r="AL26" s="145" t="s">
        <v>25</v>
      </c>
      <c r="AM26" s="144">
        <v>20.0</v>
      </c>
      <c r="AN26" s="135" t="str">
        <f>IFERROR(VLOOKUP(AM26, Field!A:B,2,TRUE),"")</f>
        <v>fission chips</v>
      </c>
      <c r="AO26" s="1"/>
    </row>
    <row r="27">
      <c r="A27" s="1"/>
      <c r="B27" s="71"/>
      <c r="C27" s="91"/>
      <c r="D27" s="84" t="str">
        <f>C28</f>
        <v>Joe</v>
      </c>
      <c r="E27" s="85"/>
      <c r="F27" s="84" t="str">
        <f>C29</f>
        <v>Plezburgerchez</v>
      </c>
      <c r="G27" s="85"/>
      <c r="H27" s="84" t="str">
        <f>C30</f>
        <v>the Index</v>
      </c>
      <c r="I27" s="85"/>
      <c r="J27" s="84" t="str">
        <f>C31</f>
        <v>phylogenetichemistree</v>
      </c>
      <c r="K27" s="85"/>
      <c r="L27" s="84" t="str">
        <f>C32</f>
        <v>duckschist</v>
      </c>
      <c r="M27" s="85"/>
      <c r="N27" s="84" t="str">
        <f>C33</f>
        <v/>
      </c>
      <c r="O27" s="88"/>
      <c r="P27" s="89" t="s">
        <v>93</v>
      </c>
      <c r="Q27" s="89" t="s">
        <v>99</v>
      </c>
      <c r="R27" s="90" t="s">
        <v>101</v>
      </c>
      <c r="S27" s="1"/>
      <c r="T27" s="162"/>
      <c r="U27" s="164"/>
      <c r="V27" s="165" t="s">
        <v>187</v>
      </c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7"/>
      <c r="AI27" s="162"/>
      <c r="AJ27" s="162"/>
      <c r="AK27" s="1"/>
      <c r="AL27" s="148" t="s">
        <v>14</v>
      </c>
      <c r="AM27" s="144">
        <v>6.0</v>
      </c>
      <c r="AN27" s="135" t="str">
        <f>IFERROR(VLOOKUP(AM27, Field!A:B,2,TRUE),"")</f>
        <v>phylogenetichemistree</v>
      </c>
      <c r="AO27" s="1"/>
    </row>
    <row r="28">
      <c r="A28" s="1"/>
      <c r="B28" s="102">
        <v>1.0</v>
      </c>
      <c r="C28" s="106" t="str">
        <f>AN12</f>
        <v>Joe</v>
      </c>
      <c r="D28" s="110"/>
      <c r="E28" s="110"/>
      <c r="F28" s="111" t="s">
        <v>99</v>
      </c>
      <c r="G28" s="111">
        <v>42.0</v>
      </c>
      <c r="H28" s="111" t="s">
        <v>99</v>
      </c>
      <c r="I28" s="111">
        <v>20.0</v>
      </c>
      <c r="J28" s="39" t="s">
        <v>137</v>
      </c>
      <c r="K28" s="111">
        <v>20.0</v>
      </c>
      <c r="L28" s="111" t="s">
        <v>99</v>
      </c>
      <c r="M28" s="111">
        <v>44.0</v>
      </c>
      <c r="N28" s="119"/>
      <c r="O28" s="168"/>
      <c r="P28" s="119">
        <f>IFERROR(__xludf.DUMMYFUNCTION("IFERROR(SUM(FILTER(D28:O28,ISNUMBER(D28:O28)))*5/4,"""")"),157.5)</f>
        <v>157.5</v>
      </c>
      <c r="Q28" s="119">
        <f t="shared" ref="Q28:Q33" si="5">COUNTIF(D28:O28,"W")*2+COUNTIF(D28:O28,"T")</f>
        <v>6</v>
      </c>
      <c r="R28" s="126">
        <v>2.0</v>
      </c>
      <c r="S28" s="1"/>
      <c r="T28" s="162"/>
      <c r="U28" s="164"/>
      <c r="V28" s="169" t="s">
        <v>188</v>
      </c>
      <c r="W28" s="170"/>
      <c r="X28" s="171">
        <v>1.0</v>
      </c>
      <c r="Y28" s="172"/>
      <c r="Z28" s="171">
        <v>2.0</v>
      </c>
      <c r="AA28" s="172"/>
      <c r="AB28" s="171">
        <v>3.0</v>
      </c>
      <c r="AC28" s="172"/>
      <c r="AD28" s="171">
        <v>4.0</v>
      </c>
      <c r="AE28" s="172"/>
      <c r="AF28" s="173">
        <v>5.0</v>
      </c>
      <c r="AG28" s="174"/>
      <c r="AH28" s="175"/>
      <c r="AI28" s="162"/>
      <c r="AJ28" s="162"/>
      <c r="AK28" s="1"/>
      <c r="AL28" s="132" t="s">
        <v>10</v>
      </c>
      <c r="AM28" s="141">
        <v>27.0</v>
      </c>
      <c r="AN28" s="135" t="str">
        <f>IFERROR(VLOOKUP(AM28, Field!A:B,2,TRUE),"")</f>
        <v>Mmmmmmmeteorologyyyyyyyyyyyyyy</v>
      </c>
      <c r="AO28" s="1"/>
    </row>
    <row r="29">
      <c r="A29" s="1"/>
      <c r="B29" s="102">
        <v>2.0</v>
      </c>
      <c r="C29" s="106" t="str">
        <f>AN17</f>
        <v>Plezburgerchez</v>
      </c>
      <c r="D29" s="111" t="s">
        <v>137</v>
      </c>
      <c r="E29" s="111">
        <v>12.0</v>
      </c>
      <c r="F29" s="110"/>
      <c r="G29" s="110"/>
      <c r="H29" s="111" t="s">
        <v>99</v>
      </c>
      <c r="I29" s="111">
        <v>26.0</v>
      </c>
      <c r="J29" s="39" t="s">
        <v>137</v>
      </c>
      <c r="K29" s="111">
        <v>2.0</v>
      </c>
      <c r="L29" s="113" t="s">
        <v>138</v>
      </c>
      <c r="M29" s="111">
        <v>22.0</v>
      </c>
      <c r="N29" s="119"/>
      <c r="O29" s="168"/>
      <c r="P29" s="119">
        <f>IFERROR(__xludf.DUMMYFUNCTION("IFERROR(SUM(FILTER(D29:O29,ISNUMBER(D29:O29)))*5/4,"""")"),77.5)</f>
        <v>77.5</v>
      </c>
      <c r="Q29" s="119">
        <f t="shared" si="5"/>
        <v>3</v>
      </c>
      <c r="R29" s="126">
        <v>3.0</v>
      </c>
      <c r="S29" s="1"/>
      <c r="T29" s="176"/>
      <c r="U29" s="177"/>
      <c r="V29" s="171" t="s">
        <v>189</v>
      </c>
      <c r="W29" s="174"/>
      <c r="X29" s="171" t="s">
        <v>190</v>
      </c>
      <c r="Y29" s="172"/>
      <c r="Z29" s="171" t="s">
        <v>191</v>
      </c>
      <c r="AA29" s="172"/>
      <c r="AB29" s="171" t="s">
        <v>192</v>
      </c>
      <c r="AC29" s="172"/>
      <c r="AD29" s="171" t="s">
        <v>193</v>
      </c>
      <c r="AE29" s="172"/>
      <c r="AF29" s="173" t="s">
        <v>194</v>
      </c>
      <c r="AG29" s="174"/>
      <c r="AH29" s="175"/>
      <c r="AI29" s="162"/>
      <c r="AJ29" s="162"/>
      <c r="AK29" s="1"/>
      <c r="AL29" s="140" t="s">
        <v>20</v>
      </c>
      <c r="AM29" s="141">
        <v>28.0</v>
      </c>
      <c r="AN29" s="135" t="str">
        <f>IFERROR(VLOOKUP(AM29, Field!A:B,2,TRUE),"")</f>
        <v>dilli</v>
      </c>
      <c r="AO29" s="1"/>
    </row>
    <row r="30">
      <c r="A30" s="1"/>
      <c r="B30" s="102">
        <v>3.0</v>
      </c>
      <c r="C30" s="106" t="str">
        <f>AN22</f>
        <v>the Index</v>
      </c>
      <c r="D30" s="111" t="s">
        <v>137</v>
      </c>
      <c r="E30" s="111">
        <v>14.0</v>
      </c>
      <c r="F30" s="39" t="s">
        <v>137</v>
      </c>
      <c r="G30" s="111">
        <v>12.0</v>
      </c>
      <c r="H30" s="110"/>
      <c r="I30" s="110"/>
      <c r="J30" s="39" t="s">
        <v>137</v>
      </c>
      <c r="K30" s="111">
        <v>4.0</v>
      </c>
      <c r="L30" s="39" t="s">
        <v>137</v>
      </c>
      <c r="M30" s="111">
        <v>4.0</v>
      </c>
      <c r="N30" s="119"/>
      <c r="O30" s="168"/>
      <c r="P30" s="119">
        <f>IFERROR(__xludf.DUMMYFUNCTION("IFERROR(SUM(FILTER(D30:O30,ISNUMBER(D30:O30)))*5/4,"""")"),42.5)</f>
        <v>42.5</v>
      </c>
      <c r="Q30" s="119">
        <f t="shared" si="5"/>
        <v>0</v>
      </c>
      <c r="R30" s="126">
        <v>5.0</v>
      </c>
      <c r="S30" s="1"/>
      <c r="T30" s="176"/>
      <c r="U30" s="177"/>
      <c r="V30" s="178" t="s">
        <v>195</v>
      </c>
      <c r="W30" s="179"/>
      <c r="X30" s="178" t="s">
        <v>196</v>
      </c>
      <c r="Z30" s="178" t="s">
        <v>197</v>
      </c>
      <c r="AB30" s="178" t="s">
        <v>198</v>
      </c>
      <c r="AD30" s="178" t="s">
        <v>199</v>
      </c>
      <c r="AF30" s="40" t="s">
        <v>200</v>
      </c>
      <c r="AG30" s="179"/>
      <c r="AH30" s="180"/>
      <c r="AI30" s="162"/>
      <c r="AJ30" s="162"/>
      <c r="AK30" s="1"/>
      <c r="AL30" s="143" t="s">
        <v>8</v>
      </c>
      <c r="AM30" s="144">
        <v>29.0</v>
      </c>
      <c r="AN30" s="135" t="str">
        <f>IFERROR(VLOOKUP(AM30, Field!A:B,2,TRUE),"")</f>
        <v>Orangeberries</v>
      </c>
      <c r="AO30" s="1"/>
    </row>
    <row r="31">
      <c r="A31" s="1"/>
      <c r="B31" s="102">
        <v>4.0</v>
      </c>
      <c r="C31" s="106" t="str">
        <f>AN27</f>
        <v>phylogenetichemistree</v>
      </c>
      <c r="D31" s="111" t="s">
        <v>99</v>
      </c>
      <c r="E31" s="111">
        <v>38.0</v>
      </c>
      <c r="F31" s="111" t="s">
        <v>99</v>
      </c>
      <c r="G31" s="111">
        <v>32.0</v>
      </c>
      <c r="H31" s="111" t="s">
        <v>99</v>
      </c>
      <c r="I31" s="111">
        <v>48.0</v>
      </c>
      <c r="J31" s="110"/>
      <c r="K31" s="110"/>
      <c r="L31" s="111" t="s">
        <v>99</v>
      </c>
      <c r="M31" s="111">
        <v>52.0</v>
      </c>
      <c r="N31" s="119"/>
      <c r="O31" s="168"/>
      <c r="P31" s="119">
        <f>IFERROR(__xludf.DUMMYFUNCTION("IFERROR(SUM(FILTER(D31:O31,ISNUMBER(D31:O31)))*5/4,"""")"),212.5)</f>
        <v>212.5</v>
      </c>
      <c r="Q31" s="119">
        <f t="shared" si="5"/>
        <v>8</v>
      </c>
      <c r="R31" s="126">
        <v>1.0</v>
      </c>
      <c r="S31" s="1"/>
      <c r="T31" s="176"/>
      <c r="U31" s="177"/>
      <c r="V31" s="178" t="s">
        <v>201</v>
      </c>
      <c r="W31" s="179"/>
      <c r="X31" s="178" t="s">
        <v>202</v>
      </c>
      <c r="Z31" s="178" t="s">
        <v>203</v>
      </c>
      <c r="AB31" s="178" t="s">
        <v>204</v>
      </c>
      <c r="AD31" s="178" t="s">
        <v>205</v>
      </c>
      <c r="AF31" s="40" t="s">
        <v>206</v>
      </c>
      <c r="AG31" s="179"/>
      <c r="AH31" s="180"/>
      <c r="AI31" s="162"/>
      <c r="AJ31" s="162"/>
      <c r="AK31" s="1"/>
      <c r="AL31" s="145" t="s">
        <v>25</v>
      </c>
      <c r="AM31" s="144">
        <v>10.0</v>
      </c>
      <c r="AN31" s="135" t="str">
        <f>IFERROR(VLOOKUP(AM31, Field!A:B,2,TRUE),"")</f>
        <v>Up Syndrome </v>
      </c>
      <c r="AO31" s="1"/>
    </row>
    <row r="32">
      <c r="A32" s="1"/>
      <c r="B32" s="102">
        <v>5.0</v>
      </c>
      <c r="C32" s="106" t="str">
        <f>AN32</f>
        <v>duckschist</v>
      </c>
      <c r="D32" s="111" t="s">
        <v>137</v>
      </c>
      <c r="E32" s="111">
        <v>14.0</v>
      </c>
      <c r="F32" s="113" t="s">
        <v>138</v>
      </c>
      <c r="G32" s="111">
        <v>22.0</v>
      </c>
      <c r="H32" s="111" t="s">
        <v>99</v>
      </c>
      <c r="I32" s="111">
        <v>16.0</v>
      </c>
      <c r="J32" s="39" t="s">
        <v>137</v>
      </c>
      <c r="K32" s="111">
        <v>4.0</v>
      </c>
      <c r="L32" s="110"/>
      <c r="M32" s="110"/>
      <c r="N32" s="181"/>
      <c r="O32" s="182"/>
      <c r="P32" s="119">
        <f>IFERROR(__xludf.DUMMYFUNCTION("IFERROR(SUM(FILTER(D32:O32,ISNUMBER(D32:O32)))*5/4,"""")"),70.0)</f>
        <v>70</v>
      </c>
      <c r="Q32" s="119">
        <f t="shared" si="5"/>
        <v>3</v>
      </c>
      <c r="R32" s="147">
        <v>4.0</v>
      </c>
      <c r="S32" s="1"/>
      <c r="T32" s="176"/>
      <c r="U32" s="176"/>
      <c r="V32" s="40" t="s">
        <v>207</v>
      </c>
      <c r="W32" s="179"/>
      <c r="X32" s="40" t="s">
        <v>208</v>
      </c>
      <c r="Z32" s="178" t="s">
        <v>209</v>
      </c>
      <c r="AB32" s="178" t="s">
        <v>210</v>
      </c>
      <c r="AD32" s="40" t="s">
        <v>211</v>
      </c>
      <c r="AF32" s="40" t="s">
        <v>212</v>
      </c>
      <c r="AG32" s="179"/>
      <c r="AH32" s="180"/>
      <c r="AI32" s="162"/>
      <c r="AJ32" s="162"/>
      <c r="AK32" s="1"/>
      <c r="AL32" s="148" t="s">
        <v>14</v>
      </c>
      <c r="AM32" s="141">
        <v>16.0</v>
      </c>
      <c r="AN32" s="135" t="str">
        <f>IFERROR(VLOOKUP(AM32, Field!A:B,2,TRUE),"")</f>
        <v>duckschist</v>
      </c>
      <c r="AO32" s="1"/>
    </row>
    <row r="33">
      <c r="A33" s="1"/>
      <c r="B33" s="149">
        <v>6.0</v>
      </c>
      <c r="C33" s="150" t="str">
        <f>AN37</f>
        <v/>
      </c>
      <c r="D33" s="155"/>
      <c r="E33" s="155"/>
      <c r="F33" s="155"/>
      <c r="G33" s="155"/>
      <c r="H33" s="155"/>
      <c r="I33" s="155"/>
      <c r="J33" s="155"/>
      <c r="K33" s="155"/>
      <c r="L33" s="183"/>
      <c r="M33" s="183"/>
      <c r="N33" s="153"/>
      <c r="O33" s="154"/>
      <c r="P33" s="155" t="str">
        <f>IFERROR(__xludf.DUMMYFUNCTION("IFERROR(SUM(FILTER(D33:O33,ISNUMBER(D33:O33))),"""")"),"")</f>
        <v/>
      </c>
      <c r="Q33" s="155">
        <f t="shared" si="5"/>
        <v>0</v>
      </c>
      <c r="R33" s="184"/>
      <c r="S33" s="1"/>
      <c r="T33" s="176"/>
      <c r="U33" s="176"/>
      <c r="V33" s="176"/>
      <c r="X33" s="176"/>
      <c r="Z33" s="176"/>
      <c r="AA33" s="176"/>
      <c r="AB33" s="176"/>
      <c r="AC33" s="176"/>
      <c r="AD33" s="176"/>
      <c r="AE33" s="176"/>
      <c r="AF33" s="176"/>
      <c r="AG33" s="176"/>
      <c r="AH33" s="162"/>
      <c r="AI33" s="162"/>
      <c r="AJ33" s="162"/>
      <c r="AK33" s="1"/>
      <c r="AL33" s="132" t="s">
        <v>10</v>
      </c>
      <c r="AM33" s="141">
        <v>25.0</v>
      </c>
      <c r="AN33" s="135" t="str">
        <f>IFERROR(VLOOKUP(AM33, Field!A:B,2,TRUE),"")</f>
        <v>1 pound feesh</v>
      </c>
      <c r="AO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f>SUM(P27:P33)*5/4</f>
        <v>700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40" t="s">
        <v>20</v>
      </c>
      <c r="AM34" s="144">
        <v>15.0</v>
      </c>
      <c r="AN34" s="135" t="str">
        <f>IFERROR(VLOOKUP(AM34, Field!A:B,2,TRUE),"")</f>
        <v>Lebron james my almighty goat. Oh how glorius my king is</v>
      </c>
      <c r="A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43" t="s">
        <v>8</v>
      </c>
      <c r="AM35" s="144">
        <v>12.0</v>
      </c>
      <c r="AN35" s="135" t="str">
        <f>IFERROR(VLOOKUP(AM35, Field!A:B,2,TRUE),"")</f>
        <v>Galena Eatrs</v>
      </c>
      <c r="A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45" t="s">
        <v>25</v>
      </c>
      <c r="AM36" s="141">
        <v>13.0</v>
      </c>
      <c r="AN36" s="135" t="str">
        <f>IFERROR(VLOOKUP(AM36, Field!A:B,2,TRUE),"")</f>
        <v>big toe</v>
      </c>
      <c r="AO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85" t="s">
        <v>14</v>
      </c>
      <c r="AM37" s="186"/>
      <c r="AN37" s="187" t="str">
        <f>IFERROR(VLOOKUP(AM37, Field!A:B,2,TRUE),"")</f>
        <v/>
      </c>
      <c r="AO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</sheetData>
  <mergeCells count="71">
    <mergeCell ref="AD28:AE28"/>
    <mergeCell ref="AF28:AG28"/>
    <mergeCell ref="AB7:AC7"/>
    <mergeCell ref="AD7:AE7"/>
    <mergeCell ref="T16:AJ16"/>
    <mergeCell ref="V26:AH26"/>
    <mergeCell ref="V27:AG27"/>
    <mergeCell ref="V28:W28"/>
    <mergeCell ref="X28:Y28"/>
    <mergeCell ref="AB30:AC30"/>
    <mergeCell ref="AD30:AE30"/>
    <mergeCell ref="AB31:AC31"/>
    <mergeCell ref="AD31:AE31"/>
    <mergeCell ref="AF31:AG31"/>
    <mergeCell ref="AB32:AC32"/>
    <mergeCell ref="AD32:AE32"/>
    <mergeCell ref="AF32:AG32"/>
    <mergeCell ref="V29:W29"/>
    <mergeCell ref="X29:Y29"/>
    <mergeCell ref="Z29:AA29"/>
    <mergeCell ref="AB29:AC29"/>
    <mergeCell ref="AD29:AE29"/>
    <mergeCell ref="AF29:AG29"/>
    <mergeCell ref="V30:W30"/>
    <mergeCell ref="AF30:AG30"/>
    <mergeCell ref="V32:W32"/>
    <mergeCell ref="V33:W33"/>
    <mergeCell ref="X33:Y33"/>
    <mergeCell ref="X30:Y30"/>
    <mergeCell ref="Z30:AA30"/>
    <mergeCell ref="V31:W31"/>
    <mergeCell ref="X31:Y31"/>
    <mergeCell ref="Z31:AA31"/>
    <mergeCell ref="X32:Y32"/>
    <mergeCell ref="Z32:AA32"/>
    <mergeCell ref="N7:O7"/>
    <mergeCell ref="V7:W7"/>
    <mergeCell ref="X7:Y7"/>
    <mergeCell ref="Z7:AA7"/>
    <mergeCell ref="C2:AJ2"/>
    <mergeCell ref="B6:R6"/>
    <mergeCell ref="T6:AJ6"/>
    <mergeCell ref="AL6:AN6"/>
    <mergeCell ref="D7:E7"/>
    <mergeCell ref="F7:G7"/>
    <mergeCell ref="H7:I7"/>
    <mergeCell ref="AF7:AG7"/>
    <mergeCell ref="L17:M17"/>
    <mergeCell ref="N17:O17"/>
    <mergeCell ref="V17:W17"/>
    <mergeCell ref="X17:Y17"/>
    <mergeCell ref="Z17:AA17"/>
    <mergeCell ref="AB17:AC17"/>
    <mergeCell ref="AD17:AE17"/>
    <mergeCell ref="AF17:AG17"/>
    <mergeCell ref="B26:R26"/>
    <mergeCell ref="D27:E27"/>
    <mergeCell ref="F27:G27"/>
    <mergeCell ref="H27:I27"/>
    <mergeCell ref="J27:K27"/>
    <mergeCell ref="L27:M27"/>
    <mergeCell ref="N27:O27"/>
    <mergeCell ref="J7:K7"/>
    <mergeCell ref="L7:M7"/>
    <mergeCell ref="B16:R16"/>
    <mergeCell ref="D17:E17"/>
    <mergeCell ref="F17:G17"/>
    <mergeCell ref="H17:I17"/>
    <mergeCell ref="J17:K17"/>
    <mergeCell ref="Z28:AA28"/>
    <mergeCell ref="AB28:AC28"/>
  </mergeCells>
  <conditionalFormatting sqref="D1:D5 F1:F5 H1:H5 J1:J5 L1:L5 N1:N5 V1:V5 X1:X5 Z1:Z5 AB1:AB5 AD1:AD5 AF1:AF5 D7:D15 F7:F15 H7:H15 J7:J15 L7:L15 N7:N15 V7:V15 X7:X15 Z7:Z15 AB7:AB15 AD7:AD15 AF7:AF15 D17:D25 F17:F25 H17:H25 J17:J25 L17:L25 N17:N25 V17:V25 X17:X25 Z17:Z25 AB17:AB25 AD17:AD25 AF17:AF25 D27:D39 F27:F39 H27:H39 J27:J39 L27:L39 N27:N39 V27:V39 X27:X39 Z27:Z39 AB27:AB39 AD27:AD39 AF27:AF39 AH27">
    <cfRule type="cellIs" dxfId="3" priority="1" operator="equal">
      <formula>"W"</formula>
    </cfRule>
  </conditionalFormatting>
  <conditionalFormatting sqref="D1:D5 D7:D15 D17:D25 D27:D39">
    <cfRule type="cellIs" dxfId="4" priority="2" operator="equal">
      <formula>"L"</formula>
    </cfRule>
  </conditionalFormatting>
  <conditionalFormatting sqref="D1:D5 D7:D15 D17:D25 D27:D39">
    <cfRule type="cellIs" dxfId="5" priority="3" operator="equal">
      <formula>"T"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13"/>
    <col customWidth="1" min="3" max="3" width="6.38"/>
    <col customWidth="1" min="6" max="6" width="6.38"/>
    <col customWidth="1" min="9" max="9" width="6.38"/>
    <col customWidth="1" min="12" max="12" width="6.38"/>
  </cols>
  <sheetData>
    <row r="1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>
      <c r="A2" s="15" t="s">
        <v>7</v>
      </c>
    </row>
    <row r="3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>
      <c r="A4" s="22" t="s">
        <v>12</v>
      </c>
      <c r="B4" s="24" t="s">
        <v>13</v>
      </c>
      <c r="D4" s="24" t="s">
        <v>17</v>
      </c>
      <c r="G4" s="24" t="s">
        <v>18</v>
      </c>
      <c r="J4" s="24" t="s">
        <v>21</v>
      </c>
      <c r="M4" s="24" t="s">
        <v>23</v>
      </c>
    </row>
    <row r="5">
      <c r="A5" s="36"/>
      <c r="B5" s="36"/>
      <c r="C5" s="40"/>
      <c r="D5" s="36"/>
      <c r="E5" s="36"/>
      <c r="F5" s="40"/>
      <c r="G5" s="36"/>
      <c r="H5" s="36"/>
      <c r="I5" s="40"/>
      <c r="J5" s="36"/>
      <c r="K5" s="36"/>
      <c r="L5" s="40"/>
      <c r="M5" s="36"/>
    </row>
    <row r="6">
      <c r="A6" s="36"/>
      <c r="B6" s="45" t="s">
        <v>9</v>
      </c>
      <c r="C6" s="47">
        <v>36.0</v>
      </c>
      <c r="D6" s="36"/>
      <c r="E6" s="36"/>
      <c r="F6" s="40"/>
      <c r="G6" s="36"/>
      <c r="H6" s="36"/>
      <c r="I6" s="40"/>
      <c r="J6" s="36"/>
      <c r="K6" s="36"/>
      <c r="L6" s="40"/>
      <c r="M6" s="36"/>
    </row>
    <row r="7">
      <c r="A7" s="36"/>
      <c r="B7" s="52"/>
      <c r="C7" s="57" t="s">
        <v>43</v>
      </c>
      <c r="D7" s="59"/>
      <c r="E7" s="45" t="s">
        <v>9</v>
      </c>
      <c r="F7" s="47">
        <v>44.0</v>
      </c>
      <c r="G7" s="36"/>
      <c r="H7" s="36"/>
      <c r="I7" s="40"/>
      <c r="J7" s="36"/>
      <c r="K7" s="36"/>
      <c r="L7" s="40"/>
      <c r="M7" s="36"/>
    </row>
    <row r="8">
      <c r="A8" s="36"/>
      <c r="B8" s="45" t="s">
        <v>30</v>
      </c>
      <c r="C8" s="62"/>
      <c r="D8" s="65"/>
      <c r="E8" s="65"/>
      <c r="F8" s="57" t="s">
        <v>43</v>
      </c>
      <c r="G8" s="36"/>
      <c r="H8" s="36"/>
      <c r="I8" s="40"/>
      <c r="J8" s="36"/>
      <c r="K8" s="36"/>
      <c r="L8" s="40"/>
      <c r="M8" s="36"/>
    </row>
    <row r="9">
      <c r="A9" s="36"/>
      <c r="B9" s="69"/>
      <c r="C9" s="72">
        <v>30.0</v>
      </c>
      <c r="D9" s="52"/>
      <c r="E9" s="59"/>
      <c r="F9" s="74"/>
      <c r="G9" s="59"/>
      <c r="H9" s="76" t="s">
        <v>9</v>
      </c>
      <c r="I9" s="77">
        <v>0.0</v>
      </c>
      <c r="J9" s="36"/>
      <c r="K9" s="36"/>
      <c r="L9" s="40"/>
      <c r="M9" s="36"/>
    </row>
    <row r="10">
      <c r="A10" s="36"/>
      <c r="B10" s="45" t="s">
        <v>29</v>
      </c>
      <c r="C10" s="47">
        <v>18.0</v>
      </c>
      <c r="D10" s="59"/>
      <c r="E10" s="59"/>
      <c r="F10" s="74"/>
      <c r="G10" s="65"/>
      <c r="H10" s="65"/>
      <c r="I10" s="83" t="s">
        <v>43</v>
      </c>
      <c r="J10" s="36"/>
      <c r="K10" s="36"/>
      <c r="L10" s="40"/>
      <c r="M10" s="36"/>
    </row>
    <row r="11">
      <c r="A11" s="36"/>
      <c r="B11" s="52"/>
      <c r="C11" s="57" t="s">
        <v>79</v>
      </c>
      <c r="D11" s="87"/>
      <c r="E11" s="45" t="s">
        <v>31</v>
      </c>
      <c r="F11" s="62"/>
      <c r="G11" s="59"/>
      <c r="H11" s="59"/>
      <c r="I11" s="74"/>
      <c r="J11" s="36"/>
      <c r="K11" s="36"/>
      <c r="L11" s="40"/>
      <c r="M11" s="36"/>
    </row>
    <row r="12">
      <c r="A12" s="36"/>
      <c r="B12" s="45" t="s">
        <v>31</v>
      </c>
      <c r="C12" s="62"/>
      <c r="D12" s="36"/>
      <c r="E12" s="36"/>
      <c r="F12" s="72">
        <v>34.0</v>
      </c>
      <c r="G12" s="59"/>
      <c r="H12" s="59"/>
      <c r="I12" s="74"/>
      <c r="J12" s="36"/>
      <c r="K12" s="36"/>
      <c r="L12" s="40"/>
      <c r="M12" s="36"/>
    </row>
    <row r="13">
      <c r="A13" s="36"/>
      <c r="B13" s="69"/>
      <c r="C13" s="72">
        <v>28.0</v>
      </c>
      <c r="D13" s="36"/>
      <c r="E13" s="36"/>
      <c r="F13" s="40"/>
      <c r="G13" s="52"/>
      <c r="H13" s="59"/>
      <c r="I13" s="74"/>
      <c r="J13" s="59"/>
      <c r="K13" s="45" t="s">
        <v>26</v>
      </c>
      <c r="L13" s="77">
        <v>38.0</v>
      </c>
      <c r="M13" s="36"/>
    </row>
    <row r="14">
      <c r="A14" s="36"/>
      <c r="B14" s="45" t="s">
        <v>26</v>
      </c>
      <c r="C14" s="47">
        <v>38.0</v>
      </c>
      <c r="D14" s="36"/>
      <c r="E14" s="36"/>
      <c r="F14" s="40"/>
      <c r="G14" s="59"/>
      <c r="H14" s="59"/>
      <c r="I14" s="74"/>
      <c r="J14" s="65"/>
      <c r="K14" s="65"/>
      <c r="L14" s="83" t="s">
        <v>43</v>
      </c>
      <c r="M14" s="36"/>
    </row>
    <row r="15">
      <c r="A15" s="36"/>
      <c r="B15" s="52"/>
      <c r="C15" s="57" t="s">
        <v>98</v>
      </c>
      <c r="D15" s="59"/>
      <c r="E15" s="45" t="s">
        <v>26</v>
      </c>
      <c r="F15" s="47">
        <v>52.0</v>
      </c>
      <c r="G15" s="59"/>
      <c r="H15" s="59"/>
      <c r="I15" s="74"/>
      <c r="J15" s="59"/>
      <c r="K15" s="59"/>
      <c r="L15" s="74"/>
      <c r="M15" s="36"/>
    </row>
    <row r="16">
      <c r="A16" s="36"/>
      <c r="B16" s="45" t="s">
        <v>36</v>
      </c>
      <c r="C16" s="62"/>
      <c r="D16" s="65"/>
      <c r="E16" s="65"/>
      <c r="F16" s="57" t="s">
        <v>79</v>
      </c>
      <c r="G16" s="59"/>
      <c r="H16" s="59"/>
      <c r="I16" s="74"/>
      <c r="J16" s="59"/>
      <c r="K16" s="59"/>
      <c r="L16" s="74"/>
      <c r="M16" s="36"/>
    </row>
    <row r="17">
      <c r="A17" s="36"/>
      <c r="B17" s="69"/>
      <c r="C17" s="72">
        <v>12.0</v>
      </c>
      <c r="D17" s="52"/>
      <c r="E17" s="59"/>
      <c r="F17" s="74"/>
      <c r="G17" s="87"/>
      <c r="H17" s="45" t="s">
        <v>26</v>
      </c>
      <c r="I17" s="62"/>
      <c r="J17" s="59"/>
      <c r="K17" s="59"/>
      <c r="L17" s="74"/>
      <c r="M17" s="36"/>
    </row>
    <row r="18">
      <c r="A18" s="36"/>
      <c r="B18" s="45" t="s">
        <v>22</v>
      </c>
      <c r="C18" s="47">
        <v>48.0</v>
      </c>
      <c r="D18" s="59"/>
      <c r="E18" s="59"/>
      <c r="F18" s="74"/>
      <c r="G18" s="36"/>
      <c r="H18" s="36"/>
      <c r="I18" s="72">
        <v>36.0</v>
      </c>
      <c r="J18" s="59"/>
      <c r="K18" s="59"/>
      <c r="L18" s="74"/>
      <c r="M18" s="36"/>
    </row>
    <row r="19">
      <c r="A19" s="36"/>
      <c r="B19" s="52"/>
      <c r="C19" s="57" t="s">
        <v>121</v>
      </c>
      <c r="D19" s="87"/>
      <c r="E19" s="93" t="s">
        <v>22</v>
      </c>
      <c r="F19" s="62"/>
      <c r="G19" s="36"/>
      <c r="H19" s="36"/>
      <c r="I19" s="40"/>
      <c r="J19" s="59"/>
      <c r="K19" s="59"/>
      <c r="L19" s="74"/>
      <c r="M19" s="36"/>
    </row>
    <row r="20">
      <c r="A20" s="36"/>
      <c r="B20" s="45" t="s">
        <v>37</v>
      </c>
      <c r="C20" s="62"/>
      <c r="D20" s="36"/>
      <c r="E20" s="36"/>
      <c r="F20" s="72">
        <v>16.0</v>
      </c>
      <c r="G20" s="36"/>
      <c r="H20" s="36"/>
      <c r="I20" s="40"/>
      <c r="J20" s="59"/>
      <c r="K20" s="59"/>
      <c r="L20" s="74"/>
      <c r="M20" s="36"/>
    </row>
    <row r="21">
      <c r="A21" s="36"/>
      <c r="B21" s="69"/>
      <c r="C21" s="72">
        <v>12.0</v>
      </c>
      <c r="D21" s="36"/>
      <c r="E21" s="36"/>
      <c r="F21" s="40"/>
      <c r="G21" s="36"/>
      <c r="H21" s="36"/>
      <c r="I21" s="40"/>
      <c r="J21" s="100"/>
      <c r="K21" s="59"/>
      <c r="L21" s="74"/>
      <c r="M21" s="105"/>
      <c r="N21" s="108" t="s">
        <v>26</v>
      </c>
    </row>
    <row r="22">
      <c r="A22" s="36"/>
      <c r="B22" s="45" t="s">
        <v>27</v>
      </c>
      <c r="C22" s="47">
        <v>22.0</v>
      </c>
      <c r="D22" s="36"/>
      <c r="E22" s="36"/>
      <c r="F22" s="40"/>
      <c r="G22" s="36"/>
      <c r="H22" s="36"/>
      <c r="I22" s="40"/>
      <c r="J22" s="59"/>
      <c r="K22" s="59"/>
      <c r="L22" s="74"/>
      <c r="M22" s="36"/>
    </row>
    <row r="23">
      <c r="A23" s="36"/>
      <c r="B23" s="52"/>
      <c r="C23" s="57" t="s">
        <v>140</v>
      </c>
      <c r="D23" s="59"/>
      <c r="E23" s="45" t="s">
        <v>34</v>
      </c>
      <c r="F23" s="47">
        <v>52.0</v>
      </c>
      <c r="G23" s="36"/>
      <c r="H23" s="36"/>
      <c r="I23" s="40"/>
      <c r="J23" s="59"/>
      <c r="K23" s="59"/>
      <c r="L23" s="74"/>
      <c r="M23" s="36"/>
    </row>
    <row r="24">
      <c r="A24" s="36"/>
      <c r="B24" s="45" t="s">
        <v>34</v>
      </c>
      <c r="C24" s="62"/>
      <c r="D24" s="65"/>
      <c r="E24" s="65"/>
      <c r="F24" s="57" t="s">
        <v>98</v>
      </c>
      <c r="G24" s="36"/>
      <c r="H24" s="36"/>
      <c r="I24" s="40"/>
      <c r="J24" s="59"/>
      <c r="K24" s="59"/>
      <c r="L24" s="74"/>
      <c r="M24" s="36"/>
    </row>
    <row r="25">
      <c r="A25" s="36"/>
      <c r="B25" s="69"/>
      <c r="C25" s="72">
        <v>50.0</v>
      </c>
      <c r="D25" s="52"/>
      <c r="E25" s="59"/>
      <c r="F25" s="74"/>
      <c r="G25" s="59"/>
      <c r="H25" s="122" t="s">
        <v>34</v>
      </c>
      <c r="I25" s="77">
        <v>22.0</v>
      </c>
      <c r="J25" s="59"/>
      <c r="K25" s="59"/>
      <c r="L25" s="74"/>
      <c r="M25" s="36"/>
    </row>
    <row r="26">
      <c r="A26" s="36"/>
      <c r="B26" s="45" t="s">
        <v>15</v>
      </c>
      <c r="C26" s="47">
        <v>20.0</v>
      </c>
      <c r="D26" s="59"/>
      <c r="E26" s="59"/>
      <c r="F26" s="74"/>
      <c r="G26" s="65"/>
      <c r="H26" s="65"/>
      <c r="I26" s="83" t="s">
        <v>79</v>
      </c>
      <c r="J26" s="59"/>
      <c r="K26" s="59"/>
      <c r="L26" s="74"/>
      <c r="M26" s="36"/>
    </row>
    <row r="27">
      <c r="A27" s="36"/>
      <c r="B27" s="52"/>
      <c r="C27" s="57" t="s">
        <v>152</v>
      </c>
      <c r="D27" s="87"/>
      <c r="E27" s="45" t="s">
        <v>39</v>
      </c>
      <c r="F27" s="62"/>
      <c r="G27" s="59"/>
      <c r="H27" s="59"/>
      <c r="I27" s="74"/>
      <c r="J27" s="59"/>
      <c r="K27" s="59"/>
      <c r="L27" s="74"/>
      <c r="M27" s="36"/>
    </row>
    <row r="28">
      <c r="A28" s="36"/>
      <c r="B28" s="45" t="s">
        <v>39</v>
      </c>
      <c r="C28" s="62"/>
      <c r="D28" s="36"/>
      <c r="E28" s="36"/>
      <c r="F28" s="72">
        <v>-8.0</v>
      </c>
      <c r="G28" s="59"/>
      <c r="H28" s="59"/>
      <c r="I28" s="74"/>
      <c r="J28" s="59"/>
      <c r="K28" s="59"/>
      <c r="L28" s="74"/>
      <c r="M28" s="36"/>
    </row>
    <row r="29">
      <c r="A29" s="36"/>
      <c r="B29" s="69"/>
      <c r="C29" s="72">
        <v>22.0</v>
      </c>
      <c r="D29" s="36"/>
      <c r="E29" s="36"/>
      <c r="F29" s="40"/>
      <c r="G29" s="52"/>
      <c r="H29" s="59"/>
      <c r="I29" s="74"/>
      <c r="J29" s="87"/>
      <c r="K29" s="131" t="s">
        <v>11</v>
      </c>
      <c r="L29" s="62"/>
      <c r="M29" s="36"/>
    </row>
    <row r="30">
      <c r="A30" s="36"/>
      <c r="B30" s="45" t="s">
        <v>28</v>
      </c>
      <c r="C30" s="47">
        <v>20.0</v>
      </c>
      <c r="D30" s="36"/>
      <c r="E30" s="36"/>
      <c r="F30" s="40"/>
      <c r="G30" s="59"/>
      <c r="H30" s="59"/>
      <c r="I30" s="74"/>
      <c r="J30" s="36"/>
      <c r="K30" s="36"/>
      <c r="L30" s="72">
        <v>22.0</v>
      </c>
      <c r="M30" s="36"/>
    </row>
    <row r="31">
      <c r="A31" s="36"/>
      <c r="B31" s="52"/>
      <c r="C31" s="57" t="s">
        <v>167</v>
      </c>
      <c r="D31" s="59"/>
      <c r="E31" s="45" t="s">
        <v>28</v>
      </c>
      <c r="F31" s="77">
        <v>20.0</v>
      </c>
      <c r="G31" s="59"/>
      <c r="H31" s="59"/>
      <c r="I31" s="74"/>
      <c r="J31" s="36"/>
      <c r="K31" s="36"/>
      <c r="L31" s="40"/>
      <c r="M31" s="36"/>
    </row>
    <row r="32">
      <c r="A32" s="36"/>
      <c r="B32" s="45" t="s">
        <v>32</v>
      </c>
      <c r="C32" s="62"/>
      <c r="D32" s="65"/>
      <c r="E32" s="65"/>
      <c r="F32" s="83" t="s">
        <v>121</v>
      </c>
      <c r="G32" s="59"/>
      <c r="H32" s="59"/>
      <c r="I32" s="74"/>
      <c r="J32" s="36"/>
      <c r="K32" s="36"/>
      <c r="L32" s="40"/>
      <c r="M32" s="36"/>
    </row>
    <row r="33">
      <c r="A33" s="36"/>
      <c r="B33" s="69"/>
      <c r="C33" s="72">
        <v>18.0</v>
      </c>
      <c r="D33" s="52"/>
      <c r="E33" s="59"/>
      <c r="F33" s="74"/>
      <c r="G33" s="87"/>
      <c r="H33" s="45" t="s">
        <v>11</v>
      </c>
      <c r="I33" s="62"/>
      <c r="J33" s="36"/>
      <c r="K33" s="36"/>
      <c r="L33" s="40"/>
      <c r="M33" s="36"/>
    </row>
    <row r="34">
      <c r="A34" s="36"/>
      <c r="B34" s="45" t="s">
        <v>11</v>
      </c>
      <c r="C34" s="47">
        <v>48.0</v>
      </c>
      <c r="D34" s="59"/>
      <c r="E34" s="59"/>
      <c r="F34" s="74"/>
      <c r="G34" s="36"/>
      <c r="H34" s="36"/>
      <c r="I34" s="72">
        <v>26.0</v>
      </c>
      <c r="J34" s="36"/>
      <c r="K34" s="36"/>
      <c r="L34" s="40"/>
      <c r="M34" s="36"/>
    </row>
    <row r="35">
      <c r="A35" s="36"/>
      <c r="B35" s="52"/>
      <c r="C35" s="57" t="s">
        <v>182</v>
      </c>
      <c r="D35" s="87"/>
      <c r="E35" s="45" t="s">
        <v>11</v>
      </c>
      <c r="F35" s="62"/>
      <c r="G35" s="36"/>
      <c r="H35" s="36"/>
      <c r="I35" s="40"/>
      <c r="J35" s="36"/>
      <c r="K35" s="36"/>
      <c r="L35" s="40"/>
      <c r="M35" s="36"/>
    </row>
    <row r="36">
      <c r="A36" s="36"/>
      <c r="B36" s="45" t="s">
        <v>41</v>
      </c>
      <c r="C36" s="62"/>
      <c r="D36" s="36"/>
      <c r="E36" s="36"/>
      <c r="F36" s="72">
        <v>60.0</v>
      </c>
      <c r="G36" s="36"/>
      <c r="H36" s="36"/>
      <c r="I36" s="40"/>
      <c r="J36" s="36"/>
      <c r="K36" s="36"/>
      <c r="L36" s="40"/>
      <c r="M36" s="138"/>
    </row>
    <row r="37">
      <c r="C37" s="43">
        <v>8.0</v>
      </c>
      <c r="F37" s="1"/>
      <c r="I37" s="1"/>
      <c r="L37" s="1"/>
    </row>
    <row r="38">
      <c r="C38" s="1"/>
      <c r="F38" s="1"/>
      <c r="I38" s="1"/>
      <c r="L38" s="1"/>
    </row>
    <row r="39">
      <c r="C39" s="1"/>
      <c r="F39" s="1"/>
      <c r="I39" s="1"/>
      <c r="L39" s="1"/>
    </row>
    <row r="40">
      <c r="C40" s="1"/>
      <c r="F40" s="1"/>
      <c r="I40" s="1"/>
      <c r="L40" s="1"/>
    </row>
    <row r="41">
      <c r="C41" s="1"/>
      <c r="F41" s="1"/>
      <c r="I41" s="1"/>
      <c r="L41" s="1"/>
    </row>
    <row r="42">
      <c r="C42" s="1"/>
      <c r="F42" s="1"/>
      <c r="I42" s="1"/>
      <c r="L42" s="1"/>
    </row>
    <row r="43">
      <c r="C43" s="1"/>
      <c r="F43" s="1"/>
      <c r="I43" s="1"/>
      <c r="L43" s="1"/>
    </row>
    <row r="44">
      <c r="C44" s="1"/>
      <c r="F44" s="1"/>
      <c r="I44" s="1"/>
      <c r="L44" s="1"/>
    </row>
    <row r="45">
      <c r="C45" s="1"/>
      <c r="F45" s="1"/>
      <c r="I45" s="1"/>
      <c r="L45" s="1"/>
    </row>
    <row r="46">
      <c r="C46" s="1"/>
      <c r="F46" s="1"/>
      <c r="I46" s="1"/>
      <c r="L46" s="1"/>
    </row>
    <row r="47">
      <c r="C47" s="1"/>
      <c r="F47" s="1"/>
      <c r="I47" s="1"/>
      <c r="L47" s="1"/>
    </row>
    <row r="48">
      <c r="C48" s="1"/>
      <c r="F48" s="1"/>
      <c r="I48" s="1"/>
      <c r="L48" s="1"/>
    </row>
    <row r="49">
      <c r="C49" s="1"/>
      <c r="F49" s="1"/>
      <c r="I49" s="1"/>
      <c r="L49" s="1"/>
    </row>
    <row r="50">
      <c r="C50" s="1"/>
      <c r="F50" s="1"/>
      <c r="I50" s="1"/>
      <c r="L50" s="1"/>
    </row>
    <row r="51">
      <c r="C51" s="1"/>
      <c r="F51" s="1"/>
      <c r="I51" s="1"/>
      <c r="L51" s="1"/>
    </row>
    <row r="52">
      <c r="C52" s="1"/>
      <c r="F52" s="1"/>
      <c r="I52" s="1"/>
      <c r="L52" s="1"/>
    </row>
    <row r="53">
      <c r="C53" s="1"/>
      <c r="F53" s="1"/>
      <c r="I53" s="1"/>
      <c r="L53" s="1"/>
    </row>
    <row r="54">
      <c r="C54" s="1"/>
      <c r="F54" s="1"/>
      <c r="I54" s="1"/>
      <c r="L54" s="1"/>
    </row>
    <row r="55">
      <c r="C55" s="1"/>
      <c r="F55" s="1"/>
      <c r="I55" s="1"/>
      <c r="L55" s="1"/>
    </row>
    <row r="56">
      <c r="C56" s="1"/>
      <c r="F56" s="1"/>
      <c r="I56" s="1"/>
      <c r="L56" s="1"/>
    </row>
    <row r="57">
      <c r="C57" s="1"/>
      <c r="F57" s="1"/>
      <c r="I57" s="1"/>
      <c r="L57" s="1"/>
    </row>
    <row r="58">
      <c r="C58" s="1"/>
      <c r="F58" s="1"/>
      <c r="I58" s="1"/>
      <c r="L58" s="1"/>
    </row>
    <row r="59">
      <c r="C59" s="1"/>
      <c r="F59" s="1"/>
      <c r="I59" s="1"/>
      <c r="L59" s="1"/>
    </row>
    <row r="60">
      <c r="C60" s="1"/>
      <c r="F60" s="1"/>
      <c r="I60" s="1"/>
      <c r="L60" s="1"/>
    </row>
    <row r="61">
      <c r="C61" s="1"/>
      <c r="F61" s="1"/>
      <c r="I61" s="1"/>
      <c r="L61" s="1"/>
    </row>
    <row r="62">
      <c r="C62" s="1"/>
      <c r="F62" s="1"/>
      <c r="I62" s="1"/>
      <c r="L62" s="1"/>
    </row>
    <row r="63">
      <c r="C63" s="1"/>
      <c r="F63" s="1"/>
      <c r="I63" s="1"/>
      <c r="L63" s="1"/>
    </row>
    <row r="64">
      <c r="C64" s="1"/>
      <c r="F64" s="1"/>
      <c r="I64" s="1"/>
      <c r="L64" s="1"/>
    </row>
    <row r="65">
      <c r="C65" s="1"/>
      <c r="F65" s="1"/>
      <c r="I65" s="1"/>
      <c r="L65" s="1"/>
    </row>
    <row r="66">
      <c r="C66" s="1"/>
      <c r="F66" s="1"/>
      <c r="I66" s="1"/>
      <c r="L66" s="1"/>
    </row>
    <row r="67">
      <c r="C67" s="1"/>
      <c r="F67" s="1"/>
      <c r="I67" s="1"/>
      <c r="L67" s="1"/>
    </row>
    <row r="68">
      <c r="C68" s="1"/>
      <c r="F68" s="1"/>
      <c r="I68" s="1"/>
      <c r="L68" s="1"/>
    </row>
    <row r="69">
      <c r="C69" s="1"/>
      <c r="F69" s="1"/>
      <c r="I69" s="1"/>
      <c r="L69" s="1"/>
    </row>
    <row r="70">
      <c r="C70" s="1"/>
      <c r="F70" s="1"/>
      <c r="I70" s="1"/>
      <c r="L70" s="1"/>
    </row>
    <row r="71">
      <c r="C71" s="1"/>
      <c r="F71" s="1"/>
      <c r="I71" s="1"/>
      <c r="L71" s="1"/>
    </row>
    <row r="72">
      <c r="C72" s="1"/>
      <c r="F72" s="1"/>
      <c r="I72" s="1"/>
      <c r="L72" s="1"/>
    </row>
    <row r="73">
      <c r="C73" s="1"/>
      <c r="F73" s="1"/>
      <c r="I73" s="1"/>
      <c r="L73" s="1"/>
    </row>
    <row r="74">
      <c r="C74" s="1"/>
      <c r="F74" s="1"/>
      <c r="I74" s="1"/>
      <c r="L74" s="1"/>
    </row>
    <row r="75">
      <c r="C75" s="1"/>
      <c r="F75" s="1"/>
      <c r="I75" s="1"/>
      <c r="L75" s="1"/>
    </row>
    <row r="76">
      <c r="C76" s="1"/>
      <c r="F76" s="1"/>
      <c r="I76" s="1"/>
      <c r="L76" s="1"/>
    </row>
    <row r="77">
      <c r="C77" s="1"/>
      <c r="F77" s="1"/>
      <c r="I77" s="1"/>
      <c r="L77" s="1"/>
    </row>
    <row r="78">
      <c r="C78" s="1"/>
      <c r="F78" s="1"/>
      <c r="I78" s="1"/>
      <c r="L78" s="1"/>
    </row>
    <row r="79">
      <c r="C79" s="1"/>
      <c r="F79" s="1"/>
      <c r="I79" s="1"/>
      <c r="L79" s="1"/>
    </row>
    <row r="80">
      <c r="C80" s="1"/>
      <c r="F80" s="1"/>
      <c r="I80" s="1"/>
      <c r="L80" s="1"/>
    </row>
    <row r="81">
      <c r="C81" s="1"/>
      <c r="F81" s="1"/>
      <c r="I81" s="1"/>
      <c r="L81" s="1"/>
    </row>
    <row r="82">
      <c r="C82" s="1"/>
      <c r="F82" s="1"/>
      <c r="I82" s="1"/>
      <c r="L82" s="1"/>
    </row>
    <row r="83">
      <c r="C83" s="1"/>
      <c r="F83" s="1"/>
      <c r="I83" s="1"/>
      <c r="L83" s="1"/>
    </row>
    <row r="84">
      <c r="C84" s="1"/>
      <c r="F84" s="1"/>
      <c r="I84" s="1"/>
      <c r="L84" s="1"/>
    </row>
    <row r="85">
      <c r="C85" s="1"/>
      <c r="F85" s="1"/>
      <c r="I85" s="1"/>
      <c r="L85" s="1"/>
    </row>
    <row r="86">
      <c r="C86" s="1"/>
      <c r="F86" s="1"/>
      <c r="I86" s="1"/>
      <c r="L86" s="1"/>
    </row>
    <row r="87">
      <c r="C87" s="1"/>
      <c r="F87" s="1"/>
      <c r="I87" s="1"/>
      <c r="L87" s="1"/>
    </row>
    <row r="88">
      <c r="C88" s="1"/>
      <c r="F88" s="1"/>
      <c r="I88" s="1"/>
      <c r="L88" s="1"/>
    </row>
    <row r="89">
      <c r="C89" s="1"/>
      <c r="F89" s="1"/>
      <c r="I89" s="1"/>
      <c r="L89" s="1"/>
    </row>
    <row r="90">
      <c r="C90" s="1"/>
      <c r="F90" s="1"/>
      <c r="I90" s="1"/>
      <c r="L90" s="1"/>
    </row>
    <row r="91">
      <c r="C91" s="1"/>
      <c r="F91" s="1"/>
      <c r="I91" s="1"/>
      <c r="L91" s="1"/>
    </row>
    <row r="92">
      <c r="C92" s="1"/>
      <c r="F92" s="1"/>
      <c r="I92" s="1"/>
      <c r="L92" s="1"/>
    </row>
    <row r="93">
      <c r="C93" s="1"/>
      <c r="F93" s="1"/>
      <c r="I93" s="1"/>
      <c r="L93" s="1"/>
    </row>
    <row r="94">
      <c r="C94" s="1"/>
      <c r="F94" s="1"/>
      <c r="I94" s="1"/>
      <c r="L94" s="1"/>
    </row>
    <row r="95">
      <c r="C95" s="1"/>
      <c r="F95" s="1"/>
      <c r="I95" s="1"/>
      <c r="L95" s="1"/>
    </row>
    <row r="96">
      <c r="C96" s="1"/>
      <c r="F96" s="1"/>
      <c r="I96" s="1"/>
      <c r="L96" s="1"/>
    </row>
    <row r="97">
      <c r="C97" s="1"/>
      <c r="F97" s="1"/>
      <c r="I97" s="1"/>
      <c r="L97" s="1"/>
    </row>
    <row r="98">
      <c r="C98" s="1"/>
      <c r="F98" s="1"/>
      <c r="I98" s="1"/>
      <c r="L98" s="1"/>
    </row>
    <row r="99">
      <c r="C99" s="1"/>
      <c r="F99" s="1"/>
      <c r="I99" s="1"/>
      <c r="L99" s="1"/>
    </row>
    <row r="100">
      <c r="C100" s="1"/>
      <c r="F100" s="1"/>
      <c r="I100" s="1"/>
      <c r="L100" s="1"/>
    </row>
    <row r="101">
      <c r="C101" s="1"/>
      <c r="F101" s="1"/>
      <c r="I101" s="1"/>
      <c r="L101" s="1"/>
    </row>
    <row r="102">
      <c r="C102" s="1"/>
      <c r="F102" s="1"/>
      <c r="I102" s="1"/>
      <c r="L102" s="1"/>
    </row>
    <row r="103">
      <c r="C103" s="1"/>
      <c r="F103" s="1"/>
      <c r="I103" s="1"/>
      <c r="L103" s="1"/>
    </row>
    <row r="104">
      <c r="C104" s="1"/>
      <c r="F104" s="1"/>
      <c r="I104" s="1"/>
      <c r="L104" s="1"/>
    </row>
    <row r="105">
      <c r="C105" s="1"/>
      <c r="F105" s="1"/>
      <c r="I105" s="1"/>
      <c r="L105" s="1"/>
    </row>
    <row r="106">
      <c r="C106" s="1"/>
      <c r="F106" s="1"/>
      <c r="I106" s="1"/>
      <c r="L106" s="1"/>
    </row>
    <row r="107">
      <c r="C107" s="1"/>
      <c r="F107" s="1"/>
      <c r="I107" s="1"/>
      <c r="L107" s="1"/>
    </row>
    <row r="108">
      <c r="C108" s="1"/>
      <c r="F108" s="1"/>
      <c r="I108" s="1"/>
      <c r="L108" s="1"/>
    </row>
    <row r="109">
      <c r="C109" s="1"/>
      <c r="F109" s="1"/>
      <c r="I109" s="1"/>
      <c r="L109" s="1"/>
    </row>
    <row r="110">
      <c r="C110" s="1"/>
      <c r="F110" s="1"/>
      <c r="I110" s="1"/>
      <c r="L110" s="1"/>
    </row>
    <row r="111">
      <c r="C111" s="1"/>
      <c r="F111" s="1"/>
      <c r="I111" s="1"/>
      <c r="L111" s="1"/>
    </row>
    <row r="112">
      <c r="C112" s="1"/>
      <c r="F112" s="1"/>
      <c r="I112" s="1"/>
      <c r="L112" s="1"/>
    </row>
    <row r="113">
      <c r="C113" s="1"/>
      <c r="F113" s="1"/>
      <c r="I113" s="1"/>
      <c r="L113" s="1"/>
    </row>
    <row r="114">
      <c r="C114" s="1"/>
      <c r="F114" s="1"/>
      <c r="I114" s="1"/>
      <c r="L114" s="1"/>
    </row>
    <row r="115">
      <c r="C115" s="1"/>
      <c r="F115" s="1"/>
      <c r="I115" s="1"/>
      <c r="L115" s="1"/>
    </row>
    <row r="116">
      <c r="C116" s="1"/>
      <c r="F116" s="1"/>
      <c r="I116" s="1"/>
      <c r="L116" s="1"/>
    </row>
    <row r="117">
      <c r="C117" s="1"/>
      <c r="F117" s="1"/>
      <c r="I117" s="1"/>
      <c r="L117" s="1"/>
    </row>
    <row r="118">
      <c r="C118" s="1"/>
      <c r="F118" s="1"/>
      <c r="I118" s="1"/>
      <c r="L118" s="1"/>
    </row>
    <row r="119">
      <c r="C119" s="1"/>
      <c r="F119" s="1"/>
      <c r="I119" s="1"/>
      <c r="L119" s="1"/>
    </row>
    <row r="120">
      <c r="C120" s="1"/>
      <c r="F120" s="1"/>
      <c r="I120" s="1"/>
      <c r="L120" s="1"/>
    </row>
    <row r="121">
      <c r="C121" s="1"/>
      <c r="F121" s="1"/>
      <c r="I121" s="1"/>
      <c r="L121" s="1"/>
    </row>
    <row r="122">
      <c r="C122" s="1"/>
      <c r="F122" s="1"/>
      <c r="I122" s="1"/>
      <c r="L122" s="1"/>
    </row>
    <row r="123">
      <c r="C123" s="1"/>
      <c r="F123" s="1"/>
      <c r="I123" s="1"/>
      <c r="L123" s="1"/>
    </row>
    <row r="124">
      <c r="C124" s="1"/>
      <c r="F124" s="1"/>
      <c r="I124" s="1"/>
      <c r="L124" s="1"/>
    </row>
    <row r="125">
      <c r="C125" s="1"/>
      <c r="F125" s="1"/>
      <c r="I125" s="1"/>
      <c r="L125" s="1"/>
    </row>
    <row r="126">
      <c r="C126" s="1"/>
      <c r="F126" s="1"/>
      <c r="I126" s="1"/>
      <c r="L126" s="1"/>
    </row>
    <row r="127">
      <c r="C127" s="1"/>
      <c r="F127" s="1"/>
      <c r="I127" s="1"/>
      <c r="L127" s="1"/>
    </row>
    <row r="128">
      <c r="C128" s="1"/>
      <c r="F128" s="1"/>
      <c r="I128" s="1"/>
      <c r="L128" s="1"/>
    </row>
    <row r="129">
      <c r="C129" s="1"/>
      <c r="F129" s="1"/>
      <c r="I129" s="1"/>
      <c r="L129" s="1"/>
    </row>
    <row r="130">
      <c r="C130" s="1"/>
      <c r="F130" s="1"/>
      <c r="I130" s="1"/>
      <c r="L130" s="1"/>
    </row>
    <row r="131">
      <c r="C131" s="1"/>
      <c r="F131" s="1"/>
      <c r="I131" s="1"/>
      <c r="L131" s="1"/>
    </row>
    <row r="132">
      <c r="C132" s="1"/>
      <c r="F132" s="1"/>
      <c r="I132" s="1"/>
      <c r="L132" s="1"/>
    </row>
    <row r="133">
      <c r="C133" s="1"/>
      <c r="F133" s="1"/>
      <c r="I133" s="1"/>
      <c r="L133" s="1"/>
    </row>
    <row r="134">
      <c r="C134" s="1"/>
      <c r="F134" s="1"/>
      <c r="I134" s="1"/>
      <c r="L134" s="1"/>
    </row>
    <row r="135">
      <c r="C135" s="1"/>
      <c r="F135" s="1"/>
      <c r="I135" s="1"/>
      <c r="L135" s="1"/>
    </row>
    <row r="136">
      <c r="C136" s="1"/>
      <c r="F136" s="1"/>
      <c r="I136" s="1"/>
      <c r="L136" s="1"/>
    </row>
    <row r="137">
      <c r="C137" s="1"/>
      <c r="F137" s="1"/>
      <c r="I137" s="1"/>
      <c r="L137" s="1"/>
    </row>
    <row r="138">
      <c r="C138" s="1"/>
      <c r="F138" s="1"/>
      <c r="I138" s="1"/>
      <c r="L138" s="1"/>
    </row>
    <row r="139">
      <c r="C139" s="1"/>
      <c r="F139" s="1"/>
      <c r="I139" s="1"/>
      <c r="L139" s="1"/>
    </row>
    <row r="140">
      <c r="C140" s="1"/>
      <c r="F140" s="1"/>
      <c r="I140" s="1"/>
      <c r="L140" s="1"/>
    </row>
    <row r="141">
      <c r="C141" s="1"/>
      <c r="F141" s="1"/>
      <c r="I141" s="1"/>
      <c r="L141" s="1"/>
    </row>
    <row r="142">
      <c r="C142" s="1"/>
      <c r="F142" s="1"/>
      <c r="I142" s="1"/>
      <c r="L142" s="1"/>
    </row>
    <row r="143">
      <c r="C143" s="1"/>
      <c r="F143" s="1"/>
      <c r="I143" s="1"/>
      <c r="L143" s="1"/>
    </row>
    <row r="144">
      <c r="C144" s="1"/>
      <c r="F144" s="1"/>
      <c r="I144" s="1"/>
      <c r="L144" s="1"/>
    </row>
    <row r="145">
      <c r="C145" s="1"/>
      <c r="F145" s="1"/>
      <c r="I145" s="1"/>
      <c r="L145" s="1"/>
    </row>
    <row r="146">
      <c r="C146" s="1"/>
      <c r="F146" s="1"/>
      <c r="I146" s="1"/>
      <c r="L146" s="1"/>
    </row>
    <row r="147">
      <c r="C147" s="1"/>
      <c r="F147" s="1"/>
      <c r="I147" s="1"/>
      <c r="L147" s="1"/>
    </row>
    <row r="148">
      <c r="C148" s="1"/>
      <c r="F148" s="1"/>
      <c r="I148" s="1"/>
      <c r="L148" s="1"/>
    </row>
    <row r="149">
      <c r="C149" s="1"/>
      <c r="F149" s="1"/>
      <c r="I149" s="1"/>
      <c r="L149" s="1"/>
    </row>
    <row r="150">
      <c r="C150" s="1"/>
      <c r="F150" s="1"/>
      <c r="I150" s="1"/>
      <c r="L150" s="1"/>
    </row>
    <row r="151">
      <c r="C151" s="1"/>
      <c r="F151" s="1"/>
      <c r="I151" s="1"/>
      <c r="L151" s="1"/>
    </row>
    <row r="152">
      <c r="C152" s="1"/>
      <c r="F152" s="1"/>
      <c r="I152" s="1"/>
      <c r="L152" s="1"/>
    </row>
    <row r="153">
      <c r="C153" s="1"/>
      <c r="F153" s="1"/>
      <c r="I153" s="1"/>
      <c r="L153" s="1"/>
    </row>
    <row r="154">
      <c r="C154" s="1"/>
      <c r="F154" s="1"/>
      <c r="I154" s="1"/>
      <c r="L154" s="1"/>
    </row>
    <row r="155">
      <c r="C155" s="1"/>
      <c r="F155" s="1"/>
      <c r="I155" s="1"/>
      <c r="L155" s="1"/>
    </row>
    <row r="156">
      <c r="C156" s="1"/>
      <c r="F156" s="1"/>
      <c r="I156" s="1"/>
      <c r="L156" s="1"/>
    </row>
    <row r="157">
      <c r="C157" s="1"/>
      <c r="F157" s="1"/>
      <c r="I157" s="1"/>
      <c r="L157" s="1"/>
    </row>
    <row r="158">
      <c r="C158" s="1"/>
      <c r="F158" s="1"/>
      <c r="I158" s="1"/>
      <c r="L158" s="1"/>
    </row>
    <row r="159">
      <c r="C159" s="1"/>
      <c r="F159" s="1"/>
      <c r="I159" s="1"/>
      <c r="L159" s="1"/>
    </row>
    <row r="160">
      <c r="C160" s="1"/>
      <c r="F160" s="1"/>
      <c r="I160" s="1"/>
      <c r="L160" s="1"/>
    </row>
    <row r="161">
      <c r="C161" s="1"/>
      <c r="F161" s="1"/>
      <c r="I161" s="1"/>
      <c r="L161" s="1"/>
    </row>
    <row r="162">
      <c r="C162" s="1"/>
      <c r="F162" s="1"/>
      <c r="I162" s="1"/>
      <c r="L162" s="1"/>
    </row>
    <row r="163">
      <c r="C163" s="1"/>
      <c r="F163" s="1"/>
      <c r="I163" s="1"/>
      <c r="L163" s="1"/>
    </row>
    <row r="164">
      <c r="C164" s="1"/>
      <c r="F164" s="1"/>
      <c r="I164" s="1"/>
      <c r="L164" s="1"/>
    </row>
    <row r="165">
      <c r="C165" s="1"/>
      <c r="F165" s="1"/>
      <c r="I165" s="1"/>
      <c r="L165" s="1"/>
    </row>
    <row r="166">
      <c r="C166" s="1"/>
      <c r="F166" s="1"/>
      <c r="I166" s="1"/>
      <c r="L166" s="1"/>
    </row>
    <row r="167">
      <c r="C167" s="1"/>
      <c r="F167" s="1"/>
      <c r="I167" s="1"/>
      <c r="L167" s="1"/>
    </row>
    <row r="168">
      <c r="C168" s="1"/>
      <c r="F168" s="1"/>
      <c r="I168" s="1"/>
      <c r="L168" s="1"/>
    </row>
    <row r="169">
      <c r="C169" s="1"/>
      <c r="F169" s="1"/>
      <c r="I169" s="1"/>
      <c r="L169" s="1"/>
    </row>
    <row r="170">
      <c r="C170" s="1"/>
      <c r="F170" s="1"/>
      <c r="I170" s="1"/>
      <c r="L170" s="1"/>
    </row>
    <row r="171">
      <c r="C171" s="1"/>
      <c r="F171" s="1"/>
      <c r="I171" s="1"/>
      <c r="L171" s="1"/>
    </row>
    <row r="172">
      <c r="C172" s="1"/>
      <c r="F172" s="1"/>
      <c r="I172" s="1"/>
      <c r="L172" s="1"/>
    </row>
    <row r="173">
      <c r="C173" s="1"/>
      <c r="F173" s="1"/>
      <c r="I173" s="1"/>
      <c r="L173" s="1"/>
    </row>
    <row r="174">
      <c r="C174" s="1"/>
      <c r="F174" s="1"/>
      <c r="I174" s="1"/>
      <c r="L174" s="1"/>
    </row>
    <row r="175">
      <c r="C175" s="1"/>
      <c r="F175" s="1"/>
      <c r="I175" s="1"/>
      <c r="L175" s="1"/>
    </row>
    <row r="176">
      <c r="C176" s="1"/>
      <c r="F176" s="1"/>
      <c r="I176" s="1"/>
      <c r="L176" s="1"/>
    </row>
    <row r="177">
      <c r="C177" s="1"/>
      <c r="F177" s="1"/>
      <c r="I177" s="1"/>
      <c r="L177" s="1"/>
    </row>
    <row r="178">
      <c r="C178" s="1"/>
      <c r="F178" s="1"/>
      <c r="I178" s="1"/>
      <c r="L178" s="1"/>
    </row>
    <row r="179">
      <c r="C179" s="1"/>
      <c r="F179" s="1"/>
      <c r="I179" s="1"/>
      <c r="L179" s="1"/>
    </row>
    <row r="180">
      <c r="C180" s="1"/>
      <c r="F180" s="1"/>
      <c r="I180" s="1"/>
      <c r="L180" s="1"/>
    </row>
    <row r="181">
      <c r="C181" s="1"/>
      <c r="F181" s="1"/>
      <c r="I181" s="1"/>
      <c r="L181" s="1"/>
    </row>
    <row r="182">
      <c r="C182" s="1"/>
      <c r="F182" s="1"/>
      <c r="I182" s="1"/>
      <c r="L182" s="1"/>
    </row>
    <row r="183">
      <c r="C183" s="1"/>
      <c r="F183" s="1"/>
      <c r="I183" s="1"/>
      <c r="L183" s="1"/>
    </row>
    <row r="184">
      <c r="C184" s="1"/>
      <c r="F184" s="1"/>
      <c r="I184" s="1"/>
      <c r="L184" s="1"/>
    </row>
    <row r="185">
      <c r="C185" s="1"/>
      <c r="F185" s="1"/>
      <c r="I185" s="1"/>
      <c r="L185" s="1"/>
    </row>
    <row r="186">
      <c r="C186" s="1"/>
      <c r="F186" s="1"/>
      <c r="I186" s="1"/>
      <c r="L186" s="1"/>
    </row>
    <row r="187">
      <c r="C187" s="1"/>
      <c r="F187" s="1"/>
      <c r="I187" s="1"/>
      <c r="L187" s="1"/>
    </row>
    <row r="188">
      <c r="C188" s="1"/>
      <c r="F188" s="1"/>
      <c r="I188" s="1"/>
      <c r="L188" s="1"/>
    </row>
    <row r="189">
      <c r="C189" s="1"/>
      <c r="F189" s="1"/>
      <c r="I189" s="1"/>
      <c r="L189" s="1"/>
    </row>
    <row r="190">
      <c r="C190" s="1"/>
      <c r="F190" s="1"/>
      <c r="I190" s="1"/>
      <c r="L190" s="1"/>
    </row>
    <row r="191">
      <c r="C191" s="1"/>
      <c r="F191" s="1"/>
      <c r="I191" s="1"/>
      <c r="L191" s="1"/>
    </row>
    <row r="192">
      <c r="C192" s="1"/>
      <c r="F192" s="1"/>
      <c r="I192" s="1"/>
      <c r="L192" s="1"/>
    </row>
    <row r="193">
      <c r="C193" s="1"/>
      <c r="F193" s="1"/>
      <c r="I193" s="1"/>
      <c r="L193" s="1"/>
    </row>
    <row r="194">
      <c r="C194" s="1"/>
      <c r="F194" s="1"/>
      <c r="I194" s="1"/>
      <c r="L194" s="1"/>
    </row>
    <row r="195">
      <c r="C195" s="1"/>
      <c r="F195" s="1"/>
      <c r="I195" s="1"/>
      <c r="L195" s="1"/>
    </row>
    <row r="196">
      <c r="C196" s="1"/>
      <c r="F196" s="1"/>
      <c r="I196" s="1"/>
      <c r="L196" s="1"/>
    </row>
    <row r="197">
      <c r="C197" s="1"/>
      <c r="F197" s="1"/>
      <c r="I197" s="1"/>
      <c r="L197" s="1"/>
    </row>
    <row r="198">
      <c r="C198" s="1"/>
      <c r="F198" s="1"/>
      <c r="I198" s="1"/>
      <c r="L198" s="1"/>
    </row>
    <row r="199">
      <c r="C199" s="1"/>
      <c r="F199" s="1"/>
      <c r="I199" s="1"/>
      <c r="L199" s="1"/>
    </row>
    <row r="200">
      <c r="C200" s="1"/>
      <c r="F200" s="1"/>
      <c r="I200" s="1"/>
      <c r="L200" s="1"/>
    </row>
    <row r="201">
      <c r="C201" s="1"/>
      <c r="F201" s="1"/>
      <c r="I201" s="1"/>
      <c r="L201" s="1"/>
    </row>
    <row r="202">
      <c r="C202" s="1"/>
      <c r="F202" s="1"/>
      <c r="I202" s="1"/>
      <c r="L202" s="1"/>
    </row>
    <row r="203">
      <c r="C203" s="1"/>
      <c r="F203" s="1"/>
      <c r="I203" s="1"/>
      <c r="L203" s="1"/>
    </row>
    <row r="204">
      <c r="C204" s="1"/>
      <c r="F204" s="1"/>
      <c r="I204" s="1"/>
      <c r="L204" s="1"/>
    </row>
    <row r="205">
      <c r="C205" s="1"/>
      <c r="F205" s="1"/>
      <c r="I205" s="1"/>
      <c r="L205" s="1"/>
    </row>
    <row r="206">
      <c r="C206" s="1"/>
      <c r="F206" s="1"/>
      <c r="I206" s="1"/>
      <c r="L206" s="1"/>
    </row>
    <row r="207">
      <c r="C207" s="1"/>
      <c r="F207" s="1"/>
      <c r="I207" s="1"/>
      <c r="L207" s="1"/>
    </row>
    <row r="208">
      <c r="C208" s="1"/>
      <c r="F208" s="1"/>
      <c r="I208" s="1"/>
      <c r="L208" s="1"/>
    </row>
    <row r="209">
      <c r="C209" s="1"/>
      <c r="F209" s="1"/>
      <c r="I209" s="1"/>
      <c r="L209" s="1"/>
    </row>
    <row r="210">
      <c r="C210" s="1"/>
      <c r="F210" s="1"/>
      <c r="I210" s="1"/>
      <c r="L210" s="1"/>
    </row>
    <row r="211">
      <c r="C211" s="1"/>
      <c r="F211" s="1"/>
      <c r="I211" s="1"/>
      <c r="L211" s="1"/>
    </row>
    <row r="212">
      <c r="C212" s="1"/>
      <c r="F212" s="1"/>
      <c r="I212" s="1"/>
      <c r="L212" s="1"/>
    </row>
    <row r="213">
      <c r="C213" s="1"/>
      <c r="F213" s="1"/>
      <c r="I213" s="1"/>
      <c r="L213" s="1"/>
    </row>
    <row r="214">
      <c r="C214" s="1"/>
      <c r="F214" s="1"/>
      <c r="I214" s="1"/>
      <c r="L214" s="1"/>
    </row>
    <row r="215">
      <c r="C215" s="1"/>
      <c r="F215" s="1"/>
      <c r="I215" s="1"/>
      <c r="L215" s="1"/>
    </row>
    <row r="216">
      <c r="C216" s="1"/>
      <c r="F216" s="1"/>
      <c r="I216" s="1"/>
      <c r="L216" s="1"/>
    </row>
    <row r="217">
      <c r="C217" s="1"/>
      <c r="F217" s="1"/>
      <c r="I217" s="1"/>
      <c r="L217" s="1"/>
    </row>
    <row r="218">
      <c r="C218" s="1"/>
      <c r="F218" s="1"/>
      <c r="I218" s="1"/>
      <c r="L218" s="1"/>
    </row>
    <row r="219">
      <c r="C219" s="1"/>
      <c r="F219" s="1"/>
      <c r="I219" s="1"/>
      <c r="L219" s="1"/>
    </row>
    <row r="220">
      <c r="C220" s="1"/>
      <c r="F220" s="1"/>
      <c r="I220" s="1"/>
      <c r="L220" s="1"/>
    </row>
    <row r="221">
      <c r="C221" s="1"/>
      <c r="F221" s="1"/>
      <c r="I221" s="1"/>
      <c r="L221" s="1"/>
    </row>
    <row r="222">
      <c r="C222" s="1"/>
      <c r="F222" s="1"/>
      <c r="I222" s="1"/>
      <c r="L222" s="1"/>
    </row>
    <row r="223">
      <c r="C223" s="1"/>
      <c r="F223" s="1"/>
      <c r="I223" s="1"/>
      <c r="L223" s="1"/>
    </row>
    <row r="224">
      <c r="C224" s="1"/>
      <c r="F224" s="1"/>
      <c r="I224" s="1"/>
      <c r="L224" s="1"/>
    </row>
    <row r="225">
      <c r="C225" s="1"/>
      <c r="F225" s="1"/>
      <c r="I225" s="1"/>
      <c r="L225" s="1"/>
    </row>
    <row r="226">
      <c r="C226" s="1"/>
      <c r="F226" s="1"/>
      <c r="I226" s="1"/>
      <c r="L226" s="1"/>
    </row>
    <row r="227">
      <c r="C227" s="1"/>
      <c r="F227" s="1"/>
      <c r="I227" s="1"/>
      <c r="L227" s="1"/>
    </row>
    <row r="228">
      <c r="C228" s="1"/>
      <c r="F228" s="1"/>
      <c r="I228" s="1"/>
      <c r="L228" s="1"/>
    </row>
    <row r="229">
      <c r="C229" s="1"/>
      <c r="F229" s="1"/>
      <c r="I229" s="1"/>
      <c r="L229" s="1"/>
    </row>
    <row r="230">
      <c r="C230" s="1"/>
      <c r="F230" s="1"/>
      <c r="I230" s="1"/>
      <c r="L230" s="1"/>
    </row>
    <row r="231">
      <c r="C231" s="1"/>
      <c r="F231" s="1"/>
      <c r="I231" s="1"/>
      <c r="L231" s="1"/>
    </row>
    <row r="232">
      <c r="C232" s="1"/>
      <c r="F232" s="1"/>
      <c r="I232" s="1"/>
      <c r="L232" s="1"/>
    </row>
    <row r="233">
      <c r="C233" s="1"/>
      <c r="F233" s="1"/>
      <c r="I233" s="1"/>
      <c r="L233" s="1"/>
    </row>
    <row r="234">
      <c r="C234" s="1"/>
      <c r="F234" s="1"/>
      <c r="I234" s="1"/>
      <c r="L234" s="1"/>
    </row>
    <row r="235">
      <c r="C235" s="1"/>
      <c r="F235" s="1"/>
      <c r="I235" s="1"/>
      <c r="L235" s="1"/>
    </row>
    <row r="236">
      <c r="C236" s="1"/>
      <c r="F236" s="1"/>
      <c r="I236" s="1"/>
      <c r="L236" s="1"/>
    </row>
    <row r="237">
      <c r="C237" s="1"/>
      <c r="F237" s="1"/>
      <c r="I237" s="1"/>
      <c r="L237" s="1"/>
    </row>
    <row r="238">
      <c r="C238" s="1"/>
      <c r="F238" s="1"/>
      <c r="I238" s="1"/>
      <c r="L238" s="1"/>
    </row>
    <row r="239">
      <c r="C239" s="1"/>
      <c r="F239" s="1"/>
      <c r="I239" s="1"/>
      <c r="L239" s="1"/>
    </row>
    <row r="240">
      <c r="C240" s="1"/>
      <c r="F240" s="1"/>
      <c r="I240" s="1"/>
      <c r="L240" s="1"/>
    </row>
    <row r="241">
      <c r="C241" s="1"/>
      <c r="F241" s="1"/>
      <c r="I241" s="1"/>
      <c r="L241" s="1"/>
    </row>
    <row r="242">
      <c r="C242" s="1"/>
      <c r="F242" s="1"/>
      <c r="I242" s="1"/>
      <c r="L242" s="1"/>
    </row>
    <row r="243">
      <c r="C243" s="1"/>
      <c r="F243" s="1"/>
      <c r="I243" s="1"/>
      <c r="L243" s="1"/>
    </row>
    <row r="244">
      <c r="C244" s="1"/>
      <c r="F244" s="1"/>
      <c r="I244" s="1"/>
      <c r="L244" s="1"/>
    </row>
    <row r="245">
      <c r="C245" s="1"/>
      <c r="F245" s="1"/>
      <c r="I245" s="1"/>
      <c r="L245" s="1"/>
    </row>
    <row r="246">
      <c r="C246" s="1"/>
      <c r="F246" s="1"/>
      <c r="I246" s="1"/>
      <c r="L246" s="1"/>
    </row>
    <row r="247">
      <c r="C247" s="1"/>
      <c r="F247" s="1"/>
      <c r="I247" s="1"/>
      <c r="L247" s="1"/>
    </row>
    <row r="248">
      <c r="C248" s="1"/>
      <c r="F248" s="1"/>
      <c r="I248" s="1"/>
      <c r="L248" s="1"/>
    </row>
    <row r="249">
      <c r="C249" s="1"/>
      <c r="F249" s="1"/>
      <c r="I249" s="1"/>
      <c r="L249" s="1"/>
    </row>
    <row r="250">
      <c r="C250" s="1"/>
      <c r="F250" s="1"/>
      <c r="I250" s="1"/>
      <c r="L250" s="1"/>
    </row>
    <row r="251">
      <c r="C251" s="1"/>
      <c r="F251" s="1"/>
      <c r="I251" s="1"/>
      <c r="L251" s="1"/>
    </row>
    <row r="252">
      <c r="C252" s="1"/>
      <c r="F252" s="1"/>
      <c r="I252" s="1"/>
      <c r="L252" s="1"/>
    </row>
    <row r="253">
      <c r="C253" s="1"/>
      <c r="F253" s="1"/>
      <c r="I253" s="1"/>
      <c r="L253" s="1"/>
    </row>
    <row r="254">
      <c r="C254" s="1"/>
      <c r="F254" s="1"/>
      <c r="I254" s="1"/>
      <c r="L254" s="1"/>
    </row>
    <row r="255">
      <c r="C255" s="1"/>
      <c r="F255" s="1"/>
      <c r="I255" s="1"/>
      <c r="L255" s="1"/>
    </row>
    <row r="256">
      <c r="C256" s="1"/>
      <c r="F256" s="1"/>
      <c r="I256" s="1"/>
      <c r="L256" s="1"/>
    </row>
    <row r="257">
      <c r="C257" s="1"/>
      <c r="F257" s="1"/>
      <c r="I257" s="1"/>
      <c r="L257" s="1"/>
    </row>
    <row r="258">
      <c r="C258" s="1"/>
      <c r="F258" s="1"/>
      <c r="I258" s="1"/>
      <c r="L258" s="1"/>
    </row>
    <row r="259">
      <c r="C259" s="1"/>
      <c r="F259" s="1"/>
      <c r="I259" s="1"/>
      <c r="L259" s="1"/>
    </row>
    <row r="260">
      <c r="C260" s="1"/>
      <c r="F260" s="1"/>
      <c r="I260" s="1"/>
      <c r="L260" s="1"/>
    </row>
    <row r="261">
      <c r="C261" s="1"/>
      <c r="F261" s="1"/>
      <c r="I261" s="1"/>
      <c r="L261" s="1"/>
    </row>
    <row r="262">
      <c r="C262" s="1"/>
      <c r="F262" s="1"/>
      <c r="I262" s="1"/>
      <c r="L262" s="1"/>
    </row>
    <row r="263">
      <c r="C263" s="1"/>
      <c r="F263" s="1"/>
      <c r="I263" s="1"/>
      <c r="L263" s="1"/>
    </row>
    <row r="264">
      <c r="C264" s="1"/>
      <c r="F264" s="1"/>
      <c r="I264" s="1"/>
      <c r="L264" s="1"/>
    </row>
    <row r="265">
      <c r="C265" s="1"/>
      <c r="F265" s="1"/>
      <c r="I265" s="1"/>
      <c r="L265" s="1"/>
    </row>
    <row r="266">
      <c r="C266" s="1"/>
      <c r="F266" s="1"/>
      <c r="I266" s="1"/>
      <c r="L266" s="1"/>
    </row>
    <row r="267">
      <c r="C267" s="1"/>
      <c r="F267" s="1"/>
      <c r="I267" s="1"/>
      <c r="L267" s="1"/>
    </row>
    <row r="268">
      <c r="C268" s="1"/>
      <c r="F268" s="1"/>
      <c r="I268" s="1"/>
      <c r="L268" s="1"/>
    </row>
    <row r="269">
      <c r="C269" s="1"/>
      <c r="F269" s="1"/>
      <c r="I269" s="1"/>
      <c r="L269" s="1"/>
    </row>
    <row r="270">
      <c r="C270" s="1"/>
      <c r="F270" s="1"/>
      <c r="I270" s="1"/>
      <c r="L270" s="1"/>
    </row>
    <row r="271">
      <c r="C271" s="1"/>
      <c r="F271" s="1"/>
      <c r="I271" s="1"/>
      <c r="L271" s="1"/>
    </row>
    <row r="272">
      <c r="C272" s="1"/>
      <c r="F272" s="1"/>
      <c r="I272" s="1"/>
      <c r="L272" s="1"/>
    </row>
    <row r="273">
      <c r="C273" s="1"/>
      <c r="F273" s="1"/>
      <c r="I273" s="1"/>
      <c r="L273" s="1"/>
    </row>
    <row r="274">
      <c r="C274" s="1"/>
      <c r="F274" s="1"/>
      <c r="I274" s="1"/>
      <c r="L274" s="1"/>
    </row>
    <row r="275">
      <c r="C275" s="1"/>
      <c r="F275" s="1"/>
      <c r="I275" s="1"/>
      <c r="L275" s="1"/>
    </row>
    <row r="276">
      <c r="C276" s="1"/>
      <c r="F276" s="1"/>
      <c r="I276" s="1"/>
      <c r="L276" s="1"/>
    </row>
    <row r="277">
      <c r="C277" s="1"/>
      <c r="F277" s="1"/>
      <c r="I277" s="1"/>
      <c r="L277" s="1"/>
    </row>
    <row r="278">
      <c r="C278" s="1"/>
      <c r="F278" s="1"/>
      <c r="I278" s="1"/>
      <c r="L278" s="1"/>
    </row>
    <row r="279">
      <c r="C279" s="1"/>
      <c r="F279" s="1"/>
      <c r="I279" s="1"/>
      <c r="L279" s="1"/>
    </row>
    <row r="280">
      <c r="C280" s="1"/>
      <c r="F280" s="1"/>
      <c r="I280" s="1"/>
      <c r="L280" s="1"/>
    </row>
    <row r="281">
      <c r="C281" s="1"/>
      <c r="F281" s="1"/>
      <c r="I281" s="1"/>
      <c r="L281" s="1"/>
    </row>
    <row r="282">
      <c r="C282" s="1"/>
      <c r="F282" s="1"/>
      <c r="I282" s="1"/>
      <c r="L282" s="1"/>
    </row>
    <row r="283">
      <c r="C283" s="1"/>
      <c r="F283" s="1"/>
      <c r="I283" s="1"/>
      <c r="L283" s="1"/>
    </row>
    <row r="284">
      <c r="C284" s="1"/>
      <c r="F284" s="1"/>
      <c r="I284" s="1"/>
      <c r="L284" s="1"/>
    </row>
    <row r="285">
      <c r="C285" s="1"/>
      <c r="F285" s="1"/>
      <c r="I285" s="1"/>
      <c r="L285" s="1"/>
    </row>
    <row r="286">
      <c r="C286" s="1"/>
      <c r="F286" s="1"/>
      <c r="I286" s="1"/>
      <c r="L286" s="1"/>
    </row>
    <row r="287">
      <c r="C287" s="1"/>
      <c r="F287" s="1"/>
      <c r="I287" s="1"/>
      <c r="L287" s="1"/>
    </row>
    <row r="288">
      <c r="C288" s="1"/>
      <c r="F288" s="1"/>
      <c r="I288" s="1"/>
      <c r="L288" s="1"/>
    </row>
    <row r="289">
      <c r="C289" s="1"/>
      <c r="F289" s="1"/>
      <c r="I289" s="1"/>
      <c r="L289" s="1"/>
    </row>
    <row r="290">
      <c r="C290" s="1"/>
      <c r="F290" s="1"/>
      <c r="I290" s="1"/>
      <c r="L290" s="1"/>
    </row>
    <row r="291">
      <c r="C291" s="1"/>
      <c r="F291" s="1"/>
      <c r="I291" s="1"/>
      <c r="L291" s="1"/>
    </row>
    <row r="292">
      <c r="C292" s="1"/>
      <c r="F292" s="1"/>
      <c r="I292" s="1"/>
      <c r="L292" s="1"/>
    </row>
    <row r="293">
      <c r="C293" s="1"/>
      <c r="F293" s="1"/>
      <c r="I293" s="1"/>
      <c r="L293" s="1"/>
    </row>
    <row r="294">
      <c r="C294" s="1"/>
      <c r="F294" s="1"/>
      <c r="I294" s="1"/>
      <c r="L294" s="1"/>
    </row>
    <row r="295">
      <c r="C295" s="1"/>
      <c r="F295" s="1"/>
      <c r="I295" s="1"/>
      <c r="L295" s="1"/>
    </row>
    <row r="296">
      <c r="C296" s="1"/>
      <c r="F296" s="1"/>
      <c r="I296" s="1"/>
      <c r="L296" s="1"/>
    </row>
    <row r="297">
      <c r="C297" s="1"/>
      <c r="F297" s="1"/>
      <c r="I297" s="1"/>
      <c r="L297" s="1"/>
    </row>
    <row r="298">
      <c r="C298" s="1"/>
      <c r="F298" s="1"/>
      <c r="I298" s="1"/>
      <c r="L298" s="1"/>
    </row>
    <row r="299">
      <c r="C299" s="1"/>
      <c r="F299" s="1"/>
      <c r="I299" s="1"/>
      <c r="L299" s="1"/>
    </row>
    <row r="300">
      <c r="C300" s="1"/>
      <c r="F300" s="1"/>
      <c r="I300" s="1"/>
      <c r="L300" s="1"/>
    </row>
    <row r="301">
      <c r="C301" s="1"/>
      <c r="F301" s="1"/>
      <c r="I301" s="1"/>
      <c r="L301" s="1"/>
    </row>
    <row r="302">
      <c r="C302" s="1"/>
      <c r="F302" s="1"/>
      <c r="I302" s="1"/>
      <c r="L302" s="1"/>
    </row>
    <row r="303">
      <c r="C303" s="1"/>
      <c r="F303" s="1"/>
      <c r="I303" s="1"/>
      <c r="L303" s="1"/>
    </row>
    <row r="304">
      <c r="C304" s="1"/>
      <c r="F304" s="1"/>
      <c r="I304" s="1"/>
      <c r="L304" s="1"/>
    </row>
    <row r="305">
      <c r="C305" s="1"/>
      <c r="F305" s="1"/>
      <c r="I305" s="1"/>
      <c r="L305" s="1"/>
    </row>
    <row r="306">
      <c r="C306" s="1"/>
      <c r="F306" s="1"/>
      <c r="I306" s="1"/>
      <c r="L306" s="1"/>
    </row>
    <row r="307">
      <c r="C307" s="1"/>
      <c r="F307" s="1"/>
      <c r="I307" s="1"/>
      <c r="L307" s="1"/>
    </row>
    <row r="308">
      <c r="C308" s="1"/>
      <c r="F308" s="1"/>
      <c r="I308" s="1"/>
      <c r="L308" s="1"/>
    </row>
    <row r="309">
      <c r="C309" s="1"/>
      <c r="F309" s="1"/>
      <c r="I309" s="1"/>
      <c r="L309" s="1"/>
    </row>
    <row r="310">
      <c r="C310" s="1"/>
      <c r="F310" s="1"/>
      <c r="I310" s="1"/>
      <c r="L310" s="1"/>
    </row>
    <row r="311">
      <c r="C311" s="1"/>
      <c r="F311" s="1"/>
      <c r="I311" s="1"/>
      <c r="L311" s="1"/>
    </row>
    <row r="312">
      <c r="C312" s="1"/>
      <c r="F312" s="1"/>
      <c r="I312" s="1"/>
      <c r="L312" s="1"/>
    </row>
    <row r="313">
      <c r="C313" s="1"/>
      <c r="F313" s="1"/>
      <c r="I313" s="1"/>
      <c r="L313" s="1"/>
    </row>
    <row r="314">
      <c r="C314" s="1"/>
      <c r="F314" s="1"/>
      <c r="I314" s="1"/>
      <c r="L314" s="1"/>
    </row>
    <row r="315">
      <c r="C315" s="1"/>
      <c r="F315" s="1"/>
      <c r="I315" s="1"/>
      <c r="L315" s="1"/>
    </row>
    <row r="316">
      <c r="C316" s="1"/>
      <c r="F316" s="1"/>
      <c r="I316" s="1"/>
      <c r="L316" s="1"/>
    </row>
    <row r="317">
      <c r="C317" s="1"/>
      <c r="F317" s="1"/>
      <c r="I317" s="1"/>
      <c r="L317" s="1"/>
    </row>
    <row r="318">
      <c r="C318" s="1"/>
      <c r="F318" s="1"/>
      <c r="I318" s="1"/>
      <c r="L318" s="1"/>
    </row>
    <row r="319">
      <c r="C319" s="1"/>
      <c r="F319" s="1"/>
      <c r="I319" s="1"/>
      <c r="L319" s="1"/>
    </row>
    <row r="320">
      <c r="C320" s="1"/>
      <c r="F320" s="1"/>
      <c r="I320" s="1"/>
      <c r="L320" s="1"/>
    </row>
    <row r="321">
      <c r="C321" s="1"/>
      <c r="F321" s="1"/>
      <c r="I321" s="1"/>
      <c r="L321" s="1"/>
    </row>
    <row r="322">
      <c r="C322" s="1"/>
      <c r="F322" s="1"/>
      <c r="I322" s="1"/>
      <c r="L322" s="1"/>
    </row>
    <row r="323">
      <c r="C323" s="1"/>
      <c r="F323" s="1"/>
      <c r="I323" s="1"/>
      <c r="L323" s="1"/>
    </row>
    <row r="324">
      <c r="C324" s="1"/>
      <c r="F324" s="1"/>
      <c r="I324" s="1"/>
      <c r="L324" s="1"/>
    </row>
    <row r="325">
      <c r="C325" s="1"/>
      <c r="F325" s="1"/>
      <c r="I325" s="1"/>
      <c r="L325" s="1"/>
    </row>
    <row r="326">
      <c r="C326" s="1"/>
      <c r="F326" s="1"/>
      <c r="I326" s="1"/>
      <c r="L326" s="1"/>
    </row>
    <row r="327">
      <c r="C327" s="1"/>
      <c r="F327" s="1"/>
      <c r="I327" s="1"/>
      <c r="L327" s="1"/>
    </row>
    <row r="328">
      <c r="C328" s="1"/>
      <c r="F328" s="1"/>
      <c r="I328" s="1"/>
      <c r="L328" s="1"/>
    </row>
    <row r="329">
      <c r="C329" s="1"/>
      <c r="F329" s="1"/>
      <c r="I329" s="1"/>
      <c r="L329" s="1"/>
    </row>
    <row r="330">
      <c r="C330" s="1"/>
      <c r="F330" s="1"/>
      <c r="I330" s="1"/>
      <c r="L330" s="1"/>
    </row>
    <row r="331">
      <c r="C331" s="1"/>
      <c r="F331" s="1"/>
      <c r="I331" s="1"/>
      <c r="L331" s="1"/>
    </row>
    <row r="332">
      <c r="C332" s="1"/>
      <c r="F332" s="1"/>
      <c r="I332" s="1"/>
      <c r="L332" s="1"/>
    </row>
    <row r="333">
      <c r="C333" s="1"/>
      <c r="F333" s="1"/>
      <c r="I333" s="1"/>
      <c r="L333" s="1"/>
    </row>
    <row r="334">
      <c r="C334" s="1"/>
      <c r="F334" s="1"/>
      <c r="I334" s="1"/>
      <c r="L334" s="1"/>
    </row>
    <row r="335">
      <c r="C335" s="1"/>
      <c r="F335" s="1"/>
      <c r="I335" s="1"/>
      <c r="L335" s="1"/>
    </row>
    <row r="336">
      <c r="C336" s="1"/>
      <c r="F336" s="1"/>
      <c r="I336" s="1"/>
      <c r="L336" s="1"/>
    </row>
    <row r="337">
      <c r="C337" s="1"/>
      <c r="F337" s="1"/>
      <c r="I337" s="1"/>
      <c r="L337" s="1"/>
    </row>
    <row r="338">
      <c r="C338" s="1"/>
      <c r="F338" s="1"/>
      <c r="I338" s="1"/>
      <c r="L338" s="1"/>
    </row>
    <row r="339">
      <c r="C339" s="1"/>
      <c r="F339" s="1"/>
      <c r="I339" s="1"/>
      <c r="L339" s="1"/>
    </row>
    <row r="340">
      <c r="C340" s="1"/>
      <c r="F340" s="1"/>
      <c r="I340" s="1"/>
      <c r="L340" s="1"/>
    </row>
    <row r="341">
      <c r="C341" s="1"/>
      <c r="F341" s="1"/>
      <c r="I341" s="1"/>
      <c r="L341" s="1"/>
    </row>
    <row r="342">
      <c r="C342" s="1"/>
      <c r="F342" s="1"/>
      <c r="I342" s="1"/>
      <c r="L342" s="1"/>
    </row>
    <row r="343">
      <c r="C343" s="1"/>
      <c r="F343" s="1"/>
      <c r="I343" s="1"/>
      <c r="L343" s="1"/>
    </row>
    <row r="344">
      <c r="C344" s="1"/>
      <c r="F344" s="1"/>
      <c r="I344" s="1"/>
      <c r="L344" s="1"/>
    </row>
    <row r="345">
      <c r="C345" s="1"/>
      <c r="F345" s="1"/>
      <c r="I345" s="1"/>
      <c r="L345" s="1"/>
    </row>
    <row r="346">
      <c r="C346" s="1"/>
      <c r="F346" s="1"/>
      <c r="I346" s="1"/>
      <c r="L346" s="1"/>
    </row>
    <row r="347">
      <c r="C347" s="1"/>
      <c r="F347" s="1"/>
      <c r="I347" s="1"/>
      <c r="L347" s="1"/>
    </row>
    <row r="348">
      <c r="C348" s="1"/>
      <c r="F348" s="1"/>
      <c r="I348" s="1"/>
      <c r="L348" s="1"/>
    </row>
    <row r="349">
      <c r="C349" s="1"/>
      <c r="F349" s="1"/>
      <c r="I349" s="1"/>
      <c r="L349" s="1"/>
    </row>
    <row r="350">
      <c r="C350" s="1"/>
      <c r="F350" s="1"/>
      <c r="I350" s="1"/>
      <c r="L350" s="1"/>
    </row>
    <row r="351">
      <c r="C351" s="1"/>
      <c r="F351" s="1"/>
      <c r="I351" s="1"/>
      <c r="L351" s="1"/>
    </row>
    <row r="352">
      <c r="C352" s="1"/>
      <c r="F352" s="1"/>
      <c r="I352" s="1"/>
      <c r="L352" s="1"/>
    </row>
    <row r="353">
      <c r="C353" s="1"/>
      <c r="F353" s="1"/>
      <c r="I353" s="1"/>
      <c r="L353" s="1"/>
    </row>
    <row r="354">
      <c r="C354" s="1"/>
      <c r="F354" s="1"/>
      <c r="I354" s="1"/>
      <c r="L354" s="1"/>
    </row>
    <row r="355">
      <c r="C355" s="1"/>
      <c r="F355" s="1"/>
      <c r="I355" s="1"/>
      <c r="L355" s="1"/>
    </row>
    <row r="356">
      <c r="C356" s="1"/>
      <c r="F356" s="1"/>
      <c r="I356" s="1"/>
      <c r="L356" s="1"/>
    </row>
    <row r="357">
      <c r="C357" s="1"/>
      <c r="F357" s="1"/>
      <c r="I357" s="1"/>
      <c r="L357" s="1"/>
    </row>
    <row r="358">
      <c r="C358" s="1"/>
      <c r="F358" s="1"/>
      <c r="I358" s="1"/>
      <c r="L358" s="1"/>
    </row>
    <row r="359">
      <c r="C359" s="1"/>
      <c r="F359" s="1"/>
      <c r="I359" s="1"/>
      <c r="L359" s="1"/>
    </row>
    <row r="360">
      <c r="C360" s="1"/>
      <c r="F360" s="1"/>
      <c r="I360" s="1"/>
      <c r="L360" s="1"/>
    </row>
    <row r="361">
      <c r="C361" s="1"/>
      <c r="F361" s="1"/>
      <c r="I361" s="1"/>
      <c r="L361" s="1"/>
    </row>
    <row r="362">
      <c r="C362" s="1"/>
      <c r="F362" s="1"/>
      <c r="I362" s="1"/>
      <c r="L362" s="1"/>
    </row>
    <row r="363">
      <c r="C363" s="1"/>
      <c r="F363" s="1"/>
      <c r="I363" s="1"/>
      <c r="L363" s="1"/>
    </row>
    <row r="364">
      <c r="C364" s="1"/>
      <c r="F364" s="1"/>
      <c r="I364" s="1"/>
      <c r="L364" s="1"/>
    </row>
    <row r="365">
      <c r="C365" s="1"/>
      <c r="F365" s="1"/>
      <c r="I365" s="1"/>
      <c r="L365" s="1"/>
    </row>
    <row r="366">
      <c r="C366" s="1"/>
      <c r="F366" s="1"/>
      <c r="I366" s="1"/>
      <c r="L366" s="1"/>
    </row>
    <row r="367">
      <c r="C367" s="1"/>
      <c r="F367" s="1"/>
      <c r="I367" s="1"/>
      <c r="L367" s="1"/>
    </row>
    <row r="368">
      <c r="C368" s="1"/>
      <c r="F368" s="1"/>
      <c r="I368" s="1"/>
      <c r="L368" s="1"/>
    </row>
    <row r="369">
      <c r="C369" s="1"/>
      <c r="F369" s="1"/>
      <c r="I369" s="1"/>
      <c r="L369" s="1"/>
    </row>
    <row r="370">
      <c r="C370" s="1"/>
      <c r="F370" s="1"/>
      <c r="I370" s="1"/>
      <c r="L370" s="1"/>
    </row>
    <row r="371">
      <c r="C371" s="1"/>
      <c r="F371" s="1"/>
      <c r="I371" s="1"/>
      <c r="L371" s="1"/>
    </row>
    <row r="372">
      <c r="C372" s="1"/>
      <c r="F372" s="1"/>
      <c r="I372" s="1"/>
      <c r="L372" s="1"/>
    </row>
    <row r="373">
      <c r="C373" s="1"/>
      <c r="F373" s="1"/>
      <c r="I373" s="1"/>
      <c r="L373" s="1"/>
    </row>
    <row r="374">
      <c r="C374" s="1"/>
      <c r="F374" s="1"/>
      <c r="I374" s="1"/>
      <c r="L374" s="1"/>
    </row>
    <row r="375">
      <c r="C375" s="1"/>
      <c r="F375" s="1"/>
      <c r="I375" s="1"/>
      <c r="L375" s="1"/>
    </row>
    <row r="376">
      <c r="C376" s="1"/>
      <c r="F376" s="1"/>
      <c r="I376" s="1"/>
      <c r="L376" s="1"/>
    </row>
    <row r="377">
      <c r="C377" s="1"/>
      <c r="F377" s="1"/>
      <c r="I377" s="1"/>
      <c r="L377" s="1"/>
    </row>
    <row r="378">
      <c r="C378" s="1"/>
      <c r="F378" s="1"/>
      <c r="I378" s="1"/>
      <c r="L378" s="1"/>
    </row>
    <row r="379">
      <c r="C379" s="1"/>
      <c r="F379" s="1"/>
      <c r="I379" s="1"/>
      <c r="L379" s="1"/>
    </row>
    <row r="380">
      <c r="C380" s="1"/>
      <c r="F380" s="1"/>
      <c r="I380" s="1"/>
      <c r="L380" s="1"/>
    </row>
    <row r="381">
      <c r="C381" s="1"/>
      <c r="F381" s="1"/>
      <c r="I381" s="1"/>
      <c r="L381" s="1"/>
    </row>
    <row r="382">
      <c r="C382" s="1"/>
      <c r="F382" s="1"/>
      <c r="I382" s="1"/>
      <c r="L382" s="1"/>
    </row>
    <row r="383">
      <c r="C383" s="1"/>
      <c r="F383" s="1"/>
      <c r="I383" s="1"/>
      <c r="L383" s="1"/>
    </row>
    <row r="384">
      <c r="C384" s="1"/>
      <c r="F384" s="1"/>
      <c r="I384" s="1"/>
      <c r="L384" s="1"/>
    </row>
    <row r="385">
      <c r="C385" s="1"/>
      <c r="F385" s="1"/>
      <c r="I385" s="1"/>
      <c r="L385" s="1"/>
    </row>
    <row r="386">
      <c r="C386" s="1"/>
      <c r="F386" s="1"/>
      <c r="I386" s="1"/>
      <c r="L386" s="1"/>
    </row>
    <row r="387">
      <c r="C387" s="1"/>
      <c r="F387" s="1"/>
      <c r="I387" s="1"/>
      <c r="L387" s="1"/>
    </row>
    <row r="388">
      <c r="C388" s="1"/>
      <c r="F388" s="1"/>
      <c r="I388" s="1"/>
      <c r="L388" s="1"/>
    </row>
    <row r="389">
      <c r="C389" s="1"/>
      <c r="F389" s="1"/>
      <c r="I389" s="1"/>
      <c r="L389" s="1"/>
    </row>
    <row r="390">
      <c r="C390" s="1"/>
      <c r="F390" s="1"/>
      <c r="I390" s="1"/>
      <c r="L390" s="1"/>
    </row>
    <row r="391">
      <c r="C391" s="1"/>
      <c r="F391" s="1"/>
      <c r="I391" s="1"/>
      <c r="L391" s="1"/>
    </row>
    <row r="392">
      <c r="C392" s="1"/>
      <c r="F392" s="1"/>
      <c r="I392" s="1"/>
      <c r="L392" s="1"/>
    </row>
    <row r="393">
      <c r="C393" s="1"/>
      <c r="F393" s="1"/>
      <c r="I393" s="1"/>
      <c r="L393" s="1"/>
    </row>
    <row r="394">
      <c r="C394" s="1"/>
      <c r="F394" s="1"/>
      <c r="I394" s="1"/>
      <c r="L394" s="1"/>
    </row>
    <row r="395">
      <c r="C395" s="1"/>
      <c r="F395" s="1"/>
      <c r="I395" s="1"/>
      <c r="L395" s="1"/>
    </row>
    <row r="396">
      <c r="C396" s="1"/>
      <c r="F396" s="1"/>
      <c r="I396" s="1"/>
      <c r="L396" s="1"/>
    </row>
    <row r="397">
      <c r="C397" s="1"/>
      <c r="F397" s="1"/>
      <c r="I397" s="1"/>
      <c r="L397" s="1"/>
    </row>
    <row r="398">
      <c r="C398" s="1"/>
      <c r="F398" s="1"/>
      <c r="I398" s="1"/>
      <c r="L398" s="1"/>
    </row>
    <row r="399">
      <c r="C399" s="1"/>
      <c r="F399" s="1"/>
      <c r="I399" s="1"/>
      <c r="L399" s="1"/>
    </row>
    <row r="400">
      <c r="C400" s="1"/>
      <c r="F400" s="1"/>
      <c r="I400" s="1"/>
      <c r="L400" s="1"/>
    </row>
    <row r="401">
      <c r="C401" s="1"/>
      <c r="F401" s="1"/>
      <c r="I401" s="1"/>
      <c r="L401" s="1"/>
    </row>
    <row r="402">
      <c r="C402" s="1"/>
      <c r="F402" s="1"/>
      <c r="I402" s="1"/>
      <c r="L402" s="1"/>
    </row>
    <row r="403">
      <c r="C403" s="1"/>
      <c r="F403" s="1"/>
      <c r="I403" s="1"/>
      <c r="L403" s="1"/>
    </row>
    <row r="404">
      <c r="C404" s="1"/>
      <c r="F404" s="1"/>
      <c r="I404" s="1"/>
      <c r="L404" s="1"/>
    </row>
    <row r="405">
      <c r="C405" s="1"/>
      <c r="F405" s="1"/>
      <c r="I405" s="1"/>
      <c r="L405" s="1"/>
    </row>
    <row r="406">
      <c r="C406" s="1"/>
      <c r="F406" s="1"/>
      <c r="I406" s="1"/>
      <c r="L406" s="1"/>
    </row>
    <row r="407">
      <c r="C407" s="1"/>
      <c r="F407" s="1"/>
      <c r="I407" s="1"/>
      <c r="L407" s="1"/>
    </row>
    <row r="408">
      <c r="C408" s="1"/>
      <c r="F408" s="1"/>
      <c r="I408" s="1"/>
      <c r="L408" s="1"/>
    </row>
    <row r="409">
      <c r="C409" s="1"/>
      <c r="F409" s="1"/>
      <c r="I409" s="1"/>
      <c r="L409" s="1"/>
    </row>
    <row r="410">
      <c r="C410" s="1"/>
      <c r="F410" s="1"/>
      <c r="I410" s="1"/>
      <c r="L410" s="1"/>
    </row>
    <row r="411">
      <c r="C411" s="1"/>
      <c r="F411" s="1"/>
      <c r="I411" s="1"/>
      <c r="L411" s="1"/>
    </row>
    <row r="412">
      <c r="C412" s="1"/>
      <c r="F412" s="1"/>
      <c r="I412" s="1"/>
      <c r="L412" s="1"/>
    </row>
    <row r="413">
      <c r="C413" s="1"/>
      <c r="F413" s="1"/>
      <c r="I413" s="1"/>
      <c r="L413" s="1"/>
    </row>
    <row r="414">
      <c r="C414" s="1"/>
      <c r="F414" s="1"/>
      <c r="I414" s="1"/>
      <c r="L414" s="1"/>
    </row>
    <row r="415">
      <c r="C415" s="1"/>
      <c r="F415" s="1"/>
      <c r="I415" s="1"/>
      <c r="L415" s="1"/>
    </row>
    <row r="416">
      <c r="C416" s="1"/>
      <c r="F416" s="1"/>
      <c r="I416" s="1"/>
      <c r="L416" s="1"/>
    </row>
    <row r="417">
      <c r="C417" s="1"/>
      <c r="F417" s="1"/>
      <c r="I417" s="1"/>
      <c r="L417" s="1"/>
    </row>
    <row r="418">
      <c r="C418" s="1"/>
      <c r="F418" s="1"/>
      <c r="I418" s="1"/>
      <c r="L418" s="1"/>
    </row>
    <row r="419">
      <c r="C419" s="1"/>
      <c r="F419" s="1"/>
      <c r="I419" s="1"/>
      <c r="L419" s="1"/>
    </row>
    <row r="420">
      <c r="C420" s="1"/>
      <c r="F420" s="1"/>
      <c r="I420" s="1"/>
      <c r="L420" s="1"/>
    </row>
    <row r="421">
      <c r="C421" s="1"/>
      <c r="F421" s="1"/>
      <c r="I421" s="1"/>
      <c r="L421" s="1"/>
    </row>
    <row r="422">
      <c r="C422" s="1"/>
      <c r="F422" s="1"/>
      <c r="I422" s="1"/>
      <c r="L422" s="1"/>
    </row>
    <row r="423">
      <c r="C423" s="1"/>
      <c r="F423" s="1"/>
      <c r="I423" s="1"/>
      <c r="L423" s="1"/>
    </row>
    <row r="424">
      <c r="C424" s="1"/>
      <c r="F424" s="1"/>
      <c r="I424" s="1"/>
      <c r="L424" s="1"/>
    </row>
    <row r="425">
      <c r="C425" s="1"/>
      <c r="F425" s="1"/>
      <c r="I425" s="1"/>
      <c r="L425" s="1"/>
    </row>
    <row r="426">
      <c r="C426" s="1"/>
      <c r="F426" s="1"/>
      <c r="I426" s="1"/>
      <c r="L426" s="1"/>
    </row>
    <row r="427">
      <c r="C427" s="1"/>
      <c r="F427" s="1"/>
      <c r="I427" s="1"/>
      <c r="L427" s="1"/>
    </row>
    <row r="428">
      <c r="C428" s="1"/>
      <c r="F428" s="1"/>
      <c r="I428" s="1"/>
      <c r="L428" s="1"/>
    </row>
    <row r="429">
      <c r="C429" s="1"/>
      <c r="F429" s="1"/>
      <c r="I429" s="1"/>
      <c r="L429" s="1"/>
    </row>
    <row r="430">
      <c r="C430" s="1"/>
      <c r="F430" s="1"/>
      <c r="I430" s="1"/>
      <c r="L430" s="1"/>
    </row>
    <row r="431">
      <c r="C431" s="1"/>
      <c r="F431" s="1"/>
      <c r="I431" s="1"/>
      <c r="L431" s="1"/>
    </row>
    <row r="432">
      <c r="C432" s="1"/>
      <c r="F432" s="1"/>
      <c r="I432" s="1"/>
      <c r="L432" s="1"/>
    </row>
    <row r="433">
      <c r="C433" s="1"/>
      <c r="F433" s="1"/>
      <c r="I433" s="1"/>
      <c r="L433" s="1"/>
    </row>
    <row r="434">
      <c r="C434" s="1"/>
      <c r="F434" s="1"/>
      <c r="I434" s="1"/>
      <c r="L434" s="1"/>
    </row>
    <row r="435">
      <c r="C435" s="1"/>
      <c r="F435" s="1"/>
      <c r="I435" s="1"/>
      <c r="L435" s="1"/>
    </row>
    <row r="436">
      <c r="C436" s="1"/>
      <c r="F436" s="1"/>
      <c r="I436" s="1"/>
      <c r="L436" s="1"/>
    </row>
    <row r="437">
      <c r="C437" s="1"/>
      <c r="F437" s="1"/>
      <c r="I437" s="1"/>
      <c r="L437" s="1"/>
    </row>
    <row r="438">
      <c r="C438" s="1"/>
      <c r="F438" s="1"/>
      <c r="I438" s="1"/>
      <c r="L438" s="1"/>
    </row>
    <row r="439">
      <c r="C439" s="1"/>
      <c r="F439" s="1"/>
      <c r="I439" s="1"/>
      <c r="L439" s="1"/>
    </row>
    <row r="440">
      <c r="C440" s="1"/>
      <c r="F440" s="1"/>
      <c r="I440" s="1"/>
      <c r="L440" s="1"/>
    </row>
    <row r="441">
      <c r="C441" s="1"/>
      <c r="F441" s="1"/>
      <c r="I441" s="1"/>
      <c r="L441" s="1"/>
    </row>
    <row r="442">
      <c r="C442" s="1"/>
      <c r="F442" s="1"/>
      <c r="I442" s="1"/>
      <c r="L442" s="1"/>
    </row>
    <row r="443">
      <c r="C443" s="1"/>
      <c r="F443" s="1"/>
      <c r="I443" s="1"/>
      <c r="L443" s="1"/>
    </row>
    <row r="444">
      <c r="C444" s="1"/>
      <c r="F444" s="1"/>
      <c r="I444" s="1"/>
      <c r="L444" s="1"/>
    </row>
    <row r="445">
      <c r="C445" s="1"/>
      <c r="F445" s="1"/>
      <c r="I445" s="1"/>
      <c r="L445" s="1"/>
    </row>
    <row r="446">
      <c r="C446" s="1"/>
      <c r="F446" s="1"/>
      <c r="I446" s="1"/>
      <c r="L446" s="1"/>
    </row>
    <row r="447">
      <c r="C447" s="1"/>
      <c r="F447" s="1"/>
      <c r="I447" s="1"/>
      <c r="L447" s="1"/>
    </row>
    <row r="448">
      <c r="C448" s="1"/>
      <c r="F448" s="1"/>
      <c r="I448" s="1"/>
      <c r="L448" s="1"/>
    </row>
    <row r="449">
      <c r="C449" s="1"/>
      <c r="F449" s="1"/>
      <c r="I449" s="1"/>
      <c r="L449" s="1"/>
    </row>
    <row r="450">
      <c r="C450" s="1"/>
      <c r="F450" s="1"/>
      <c r="I450" s="1"/>
      <c r="L450" s="1"/>
    </row>
    <row r="451">
      <c r="C451" s="1"/>
      <c r="F451" s="1"/>
      <c r="I451" s="1"/>
      <c r="L451" s="1"/>
    </row>
    <row r="452">
      <c r="C452" s="1"/>
      <c r="F452" s="1"/>
      <c r="I452" s="1"/>
      <c r="L452" s="1"/>
    </row>
    <row r="453">
      <c r="C453" s="1"/>
      <c r="F453" s="1"/>
      <c r="I453" s="1"/>
      <c r="L453" s="1"/>
    </row>
    <row r="454">
      <c r="C454" s="1"/>
      <c r="F454" s="1"/>
      <c r="I454" s="1"/>
      <c r="L454" s="1"/>
    </row>
    <row r="455">
      <c r="C455" s="1"/>
      <c r="F455" s="1"/>
      <c r="I455" s="1"/>
      <c r="L455" s="1"/>
    </row>
    <row r="456">
      <c r="C456" s="1"/>
      <c r="F456" s="1"/>
      <c r="I456" s="1"/>
      <c r="L456" s="1"/>
    </row>
    <row r="457">
      <c r="C457" s="1"/>
      <c r="F457" s="1"/>
      <c r="I457" s="1"/>
      <c r="L457" s="1"/>
    </row>
    <row r="458">
      <c r="C458" s="1"/>
      <c r="F458" s="1"/>
      <c r="I458" s="1"/>
      <c r="L458" s="1"/>
    </row>
    <row r="459">
      <c r="C459" s="1"/>
      <c r="F459" s="1"/>
      <c r="I459" s="1"/>
      <c r="L459" s="1"/>
    </row>
    <row r="460">
      <c r="C460" s="1"/>
      <c r="F460" s="1"/>
      <c r="I460" s="1"/>
      <c r="L460" s="1"/>
    </row>
    <row r="461">
      <c r="C461" s="1"/>
      <c r="F461" s="1"/>
      <c r="I461" s="1"/>
      <c r="L461" s="1"/>
    </row>
    <row r="462">
      <c r="C462" s="1"/>
      <c r="F462" s="1"/>
      <c r="I462" s="1"/>
      <c r="L462" s="1"/>
    </row>
    <row r="463">
      <c r="C463" s="1"/>
      <c r="F463" s="1"/>
      <c r="I463" s="1"/>
      <c r="L463" s="1"/>
    </row>
    <row r="464">
      <c r="C464" s="1"/>
      <c r="F464" s="1"/>
      <c r="I464" s="1"/>
      <c r="L464" s="1"/>
    </row>
    <row r="465">
      <c r="C465" s="1"/>
      <c r="F465" s="1"/>
      <c r="I465" s="1"/>
      <c r="L465" s="1"/>
    </row>
    <row r="466">
      <c r="C466" s="1"/>
      <c r="F466" s="1"/>
      <c r="I466" s="1"/>
      <c r="L466" s="1"/>
    </row>
    <row r="467">
      <c r="C467" s="1"/>
      <c r="F467" s="1"/>
      <c r="I467" s="1"/>
      <c r="L467" s="1"/>
    </row>
    <row r="468">
      <c r="C468" s="1"/>
      <c r="F468" s="1"/>
      <c r="I468" s="1"/>
      <c r="L468" s="1"/>
    </row>
    <row r="469">
      <c r="C469" s="1"/>
      <c r="F469" s="1"/>
      <c r="I469" s="1"/>
      <c r="L469" s="1"/>
    </row>
    <row r="470">
      <c r="C470" s="1"/>
      <c r="F470" s="1"/>
      <c r="I470" s="1"/>
      <c r="L470" s="1"/>
    </row>
    <row r="471">
      <c r="C471" s="1"/>
      <c r="F471" s="1"/>
      <c r="I471" s="1"/>
      <c r="L471" s="1"/>
    </row>
    <row r="472">
      <c r="C472" s="1"/>
      <c r="F472" s="1"/>
      <c r="I472" s="1"/>
      <c r="L472" s="1"/>
    </row>
    <row r="473">
      <c r="C473" s="1"/>
      <c r="F473" s="1"/>
      <c r="I473" s="1"/>
      <c r="L473" s="1"/>
    </row>
    <row r="474">
      <c r="C474" s="1"/>
      <c r="F474" s="1"/>
      <c r="I474" s="1"/>
      <c r="L474" s="1"/>
    </row>
    <row r="475">
      <c r="C475" s="1"/>
      <c r="F475" s="1"/>
      <c r="I475" s="1"/>
      <c r="L475" s="1"/>
    </row>
    <row r="476">
      <c r="C476" s="1"/>
      <c r="F476" s="1"/>
      <c r="I476" s="1"/>
      <c r="L476" s="1"/>
    </row>
    <row r="477">
      <c r="C477" s="1"/>
      <c r="F477" s="1"/>
      <c r="I477" s="1"/>
      <c r="L477" s="1"/>
    </row>
    <row r="478">
      <c r="C478" s="1"/>
      <c r="F478" s="1"/>
      <c r="I478" s="1"/>
      <c r="L478" s="1"/>
    </row>
    <row r="479">
      <c r="C479" s="1"/>
      <c r="F479" s="1"/>
      <c r="I479" s="1"/>
      <c r="L479" s="1"/>
    </row>
    <row r="480">
      <c r="C480" s="1"/>
      <c r="F480" s="1"/>
      <c r="I480" s="1"/>
      <c r="L480" s="1"/>
    </row>
    <row r="481">
      <c r="C481" s="1"/>
      <c r="F481" s="1"/>
      <c r="I481" s="1"/>
      <c r="L481" s="1"/>
    </row>
    <row r="482">
      <c r="C482" s="1"/>
      <c r="F482" s="1"/>
      <c r="I482" s="1"/>
      <c r="L482" s="1"/>
    </row>
    <row r="483">
      <c r="C483" s="1"/>
      <c r="F483" s="1"/>
      <c r="I483" s="1"/>
      <c r="L483" s="1"/>
    </row>
    <row r="484">
      <c r="C484" s="1"/>
      <c r="F484" s="1"/>
      <c r="I484" s="1"/>
      <c r="L484" s="1"/>
    </row>
    <row r="485">
      <c r="C485" s="1"/>
      <c r="F485" s="1"/>
      <c r="I485" s="1"/>
      <c r="L485" s="1"/>
    </row>
    <row r="486">
      <c r="C486" s="1"/>
      <c r="F486" s="1"/>
      <c r="I486" s="1"/>
      <c r="L486" s="1"/>
    </row>
    <row r="487">
      <c r="C487" s="1"/>
      <c r="F487" s="1"/>
      <c r="I487" s="1"/>
      <c r="L487" s="1"/>
    </row>
    <row r="488">
      <c r="C488" s="1"/>
      <c r="F488" s="1"/>
      <c r="I488" s="1"/>
      <c r="L488" s="1"/>
    </row>
    <row r="489">
      <c r="C489" s="1"/>
      <c r="F489" s="1"/>
      <c r="I489" s="1"/>
      <c r="L489" s="1"/>
    </row>
    <row r="490">
      <c r="C490" s="1"/>
      <c r="F490" s="1"/>
      <c r="I490" s="1"/>
      <c r="L490" s="1"/>
    </row>
    <row r="491">
      <c r="C491" s="1"/>
      <c r="F491" s="1"/>
      <c r="I491" s="1"/>
      <c r="L491" s="1"/>
    </row>
    <row r="492">
      <c r="C492" s="1"/>
      <c r="F492" s="1"/>
      <c r="I492" s="1"/>
      <c r="L492" s="1"/>
    </row>
    <row r="493">
      <c r="C493" s="1"/>
      <c r="F493" s="1"/>
      <c r="I493" s="1"/>
      <c r="L493" s="1"/>
    </row>
    <row r="494">
      <c r="C494" s="1"/>
      <c r="F494" s="1"/>
      <c r="I494" s="1"/>
      <c r="L494" s="1"/>
    </row>
    <row r="495">
      <c r="C495" s="1"/>
      <c r="F495" s="1"/>
      <c r="I495" s="1"/>
      <c r="L495" s="1"/>
    </row>
    <row r="496">
      <c r="C496" s="1"/>
      <c r="F496" s="1"/>
      <c r="I496" s="1"/>
      <c r="L496" s="1"/>
    </row>
    <row r="497">
      <c r="C497" s="1"/>
      <c r="F497" s="1"/>
      <c r="I497" s="1"/>
      <c r="L497" s="1"/>
    </row>
    <row r="498">
      <c r="C498" s="1"/>
      <c r="F498" s="1"/>
      <c r="I498" s="1"/>
      <c r="L498" s="1"/>
    </row>
    <row r="499">
      <c r="C499" s="1"/>
      <c r="F499" s="1"/>
      <c r="I499" s="1"/>
      <c r="L499" s="1"/>
    </row>
    <row r="500">
      <c r="C500" s="1"/>
      <c r="F500" s="1"/>
      <c r="I500" s="1"/>
      <c r="L500" s="1"/>
    </row>
    <row r="501">
      <c r="C501" s="1"/>
      <c r="F501" s="1"/>
      <c r="I501" s="1"/>
      <c r="L501" s="1"/>
    </row>
    <row r="502">
      <c r="C502" s="1"/>
      <c r="F502" s="1"/>
      <c r="I502" s="1"/>
      <c r="L502" s="1"/>
    </row>
    <row r="503">
      <c r="C503" s="1"/>
      <c r="F503" s="1"/>
      <c r="I503" s="1"/>
      <c r="L503" s="1"/>
    </row>
    <row r="504">
      <c r="C504" s="1"/>
      <c r="F504" s="1"/>
      <c r="I504" s="1"/>
      <c r="L504" s="1"/>
    </row>
    <row r="505">
      <c r="C505" s="1"/>
      <c r="F505" s="1"/>
      <c r="I505" s="1"/>
      <c r="L505" s="1"/>
    </row>
    <row r="506">
      <c r="C506" s="1"/>
      <c r="F506" s="1"/>
      <c r="I506" s="1"/>
      <c r="L506" s="1"/>
    </row>
    <row r="507">
      <c r="C507" s="1"/>
      <c r="F507" s="1"/>
      <c r="I507" s="1"/>
      <c r="L507" s="1"/>
    </row>
    <row r="508">
      <c r="C508" s="1"/>
      <c r="F508" s="1"/>
      <c r="I508" s="1"/>
      <c r="L508" s="1"/>
    </row>
    <row r="509">
      <c r="C509" s="1"/>
      <c r="F509" s="1"/>
      <c r="I509" s="1"/>
      <c r="L509" s="1"/>
    </row>
    <row r="510">
      <c r="C510" s="1"/>
      <c r="F510" s="1"/>
      <c r="I510" s="1"/>
      <c r="L510" s="1"/>
    </row>
    <row r="511">
      <c r="C511" s="1"/>
      <c r="F511" s="1"/>
      <c r="I511" s="1"/>
      <c r="L511" s="1"/>
    </row>
    <row r="512">
      <c r="C512" s="1"/>
      <c r="F512" s="1"/>
      <c r="I512" s="1"/>
      <c r="L512" s="1"/>
    </row>
    <row r="513">
      <c r="C513" s="1"/>
      <c r="F513" s="1"/>
      <c r="I513" s="1"/>
      <c r="L513" s="1"/>
    </row>
    <row r="514">
      <c r="C514" s="1"/>
      <c r="F514" s="1"/>
      <c r="I514" s="1"/>
      <c r="L514" s="1"/>
    </row>
    <row r="515">
      <c r="C515" s="1"/>
      <c r="F515" s="1"/>
      <c r="I515" s="1"/>
      <c r="L515" s="1"/>
    </row>
    <row r="516">
      <c r="C516" s="1"/>
      <c r="F516" s="1"/>
      <c r="I516" s="1"/>
      <c r="L516" s="1"/>
    </row>
    <row r="517">
      <c r="C517" s="1"/>
      <c r="F517" s="1"/>
      <c r="I517" s="1"/>
      <c r="L517" s="1"/>
    </row>
    <row r="518">
      <c r="C518" s="1"/>
      <c r="F518" s="1"/>
      <c r="I518" s="1"/>
      <c r="L518" s="1"/>
    </row>
    <row r="519">
      <c r="C519" s="1"/>
      <c r="F519" s="1"/>
      <c r="I519" s="1"/>
      <c r="L519" s="1"/>
    </row>
    <row r="520">
      <c r="C520" s="1"/>
      <c r="F520" s="1"/>
      <c r="I520" s="1"/>
      <c r="L520" s="1"/>
    </row>
    <row r="521">
      <c r="C521" s="1"/>
      <c r="F521" s="1"/>
      <c r="I521" s="1"/>
      <c r="L521" s="1"/>
    </row>
    <row r="522">
      <c r="C522" s="1"/>
      <c r="F522" s="1"/>
      <c r="I522" s="1"/>
      <c r="L522" s="1"/>
    </row>
    <row r="523">
      <c r="C523" s="1"/>
      <c r="F523" s="1"/>
      <c r="I523" s="1"/>
      <c r="L523" s="1"/>
    </row>
    <row r="524">
      <c r="C524" s="1"/>
      <c r="F524" s="1"/>
      <c r="I524" s="1"/>
      <c r="L524" s="1"/>
    </row>
    <row r="525">
      <c r="C525" s="1"/>
      <c r="F525" s="1"/>
      <c r="I525" s="1"/>
      <c r="L525" s="1"/>
    </row>
    <row r="526">
      <c r="C526" s="1"/>
      <c r="F526" s="1"/>
      <c r="I526" s="1"/>
      <c r="L526" s="1"/>
    </row>
    <row r="527">
      <c r="C527" s="1"/>
      <c r="F527" s="1"/>
      <c r="I527" s="1"/>
      <c r="L527" s="1"/>
    </row>
    <row r="528">
      <c r="C528" s="1"/>
      <c r="F528" s="1"/>
      <c r="I528" s="1"/>
      <c r="L528" s="1"/>
    </row>
    <row r="529">
      <c r="C529" s="1"/>
      <c r="F529" s="1"/>
      <c r="I529" s="1"/>
      <c r="L529" s="1"/>
    </row>
    <row r="530">
      <c r="C530" s="1"/>
      <c r="F530" s="1"/>
      <c r="I530" s="1"/>
      <c r="L530" s="1"/>
    </row>
    <row r="531">
      <c r="C531" s="1"/>
      <c r="F531" s="1"/>
      <c r="I531" s="1"/>
      <c r="L531" s="1"/>
    </row>
    <row r="532">
      <c r="C532" s="1"/>
      <c r="F532" s="1"/>
      <c r="I532" s="1"/>
      <c r="L532" s="1"/>
    </row>
    <row r="533">
      <c r="C533" s="1"/>
      <c r="F533" s="1"/>
      <c r="I533" s="1"/>
      <c r="L533" s="1"/>
    </row>
    <row r="534">
      <c r="C534" s="1"/>
      <c r="F534" s="1"/>
      <c r="I534" s="1"/>
      <c r="L534" s="1"/>
    </row>
    <row r="535">
      <c r="C535" s="1"/>
      <c r="F535" s="1"/>
      <c r="I535" s="1"/>
      <c r="L535" s="1"/>
    </row>
    <row r="536">
      <c r="C536" s="1"/>
      <c r="F536" s="1"/>
      <c r="I536" s="1"/>
      <c r="L536" s="1"/>
    </row>
    <row r="537">
      <c r="C537" s="1"/>
      <c r="F537" s="1"/>
      <c r="I537" s="1"/>
      <c r="L537" s="1"/>
    </row>
    <row r="538">
      <c r="C538" s="1"/>
      <c r="F538" s="1"/>
      <c r="I538" s="1"/>
      <c r="L538" s="1"/>
    </row>
    <row r="539">
      <c r="C539" s="1"/>
      <c r="F539" s="1"/>
      <c r="I539" s="1"/>
      <c r="L539" s="1"/>
    </row>
    <row r="540">
      <c r="C540" s="1"/>
      <c r="F540" s="1"/>
      <c r="I540" s="1"/>
      <c r="L540" s="1"/>
    </row>
    <row r="541">
      <c r="C541" s="1"/>
      <c r="F541" s="1"/>
      <c r="I541" s="1"/>
      <c r="L541" s="1"/>
    </row>
    <row r="542">
      <c r="C542" s="1"/>
      <c r="F542" s="1"/>
      <c r="I542" s="1"/>
      <c r="L542" s="1"/>
    </row>
    <row r="543">
      <c r="C543" s="1"/>
      <c r="F543" s="1"/>
      <c r="I543" s="1"/>
      <c r="L543" s="1"/>
    </row>
    <row r="544">
      <c r="C544" s="1"/>
      <c r="F544" s="1"/>
      <c r="I544" s="1"/>
      <c r="L544" s="1"/>
    </row>
    <row r="545">
      <c r="C545" s="1"/>
      <c r="F545" s="1"/>
      <c r="I545" s="1"/>
      <c r="L545" s="1"/>
    </row>
    <row r="546">
      <c r="C546" s="1"/>
      <c r="F546" s="1"/>
      <c r="I546" s="1"/>
      <c r="L546" s="1"/>
    </row>
    <row r="547">
      <c r="C547" s="1"/>
      <c r="F547" s="1"/>
      <c r="I547" s="1"/>
      <c r="L547" s="1"/>
    </row>
    <row r="548">
      <c r="C548" s="1"/>
      <c r="F548" s="1"/>
      <c r="I548" s="1"/>
      <c r="L548" s="1"/>
    </row>
    <row r="549">
      <c r="C549" s="1"/>
      <c r="F549" s="1"/>
      <c r="I549" s="1"/>
      <c r="L549" s="1"/>
    </row>
    <row r="550">
      <c r="C550" s="1"/>
      <c r="F550" s="1"/>
      <c r="I550" s="1"/>
      <c r="L550" s="1"/>
    </row>
    <row r="551">
      <c r="C551" s="1"/>
      <c r="F551" s="1"/>
      <c r="I551" s="1"/>
      <c r="L551" s="1"/>
    </row>
    <row r="552">
      <c r="C552" s="1"/>
      <c r="F552" s="1"/>
      <c r="I552" s="1"/>
      <c r="L552" s="1"/>
    </row>
    <row r="553">
      <c r="C553" s="1"/>
      <c r="F553" s="1"/>
      <c r="I553" s="1"/>
      <c r="L553" s="1"/>
    </row>
    <row r="554">
      <c r="C554" s="1"/>
      <c r="F554" s="1"/>
      <c r="I554" s="1"/>
      <c r="L554" s="1"/>
    </row>
    <row r="555">
      <c r="C555" s="1"/>
      <c r="F555" s="1"/>
      <c r="I555" s="1"/>
      <c r="L555" s="1"/>
    </row>
    <row r="556">
      <c r="C556" s="1"/>
      <c r="F556" s="1"/>
      <c r="I556" s="1"/>
      <c r="L556" s="1"/>
    </row>
    <row r="557">
      <c r="C557" s="1"/>
      <c r="F557" s="1"/>
      <c r="I557" s="1"/>
      <c r="L557" s="1"/>
    </row>
    <row r="558">
      <c r="C558" s="1"/>
      <c r="F558" s="1"/>
      <c r="I558" s="1"/>
      <c r="L558" s="1"/>
    </row>
    <row r="559">
      <c r="C559" s="1"/>
      <c r="F559" s="1"/>
      <c r="I559" s="1"/>
      <c r="L559" s="1"/>
    </row>
    <row r="560">
      <c r="C560" s="1"/>
      <c r="F560" s="1"/>
      <c r="I560" s="1"/>
      <c r="L560" s="1"/>
    </row>
    <row r="561">
      <c r="C561" s="1"/>
      <c r="F561" s="1"/>
      <c r="I561" s="1"/>
      <c r="L561" s="1"/>
    </row>
    <row r="562">
      <c r="C562" s="1"/>
      <c r="F562" s="1"/>
      <c r="I562" s="1"/>
      <c r="L562" s="1"/>
    </row>
    <row r="563">
      <c r="C563" s="1"/>
      <c r="F563" s="1"/>
      <c r="I563" s="1"/>
      <c r="L563" s="1"/>
    </row>
    <row r="564">
      <c r="C564" s="1"/>
      <c r="F564" s="1"/>
      <c r="I564" s="1"/>
      <c r="L564" s="1"/>
    </row>
    <row r="565">
      <c r="C565" s="1"/>
      <c r="F565" s="1"/>
      <c r="I565" s="1"/>
      <c r="L565" s="1"/>
    </row>
    <row r="566">
      <c r="C566" s="1"/>
      <c r="F566" s="1"/>
      <c r="I566" s="1"/>
      <c r="L566" s="1"/>
    </row>
    <row r="567">
      <c r="C567" s="1"/>
      <c r="F567" s="1"/>
      <c r="I567" s="1"/>
      <c r="L567" s="1"/>
    </row>
    <row r="568">
      <c r="C568" s="1"/>
      <c r="F568" s="1"/>
      <c r="I568" s="1"/>
      <c r="L568" s="1"/>
    </row>
    <row r="569">
      <c r="C569" s="1"/>
      <c r="F569" s="1"/>
      <c r="I569" s="1"/>
      <c r="L569" s="1"/>
    </row>
    <row r="570">
      <c r="C570" s="1"/>
      <c r="F570" s="1"/>
      <c r="I570" s="1"/>
      <c r="L570" s="1"/>
    </row>
    <row r="571">
      <c r="C571" s="1"/>
      <c r="F571" s="1"/>
      <c r="I571" s="1"/>
      <c r="L571" s="1"/>
    </row>
    <row r="572">
      <c r="C572" s="1"/>
      <c r="F572" s="1"/>
      <c r="I572" s="1"/>
      <c r="L572" s="1"/>
    </row>
    <row r="573">
      <c r="C573" s="1"/>
      <c r="F573" s="1"/>
      <c r="I573" s="1"/>
      <c r="L573" s="1"/>
    </row>
    <row r="574">
      <c r="C574" s="1"/>
      <c r="F574" s="1"/>
      <c r="I574" s="1"/>
      <c r="L574" s="1"/>
    </row>
    <row r="575">
      <c r="C575" s="1"/>
      <c r="F575" s="1"/>
      <c r="I575" s="1"/>
      <c r="L575" s="1"/>
    </row>
    <row r="576">
      <c r="C576" s="1"/>
      <c r="F576" s="1"/>
      <c r="I576" s="1"/>
      <c r="L576" s="1"/>
    </row>
    <row r="577">
      <c r="C577" s="1"/>
      <c r="F577" s="1"/>
      <c r="I577" s="1"/>
      <c r="L577" s="1"/>
    </row>
    <row r="578">
      <c r="C578" s="1"/>
      <c r="F578" s="1"/>
      <c r="I578" s="1"/>
      <c r="L578" s="1"/>
    </row>
    <row r="579">
      <c r="C579" s="1"/>
      <c r="F579" s="1"/>
      <c r="I579" s="1"/>
      <c r="L579" s="1"/>
    </row>
    <row r="580">
      <c r="C580" s="1"/>
      <c r="F580" s="1"/>
      <c r="I580" s="1"/>
      <c r="L580" s="1"/>
    </row>
    <row r="581">
      <c r="C581" s="1"/>
      <c r="F581" s="1"/>
      <c r="I581" s="1"/>
      <c r="L581" s="1"/>
    </row>
    <row r="582">
      <c r="C582" s="1"/>
      <c r="F582" s="1"/>
      <c r="I582" s="1"/>
      <c r="L582" s="1"/>
    </row>
    <row r="583">
      <c r="C583" s="1"/>
      <c r="F583" s="1"/>
      <c r="I583" s="1"/>
      <c r="L583" s="1"/>
    </row>
    <row r="584">
      <c r="C584" s="1"/>
      <c r="F584" s="1"/>
      <c r="I584" s="1"/>
      <c r="L584" s="1"/>
    </row>
    <row r="585">
      <c r="C585" s="1"/>
      <c r="F585" s="1"/>
      <c r="I585" s="1"/>
      <c r="L585" s="1"/>
    </row>
    <row r="586">
      <c r="C586" s="1"/>
      <c r="F586" s="1"/>
      <c r="I586" s="1"/>
      <c r="L586" s="1"/>
    </row>
    <row r="587">
      <c r="C587" s="1"/>
      <c r="F587" s="1"/>
      <c r="I587" s="1"/>
      <c r="L587" s="1"/>
    </row>
    <row r="588">
      <c r="C588" s="1"/>
      <c r="F588" s="1"/>
      <c r="I588" s="1"/>
      <c r="L588" s="1"/>
    </row>
    <row r="589">
      <c r="C589" s="1"/>
      <c r="F589" s="1"/>
      <c r="I589" s="1"/>
      <c r="L589" s="1"/>
    </row>
    <row r="590">
      <c r="C590" s="1"/>
      <c r="F590" s="1"/>
      <c r="I590" s="1"/>
      <c r="L590" s="1"/>
    </row>
    <row r="591">
      <c r="C591" s="1"/>
      <c r="F591" s="1"/>
      <c r="I591" s="1"/>
      <c r="L591" s="1"/>
    </row>
    <row r="592">
      <c r="C592" s="1"/>
      <c r="F592" s="1"/>
      <c r="I592" s="1"/>
      <c r="L592" s="1"/>
    </row>
    <row r="593">
      <c r="C593" s="1"/>
      <c r="F593" s="1"/>
      <c r="I593" s="1"/>
      <c r="L593" s="1"/>
    </row>
    <row r="594">
      <c r="C594" s="1"/>
      <c r="F594" s="1"/>
      <c r="I594" s="1"/>
      <c r="L594" s="1"/>
    </row>
    <row r="595">
      <c r="C595" s="1"/>
      <c r="F595" s="1"/>
      <c r="I595" s="1"/>
      <c r="L595" s="1"/>
    </row>
    <row r="596">
      <c r="C596" s="1"/>
      <c r="F596" s="1"/>
      <c r="I596" s="1"/>
      <c r="L596" s="1"/>
    </row>
    <row r="597">
      <c r="C597" s="1"/>
      <c r="F597" s="1"/>
      <c r="I597" s="1"/>
      <c r="L597" s="1"/>
    </row>
    <row r="598">
      <c r="C598" s="1"/>
      <c r="F598" s="1"/>
      <c r="I598" s="1"/>
      <c r="L598" s="1"/>
    </row>
    <row r="599">
      <c r="C599" s="1"/>
      <c r="F599" s="1"/>
      <c r="I599" s="1"/>
      <c r="L599" s="1"/>
    </row>
    <row r="600">
      <c r="C600" s="1"/>
      <c r="F600" s="1"/>
      <c r="I600" s="1"/>
      <c r="L600" s="1"/>
    </row>
    <row r="601">
      <c r="C601" s="1"/>
      <c r="F601" s="1"/>
      <c r="I601" s="1"/>
      <c r="L601" s="1"/>
    </row>
    <row r="602">
      <c r="C602" s="1"/>
      <c r="F602" s="1"/>
      <c r="I602" s="1"/>
      <c r="L602" s="1"/>
    </row>
    <row r="603">
      <c r="C603" s="1"/>
      <c r="F603" s="1"/>
      <c r="I603" s="1"/>
      <c r="L603" s="1"/>
    </row>
    <row r="604">
      <c r="C604" s="1"/>
      <c r="F604" s="1"/>
      <c r="I604" s="1"/>
      <c r="L604" s="1"/>
    </row>
    <row r="605">
      <c r="C605" s="1"/>
      <c r="F605" s="1"/>
      <c r="I605" s="1"/>
      <c r="L605" s="1"/>
    </row>
    <row r="606">
      <c r="C606" s="1"/>
      <c r="F606" s="1"/>
      <c r="I606" s="1"/>
      <c r="L606" s="1"/>
    </row>
    <row r="607">
      <c r="C607" s="1"/>
      <c r="F607" s="1"/>
      <c r="I607" s="1"/>
      <c r="L607" s="1"/>
    </row>
    <row r="608">
      <c r="C608" s="1"/>
      <c r="F608" s="1"/>
      <c r="I608" s="1"/>
      <c r="L608" s="1"/>
    </row>
    <row r="609">
      <c r="C609" s="1"/>
      <c r="F609" s="1"/>
      <c r="I609" s="1"/>
      <c r="L609" s="1"/>
    </row>
    <row r="610">
      <c r="C610" s="1"/>
      <c r="F610" s="1"/>
      <c r="I610" s="1"/>
      <c r="L610" s="1"/>
    </row>
    <row r="611">
      <c r="C611" s="1"/>
      <c r="F611" s="1"/>
      <c r="I611" s="1"/>
      <c r="L611" s="1"/>
    </row>
    <row r="612">
      <c r="C612" s="1"/>
      <c r="F612" s="1"/>
      <c r="I612" s="1"/>
      <c r="L612" s="1"/>
    </row>
    <row r="613">
      <c r="C613" s="1"/>
      <c r="F613" s="1"/>
      <c r="I613" s="1"/>
      <c r="L613" s="1"/>
    </row>
    <row r="614">
      <c r="C614" s="1"/>
      <c r="F614" s="1"/>
      <c r="I614" s="1"/>
      <c r="L614" s="1"/>
    </row>
    <row r="615">
      <c r="C615" s="1"/>
      <c r="F615" s="1"/>
      <c r="I615" s="1"/>
      <c r="L615" s="1"/>
    </row>
    <row r="616">
      <c r="C616" s="1"/>
      <c r="F616" s="1"/>
      <c r="I616" s="1"/>
      <c r="L616" s="1"/>
    </row>
    <row r="617">
      <c r="C617" s="1"/>
      <c r="F617" s="1"/>
      <c r="I617" s="1"/>
      <c r="L617" s="1"/>
    </row>
    <row r="618">
      <c r="C618" s="1"/>
      <c r="F618" s="1"/>
      <c r="I618" s="1"/>
      <c r="L618" s="1"/>
    </row>
    <row r="619">
      <c r="C619" s="1"/>
      <c r="F619" s="1"/>
      <c r="I619" s="1"/>
      <c r="L619" s="1"/>
    </row>
    <row r="620">
      <c r="C620" s="1"/>
      <c r="F620" s="1"/>
      <c r="I620" s="1"/>
      <c r="L620" s="1"/>
    </row>
    <row r="621">
      <c r="C621" s="1"/>
      <c r="F621" s="1"/>
      <c r="I621" s="1"/>
      <c r="L621" s="1"/>
    </row>
    <row r="622">
      <c r="C622" s="1"/>
      <c r="F622" s="1"/>
      <c r="I622" s="1"/>
      <c r="L622" s="1"/>
    </row>
    <row r="623">
      <c r="C623" s="1"/>
      <c r="F623" s="1"/>
      <c r="I623" s="1"/>
      <c r="L623" s="1"/>
    </row>
    <row r="624">
      <c r="C624" s="1"/>
      <c r="F624" s="1"/>
      <c r="I624" s="1"/>
      <c r="L624" s="1"/>
    </row>
    <row r="625">
      <c r="C625" s="1"/>
      <c r="F625" s="1"/>
      <c r="I625" s="1"/>
      <c r="L625" s="1"/>
    </row>
    <row r="626">
      <c r="C626" s="1"/>
      <c r="F626" s="1"/>
      <c r="I626" s="1"/>
      <c r="L626" s="1"/>
    </row>
    <row r="627">
      <c r="C627" s="1"/>
      <c r="F627" s="1"/>
      <c r="I627" s="1"/>
      <c r="L627" s="1"/>
    </row>
    <row r="628">
      <c r="C628" s="1"/>
      <c r="F628" s="1"/>
      <c r="I628" s="1"/>
      <c r="L628" s="1"/>
    </row>
    <row r="629">
      <c r="C629" s="1"/>
      <c r="F629" s="1"/>
      <c r="I629" s="1"/>
      <c r="L629" s="1"/>
    </row>
    <row r="630">
      <c r="C630" s="1"/>
      <c r="F630" s="1"/>
      <c r="I630" s="1"/>
      <c r="L630" s="1"/>
    </row>
    <row r="631">
      <c r="C631" s="1"/>
      <c r="F631" s="1"/>
      <c r="I631" s="1"/>
      <c r="L631" s="1"/>
    </row>
    <row r="632">
      <c r="C632" s="1"/>
      <c r="F632" s="1"/>
      <c r="I632" s="1"/>
      <c r="L632" s="1"/>
    </row>
    <row r="633">
      <c r="C633" s="1"/>
      <c r="F633" s="1"/>
      <c r="I633" s="1"/>
      <c r="L633" s="1"/>
    </row>
    <row r="634">
      <c r="C634" s="1"/>
      <c r="F634" s="1"/>
      <c r="I634" s="1"/>
      <c r="L634" s="1"/>
    </row>
    <row r="635">
      <c r="C635" s="1"/>
      <c r="F635" s="1"/>
      <c r="I635" s="1"/>
      <c r="L635" s="1"/>
    </row>
    <row r="636">
      <c r="C636" s="1"/>
      <c r="F636" s="1"/>
      <c r="I636" s="1"/>
      <c r="L636" s="1"/>
    </row>
    <row r="637">
      <c r="C637" s="1"/>
      <c r="F637" s="1"/>
      <c r="I637" s="1"/>
      <c r="L637" s="1"/>
    </row>
    <row r="638">
      <c r="C638" s="1"/>
      <c r="F638" s="1"/>
      <c r="I638" s="1"/>
      <c r="L638" s="1"/>
    </row>
    <row r="639">
      <c r="C639" s="1"/>
      <c r="F639" s="1"/>
      <c r="I639" s="1"/>
      <c r="L639" s="1"/>
    </row>
    <row r="640">
      <c r="C640" s="1"/>
      <c r="F640" s="1"/>
      <c r="I640" s="1"/>
      <c r="L640" s="1"/>
    </row>
    <row r="641">
      <c r="C641" s="1"/>
      <c r="F641" s="1"/>
      <c r="I641" s="1"/>
      <c r="L641" s="1"/>
    </row>
    <row r="642">
      <c r="C642" s="1"/>
      <c r="F642" s="1"/>
      <c r="I642" s="1"/>
      <c r="L642" s="1"/>
    </row>
    <row r="643">
      <c r="C643" s="1"/>
      <c r="F643" s="1"/>
      <c r="I643" s="1"/>
      <c r="L643" s="1"/>
    </row>
    <row r="644">
      <c r="C644" s="1"/>
      <c r="F644" s="1"/>
      <c r="I644" s="1"/>
      <c r="L644" s="1"/>
    </row>
    <row r="645">
      <c r="C645" s="1"/>
      <c r="F645" s="1"/>
      <c r="I645" s="1"/>
      <c r="L645" s="1"/>
    </row>
    <row r="646">
      <c r="C646" s="1"/>
      <c r="F646" s="1"/>
      <c r="I646" s="1"/>
      <c r="L646" s="1"/>
    </row>
    <row r="647">
      <c r="C647" s="1"/>
      <c r="F647" s="1"/>
      <c r="I647" s="1"/>
      <c r="L647" s="1"/>
    </row>
    <row r="648">
      <c r="C648" s="1"/>
      <c r="F648" s="1"/>
      <c r="I648" s="1"/>
      <c r="L648" s="1"/>
    </row>
    <row r="649">
      <c r="C649" s="1"/>
      <c r="F649" s="1"/>
      <c r="I649" s="1"/>
      <c r="L649" s="1"/>
    </row>
    <row r="650">
      <c r="C650" s="1"/>
      <c r="F650" s="1"/>
      <c r="I650" s="1"/>
      <c r="L650" s="1"/>
    </row>
    <row r="651">
      <c r="C651" s="1"/>
      <c r="F651" s="1"/>
      <c r="I651" s="1"/>
      <c r="L651" s="1"/>
    </row>
    <row r="652">
      <c r="C652" s="1"/>
      <c r="F652" s="1"/>
      <c r="I652" s="1"/>
      <c r="L652" s="1"/>
    </row>
    <row r="653">
      <c r="C653" s="1"/>
      <c r="F653" s="1"/>
      <c r="I653" s="1"/>
      <c r="L653" s="1"/>
    </row>
    <row r="654">
      <c r="C654" s="1"/>
      <c r="F654" s="1"/>
      <c r="I654" s="1"/>
      <c r="L654" s="1"/>
    </row>
    <row r="655">
      <c r="C655" s="1"/>
      <c r="F655" s="1"/>
      <c r="I655" s="1"/>
      <c r="L655" s="1"/>
    </row>
    <row r="656">
      <c r="C656" s="1"/>
      <c r="F656" s="1"/>
      <c r="I656" s="1"/>
      <c r="L656" s="1"/>
    </row>
    <row r="657">
      <c r="C657" s="1"/>
      <c r="F657" s="1"/>
      <c r="I657" s="1"/>
      <c r="L657" s="1"/>
    </row>
    <row r="658">
      <c r="C658" s="1"/>
      <c r="F658" s="1"/>
      <c r="I658" s="1"/>
      <c r="L658" s="1"/>
    </row>
    <row r="659">
      <c r="C659" s="1"/>
      <c r="F659" s="1"/>
      <c r="I659" s="1"/>
      <c r="L659" s="1"/>
    </row>
    <row r="660">
      <c r="C660" s="1"/>
      <c r="F660" s="1"/>
      <c r="I660" s="1"/>
      <c r="L660" s="1"/>
    </row>
    <row r="661">
      <c r="C661" s="1"/>
      <c r="F661" s="1"/>
      <c r="I661" s="1"/>
      <c r="L661" s="1"/>
    </row>
    <row r="662">
      <c r="C662" s="1"/>
      <c r="F662" s="1"/>
      <c r="I662" s="1"/>
      <c r="L662" s="1"/>
    </row>
    <row r="663">
      <c r="C663" s="1"/>
      <c r="F663" s="1"/>
      <c r="I663" s="1"/>
      <c r="L663" s="1"/>
    </row>
    <row r="664">
      <c r="C664" s="1"/>
      <c r="F664" s="1"/>
      <c r="I664" s="1"/>
      <c r="L664" s="1"/>
    </row>
    <row r="665">
      <c r="C665" s="1"/>
      <c r="F665" s="1"/>
      <c r="I665" s="1"/>
      <c r="L665" s="1"/>
    </row>
    <row r="666">
      <c r="C666" s="1"/>
      <c r="F666" s="1"/>
      <c r="I666" s="1"/>
      <c r="L666" s="1"/>
    </row>
    <row r="667">
      <c r="C667" s="1"/>
      <c r="F667" s="1"/>
      <c r="I667" s="1"/>
      <c r="L667" s="1"/>
    </row>
    <row r="668">
      <c r="C668" s="1"/>
      <c r="F668" s="1"/>
      <c r="I668" s="1"/>
      <c r="L668" s="1"/>
    </row>
    <row r="669">
      <c r="C669" s="1"/>
      <c r="F669" s="1"/>
      <c r="I669" s="1"/>
      <c r="L669" s="1"/>
    </row>
    <row r="670">
      <c r="C670" s="1"/>
      <c r="F670" s="1"/>
      <c r="I670" s="1"/>
      <c r="L670" s="1"/>
    </row>
    <row r="671">
      <c r="C671" s="1"/>
      <c r="F671" s="1"/>
      <c r="I671" s="1"/>
      <c r="L671" s="1"/>
    </row>
    <row r="672">
      <c r="C672" s="1"/>
      <c r="F672" s="1"/>
      <c r="I672" s="1"/>
      <c r="L672" s="1"/>
    </row>
    <row r="673">
      <c r="C673" s="1"/>
      <c r="F673" s="1"/>
      <c r="I673" s="1"/>
      <c r="L673" s="1"/>
    </row>
    <row r="674">
      <c r="C674" s="1"/>
      <c r="F674" s="1"/>
      <c r="I674" s="1"/>
      <c r="L674" s="1"/>
    </row>
    <row r="675">
      <c r="C675" s="1"/>
      <c r="F675" s="1"/>
      <c r="I675" s="1"/>
      <c r="L675" s="1"/>
    </row>
    <row r="676">
      <c r="C676" s="1"/>
      <c r="F676" s="1"/>
      <c r="I676" s="1"/>
      <c r="L676" s="1"/>
    </row>
    <row r="677">
      <c r="C677" s="1"/>
      <c r="F677" s="1"/>
      <c r="I677" s="1"/>
      <c r="L677" s="1"/>
    </row>
    <row r="678">
      <c r="C678" s="1"/>
      <c r="F678" s="1"/>
      <c r="I678" s="1"/>
      <c r="L678" s="1"/>
    </row>
    <row r="679">
      <c r="C679" s="1"/>
      <c r="F679" s="1"/>
      <c r="I679" s="1"/>
      <c r="L679" s="1"/>
    </row>
    <row r="680">
      <c r="C680" s="1"/>
      <c r="F680" s="1"/>
      <c r="I680" s="1"/>
      <c r="L680" s="1"/>
    </row>
    <row r="681">
      <c r="C681" s="1"/>
      <c r="F681" s="1"/>
      <c r="I681" s="1"/>
      <c r="L681" s="1"/>
    </row>
    <row r="682">
      <c r="C682" s="1"/>
      <c r="F682" s="1"/>
      <c r="I682" s="1"/>
      <c r="L682" s="1"/>
    </row>
    <row r="683">
      <c r="C683" s="1"/>
      <c r="F683" s="1"/>
      <c r="I683" s="1"/>
      <c r="L683" s="1"/>
    </row>
    <row r="684">
      <c r="C684" s="1"/>
      <c r="F684" s="1"/>
      <c r="I684" s="1"/>
      <c r="L684" s="1"/>
    </row>
    <row r="685">
      <c r="C685" s="1"/>
      <c r="F685" s="1"/>
      <c r="I685" s="1"/>
      <c r="L685" s="1"/>
    </row>
    <row r="686">
      <c r="C686" s="1"/>
      <c r="F686" s="1"/>
      <c r="I686" s="1"/>
      <c r="L686" s="1"/>
    </row>
    <row r="687">
      <c r="C687" s="1"/>
      <c r="F687" s="1"/>
      <c r="I687" s="1"/>
      <c r="L687" s="1"/>
    </row>
    <row r="688">
      <c r="C688" s="1"/>
      <c r="F688" s="1"/>
      <c r="I688" s="1"/>
      <c r="L688" s="1"/>
    </row>
    <row r="689">
      <c r="C689" s="1"/>
      <c r="F689" s="1"/>
      <c r="I689" s="1"/>
      <c r="L689" s="1"/>
    </row>
    <row r="690">
      <c r="C690" s="1"/>
      <c r="F690" s="1"/>
      <c r="I690" s="1"/>
      <c r="L690" s="1"/>
    </row>
    <row r="691">
      <c r="C691" s="1"/>
      <c r="F691" s="1"/>
      <c r="I691" s="1"/>
      <c r="L691" s="1"/>
    </row>
    <row r="692">
      <c r="C692" s="1"/>
      <c r="F692" s="1"/>
      <c r="I692" s="1"/>
      <c r="L692" s="1"/>
    </row>
    <row r="693">
      <c r="C693" s="1"/>
      <c r="F693" s="1"/>
      <c r="I693" s="1"/>
      <c r="L693" s="1"/>
    </row>
    <row r="694">
      <c r="C694" s="1"/>
      <c r="F694" s="1"/>
      <c r="I694" s="1"/>
      <c r="L694" s="1"/>
    </row>
    <row r="695">
      <c r="C695" s="1"/>
      <c r="F695" s="1"/>
      <c r="I695" s="1"/>
      <c r="L695" s="1"/>
    </row>
    <row r="696">
      <c r="C696" s="1"/>
      <c r="F696" s="1"/>
      <c r="I696" s="1"/>
      <c r="L696" s="1"/>
    </row>
    <row r="697">
      <c r="C697" s="1"/>
      <c r="F697" s="1"/>
      <c r="I697" s="1"/>
      <c r="L697" s="1"/>
    </row>
    <row r="698">
      <c r="C698" s="1"/>
      <c r="F698" s="1"/>
      <c r="I698" s="1"/>
      <c r="L698" s="1"/>
    </row>
    <row r="699">
      <c r="C699" s="1"/>
      <c r="F699" s="1"/>
      <c r="I699" s="1"/>
      <c r="L699" s="1"/>
    </row>
    <row r="700">
      <c r="C700" s="1"/>
      <c r="F700" s="1"/>
      <c r="I700" s="1"/>
      <c r="L700" s="1"/>
    </row>
    <row r="701">
      <c r="C701" s="1"/>
      <c r="F701" s="1"/>
      <c r="I701" s="1"/>
      <c r="L701" s="1"/>
    </row>
    <row r="702">
      <c r="C702" s="1"/>
      <c r="F702" s="1"/>
      <c r="I702" s="1"/>
      <c r="L702" s="1"/>
    </row>
    <row r="703">
      <c r="C703" s="1"/>
      <c r="F703" s="1"/>
      <c r="I703" s="1"/>
      <c r="L703" s="1"/>
    </row>
    <row r="704">
      <c r="C704" s="1"/>
      <c r="F704" s="1"/>
      <c r="I704" s="1"/>
      <c r="L704" s="1"/>
    </row>
    <row r="705">
      <c r="C705" s="1"/>
      <c r="F705" s="1"/>
      <c r="I705" s="1"/>
      <c r="L705" s="1"/>
    </row>
    <row r="706">
      <c r="C706" s="1"/>
      <c r="F706" s="1"/>
      <c r="I706" s="1"/>
      <c r="L706" s="1"/>
    </row>
    <row r="707">
      <c r="C707" s="1"/>
      <c r="F707" s="1"/>
      <c r="I707" s="1"/>
      <c r="L707" s="1"/>
    </row>
    <row r="708">
      <c r="C708" s="1"/>
      <c r="F708" s="1"/>
      <c r="I708" s="1"/>
      <c r="L708" s="1"/>
    </row>
    <row r="709">
      <c r="C709" s="1"/>
      <c r="F709" s="1"/>
      <c r="I709" s="1"/>
      <c r="L709" s="1"/>
    </row>
    <row r="710">
      <c r="C710" s="1"/>
      <c r="F710" s="1"/>
      <c r="I710" s="1"/>
      <c r="L710" s="1"/>
    </row>
    <row r="711">
      <c r="C711" s="1"/>
      <c r="F711" s="1"/>
      <c r="I711" s="1"/>
      <c r="L711" s="1"/>
    </row>
    <row r="712">
      <c r="C712" s="1"/>
      <c r="F712" s="1"/>
      <c r="I712" s="1"/>
      <c r="L712" s="1"/>
    </row>
    <row r="713">
      <c r="C713" s="1"/>
      <c r="F713" s="1"/>
      <c r="I713" s="1"/>
      <c r="L713" s="1"/>
    </row>
    <row r="714">
      <c r="C714" s="1"/>
      <c r="F714" s="1"/>
      <c r="I714" s="1"/>
      <c r="L714" s="1"/>
    </row>
    <row r="715">
      <c r="C715" s="1"/>
      <c r="F715" s="1"/>
      <c r="I715" s="1"/>
      <c r="L715" s="1"/>
    </row>
    <row r="716">
      <c r="C716" s="1"/>
      <c r="F716" s="1"/>
      <c r="I716" s="1"/>
      <c r="L716" s="1"/>
    </row>
    <row r="717">
      <c r="C717" s="1"/>
      <c r="F717" s="1"/>
      <c r="I717" s="1"/>
      <c r="L717" s="1"/>
    </row>
    <row r="718">
      <c r="C718" s="1"/>
      <c r="F718" s="1"/>
      <c r="I718" s="1"/>
      <c r="L718" s="1"/>
    </row>
    <row r="719">
      <c r="C719" s="1"/>
      <c r="F719" s="1"/>
      <c r="I719" s="1"/>
      <c r="L719" s="1"/>
    </row>
    <row r="720">
      <c r="C720" s="1"/>
      <c r="F720" s="1"/>
      <c r="I720" s="1"/>
      <c r="L720" s="1"/>
    </row>
    <row r="721">
      <c r="C721" s="1"/>
      <c r="F721" s="1"/>
      <c r="I721" s="1"/>
      <c r="L721" s="1"/>
    </row>
    <row r="722">
      <c r="C722" s="1"/>
      <c r="F722" s="1"/>
      <c r="I722" s="1"/>
      <c r="L722" s="1"/>
    </row>
    <row r="723">
      <c r="C723" s="1"/>
      <c r="F723" s="1"/>
      <c r="I723" s="1"/>
      <c r="L723" s="1"/>
    </row>
    <row r="724">
      <c r="C724" s="1"/>
      <c r="F724" s="1"/>
      <c r="I724" s="1"/>
      <c r="L724" s="1"/>
    </row>
    <row r="725">
      <c r="C725" s="1"/>
      <c r="F725" s="1"/>
      <c r="I725" s="1"/>
      <c r="L725" s="1"/>
    </row>
    <row r="726">
      <c r="C726" s="1"/>
      <c r="F726" s="1"/>
      <c r="I726" s="1"/>
      <c r="L726" s="1"/>
    </row>
    <row r="727">
      <c r="C727" s="1"/>
      <c r="F727" s="1"/>
      <c r="I727" s="1"/>
      <c r="L727" s="1"/>
    </row>
    <row r="728">
      <c r="C728" s="1"/>
      <c r="F728" s="1"/>
      <c r="I728" s="1"/>
      <c r="L728" s="1"/>
    </row>
    <row r="729">
      <c r="C729" s="1"/>
      <c r="F729" s="1"/>
      <c r="I729" s="1"/>
      <c r="L729" s="1"/>
    </row>
    <row r="730">
      <c r="C730" s="1"/>
      <c r="F730" s="1"/>
      <c r="I730" s="1"/>
      <c r="L730" s="1"/>
    </row>
    <row r="731">
      <c r="C731" s="1"/>
      <c r="F731" s="1"/>
      <c r="I731" s="1"/>
      <c r="L731" s="1"/>
    </row>
    <row r="732">
      <c r="C732" s="1"/>
      <c r="F732" s="1"/>
      <c r="I732" s="1"/>
      <c r="L732" s="1"/>
    </row>
    <row r="733">
      <c r="C733" s="1"/>
      <c r="F733" s="1"/>
      <c r="I733" s="1"/>
      <c r="L733" s="1"/>
    </row>
    <row r="734">
      <c r="C734" s="1"/>
      <c r="F734" s="1"/>
      <c r="I734" s="1"/>
      <c r="L734" s="1"/>
    </row>
    <row r="735">
      <c r="C735" s="1"/>
      <c r="F735" s="1"/>
      <c r="I735" s="1"/>
      <c r="L735" s="1"/>
    </row>
    <row r="736">
      <c r="C736" s="1"/>
      <c r="F736" s="1"/>
      <c r="I736" s="1"/>
      <c r="L736" s="1"/>
    </row>
    <row r="737">
      <c r="C737" s="1"/>
      <c r="F737" s="1"/>
      <c r="I737" s="1"/>
      <c r="L737" s="1"/>
    </row>
    <row r="738">
      <c r="C738" s="1"/>
      <c r="F738" s="1"/>
      <c r="I738" s="1"/>
      <c r="L738" s="1"/>
    </row>
    <row r="739">
      <c r="C739" s="1"/>
      <c r="F739" s="1"/>
      <c r="I739" s="1"/>
      <c r="L739" s="1"/>
    </row>
    <row r="740">
      <c r="C740" s="1"/>
      <c r="F740" s="1"/>
      <c r="I740" s="1"/>
      <c r="L740" s="1"/>
    </row>
    <row r="741">
      <c r="C741" s="1"/>
      <c r="F741" s="1"/>
      <c r="I741" s="1"/>
      <c r="L741" s="1"/>
    </row>
    <row r="742">
      <c r="C742" s="1"/>
      <c r="F742" s="1"/>
      <c r="I742" s="1"/>
      <c r="L742" s="1"/>
    </row>
    <row r="743">
      <c r="C743" s="1"/>
      <c r="F743" s="1"/>
      <c r="I743" s="1"/>
      <c r="L743" s="1"/>
    </row>
    <row r="744">
      <c r="C744" s="1"/>
      <c r="F744" s="1"/>
      <c r="I744" s="1"/>
      <c r="L744" s="1"/>
    </row>
    <row r="745">
      <c r="C745" s="1"/>
      <c r="F745" s="1"/>
      <c r="I745" s="1"/>
      <c r="L745" s="1"/>
    </row>
    <row r="746">
      <c r="C746" s="1"/>
      <c r="F746" s="1"/>
      <c r="I746" s="1"/>
      <c r="L746" s="1"/>
    </row>
    <row r="747">
      <c r="C747" s="1"/>
      <c r="F747" s="1"/>
      <c r="I747" s="1"/>
      <c r="L747" s="1"/>
    </row>
    <row r="748">
      <c r="C748" s="1"/>
      <c r="F748" s="1"/>
      <c r="I748" s="1"/>
      <c r="L748" s="1"/>
    </row>
    <row r="749">
      <c r="C749" s="1"/>
      <c r="F749" s="1"/>
      <c r="I749" s="1"/>
      <c r="L749" s="1"/>
    </row>
    <row r="750">
      <c r="C750" s="1"/>
      <c r="F750" s="1"/>
      <c r="I750" s="1"/>
      <c r="L750" s="1"/>
    </row>
    <row r="751">
      <c r="C751" s="1"/>
      <c r="F751" s="1"/>
      <c r="I751" s="1"/>
      <c r="L751" s="1"/>
    </row>
    <row r="752">
      <c r="C752" s="1"/>
      <c r="F752" s="1"/>
      <c r="I752" s="1"/>
      <c r="L752" s="1"/>
    </row>
    <row r="753">
      <c r="C753" s="1"/>
      <c r="F753" s="1"/>
      <c r="I753" s="1"/>
      <c r="L753" s="1"/>
    </row>
    <row r="754">
      <c r="C754" s="1"/>
      <c r="F754" s="1"/>
      <c r="I754" s="1"/>
      <c r="L754" s="1"/>
    </row>
    <row r="755">
      <c r="C755" s="1"/>
      <c r="F755" s="1"/>
      <c r="I755" s="1"/>
      <c r="L755" s="1"/>
    </row>
    <row r="756">
      <c r="C756" s="1"/>
      <c r="F756" s="1"/>
      <c r="I756" s="1"/>
      <c r="L756" s="1"/>
    </row>
    <row r="757">
      <c r="C757" s="1"/>
      <c r="F757" s="1"/>
      <c r="I757" s="1"/>
      <c r="L757" s="1"/>
    </row>
    <row r="758">
      <c r="C758" s="1"/>
      <c r="F758" s="1"/>
      <c r="I758" s="1"/>
      <c r="L758" s="1"/>
    </row>
    <row r="759">
      <c r="C759" s="1"/>
      <c r="F759" s="1"/>
      <c r="I759" s="1"/>
      <c r="L759" s="1"/>
    </row>
    <row r="760">
      <c r="C760" s="1"/>
      <c r="F760" s="1"/>
      <c r="I760" s="1"/>
      <c r="L760" s="1"/>
    </row>
    <row r="761">
      <c r="C761" s="1"/>
      <c r="F761" s="1"/>
      <c r="I761" s="1"/>
      <c r="L761" s="1"/>
    </row>
    <row r="762">
      <c r="C762" s="1"/>
      <c r="F762" s="1"/>
      <c r="I762" s="1"/>
      <c r="L762" s="1"/>
    </row>
    <row r="763">
      <c r="C763" s="1"/>
      <c r="F763" s="1"/>
      <c r="I763" s="1"/>
      <c r="L763" s="1"/>
    </row>
    <row r="764">
      <c r="C764" s="1"/>
      <c r="F764" s="1"/>
      <c r="I764" s="1"/>
      <c r="L764" s="1"/>
    </row>
    <row r="765">
      <c r="C765" s="1"/>
      <c r="F765" s="1"/>
      <c r="I765" s="1"/>
      <c r="L765" s="1"/>
    </row>
    <row r="766">
      <c r="C766" s="1"/>
      <c r="F766" s="1"/>
      <c r="I766" s="1"/>
      <c r="L766" s="1"/>
    </row>
    <row r="767">
      <c r="C767" s="1"/>
      <c r="F767" s="1"/>
      <c r="I767" s="1"/>
      <c r="L767" s="1"/>
    </row>
    <row r="768">
      <c r="C768" s="1"/>
      <c r="F768" s="1"/>
      <c r="I768" s="1"/>
      <c r="L768" s="1"/>
    </row>
    <row r="769">
      <c r="C769" s="1"/>
      <c r="F769" s="1"/>
      <c r="I769" s="1"/>
      <c r="L769" s="1"/>
    </row>
    <row r="770">
      <c r="C770" s="1"/>
      <c r="F770" s="1"/>
      <c r="I770" s="1"/>
      <c r="L770" s="1"/>
    </row>
    <row r="771">
      <c r="C771" s="1"/>
      <c r="F771" s="1"/>
      <c r="I771" s="1"/>
      <c r="L771" s="1"/>
    </row>
    <row r="772">
      <c r="C772" s="1"/>
      <c r="F772" s="1"/>
      <c r="I772" s="1"/>
      <c r="L772" s="1"/>
    </row>
    <row r="773">
      <c r="C773" s="1"/>
      <c r="F773" s="1"/>
      <c r="I773" s="1"/>
      <c r="L773" s="1"/>
    </row>
    <row r="774">
      <c r="C774" s="1"/>
      <c r="F774" s="1"/>
      <c r="I774" s="1"/>
      <c r="L774" s="1"/>
    </row>
    <row r="775">
      <c r="C775" s="1"/>
      <c r="F775" s="1"/>
      <c r="I775" s="1"/>
      <c r="L775" s="1"/>
    </row>
    <row r="776">
      <c r="C776" s="1"/>
      <c r="F776" s="1"/>
      <c r="I776" s="1"/>
      <c r="L776" s="1"/>
    </row>
    <row r="777">
      <c r="C777" s="1"/>
      <c r="F777" s="1"/>
      <c r="I777" s="1"/>
      <c r="L777" s="1"/>
    </row>
    <row r="778">
      <c r="C778" s="1"/>
      <c r="F778" s="1"/>
      <c r="I778" s="1"/>
      <c r="L778" s="1"/>
    </row>
    <row r="779">
      <c r="C779" s="1"/>
      <c r="F779" s="1"/>
      <c r="I779" s="1"/>
      <c r="L779" s="1"/>
    </row>
    <row r="780">
      <c r="C780" s="1"/>
      <c r="F780" s="1"/>
      <c r="I780" s="1"/>
      <c r="L780" s="1"/>
    </row>
    <row r="781">
      <c r="C781" s="1"/>
      <c r="F781" s="1"/>
      <c r="I781" s="1"/>
      <c r="L781" s="1"/>
    </row>
    <row r="782">
      <c r="C782" s="1"/>
      <c r="F782" s="1"/>
      <c r="I782" s="1"/>
      <c r="L782" s="1"/>
    </row>
    <row r="783">
      <c r="C783" s="1"/>
      <c r="F783" s="1"/>
      <c r="I783" s="1"/>
      <c r="L783" s="1"/>
    </row>
    <row r="784">
      <c r="C784" s="1"/>
      <c r="F784" s="1"/>
      <c r="I784" s="1"/>
      <c r="L784" s="1"/>
    </row>
    <row r="785">
      <c r="C785" s="1"/>
      <c r="F785" s="1"/>
      <c r="I785" s="1"/>
      <c r="L785" s="1"/>
    </row>
    <row r="786">
      <c r="C786" s="1"/>
      <c r="F786" s="1"/>
      <c r="I786" s="1"/>
      <c r="L786" s="1"/>
    </row>
    <row r="787">
      <c r="C787" s="1"/>
      <c r="F787" s="1"/>
      <c r="I787" s="1"/>
      <c r="L787" s="1"/>
    </row>
    <row r="788">
      <c r="C788" s="1"/>
      <c r="F788" s="1"/>
      <c r="I788" s="1"/>
      <c r="L788" s="1"/>
    </row>
    <row r="789">
      <c r="C789" s="1"/>
      <c r="F789" s="1"/>
      <c r="I789" s="1"/>
      <c r="L789" s="1"/>
    </row>
    <row r="790">
      <c r="C790" s="1"/>
      <c r="F790" s="1"/>
      <c r="I790" s="1"/>
      <c r="L790" s="1"/>
    </row>
    <row r="791">
      <c r="C791" s="1"/>
      <c r="F791" s="1"/>
      <c r="I791" s="1"/>
      <c r="L791" s="1"/>
    </row>
    <row r="792">
      <c r="C792" s="1"/>
      <c r="F792" s="1"/>
      <c r="I792" s="1"/>
      <c r="L792" s="1"/>
    </row>
    <row r="793">
      <c r="C793" s="1"/>
      <c r="F793" s="1"/>
      <c r="I793" s="1"/>
      <c r="L793" s="1"/>
    </row>
    <row r="794">
      <c r="C794" s="1"/>
      <c r="F794" s="1"/>
      <c r="I794" s="1"/>
      <c r="L794" s="1"/>
    </row>
    <row r="795">
      <c r="C795" s="1"/>
      <c r="F795" s="1"/>
      <c r="I795" s="1"/>
      <c r="L795" s="1"/>
    </row>
    <row r="796">
      <c r="C796" s="1"/>
      <c r="F796" s="1"/>
      <c r="I796" s="1"/>
      <c r="L796" s="1"/>
    </row>
    <row r="797">
      <c r="C797" s="1"/>
      <c r="F797" s="1"/>
      <c r="I797" s="1"/>
      <c r="L797" s="1"/>
    </row>
    <row r="798">
      <c r="C798" s="1"/>
      <c r="F798" s="1"/>
      <c r="I798" s="1"/>
      <c r="L798" s="1"/>
    </row>
    <row r="799">
      <c r="C799" s="1"/>
      <c r="F799" s="1"/>
      <c r="I799" s="1"/>
      <c r="L799" s="1"/>
    </row>
    <row r="800">
      <c r="C800" s="1"/>
      <c r="F800" s="1"/>
      <c r="I800" s="1"/>
      <c r="L800" s="1"/>
    </row>
    <row r="801">
      <c r="C801" s="1"/>
      <c r="F801" s="1"/>
      <c r="I801" s="1"/>
      <c r="L801" s="1"/>
    </row>
    <row r="802">
      <c r="C802" s="1"/>
      <c r="F802" s="1"/>
      <c r="I802" s="1"/>
      <c r="L802" s="1"/>
    </row>
    <row r="803">
      <c r="C803" s="1"/>
      <c r="F803" s="1"/>
      <c r="I803" s="1"/>
      <c r="L803" s="1"/>
    </row>
    <row r="804">
      <c r="C804" s="1"/>
      <c r="F804" s="1"/>
      <c r="I804" s="1"/>
      <c r="L804" s="1"/>
    </row>
    <row r="805">
      <c r="C805" s="1"/>
      <c r="F805" s="1"/>
      <c r="I805" s="1"/>
      <c r="L805" s="1"/>
    </row>
    <row r="806">
      <c r="C806" s="1"/>
      <c r="F806" s="1"/>
      <c r="I806" s="1"/>
      <c r="L806" s="1"/>
    </row>
    <row r="807">
      <c r="C807" s="1"/>
      <c r="F807" s="1"/>
      <c r="I807" s="1"/>
      <c r="L807" s="1"/>
    </row>
    <row r="808">
      <c r="C808" s="1"/>
      <c r="F808" s="1"/>
      <c r="I808" s="1"/>
      <c r="L808" s="1"/>
    </row>
    <row r="809">
      <c r="C809" s="1"/>
      <c r="F809" s="1"/>
      <c r="I809" s="1"/>
      <c r="L809" s="1"/>
    </row>
    <row r="810">
      <c r="C810" s="1"/>
      <c r="F810" s="1"/>
      <c r="I810" s="1"/>
      <c r="L810" s="1"/>
    </row>
    <row r="811">
      <c r="C811" s="1"/>
      <c r="F811" s="1"/>
      <c r="I811" s="1"/>
      <c r="L811" s="1"/>
    </row>
    <row r="812">
      <c r="C812" s="1"/>
      <c r="F812" s="1"/>
      <c r="I812" s="1"/>
      <c r="L812" s="1"/>
    </row>
    <row r="813">
      <c r="C813" s="1"/>
      <c r="F813" s="1"/>
      <c r="I813" s="1"/>
      <c r="L813" s="1"/>
    </row>
    <row r="814">
      <c r="C814" s="1"/>
      <c r="F814" s="1"/>
      <c r="I814" s="1"/>
      <c r="L814" s="1"/>
    </row>
    <row r="815">
      <c r="C815" s="1"/>
      <c r="F815" s="1"/>
      <c r="I815" s="1"/>
      <c r="L815" s="1"/>
    </row>
    <row r="816">
      <c r="C816" s="1"/>
      <c r="F816" s="1"/>
      <c r="I816" s="1"/>
      <c r="L816" s="1"/>
    </row>
    <row r="817">
      <c r="C817" s="1"/>
      <c r="F817" s="1"/>
      <c r="I817" s="1"/>
      <c r="L817" s="1"/>
    </row>
    <row r="818">
      <c r="C818" s="1"/>
      <c r="F818" s="1"/>
      <c r="I818" s="1"/>
      <c r="L818" s="1"/>
    </row>
    <row r="819">
      <c r="C819" s="1"/>
      <c r="F819" s="1"/>
      <c r="I819" s="1"/>
      <c r="L819" s="1"/>
    </row>
    <row r="820">
      <c r="C820" s="1"/>
      <c r="F820" s="1"/>
      <c r="I820" s="1"/>
      <c r="L820" s="1"/>
    </row>
    <row r="821">
      <c r="C821" s="1"/>
      <c r="F821" s="1"/>
      <c r="I821" s="1"/>
      <c r="L821" s="1"/>
    </row>
    <row r="822">
      <c r="C822" s="1"/>
      <c r="F822" s="1"/>
      <c r="I822" s="1"/>
      <c r="L822" s="1"/>
    </row>
    <row r="823">
      <c r="C823" s="1"/>
      <c r="F823" s="1"/>
      <c r="I823" s="1"/>
      <c r="L823" s="1"/>
    </row>
    <row r="824">
      <c r="C824" s="1"/>
      <c r="F824" s="1"/>
      <c r="I824" s="1"/>
      <c r="L824" s="1"/>
    </row>
    <row r="825">
      <c r="C825" s="1"/>
      <c r="F825" s="1"/>
      <c r="I825" s="1"/>
      <c r="L825" s="1"/>
    </row>
    <row r="826">
      <c r="C826" s="1"/>
      <c r="F826" s="1"/>
      <c r="I826" s="1"/>
      <c r="L826" s="1"/>
    </row>
    <row r="827">
      <c r="C827" s="1"/>
      <c r="F827" s="1"/>
      <c r="I827" s="1"/>
      <c r="L827" s="1"/>
    </row>
    <row r="828">
      <c r="C828" s="1"/>
      <c r="F828" s="1"/>
      <c r="I828" s="1"/>
      <c r="L828" s="1"/>
    </row>
    <row r="829">
      <c r="C829" s="1"/>
      <c r="F829" s="1"/>
      <c r="I829" s="1"/>
      <c r="L829" s="1"/>
    </row>
    <row r="830">
      <c r="C830" s="1"/>
      <c r="F830" s="1"/>
      <c r="I830" s="1"/>
      <c r="L830" s="1"/>
    </row>
    <row r="831">
      <c r="C831" s="1"/>
      <c r="F831" s="1"/>
      <c r="I831" s="1"/>
      <c r="L831" s="1"/>
    </row>
    <row r="832">
      <c r="C832" s="1"/>
      <c r="F832" s="1"/>
      <c r="I832" s="1"/>
      <c r="L832" s="1"/>
    </row>
    <row r="833">
      <c r="C833" s="1"/>
      <c r="F833" s="1"/>
      <c r="I833" s="1"/>
      <c r="L833" s="1"/>
    </row>
    <row r="834">
      <c r="C834" s="1"/>
      <c r="F834" s="1"/>
      <c r="I834" s="1"/>
      <c r="L834" s="1"/>
    </row>
    <row r="835">
      <c r="C835" s="1"/>
      <c r="F835" s="1"/>
      <c r="I835" s="1"/>
      <c r="L835" s="1"/>
    </row>
    <row r="836">
      <c r="C836" s="1"/>
      <c r="F836" s="1"/>
      <c r="I836" s="1"/>
      <c r="L836" s="1"/>
    </row>
    <row r="837">
      <c r="C837" s="1"/>
      <c r="F837" s="1"/>
      <c r="I837" s="1"/>
      <c r="L837" s="1"/>
    </row>
    <row r="838">
      <c r="C838" s="1"/>
      <c r="F838" s="1"/>
      <c r="I838" s="1"/>
      <c r="L838" s="1"/>
    </row>
    <row r="839">
      <c r="C839" s="1"/>
      <c r="F839" s="1"/>
      <c r="I839" s="1"/>
      <c r="L839" s="1"/>
    </row>
    <row r="840">
      <c r="C840" s="1"/>
      <c r="F840" s="1"/>
      <c r="I840" s="1"/>
      <c r="L840" s="1"/>
    </row>
    <row r="841">
      <c r="C841" s="1"/>
      <c r="F841" s="1"/>
      <c r="I841" s="1"/>
      <c r="L841" s="1"/>
    </row>
    <row r="842">
      <c r="C842" s="1"/>
      <c r="F842" s="1"/>
      <c r="I842" s="1"/>
      <c r="L842" s="1"/>
    </row>
    <row r="843">
      <c r="C843" s="1"/>
      <c r="F843" s="1"/>
      <c r="I843" s="1"/>
      <c r="L843" s="1"/>
    </row>
    <row r="844">
      <c r="C844" s="1"/>
      <c r="F844" s="1"/>
      <c r="I844" s="1"/>
      <c r="L844" s="1"/>
    </row>
    <row r="845">
      <c r="C845" s="1"/>
      <c r="F845" s="1"/>
      <c r="I845" s="1"/>
      <c r="L845" s="1"/>
    </row>
    <row r="846">
      <c r="C846" s="1"/>
      <c r="F846" s="1"/>
      <c r="I846" s="1"/>
      <c r="L846" s="1"/>
    </row>
    <row r="847">
      <c r="C847" s="1"/>
      <c r="F847" s="1"/>
      <c r="I847" s="1"/>
      <c r="L847" s="1"/>
    </row>
    <row r="848">
      <c r="C848" s="1"/>
      <c r="F848" s="1"/>
      <c r="I848" s="1"/>
      <c r="L848" s="1"/>
    </row>
    <row r="849">
      <c r="C849" s="1"/>
      <c r="F849" s="1"/>
      <c r="I849" s="1"/>
      <c r="L849" s="1"/>
    </row>
    <row r="850">
      <c r="C850" s="1"/>
      <c r="F850" s="1"/>
      <c r="I850" s="1"/>
      <c r="L850" s="1"/>
    </row>
    <row r="851">
      <c r="C851" s="1"/>
      <c r="F851" s="1"/>
      <c r="I851" s="1"/>
      <c r="L851" s="1"/>
    </row>
    <row r="852">
      <c r="C852" s="1"/>
      <c r="F852" s="1"/>
      <c r="I852" s="1"/>
      <c r="L852" s="1"/>
    </row>
    <row r="853">
      <c r="C853" s="1"/>
      <c r="F853" s="1"/>
      <c r="I853" s="1"/>
      <c r="L853" s="1"/>
    </row>
    <row r="854">
      <c r="C854" s="1"/>
      <c r="F854" s="1"/>
      <c r="I854" s="1"/>
      <c r="L854" s="1"/>
    </row>
    <row r="855">
      <c r="C855" s="1"/>
      <c r="F855" s="1"/>
      <c r="I855" s="1"/>
      <c r="L855" s="1"/>
    </row>
    <row r="856">
      <c r="C856" s="1"/>
      <c r="F856" s="1"/>
      <c r="I856" s="1"/>
      <c r="L856" s="1"/>
    </row>
    <row r="857">
      <c r="C857" s="1"/>
      <c r="F857" s="1"/>
      <c r="I857" s="1"/>
      <c r="L857" s="1"/>
    </row>
    <row r="858">
      <c r="C858" s="1"/>
      <c r="F858" s="1"/>
      <c r="I858" s="1"/>
      <c r="L858" s="1"/>
    </row>
    <row r="859">
      <c r="C859" s="1"/>
      <c r="F859" s="1"/>
      <c r="I859" s="1"/>
      <c r="L859" s="1"/>
    </row>
    <row r="860">
      <c r="C860" s="1"/>
      <c r="F860" s="1"/>
      <c r="I860" s="1"/>
      <c r="L860" s="1"/>
    </row>
    <row r="861">
      <c r="C861" s="1"/>
      <c r="F861" s="1"/>
      <c r="I861" s="1"/>
      <c r="L861" s="1"/>
    </row>
    <row r="862">
      <c r="C862" s="1"/>
      <c r="F862" s="1"/>
      <c r="I862" s="1"/>
      <c r="L862" s="1"/>
    </row>
    <row r="863">
      <c r="C863" s="1"/>
      <c r="F863" s="1"/>
      <c r="I863" s="1"/>
      <c r="L863" s="1"/>
    </row>
    <row r="864">
      <c r="C864" s="1"/>
      <c r="F864" s="1"/>
      <c r="I864" s="1"/>
      <c r="L864" s="1"/>
    </row>
    <row r="865">
      <c r="C865" s="1"/>
      <c r="F865" s="1"/>
      <c r="I865" s="1"/>
      <c r="L865" s="1"/>
    </row>
    <row r="866">
      <c r="C866" s="1"/>
      <c r="F866" s="1"/>
      <c r="I866" s="1"/>
      <c r="L866" s="1"/>
    </row>
    <row r="867">
      <c r="C867" s="1"/>
      <c r="F867" s="1"/>
      <c r="I867" s="1"/>
      <c r="L867" s="1"/>
    </row>
    <row r="868">
      <c r="C868" s="1"/>
      <c r="F868" s="1"/>
      <c r="I868" s="1"/>
      <c r="L868" s="1"/>
    </row>
    <row r="869">
      <c r="C869" s="1"/>
      <c r="F869" s="1"/>
      <c r="I869" s="1"/>
      <c r="L869" s="1"/>
    </row>
    <row r="870">
      <c r="C870" s="1"/>
      <c r="F870" s="1"/>
      <c r="I870" s="1"/>
      <c r="L870" s="1"/>
    </row>
    <row r="871">
      <c r="C871" s="1"/>
      <c r="F871" s="1"/>
      <c r="I871" s="1"/>
      <c r="L871" s="1"/>
    </row>
    <row r="872">
      <c r="C872" s="1"/>
      <c r="F872" s="1"/>
      <c r="I872" s="1"/>
      <c r="L872" s="1"/>
    </row>
    <row r="873">
      <c r="C873" s="1"/>
      <c r="F873" s="1"/>
      <c r="I873" s="1"/>
      <c r="L873" s="1"/>
    </row>
    <row r="874">
      <c r="C874" s="1"/>
      <c r="F874" s="1"/>
      <c r="I874" s="1"/>
      <c r="L874" s="1"/>
    </row>
    <row r="875">
      <c r="C875" s="1"/>
      <c r="F875" s="1"/>
      <c r="I875" s="1"/>
      <c r="L875" s="1"/>
    </row>
    <row r="876">
      <c r="C876" s="1"/>
      <c r="F876" s="1"/>
      <c r="I876" s="1"/>
      <c r="L876" s="1"/>
    </row>
    <row r="877">
      <c r="C877" s="1"/>
      <c r="F877" s="1"/>
      <c r="I877" s="1"/>
      <c r="L877" s="1"/>
    </row>
    <row r="878">
      <c r="C878" s="1"/>
      <c r="F878" s="1"/>
      <c r="I878" s="1"/>
      <c r="L878" s="1"/>
    </row>
    <row r="879">
      <c r="C879" s="1"/>
      <c r="F879" s="1"/>
      <c r="I879" s="1"/>
      <c r="L879" s="1"/>
    </row>
    <row r="880">
      <c r="C880" s="1"/>
      <c r="F880" s="1"/>
      <c r="I880" s="1"/>
      <c r="L880" s="1"/>
    </row>
    <row r="881">
      <c r="C881" s="1"/>
      <c r="F881" s="1"/>
      <c r="I881" s="1"/>
      <c r="L881" s="1"/>
    </row>
    <row r="882">
      <c r="C882" s="1"/>
      <c r="F882" s="1"/>
      <c r="I882" s="1"/>
      <c r="L882" s="1"/>
    </row>
    <row r="883">
      <c r="C883" s="1"/>
      <c r="F883" s="1"/>
      <c r="I883" s="1"/>
      <c r="L883" s="1"/>
    </row>
    <row r="884">
      <c r="C884" s="1"/>
      <c r="F884" s="1"/>
      <c r="I884" s="1"/>
      <c r="L884" s="1"/>
    </row>
    <row r="885">
      <c r="C885" s="1"/>
      <c r="F885" s="1"/>
      <c r="I885" s="1"/>
      <c r="L885" s="1"/>
    </row>
    <row r="886">
      <c r="C886" s="1"/>
      <c r="F886" s="1"/>
      <c r="I886" s="1"/>
      <c r="L886" s="1"/>
    </row>
    <row r="887">
      <c r="C887" s="1"/>
      <c r="F887" s="1"/>
      <c r="I887" s="1"/>
      <c r="L887" s="1"/>
    </row>
    <row r="888">
      <c r="C888" s="1"/>
      <c r="F888" s="1"/>
      <c r="I888" s="1"/>
      <c r="L888" s="1"/>
    </row>
    <row r="889">
      <c r="C889" s="1"/>
      <c r="F889" s="1"/>
      <c r="I889" s="1"/>
      <c r="L889" s="1"/>
    </row>
    <row r="890">
      <c r="C890" s="1"/>
      <c r="F890" s="1"/>
      <c r="I890" s="1"/>
      <c r="L890" s="1"/>
    </row>
    <row r="891">
      <c r="C891" s="1"/>
      <c r="F891" s="1"/>
      <c r="I891" s="1"/>
      <c r="L891" s="1"/>
    </row>
    <row r="892">
      <c r="C892" s="1"/>
      <c r="F892" s="1"/>
      <c r="I892" s="1"/>
      <c r="L892" s="1"/>
    </row>
    <row r="893">
      <c r="C893" s="1"/>
      <c r="F893" s="1"/>
      <c r="I893" s="1"/>
      <c r="L893" s="1"/>
    </row>
    <row r="894">
      <c r="C894" s="1"/>
      <c r="F894" s="1"/>
      <c r="I894" s="1"/>
      <c r="L894" s="1"/>
    </row>
    <row r="895">
      <c r="C895" s="1"/>
      <c r="F895" s="1"/>
      <c r="I895" s="1"/>
      <c r="L895" s="1"/>
    </row>
    <row r="896">
      <c r="C896" s="1"/>
      <c r="F896" s="1"/>
      <c r="I896" s="1"/>
      <c r="L896" s="1"/>
    </row>
    <row r="897">
      <c r="C897" s="1"/>
      <c r="F897" s="1"/>
      <c r="I897" s="1"/>
      <c r="L897" s="1"/>
    </row>
    <row r="898">
      <c r="C898" s="1"/>
      <c r="F898" s="1"/>
      <c r="I898" s="1"/>
      <c r="L898" s="1"/>
    </row>
    <row r="899">
      <c r="C899" s="1"/>
      <c r="F899" s="1"/>
      <c r="I899" s="1"/>
      <c r="L899" s="1"/>
    </row>
    <row r="900">
      <c r="C900" s="1"/>
      <c r="F900" s="1"/>
      <c r="I900" s="1"/>
      <c r="L900" s="1"/>
    </row>
    <row r="901">
      <c r="C901" s="1"/>
      <c r="F901" s="1"/>
      <c r="I901" s="1"/>
      <c r="L901" s="1"/>
    </row>
    <row r="902">
      <c r="C902" s="1"/>
      <c r="F902" s="1"/>
      <c r="I902" s="1"/>
      <c r="L902" s="1"/>
    </row>
    <row r="903">
      <c r="C903" s="1"/>
      <c r="F903" s="1"/>
      <c r="I903" s="1"/>
      <c r="L903" s="1"/>
    </row>
    <row r="904">
      <c r="C904" s="1"/>
      <c r="F904" s="1"/>
      <c r="I904" s="1"/>
      <c r="L904" s="1"/>
    </row>
    <row r="905">
      <c r="C905" s="1"/>
      <c r="F905" s="1"/>
      <c r="I905" s="1"/>
      <c r="L905" s="1"/>
    </row>
    <row r="906">
      <c r="C906" s="1"/>
      <c r="F906" s="1"/>
      <c r="I906" s="1"/>
      <c r="L906" s="1"/>
    </row>
    <row r="907">
      <c r="C907" s="1"/>
      <c r="F907" s="1"/>
      <c r="I907" s="1"/>
      <c r="L907" s="1"/>
    </row>
    <row r="908">
      <c r="C908" s="1"/>
      <c r="F908" s="1"/>
      <c r="I908" s="1"/>
      <c r="L908" s="1"/>
    </row>
    <row r="909">
      <c r="C909" s="1"/>
      <c r="F909" s="1"/>
      <c r="I909" s="1"/>
      <c r="L909" s="1"/>
    </row>
    <row r="910">
      <c r="C910" s="1"/>
      <c r="F910" s="1"/>
      <c r="I910" s="1"/>
      <c r="L910" s="1"/>
    </row>
    <row r="911">
      <c r="C911" s="1"/>
      <c r="F911" s="1"/>
      <c r="I911" s="1"/>
      <c r="L911" s="1"/>
    </row>
    <row r="912">
      <c r="C912" s="1"/>
      <c r="F912" s="1"/>
      <c r="I912" s="1"/>
      <c r="L912" s="1"/>
    </row>
    <row r="913">
      <c r="C913" s="1"/>
      <c r="F913" s="1"/>
      <c r="I913" s="1"/>
      <c r="L913" s="1"/>
    </row>
    <row r="914">
      <c r="C914" s="1"/>
      <c r="F914" s="1"/>
      <c r="I914" s="1"/>
      <c r="L914" s="1"/>
    </row>
    <row r="915">
      <c r="C915" s="1"/>
      <c r="F915" s="1"/>
      <c r="I915" s="1"/>
      <c r="L915" s="1"/>
    </row>
    <row r="916">
      <c r="C916" s="1"/>
      <c r="F916" s="1"/>
      <c r="I916" s="1"/>
      <c r="L916" s="1"/>
    </row>
    <row r="917">
      <c r="C917" s="1"/>
      <c r="F917" s="1"/>
      <c r="I917" s="1"/>
      <c r="L917" s="1"/>
    </row>
    <row r="918">
      <c r="C918" s="1"/>
      <c r="F918" s="1"/>
      <c r="I918" s="1"/>
      <c r="L918" s="1"/>
    </row>
    <row r="919">
      <c r="C919" s="1"/>
      <c r="F919" s="1"/>
      <c r="I919" s="1"/>
      <c r="L919" s="1"/>
    </row>
    <row r="920">
      <c r="C920" s="1"/>
      <c r="F920" s="1"/>
      <c r="I920" s="1"/>
      <c r="L920" s="1"/>
    </row>
    <row r="921">
      <c r="C921" s="1"/>
      <c r="F921" s="1"/>
      <c r="I921" s="1"/>
      <c r="L921" s="1"/>
    </row>
    <row r="922">
      <c r="C922" s="1"/>
      <c r="F922" s="1"/>
      <c r="I922" s="1"/>
      <c r="L922" s="1"/>
    </row>
    <row r="923">
      <c r="C923" s="1"/>
      <c r="F923" s="1"/>
      <c r="I923" s="1"/>
      <c r="L923" s="1"/>
    </row>
    <row r="924">
      <c r="C924" s="1"/>
      <c r="F924" s="1"/>
      <c r="I924" s="1"/>
      <c r="L924" s="1"/>
    </row>
    <row r="925">
      <c r="C925" s="1"/>
      <c r="F925" s="1"/>
      <c r="I925" s="1"/>
      <c r="L925" s="1"/>
    </row>
    <row r="926">
      <c r="C926" s="1"/>
      <c r="F926" s="1"/>
      <c r="I926" s="1"/>
      <c r="L926" s="1"/>
    </row>
    <row r="927">
      <c r="C927" s="1"/>
      <c r="F927" s="1"/>
      <c r="I927" s="1"/>
      <c r="L927" s="1"/>
    </row>
    <row r="928">
      <c r="C928" s="1"/>
      <c r="F928" s="1"/>
      <c r="I928" s="1"/>
      <c r="L928" s="1"/>
    </row>
    <row r="929">
      <c r="C929" s="1"/>
      <c r="F929" s="1"/>
      <c r="I929" s="1"/>
      <c r="L929" s="1"/>
    </row>
    <row r="930">
      <c r="C930" s="1"/>
      <c r="F930" s="1"/>
      <c r="I930" s="1"/>
      <c r="L930" s="1"/>
    </row>
    <row r="931">
      <c r="C931" s="1"/>
      <c r="F931" s="1"/>
      <c r="I931" s="1"/>
      <c r="L931" s="1"/>
    </row>
    <row r="932">
      <c r="C932" s="1"/>
      <c r="F932" s="1"/>
      <c r="I932" s="1"/>
      <c r="L932" s="1"/>
    </row>
    <row r="933">
      <c r="C933" s="1"/>
      <c r="F933" s="1"/>
      <c r="I933" s="1"/>
      <c r="L933" s="1"/>
    </row>
    <row r="934">
      <c r="C934" s="1"/>
      <c r="F934" s="1"/>
      <c r="I934" s="1"/>
      <c r="L934" s="1"/>
    </row>
    <row r="935">
      <c r="C935" s="1"/>
      <c r="F935" s="1"/>
      <c r="I935" s="1"/>
      <c r="L935" s="1"/>
    </row>
    <row r="936">
      <c r="C936" s="1"/>
      <c r="F936" s="1"/>
      <c r="I936" s="1"/>
      <c r="L936" s="1"/>
    </row>
    <row r="937">
      <c r="C937" s="1"/>
      <c r="F937" s="1"/>
      <c r="I937" s="1"/>
      <c r="L937" s="1"/>
    </row>
    <row r="938">
      <c r="C938" s="1"/>
      <c r="F938" s="1"/>
      <c r="I938" s="1"/>
      <c r="L938" s="1"/>
    </row>
    <row r="939">
      <c r="C939" s="1"/>
      <c r="F939" s="1"/>
      <c r="I939" s="1"/>
      <c r="L939" s="1"/>
    </row>
    <row r="940">
      <c r="C940" s="1"/>
      <c r="F940" s="1"/>
      <c r="I940" s="1"/>
      <c r="L940" s="1"/>
    </row>
    <row r="941">
      <c r="C941" s="1"/>
      <c r="F941" s="1"/>
      <c r="I941" s="1"/>
      <c r="L941" s="1"/>
    </row>
    <row r="942">
      <c r="C942" s="1"/>
      <c r="F942" s="1"/>
      <c r="I942" s="1"/>
      <c r="L942" s="1"/>
    </row>
    <row r="943">
      <c r="C943" s="1"/>
      <c r="F943" s="1"/>
      <c r="I943" s="1"/>
      <c r="L943" s="1"/>
    </row>
    <row r="944">
      <c r="C944" s="1"/>
      <c r="F944" s="1"/>
      <c r="I944" s="1"/>
      <c r="L944" s="1"/>
    </row>
    <row r="945">
      <c r="C945" s="1"/>
      <c r="F945" s="1"/>
      <c r="I945" s="1"/>
      <c r="L945" s="1"/>
    </row>
    <row r="946">
      <c r="C946" s="1"/>
      <c r="F946" s="1"/>
      <c r="I946" s="1"/>
      <c r="L946" s="1"/>
    </row>
    <row r="947">
      <c r="C947" s="1"/>
      <c r="F947" s="1"/>
      <c r="I947" s="1"/>
      <c r="L947" s="1"/>
    </row>
    <row r="948">
      <c r="C948" s="1"/>
      <c r="F948" s="1"/>
      <c r="I948" s="1"/>
      <c r="L948" s="1"/>
    </row>
    <row r="949">
      <c r="C949" s="1"/>
      <c r="F949" s="1"/>
      <c r="I949" s="1"/>
      <c r="L949" s="1"/>
    </row>
    <row r="950">
      <c r="C950" s="1"/>
      <c r="F950" s="1"/>
      <c r="I950" s="1"/>
      <c r="L950" s="1"/>
    </row>
    <row r="951">
      <c r="C951" s="1"/>
      <c r="F951" s="1"/>
      <c r="I951" s="1"/>
      <c r="L951" s="1"/>
    </row>
    <row r="952">
      <c r="C952" s="1"/>
      <c r="F952" s="1"/>
      <c r="I952" s="1"/>
      <c r="L952" s="1"/>
    </row>
    <row r="953">
      <c r="C953" s="1"/>
      <c r="F953" s="1"/>
      <c r="I953" s="1"/>
      <c r="L953" s="1"/>
    </row>
    <row r="954">
      <c r="C954" s="1"/>
      <c r="F954" s="1"/>
      <c r="I954" s="1"/>
      <c r="L954" s="1"/>
    </row>
    <row r="955">
      <c r="C955" s="1"/>
      <c r="F955" s="1"/>
      <c r="I955" s="1"/>
      <c r="L955" s="1"/>
    </row>
    <row r="956">
      <c r="C956" s="1"/>
      <c r="F956" s="1"/>
      <c r="I956" s="1"/>
      <c r="L956" s="1"/>
    </row>
    <row r="957">
      <c r="C957" s="1"/>
      <c r="F957" s="1"/>
      <c r="I957" s="1"/>
      <c r="L957" s="1"/>
    </row>
    <row r="958">
      <c r="C958" s="1"/>
      <c r="F958" s="1"/>
      <c r="I958" s="1"/>
      <c r="L958" s="1"/>
    </row>
    <row r="959">
      <c r="C959" s="1"/>
      <c r="F959" s="1"/>
      <c r="I959" s="1"/>
      <c r="L959" s="1"/>
    </row>
    <row r="960">
      <c r="C960" s="1"/>
      <c r="F960" s="1"/>
      <c r="I960" s="1"/>
      <c r="L960" s="1"/>
    </row>
    <row r="961">
      <c r="C961" s="1"/>
      <c r="F961" s="1"/>
      <c r="I961" s="1"/>
      <c r="L961" s="1"/>
    </row>
    <row r="962">
      <c r="C962" s="1"/>
      <c r="F962" s="1"/>
      <c r="I962" s="1"/>
      <c r="L962" s="1"/>
    </row>
    <row r="963">
      <c r="C963" s="1"/>
      <c r="F963" s="1"/>
      <c r="I963" s="1"/>
      <c r="L963" s="1"/>
    </row>
    <row r="964">
      <c r="C964" s="1"/>
      <c r="F964" s="1"/>
      <c r="I964" s="1"/>
      <c r="L964" s="1"/>
    </row>
    <row r="965">
      <c r="C965" s="1"/>
      <c r="F965" s="1"/>
      <c r="I965" s="1"/>
      <c r="L965" s="1"/>
    </row>
    <row r="966">
      <c r="C966" s="1"/>
      <c r="F966" s="1"/>
      <c r="I966" s="1"/>
      <c r="L966" s="1"/>
    </row>
    <row r="967">
      <c r="C967" s="1"/>
      <c r="F967" s="1"/>
      <c r="I967" s="1"/>
      <c r="L967" s="1"/>
    </row>
    <row r="968">
      <c r="C968" s="1"/>
      <c r="F968" s="1"/>
      <c r="I968" s="1"/>
      <c r="L968" s="1"/>
    </row>
    <row r="969">
      <c r="C969" s="1"/>
      <c r="F969" s="1"/>
      <c r="I969" s="1"/>
      <c r="L969" s="1"/>
    </row>
    <row r="970">
      <c r="C970" s="1"/>
      <c r="F970" s="1"/>
      <c r="I970" s="1"/>
      <c r="L970" s="1"/>
    </row>
    <row r="971">
      <c r="C971" s="1"/>
      <c r="F971" s="1"/>
      <c r="I971" s="1"/>
      <c r="L971" s="1"/>
    </row>
    <row r="972">
      <c r="C972" s="1"/>
      <c r="F972" s="1"/>
      <c r="I972" s="1"/>
      <c r="L972" s="1"/>
    </row>
    <row r="973">
      <c r="C973" s="1"/>
      <c r="F973" s="1"/>
      <c r="I973" s="1"/>
      <c r="L973" s="1"/>
    </row>
    <row r="974">
      <c r="C974" s="1"/>
      <c r="F974" s="1"/>
      <c r="I974" s="1"/>
      <c r="L974" s="1"/>
    </row>
    <row r="975">
      <c r="C975" s="1"/>
      <c r="F975" s="1"/>
      <c r="I975" s="1"/>
      <c r="L975" s="1"/>
    </row>
    <row r="976">
      <c r="C976" s="1"/>
      <c r="F976" s="1"/>
      <c r="I976" s="1"/>
      <c r="L976" s="1"/>
    </row>
    <row r="977">
      <c r="C977" s="1"/>
      <c r="F977" s="1"/>
      <c r="I977" s="1"/>
      <c r="L977" s="1"/>
    </row>
    <row r="978">
      <c r="C978" s="1"/>
      <c r="F978" s="1"/>
      <c r="I978" s="1"/>
      <c r="L978" s="1"/>
    </row>
    <row r="979">
      <c r="C979" s="1"/>
      <c r="F979" s="1"/>
      <c r="I979" s="1"/>
      <c r="L979" s="1"/>
    </row>
    <row r="980">
      <c r="C980" s="1"/>
      <c r="F980" s="1"/>
      <c r="I980" s="1"/>
      <c r="L980" s="1"/>
    </row>
    <row r="981">
      <c r="C981" s="1"/>
      <c r="F981" s="1"/>
      <c r="I981" s="1"/>
      <c r="L981" s="1"/>
    </row>
    <row r="982">
      <c r="C982" s="1"/>
      <c r="F982" s="1"/>
      <c r="I982" s="1"/>
      <c r="L982" s="1"/>
    </row>
    <row r="983">
      <c r="C983" s="1"/>
      <c r="F983" s="1"/>
      <c r="I983" s="1"/>
      <c r="L983" s="1"/>
    </row>
    <row r="984">
      <c r="C984" s="1"/>
      <c r="F984" s="1"/>
      <c r="I984" s="1"/>
      <c r="L984" s="1"/>
    </row>
    <row r="985">
      <c r="C985" s="1"/>
      <c r="F985" s="1"/>
      <c r="I985" s="1"/>
      <c r="L985" s="1"/>
    </row>
    <row r="986">
      <c r="C986" s="1"/>
      <c r="F986" s="1"/>
      <c r="I986" s="1"/>
      <c r="L986" s="1"/>
    </row>
    <row r="987">
      <c r="C987" s="1"/>
      <c r="F987" s="1"/>
      <c r="I987" s="1"/>
      <c r="L987" s="1"/>
    </row>
    <row r="988">
      <c r="C988" s="1"/>
      <c r="F988" s="1"/>
      <c r="I988" s="1"/>
      <c r="L988" s="1"/>
    </row>
    <row r="989">
      <c r="C989" s="1"/>
      <c r="F989" s="1"/>
      <c r="I989" s="1"/>
      <c r="L989" s="1"/>
    </row>
    <row r="990">
      <c r="C990" s="1"/>
      <c r="F990" s="1"/>
      <c r="I990" s="1"/>
      <c r="L990" s="1"/>
    </row>
    <row r="991">
      <c r="C991" s="1"/>
      <c r="F991" s="1"/>
      <c r="I991" s="1"/>
      <c r="L991" s="1"/>
    </row>
    <row r="992">
      <c r="C992" s="1"/>
      <c r="F992" s="1"/>
      <c r="I992" s="1"/>
      <c r="L992" s="1"/>
    </row>
    <row r="993">
      <c r="C993" s="1"/>
      <c r="F993" s="1"/>
      <c r="I993" s="1"/>
      <c r="L993" s="1"/>
    </row>
    <row r="994">
      <c r="C994" s="1"/>
      <c r="F994" s="1"/>
      <c r="I994" s="1"/>
      <c r="L994" s="1"/>
    </row>
    <row r="995">
      <c r="C995" s="1"/>
      <c r="F995" s="1"/>
      <c r="I995" s="1"/>
      <c r="L995" s="1"/>
    </row>
    <row r="996">
      <c r="C996" s="1"/>
      <c r="F996" s="1"/>
      <c r="I996" s="1"/>
      <c r="L996" s="1"/>
    </row>
    <row r="997">
      <c r="C997" s="1"/>
      <c r="F997" s="1"/>
      <c r="I997" s="1"/>
      <c r="L997" s="1"/>
    </row>
    <row r="998">
      <c r="C998" s="1"/>
      <c r="F998" s="1"/>
      <c r="I998" s="1"/>
      <c r="L998" s="1"/>
    </row>
    <row r="999">
      <c r="C999" s="1"/>
      <c r="F999" s="1"/>
      <c r="I999" s="1"/>
      <c r="L999" s="1"/>
    </row>
    <row r="1000">
      <c r="C1000" s="1"/>
      <c r="F1000" s="1"/>
      <c r="I1000" s="1"/>
      <c r="L1000" s="1"/>
    </row>
    <row r="1001">
      <c r="C1001" s="1"/>
      <c r="F1001" s="1"/>
      <c r="I1001" s="1"/>
      <c r="L1001" s="1"/>
    </row>
  </sheetData>
  <mergeCells count="21">
    <mergeCell ref="A2:N2"/>
    <mergeCell ref="B4:C4"/>
    <mergeCell ref="D4:F4"/>
    <mergeCell ref="G4:I4"/>
    <mergeCell ref="J4:L4"/>
    <mergeCell ref="M4:N4"/>
    <mergeCell ref="C7:C8"/>
    <mergeCell ref="F16:F19"/>
    <mergeCell ref="F24:F27"/>
    <mergeCell ref="F32:F35"/>
    <mergeCell ref="C23:C24"/>
    <mergeCell ref="C27:C28"/>
    <mergeCell ref="C35:C36"/>
    <mergeCell ref="F8:F11"/>
    <mergeCell ref="I10:I17"/>
    <mergeCell ref="C11:C12"/>
    <mergeCell ref="L14:L29"/>
    <mergeCell ref="C15:C16"/>
    <mergeCell ref="C19:C20"/>
    <mergeCell ref="I26:I33"/>
    <mergeCell ref="C31:C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75"/>
    <col customWidth="1" min="3" max="3" width="8.25"/>
    <col customWidth="1" min="4" max="4" width="32.63"/>
    <col customWidth="1" min="5" max="5" width="5.38"/>
    <col customWidth="1" min="6" max="6" width="5.5"/>
    <col customWidth="1" min="7" max="7" width="8.0"/>
  </cols>
  <sheetData>
    <row r="1">
      <c r="B1" s="1"/>
      <c r="C1" s="1"/>
      <c r="D1" s="2"/>
    </row>
    <row r="2">
      <c r="A2" s="3"/>
      <c r="B2" s="5" t="s">
        <v>0</v>
      </c>
      <c r="C2" s="6" t="s">
        <v>1</v>
      </c>
      <c r="D2" s="8" t="s">
        <v>2</v>
      </c>
      <c r="E2" s="6" t="s">
        <v>3</v>
      </c>
      <c r="F2" s="6" t="s">
        <v>4</v>
      </c>
      <c r="G2" s="10" t="s">
        <v>5</v>
      </c>
    </row>
    <row r="3">
      <c r="A3" s="11"/>
      <c r="B3" s="12">
        <v>7.0</v>
      </c>
      <c r="C3" s="13" t="s">
        <v>8</v>
      </c>
      <c r="D3" s="14" t="s">
        <v>9</v>
      </c>
      <c r="E3" s="13">
        <v>1.0</v>
      </c>
      <c r="F3" s="16">
        <v>236.0</v>
      </c>
      <c r="G3" s="17">
        <v>1.0</v>
      </c>
    </row>
    <row r="4">
      <c r="A4" s="11"/>
      <c r="B4" s="18">
        <v>25.0</v>
      </c>
      <c r="C4" s="19" t="s">
        <v>10</v>
      </c>
      <c r="D4" s="20" t="s">
        <v>11</v>
      </c>
      <c r="E4" s="19">
        <v>1.0</v>
      </c>
      <c r="F4" s="21">
        <v>216.0</v>
      </c>
      <c r="G4" s="17">
        <v>2.0</v>
      </c>
    </row>
    <row r="5">
      <c r="A5" s="11"/>
      <c r="B5" s="23">
        <v>6.0</v>
      </c>
      <c r="C5" s="25" t="s">
        <v>14</v>
      </c>
      <c r="D5" s="27" t="s">
        <v>15</v>
      </c>
      <c r="E5" s="25">
        <v>1.0</v>
      </c>
      <c r="F5" s="28">
        <v>212.5</v>
      </c>
      <c r="G5" s="17">
        <v>3.0</v>
      </c>
    </row>
    <row r="6">
      <c r="A6" s="11"/>
      <c r="B6" s="30">
        <v>15.0</v>
      </c>
      <c r="C6" s="32" t="s">
        <v>20</v>
      </c>
      <c r="D6" s="33" t="s">
        <v>22</v>
      </c>
      <c r="E6" s="32">
        <v>1.0</v>
      </c>
      <c r="F6" s="35">
        <v>194.0</v>
      </c>
      <c r="G6" s="17">
        <v>4.0</v>
      </c>
    </row>
    <row r="7">
      <c r="A7" s="11"/>
      <c r="B7" s="37">
        <v>2.0</v>
      </c>
      <c r="C7" s="39" t="s">
        <v>25</v>
      </c>
      <c r="D7" s="41" t="s">
        <v>26</v>
      </c>
      <c r="E7" s="39">
        <v>1.0</v>
      </c>
      <c r="F7" s="42">
        <v>166.0</v>
      </c>
      <c r="G7" s="17">
        <v>5.0</v>
      </c>
    </row>
    <row r="8">
      <c r="A8" s="11"/>
      <c r="B8" s="23">
        <v>4.0</v>
      </c>
      <c r="C8" s="25" t="s">
        <v>14</v>
      </c>
      <c r="D8" s="27" t="s">
        <v>27</v>
      </c>
      <c r="E8" s="25">
        <v>2.0</v>
      </c>
      <c r="F8" s="28">
        <v>157.5</v>
      </c>
      <c r="G8" s="17">
        <v>6.0</v>
      </c>
    </row>
    <row r="9">
      <c r="A9" s="11"/>
      <c r="B9" s="18">
        <v>27.0</v>
      </c>
      <c r="C9" s="19" t="s">
        <v>10</v>
      </c>
      <c r="D9" s="20" t="s">
        <v>28</v>
      </c>
      <c r="E9" s="19">
        <v>2.0</v>
      </c>
      <c r="F9" s="21">
        <v>138.0</v>
      </c>
      <c r="G9" s="17">
        <v>7.0</v>
      </c>
    </row>
    <row r="10">
      <c r="A10" s="11"/>
      <c r="B10" s="37">
        <v>3.0</v>
      </c>
      <c r="C10" s="39" t="s">
        <v>25</v>
      </c>
      <c r="D10" s="41" t="s">
        <v>29</v>
      </c>
      <c r="E10" s="39">
        <v>2.0</v>
      </c>
      <c r="F10" s="42">
        <v>134.0</v>
      </c>
      <c r="G10" s="17">
        <v>8.0</v>
      </c>
    </row>
    <row r="11">
      <c r="A11" s="11"/>
      <c r="B11" s="12">
        <v>12.0</v>
      </c>
      <c r="C11" s="13" t="s">
        <v>8</v>
      </c>
      <c r="D11" s="14" t="s">
        <v>31</v>
      </c>
      <c r="E11" s="13">
        <v>2.0</v>
      </c>
      <c r="F11" s="16">
        <v>128.0</v>
      </c>
      <c r="G11" s="17">
        <v>9.0</v>
      </c>
    </row>
    <row r="12">
      <c r="A12" s="11"/>
      <c r="B12" s="30">
        <v>22.0</v>
      </c>
      <c r="C12" s="32" t="s">
        <v>20</v>
      </c>
      <c r="D12" s="33" t="s">
        <v>32</v>
      </c>
      <c r="E12" s="32">
        <v>2.0</v>
      </c>
      <c r="F12" s="35">
        <v>120.0</v>
      </c>
      <c r="G12" s="17">
        <v>10.0</v>
      </c>
    </row>
    <row r="13">
      <c r="A13" s="11"/>
      <c r="B13" s="12">
        <v>8.0</v>
      </c>
      <c r="C13" s="13" t="s">
        <v>8</v>
      </c>
      <c r="D13" s="14" t="s">
        <v>34</v>
      </c>
      <c r="E13" s="13">
        <v>3.0</v>
      </c>
      <c r="F13" s="16">
        <v>146.0</v>
      </c>
      <c r="G13" s="17">
        <v>11.0</v>
      </c>
    </row>
    <row r="14">
      <c r="A14" s="11"/>
      <c r="B14" s="30">
        <v>26.0</v>
      </c>
      <c r="C14" s="32" t="s">
        <v>20</v>
      </c>
      <c r="D14" s="33" t="s">
        <v>36</v>
      </c>
      <c r="E14" s="32">
        <v>3.0</v>
      </c>
      <c r="F14" s="35">
        <v>112.0</v>
      </c>
      <c r="G14" s="17">
        <v>12.0</v>
      </c>
    </row>
    <row r="15">
      <c r="A15" s="11"/>
      <c r="B15" s="18">
        <v>9.0</v>
      </c>
      <c r="C15" s="19" t="s">
        <v>10</v>
      </c>
      <c r="D15" s="20" t="s">
        <v>37</v>
      </c>
      <c r="E15" s="19">
        <v>3.0</v>
      </c>
      <c r="F15" s="21">
        <v>96.0</v>
      </c>
      <c r="G15" s="17">
        <v>13.0</v>
      </c>
    </row>
    <row r="16">
      <c r="A16" s="11"/>
      <c r="B16" s="37">
        <v>20.0</v>
      </c>
      <c r="C16" s="39" t="s">
        <v>25</v>
      </c>
      <c r="D16" s="41" t="s">
        <v>39</v>
      </c>
      <c r="E16" s="39">
        <v>3.0</v>
      </c>
      <c r="F16" s="42">
        <v>94.0</v>
      </c>
      <c r="G16" s="17">
        <v>14.0</v>
      </c>
    </row>
    <row r="17">
      <c r="A17" s="11"/>
      <c r="B17" s="23">
        <v>19.0</v>
      </c>
      <c r="C17" s="25" t="s">
        <v>14</v>
      </c>
      <c r="D17" s="27" t="s">
        <v>41</v>
      </c>
      <c r="E17" s="25">
        <v>3.0</v>
      </c>
      <c r="F17" s="28">
        <v>77.5</v>
      </c>
      <c r="G17" s="17">
        <v>15.0</v>
      </c>
    </row>
    <row r="18">
      <c r="A18" s="11"/>
      <c r="B18" s="30">
        <v>1.0</v>
      </c>
      <c r="C18" s="32" t="s">
        <v>20</v>
      </c>
      <c r="D18" s="33" t="s">
        <v>30</v>
      </c>
      <c r="E18" s="32">
        <v>4.0</v>
      </c>
      <c r="F18" s="35">
        <v>150.0</v>
      </c>
      <c r="G18" s="17">
        <v>16.0</v>
      </c>
    </row>
    <row r="19">
      <c r="A19" s="11"/>
      <c r="B19" s="12">
        <v>29.0</v>
      </c>
      <c r="C19" s="13" t="s">
        <v>8</v>
      </c>
      <c r="D19" s="14" t="s">
        <v>44</v>
      </c>
      <c r="E19" s="13">
        <v>4.0</v>
      </c>
      <c r="F19" s="16">
        <v>120.0</v>
      </c>
      <c r="G19" s="55">
        <v>17.0</v>
      </c>
    </row>
    <row r="20">
      <c r="A20" s="11"/>
      <c r="B20" s="18">
        <v>23.0</v>
      </c>
      <c r="C20" s="19" t="s">
        <v>10</v>
      </c>
      <c r="D20" s="20" t="s">
        <v>45</v>
      </c>
      <c r="E20" s="19">
        <v>4.0</v>
      </c>
      <c r="F20" s="21">
        <v>96.0</v>
      </c>
      <c r="G20" s="55">
        <v>18.0</v>
      </c>
    </row>
    <row r="21">
      <c r="A21" s="11"/>
      <c r="B21" s="37">
        <v>13.0</v>
      </c>
      <c r="C21" s="39" t="s">
        <v>25</v>
      </c>
      <c r="D21" s="41" t="s">
        <v>46</v>
      </c>
      <c r="E21" s="39">
        <v>4.0</v>
      </c>
      <c r="F21" s="42">
        <v>86.0</v>
      </c>
      <c r="G21" s="55">
        <v>19.0</v>
      </c>
    </row>
    <row r="22">
      <c r="A22" s="11"/>
      <c r="B22" s="23">
        <v>16.0</v>
      </c>
      <c r="C22" s="25" t="s">
        <v>14</v>
      </c>
      <c r="D22" s="27" t="s">
        <v>47</v>
      </c>
      <c r="E22" s="25">
        <v>4.0</v>
      </c>
      <c r="F22" s="28">
        <v>70.0</v>
      </c>
      <c r="G22" s="55">
        <v>20.0</v>
      </c>
    </row>
    <row r="23">
      <c r="A23" s="11"/>
      <c r="B23" s="12">
        <v>11.0</v>
      </c>
      <c r="C23" s="13" t="s">
        <v>8</v>
      </c>
      <c r="D23" s="14" t="s">
        <v>49</v>
      </c>
      <c r="E23" s="13">
        <v>5.0</v>
      </c>
      <c r="F23" s="16">
        <v>100.0</v>
      </c>
      <c r="G23" s="55">
        <v>21.0</v>
      </c>
    </row>
    <row r="24">
      <c r="A24" s="11"/>
      <c r="B24" s="37">
        <v>24.0</v>
      </c>
      <c r="C24" s="39" t="s">
        <v>25</v>
      </c>
      <c r="D24" s="41" t="s">
        <v>52</v>
      </c>
      <c r="E24" s="39">
        <v>5.0</v>
      </c>
      <c r="F24" s="42">
        <v>82.0</v>
      </c>
      <c r="G24" s="55">
        <v>22.0</v>
      </c>
    </row>
    <row r="25">
      <c r="A25" s="11"/>
      <c r="B25" s="18">
        <v>21.0</v>
      </c>
      <c r="C25" s="19" t="s">
        <v>10</v>
      </c>
      <c r="D25" s="20" t="s">
        <v>55</v>
      </c>
      <c r="E25" s="19">
        <v>5.0</v>
      </c>
      <c r="F25" s="21">
        <v>80.0</v>
      </c>
      <c r="G25" s="55">
        <v>23.0</v>
      </c>
    </row>
    <row r="26">
      <c r="A26" s="11"/>
      <c r="B26" s="30">
        <v>17.0</v>
      </c>
      <c r="C26" s="32" t="s">
        <v>20</v>
      </c>
      <c r="D26" s="33" t="s">
        <v>57</v>
      </c>
      <c r="E26" s="32">
        <v>5.0</v>
      </c>
      <c r="F26" s="35">
        <v>60.0</v>
      </c>
      <c r="G26" s="55">
        <v>24.0</v>
      </c>
    </row>
    <row r="27">
      <c r="A27" s="11"/>
      <c r="B27" s="23">
        <v>5.0</v>
      </c>
      <c r="C27" s="25" t="s">
        <v>14</v>
      </c>
      <c r="D27" s="27" t="s">
        <v>58</v>
      </c>
      <c r="E27" s="25">
        <v>5.0</v>
      </c>
      <c r="F27" s="28">
        <v>42.5</v>
      </c>
      <c r="G27" s="55">
        <v>25.0</v>
      </c>
    </row>
    <row r="28">
      <c r="A28" s="11"/>
      <c r="B28" s="12">
        <v>14.0</v>
      </c>
      <c r="C28" s="13" t="s">
        <v>8</v>
      </c>
      <c r="D28" s="14" t="s">
        <v>59</v>
      </c>
      <c r="E28" s="13">
        <v>6.0</v>
      </c>
      <c r="F28" s="16">
        <v>84.0</v>
      </c>
      <c r="G28" s="55">
        <v>26.0</v>
      </c>
    </row>
    <row r="29">
      <c r="A29" s="11"/>
      <c r="B29" s="18">
        <v>18.0</v>
      </c>
      <c r="C29" s="19" t="s">
        <v>10</v>
      </c>
      <c r="D29" s="20" t="s">
        <v>60</v>
      </c>
      <c r="E29" s="19">
        <v>6.0</v>
      </c>
      <c r="F29" s="21">
        <v>78.0</v>
      </c>
      <c r="G29" s="55">
        <v>27.0</v>
      </c>
    </row>
    <row r="30">
      <c r="A30" s="11"/>
      <c r="B30" s="37">
        <v>10.0</v>
      </c>
      <c r="C30" s="39" t="s">
        <v>25</v>
      </c>
      <c r="D30" s="41" t="s">
        <v>61</v>
      </c>
      <c r="E30" s="39">
        <v>6.0</v>
      </c>
      <c r="F30" s="42">
        <v>66.0</v>
      </c>
      <c r="G30" s="55">
        <v>28.0</v>
      </c>
    </row>
    <row r="31">
      <c r="A31" s="11"/>
      <c r="B31" s="30">
        <v>28.0</v>
      </c>
      <c r="C31" s="32" t="s">
        <v>20</v>
      </c>
      <c r="D31" s="33" t="s">
        <v>64</v>
      </c>
      <c r="E31" s="32">
        <v>6.0</v>
      </c>
      <c r="F31" s="35">
        <v>60.0</v>
      </c>
      <c r="G31" s="55">
        <v>29.0</v>
      </c>
    </row>
    <row r="32">
      <c r="A32" s="11"/>
      <c r="B32" s="78" t="e">
        <v>#N/A</v>
      </c>
      <c r="C32" s="79" t="s">
        <v>14</v>
      </c>
      <c r="D32" s="80"/>
      <c r="E32" s="81"/>
      <c r="F32" s="82"/>
      <c r="G32" s="86">
        <v>30.0</v>
      </c>
    </row>
    <row r="33">
      <c r="B33" s="1"/>
      <c r="C33" s="1"/>
      <c r="D33" s="2"/>
    </row>
    <row r="34">
      <c r="B34" s="1"/>
      <c r="C34" s="1"/>
      <c r="D34" s="2"/>
    </row>
    <row r="35">
      <c r="B35" s="1"/>
      <c r="C35" s="1"/>
      <c r="D35" s="2"/>
    </row>
    <row r="36">
      <c r="B36" s="1"/>
      <c r="C36" s="1"/>
      <c r="D36" s="2"/>
    </row>
    <row r="37">
      <c r="B37" s="1"/>
      <c r="C37" s="1"/>
      <c r="D37" s="2"/>
    </row>
    <row r="38">
      <c r="B38" s="1"/>
      <c r="C38" s="1"/>
      <c r="D38" s="2"/>
    </row>
    <row r="39">
      <c r="B39" s="1"/>
      <c r="C39" s="1"/>
      <c r="D39" s="2"/>
    </row>
    <row r="40">
      <c r="B40" s="1"/>
      <c r="C40" s="1"/>
      <c r="D40" s="2"/>
    </row>
    <row r="41">
      <c r="B41" s="1"/>
      <c r="C41" s="1"/>
      <c r="D41" s="2"/>
    </row>
    <row r="42">
      <c r="B42" s="1"/>
      <c r="C42" s="1"/>
      <c r="D42" s="2"/>
    </row>
    <row r="43">
      <c r="B43" s="1"/>
      <c r="C43" s="1"/>
      <c r="D43" s="2"/>
    </row>
    <row r="44">
      <c r="B44" s="1"/>
      <c r="C44" s="1"/>
      <c r="D44" s="2"/>
    </row>
    <row r="45">
      <c r="B45" s="1"/>
      <c r="C45" s="1"/>
      <c r="D45" s="2"/>
    </row>
    <row r="46">
      <c r="B46" s="1"/>
      <c r="C46" s="1"/>
      <c r="D46" s="2"/>
    </row>
    <row r="47">
      <c r="B47" s="1"/>
      <c r="C47" s="1"/>
      <c r="D47" s="2"/>
    </row>
    <row r="48">
      <c r="B48" s="1"/>
      <c r="C48" s="1"/>
      <c r="D48" s="2"/>
    </row>
    <row r="49">
      <c r="B49" s="1"/>
      <c r="C49" s="1"/>
      <c r="D49" s="2"/>
    </row>
    <row r="50">
      <c r="B50" s="1"/>
      <c r="C50" s="1"/>
      <c r="D50" s="2"/>
    </row>
    <row r="51">
      <c r="B51" s="1"/>
      <c r="C51" s="1"/>
      <c r="D51" s="2"/>
    </row>
    <row r="52">
      <c r="B52" s="1"/>
      <c r="C52" s="1"/>
      <c r="D52" s="2"/>
    </row>
    <row r="53">
      <c r="B53" s="1"/>
      <c r="C53" s="1"/>
      <c r="D53" s="2"/>
    </row>
    <row r="54">
      <c r="B54" s="1"/>
      <c r="C54" s="1"/>
      <c r="D54" s="2"/>
    </row>
    <row r="55">
      <c r="B55" s="1"/>
      <c r="C55" s="1"/>
      <c r="D55" s="2"/>
    </row>
    <row r="56">
      <c r="B56" s="1"/>
      <c r="C56" s="1"/>
      <c r="D56" s="2"/>
    </row>
    <row r="57">
      <c r="B57" s="1"/>
      <c r="C57" s="1"/>
      <c r="D57" s="2"/>
    </row>
    <row r="58">
      <c r="B58" s="1"/>
      <c r="C58" s="1"/>
      <c r="D58" s="2"/>
    </row>
    <row r="59">
      <c r="B59" s="1"/>
      <c r="C59" s="1"/>
      <c r="D59" s="2"/>
    </row>
    <row r="60">
      <c r="B60" s="1"/>
      <c r="C60" s="1"/>
      <c r="D60" s="2"/>
    </row>
    <row r="61">
      <c r="B61" s="1"/>
      <c r="C61" s="1"/>
      <c r="D61" s="2"/>
    </row>
    <row r="62">
      <c r="B62" s="1"/>
      <c r="C62" s="1"/>
      <c r="D62" s="2"/>
    </row>
    <row r="63">
      <c r="B63" s="1"/>
      <c r="C63" s="1"/>
      <c r="D63" s="2"/>
    </row>
    <row r="64">
      <c r="B64" s="1"/>
      <c r="C64" s="1"/>
      <c r="D64" s="2"/>
    </row>
    <row r="65">
      <c r="B65" s="1"/>
      <c r="C65" s="1"/>
      <c r="D65" s="2"/>
    </row>
    <row r="66">
      <c r="B66" s="1"/>
      <c r="C66" s="1"/>
      <c r="D66" s="2"/>
    </row>
    <row r="67">
      <c r="B67" s="1"/>
      <c r="C67" s="1"/>
      <c r="D67" s="2"/>
    </row>
    <row r="68">
      <c r="B68" s="1"/>
      <c r="C68" s="1"/>
      <c r="D68" s="2"/>
    </row>
    <row r="69">
      <c r="B69" s="1"/>
      <c r="C69" s="1"/>
      <c r="D69" s="2"/>
    </row>
    <row r="70">
      <c r="B70" s="1"/>
      <c r="C70" s="1"/>
      <c r="D70" s="2"/>
    </row>
    <row r="71">
      <c r="B71" s="1"/>
      <c r="C71" s="1"/>
      <c r="D71" s="2"/>
    </row>
    <row r="72">
      <c r="B72" s="1"/>
      <c r="C72" s="1"/>
      <c r="D72" s="2"/>
    </row>
    <row r="73">
      <c r="B73" s="1"/>
      <c r="C73" s="1"/>
      <c r="D73" s="2"/>
    </row>
    <row r="74">
      <c r="B74" s="1"/>
      <c r="C74" s="1"/>
      <c r="D74" s="2"/>
    </row>
    <row r="75">
      <c r="B75" s="1"/>
      <c r="C75" s="1"/>
      <c r="D75" s="2"/>
    </row>
    <row r="76">
      <c r="B76" s="1"/>
      <c r="C76" s="1"/>
      <c r="D76" s="2"/>
    </row>
    <row r="77">
      <c r="B77" s="1"/>
      <c r="C77" s="1"/>
      <c r="D77" s="2"/>
    </row>
    <row r="78">
      <c r="B78" s="1"/>
      <c r="C78" s="1"/>
      <c r="D78" s="2"/>
    </row>
    <row r="79">
      <c r="B79" s="1"/>
      <c r="C79" s="1"/>
      <c r="D79" s="2"/>
    </row>
    <row r="80">
      <c r="B80" s="1"/>
      <c r="C80" s="1"/>
      <c r="D80" s="2"/>
    </row>
    <row r="81">
      <c r="B81" s="1"/>
      <c r="C81" s="1"/>
      <c r="D81" s="2"/>
    </row>
    <row r="82">
      <c r="B82" s="1"/>
      <c r="C82" s="1"/>
      <c r="D82" s="2"/>
    </row>
    <row r="83">
      <c r="B83" s="1"/>
      <c r="C83" s="1"/>
      <c r="D83" s="2"/>
    </row>
    <row r="84">
      <c r="B84" s="1"/>
      <c r="C84" s="1"/>
      <c r="D84" s="2"/>
    </row>
    <row r="85">
      <c r="B85" s="1"/>
      <c r="C85" s="1"/>
      <c r="D85" s="2"/>
    </row>
    <row r="86">
      <c r="B86" s="1"/>
      <c r="C86" s="1"/>
      <c r="D86" s="2"/>
    </row>
    <row r="87">
      <c r="B87" s="1"/>
      <c r="C87" s="1"/>
      <c r="D87" s="2"/>
    </row>
    <row r="88">
      <c r="B88" s="1"/>
      <c r="C88" s="1"/>
      <c r="D88" s="2"/>
    </row>
    <row r="89">
      <c r="B89" s="1"/>
      <c r="C89" s="1"/>
      <c r="D89" s="2"/>
    </row>
    <row r="90">
      <c r="B90" s="1"/>
      <c r="C90" s="1"/>
      <c r="D90" s="2"/>
    </row>
    <row r="91">
      <c r="B91" s="1"/>
      <c r="C91" s="1"/>
      <c r="D91" s="2"/>
    </row>
    <row r="92">
      <c r="B92" s="1"/>
      <c r="C92" s="1"/>
      <c r="D92" s="2"/>
    </row>
    <row r="93">
      <c r="B93" s="1"/>
      <c r="C93" s="1"/>
      <c r="D93" s="2"/>
    </row>
    <row r="94">
      <c r="B94" s="1"/>
      <c r="C94" s="1"/>
      <c r="D94" s="2"/>
    </row>
    <row r="95">
      <c r="B95" s="1"/>
      <c r="C95" s="1"/>
      <c r="D95" s="2"/>
    </row>
    <row r="96">
      <c r="B96" s="1"/>
      <c r="C96" s="1"/>
      <c r="D96" s="2"/>
    </row>
    <row r="97">
      <c r="B97" s="1"/>
      <c r="C97" s="1"/>
      <c r="D97" s="2"/>
    </row>
    <row r="98">
      <c r="B98" s="1"/>
      <c r="C98" s="1"/>
      <c r="D98" s="2"/>
    </row>
    <row r="99">
      <c r="B99" s="1"/>
      <c r="C99" s="1"/>
      <c r="D99" s="2"/>
    </row>
    <row r="100">
      <c r="B100" s="1"/>
      <c r="C100" s="1"/>
      <c r="D100" s="2"/>
    </row>
    <row r="101">
      <c r="B101" s="1"/>
      <c r="C101" s="1"/>
      <c r="D101" s="2"/>
    </row>
    <row r="102">
      <c r="B102" s="1"/>
      <c r="C102" s="1"/>
      <c r="D102" s="2"/>
    </row>
    <row r="103">
      <c r="B103" s="1"/>
      <c r="C103" s="1"/>
      <c r="D103" s="2"/>
    </row>
    <row r="104">
      <c r="B104" s="1"/>
      <c r="C104" s="1"/>
      <c r="D104" s="2"/>
    </row>
    <row r="105">
      <c r="B105" s="1"/>
      <c r="C105" s="1"/>
      <c r="D105" s="2"/>
    </row>
    <row r="106">
      <c r="B106" s="1"/>
      <c r="C106" s="1"/>
      <c r="D106" s="2"/>
    </row>
    <row r="107">
      <c r="B107" s="1"/>
      <c r="C107" s="1"/>
      <c r="D107" s="2"/>
    </row>
    <row r="108">
      <c r="B108" s="1"/>
      <c r="C108" s="1"/>
      <c r="D108" s="2"/>
    </row>
    <row r="109">
      <c r="B109" s="1"/>
      <c r="C109" s="1"/>
      <c r="D109" s="2"/>
    </row>
    <row r="110">
      <c r="B110" s="1"/>
      <c r="C110" s="1"/>
      <c r="D110" s="2"/>
    </row>
    <row r="111">
      <c r="B111" s="1"/>
      <c r="C111" s="1"/>
      <c r="D111" s="2"/>
    </row>
    <row r="112">
      <c r="B112" s="1"/>
      <c r="C112" s="1"/>
      <c r="D112" s="2"/>
    </row>
    <row r="113">
      <c r="B113" s="1"/>
      <c r="C113" s="1"/>
      <c r="D113" s="2"/>
    </row>
    <row r="114">
      <c r="B114" s="1"/>
      <c r="C114" s="1"/>
      <c r="D114" s="2"/>
    </row>
    <row r="115">
      <c r="B115" s="1"/>
      <c r="C115" s="1"/>
      <c r="D115" s="2"/>
    </row>
    <row r="116">
      <c r="B116" s="1"/>
      <c r="C116" s="1"/>
      <c r="D116" s="2"/>
    </row>
    <row r="117">
      <c r="B117" s="1"/>
      <c r="C117" s="1"/>
      <c r="D117" s="2"/>
    </row>
    <row r="118">
      <c r="B118" s="1"/>
      <c r="C118" s="1"/>
      <c r="D118" s="2"/>
    </row>
    <row r="119">
      <c r="B119" s="1"/>
      <c r="C119" s="1"/>
      <c r="D119" s="2"/>
    </row>
    <row r="120">
      <c r="B120" s="1"/>
      <c r="C120" s="1"/>
      <c r="D120" s="2"/>
    </row>
    <row r="121">
      <c r="B121" s="1"/>
      <c r="C121" s="1"/>
      <c r="D121" s="2"/>
    </row>
    <row r="122">
      <c r="B122" s="1"/>
      <c r="C122" s="1"/>
      <c r="D122" s="2"/>
    </row>
    <row r="123">
      <c r="B123" s="1"/>
      <c r="C123" s="1"/>
      <c r="D123" s="2"/>
    </row>
    <row r="124">
      <c r="B124" s="1"/>
      <c r="C124" s="1"/>
      <c r="D124" s="2"/>
    </row>
    <row r="125">
      <c r="B125" s="1"/>
      <c r="C125" s="1"/>
      <c r="D125" s="2"/>
    </row>
    <row r="126">
      <c r="B126" s="1"/>
      <c r="C126" s="1"/>
      <c r="D126" s="2"/>
    </row>
    <row r="127">
      <c r="B127" s="1"/>
      <c r="C127" s="1"/>
      <c r="D127" s="2"/>
    </row>
    <row r="128">
      <c r="B128" s="1"/>
      <c r="C128" s="1"/>
      <c r="D128" s="2"/>
    </row>
    <row r="129">
      <c r="B129" s="1"/>
      <c r="C129" s="1"/>
      <c r="D129" s="2"/>
    </row>
    <row r="130">
      <c r="B130" s="1"/>
      <c r="C130" s="1"/>
      <c r="D130" s="2"/>
    </row>
    <row r="131">
      <c r="B131" s="1"/>
      <c r="C131" s="1"/>
      <c r="D131" s="2"/>
    </row>
    <row r="132">
      <c r="B132" s="1"/>
      <c r="C132" s="1"/>
      <c r="D132" s="2"/>
    </row>
    <row r="133">
      <c r="B133" s="1"/>
      <c r="C133" s="1"/>
      <c r="D133" s="2"/>
    </row>
    <row r="134">
      <c r="B134" s="1"/>
      <c r="C134" s="1"/>
      <c r="D134" s="2"/>
    </row>
    <row r="135">
      <c r="B135" s="1"/>
      <c r="C135" s="1"/>
      <c r="D135" s="2"/>
    </row>
    <row r="136">
      <c r="B136" s="1"/>
      <c r="C136" s="1"/>
      <c r="D136" s="2"/>
    </row>
    <row r="137">
      <c r="B137" s="1"/>
      <c r="C137" s="1"/>
      <c r="D137" s="2"/>
    </row>
    <row r="138">
      <c r="B138" s="1"/>
      <c r="C138" s="1"/>
      <c r="D138" s="2"/>
    </row>
    <row r="139">
      <c r="B139" s="1"/>
      <c r="C139" s="1"/>
      <c r="D139" s="2"/>
    </row>
    <row r="140">
      <c r="B140" s="1"/>
      <c r="C140" s="1"/>
      <c r="D140" s="2"/>
    </row>
    <row r="141">
      <c r="B141" s="1"/>
      <c r="C141" s="1"/>
      <c r="D141" s="2"/>
    </row>
    <row r="142">
      <c r="B142" s="1"/>
      <c r="C142" s="1"/>
      <c r="D142" s="2"/>
    </row>
    <row r="143">
      <c r="B143" s="1"/>
      <c r="C143" s="1"/>
      <c r="D143" s="2"/>
    </row>
    <row r="144">
      <c r="B144" s="1"/>
      <c r="C144" s="1"/>
      <c r="D144" s="2"/>
    </row>
    <row r="145">
      <c r="B145" s="1"/>
      <c r="C145" s="1"/>
      <c r="D145" s="2"/>
    </row>
    <row r="146">
      <c r="B146" s="1"/>
      <c r="C146" s="1"/>
      <c r="D146" s="2"/>
    </row>
    <row r="147">
      <c r="B147" s="1"/>
      <c r="C147" s="1"/>
      <c r="D147" s="2"/>
    </row>
    <row r="148">
      <c r="B148" s="1"/>
      <c r="C148" s="1"/>
      <c r="D148" s="2"/>
    </row>
    <row r="149">
      <c r="B149" s="1"/>
      <c r="C149" s="1"/>
      <c r="D149" s="2"/>
    </row>
    <row r="150">
      <c r="B150" s="1"/>
      <c r="C150" s="1"/>
      <c r="D150" s="2"/>
    </row>
    <row r="151">
      <c r="B151" s="1"/>
      <c r="C151" s="1"/>
      <c r="D151" s="2"/>
    </row>
    <row r="152">
      <c r="B152" s="1"/>
      <c r="C152" s="1"/>
      <c r="D152" s="2"/>
    </row>
    <row r="153">
      <c r="B153" s="1"/>
      <c r="C153" s="1"/>
      <c r="D153" s="2"/>
    </row>
    <row r="154">
      <c r="B154" s="1"/>
      <c r="C154" s="1"/>
      <c r="D154" s="2"/>
    </row>
    <row r="155">
      <c r="B155" s="1"/>
      <c r="C155" s="1"/>
      <c r="D155" s="2"/>
    </row>
    <row r="156">
      <c r="B156" s="1"/>
      <c r="C156" s="1"/>
      <c r="D156" s="2"/>
    </row>
    <row r="157">
      <c r="B157" s="1"/>
      <c r="C157" s="1"/>
      <c r="D157" s="2"/>
    </row>
    <row r="158">
      <c r="B158" s="1"/>
      <c r="C158" s="1"/>
      <c r="D158" s="2"/>
    </row>
    <row r="159">
      <c r="B159" s="1"/>
      <c r="C159" s="1"/>
      <c r="D159" s="2"/>
    </row>
    <row r="160">
      <c r="B160" s="1"/>
      <c r="C160" s="1"/>
      <c r="D160" s="2"/>
    </row>
    <row r="161">
      <c r="B161" s="1"/>
      <c r="C161" s="1"/>
      <c r="D161" s="2"/>
    </row>
    <row r="162">
      <c r="B162" s="1"/>
      <c r="C162" s="1"/>
      <c r="D162" s="2"/>
    </row>
    <row r="163">
      <c r="B163" s="1"/>
      <c r="C163" s="1"/>
      <c r="D163" s="2"/>
    </row>
    <row r="164">
      <c r="B164" s="1"/>
      <c r="C164" s="1"/>
      <c r="D164" s="2"/>
    </row>
    <row r="165">
      <c r="B165" s="1"/>
      <c r="C165" s="1"/>
      <c r="D165" s="2"/>
    </row>
    <row r="166">
      <c r="B166" s="1"/>
      <c r="C166" s="1"/>
      <c r="D166" s="2"/>
    </row>
    <row r="167">
      <c r="B167" s="1"/>
      <c r="C167" s="1"/>
      <c r="D167" s="2"/>
    </row>
    <row r="168">
      <c r="B168" s="1"/>
      <c r="C168" s="1"/>
      <c r="D168" s="2"/>
    </row>
    <row r="169">
      <c r="B169" s="1"/>
      <c r="C169" s="1"/>
      <c r="D169" s="2"/>
    </row>
    <row r="170">
      <c r="B170" s="1"/>
      <c r="C170" s="1"/>
      <c r="D170" s="2"/>
    </row>
    <row r="171">
      <c r="B171" s="1"/>
      <c r="C171" s="1"/>
      <c r="D171" s="2"/>
    </row>
    <row r="172">
      <c r="B172" s="1"/>
      <c r="C172" s="1"/>
      <c r="D172" s="2"/>
    </row>
    <row r="173">
      <c r="B173" s="1"/>
      <c r="C173" s="1"/>
      <c r="D173" s="2"/>
    </row>
    <row r="174">
      <c r="B174" s="1"/>
      <c r="C174" s="1"/>
      <c r="D174" s="2"/>
    </row>
    <row r="175">
      <c r="B175" s="1"/>
      <c r="C175" s="1"/>
      <c r="D175" s="2"/>
    </row>
    <row r="176">
      <c r="B176" s="1"/>
      <c r="C176" s="1"/>
      <c r="D176" s="2"/>
    </row>
    <row r="177">
      <c r="B177" s="1"/>
      <c r="C177" s="1"/>
      <c r="D177" s="2"/>
    </row>
    <row r="178">
      <c r="B178" s="1"/>
      <c r="C178" s="1"/>
      <c r="D178" s="2"/>
    </row>
    <row r="179">
      <c r="B179" s="1"/>
      <c r="C179" s="1"/>
      <c r="D179" s="2"/>
    </row>
    <row r="180">
      <c r="B180" s="1"/>
      <c r="C180" s="1"/>
      <c r="D180" s="2"/>
    </row>
    <row r="181">
      <c r="B181" s="1"/>
      <c r="C181" s="1"/>
      <c r="D181" s="2"/>
    </row>
    <row r="182">
      <c r="B182" s="1"/>
      <c r="C182" s="1"/>
      <c r="D182" s="2"/>
    </row>
    <row r="183">
      <c r="B183" s="1"/>
      <c r="C183" s="1"/>
      <c r="D183" s="2"/>
    </row>
    <row r="184">
      <c r="B184" s="1"/>
      <c r="C184" s="1"/>
      <c r="D184" s="2"/>
    </row>
    <row r="185">
      <c r="B185" s="1"/>
      <c r="C185" s="1"/>
      <c r="D185" s="2"/>
    </row>
    <row r="186">
      <c r="B186" s="1"/>
      <c r="C186" s="1"/>
      <c r="D186" s="2"/>
    </row>
    <row r="187">
      <c r="B187" s="1"/>
      <c r="C187" s="1"/>
      <c r="D187" s="2"/>
    </row>
    <row r="188">
      <c r="B188" s="1"/>
      <c r="C188" s="1"/>
      <c r="D188" s="2"/>
    </row>
    <row r="189">
      <c r="B189" s="1"/>
      <c r="C189" s="1"/>
      <c r="D189" s="2"/>
    </row>
    <row r="190">
      <c r="B190" s="1"/>
      <c r="C190" s="1"/>
      <c r="D190" s="2"/>
    </row>
    <row r="191">
      <c r="B191" s="1"/>
      <c r="C191" s="1"/>
      <c r="D191" s="2"/>
    </row>
    <row r="192">
      <c r="B192" s="1"/>
      <c r="C192" s="1"/>
      <c r="D192" s="2"/>
    </row>
    <row r="193">
      <c r="B193" s="1"/>
      <c r="C193" s="1"/>
      <c r="D193" s="2"/>
    </row>
    <row r="194">
      <c r="B194" s="1"/>
      <c r="C194" s="1"/>
      <c r="D194" s="2"/>
    </row>
    <row r="195">
      <c r="B195" s="1"/>
      <c r="C195" s="1"/>
      <c r="D195" s="2"/>
    </row>
    <row r="196">
      <c r="B196" s="1"/>
      <c r="C196" s="1"/>
      <c r="D196" s="2"/>
    </row>
    <row r="197">
      <c r="B197" s="1"/>
      <c r="C197" s="1"/>
      <c r="D197" s="2"/>
    </row>
    <row r="198">
      <c r="B198" s="1"/>
      <c r="C198" s="1"/>
      <c r="D198" s="2"/>
    </row>
    <row r="199">
      <c r="B199" s="1"/>
      <c r="C199" s="1"/>
      <c r="D199" s="2"/>
    </row>
    <row r="200">
      <c r="B200" s="1"/>
      <c r="C200" s="1"/>
      <c r="D200" s="2"/>
    </row>
    <row r="201">
      <c r="B201" s="1"/>
      <c r="C201" s="1"/>
      <c r="D201" s="2"/>
    </row>
    <row r="202">
      <c r="B202" s="1"/>
      <c r="C202" s="1"/>
      <c r="D202" s="2"/>
    </row>
    <row r="203">
      <c r="B203" s="1"/>
      <c r="C203" s="1"/>
      <c r="D203" s="2"/>
    </row>
    <row r="204">
      <c r="B204" s="1"/>
      <c r="C204" s="1"/>
      <c r="D204" s="2"/>
    </row>
    <row r="205">
      <c r="B205" s="1"/>
      <c r="C205" s="1"/>
      <c r="D205" s="2"/>
    </row>
    <row r="206">
      <c r="B206" s="1"/>
      <c r="C206" s="1"/>
      <c r="D206" s="2"/>
    </row>
    <row r="207">
      <c r="B207" s="1"/>
      <c r="C207" s="1"/>
      <c r="D207" s="2"/>
    </row>
    <row r="208">
      <c r="B208" s="1"/>
      <c r="C208" s="1"/>
      <c r="D208" s="2"/>
    </row>
    <row r="209">
      <c r="B209" s="1"/>
      <c r="C209" s="1"/>
      <c r="D209" s="2"/>
    </row>
    <row r="210">
      <c r="B210" s="1"/>
      <c r="C210" s="1"/>
      <c r="D210" s="2"/>
    </row>
    <row r="211">
      <c r="B211" s="1"/>
      <c r="C211" s="1"/>
      <c r="D211" s="2"/>
    </row>
    <row r="212">
      <c r="B212" s="1"/>
      <c r="C212" s="1"/>
      <c r="D212" s="2"/>
    </row>
    <row r="213">
      <c r="B213" s="1"/>
      <c r="C213" s="1"/>
      <c r="D213" s="2"/>
    </row>
    <row r="214">
      <c r="B214" s="1"/>
      <c r="C214" s="1"/>
      <c r="D214" s="2"/>
    </row>
    <row r="215">
      <c r="B215" s="1"/>
      <c r="C215" s="1"/>
      <c r="D215" s="2"/>
    </row>
    <row r="216">
      <c r="B216" s="1"/>
      <c r="C216" s="1"/>
      <c r="D216" s="2"/>
    </row>
    <row r="217">
      <c r="B217" s="1"/>
      <c r="C217" s="1"/>
      <c r="D217" s="2"/>
    </row>
    <row r="218">
      <c r="B218" s="1"/>
      <c r="C218" s="1"/>
      <c r="D218" s="2"/>
    </row>
    <row r="219">
      <c r="B219" s="1"/>
      <c r="C219" s="1"/>
      <c r="D219" s="2"/>
    </row>
    <row r="220">
      <c r="B220" s="1"/>
      <c r="C220" s="1"/>
      <c r="D220" s="2"/>
    </row>
    <row r="221">
      <c r="B221" s="1"/>
      <c r="C221" s="1"/>
      <c r="D221" s="2"/>
    </row>
    <row r="222">
      <c r="B222" s="1"/>
      <c r="C222" s="1"/>
      <c r="D222" s="2"/>
    </row>
    <row r="223">
      <c r="B223" s="1"/>
      <c r="C223" s="1"/>
      <c r="D223" s="2"/>
    </row>
    <row r="224">
      <c r="B224" s="1"/>
      <c r="C224" s="1"/>
      <c r="D224" s="2"/>
    </row>
    <row r="225">
      <c r="B225" s="1"/>
      <c r="C225" s="1"/>
      <c r="D225" s="2"/>
    </row>
    <row r="226">
      <c r="B226" s="1"/>
      <c r="C226" s="1"/>
      <c r="D226" s="2"/>
    </row>
    <row r="227">
      <c r="B227" s="1"/>
      <c r="C227" s="1"/>
      <c r="D227" s="2"/>
    </row>
    <row r="228">
      <c r="B228" s="1"/>
      <c r="C228" s="1"/>
      <c r="D228" s="2"/>
    </row>
    <row r="229">
      <c r="B229" s="1"/>
      <c r="C229" s="1"/>
      <c r="D229" s="2"/>
    </row>
    <row r="230">
      <c r="B230" s="1"/>
      <c r="C230" s="1"/>
      <c r="D230" s="2"/>
    </row>
    <row r="231">
      <c r="B231" s="1"/>
      <c r="C231" s="1"/>
      <c r="D231" s="2"/>
    </row>
    <row r="232">
      <c r="B232" s="1"/>
      <c r="C232" s="1"/>
      <c r="D232" s="2"/>
    </row>
    <row r="233">
      <c r="B233" s="1"/>
      <c r="C233" s="1"/>
      <c r="D233" s="2"/>
    </row>
    <row r="234">
      <c r="B234" s="1"/>
      <c r="C234" s="1"/>
      <c r="D234" s="2"/>
    </row>
    <row r="235">
      <c r="B235" s="1"/>
      <c r="C235" s="1"/>
      <c r="D235" s="2"/>
    </row>
    <row r="236">
      <c r="B236" s="1"/>
      <c r="C236" s="1"/>
      <c r="D236" s="2"/>
    </row>
    <row r="237">
      <c r="B237" s="1"/>
      <c r="C237" s="1"/>
      <c r="D237" s="2"/>
    </row>
    <row r="238">
      <c r="B238" s="1"/>
      <c r="C238" s="1"/>
      <c r="D238" s="2"/>
    </row>
    <row r="239">
      <c r="B239" s="1"/>
      <c r="C239" s="1"/>
      <c r="D239" s="2"/>
    </row>
    <row r="240">
      <c r="B240" s="1"/>
      <c r="C240" s="1"/>
      <c r="D240" s="2"/>
    </row>
    <row r="241">
      <c r="B241" s="1"/>
      <c r="C241" s="1"/>
      <c r="D241" s="2"/>
    </row>
    <row r="242">
      <c r="B242" s="1"/>
      <c r="C242" s="1"/>
      <c r="D242" s="2"/>
    </row>
    <row r="243">
      <c r="B243" s="1"/>
      <c r="C243" s="1"/>
      <c r="D243" s="2"/>
    </row>
    <row r="244">
      <c r="B244" s="1"/>
      <c r="C244" s="1"/>
      <c r="D244" s="2"/>
    </row>
    <row r="245">
      <c r="B245" s="1"/>
      <c r="C245" s="1"/>
      <c r="D245" s="2"/>
    </row>
    <row r="246">
      <c r="B246" s="1"/>
      <c r="C246" s="1"/>
      <c r="D246" s="2"/>
    </row>
    <row r="247">
      <c r="B247" s="1"/>
      <c r="C247" s="1"/>
      <c r="D247" s="2"/>
    </row>
    <row r="248">
      <c r="B248" s="1"/>
      <c r="C248" s="1"/>
      <c r="D248" s="2"/>
    </row>
    <row r="249">
      <c r="B249" s="1"/>
      <c r="C249" s="1"/>
      <c r="D249" s="2"/>
    </row>
    <row r="250">
      <c r="B250" s="1"/>
      <c r="C250" s="1"/>
      <c r="D250" s="2"/>
    </row>
    <row r="251">
      <c r="B251" s="1"/>
      <c r="C251" s="1"/>
      <c r="D251" s="2"/>
    </row>
    <row r="252">
      <c r="B252" s="1"/>
      <c r="C252" s="1"/>
      <c r="D252" s="2"/>
    </row>
    <row r="253">
      <c r="B253" s="1"/>
      <c r="C253" s="1"/>
      <c r="D253" s="2"/>
    </row>
    <row r="254">
      <c r="B254" s="1"/>
      <c r="C254" s="1"/>
      <c r="D254" s="2"/>
    </row>
    <row r="255">
      <c r="B255" s="1"/>
      <c r="C255" s="1"/>
      <c r="D255" s="2"/>
    </row>
    <row r="256">
      <c r="B256" s="1"/>
      <c r="C256" s="1"/>
      <c r="D256" s="2"/>
    </row>
    <row r="257">
      <c r="B257" s="1"/>
      <c r="C257" s="1"/>
      <c r="D257" s="2"/>
    </row>
    <row r="258">
      <c r="B258" s="1"/>
      <c r="C258" s="1"/>
      <c r="D258" s="2"/>
    </row>
    <row r="259">
      <c r="B259" s="1"/>
      <c r="C259" s="1"/>
      <c r="D259" s="2"/>
    </row>
    <row r="260">
      <c r="B260" s="1"/>
      <c r="C260" s="1"/>
      <c r="D260" s="2"/>
    </row>
    <row r="261">
      <c r="B261" s="1"/>
      <c r="C261" s="1"/>
      <c r="D261" s="2"/>
    </row>
    <row r="262">
      <c r="B262" s="1"/>
      <c r="C262" s="1"/>
      <c r="D262" s="2"/>
    </row>
    <row r="263">
      <c r="B263" s="1"/>
      <c r="C263" s="1"/>
      <c r="D263" s="2"/>
    </row>
    <row r="264">
      <c r="B264" s="1"/>
      <c r="C264" s="1"/>
      <c r="D264" s="2"/>
    </row>
    <row r="265">
      <c r="B265" s="1"/>
      <c r="C265" s="1"/>
      <c r="D265" s="2"/>
    </row>
    <row r="266">
      <c r="B266" s="1"/>
      <c r="C266" s="1"/>
      <c r="D266" s="2"/>
    </row>
    <row r="267">
      <c r="B267" s="1"/>
      <c r="C267" s="1"/>
      <c r="D267" s="2"/>
    </row>
    <row r="268">
      <c r="B268" s="1"/>
      <c r="C268" s="1"/>
      <c r="D268" s="2"/>
    </row>
    <row r="269">
      <c r="B269" s="1"/>
      <c r="C269" s="1"/>
      <c r="D269" s="2"/>
    </row>
    <row r="270">
      <c r="B270" s="1"/>
      <c r="C270" s="1"/>
      <c r="D270" s="2"/>
    </row>
    <row r="271">
      <c r="B271" s="1"/>
      <c r="C271" s="1"/>
      <c r="D271" s="2"/>
    </row>
    <row r="272">
      <c r="B272" s="1"/>
      <c r="C272" s="1"/>
      <c r="D272" s="2"/>
    </row>
    <row r="273">
      <c r="B273" s="1"/>
      <c r="C273" s="1"/>
      <c r="D273" s="2"/>
    </row>
    <row r="274">
      <c r="B274" s="1"/>
      <c r="C274" s="1"/>
      <c r="D274" s="2"/>
    </row>
    <row r="275">
      <c r="B275" s="1"/>
      <c r="C275" s="1"/>
      <c r="D275" s="2"/>
    </row>
    <row r="276">
      <c r="B276" s="1"/>
      <c r="C276" s="1"/>
      <c r="D276" s="2"/>
    </row>
    <row r="277">
      <c r="B277" s="1"/>
      <c r="C277" s="1"/>
      <c r="D277" s="2"/>
    </row>
    <row r="278">
      <c r="B278" s="1"/>
      <c r="C278" s="1"/>
      <c r="D278" s="2"/>
    </row>
    <row r="279">
      <c r="B279" s="1"/>
      <c r="C279" s="1"/>
      <c r="D279" s="2"/>
    </row>
    <row r="280">
      <c r="B280" s="1"/>
      <c r="C280" s="1"/>
      <c r="D280" s="2"/>
    </row>
    <row r="281">
      <c r="B281" s="1"/>
      <c r="C281" s="1"/>
      <c r="D281" s="2"/>
    </row>
    <row r="282">
      <c r="B282" s="1"/>
      <c r="C282" s="1"/>
      <c r="D282" s="2"/>
    </row>
    <row r="283">
      <c r="B283" s="1"/>
      <c r="C283" s="1"/>
      <c r="D283" s="2"/>
    </row>
    <row r="284">
      <c r="B284" s="1"/>
      <c r="C284" s="1"/>
      <c r="D284" s="2"/>
    </row>
    <row r="285">
      <c r="B285" s="1"/>
      <c r="C285" s="1"/>
      <c r="D285" s="2"/>
    </row>
    <row r="286">
      <c r="B286" s="1"/>
      <c r="C286" s="1"/>
      <c r="D286" s="2"/>
    </row>
    <row r="287">
      <c r="B287" s="1"/>
      <c r="C287" s="1"/>
      <c r="D287" s="2"/>
    </row>
    <row r="288">
      <c r="B288" s="1"/>
      <c r="C288" s="1"/>
      <c r="D288" s="2"/>
    </row>
    <row r="289">
      <c r="B289" s="1"/>
      <c r="C289" s="1"/>
      <c r="D289" s="2"/>
    </row>
    <row r="290">
      <c r="B290" s="1"/>
      <c r="C290" s="1"/>
      <c r="D290" s="2"/>
    </row>
    <row r="291">
      <c r="B291" s="1"/>
      <c r="C291" s="1"/>
      <c r="D291" s="2"/>
    </row>
    <row r="292">
      <c r="B292" s="1"/>
      <c r="C292" s="1"/>
      <c r="D292" s="2"/>
    </row>
    <row r="293">
      <c r="B293" s="1"/>
      <c r="C293" s="1"/>
      <c r="D293" s="2"/>
    </row>
    <row r="294">
      <c r="B294" s="1"/>
      <c r="C294" s="1"/>
      <c r="D294" s="2"/>
    </row>
    <row r="295">
      <c r="B295" s="1"/>
      <c r="C295" s="1"/>
      <c r="D295" s="2"/>
    </row>
    <row r="296">
      <c r="B296" s="1"/>
      <c r="C296" s="1"/>
      <c r="D296" s="2"/>
    </row>
    <row r="297">
      <c r="B297" s="1"/>
      <c r="C297" s="1"/>
      <c r="D297" s="2"/>
    </row>
    <row r="298">
      <c r="B298" s="1"/>
      <c r="C298" s="1"/>
      <c r="D298" s="2"/>
    </row>
    <row r="299">
      <c r="B299" s="1"/>
      <c r="C299" s="1"/>
      <c r="D299" s="2"/>
    </row>
    <row r="300">
      <c r="B300" s="1"/>
      <c r="C300" s="1"/>
      <c r="D300" s="2"/>
    </row>
    <row r="301">
      <c r="B301" s="1"/>
      <c r="C301" s="1"/>
      <c r="D301" s="2"/>
    </row>
    <row r="302">
      <c r="B302" s="1"/>
      <c r="C302" s="1"/>
      <c r="D302" s="2"/>
    </row>
    <row r="303">
      <c r="B303" s="1"/>
      <c r="C303" s="1"/>
      <c r="D303" s="2"/>
    </row>
    <row r="304">
      <c r="B304" s="1"/>
      <c r="C304" s="1"/>
      <c r="D304" s="2"/>
    </row>
    <row r="305">
      <c r="B305" s="1"/>
      <c r="C305" s="1"/>
      <c r="D305" s="2"/>
    </row>
    <row r="306">
      <c r="B306" s="1"/>
      <c r="C306" s="1"/>
      <c r="D306" s="2"/>
    </row>
    <row r="307">
      <c r="B307" s="1"/>
      <c r="C307" s="1"/>
      <c r="D307" s="2"/>
    </row>
    <row r="308">
      <c r="B308" s="1"/>
      <c r="C308" s="1"/>
      <c r="D308" s="2"/>
    </row>
    <row r="309">
      <c r="B309" s="1"/>
      <c r="C309" s="1"/>
      <c r="D309" s="2"/>
    </row>
    <row r="310">
      <c r="B310" s="1"/>
      <c r="C310" s="1"/>
      <c r="D310" s="2"/>
    </row>
    <row r="311">
      <c r="B311" s="1"/>
      <c r="C311" s="1"/>
      <c r="D311" s="2"/>
    </row>
    <row r="312">
      <c r="B312" s="1"/>
      <c r="C312" s="1"/>
      <c r="D312" s="2"/>
    </row>
    <row r="313">
      <c r="B313" s="1"/>
      <c r="C313" s="1"/>
      <c r="D313" s="2"/>
    </row>
    <row r="314">
      <c r="B314" s="1"/>
      <c r="C314" s="1"/>
      <c r="D314" s="2"/>
    </row>
    <row r="315">
      <c r="B315" s="1"/>
      <c r="C315" s="1"/>
      <c r="D315" s="2"/>
    </row>
    <row r="316">
      <c r="B316" s="1"/>
      <c r="C316" s="1"/>
      <c r="D316" s="2"/>
    </row>
    <row r="317">
      <c r="B317" s="1"/>
      <c r="C317" s="1"/>
      <c r="D317" s="2"/>
    </row>
    <row r="318">
      <c r="B318" s="1"/>
      <c r="C318" s="1"/>
      <c r="D318" s="2"/>
    </row>
    <row r="319">
      <c r="B319" s="1"/>
      <c r="C319" s="1"/>
      <c r="D319" s="2"/>
    </row>
    <row r="320">
      <c r="B320" s="1"/>
      <c r="C320" s="1"/>
      <c r="D320" s="2"/>
    </row>
    <row r="321">
      <c r="B321" s="1"/>
      <c r="C321" s="1"/>
      <c r="D321" s="2"/>
    </row>
    <row r="322">
      <c r="B322" s="1"/>
      <c r="C322" s="1"/>
      <c r="D322" s="2"/>
    </row>
    <row r="323">
      <c r="B323" s="1"/>
      <c r="C323" s="1"/>
      <c r="D323" s="2"/>
    </row>
    <row r="324">
      <c r="B324" s="1"/>
      <c r="C324" s="1"/>
      <c r="D324" s="2"/>
    </row>
    <row r="325">
      <c r="B325" s="1"/>
      <c r="C325" s="1"/>
      <c r="D325" s="2"/>
    </row>
    <row r="326">
      <c r="B326" s="1"/>
      <c r="C326" s="1"/>
      <c r="D326" s="2"/>
    </row>
    <row r="327">
      <c r="B327" s="1"/>
      <c r="C327" s="1"/>
      <c r="D327" s="2"/>
    </row>
    <row r="328">
      <c r="B328" s="1"/>
      <c r="C328" s="1"/>
      <c r="D328" s="2"/>
    </row>
    <row r="329">
      <c r="B329" s="1"/>
      <c r="C329" s="1"/>
      <c r="D329" s="2"/>
    </row>
    <row r="330">
      <c r="B330" s="1"/>
      <c r="C330" s="1"/>
      <c r="D330" s="2"/>
    </row>
    <row r="331">
      <c r="B331" s="1"/>
      <c r="C331" s="1"/>
      <c r="D331" s="2"/>
    </row>
    <row r="332">
      <c r="B332" s="1"/>
      <c r="C332" s="1"/>
      <c r="D332" s="2"/>
    </row>
    <row r="333">
      <c r="B333" s="1"/>
      <c r="C333" s="1"/>
      <c r="D333" s="2"/>
    </row>
    <row r="334">
      <c r="B334" s="1"/>
      <c r="C334" s="1"/>
      <c r="D334" s="2"/>
    </row>
    <row r="335">
      <c r="B335" s="1"/>
      <c r="C335" s="1"/>
      <c r="D335" s="2"/>
    </row>
    <row r="336">
      <c r="B336" s="1"/>
      <c r="C336" s="1"/>
      <c r="D336" s="2"/>
    </row>
    <row r="337">
      <c r="B337" s="1"/>
      <c r="C337" s="1"/>
      <c r="D337" s="2"/>
    </row>
    <row r="338">
      <c r="B338" s="1"/>
      <c r="C338" s="1"/>
      <c r="D338" s="2"/>
    </row>
    <row r="339">
      <c r="B339" s="1"/>
      <c r="C339" s="1"/>
      <c r="D339" s="2"/>
    </row>
    <row r="340">
      <c r="B340" s="1"/>
      <c r="C340" s="1"/>
      <c r="D340" s="2"/>
    </row>
    <row r="341">
      <c r="B341" s="1"/>
      <c r="C341" s="1"/>
      <c r="D341" s="2"/>
    </row>
    <row r="342">
      <c r="B342" s="1"/>
      <c r="C342" s="1"/>
      <c r="D342" s="2"/>
    </row>
    <row r="343">
      <c r="B343" s="1"/>
      <c r="C343" s="1"/>
      <c r="D343" s="2"/>
    </row>
    <row r="344">
      <c r="B344" s="1"/>
      <c r="C344" s="1"/>
      <c r="D344" s="2"/>
    </row>
    <row r="345">
      <c r="B345" s="1"/>
      <c r="C345" s="1"/>
      <c r="D345" s="2"/>
    </row>
    <row r="346">
      <c r="B346" s="1"/>
      <c r="C346" s="1"/>
      <c r="D346" s="2"/>
    </row>
    <row r="347">
      <c r="B347" s="1"/>
      <c r="C347" s="1"/>
      <c r="D347" s="2"/>
    </row>
    <row r="348">
      <c r="B348" s="1"/>
      <c r="C348" s="1"/>
      <c r="D348" s="2"/>
    </row>
    <row r="349">
      <c r="B349" s="1"/>
      <c r="C349" s="1"/>
      <c r="D349" s="2"/>
    </row>
    <row r="350">
      <c r="B350" s="1"/>
      <c r="C350" s="1"/>
      <c r="D350" s="2"/>
    </row>
    <row r="351">
      <c r="B351" s="1"/>
      <c r="C351" s="1"/>
      <c r="D351" s="2"/>
    </row>
    <row r="352">
      <c r="B352" s="1"/>
      <c r="C352" s="1"/>
      <c r="D352" s="2"/>
    </row>
    <row r="353">
      <c r="B353" s="1"/>
      <c r="C353" s="1"/>
      <c r="D353" s="2"/>
    </row>
    <row r="354">
      <c r="B354" s="1"/>
      <c r="C354" s="1"/>
      <c r="D354" s="2"/>
    </row>
    <row r="355">
      <c r="B355" s="1"/>
      <c r="C355" s="1"/>
      <c r="D355" s="2"/>
    </row>
    <row r="356">
      <c r="B356" s="1"/>
      <c r="C356" s="1"/>
      <c r="D356" s="2"/>
    </row>
    <row r="357">
      <c r="B357" s="1"/>
      <c r="C357" s="1"/>
      <c r="D357" s="2"/>
    </row>
    <row r="358">
      <c r="B358" s="1"/>
      <c r="C358" s="1"/>
      <c r="D358" s="2"/>
    </row>
    <row r="359">
      <c r="B359" s="1"/>
      <c r="C359" s="1"/>
      <c r="D359" s="2"/>
    </row>
    <row r="360">
      <c r="B360" s="1"/>
      <c r="C360" s="1"/>
      <c r="D360" s="2"/>
    </row>
    <row r="361">
      <c r="B361" s="1"/>
      <c r="C361" s="1"/>
      <c r="D361" s="2"/>
    </row>
    <row r="362">
      <c r="B362" s="1"/>
      <c r="C362" s="1"/>
      <c r="D362" s="2"/>
    </row>
    <row r="363">
      <c r="B363" s="1"/>
      <c r="C363" s="1"/>
      <c r="D363" s="2"/>
    </row>
    <row r="364">
      <c r="B364" s="1"/>
      <c r="C364" s="1"/>
      <c r="D364" s="2"/>
    </row>
    <row r="365">
      <c r="B365" s="1"/>
      <c r="C365" s="1"/>
      <c r="D365" s="2"/>
    </row>
    <row r="366">
      <c r="B366" s="1"/>
      <c r="C366" s="1"/>
      <c r="D366" s="2"/>
    </row>
    <row r="367">
      <c r="B367" s="1"/>
      <c r="C367" s="1"/>
      <c r="D367" s="2"/>
    </row>
    <row r="368">
      <c r="B368" s="1"/>
      <c r="C368" s="1"/>
      <c r="D368" s="2"/>
    </row>
    <row r="369">
      <c r="B369" s="1"/>
      <c r="C369" s="1"/>
      <c r="D369" s="2"/>
    </row>
    <row r="370">
      <c r="B370" s="1"/>
      <c r="C370" s="1"/>
      <c r="D370" s="2"/>
    </row>
    <row r="371">
      <c r="B371" s="1"/>
      <c r="C371" s="1"/>
      <c r="D371" s="2"/>
    </row>
    <row r="372">
      <c r="B372" s="1"/>
      <c r="C372" s="1"/>
      <c r="D372" s="2"/>
    </row>
    <row r="373">
      <c r="B373" s="1"/>
      <c r="C373" s="1"/>
      <c r="D373" s="2"/>
    </row>
    <row r="374">
      <c r="B374" s="1"/>
      <c r="C374" s="1"/>
      <c r="D374" s="2"/>
    </row>
    <row r="375">
      <c r="B375" s="1"/>
      <c r="C375" s="1"/>
      <c r="D375" s="2"/>
    </row>
    <row r="376">
      <c r="B376" s="1"/>
      <c r="C376" s="1"/>
      <c r="D376" s="2"/>
    </row>
    <row r="377">
      <c r="B377" s="1"/>
      <c r="C377" s="1"/>
      <c r="D377" s="2"/>
    </row>
    <row r="378">
      <c r="B378" s="1"/>
      <c r="C378" s="1"/>
      <c r="D378" s="2"/>
    </row>
    <row r="379">
      <c r="B379" s="1"/>
      <c r="C379" s="1"/>
      <c r="D379" s="2"/>
    </row>
    <row r="380">
      <c r="B380" s="1"/>
      <c r="C380" s="1"/>
      <c r="D380" s="2"/>
    </row>
    <row r="381">
      <c r="B381" s="1"/>
      <c r="C381" s="1"/>
      <c r="D381" s="2"/>
    </row>
    <row r="382">
      <c r="B382" s="1"/>
      <c r="C382" s="1"/>
      <c r="D382" s="2"/>
    </row>
    <row r="383">
      <c r="B383" s="1"/>
      <c r="C383" s="1"/>
      <c r="D383" s="2"/>
    </row>
    <row r="384">
      <c r="B384" s="1"/>
      <c r="C384" s="1"/>
      <c r="D384" s="2"/>
    </row>
    <row r="385">
      <c r="B385" s="1"/>
      <c r="C385" s="1"/>
      <c r="D385" s="2"/>
    </row>
    <row r="386">
      <c r="B386" s="1"/>
      <c r="C386" s="1"/>
      <c r="D386" s="2"/>
    </row>
    <row r="387">
      <c r="B387" s="1"/>
      <c r="C387" s="1"/>
      <c r="D387" s="2"/>
    </row>
    <row r="388">
      <c r="B388" s="1"/>
      <c r="C388" s="1"/>
      <c r="D388" s="2"/>
    </row>
    <row r="389">
      <c r="B389" s="1"/>
      <c r="C389" s="1"/>
      <c r="D389" s="2"/>
    </row>
    <row r="390">
      <c r="B390" s="1"/>
      <c r="C390" s="1"/>
      <c r="D390" s="2"/>
    </row>
    <row r="391">
      <c r="B391" s="1"/>
      <c r="C391" s="1"/>
      <c r="D391" s="2"/>
    </row>
    <row r="392">
      <c r="B392" s="1"/>
      <c r="C392" s="1"/>
      <c r="D392" s="2"/>
    </row>
    <row r="393">
      <c r="B393" s="1"/>
      <c r="C393" s="1"/>
      <c r="D393" s="2"/>
    </row>
    <row r="394">
      <c r="B394" s="1"/>
      <c r="C394" s="1"/>
      <c r="D394" s="2"/>
    </row>
    <row r="395">
      <c r="B395" s="1"/>
      <c r="C395" s="1"/>
      <c r="D395" s="2"/>
    </row>
    <row r="396">
      <c r="B396" s="1"/>
      <c r="C396" s="1"/>
      <c r="D396" s="2"/>
    </row>
    <row r="397">
      <c r="B397" s="1"/>
      <c r="C397" s="1"/>
      <c r="D397" s="2"/>
    </row>
    <row r="398">
      <c r="B398" s="1"/>
      <c r="C398" s="1"/>
      <c r="D398" s="2"/>
    </row>
    <row r="399">
      <c r="B399" s="1"/>
      <c r="C399" s="1"/>
      <c r="D399" s="2"/>
    </row>
    <row r="400">
      <c r="B400" s="1"/>
      <c r="C400" s="1"/>
      <c r="D400" s="2"/>
    </row>
    <row r="401">
      <c r="B401" s="1"/>
      <c r="C401" s="1"/>
      <c r="D401" s="2"/>
    </row>
    <row r="402">
      <c r="B402" s="1"/>
      <c r="C402" s="1"/>
      <c r="D402" s="2"/>
    </row>
    <row r="403">
      <c r="B403" s="1"/>
      <c r="C403" s="1"/>
      <c r="D403" s="2"/>
    </row>
    <row r="404">
      <c r="B404" s="1"/>
      <c r="C404" s="1"/>
      <c r="D404" s="2"/>
    </row>
    <row r="405">
      <c r="B405" s="1"/>
      <c r="C405" s="1"/>
      <c r="D405" s="2"/>
    </row>
    <row r="406">
      <c r="B406" s="1"/>
      <c r="C406" s="1"/>
      <c r="D406" s="2"/>
    </row>
    <row r="407">
      <c r="B407" s="1"/>
      <c r="C407" s="1"/>
      <c r="D407" s="2"/>
    </row>
    <row r="408">
      <c r="B408" s="1"/>
      <c r="C408" s="1"/>
      <c r="D408" s="2"/>
    </row>
    <row r="409">
      <c r="B409" s="1"/>
      <c r="C409" s="1"/>
      <c r="D409" s="2"/>
    </row>
    <row r="410">
      <c r="B410" s="1"/>
      <c r="C410" s="1"/>
      <c r="D410" s="2"/>
    </row>
    <row r="411">
      <c r="B411" s="1"/>
      <c r="C411" s="1"/>
      <c r="D411" s="2"/>
    </row>
    <row r="412">
      <c r="B412" s="1"/>
      <c r="C412" s="1"/>
      <c r="D412" s="2"/>
    </row>
    <row r="413">
      <c r="B413" s="1"/>
      <c r="C413" s="1"/>
      <c r="D413" s="2"/>
    </row>
    <row r="414">
      <c r="B414" s="1"/>
      <c r="C414" s="1"/>
      <c r="D414" s="2"/>
    </row>
    <row r="415">
      <c r="B415" s="1"/>
      <c r="C415" s="1"/>
      <c r="D415" s="2"/>
    </row>
    <row r="416">
      <c r="B416" s="1"/>
      <c r="C416" s="1"/>
      <c r="D416" s="2"/>
    </row>
    <row r="417">
      <c r="B417" s="1"/>
      <c r="C417" s="1"/>
      <c r="D417" s="2"/>
    </row>
    <row r="418">
      <c r="B418" s="1"/>
      <c r="C418" s="1"/>
      <c r="D418" s="2"/>
    </row>
    <row r="419">
      <c r="B419" s="1"/>
      <c r="C419" s="1"/>
      <c r="D419" s="2"/>
    </row>
    <row r="420">
      <c r="B420" s="1"/>
      <c r="C420" s="1"/>
      <c r="D420" s="2"/>
    </row>
    <row r="421">
      <c r="B421" s="1"/>
      <c r="C421" s="1"/>
      <c r="D421" s="2"/>
    </row>
    <row r="422">
      <c r="B422" s="1"/>
      <c r="C422" s="1"/>
      <c r="D422" s="2"/>
    </row>
    <row r="423">
      <c r="B423" s="1"/>
      <c r="C423" s="1"/>
      <c r="D423" s="2"/>
    </row>
    <row r="424">
      <c r="B424" s="1"/>
      <c r="C424" s="1"/>
      <c r="D424" s="2"/>
    </row>
    <row r="425">
      <c r="B425" s="1"/>
      <c r="C425" s="1"/>
      <c r="D425" s="2"/>
    </row>
    <row r="426">
      <c r="B426" s="1"/>
      <c r="C426" s="1"/>
      <c r="D426" s="2"/>
    </row>
    <row r="427">
      <c r="B427" s="1"/>
      <c r="C427" s="1"/>
      <c r="D427" s="2"/>
    </row>
    <row r="428">
      <c r="B428" s="1"/>
      <c r="C428" s="1"/>
      <c r="D428" s="2"/>
    </row>
    <row r="429">
      <c r="B429" s="1"/>
      <c r="C429" s="1"/>
      <c r="D429" s="2"/>
    </row>
    <row r="430">
      <c r="B430" s="1"/>
      <c r="C430" s="1"/>
      <c r="D430" s="2"/>
    </row>
    <row r="431">
      <c r="B431" s="1"/>
      <c r="C431" s="1"/>
      <c r="D431" s="2"/>
    </row>
    <row r="432">
      <c r="B432" s="1"/>
      <c r="C432" s="1"/>
      <c r="D432" s="2"/>
    </row>
    <row r="433">
      <c r="B433" s="1"/>
      <c r="C433" s="1"/>
      <c r="D433" s="2"/>
    </row>
    <row r="434">
      <c r="B434" s="1"/>
      <c r="C434" s="1"/>
      <c r="D434" s="2"/>
    </row>
    <row r="435">
      <c r="B435" s="1"/>
      <c r="C435" s="1"/>
      <c r="D435" s="2"/>
    </row>
    <row r="436">
      <c r="B436" s="1"/>
      <c r="C436" s="1"/>
      <c r="D436" s="2"/>
    </row>
    <row r="437">
      <c r="B437" s="1"/>
      <c r="C437" s="1"/>
      <c r="D437" s="2"/>
    </row>
    <row r="438">
      <c r="B438" s="1"/>
      <c r="C438" s="1"/>
      <c r="D438" s="2"/>
    </row>
    <row r="439">
      <c r="B439" s="1"/>
      <c r="C439" s="1"/>
      <c r="D439" s="2"/>
    </row>
    <row r="440">
      <c r="B440" s="1"/>
      <c r="C440" s="1"/>
      <c r="D440" s="2"/>
    </row>
    <row r="441">
      <c r="B441" s="1"/>
      <c r="C441" s="1"/>
      <c r="D441" s="2"/>
    </row>
    <row r="442">
      <c r="B442" s="1"/>
      <c r="C442" s="1"/>
      <c r="D442" s="2"/>
    </row>
    <row r="443">
      <c r="B443" s="1"/>
      <c r="C443" s="1"/>
      <c r="D443" s="2"/>
    </row>
    <row r="444">
      <c r="B444" s="1"/>
      <c r="C444" s="1"/>
      <c r="D444" s="2"/>
    </row>
    <row r="445">
      <c r="B445" s="1"/>
      <c r="C445" s="1"/>
      <c r="D445" s="2"/>
    </row>
    <row r="446">
      <c r="B446" s="1"/>
      <c r="C446" s="1"/>
      <c r="D446" s="2"/>
    </row>
    <row r="447">
      <c r="B447" s="1"/>
      <c r="C447" s="1"/>
      <c r="D447" s="2"/>
    </row>
    <row r="448">
      <c r="B448" s="1"/>
      <c r="C448" s="1"/>
      <c r="D448" s="2"/>
    </row>
    <row r="449">
      <c r="B449" s="1"/>
      <c r="C449" s="1"/>
      <c r="D449" s="2"/>
    </row>
    <row r="450">
      <c r="B450" s="1"/>
      <c r="C450" s="1"/>
      <c r="D450" s="2"/>
    </row>
    <row r="451">
      <c r="B451" s="1"/>
      <c r="C451" s="1"/>
      <c r="D451" s="2"/>
    </row>
    <row r="452">
      <c r="B452" s="1"/>
      <c r="C452" s="1"/>
      <c r="D452" s="2"/>
    </row>
    <row r="453">
      <c r="B453" s="1"/>
      <c r="C453" s="1"/>
      <c r="D453" s="2"/>
    </row>
    <row r="454">
      <c r="B454" s="1"/>
      <c r="C454" s="1"/>
      <c r="D454" s="2"/>
    </row>
    <row r="455">
      <c r="B455" s="1"/>
      <c r="C455" s="1"/>
      <c r="D455" s="2"/>
    </row>
    <row r="456">
      <c r="B456" s="1"/>
      <c r="C456" s="1"/>
      <c r="D456" s="2"/>
    </row>
    <row r="457">
      <c r="B457" s="1"/>
      <c r="C457" s="1"/>
      <c r="D457" s="2"/>
    </row>
    <row r="458">
      <c r="B458" s="1"/>
      <c r="C458" s="1"/>
      <c r="D458" s="2"/>
    </row>
    <row r="459">
      <c r="B459" s="1"/>
      <c r="C459" s="1"/>
      <c r="D459" s="2"/>
    </row>
    <row r="460">
      <c r="B460" s="1"/>
      <c r="C460" s="1"/>
      <c r="D460" s="2"/>
    </row>
    <row r="461">
      <c r="B461" s="1"/>
      <c r="C461" s="1"/>
      <c r="D461" s="2"/>
    </row>
    <row r="462">
      <c r="B462" s="1"/>
      <c r="C462" s="1"/>
      <c r="D462" s="2"/>
    </row>
    <row r="463">
      <c r="B463" s="1"/>
      <c r="C463" s="1"/>
      <c r="D463" s="2"/>
    </row>
    <row r="464">
      <c r="B464" s="1"/>
      <c r="C464" s="1"/>
      <c r="D464" s="2"/>
    </row>
    <row r="465">
      <c r="B465" s="1"/>
      <c r="C465" s="1"/>
      <c r="D465" s="2"/>
    </row>
    <row r="466">
      <c r="B466" s="1"/>
      <c r="C466" s="1"/>
      <c r="D466" s="2"/>
    </row>
    <row r="467">
      <c r="B467" s="1"/>
      <c r="C467" s="1"/>
      <c r="D467" s="2"/>
    </row>
    <row r="468">
      <c r="B468" s="1"/>
      <c r="C468" s="1"/>
      <c r="D468" s="2"/>
    </row>
    <row r="469">
      <c r="B469" s="1"/>
      <c r="C469" s="1"/>
      <c r="D469" s="2"/>
    </row>
    <row r="470">
      <c r="B470" s="1"/>
      <c r="C470" s="1"/>
      <c r="D470" s="2"/>
    </row>
    <row r="471">
      <c r="B471" s="1"/>
      <c r="C471" s="1"/>
      <c r="D471" s="2"/>
    </row>
    <row r="472">
      <c r="B472" s="1"/>
      <c r="C472" s="1"/>
      <c r="D472" s="2"/>
    </row>
    <row r="473">
      <c r="B473" s="1"/>
      <c r="C473" s="1"/>
      <c r="D473" s="2"/>
    </row>
    <row r="474">
      <c r="B474" s="1"/>
      <c r="C474" s="1"/>
      <c r="D474" s="2"/>
    </row>
    <row r="475">
      <c r="B475" s="1"/>
      <c r="C475" s="1"/>
      <c r="D475" s="2"/>
    </row>
    <row r="476">
      <c r="B476" s="1"/>
      <c r="C476" s="1"/>
      <c r="D476" s="2"/>
    </row>
    <row r="477">
      <c r="B477" s="1"/>
      <c r="C477" s="1"/>
      <c r="D477" s="2"/>
    </row>
    <row r="478">
      <c r="B478" s="1"/>
      <c r="C478" s="1"/>
      <c r="D478" s="2"/>
    </row>
    <row r="479">
      <c r="B479" s="1"/>
      <c r="C479" s="1"/>
      <c r="D479" s="2"/>
    </row>
    <row r="480">
      <c r="B480" s="1"/>
      <c r="C480" s="1"/>
      <c r="D480" s="2"/>
    </row>
    <row r="481">
      <c r="B481" s="1"/>
      <c r="C481" s="1"/>
      <c r="D481" s="2"/>
    </row>
    <row r="482">
      <c r="B482" s="1"/>
      <c r="C482" s="1"/>
      <c r="D482" s="2"/>
    </row>
    <row r="483">
      <c r="B483" s="1"/>
      <c r="C483" s="1"/>
      <c r="D483" s="2"/>
    </row>
    <row r="484">
      <c r="B484" s="1"/>
      <c r="C484" s="1"/>
      <c r="D484" s="2"/>
    </row>
    <row r="485">
      <c r="B485" s="1"/>
      <c r="C485" s="1"/>
      <c r="D485" s="2"/>
    </row>
    <row r="486">
      <c r="B486" s="1"/>
      <c r="C486" s="1"/>
      <c r="D486" s="2"/>
    </row>
    <row r="487">
      <c r="B487" s="1"/>
      <c r="C487" s="1"/>
      <c r="D487" s="2"/>
    </row>
    <row r="488">
      <c r="B488" s="1"/>
      <c r="C488" s="1"/>
      <c r="D488" s="2"/>
    </row>
    <row r="489">
      <c r="B489" s="1"/>
      <c r="C489" s="1"/>
      <c r="D489" s="2"/>
    </row>
    <row r="490">
      <c r="B490" s="1"/>
      <c r="C490" s="1"/>
      <c r="D490" s="2"/>
    </row>
    <row r="491">
      <c r="B491" s="1"/>
      <c r="C491" s="1"/>
      <c r="D491" s="2"/>
    </row>
    <row r="492">
      <c r="B492" s="1"/>
      <c r="C492" s="1"/>
      <c r="D492" s="2"/>
    </row>
    <row r="493">
      <c r="B493" s="1"/>
      <c r="C493" s="1"/>
      <c r="D493" s="2"/>
    </row>
    <row r="494">
      <c r="B494" s="1"/>
      <c r="C494" s="1"/>
      <c r="D494" s="2"/>
    </row>
    <row r="495">
      <c r="B495" s="1"/>
      <c r="C495" s="1"/>
      <c r="D495" s="2"/>
    </row>
    <row r="496">
      <c r="B496" s="1"/>
      <c r="C496" s="1"/>
      <c r="D496" s="2"/>
    </row>
    <row r="497">
      <c r="B497" s="1"/>
      <c r="C497" s="1"/>
      <c r="D497" s="2"/>
    </row>
    <row r="498">
      <c r="B498" s="1"/>
      <c r="C498" s="1"/>
      <c r="D498" s="2"/>
    </row>
    <row r="499">
      <c r="B499" s="1"/>
      <c r="C499" s="1"/>
      <c r="D499" s="2"/>
    </row>
    <row r="500">
      <c r="B500" s="1"/>
      <c r="C500" s="1"/>
      <c r="D500" s="2"/>
    </row>
    <row r="501">
      <c r="B501" s="1"/>
      <c r="C501" s="1"/>
      <c r="D501" s="2"/>
    </row>
    <row r="502">
      <c r="B502" s="1"/>
      <c r="C502" s="1"/>
      <c r="D502" s="2"/>
    </row>
    <row r="503">
      <c r="B503" s="1"/>
      <c r="C503" s="1"/>
      <c r="D503" s="2"/>
    </row>
    <row r="504">
      <c r="B504" s="1"/>
      <c r="C504" s="1"/>
      <c r="D504" s="2"/>
    </row>
    <row r="505">
      <c r="B505" s="1"/>
      <c r="C505" s="1"/>
      <c r="D505" s="2"/>
    </row>
    <row r="506">
      <c r="B506" s="1"/>
      <c r="C506" s="1"/>
      <c r="D506" s="2"/>
    </row>
    <row r="507">
      <c r="B507" s="1"/>
      <c r="C507" s="1"/>
      <c r="D507" s="2"/>
    </row>
    <row r="508">
      <c r="B508" s="1"/>
      <c r="C508" s="1"/>
      <c r="D508" s="2"/>
    </row>
    <row r="509">
      <c r="B509" s="1"/>
      <c r="C509" s="1"/>
      <c r="D509" s="2"/>
    </row>
    <row r="510">
      <c r="B510" s="1"/>
      <c r="C510" s="1"/>
      <c r="D510" s="2"/>
    </row>
    <row r="511">
      <c r="B511" s="1"/>
      <c r="C511" s="1"/>
      <c r="D511" s="2"/>
    </row>
    <row r="512">
      <c r="B512" s="1"/>
      <c r="C512" s="1"/>
      <c r="D512" s="2"/>
    </row>
    <row r="513">
      <c r="B513" s="1"/>
      <c r="C513" s="1"/>
      <c r="D513" s="2"/>
    </row>
    <row r="514">
      <c r="B514" s="1"/>
      <c r="C514" s="1"/>
      <c r="D514" s="2"/>
    </row>
    <row r="515">
      <c r="B515" s="1"/>
      <c r="C515" s="1"/>
      <c r="D515" s="2"/>
    </row>
    <row r="516">
      <c r="B516" s="1"/>
      <c r="C516" s="1"/>
      <c r="D516" s="2"/>
    </row>
    <row r="517">
      <c r="B517" s="1"/>
      <c r="C517" s="1"/>
      <c r="D517" s="2"/>
    </row>
    <row r="518">
      <c r="B518" s="1"/>
      <c r="C518" s="1"/>
      <c r="D518" s="2"/>
    </row>
    <row r="519">
      <c r="B519" s="1"/>
      <c r="C519" s="1"/>
      <c r="D519" s="2"/>
    </row>
    <row r="520">
      <c r="B520" s="1"/>
      <c r="C520" s="1"/>
      <c r="D520" s="2"/>
    </row>
    <row r="521">
      <c r="B521" s="1"/>
      <c r="C521" s="1"/>
      <c r="D521" s="2"/>
    </row>
    <row r="522">
      <c r="B522" s="1"/>
      <c r="C522" s="1"/>
      <c r="D522" s="2"/>
    </row>
    <row r="523">
      <c r="B523" s="1"/>
      <c r="C523" s="1"/>
      <c r="D523" s="2"/>
    </row>
    <row r="524">
      <c r="B524" s="1"/>
      <c r="C524" s="1"/>
      <c r="D524" s="2"/>
    </row>
    <row r="525">
      <c r="B525" s="1"/>
      <c r="C525" s="1"/>
      <c r="D525" s="2"/>
    </row>
    <row r="526">
      <c r="B526" s="1"/>
      <c r="C526" s="1"/>
      <c r="D526" s="2"/>
    </row>
    <row r="527">
      <c r="B527" s="1"/>
      <c r="C527" s="1"/>
      <c r="D527" s="2"/>
    </row>
    <row r="528">
      <c r="B528" s="1"/>
      <c r="C528" s="1"/>
      <c r="D528" s="2"/>
    </row>
    <row r="529">
      <c r="B529" s="1"/>
      <c r="C529" s="1"/>
      <c r="D529" s="2"/>
    </row>
    <row r="530">
      <c r="B530" s="1"/>
      <c r="C530" s="1"/>
      <c r="D530" s="2"/>
    </row>
    <row r="531">
      <c r="B531" s="1"/>
      <c r="C531" s="1"/>
      <c r="D531" s="2"/>
    </row>
    <row r="532">
      <c r="B532" s="1"/>
      <c r="C532" s="1"/>
      <c r="D532" s="2"/>
    </row>
    <row r="533">
      <c r="B533" s="1"/>
      <c r="C533" s="1"/>
      <c r="D533" s="2"/>
    </row>
    <row r="534">
      <c r="B534" s="1"/>
      <c r="C534" s="1"/>
      <c r="D534" s="2"/>
    </row>
    <row r="535">
      <c r="B535" s="1"/>
      <c r="C535" s="1"/>
      <c r="D535" s="2"/>
    </row>
    <row r="536">
      <c r="B536" s="1"/>
      <c r="C536" s="1"/>
      <c r="D536" s="2"/>
    </row>
    <row r="537">
      <c r="B537" s="1"/>
      <c r="C537" s="1"/>
      <c r="D537" s="2"/>
    </row>
    <row r="538">
      <c r="B538" s="1"/>
      <c r="C538" s="1"/>
      <c r="D538" s="2"/>
    </row>
    <row r="539">
      <c r="B539" s="1"/>
      <c r="C539" s="1"/>
      <c r="D539" s="2"/>
    </row>
    <row r="540">
      <c r="B540" s="1"/>
      <c r="C540" s="1"/>
      <c r="D540" s="2"/>
    </row>
    <row r="541">
      <c r="B541" s="1"/>
      <c r="C541" s="1"/>
      <c r="D541" s="2"/>
    </row>
    <row r="542">
      <c r="B542" s="1"/>
      <c r="C542" s="1"/>
      <c r="D542" s="2"/>
    </row>
    <row r="543">
      <c r="B543" s="1"/>
      <c r="C543" s="1"/>
      <c r="D543" s="2"/>
    </row>
    <row r="544">
      <c r="B544" s="1"/>
      <c r="C544" s="1"/>
      <c r="D544" s="2"/>
    </row>
    <row r="545">
      <c r="B545" s="1"/>
      <c r="C545" s="1"/>
      <c r="D545" s="2"/>
    </row>
    <row r="546">
      <c r="B546" s="1"/>
      <c r="C546" s="1"/>
      <c r="D546" s="2"/>
    </row>
    <row r="547">
      <c r="B547" s="1"/>
      <c r="C547" s="1"/>
      <c r="D547" s="2"/>
    </row>
    <row r="548">
      <c r="B548" s="1"/>
      <c r="C548" s="1"/>
      <c r="D548" s="2"/>
    </row>
    <row r="549">
      <c r="B549" s="1"/>
      <c r="C549" s="1"/>
      <c r="D549" s="2"/>
    </row>
    <row r="550">
      <c r="B550" s="1"/>
      <c r="C550" s="1"/>
      <c r="D550" s="2"/>
    </row>
    <row r="551">
      <c r="B551" s="1"/>
      <c r="C551" s="1"/>
      <c r="D551" s="2"/>
    </row>
    <row r="552">
      <c r="B552" s="1"/>
      <c r="C552" s="1"/>
      <c r="D552" s="2"/>
    </row>
    <row r="553">
      <c r="B553" s="1"/>
      <c r="C553" s="1"/>
      <c r="D553" s="2"/>
    </row>
    <row r="554">
      <c r="B554" s="1"/>
      <c r="C554" s="1"/>
      <c r="D554" s="2"/>
    </row>
    <row r="555">
      <c r="B555" s="1"/>
      <c r="C555" s="1"/>
      <c r="D555" s="2"/>
    </row>
    <row r="556">
      <c r="B556" s="1"/>
      <c r="C556" s="1"/>
      <c r="D556" s="2"/>
    </row>
    <row r="557">
      <c r="B557" s="1"/>
      <c r="C557" s="1"/>
      <c r="D557" s="2"/>
    </row>
    <row r="558">
      <c r="B558" s="1"/>
      <c r="C558" s="1"/>
      <c r="D558" s="2"/>
    </row>
    <row r="559">
      <c r="B559" s="1"/>
      <c r="C559" s="1"/>
      <c r="D559" s="2"/>
    </row>
    <row r="560">
      <c r="B560" s="1"/>
      <c r="C560" s="1"/>
      <c r="D560" s="2"/>
    </row>
    <row r="561">
      <c r="B561" s="1"/>
      <c r="C561" s="1"/>
      <c r="D561" s="2"/>
    </row>
    <row r="562">
      <c r="B562" s="1"/>
      <c r="C562" s="1"/>
      <c r="D562" s="2"/>
    </row>
    <row r="563">
      <c r="B563" s="1"/>
      <c r="C563" s="1"/>
      <c r="D563" s="2"/>
    </row>
    <row r="564">
      <c r="B564" s="1"/>
      <c r="C564" s="1"/>
      <c r="D564" s="2"/>
    </row>
    <row r="565">
      <c r="B565" s="1"/>
      <c r="C565" s="1"/>
      <c r="D565" s="2"/>
    </row>
    <row r="566">
      <c r="B566" s="1"/>
      <c r="C566" s="1"/>
      <c r="D566" s="2"/>
    </row>
    <row r="567">
      <c r="B567" s="1"/>
      <c r="C567" s="1"/>
      <c r="D567" s="2"/>
    </row>
    <row r="568">
      <c r="B568" s="1"/>
      <c r="C568" s="1"/>
      <c r="D568" s="2"/>
    </row>
    <row r="569">
      <c r="B569" s="1"/>
      <c r="C569" s="1"/>
      <c r="D569" s="2"/>
    </row>
    <row r="570">
      <c r="B570" s="1"/>
      <c r="C570" s="1"/>
      <c r="D570" s="2"/>
    </row>
    <row r="571">
      <c r="B571" s="1"/>
      <c r="C571" s="1"/>
      <c r="D571" s="2"/>
    </row>
    <row r="572">
      <c r="B572" s="1"/>
      <c r="C572" s="1"/>
      <c r="D572" s="2"/>
    </row>
    <row r="573">
      <c r="B573" s="1"/>
      <c r="C573" s="1"/>
      <c r="D573" s="2"/>
    </row>
    <row r="574">
      <c r="B574" s="1"/>
      <c r="C574" s="1"/>
      <c r="D574" s="2"/>
    </row>
    <row r="575">
      <c r="B575" s="1"/>
      <c r="C575" s="1"/>
      <c r="D575" s="2"/>
    </row>
    <row r="576">
      <c r="B576" s="1"/>
      <c r="C576" s="1"/>
      <c r="D576" s="2"/>
    </row>
    <row r="577">
      <c r="B577" s="1"/>
      <c r="C577" s="1"/>
      <c r="D577" s="2"/>
    </row>
    <row r="578">
      <c r="B578" s="1"/>
      <c r="C578" s="1"/>
      <c r="D578" s="2"/>
    </row>
    <row r="579">
      <c r="B579" s="1"/>
      <c r="C579" s="1"/>
      <c r="D579" s="2"/>
    </row>
    <row r="580">
      <c r="B580" s="1"/>
      <c r="C580" s="1"/>
      <c r="D580" s="2"/>
    </row>
    <row r="581">
      <c r="B581" s="1"/>
      <c r="C581" s="1"/>
      <c r="D581" s="2"/>
    </row>
    <row r="582">
      <c r="B582" s="1"/>
      <c r="C582" s="1"/>
      <c r="D582" s="2"/>
    </row>
    <row r="583">
      <c r="B583" s="1"/>
      <c r="C583" s="1"/>
      <c r="D583" s="2"/>
    </row>
    <row r="584">
      <c r="B584" s="1"/>
      <c r="C584" s="1"/>
      <c r="D584" s="2"/>
    </row>
    <row r="585">
      <c r="B585" s="1"/>
      <c r="C585" s="1"/>
      <c r="D585" s="2"/>
    </row>
    <row r="586">
      <c r="B586" s="1"/>
      <c r="C586" s="1"/>
      <c r="D586" s="2"/>
    </row>
    <row r="587">
      <c r="B587" s="1"/>
      <c r="C587" s="1"/>
      <c r="D587" s="2"/>
    </row>
    <row r="588">
      <c r="B588" s="1"/>
      <c r="C588" s="1"/>
      <c r="D588" s="2"/>
    </row>
    <row r="589">
      <c r="B589" s="1"/>
      <c r="C589" s="1"/>
      <c r="D589" s="2"/>
    </row>
    <row r="590">
      <c r="B590" s="1"/>
      <c r="C590" s="1"/>
      <c r="D590" s="2"/>
    </row>
    <row r="591">
      <c r="B591" s="1"/>
      <c r="C591" s="1"/>
      <c r="D591" s="2"/>
    </row>
    <row r="592">
      <c r="B592" s="1"/>
      <c r="C592" s="1"/>
      <c r="D592" s="2"/>
    </row>
    <row r="593">
      <c r="B593" s="1"/>
      <c r="C593" s="1"/>
      <c r="D593" s="2"/>
    </row>
    <row r="594">
      <c r="B594" s="1"/>
      <c r="C594" s="1"/>
      <c r="D594" s="2"/>
    </row>
    <row r="595">
      <c r="B595" s="1"/>
      <c r="C595" s="1"/>
      <c r="D595" s="2"/>
    </row>
    <row r="596">
      <c r="B596" s="1"/>
      <c r="C596" s="1"/>
      <c r="D596" s="2"/>
    </row>
    <row r="597">
      <c r="B597" s="1"/>
      <c r="C597" s="1"/>
      <c r="D597" s="2"/>
    </row>
    <row r="598">
      <c r="B598" s="1"/>
      <c r="C598" s="1"/>
      <c r="D598" s="2"/>
    </row>
    <row r="599">
      <c r="B599" s="1"/>
      <c r="C599" s="1"/>
      <c r="D599" s="2"/>
    </row>
    <row r="600">
      <c r="B600" s="1"/>
      <c r="C600" s="1"/>
      <c r="D600" s="2"/>
    </row>
    <row r="601">
      <c r="B601" s="1"/>
      <c r="C601" s="1"/>
      <c r="D601" s="2"/>
    </row>
    <row r="602">
      <c r="B602" s="1"/>
      <c r="C602" s="1"/>
      <c r="D602" s="2"/>
    </row>
    <row r="603">
      <c r="B603" s="1"/>
      <c r="C603" s="1"/>
      <c r="D603" s="2"/>
    </row>
    <row r="604">
      <c r="B604" s="1"/>
      <c r="C604" s="1"/>
      <c r="D604" s="2"/>
    </row>
    <row r="605">
      <c r="B605" s="1"/>
      <c r="C605" s="1"/>
      <c r="D605" s="2"/>
    </row>
    <row r="606">
      <c r="B606" s="1"/>
      <c r="C606" s="1"/>
      <c r="D606" s="2"/>
    </row>
    <row r="607">
      <c r="B607" s="1"/>
      <c r="C607" s="1"/>
      <c r="D607" s="2"/>
    </row>
    <row r="608">
      <c r="B608" s="1"/>
      <c r="C608" s="1"/>
      <c r="D608" s="2"/>
    </row>
    <row r="609">
      <c r="B609" s="1"/>
      <c r="C609" s="1"/>
      <c r="D609" s="2"/>
    </row>
    <row r="610">
      <c r="B610" s="1"/>
      <c r="C610" s="1"/>
      <c r="D610" s="2"/>
    </row>
    <row r="611">
      <c r="B611" s="1"/>
      <c r="C611" s="1"/>
      <c r="D611" s="2"/>
    </row>
    <row r="612">
      <c r="B612" s="1"/>
      <c r="C612" s="1"/>
      <c r="D612" s="2"/>
    </row>
    <row r="613">
      <c r="B613" s="1"/>
      <c r="C613" s="1"/>
      <c r="D613" s="2"/>
    </row>
    <row r="614">
      <c r="B614" s="1"/>
      <c r="C614" s="1"/>
      <c r="D614" s="2"/>
    </row>
    <row r="615">
      <c r="B615" s="1"/>
      <c r="C615" s="1"/>
      <c r="D615" s="2"/>
    </row>
    <row r="616">
      <c r="B616" s="1"/>
      <c r="C616" s="1"/>
      <c r="D616" s="2"/>
    </row>
    <row r="617">
      <c r="B617" s="1"/>
      <c r="C617" s="1"/>
      <c r="D617" s="2"/>
    </row>
    <row r="618">
      <c r="B618" s="1"/>
      <c r="C618" s="1"/>
      <c r="D618" s="2"/>
    </row>
    <row r="619">
      <c r="B619" s="1"/>
      <c r="C619" s="1"/>
      <c r="D619" s="2"/>
    </row>
    <row r="620">
      <c r="B620" s="1"/>
      <c r="C620" s="1"/>
      <c r="D620" s="2"/>
    </row>
    <row r="621">
      <c r="B621" s="1"/>
      <c r="C621" s="1"/>
      <c r="D621" s="2"/>
    </row>
    <row r="622">
      <c r="B622" s="1"/>
      <c r="C622" s="1"/>
      <c r="D622" s="2"/>
    </row>
    <row r="623">
      <c r="B623" s="1"/>
      <c r="C623" s="1"/>
      <c r="D623" s="2"/>
    </row>
    <row r="624">
      <c r="B624" s="1"/>
      <c r="C624" s="1"/>
      <c r="D624" s="2"/>
    </row>
    <row r="625">
      <c r="B625" s="1"/>
      <c r="C625" s="1"/>
      <c r="D625" s="2"/>
    </row>
    <row r="626">
      <c r="B626" s="1"/>
      <c r="C626" s="1"/>
      <c r="D626" s="2"/>
    </row>
    <row r="627">
      <c r="B627" s="1"/>
      <c r="C627" s="1"/>
      <c r="D627" s="2"/>
    </row>
    <row r="628">
      <c r="B628" s="1"/>
      <c r="C628" s="1"/>
      <c r="D628" s="2"/>
    </row>
    <row r="629">
      <c r="B629" s="1"/>
      <c r="C629" s="1"/>
      <c r="D629" s="2"/>
    </row>
    <row r="630">
      <c r="B630" s="1"/>
      <c r="C630" s="1"/>
      <c r="D630" s="2"/>
    </row>
    <row r="631">
      <c r="B631" s="1"/>
      <c r="C631" s="1"/>
      <c r="D631" s="2"/>
    </row>
    <row r="632">
      <c r="B632" s="1"/>
      <c r="C632" s="1"/>
      <c r="D632" s="2"/>
    </row>
    <row r="633">
      <c r="B633" s="1"/>
      <c r="C633" s="1"/>
      <c r="D633" s="2"/>
    </row>
    <row r="634">
      <c r="B634" s="1"/>
      <c r="C634" s="1"/>
      <c r="D634" s="2"/>
    </row>
    <row r="635">
      <c r="B635" s="1"/>
      <c r="C635" s="1"/>
      <c r="D635" s="2"/>
    </row>
    <row r="636">
      <c r="B636" s="1"/>
      <c r="C636" s="1"/>
      <c r="D636" s="2"/>
    </row>
    <row r="637">
      <c r="B637" s="1"/>
      <c r="C637" s="1"/>
      <c r="D637" s="2"/>
    </row>
    <row r="638">
      <c r="B638" s="1"/>
      <c r="C638" s="1"/>
      <c r="D638" s="2"/>
    </row>
    <row r="639">
      <c r="B639" s="1"/>
      <c r="C639" s="1"/>
      <c r="D639" s="2"/>
    </row>
    <row r="640">
      <c r="B640" s="1"/>
      <c r="C640" s="1"/>
      <c r="D640" s="2"/>
    </row>
    <row r="641">
      <c r="B641" s="1"/>
      <c r="C641" s="1"/>
      <c r="D641" s="2"/>
    </row>
    <row r="642">
      <c r="B642" s="1"/>
      <c r="C642" s="1"/>
      <c r="D642" s="2"/>
    </row>
    <row r="643">
      <c r="B643" s="1"/>
      <c r="C643" s="1"/>
      <c r="D643" s="2"/>
    </row>
    <row r="644">
      <c r="B644" s="1"/>
      <c r="C644" s="1"/>
      <c r="D644" s="2"/>
    </row>
    <row r="645">
      <c r="B645" s="1"/>
      <c r="C645" s="1"/>
      <c r="D645" s="2"/>
    </row>
    <row r="646">
      <c r="B646" s="1"/>
      <c r="C646" s="1"/>
      <c r="D646" s="2"/>
    </row>
    <row r="647">
      <c r="B647" s="1"/>
      <c r="C647" s="1"/>
      <c r="D647" s="2"/>
    </row>
    <row r="648">
      <c r="B648" s="1"/>
      <c r="C648" s="1"/>
      <c r="D648" s="2"/>
    </row>
    <row r="649">
      <c r="B649" s="1"/>
      <c r="C649" s="1"/>
      <c r="D649" s="2"/>
    </row>
    <row r="650">
      <c r="B650" s="1"/>
      <c r="C650" s="1"/>
      <c r="D650" s="2"/>
    </row>
    <row r="651">
      <c r="B651" s="1"/>
      <c r="C651" s="1"/>
      <c r="D651" s="2"/>
    </row>
    <row r="652">
      <c r="B652" s="1"/>
      <c r="C652" s="1"/>
      <c r="D652" s="2"/>
    </row>
    <row r="653">
      <c r="B653" s="1"/>
      <c r="C653" s="1"/>
      <c r="D653" s="2"/>
    </row>
    <row r="654">
      <c r="B654" s="1"/>
      <c r="C654" s="1"/>
      <c r="D654" s="2"/>
    </row>
    <row r="655">
      <c r="B655" s="1"/>
      <c r="C655" s="1"/>
      <c r="D655" s="2"/>
    </row>
    <row r="656">
      <c r="B656" s="1"/>
      <c r="C656" s="1"/>
      <c r="D656" s="2"/>
    </row>
    <row r="657">
      <c r="B657" s="1"/>
      <c r="C657" s="1"/>
      <c r="D657" s="2"/>
    </row>
    <row r="658">
      <c r="B658" s="1"/>
      <c r="C658" s="1"/>
      <c r="D658" s="2"/>
    </row>
    <row r="659">
      <c r="B659" s="1"/>
      <c r="C659" s="1"/>
      <c r="D659" s="2"/>
    </row>
    <row r="660">
      <c r="B660" s="1"/>
      <c r="C660" s="1"/>
      <c r="D660" s="2"/>
    </row>
    <row r="661">
      <c r="B661" s="1"/>
      <c r="C661" s="1"/>
      <c r="D661" s="2"/>
    </row>
    <row r="662">
      <c r="B662" s="1"/>
      <c r="C662" s="1"/>
      <c r="D662" s="2"/>
    </row>
    <row r="663">
      <c r="B663" s="1"/>
      <c r="C663" s="1"/>
      <c r="D663" s="2"/>
    </row>
    <row r="664">
      <c r="B664" s="1"/>
      <c r="C664" s="1"/>
      <c r="D664" s="2"/>
    </row>
    <row r="665">
      <c r="B665" s="1"/>
      <c r="C665" s="1"/>
      <c r="D665" s="2"/>
    </row>
    <row r="666">
      <c r="B666" s="1"/>
      <c r="C666" s="1"/>
      <c r="D666" s="2"/>
    </row>
    <row r="667">
      <c r="B667" s="1"/>
      <c r="C667" s="1"/>
      <c r="D667" s="2"/>
    </row>
    <row r="668">
      <c r="B668" s="1"/>
      <c r="C668" s="1"/>
      <c r="D668" s="2"/>
    </row>
    <row r="669">
      <c r="B669" s="1"/>
      <c r="C669" s="1"/>
      <c r="D669" s="2"/>
    </row>
    <row r="670">
      <c r="B670" s="1"/>
      <c r="C670" s="1"/>
      <c r="D670" s="2"/>
    </row>
    <row r="671">
      <c r="B671" s="1"/>
      <c r="C671" s="1"/>
      <c r="D671" s="2"/>
    </row>
    <row r="672">
      <c r="B672" s="1"/>
      <c r="C672" s="1"/>
      <c r="D672" s="2"/>
    </row>
    <row r="673">
      <c r="B673" s="1"/>
      <c r="C673" s="1"/>
      <c r="D673" s="2"/>
    </row>
    <row r="674">
      <c r="B674" s="1"/>
      <c r="C674" s="1"/>
      <c r="D674" s="2"/>
    </row>
    <row r="675">
      <c r="B675" s="1"/>
      <c r="C675" s="1"/>
      <c r="D675" s="2"/>
    </row>
    <row r="676">
      <c r="B676" s="1"/>
      <c r="C676" s="1"/>
      <c r="D676" s="2"/>
    </row>
    <row r="677">
      <c r="B677" s="1"/>
      <c r="C677" s="1"/>
      <c r="D677" s="2"/>
    </row>
    <row r="678">
      <c r="B678" s="1"/>
      <c r="C678" s="1"/>
      <c r="D678" s="2"/>
    </row>
    <row r="679">
      <c r="B679" s="1"/>
      <c r="C679" s="1"/>
      <c r="D679" s="2"/>
    </row>
    <row r="680">
      <c r="B680" s="1"/>
      <c r="C680" s="1"/>
      <c r="D680" s="2"/>
    </row>
    <row r="681">
      <c r="B681" s="1"/>
      <c r="C681" s="1"/>
      <c r="D681" s="2"/>
    </row>
    <row r="682">
      <c r="B682" s="1"/>
      <c r="C682" s="1"/>
      <c r="D682" s="2"/>
    </row>
    <row r="683">
      <c r="B683" s="1"/>
      <c r="C683" s="1"/>
      <c r="D683" s="2"/>
    </row>
    <row r="684">
      <c r="B684" s="1"/>
      <c r="C684" s="1"/>
      <c r="D684" s="2"/>
    </row>
    <row r="685">
      <c r="B685" s="1"/>
      <c r="C685" s="1"/>
      <c r="D685" s="2"/>
    </row>
    <row r="686">
      <c r="B686" s="1"/>
      <c r="C686" s="1"/>
      <c r="D686" s="2"/>
    </row>
    <row r="687">
      <c r="B687" s="1"/>
      <c r="C687" s="1"/>
      <c r="D687" s="2"/>
    </row>
    <row r="688">
      <c r="B688" s="1"/>
      <c r="C688" s="1"/>
      <c r="D688" s="2"/>
    </row>
    <row r="689">
      <c r="B689" s="1"/>
      <c r="C689" s="1"/>
      <c r="D689" s="2"/>
    </row>
    <row r="690">
      <c r="B690" s="1"/>
      <c r="C690" s="1"/>
      <c r="D690" s="2"/>
    </row>
    <row r="691">
      <c r="B691" s="1"/>
      <c r="C691" s="1"/>
      <c r="D691" s="2"/>
    </row>
    <row r="692">
      <c r="B692" s="1"/>
      <c r="C692" s="1"/>
      <c r="D692" s="2"/>
    </row>
    <row r="693">
      <c r="B693" s="1"/>
      <c r="C693" s="1"/>
      <c r="D693" s="2"/>
    </row>
    <row r="694">
      <c r="B694" s="1"/>
      <c r="C694" s="1"/>
      <c r="D694" s="2"/>
    </row>
    <row r="695">
      <c r="B695" s="1"/>
      <c r="C695" s="1"/>
      <c r="D695" s="2"/>
    </row>
    <row r="696">
      <c r="B696" s="1"/>
      <c r="C696" s="1"/>
      <c r="D696" s="2"/>
    </row>
    <row r="697">
      <c r="B697" s="1"/>
      <c r="C697" s="1"/>
      <c r="D697" s="2"/>
    </row>
    <row r="698">
      <c r="B698" s="1"/>
      <c r="C698" s="1"/>
      <c r="D698" s="2"/>
    </row>
    <row r="699">
      <c r="B699" s="1"/>
      <c r="C699" s="1"/>
      <c r="D699" s="2"/>
    </row>
    <row r="700">
      <c r="B700" s="1"/>
      <c r="C700" s="1"/>
      <c r="D700" s="2"/>
    </row>
    <row r="701">
      <c r="B701" s="1"/>
      <c r="C701" s="1"/>
      <c r="D701" s="2"/>
    </row>
    <row r="702">
      <c r="B702" s="1"/>
      <c r="C702" s="1"/>
      <c r="D702" s="2"/>
    </row>
    <row r="703">
      <c r="B703" s="1"/>
      <c r="C703" s="1"/>
      <c r="D703" s="2"/>
    </row>
    <row r="704">
      <c r="B704" s="1"/>
      <c r="C704" s="1"/>
      <c r="D704" s="2"/>
    </row>
    <row r="705">
      <c r="B705" s="1"/>
      <c r="C705" s="1"/>
      <c r="D705" s="2"/>
    </row>
    <row r="706">
      <c r="B706" s="1"/>
      <c r="C706" s="1"/>
      <c r="D706" s="2"/>
    </row>
    <row r="707">
      <c r="B707" s="1"/>
      <c r="C707" s="1"/>
      <c r="D707" s="2"/>
    </row>
    <row r="708">
      <c r="B708" s="1"/>
      <c r="C708" s="1"/>
      <c r="D708" s="2"/>
    </row>
    <row r="709">
      <c r="B709" s="1"/>
      <c r="C709" s="1"/>
      <c r="D709" s="2"/>
    </row>
    <row r="710">
      <c r="B710" s="1"/>
      <c r="C710" s="1"/>
      <c r="D710" s="2"/>
    </row>
    <row r="711">
      <c r="B711" s="1"/>
      <c r="C711" s="1"/>
      <c r="D711" s="2"/>
    </row>
    <row r="712">
      <c r="B712" s="1"/>
      <c r="C712" s="1"/>
      <c r="D712" s="2"/>
    </row>
    <row r="713">
      <c r="B713" s="1"/>
      <c r="C713" s="1"/>
      <c r="D713" s="2"/>
    </row>
    <row r="714">
      <c r="B714" s="1"/>
      <c r="C714" s="1"/>
      <c r="D714" s="2"/>
    </row>
    <row r="715">
      <c r="B715" s="1"/>
      <c r="C715" s="1"/>
      <c r="D715" s="2"/>
    </row>
    <row r="716">
      <c r="B716" s="1"/>
      <c r="C716" s="1"/>
      <c r="D716" s="2"/>
    </row>
    <row r="717">
      <c r="B717" s="1"/>
      <c r="C717" s="1"/>
      <c r="D717" s="2"/>
    </row>
    <row r="718">
      <c r="B718" s="1"/>
      <c r="C718" s="1"/>
      <c r="D718" s="2"/>
    </row>
    <row r="719">
      <c r="B719" s="1"/>
      <c r="C719" s="1"/>
      <c r="D719" s="2"/>
    </row>
    <row r="720">
      <c r="B720" s="1"/>
      <c r="C720" s="1"/>
      <c r="D720" s="2"/>
    </row>
    <row r="721">
      <c r="B721" s="1"/>
      <c r="C721" s="1"/>
      <c r="D721" s="2"/>
    </row>
    <row r="722">
      <c r="B722" s="1"/>
      <c r="C722" s="1"/>
      <c r="D722" s="2"/>
    </row>
    <row r="723">
      <c r="B723" s="1"/>
      <c r="C723" s="1"/>
      <c r="D723" s="2"/>
    </row>
    <row r="724">
      <c r="B724" s="1"/>
      <c r="C724" s="1"/>
      <c r="D724" s="2"/>
    </row>
    <row r="725">
      <c r="B725" s="1"/>
      <c r="C725" s="1"/>
      <c r="D725" s="2"/>
    </row>
    <row r="726">
      <c r="B726" s="1"/>
      <c r="C726" s="1"/>
      <c r="D726" s="2"/>
    </row>
    <row r="727">
      <c r="B727" s="1"/>
      <c r="C727" s="1"/>
      <c r="D727" s="2"/>
    </row>
    <row r="728">
      <c r="B728" s="1"/>
      <c r="C728" s="1"/>
      <c r="D728" s="2"/>
    </row>
    <row r="729">
      <c r="B729" s="1"/>
      <c r="C729" s="1"/>
      <c r="D729" s="2"/>
    </row>
    <row r="730">
      <c r="B730" s="1"/>
      <c r="C730" s="1"/>
      <c r="D730" s="2"/>
    </row>
    <row r="731">
      <c r="B731" s="1"/>
      <c r="C731" s="1"/>
      <c r="D731" s="2"/>
    </row>
    <row r="732">
      <c r="B732" s="1"/>
      <c r="C732" s="1"/>
      <c r="D732" s="2"/>
    </row>
    <row r="733">
      <c r="B733" s="1"/>
      <c r="C733" s="1"/>
      <c r="D733" s="2"/>
    </row>
    <row r="734">
      <c r="B734" s="1"/>
      <c r="C734" s="1"/>
      <c r="D734" s="2"/>
    </row>
    <row r="735">
      <c r="B735" s="1"/>
      <c r="C735" s="1"/>
      <c r="D735" s="2"/>
    </row>
    <row r="736">
      <c r="B736" s="1"/>
      <c r="C736" s="1"/>
      <c r="D736" s="2"/>
    </row>
    <row r="737">
      <c r="B737" s="1"/>
      <c r="C737" s="1"/>
      <c r="D737" s="2"/>
    </row>
    <row r="738">
      <c r="B738" s="1"/>
      <c r="C738" s="1"/>
      <c r="D738" s="2"/>
    </row>
    <row r="739">
      <c r="B739" s="1"/>
      <c r="C739" s="1"/>
      <c r="D739" s="2"/>
    </row>
    <row r="740">
      <c r="B740" s="1"/>
      <c r="C740" s="1"/>
      <c r="D740" s="2"/>
    </row>
    <row r="741">
      <c r="B741" s="1"/>
      <c r="C741" s="1"/>
      <c r="D741" s="2"/>
    </row>
    <row r="742">
      <c r="B742" s="1"/>
      <c r="C742" s="1"/>
      <c r="D742" s="2"/>
    </row>
    <row r="743">
      <c r="B743" s="1"/>
      <c r="C743" s="1"/>
      <c r="D743" s="2"/>
    </row>
    <row r="744">
      <c r="B744" s="1"/>
      <c r="C744" s="1"/>
      <c r="D744" s="2"/>
    </row>
    <row r="745">
      <c r="B745" s="1"/>
      <c r="C745" s="1"/>
      <c r="D745" s="2"/>
    </row>
    <row r="746">
      <c r="B746" s="1"/>
      <c r="C746" s="1"/>
      <c r="D746" s="2"/>
    </row>
    <row r="747">
      <c r="B747" s="1"/>
      <c r="C747" s="1"/>
      <c r="D747" s="2"/>
    </row>
    <row r="748">
      <c r="B748" s="1"/>
      <c r="C748" s="1"/>
      <c r="D748" s="2"/>
    </row>
    <row r="749">
      <c r="B749" s="1"/>
      <c r="C749" s="1"/>
      <c r="D749" s="2"/>
    </row>
    <row r="750">
      <c r="B750" s="1"/>
      <c r="C750" s="1"/>
      <c r="D750" s="2"/>
    </row>
    <row r="751">
      <c r="B751" s="1"/>
      <c r="C751" s="1"/>
      <c r="D751" s="2"/>
    </row>
    <row r="752">
      <c r="B752" s="1"/>
      <c r="C752" s="1"/>
      <c r="D752" s="2"/>
    </row>
    <row r="753">
      <c r="B753" s="1"/>
      <c r="C753" s="1"/>
      <c r="D753" s="2"/>
    </row>
    <row r="754">
      <c r="B754" s="1"/>
      <c r="C754" s="1"/>
      <c r="D754" s="2"/>
    </row>
    <row r="755">
      <c r="B755" s="1"/>
      <c r="C755" s="1"/>
      <c r="D755" s="2"/>
    </row>
    <row r="756">
      <c r="B756" s="1"/>
      <c r="C756" s="1"/>
      <c r="D756" s="2"/>
    </row>
    <row r="757">
      <c r="B757" s="1"/>
      <c r="C757" s="1"/>
      <c r="D757" s="2"/>
    </row>
    <row r="758">
      <c r="B758" s="1"/>
      <c r="C758" s="1"/>
      <c r="D758" s="2"/>
    </row>
    <row r="759">
      <c r="B759" s="1"/>
      <c r="C759" s="1"/>
      <c r="D759" s="2"/>
    </row>
    <row r="760">
      <c r="B760" s="1"/>
      <c r="C760" s="1"/>
      <c r="D760" s="2"/>
    </row>
    <row r="761">
      <c r="B761" s="1"/>
      <c r="C761" s="1"/>
      <c r="D761" s="2"/>
    </row>
    <row r="762">
      <c r="B762" s="1"/>
      <c r="C762" s="1"/>
      <c r="D762" s="2"/>
    </row>
    <row r="763">
      <c r="B763" s="1"/>
      <c r="C763" s="1"/>
      <c r="D763" s="2"/>
    </row>
    <row r="764">
      <c r="B764" s="1"/>
      <c r="C764" s="1"/>
      <c r="D764" s="2"/>
    </row>
    <row r="765">
      <c r="B765" s="1"/>
      <c r="C765" s="1"/>
      <c r="D765" s="2"/>
    </row>
    <row r="766">
      <c r="B766" s="1"/>
      <c r="C766" s="1"/>
      <c r="D766" s="2"/>
    </row>
    <row r="767">
      <c r="B767" s="1"/>
      <c r="C767" s="1"/>
      <c r="D767" s="2"/>
    </row>
    <row r="768">
      <c r="B768" s="1"/>
      <c r="C768" s="1"/>
      <c r="D768" s="2"/>
    </row>
    <row r="769">
      <c r="B769" s="1"/>
      <c r="C769" s="1"/>
      <c r="D769" s="2"/>
    </row>
    <row r="770">
      <c r="B770" s="1"/>
      <c r="C770" s="1"/>
      <c r="D770" s="2"/>
    </row>
    <row r="771">
      <c r="B771" s="1"/>
      <c r="C771" s="1"/>
      <c r="D771" s="2"/>
    </row>
    <row r="772">
      <c r="B772" s="1"/>
      <c r="C772" s="1"/>
      <c r="D772" s="2"/>
    </row>
    <row r="773">
      <c r="B773" s="1"/>
      <c r="C773" s="1"/>
      <c r="D773" s="2"/>
    </row>
    <row r="774">
      <c r="B774" s="1"/>
      <c r="C774" s="1"/>
      <c r="D774" s="2"/>
    </row>
    <row r="775">
      <c r="B775" s="1"/>
      <c r="C775" s="1"/>
      <c r="D775" s="2"/>
    </row>
    <row r="776">
      <c r="B776" s="1"/>
      <c r="C776" s="1"/>
      <c r="D776" s="2"/>
    </row>
    <row r="777">
      <c r="B777" s="1"/>
      <c r="C777" s="1"/>
      <c r="D777" s="2"/>
    </row>
    <row r="778">
      <c r="B778" s="1"/>
      <c r="C778" s="1"/>
      <c r="D778" s="2"/>
    </row>
    <row r="779">
      <c r="B779" s="1"/>
      <c r="C779" s="1"/>
      <c r="D779" s="2"/>
    </row>
    <row r="780">
      <c r="B780" s="1"/>
      <c r="C780" s="1"/>
      <c r="D780" s="2"/>
    </row>
    <row r="781">
      <c r="B781" s="1"/>
      <c r="C781" s="1"/>
      <c r="D781" s="2"/>
    </row>
    <row r="782">
      <c r="B782" s="1"/>
      <c r="C782" s="1"/>
      <c r="D782" s="2"/>
    </row>
    <row r="783">
      <c r="B783" s="1"/>
      <c r="C783" s="1"/>
      <c r="D783" s="2"/>
    </row>
    <row r="784">
      <c r="B784" s="1"/>
      <c r="C784" s="1"/>
      <c r="D784" s="2"/>
    </row>
    <row r="785">
      <c r="B785" s="1"/>
      <c r="C785" s="1"/>
      <c r="D785" s="2"/>
    </row>
    <row r="786">
      <c r="B786" s="1"/>
      <c r="C786" s="1"/>
      <c r="D786" s="2"/>
    </row>
    <row r="787">
      <c r="B787" s="1"/>
      <c r="C787" s="1"/>
      <c r="D787" s="2"/>
    </row>
    <row r="788">
      <c r="B788" s="1"/>
      <c r="C788" s="1"/>
      <c r="D788" s="2"/>
    </row>
    <row r="789">
      <c r="B789" s="1"/>
      <c r="C789" s="1"/>
      <c r="D789" s="2"/>
    </row>
    <row r="790">
      <c r="B790" s="1"/>
      <c r="C790" s="1"/>
      <c r="D790" s="2"/>
    </row>
    <row r="791">
      <c r="B791" s="1"/>
      <c r="C791" s="1"/>
      <c r="D791" s="2"/>
    </row>
    <row r="792">
      <c r="B792" s="1"/>
      <c r="C792" s="1"/>
      <c r="D792" s="2"/>
    </row>
    <row r="793">
      <c r="B793" s="1"/>
      <c r="C793" s="1"/>
      <c r="D793" s="2"/>
    </row>
    <row r="794">
      <c r="B794" s="1"/>
      <c r="C794" s="1"/>
      <c r="D794" s="2"/>
    </row>
    <row r="795">
      <c r="B795" s="1"/>
      <c r="C795" s="1"/>
      <c r="D795" s="2"/>
    </row>
    <row r="796">
      <c r="B796" s="1"/>
      <c r="C796" s="1"/>
      <c r="D796" s="2"/>
    </row>
    <row r="797">
      <c r="B797" s="1"/>
      <c r="C797" s="1"/>
      <c r="D797" s="2"/>
    </row>
    <row r="798">
      <c r="B798" s="1"/>
      <c r="C798" s="1"/>
      <c r="D798" s="2"/>
    </row>
    <row r="799">
      <c r="B799" s="1"/>
      <c r="C799" s="1"/>
      <c r="D799" s="2"/>
    </row>
    <row r="800">
      <c r="B800" s="1"/>
      <c r="C800" s="1"/>
      <c r="D800" s="2"/>
    </row>
    <row r="801">
      <c r="B801" s="1"/>
      <c r="C801" s="1"/>
      <c r="D801" s="2"/>
    </row>
    <row r="802">
      <c r="B802" s="1"/>
      <c r="C802" s="1"/>
      <c r="D802" s="2"/>
    </row>
    <row r="803">
      <c r="B803" s="1"/>
      <c r="C803" s="1"/>
      <c r="D803" s="2"/>
    </row>
    <row r="804">
      <c r="B804" s="1"/>
      <c r="C804" s="1"/>
      <c r="D804" s="2"/>
    </row>
    <row r="805">
      <c r="B805" s="1"/>
      <c r="C805" s="1"/>
      <c r="D805" s="2"/>
    </row>
    <row r="806">
      <c r="B806" s="1"/>
      <c r="C806" s="1"/>
      <c r="D806" s="2"/>
    </row>
    <row r="807">
      <c r="B807" s="1"/>
      <c r="C807" s="1"/>
      <c r="D807" s="2"/>
    </row>
    <row r="808">
      <c r="B808" s="1"/>
      <c r="C808" s="1"/>
      <c r="D808" s="2"/>
    </row>
    <row r="809">
      <c r="B809" s="1"/>
      <c r="C809" s="1"/>
      <c r="D809" s="2"/>
    </row>
    <row r="810">
      <c r="B810" s="1"/>
      <c r="C810" s="1"/>
      <c r="D810" s="2"/>
    </row>
    <row r="811">
      <c r="B811" s="1"/>
      <c r="C811" s="1"/>
      <c r="D811" s="2"/>
    </row>
    <row r="812">
      <c r="B812" s="1"/>
      <c r="C812" s="1"/>
      <c r="D812" s="2"/>
    </row>
    <row r="813">
      <c r="B813" s="1"/>
      <c r="C813" s="1"/>
      <c r="D813" s="2"/>
    </row>
    <row r="814">
      <c r="B814" s="1"/>
      <c r="C814" s="1"/>
      <c r="D814" s="2"/>
    </row>
    <row r="815">
      <c r="B815" s="1"/>
      <c r="C815" s="1"/>
      <c r="D815" s="2"/>
    </row>
    <row r="816">
      <c r="B816" s="1"/>
      <c r="C816" s="1"/>
      <c r="D816" s="2"/>
    </row>
    <row r="817">
      <c r="B817" s="1"/>
      <c r="C817" s="1"/>
      <c r="D817" s="2"/>
    </row>
    <row r="818">
      <c r="B818" s="1"/>
      <c r="C818" s="1"/>
      <c r="D818" s="2"/>
    </row>
    <row r="819">
      <c r="B819" s="1"/>
      <c r="C819" s="1"/>
      <c r="D819" s="2"/>
    </row>
    <row r="820">
      <c r="B820" s="1"/>
      <c r="C820" s="1"/>
      <c r="D820" s="2"/>
    </row>
    <row r="821">
      <c r="B821" s="1"/>
      <c r="C821" s="1"/>
      <c r="D821" s="2"/>
    </row>
    <row r="822">
      <c r="B822" s="1"/>
      <c r="C822" s="1"/>
      <c r="D822" s="2"/>
    </row>
    <row r="823">
      <c r="B823" s="1"/>
      <c r="C823" s="1"/>
      <c r="D823" s="2"/>
    </row>
    <row r="824">
      <c r="B824" s="1"/>
      <c r="C824" s="1"/>
      <c r="D824" s="2"/>
    </row>
    <row r="825">
      <c r="B825" s="1"/>
      <c r="C825" s="1"/>
      <c r="D825" s="2"/>
    </row>
    <row r="826">
      <c r="B826" s="1"/>
      <c r="C826" s="1"/>
      <c r="D826" s="2"/>
    </row>
    <row r="827">
      <c r="B827" s="1"/>
      <c r="C827" s="1"/>
      <c r="D827" s="2"/>
    </row>
    <row r="828">
      <c r="B828" s="1"/>
      <c r="C828" s="1"/>
      <c r="D828" s="2"/>
    </row>
    <row r="829">
      <c r="B829" s="1"/>
      <c r="C829" s="1"/>
      <c r="D829" s="2"/>
    </row>
    <row r="830">
      <c r="B830" s="1"/>
      <c r="C830" s="1"/>
      <c r="D830" s="2"/>
    </row>
    <row r="831">
      <c r="B831" s="1"/>
      <c r="C831" s="1"/>
      <c r="D831" s="2"/>
    </row>
    <row r="832">
      <c r="B832" s="1"/>
      <c r="C832" s="1"/>
      <c r="D832" s="2"/>
    </row>
    <row r="833">
      <c r="B833" s="1"/>
      <c r="C833" s="1"/>
      <c r="D833" s="2"/>
    </row>
    <row r="834">
      <c r="B834" s="1"/>
      <c r="C834" s="1"/>
      <c r="D834" s="2"/>
    </row>
    <row r="835">
      <c r="B835" s="1"/>
      <c r="C835" s="1"/>
      <c r="D835" s="2"/>
    </row>
    <row r="836">
      <c r="B836" s="1"/>
      <c r="C836" s="1"/>
      <c r="D836" s="2"/>
    </row>
    <row r="837">
      <c r="B837" s="1"/>
      <c r="C837" s="1"/>
      <c r="D837" s="2"/>
    </row>
    <row r="838">
      <c r="B838" s="1"/>
      <c r="C838" s="1"/>
      <c r="D838" s="2"/>
    </row>
    <row r="839">
      <c r="B839" s="1"/>
      <c r="C839" s="1"/>
      <c r="D839" s="2"/>
    </row>
    <row r="840">
      <c r="B840" s="1"/>
      <c r="C840" s="1"/>
      <c r="D840" s="2"/>
    </row>
    <row r="841">
      <c r="B841" s="1"/>
      <c r="C841" s="1"/>
      <c r="D841" s="2"/>
    </row>
    <row r="842">
      <c r="B842" s="1"/>
      <c r="C842" s="1"/>
      <c r="D842" s="2"/>
    </row>
    <row r="843">
      <c r="B843" s="1"/>
      <c r="C843" s="1"/>
      <c r="D843" s="2"/>
    </row>
    <row r="844">
      <c r="B844" s="1"/>
      <c r="C844" s="1"/>
      <c r="D844" s="2"/>
    </row>
    <row r="845">
      <c r="B845" s="1"/>
      <c r="C845" s="1"/>
      <c r="D845" s="2"/>
    </row>
    <row r="846">
      <c r="B846" s="1"/>
      <c r="C846" s="1"/>
      <c r="D846" s="2"/>
    </row>
    <row r="847">
      <c r="B847" s="1"/>
      <c r="C847" s="1"/>
      <c r="D847" s="2"/>
    </row>
    <row r="848">
      <c r="B848" s="1"/>
      <c r="C848" s="1"/>
      <c r="D848" s="2"/>
    </row>
    <row r="849">
      <c r="B849" s="1"/>
      <c r="C849" s="1"/>
      <c r="D849" s="2"/>
    </row>
    <row r="850">
      <c r="B850" s="1"/>
      <c r="C850" s="1"/>
      <c r="D850" s="2"/>
    </row>
    <row r="851">
      <c r="B851" s="1"/>
      <c r="C851" s="1"/>
      <c r="D851" s="2"/>
    </row>
    <row r="852">
      <c r="B852" s="1"/>
      <c r="C852" s="1"/>
      <c r="D852" s="2"/>
    </row>
    <row r="853">
      <c r="B853" s="1"/>
      <c r="C853" s="1"/>
      <c r="D853" s="2"/>
    </row>
    <row r="854">
      <c r="B854" s="1"/>
      <c r="C854" s="1"/>
      <c r="D854" s="2"/>
    </row>
    <row r="855">
      <c r="B855" s="1"/>
      <c r="C855" s="1"/>
      <c r="D855" s="2"/>
    </row>
    <row r="856">
      <c r="B856" s="1"/>
      <c r="C856" s="1"/>
      <c r="D856" s="2"/>
    </row>
    <row r="857">
      <c r="B857" s="1"/>
      <c r="C857" s="1"/>
      <c r="D857" s="2"/>
    </row>
    <row r="858">
      <c r="B858" s="1"/>
      <c r="C858" s="1"/>
      <c r="D858" s="2"/>
    </row>
    <row r="859">
      <c r="B859" s="1"/>
      <c r="C859" s="1"/>
      <c r="D859" s="2"/>
    </row>
    <row r="860">
      <c r="B860" s="1"/>
      <c r="C860" s="1"/>
      <c r="D860" s="2"/>
    </row>
    <row r="861">
      <c r="B861" s="1"/>
      <c r="C861" s="1"/>
      <c r="D861" s="2"/>
    </row>
    <row r="862">
      <c r="B862" s="1"/>
      <c r="C862" s="1"/>
      <c r="D862" s="2"/>
    </row>
    <row r="863">
      <c r="B863" s="1"/>
      <c r="C863" s="1"/>
      <c r="D863" s="2"/>
    </row>
    <row r="864">
      <c r="B864" s="1"/>
      <c r="C864" s="1"/>
      <c r="D864" s="2"/>
    </row>
    <row r="865">
      <c r="B865" s="1"/>
      <c r="C865" s="1"/>
      <c r="D865" s="2"/>
    </row>
    <row r="866">
      <c r="B866" s="1"/>
      <c r="C866" s="1"/>
      <c r="D866" s="2"/>
    </row>
    <row r="867">
      <c r="B867" s="1"/>
      <c r="C867" s="1"/>
      <c r="D867" s="2"/>
    </row>
    <row r="868">
      <c r="B868" s="1"/>
      <c r="C868" s="1"/>
      <c r="D868" s="2"/>
    </row>
    <row r="869">
      <c r="B869" s="1"/>
      <c r="C869" s="1"/>
      <c r="D869" s="2"/>
    </row>
    <row r="870">
      <c r="B870" s="1"/>
      <c r="C870" s="1"/>
      <c r="D870" s="2"/>
    </row>
    <row r="871">
      <c r="B871" s="1"/>
      <c r="C871" s="1"/>
      <c r="D871" s="2"/>
    </row>
    <row r="872">
      <c r="B872" s="1"/>
      <c r="C872" s="1"/>
      <c r="D872" s="2"/>
    </row>
    <row r="873">
      <c r="B873" s="1"/>
      <c r="C873" s="1"/>
      <c r="D873" s="2"/>
    </row>
    <row r="874">
      <c r="B874" s="1"/>
      <c r="C874" s="1"/>
      <c r="D874" s="2"/>
    </row>
    <row r="875">
      <c r="B875" s="1"/>
      <c r="C875" s="1"/>
      <c r="D875" s="2"/>
    </row>
    <row r="876">
      <c r="B876" s="1"/>
      <c r="C876" s="1"/>
      <c r="D876" s="2"/>
    </row>
    <row r="877">
      <c r="B877" s="1"/>
      <c r="C877" s="1"/>
      <c r="D877" s="2"/>
    </row>
    <row r="878">
      <c r="B878" s="1"/>
      <c r="C878" s="1"/>
      <c r="D878" s="2"/>
    </row>
    <row r="879">
      <c r="B879" s="1"/>
      <c r="C879" s="1"/>
      <c r="D879" s="2"/>
    </row>
    <row r="880">
      <c r="B880" s="1"/>
      <c r="C880" s="1"/>
      <c r="D880" s="2"/>
    </row>
    <row r="881">
      <c r="B881" s="1"/>
      <c r="C881" s="1"/>
      <c r="D881" s="2"/>
    </row>
    <row r="882">
      <c r="B882" s="1"/>
      <c r="C882" s="1"/>
      <c r="D882" s="2"/>
    </row>
    <row r="883">
      <c r="B883" s="1"/>
      <c r="C883" s="1"/>
      <c r="D883" s="2"/>
    </row>
    <row r="884">
      <c r="B884" s="1"/>
      <c r="C884" s="1"/>
      <c r="D884" s="2"/>
    </row>
    <row r="885">
      <c r="B885" s="1"/>
      <c r="C885" s="1"/>
      <c r="D885" s="2"/>
    </row>
    <row r="886">
      <c r="B886" s="1"/>
      <c r="C886" s="1"/>
      <c r="D886" s="2"/>
    </row>
    <row r="887">
      <c r="B887" s="1"/>
      <c r="C887" s="1"/>
      <c r="D887" s="2"/>
    </row>
    <row r="888">
      <c r="B888" s="1"/>
      <c r="C888" s="1"/>
      <c r="D888" s="2"/>
    </row>
    <row r="889">
      <c r="B889" s="1"/>
      <c r="C889" s="1"/>
      <c r="D889" s="2"/>
    </row>
    <row r="890">
      <c r="B890" s="1"/>
      <c r="C890" s="1"/>
      <c r="D890" s="2"/>
    </row>
    <row r="891">
      <c r="B891" s="1"/>
      <c r="C891" s="1"/>
      <c r="D891" s="2"/>
    </row>
    <row r="892">
      <c r="B892" s="1"/>
      <c r="C892" s="1"/>
      <c r="D892" s="2"/>
    </row>
    <row r="893">
      <c r="B893" s="1"/>
      <c r="C893" s="1"/>
      <c r="D893" s="2"/>
    </row>
    <row r="894">
      <c r="B894" s="1"/>
      <c r="C894" s="1"/>
      <c r="D894" s="2"/>
    </row>
    <row r="895">
      <c r="B895" s="1"/>
      <c r="C895" s="1"/>
      <c r="D895" s="2"/>
    </row>
    <row r="896">
      <c r="B896" s="1"/>
      <c r="C896" s="1"/>
      <c r="D896" s="2"/>
    </row>
    <row r="897">
      <c r="B897" s="1"/>
      <c r="C897" s="1"/>
      <c r="D897" s="2"/>
    </row>
    <row r="898">
      <c r="B898" s="1"/>
      <c r="C898" s="1"/>
      <c r="D898" s="2"/>
    </row>
    <row r="899">
      <c r="B899" s="1"/>
      <c r="C899" s="1"/>
      <c r="D899" s="2"/>
    </row>
    <row r="900">
      <c r="B900" s="1"/>
      <c r="C900" s="1"/>
      <c r="D900" s="2"/>
    </row>
    <row r="901">
      <c r="B901" s="1"/>
      <c r="C901" s="1"/>
      <c r="D901" s="2"/>
    </row>
    <row r="902">
      <c r="B902" s="1"/>
      <c r="C902" s="1"/>
      <c r="D902" s="2"/>
    </row>
    <row r="903">
      <c r="B903" s="1"/>
      <c r="C903" s="1"/>
      <c r="D903" s="2"/>
    </row>
    <row r="904">
      <c r="B904" s="1"/>
      <c r="C904" s="1"/>
      <c r="D904" s="2"/>
    </row>
    <row r="905">
      <c r="B905" s="1"/>
      <c r="C905" s="1"/>
      <c r="D905" s="2"/>
    </row>
    <row r="906">
      <c r="B906" s="1"/>
      <c r="C906" s="1"/>
      <c r="D906" s="2"/>
    </row>
    <row r="907">
      <c r="B907" s="1"/>
      <c r="C907" s="1"/>
      <c r="D907" s="2"/>
    </row>
    <row r="908">
      <c r="B908" s="1"/>
      <c r="C908" s="1"/>
      <c r="D908" s="2"/>
    </row>
    <row r="909">
      <c r="B909" s="1"/>
      <c r="C909" s="1"/>
      <c r="D909" s="2"/>
    </row>
    <row r="910">
      <c r="B910" s="1"/>
      <c r="C910" s="1"/>
      <c r="D910" s="2"/>
    </row>
    <row r="911">
      <c r="B911" s="1"/>
      <c r="C911" s="1"/>
      <c r="D911" s="2"/>
    </row>
    <row r="912">
      <c r="B912" s="1"/>
      <c r="C912" s="1"/>
      <c r="D912" s="2"/>
    </row>
    <row r="913">
      <c r="B913" s="1"/>
      <c r="C913" s="1"/>
      <c r="D913" s="2"/>
    </row>
    <row r="914">
      <c r="B914" s="1"/>
      <c r="C914" s="1"/>
      <c r="D914" s="2"/>
    </row>
    <row r="915">
      <c r="B915" s="1"/>
      <c r="C915" s="1"/>
      <c r="D915" s="2"/>
    </row>
    <row r="916">
      <c r="B916" s="1"/>
      <c r="C916" s="1"/>
      <c r="D916" s="2"/>
    </row>
    <row r="917">
      <c r="B917" s="1"/>
      <c r="C917" s="1"/>
      <c r="D917" s="2"/>
    </row>
    <row r="918">
      <c r="B918" s="1"/>
      <c r="C918" s="1"/>
      <c r="D918" s="2"/>
    </row>
    <row r="919">
      <c r="B919" s="1"/>
      <c r="C919" s="1"/>
      <c r="D919" s="2"/>
    </row>
    <row r="920">
      <c r="B920" s="1"/>
      <c r="C920" s="1"/>
      <c r="D920" s="2"/>
    </row>
    <row r="921">
      <c r="B921" s="1"/>
      <c r="C921" s="1"/>
      <c r="D921" s="2"/>
    </row>
    <row r="922">
      <c r="B922" s="1"/>
      <c r="C922" s="1"/>
      <c r="D922" s="2"/>
    </row>
    <row r="923">
      <c r="B923" s="1"/>
      <c r="C923" s="1"/>
      <c r="D923" s="2"/>
    </row>
    <row r="924">
      <c r="B924" s="1"/>
      <c r="C924" s="1"/>
      <c r="D924" s="2"/>
    </row>
    <row r="925">
      <c r="B925" s="1"/>
      <c r="C925" s="1"/>
      <c r="D925" s="2"/>
    </row>
    <row r="926">
      <c r="B926" s="1"/>
      <c r="C926" s="1"/>
      <c r="D926" s="2"/>
    </row>
    <row r="927">
      <c r="B927" s="1"/>
      <c r="C927" s="1"/>
      <c r="D927" s="2"/>
    </row>
    <row r="928">
      <c r="B928" s="1"/>
      <c r="C928" s="1"/>
      <c r="D928" s="2"/>
    </row>
    <row r="929">
      <c r="B929" s="1"/>
      <c r="C929" s="1"/>
      <c r="D929" s="2"/>
    </row>
    <row r="930">
      <c r="B930" s="1"/>
      <c r="C930" s="1"/>
      <c r="D930" s="2"/>
    </row>
    <row r="931">
      <c r="B931" s="1"/>
      <c r="C931" s="1"/>
      <c r="D931" s="2"/>
    </row>
    <row r="932">
      <c r="B932" s="1"/>
      <c r="C932" s="1"/>
      <c r="D932" s="2"/>
    </row>
    <row r="933">
      <c r="B933" s="1"/>
      <c r="C933" s="1"/>
      <c r="D933" s="2"/>
    </row>
    <row r="934">
      <c r="B934" s="1"/>
      <c r="C934" s="1"/>
      <c r="D934" s="2"/>
    </row>
    <row r="935">
      <c r="B935" s="1"/>
      <c r="C935" s="1"/>
      <c r="D935" s="2"/>
    </row>
    <row r="936">
      <c r="B936" s="1"/>
      <c r="C936" s="1"/>
      <c r="D936" s="2"/>
    </row>
    <row r="937">
      <c r="B937" s="1"/>
      <c r="C937" s="1"/>
      <c r="D937" s="2"/>
    </row>
    <row r="938">
      <c r="B938" s="1"/>
      <c r="C938" s="1"/>
      <c r="D938" s="2"/>
    </row>
    <row r="939">
      <c r="B939" s="1"/>
      <c r="C939" s="1"/>
      <c r="D939" s="2"/>
    </row>
    <row r="940">
      <c r="B940" s="1"/>
      <c r="C940" s="1"/>
      <c r="D940" s="2"/>
    </row>
    <row r="941">
      <c r="B941" s="1"/>
      <c r="C941" s="1"/>
      <c r="D941" s="2"/>
    </row>
    <row r="942">
      <c r="B942" s="1"/>
      <c r="C942" s="1"/>
      <c r="D942" s="2"/>
    </row>
    <row r="943">
      <c r="B943" s="1"/>
      <c r="C943" s="1"/>
      <c r="D943" s="2"/>
    </row>
    <row r="944">
      <c r="B944" s="1"/>
      <c r="C944" s="1"/>
      <c r="D944" s="2"/>
    </row>
    <row r="945">
      <c r="B945" s="1"/>
      <c r="C945" s="1"/>
      <c r="D945" s="2"/>
    </row>
    <row r="946">
      <c r="B946" s="1"/>
      <c r="C946" s="1"/>
      <c r="D946" s="2"/>
    </row>
    <row r="947">
      <c r="B947" s="1"/>
      <c r="C947" s="1"/>
      <c r="D947" s="2"/>
    </row>
    <row r="948">
      <c r="B948" s="1"/>
      <c r="C948" s="1"/>
      <c r="D948" s="2"/>
    </row>
    <row r="949">
      <c r="B949" s="1"/>
      <c r="C949" s="1"/>
      <c r="D949" s="2"/>
    </row>
    <row r="950">
      <c r="B950" s="1"/>
      <c r="C950" s="1"/>
      <c r="D950" s="2"/>
    </row>
    <row r="951">
      <c r="B951" s="1"/>
      <c r="C951" s="1"/>
      <c r="D951" s="2"/>
    </row>
    <row r="952">
      <c r="B952" s="1"/>
      <c r="C952" s="1"/>
      <c r="D952" s="2"/>
    </row>
    <row r="953">
      <c r="B953" s="1"/>
      <c r="C953" s="1"/>
      <c r="D953" s="2"/>
    </row>
    <row r="954">
      <c r="B954" s="1"/>
      <c r="C954" s="1"/>
      <c r="D954" s="2"/>
    </row>
    <row r="955">
      <c r="B955" s="1"/>
      <c r="C955" s="1"/>
      <c r="D955" s="2"/>
    </row>
    <row r="956">
      <c r="B956" s="1"/>
      <c r="C956" s="1"/>
      <c r="D956" s="2"/>
    </row>
    <row r="957">
      <c r="B957" s="1"/>
      <c r="C957" s="1"/>
      <c r="D957" s="2"/>
    </row>
    <row r="958">
      <c r="B958" s="1"/>
      <c r="C958" s="1"/>
      <c r="D958" s="2"/>
    </row>
    <row r="959">
      <c r="B959" s="1"/>
      <c r="C959" s="1"/>
      <c r="D959" s="2"/>
    </row>
    <row r="960">
      <c r="B960" s="1"/>
      <c r="C960" s="1"/>
      <c r="D960" s="2"/>
    </row>
    <row r="961">
      <c r="B961" s="1"/>
      <c r="C961" s="1"/>
      <c r="D961" s="2"/>
    </row>
    <row r="962">
      <c r="B962" s="1"/>
      <c r="C962" s="1"/>
      <c r="D962" s="2"/>
    </row>
    <row r="963">
      <c r="B963" s="1"/>
      <c r="C963" s="1"/>
      <c r="D963" s="2"/>
    </row>
    <row r="964">
      <c r="B964" s="1"/>
      <c r="C964" s="1"/>
      <c r="D964" s="2"/>
    </row>
    <row r="965">
      <c r="B965" s="1"/>
      <c r="C965" s="1"/>
      <c r="D965" s="2"/>
    </row>
    <row r="966">
      <c r="B966" s="1"/>
      <c r="C966" s="1"/>
      <c r="D966" s="2"/>
    </row>
    <row r="967">
      <c r="B967" s="1"/>
      <c r="C967" s="1"/>
      <c r="D967" s="2"/>
    </row>
    <row r="968">
      <c r="B968" s="1"/>
      <c r="C968" s="1"/>
      <c r="D968" s="2"/>
    </row>
    <row r="969">
      <c r="B969" s="1"/>
      <c r="C969" s="1"/>
      <c r="D969" s="2"/>
    </row>
    <row r="970">
      <c r="B970" s="1"/>
      <c r="C970" s="1"/>
      <c r="D970" s="2"/>
    </row>
    <row r="971">
      <c r="B971" s="1"/>
      <c r="C971" s="1"/>
      <c r="D971" s="2"/>
    </row>
    <row r="972">
      <c r="B972" s="1"/>
      <c r="C972" s="1"/>
      <c r="D972" s="2"/>
    </row>
    <row r="973">
      <c r="B973" s="1"/>
      <c r="C973" s="1"/>
      <c r="D973" s="2"/>
    </row>
    <row r="974">
      <c r="B974" s="1"/>
      <c r="C974" s="1"/>
      <c r="D974" s="2"/>
    </row>
    <row r="975">
      <c r="B975" s="1"/>
      <c r="C975" s="1"/>
      <c r="D975" s="2"/>
    </row>
    <row r="976">
      <c r="B976" s="1"/>
      <c r="C976" s="1"/>
      <c r="D976" s="2"/>
    </row>
    <row r="977">
      <c r="B977" s="1"/>
      <c r="C977" s="1"/>
      <c r="D977" s="2"/>
    </row>
    <row r="978">
      <c r="B978" s="1"/>
      <c r="C978" s="1"/>
      <c r="D978" s="2"/>
    </row>
    <row r="979">
      <c r="B979" s="1"/>
      <c r="C979" s="1"/>
      <c r="D979" s="2"/>
    </row>
    <row r="980">
      <c r="B980" s="1"/>
      <c r="C980" s="1"/>
      <c r="D980" s="2"/>
    </row>
    <row r="981">
      <c r="B981" s="1"/>
      <c r="C981" s="1"/>
      <c r="D981" s="2"/>
    </row>
    <row r="982">
      <c r="B982" s="1"/>
      <c r="C982" s="1"/>
      <c r="D982" s="2"/>
    </row>
    <row r="983">
      <c r="B983" s="1"/>
      <c r="C983" s="1"/>
      <c r="D983" s="2"/>
    </row>
    <row r="984">
      <c r="B984" s="1"/>
      <c r="C984" s="1"/>
      <c r="D984" s="2"/>
    </row>
    <row r="985">
      <c r="B985" s="1"/>
      <c r="C985" s="1"/>
      <c r="D985" s="2"/>
    </row>
    <row r="986">
      <c r="B986" s="1"/>
      <c r="C986" s="1"/>
      <c r="D986" s="2"/>
    </row>
    <row r="987">
      <c r="B987" s="1"/>
      <c r="C987" s="1"/>
      <c r="D987" s="2"/>
    </row>
    <row r="988">
      <c r="B988" s="1"/>
      <c r="C988" s="1"/>
      <c r="D988" s="2"/>
    </row>
    <row r="989">
      <c r="B989" s="1"/>
      <c r="C989" s="1"/>
      <c r="D989" s="2"/>
    </row>
    <row r="990">
      <c r="B990" s="1"/>
      <c r="C990" s="1"/>
      <c r="D990" s="2"/>
    </row>
    <row r="991">
      <c r="B991" s="1"/>
      <c r="C991" s="1"/>
      <c r="D991" s="2"/>
    </row>
    <row r="992">
      <c r="B992" s="1"/>
      <c r="C992" s="1"/>
      <c r="D992" s="2"/>
    </row>
    <row r="993">
      <c r="B993" s="1"/>
      <c r="C993" s="1"/>
      <c r="D993" s="2"/>
    </row>
    <row r="994">
      <c r="B994" s="1"/>
      <c r="C994" s="1"/>
      <c r="D994" s="2"/>
    </row>
    <row r="995">
      <c r="B995" s="1"/>
      <c r="C995" s="1"/>
      <c r="D995" s="2"/>
    </row>
    <row r="996">
      <c r="B996" s="1"/>
      <c r="C996" s="1"/>
      <c r="D996" s="2"/>
    </row>
    <row r="997">
      <c r="B997" s="1"/>
      <c r="C997" s="1"/>
      <c r="D997" s="2"/>
    </row>
    <row r="998">
      <c r="B998" s="1"/>
      <c r="C998" s="1"/>
      <c r="D998" s="2"/>
    </row>
    <row r="999">
      <c r="B999" s="1"/>
      <c r="C999" s="1"/>
      <c r="D999" s="2"/>
    </row>
    <row r="1000">
      <c r="B1000" s="1"/>
      <c r="C1000" s="1"/>
      <c r="D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7.0"/>
  </cols>
  <sheetData>
    <row r="1">
      <c r="A1" s="26" t="s">
        <v>0</v>
      </c>
      <c r="B1" s="29" t="s">
        <v>16</v>
      </c>
      <c r="C1" s="31" t="s">
        <v>19</v>
      </c>
      <c r="D1" s="34"/>
      <c r="E1" s="31" t="s">
        <v>24</v>
      </c>
      <c r="F1" s="34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44">
        <v>1.0</v>
      </c>
      <c r="B2" s="46" t="s">
        <v>30</v>
      </c>
      <c r="C2" s="48" t="s">
        <v>33</v>
      </c>
      <c r="D2" s="49" t="s">
        <v>35</v>
      </c>
      <c r="E2" s="50" t="s">
        <v>38</v>
      </c>
      <c r="F2" s="49" t="s">
        <v>40</v>
      </c>
      <c r="G2" s="38"/>
      <c r="H2" s="54" t="s">
        <v>42</v>
      </c>
      <c r="I2" s="5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44">
        <v>2.0</v>
      </c>
      <c r="B3" s="46" t="s">
        <v>26</v>
      </c>
      <c r="C3" s="63" t="s">
        <v>48</v>
      </c>
      <c r="D3" s="49" t="s">
        <v>50</v>
      </c>
      <c r="E3" s="64" t="s">
        <v>51</v>
      </c>
      <c r="F3" s="67" t="s">
        <v>53</v>
      </c>
      <c r="G3" s="38"/>
      <c r="H3" s="70" t="s">
        <v>56</v>
      </c>
      <c r="I3" s="5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44">
        <v>3.0</v>
      </c>
      <c r="B4" s="75" t="s">
        <v>29</v>
      </c>
      <c r="C4" s="63" t="s">
        <v>62</v>
      </c>
      <c r="D4" s="49" t="s">
        <v>63</v>
      </c>
      <c r="E4" s="64" t="s">
        <v>65</v>
      </c>
      <c r="F4" s="49" t="s">
        <v>66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44">
        <v>4.0</v>
      </c>
      <c r="B5" s="46" t="s">
        <v>27</v>
      </c>
      <c r="C5" s="48" t="s">
        <v>67</v>
      </c>
      <c r="D5" s="49" t="s">
        <v>68</v>
      </c>
      <c r="E5" s="50" t="s">
        <v>69</v>
      </c>
      <c r="F5" s="49" t="s">
        <v>70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44">
        <v>5.0</v>
      </c>
      <c r="B6" s="46" t="s">
        <v>58</v>
      </c>
      <c r="C6" s="48" t="s">
        <v>71</v>
      </c>
      <c r="D6" s="67" t="s">
        <v>72</v>
      </c>
      <c r="E6" s="50" t="s">
        <v>73</v>
      </c>
      <c r="F6" s="67" t="s">
        <v>74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44">
        <v>6.0</v>
      </c>
      <c r="B7" s="46" t="s">
        <v>15</v>
      </c>
      <c r="C7" s="63" t="s">
        <v>75</v>
      </c>
      <c r="D7" s="49" t="s">
        <v>76</v>
      </c>
      <c r="E7" s="64" t="s">
        <v>77</v>
      </c>
      <c r="F7" s="49" t="s">
        <v>78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44">
        <v>7.0</v>
      </c>
      <c r="B8" s="75" t="s">
        <v>9</v>
      </c>
      <c r="C8" s="48" t="s">
        <v>80</v>
      </c>
      <c r="D8" s="49" t="s">
        <v>81</v>
      </c>
      <c r="E8" s="50" t="s">
        <v>82</v>
      </c>
      <c r="F8" s="67" t="s">
        <v>83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44">
        <v>8.0</v>
      </c>
      <c r="B9" s="75" t="s">
        <v>34</v>
      </c>
      <c r="C9" s="63" t="s">
        <v>84</v>
      </c>
      <c r="D9" s="49" t="s">
        <v>85</v>
      </c>
      <c r="E9" s="64" t="s">
        <v>86</v>
      </c>
      <c r="F9" s="49" t="s">
        <v>87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44">
        <v>9.0</v>
      </c>
      <c r="B10" s="46" t="s">
        <v>37</v>
      </c>
      <c r="C10" s="48" t="s">
        <v>88</v>
      </c>
      <c r="D10" s="49" t="s">
        <v>89</v>
      </c>
      <c r="E10" s="50" t="s">
        <v>90</v>
      </c>
      <c r="F10" s="49" t="s">
        <v>91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44">
        <v>10.0</v>
      </c>
      <c r="B11" s="46" t="s">
        <v>92</v>
      </c>
      <c r="C11" s="48" t="s">
        <v>94</v>
      </c>
      <c r="D11" s="67" t="s">
        <v>95</v>
      </c>
      <c r="E11" s="50" t="s">
        <v>96</v>
      </c>
      <c r="F11" s="67" t="s">
        <v>97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44">
        <v>11.0</v>
      </c>
      <c r="B12" s="46" t="s">
        <v>49</v>
      </c>
      <c r="C12" s="63" t="s">
        <v>100</v>
      </c>
      <c r="D12" s="49" t="s">
        <v>102</v>
      </c>
      <c r="E12" s="64" t="s">
        <v>103</v>
      </c>
      <c r="F12" s="49" t="s">
        <v>104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44">
        <v>12.0</v>
      </c>
      <c r="B13" s="46" t="s">
        <v>31</v>
      </c>
      <c r="C13" s="48" t="s">
        <v>105</v>
      </c>
      <c r="D13" s="49" t="s">
        <v>106</v>
      </c>
      <c r="E13" s="50" t="s">
        <v>107</v>
      </c>
      <c r="F13" s="49" t="s">
        <v>108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44">
        <v>13.0</v>
      </c>
      <c r="B14" s="46" t="s">
        <v>46</v>
      </c>
      <c r="C14" s="48" t="s">
        <v>109</v>
      </c>
      <c r="D14" s="49" t="s">
        <v>110</v>
      </c>
      <c r="E14" s="50" t="s">
        <v>111</v>
      </c>
      <c r="F14" s="49" t="s">
        <v>112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44">
        <v>14.0</v>
      </c>
      <c r="B15" s="46" t="s">
        <v>59</v>
      </c>
      <c r="C15" s="48" t="s">
        <v>113</v>
      </c>
      <c r="D15" s="49" t="s">
        <v>114</v>
      </c>
      <c r="E15" s="50" t="s">
        <v>115</v>
      </c>
      <c r="F15" s="49" t="s">
        <v>116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44">
        <v>15.0</v>
      </c>
      <c r="B16" s="46" t="s">
        <v>22</v>
      </c>
      <c r="C16" s="63" t="s">
        <v>117</v>
      </c>
      <c r="D16" s="49" t="s">
        <v>118</v>
      </c>
      <c r="E16" s="64" t="s">
        <v>119</v>
      </c>
      <c r="F16" s="49" t="s">
        <v>120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44">
        <v>16.0</v>
      </c>
      <c r="B17" s="46" t="s">
        <v>47</v>
      </c>
      <c r="C17" s="63" t="s">
        <v>122</v>
      </c>
      <c r="D17" s="49" t="s">
        <v>123</v>
      </c>
      <c r="E17" s="64" t="s">
        <v>124</v>
      </c>
      <c r="F17" s="49" t="s">
        <v>125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44">
        <v>17.0</v>
      </c>
      <c r="B18" s="94" t="s">
        <v>57</v>
      </c>
      <c r="C18" s="95" t="s">
        <v>127</v>
      </c>
      <c r="D18" s="97" t="s">
        <v>128</v>
      </c>
      <c r="E18" s="98" t="s">
        <v>129</v>
      </c>
      <c r="F18" s="97" t="s">
        <v>130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44">
        <v>18.0</v>
      </c>
      <c r="B19" s="103" t="s">
        <v>60</v>
      </c>
      <c r="C19" s="104" t="s">
        <v>133</v>
      </c>
      <c r="D19" s="97" t="s">
        <v>134</v>
      </c>
      <c r="E19" s="107" t="s">
        <v>135</v>
      </c>
      <c r="F19" s="109" t="s">
        <v>136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44">
        <v>19.0</v>
      </c>
      <c r="B20" s="112" t="s">
        <v>41</v>
      </c>
      <c r="C20" s="114" t="s">
        <v>139</v>
      </c>
      <c r="D20" s="115" t="s">
        <v>141</v>
      </c>
      <c r="E20" s="117" t="s">
        <v>142</v>
      </c>
      <c r="F20" s="115" t="s">
        <v>143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44">
        <v>20.0</v>
      </c>
      <c r="B21" s="112" t="s">
        <v>39</v>
      </c>
      <c r="C21" s="114" t="s">
        <v>144</v>
      </c>
      <c r="D21" s="118" t="s">
        <v>145</v>
      </c>
      <c r="E21" s="117" t="s">
        <v>146</v>
      </c>
      <c r="F21" s="118" t="s">
        <v>147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44">
        <v>21.0</v>
      </c>
      <c r="B22" s="120" t="s">
        <v>55</v>
      </c>
      <c r="C22" s="121" t="s">
        <v>148</v>
      </c>
      <c r="D22" s="123" t="s">
        <v>149</v>
      </c>
      <c r="E22" s="124" t="s">
        <v>150</v>
      </c>
      <c r="F22" s="125" t="s">
        <v>151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44">
        <v>22.0</v>
      </c>
      <c r="B23" s="127" t="s">
        <v>32</v>
      </c>
      <c r="C23" s="128" t="s">
        <v>153</v>
      </c>
      <c r="D23" s="129" t="s">
        <v>154</v>
      </c>
      <c r="E23" s="130" t="s">
        <v>155</v>
      </c>
      <c r="F23" s="129" t="s">
        <v>156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44">
        <v>23.0</v>
      </c>
      <c r="B24" s="127" t="s">
        <v>45</v>
      </c>
      <c r="C24" s="128" t="s">
        <v>157</v>
      </c>
      <c r="D24" s="129" t="s">
        <v>158</v>
      </c>
      <c r="E24" s="130" t="s">
        <v>159</v>
      </c>
      <c r="F24" s="129" t="s">
        <v>160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44">
        <v>24.0</v>
      </c>
      <c r="B25" s="127" t="s">
        <v>52</v>
      </c>
      <c r="C25" s="128" t="s">
        <v>161</v>
      </c>
      <c r="D25" s="129" t="s">
        <v>162</v>
      </c>
      <c r="E25" s="130" t="s">
        <v>163</v>
      </c>
      <c r="F25" s="129" t="s">
        <v>164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44">
        <v>25.0</v>
      </c>
      <c r="B26" s="127" t="s">
        <v>11</v>
      </c>
      <c r="C26" s="128" t="s">
        <v>165</v>
      </c>
      <c r="D26" s="129" t="s">
        <v>166</v>
      </c>
      <c r="E26" s="130" t="s">
        <v>168</v>
      </c>
      <c r="F26" s="129" t="s">
        <v>169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44">
        <v>26.0</v>
      </c>
      <c r="B27" s="127" t="s">
        <v>36</v>
      </c>
      <c r="C27" s="128" t="s">
        <v>170</v>
      </c>
      <c r="D27" s="129" t="s">
        <v>171</v>
      </c>
      <c r="E27" s="130" t="s">
        <v>172</v>
      </c>
      <c r="F27" s="134" t="s">
        <v>173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44">
        <v>27.0</v>
      </c>
      <c r="B28" s="127" t="s">
        <v>28</v>
      </c>
      <c r="C28" s="128" t="s">
        <v>174</v>
      </c>
      <c r="D28" s="129" t="s">
        <v>175</v>
      </c>
      <c r="E28" s="130" t="s">
        <v>176</v>
      </c>
      <c r="F28" s="129" t="s">
        <v>177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44">
        <v>28.0</v>
      </c>
      <c r="B29" s="127" t="s">
        <v>64</v>
      </c>
      <c r="C29" s="128" t="s">
        <v>178</v>
      </c>
      <c r="D29" s="129" t="s">
        <v>179</v>
      </c>
      <c r="E29" s="130" t="s">
        <v>180</v>
      </c>
      <c r="F29" s="129" t="s">
        <v>181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44">
        <v>29.0</v>
      </c>
      <c r="B30" s="127" t="s">
        <v>44</v>
      </c>
      <c r="C30" s="128" t="s">
        <v>183</v>
      </c>
      <c r="D30" s="129" t="s">
        <v>184</v>
      </c>
      <c r="E30" s="130" t="s">
        <v>185</v>
      </c>
      <c r="F30" s="129" t="s">
        <v>186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44">
        <v>30.0</v>
      </c>
      <c r="B31" s="136"/>
      <c r="C31" s="137"/>
      <c r="D31" s="139"/>
      <c r="E31" s="38"/>
      <c r="F31" s="139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44"/>
      <c r="B32" s="38"/>
      <c r="C32" s="137"/>
      <c r="D32" s="139"/>
      <c r="E32" s="38"/>
      <c r="F32" s="139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44"/>
      <c r="B33" s="38"/>
      <c r="C33" s="137"/>
      <c r="D33" s="139"/>
      <c r="E33" s="38"/>
      <c r="F33" s="139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44"/>
      <c r="B34" s="38"/>
      <c r="C34" s="137"/>
      <c r="D34" s="139"/>
      <c r="E34" s="38"/>
      <c r="F34" s="139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44"/>
      <c r="B35" s="38"/>
      <c r="C35" s="137"/>
      <c r="D35" s="139"/>
      <c r="E35" s="38"/>
      <c r="F35" s="1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44"/>
      <c r="B36" s="38"/>
      <c r="C36" s="137"/>
      <c r="D36" s="139"/>
      <c r="E36" s="38"/>
      <c r="F36" s="139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44"/>
      <c r="B37" s="38"/>
      <c r="C37" s="137"/>
      <c r="D37" s="139"/>
      <c r="E37" s="38"/>
      <c r="F37" s="139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142"/>
      <c r="B38" s="38"/>
      <c r="C38" s="137"/>
      <c r="D38" s="139"/>
      <c r="E38" s="38"/>
      <c r="F38" s="139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142"/>
      <c r="B39" s="38"/>
      <c r="C39" s="137"/>
      <c r="D39" s="139"/>
      <c r="E39" s="38"/>
      <c r="F39" s="1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142"/>
      <c r="B40" s="38"/>
      <c r="C40" s="137"/>
      <c r="D40" s="139"/>
      <c r="E40" s="38"/>
      <c r="F40" s="1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142"/>
      <c r="B41" s="38"/>
      <c r="C41" s="137"/>
      <c r="D41" s="139"/>
      <c r="E41" s="38"/>
      <c r="F41" s="1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142"/>
      <c r="B42" s="38"/>
      <c r="C42" s="137"/>
      <c r="D42" s="139"/>
      <c r="E42" s="38"/>
      <c r="F42" s="1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142"/>
      <c r="B43" s="38"/>
      <c r="C43" s="137"/>
      <c r="D43" s="139"/>
      <c r="E43" s="38"/>
      <c r="F43" s="1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142"/>
      <c r="B44" s="38"/>
      <c r="C44" s="137"/>
      <c r="D44" s="139"/>
      <c r="E44" s="38"/>
      <c r="F44" s="1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142"/>
      <c r="B45" s="38"/>
      <c r="C45" s="137"/>
      <c r="D45" s="139"/>
      <c r="E45" s="38"/>
      <c r="F45" s="1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142"/>
      <c r="B46" s="38"/>
      <c r="C46" s="137"/>
      <c r="D46" s="139"/>
      <c r="E46" s="38"/>
      <c r="F46" s="1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142"/>
      <c r="B47" s="38"/>
      <c r="C47" s="137"/>
      <c r="D47" s="139"/>
      <c r="E47" s="38"/>
      <c r="F47" s="1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142"/>
      <c r="B48" s="38"/>
      <c r="C48" s="137"/>
      <c r="D48" s="139"/>
      <c r="E48" s="38"/>
      <c r="F48" s="1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142"/>
      <c r="B49" s="38"/>
      <c r="C49" s="137"/>
      <c r="D49" s="139"/>
      <c r="E49" s="38"/>
      <c r="F49" s="1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142"/>
      <c r="B50" s="38"/>
      <c r="C50" s="137"/>
      <c r="D50" s="139"/>
      <c r="E50" s="38"/>
      <c r="F50" s="1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142"/>
      <c r="B51" s="38"/>
      <c r="C51" s="137"/>
      <c r="D51" s="139"/>
      <c r="E51" s="38"/>
      <c r="F51" s="1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142"/>
      <c r="B52" s="38"/>
      <c r="C52" s="137"/>
      <c r="D52" s="139"/>
      <c r="E52" s="38"/>
      <c r="F52" s="1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142"/>
      <c r="B53" s="38"/>
      <c r="C53" s="137"/>
      <c r="D53" s="139"/>
      <c r="E53" s="38"/>
      <c r="F53" s="1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142"/>
      <c r="B54" s="38"/>
      <c r="C54" s="137"/>
      <c r="D54" s="139"/>
      <c r="E54" s="38"/>
      <c r="F54" s="1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142"/>
      <c r="B55" s="38"/>
      <c r="C55" s="137"/>
      <c r="D55" s="139"/>
      <c r="E55" s="38"/>
      <c r="F55" s="1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142"/>
      <c r="B56" s="38"/>
      <c r="C56" s="137"/>
      <c r="D56" s="139"/>
      <c r="E56" s="38"/>
      <c r="F56" s="1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142"/>
      <c r="B57" s="38"/>
      <c r="C57" s="137"/>
      <c r="D57" s="139"/>
      <c r="E57" s="38"/>
      <c r="F57" s="1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142"/>
      <c r="B58" s="38"/>
      <c r="C58" s="137"/>
      <c r="D58" s="139"/>
      <c r="E58" s="38"/>
      <c r="F58" s="1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142"/>
      <c r="B59" s="38"/>
      <c r="C59" s="137"/>
      <c r="D59" s="139"/>
      <c r="E59" s="38"/>
      <c r="F59" s="1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142"/>
      <c r="B60" s="38"/>
      <c r="C60" s="137"/>
      <c r="D60" s="139"/>
      <c r="E60" s="38"/>
      <c r="F60" s="1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142"/>
      <c r="B61" s="38"/>
      <c r="C61" s="137"/>
      <c r="D61" s="139"/>
      <c r="E61" s="38"/>
      <c r="F61" s="1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142"/>
      <c r="B62" s="38"/>
      <c r="C62" s="137"/>
      <c r="D62" s="139"/>
      <c r="E62" s="38"/>
      <c r="F62" s="1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142"/>
      <c r="B63" s="38"/>
      <c r="C63" s="137"/>
      <c r="D63" s="139"/>
      <c r="E63" s="38"/>
      <c r="F63" s="1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142"/>
      <c r="B64" s="38"/>
      <c r="C64" s="137"/>
      <c r="D64" s="139"/>
      <c r="E64" s="38"/>
      <c r="F64" s="1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142"/>
      <c r="B65" s="38"/>
      <c r="C65" s="137"/>
      <c r="D65" s="139"/>
      <c r="E65" s="38"/>
      <c r="F65" s="1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142"/>
      <c r="B66" s="38"/>
      <c r="C66" s="137"/>
      <c r="D66" s="139"/>
      <c r="E66" s="38"/>
      <c r="F66" s="1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142"/>
      <c r="B67" s="38"/>
      <c r="C67" s="137"/>
      <c r="D67" s="139"/>
      <c r="E67" s="38"/>
      <c r="F67" s="1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142"/>
      <c r="B68" s="38"/>
      <c r="C68" s="137"/>
      <c r="D68" s="139"/>
      <c r="E68" s="38"/>
      <c r="F68" s="1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142"/>
      <c r="B69" s="38"/>
      <c r="C69" s="137"/>
      <c r="D69" s="139"/>
      <c r="E69" s="38"/>
      <c r="F69" s="1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142"/>
      <c r="B70" s="38"/>
      <c r="C70" s="137"/>
      <c r="D70" s="139"/>
      <c r="E70" s="38"/>
      <c r="F70" s="1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142"/>
      <c r="B71" s="38"/>
      <c r="C71" s="137"/>
      <c r="D71" s="139"/>
      <c r="E71" s="38"/>
      <c r="F71" s="1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142"/>
      <c r="B72" s="38"/>
      <c r="C72" s="137"/>
      <c r="D72" s="139"/>
      <c r="E72" s="38"/>
      <c r="F72" s="1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142"/>
      <c r="B73" s="38"/>
      <c r="C73" s="137"/>
      <c r="D73" s="139"/>
      <c r="E73" s="38"/>
      <c r="F73" s="1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142"/>
      <c r="B74" s="38"/>
      <c r="C74" s="137"/>
      <c r="D74" s="139"/>
      <c r="E74" s="38"/>
      <c r="F74" s="1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142"/>
      <c r="B75" s="38"/>
      <c r="C75" s="137"/>
      <c r="D75" s="139"/>
      <c r="E75" s="38"/>
      <c r="F75" s="1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142"/>
      <c r="B76" s="38"/>
      <c r="C76" s="137"/>
      <c r="D76" s="139"/>
      <c r="E76" s="38"/>
      <c r="F76" s="1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142"/>
      <c r="B77" s="38"/>
      <c r="C77" s="137"/>
      <c r="D77" s="139"/>
      <c r="E77" s="38"/>
      <c r="F77" s="1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142"/>
      <c r="B78" s="38"/>
      <c r="C78" s="137"/>
      <c r="D78" s="139"/>
      <c r="E78" s="38"/>
      <c r="F78" s="1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142"/>
      <c r="B79" s="38"/>
      <c r="C79" s="137"/>
      <c r="D79" s="139"/>
      <c r="E79" s="38"/>
      <c r="F79" s="1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142"/>
      <c r="B80" s="38"/>
      <c r="C80" s="137"/>
      <c r="D80" s="139"/>
      <c r="E80" s="38"/>
      <c r="F80" s="1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142"/>
      <c r="B81" s="38"/>
      <c r="C81" s="137"/>
      <c r="D81" s="139"/>
      <c r="E81" s="38"/>
      <c r="F81" s="1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142"/>
      <c r="B82" s="38"/>
      <c r="C82" s="137"/>
      <c r="D82" s="139"/>
      <c r="E82" s="38"/>
      <c r="F82" s="1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142"/>
      <c r="B83" s="38"/>
      <c r="C83" s="137"/>
      <c r="D83" s="139"/>
      <c r="E83" s="38"/>
      <c r="F83" s="1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142"/>
      <c r="B84" s="38"/>
      <c r="C84" s="137"/>
      <c r="D84" s="139"/>
      <c r="E84" s="38"/>
      <c r="F84" s="1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142"/>
      <c r="B85" s="38"/>
      <c r="C85" s="137"/>
      <c r="D85" s="139"/>
      <c r="E85" s="38"/>
      <c r="F85" s="1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142"/>
      <c r="B86" s="38"/>
      <c r="C86" s="137"/>
      <c r="D86" s="139"/>
      <c r="E86" s="38"/>
      <c r="F86" s="1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142"/>
      <c r="B87" s="38"/>
      <c r="C87" s="137"/>
      <c r="D87" s="139"/>
      <c r="E87" s="38"/>
      <c r="F87" s="1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142"/>
      <c r="B88" s="38"/>
      <c r="C88" s="137"/>
      <c r="D88" s="139"/>
      <c r="E88" s="38"/>
      <c r="F88" s="1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142"/>
      <c r="B89" s="38"/>
      <c r="C89" s="137"/>
      <c r="D89" s="139"/>
      <c r="E89" s="38"/>
      <c r="F89" s="1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142"/>
      <c r="B90" s="38"/>
      <c r="C90" s="137"/>
      <c r="D90" s="139"/>
      <c r="E90" s="38"/>
      <c r="F90" s="1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142"/>
      <c r="B91" s="38"/>
      <c r="C91" s="137"/>
      <c r="D91" s="139"/>
      <c r="E91" s="38"/>
      <c r="F91" s="1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142"/>
      <c r="B92" s="38"/>
      <c r="C92" s="137"/>
      <c r="D92" s="139"/>
      <c r="E92" s="38"/>
      <c r="F92" s="1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142"/>
      <c r="B93" s="38"/>
      <c r="C93" s="137"/>
      <c r="D93" s="139"/>
      <c r="E93" s="38"/>
      <c r="F93" s="1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142"/>
      <c r="B94" s="38"/>
      <c r="C94" s="137"/>
      <c r="D94" s="139"/>
      <c r="E94" s="38"/>
      <c r="F94" s="1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142"/>
      <c r="B95" s="38"/>
      <c r="C95" s="137"/>
      <c r="D95" s="139"/>
      <c r="E95" s="38"/>
      <c r="F95" s="1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142"/>
      <c r="B96" s="38"/>
      <c r="C96" s="137"/>
      <c r="D96" s="139"/>
      <c r="E96" s="38"/>
      <c r="F96" s="1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142"/>
      <c r="B97" s="38"/>
      <c r="C97" s="137"/>
      <c r="D97" s="139"/>
      <c r="E97" s="38"/>
      <c r="F97" s="1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142"/>
      <c r="B98" s="38"/>
      <c r="C98" s="137"/>
      <c r="D98" s="139"/>
      <c r="E98" s="38"/>
      <c r="F98" s="1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142"/>
      <c r="B99" s="38"/>
      <c r="C99" s="137"/>
      <c r="D99" s="139"/>
      <c r="E99" s="38"/>
      <c r="F99" s="1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142"/>
      <c r="B100" s="38"/>
      <c r="C100" s="137"/>
      <c r="D100" s="139"/>
      <c r="E100" s="38"/>
      <c r="F100" s="1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142"/>
      <c r="B101" s="38"/>
      <c r="C101" s="137"/>
      <c r="D101" s="139"/>
      <c r="E101" s="38"/>
      <c r="F101" s="1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142"/>
      <c r="B102" s="38"/>
      <c r="C102" s="137"/>
      <c r="D102" s="139"/>
      <c r="E102" s="38"/>
      <c r="F102" s="1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142"/>
      <c r="B103" s="38"/>
      <c r="C103" s="137"/>
      <c r="D103" s="139"/>
      <c r="E103" s="38"/>
      <c r="F103" s="1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142"/>
      <c r="B104" s="38"/>
      <c r="C104" s="137"/>
      <c r="D104" s="139"/>
      <c r="E104" s="38"/>
      <c r="F104" s="1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142"/>
      <c r="B105" s="38"/>
      <c r="C105" s="137"/>
      <c r="D105" s="139"/>
      <c r="E105" s="38"/>
      <c r="F105" s="1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142"/>
      <c r="B106" s="38"/>
      <c r="C106" s="137"/>
      <c r="D106" s="139"/>
      <c r="E106" s="38"/>
      <c r="F106" s="1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142"/>
      <c r="B107" s="38"/>
      <c r="C107" s="137"/>
      <c r="D107" s="139"/>
      <c r="E107" s="38"/>
      <c r="F107" s="1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142"/>
      <c r="B108" s="38"/>
      <c r="C108" s="137"/>
      <c r="D108" s="139"/>
      <c r="E108" s="38"/>
      <c r="F108" s="1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142"/>
      <c r="B109" s="38"/>
      <c r="C109" s="137"/>
      <c r="D109" s="139"/>
      <c r="E109" s="38"/>
      <c r="F109" s="1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142"/>
      <c r="B110" s="38"/>
      <c r="C110" s="137"/>
      <c r="D110" s="139"/>
      <c r="E110" s="38"/>
      <c r="F110" s="1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142"/>
      <c r="B111" s="38"/>
      <c r="C111" s="137"/>
      <c r="D111" s="139"/>
      <c r="E111" s="38"/>
      <c r="F111" s="1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142"/>
      <c r="B112" s="38"/>
      <c r="C112" s="137"/>
      <c r="D112" s="139"/>
      <c r="E112" s="38"/>
      <c r="F112" s="1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142"/>
      <c r="B113" s="38"/>
      <c r="C113" s="137"/>
      <c r="D113" s="139"/>
      <c r="E113" s="38"/>
      <c r="F113" s="1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142"/>
      <c r="B114" s="38"/>
      <c r="C114" s="137"/>
      <c r="D114" s="139"/>
      <c r="E114" s="38"/>
      <c r="F114" s="1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142"/>
      <c r="B115" s="38"/>
      <c r="C115" s="137"/>
      <c r="D115" s="139"/>
      <c r="E115" s="38"/>
      <c r="F115" s="1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142"/>
      <c r="B116" s="38"/>
      <c r="C116" s="137"/>
      <c r="D116" s="139"/>
      <c r="E116" s="38"/>
      <c r="F116" s="1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142"/>
      <c r="B117" s="38"/>
      <c r="C117" s="137"/>
      <c r="D117" s="139"/>
      <c r="E117" s="38"/>
      <c r="F117" s="1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142"/>
      <c r="B118" s="38"/>
      <c r="C118" s="137"/>
      <c r="D118" s="139"/>
      <c r="E118" s="38"/>
      <c r="F118" s="1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142"/>
      <c r="B119" s="38"/>
      <c r="C119" s="137"/>
      <c r="D119" s="139"/>
      <c r="E119" s="38"/>
      <c r="F119" s="1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142"/>
      <c r="B120" s="38"/>
      <c r="C120" s="137"/>
      <c r="D120" s="139"/>
      <c r="E120" s="38"/>
      <c r="F120" s="1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142"/>
      <c r="B121" s="38"/>
      <c r="C121" s="137"/>
      <c r="D121" s="139"/>
      <c r="E121" s="38"/>
      <c r="F121" s="1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142"/>
      <c r="B122" s="38"/>
      <c r="C122" s="137"/>
      <c r="D122" s="139"/>
      <c r="E122" s="38"/>
      <c r="F122" s="1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142"/>
      <c r="B123" s="38"/>
      <c r="C123" s="137"/>
      <c r="D123" s="139"/>
      <c r="E123" s="38"/>
      <c r="F123" s="1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142"/>
      <c r="B124" s="38"/>
      <c r="C124" s="137"/>
      <c r="D124" s="139"/>
      <c r="E124" s="38"/>
      <c r="F124" s="1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142"/>
      <c r="B125" s="38"/>
      <c r="C125" s="137"/>
      <c r="D125" s="139"/>
      <c r="E125" s="38"/>
      <c r="F125" s="1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142"/>
      <c r="B126" s="38"/>
      <c r="C126" s="137"/>
      <c r="D126" s="139"/>
      <c r="E126" s="38"/>
      <c r="F126" s="1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142"/>
      <c r="B127" s="38"/>
      <c r="C127" s="137"/>
      <c r="D127" s="139"/>
      <c r="E127" s="38"/>
      <c r="F127" s="1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142"/>
      <c r="B128" s="38"/>
      <c r="C128" s="137"/>
      <c r="D128" s="139"/>
      <c r="E128" s="38"/>
      <c r="F128" s="1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142"/>
      <c r="B129" s="38"/>
      <c r="C129" s="137"/>
      <c r="D129" s="139"/>
      <c r="E129" s="38"/>
      <c r="F129" s="1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142"/>
      <c r="B130" s="38"/>
      <c r="C130" s="137"/>
      <c r="D130" s="139"/>
      <c r="E130" s="38"/>
      <c r="F130" s="1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142"/>
      <c r="B131" s="38"/>
      <c r="C131" s="137"/>
      <c r="D131" s="139"/>
      <c r="E131" s="38"/>
      <c r="F131" s="1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142"/>
      <c r="B132" s="38"/>
      <c r="C132" s="137"/>
      <c r="D132" s="139"/>
      <c r="E132" s="38"/>
      <c r="F132" s="1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142"/>
      <c r="B133" s="38"/>
      <c r="C133" s="137"/>
      <c r="D133" s="139"/>
      <c r="E133" s="38"/>
      <c r="F133" s="1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142"/>
      <c r="B134" s="38"/>
      <c r="C134" s="137"/>
      <c r="D134" s="139"/>
      <c r="E134" s="38"/>
      <c r="F134" s="1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142"/>
      <c r="B135" s="38"/>
      <c r="C135" s="137"/>
      <c r="D135" s="139"/>
      <c r="E135" s="38"/>
      <c r="F135" s="1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142"/>
      <c r="B136" s="38"/>
      <c r="C136" s="137"/>
      <c r="D136" s="139"/>
      <c r="E136" s="38"/>
      <c r="F136" s="1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142"/>
      <c r="B137" s="38"/>
      <c r="C137" s="137"/>
      <c r="D137" s="139"/>
      <c r="E137" s="38"/>
      <c r="F137" s="1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142"/>
      <c r="B138" s="38"/>
      <c r="C138" s="137"/>
      <c r="D138" s="139"/>
      <c r="E138" s="38"/>
      <c r="F138" s="1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142"/>
      <c r="B139" s="38"/>
      <c r="C139" s="137"/>
      <c r="D139" s="139"/>
      <c r="E139" s="38"/>
      <c r="F139" s="1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142"/>
      <c r="B140" s="38"/>
      <c r="C140" s="137"/>
      <c r="D140" s="139"/>
      <c r="E140" s="38"/>
      <c r="F140" s="1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142"/>
      <c r="B141" s="38"/>
      <c r="C141" s="137"/>
      <c r="D141" s="139"/>
      <c r="E141" s="38"/>
      <c r="F141" s="1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142"/>
      <c r="B142" s="38"/>
      <c r="C142" s="137"/>
      <c r="D142" s="139"/>
      <c r="E142" s="38"/>
      <c r="F142" s="1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142"/>
      <c r="B143" s="38"/>
      <c r="C143" s="137"/>
      <c r="D143" s="139"/>
      <c r="E143" s="38"/>
      <c r="F143" s="1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142"/>
      <c r="B144" s="38"/>
      <c r="C144" s="137"/>
      <c r="D144" s="139"/>
      <c r="E144" s="38"/>
      <c r="F144" s="1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142"/>
      <c r="B145" s="38"/>
      <c r="C145" s="137"/>
      <c r="D145" s="139"/>
      <c r="E145" s="38"/>
      <c r="F145" s="1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142"/>
      <c r="B146" s="38"/>
      <c r="C146" s="137"/>
      <c r="D146" s="139"/>
      <c r="E146" s="38"/>
      <c r="F146" s="1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142"/>
      <c r="B147" s="38"/>
      <c r="C147" s="137"/>
      <c r="D147" s="139"/>
      <c r="E147" s="38"/>
      <c r="F147" s="1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142"/>
      <c r="B148" s="38"/>
      <c r="C148" s="137"/>
      <c r="D148" s="139"/>
      <c r="E148" s="38"/>
      <c r="F148" s="1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142"/>
      <c r="B149" s="38"/>
      <c r="C149" s="137"/>
      <c r="D149" s="139"/>
      <c r="E149" s="38"/>
      <c r="F149" s="1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142"/>
      <c r="B150" s="38"/>
      <c r="C150" s="137"/>
      <c r="D150" s="139"/>
      <c r="E150" s="38"/>
      <c r="F150" s="1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142"/>
      <c r="B151" s="38"/>
      <c r="C151" s="137"/>
      <c r="D151" s="139"/>
      <c r="E151" s="38"/>
      <c r="F151" s="1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142"/>
      <c r="B152" s="38"/>
      <c r="C152" s="137"/>
      <c r="D152" s="139"/>
      <c r="E152" s="38"/>
      <c r="F152" s="1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142"/>
      <c r="B153" s="38"/>
      <c r="C153" s="137"/>
      <c r="D153" s="139"/>
      <c r="E153" s="38"/>
      <c r="F153" s="1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142"/>
      <c r="B154" s="38"/>
      <c r="C154" s="137"/>
      <c r="D154" s="139"/>
      <c r="E154" s="38"/>
      <c r="F154" s="1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142"/>
      <c r="B155" s="38"/>
      <c r="C155" s="137"/>
      <c r="D155" s="139"/>
      <c r="E155" s="38"/>
      <c r="F155" s="1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142"/>
      <c r="B156" s="38"/>
      <c r="C156" s="137"/>
      <c r="D156" s="139"/>
      <c r="E156" s="38"/>
      <c r="F156" s="1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142"/>
      <c r="B157" s="38"/>
      <c r="C157" s="137"/>
      <c r="D157" s="139"/>
      <c r="E157" s="38"/>
      <c r="F157" s="1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142"/>
      <c r="B158" s="38"/>
      <c r="C158" s="137"/>
      <c r="D158" s="139"/>
      <c r="E158" s="38"/>
      <c r="F158" s="1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142"/>
      <c r="B159" s="38"/>
      <c r="C159" s="137"/>
      <c r="D159" s="139"/>
      <c r="E159" s="38"/>
      <c r="F159" s="1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142"/>
      <c r="B160" s="38"/>
      <c r="C160" s="137"/>
      <c r="D160" s="139"/>
      <c r="E160" s="38"/>
      <c r="F160" s="1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142"/>
      <c r="B161" s="38"/>
      <c r="C161" s="137"/>
      <c r="D161" s="139"/>
      <c r="E161" s="38"/>
      <c r="F161" s="1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142"/>
      <c r="B162" s="38"/>
      <c r="C162" s="137"/>
      <c r="D162" s="139"/>
      <c r="E162" s="38"/>
      <c r="F162" s="1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142"/>
      <c r="B163" s="38"/>
      <c r="C163" s="137"/>
      <c r="D163" s="139"/>
      <c r="E163" s="38"/>
      <c r="F163" s="1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142"/>
      <c r="B164" s="38"/>
      <c r="C164" s="137"/>
      <c r="D164" s="139"/>
      <c r="E164" s="38"/>
      <c r="F164" s="1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142"/>
      <c r="B165" s="38"/>
      <c r="C165" s="137"/>
      <c r="D165" s="139"/>
      <c r="E165" s="38"/>
      <c r="F165" s="1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142"/>
      <c r="B166" s="38"/>
      <c r="C166" s="137"/>
      <c r="D166" s="139"/>
      <c r="E166" s="38"/>
      <c r="F166" s="1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142"/>
      <c r="B167" s="38"/>
      <c r="C167" s="137"/>
      <c r="D167" s="139"/>
      <c r="E167" s="38"/>
      <c r="F167" s="1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142"/>
      <c r="B168" s="38"/>
      <c r="C168" s="137"/>
      <c r="D168" s="139"/>
      <c r="E168" s="38"/>
      <c r="F168" s="1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142"/>
      <c r="B169" s="38"/>
      <c r="C169" s="137"/>
      <c r="D169" s="139"/>
      <c r="E169" s="38"/>
      <c r="F169" s="1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142"/>
      <c r="B170" s="38"/>
      <c r="C170" s="137"/>
      <c r="D170" s="139"/>
      <c r="E170" s="38"/>
      <c r="F170" s="1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142"/>
      <c r="B171" s="38"/>
      <c r="C171" s="137"/>
      <c r="D171" s="139"/>
      <c r="E171" s="38"/>
      <c r="F171" s="1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142"/>
      <c r="B172" s="38"/>
      <c r="C172" s="137"/>
      <c r="D172" s="139"/>
      <c r="E172" s="38"/>
      <c r="F172" s="1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142"/>
      <c r="B173" s="38"/>
      <c r="C173" s="137"/>
      <c r="D173" s="139"/>
      <c r="E173" s="38"/>
      <c r="F173" s="1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142"/>
      <c r="B174" s="38"/>
      <c r="C174" s="137"/>
      <c r="D174" s="139"/>
      <c r="E174" s="38"/>
      <c r="F174" s="1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142"/>
      <c r="B175" s="38"/>
      <c r="C175" s="137"/>
      <c r="D175" s="139"/>
      <c r="E175" s="38"/>
      <c r="F175" s="1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142"/>
      <c r="B176" s="38"/>
      <c r="C176" s="137"/>
      <c r="D176" s="139"/>
      <c r="E176" s="38"/>
      <c r="F176" s="1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142"/>
      <c r="B177" s="38"/>
      <c r="C177" s="137"/>
      <c r="D177" s="139"/>
      <c r="E177" s="38"/>
      <c r="F177" s="1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142"/>
      <c r="B178" s="38"/>
      <c r="C178" s="137"/>
      <c r="D178" s="139"/>
      <c r="E178" s="38"/>
      <c r="F178" s="1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142"/>
      <c r="B179" s="38"/>
      <c r="C179" s="137"/>
      <c r="D179" s="139"/>
      <c r="E179" s="38"/>
      <c r="F179" s="1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142"/>
      <c r="B180" s="38"/>
      <c r="C180" s="137"/>
      <c r="D180" s="139"/>
      <c r="E180" s="38"/>
      <c r="F180" s="1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142"/>
      <c r="B181" s="38"/>
      <c r="C181" s="137"/>
      <c r="D181" s="139"/>
      <c r="E181" s="38"/>
      <c r="F181" s="1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142"/>
      <c r="B182" s="38"/>
      <c r="C182" s="137"/>
      <c r="D182" s="139"/>
      <c r="E182" s="38"/>
      <c r="F182" s="1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142"/>
      <c r="B183" s="38"/>
      <c r="C183" s="137"/>
      <c r="D183" s="139"/>
      <c r="E183" s="38"/>
      <c r="F183" s="1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142"/>
      <c r="B184" s="38"/>
      <c r="C184" s="137"/>
      <c r="D184" s="139"/>
      <c r="E184" s="38"/>
      <c r="F184" s="1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142"/>
      <c r="B185" s="38"/>
      <c r="C185" s="137"/>
      <c r="D185" s="139"/>
      <c r="E185" s="38"/>
      <c r="F185" s="1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142"/>
      <c r="B186" s="38"/>
      <c r="C186" s="137"/>
      <c r="D186" s="139"/>
      <c r="E186" s="38"/>
      <c r="F186" s="1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142"/>
      <c r="B187" s="38"/>
      <c r="C187" s="137"/>
      <c r="D187" s="139"/>
      <c r="E187" s="38"/>
      <c r="F187" s="1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142"/>
      <c r="B188" s="38"/>
      <c r="C188" s="137"/>
      <c r="D188" s="139"/>
      <c r="E188" s="38"/>
      <c r="F188" s="1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142"/>
      <c r="B189" s="38"/>
      <c r="C189" s="137"/>
      <c r="D189" s="139"/>
      <c r="E189" s="38"/>
      <c r="F189" s="1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142"/>
      <c r="B190" s="38"/>
      <c r="C190" s="137"/>
      <c r="D190" s="139"/>
      <c r="E190" s="38"/>
      <c r="F190" s="1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142"/>
      <c r="B191" s="38"/>
      <c r="C191" s="137"/>
      <c r="D191" s="139"/>
      <c r="E191" s="38"/>
      <c r="F191" s="1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142"/>
      <c r="B192" s="38"/>
      <c r="C192" s="137"/>
      <c r="D192" s="139"/>
      <c r="E192" s="38"/>
      <c r="F192" s="1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142"/>
      <c r="B193" s="38"/>
      <c r="C193" s="137"/>
      <c r="D193" s="139"/>
      <c r="E193" s="38"/>
      <c r="F193" s="1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142"/>
      <c r="B194" s="38"/>
      <c r="C194" s="137"/>
      <c r="D194" s="139"/>
      <c r="E194" s="38"/>
      <c r="F194" s="1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142"/>
      <c r="B195" s="38"/>
      <c r="C195" s="137"/>
      <c r="D195" s="139"/>
      <c r="E195" s="38"/>
      <c r="F195" s="1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142"/>
      <c r="B196" s="38"/>
      <c r="C196" s="137"/>
      <c r="D196" s="139"/>
      <c r="E196" s="38"/>
      <c r="F196" s="1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142"/>
      <c r="B197" s="38"/>
      <c r="C197" s="137"/>
      <c r="D197" s="139"/>
      <c r="E197" s="38"/>
      <c r="F197" s="1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142"/>
      <c r="B198" s="38"/>
      <c r="C198" s="137"/>
      <c r="D198" s="139"/>
      <c r="E198" s="38"/>
      <c r="F198" s="1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142"/>
      <c r="B199" s="38"/>
      <c r="C199" s="137"/>
      <c r="D199" s="139"/>
      <c r="E199" s="38"/>
      <c r="F199" s="1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142"/>
      <c r="B200" s="38"/>
      <c r="C200" s="137"/>
      <c r="D200" s="139"/>
      <c r="E200" s="38"/>
      <c r="F200" s="1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142"/>
      <c r="B201" s="38"/>
      <c r="C201" s="137"/>
      <c r="D201" s="139"/>
      <c r="E201" s="38"/>
      <c r="F201" s="1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142"/>
      <c r="B202" s="38"/>
      <c r="C202" s="137"/>
      <c r="D202" s="139"/>
      <c r="E202" s="38"/>
      <c r="F202" s="1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142"/>
      <c r="B203" s="38"/>
      <c r="C203" s="137"/>
      <c r="D203" s="139"/>
      <c r="E203" s="38"/>
      <c r="F203" s="1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142"/>
      <c r="B204" s="38"/>
      <c r="C204" s="137"/>
      <c r="D204" s="139"/>
      <c r="E204" s="38"/>
      <c r="F204" s="1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142"/>
      <c r="B205" s="38"/>
      <c r="C205" s="137"/>
      <c r="D205" s="139"/>
      <c r="E205" s="38"/>
      <c r="F205" s="1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142"/>
      <c r="B206" s="38"/>
      <c r="C206" s="137"/>
      <c r="D206" s="139"/>
      <c r="E206" s="38"/>
      <c r="F206" s="1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142"/>
      <c r="B207" s="38"/>
      <c r="C207" s="137"/>
      <c r="D207" s="139"/>
      <c r="E207" s="38"/>
      <c r="F207" s="1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142"/>
      <c r="B208" s="38"/>
      <c r="C208" s="137"/>
      <c r="D208" s="139"/>
      <c r="E208" s="38"/>
      <c r="F208" s="1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142"/>
      <c r="B209" s="38"/>
      <c r="C209" s="137"/>
      <c r="D209" s="139"/>
      <c r="E209" s="38"/>
      <c r="F209" s="1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142"/>
      <c r="B210" s="38"/>
      <c r="C210" s="137"/>
      <c r="D210" s="139"/>
      <c r="E210" s="38"/>
      <c r="F210" s="1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142"/>
      <c r="B211" s="38"/>
      <c r="C211" s="137"/>
      <c r="D211" s="139"/>
      <c r="E211" s="38"/>
      <c r="F211" s="1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142"/>
      <c r="B212" s="38"/>
      <c r="C212" s="137"/>
      <c r="D212" s="139"/>
      <c r="E212" s="38"/>
      <c r="F212" s="1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142"/>
      <c r="B213" s="38"/>
      <c r="C213" s="137"/>
      <c r="D213" s="139"/>
      <c r="E213" s="38"/>
      <c r="F213" s="1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142"/>
      <c r="B214" s="38"/>
      <c r="C214" s="137"/>
      <c r="D214" s="139"/>
      <c r="E214" s="38"/>
      <c r="F214" s="1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142"/>
      <c r="B215" s="38"/>
      <c r="C215" s="137"/>
      <c r="D215" s="139"/>
      <c r="E215" s="38"/>
      <c r="F215" s="1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142"/>
      <c r="B216" s="38"/>
      <c r="C216" s="137"/>
      <c r="D216" s="139"/>
      <c r="E216" s="38"/>
      <c r="F216" s="1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142"/>
      <c r="B217" s="38"/>
      <c r="C217" s="137"/>
      <c r="D217" s="139"/>
      <c r="E217" s="38"/>
      <c r="F217" s="1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142"/>
      <c r="B218" s="38"/>
      <c r="C218" s="137"/>
      <c r="D218" s="139"/>
      <c r="E218" s="38"/>
      <c r="F218" s="1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142"/>
      <c r="B219" s="38"/>
      <c r="C219" s="137"/>
      <c r="D219" s="139"/>
      <c r="E219" s="38"/>
      <c r="F219" s="1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142"/>
      <c r="B220" s="38"/>
      <c r="C220" s="137"/>
      <c r="D220" s="139"/>
      <c r="E220" s="38"/>
      <c r="F220" s="1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142"/>
      <c r="B221" s="38"/>
      <c r="C221" s="137"/>
      <c r="D221" s="139"/>
      <c r="E221" s="38"/>
      <c r="F221" s="1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142"/>
      <c r="B222" s="38"/>
      <c r="C222" s="137"/>
      <c r="D222" s="139"/>
      <c r="E222" s="38"/>
      <c r="F222" s="1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142"/>
      <c r="B223" s="38"/>
      <c r="C223" s="137"/>
      <c r="D223" s="139"/>
      <c r="E223" s="38"/>
      <c r="F223" s="1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142"/>
      <c r="B224" s="38"/>
      <c r="C224" s="137"/>
      <c r="D224" s="139"/>
      <c r="E224" s="38"/>
      <c r="F224" s="1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142"/>
      <c r="B225" s="38"/>
      <c r="C225" s="137"/>
      <c r="D225" s="139"/>
      <c r="E225" s="38"/>
      <c r="F225" s="1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142"/>
      <c r="B226" s="38"/>
      <c r="C226" s="137"/>
      <c r="D226" s="139"/>
      <c r="E226" s="38"/>
      <c r="F226" s="1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142"/>
      <c r="B227" s="38"/>
      <c r="C227" s="137"/>
      <c r="D227" s="139"/>
      <c r="E227" s="38"/>
      <c r="F227" s="1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142"/>
      <c r="B228" s="38"/>
      <c r="C228" s="137"/>
      <c r="D228" s="139"/>
      <c r="E228" s="38"/>
      <c r="F228" s="1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142"/>
      <c r="B229" s="38"/>
      <c r="C229" s="137"/>
      <c r="D229" s="139"/>
      <c r="E229" s="38"/>
      <c r="F229" s="1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142"/>
      <c r="B230" s="38"/>
      <c r="C230" s="137"/>
      <c r="D230" s="139"/>
      <c r="E230" s="38"/>
      <c r="F230" s="1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142"/>
      <c r="B231" s="38"/>
      <c r="C231" s="137"/>
      <c r="D231" s="139"/>
      <c r="E231" s="38"/>
      <c r="F231" s="1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142"/>
      <c r="B232" s="38"/>
      <c r="C232" s="137"/>
      <c r="D232" s="139"/>
      <c r="E232" s="38"/>
      <c r="F232" s="1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142"/>
      <c r="B233" s="38"/>
      <c r="C233" s="137"/>
      <c r="D233" s="139"/>
      <c r="E233" s="38"/>
      <c r="F233" s="1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142"/>
      <c r="B234" s="38"/>
      <c r="C234" s="137"/>
      <c r="D234" s="139"/>
      <c r="E234" s="38"/>
      <c r="F234" s="1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142"/>
      <c r="B235" s="38"/>
      <c r="C235" s="137"/>
      <c r="D235" s="139"/>
      <c r="E235" s="38"/>
      <c r="F235" s="1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142"/>
      <c r="B236" s="38"/>
      <c r="C236" s="137"/>
      <c r="D236" s="139"/>
      <c r="E236" s="38"/>
      <c r="F236" s="1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142"/>
      <c r="B237" s="38"/>
      <c r="C237" s="137"/>
      <c r="D237" s="139"/>
      <c r="E237" s="38"/>
      <c r="F237" s="1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142"/>
      <c r="B238" s="38"/>
      <c r="C238" s="137"/>
      <c r="D238" s="139"/>
      <c r="E238" s="38"/>
      <c r="F238" s="1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142"/>
      <c r="B239" s="38"/>
      <c r="C239" s="137"/>
      <c r="D239" s="139"/>
      <c r="E239" s="38"/>
      <c r="F239" s="139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142"/>
      <c r="B240" s="38"/>
      <c r="C240" s="137"/>
      <c r="D240" s="139"/>
      <c r="E240" s="38"/>
      <c r="F240" s="139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142"/>
      <c r="B241" s="38"/>
      <c r="C241" s="137"/>
      <c r="D241" s="139"/>
      <c r="E241" s="38"/>
      <c r="F241" s="139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142"/>
      <c r="B242" s="38"/>
      <c r="C242" s="137"/>
      <c r="D242" s="139"/>
      <c r="E242" s="38"/>
      <c r="F242" s="139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142"/>
      <c r="B243" s="38"/>
      <c r="C243" s="137"/>
      <c r="D243" s="139"/>
      <c r="E243" s="38"/>
      <c r="F243" s="139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142"/>
      <c r="B244" s="38"/>
      <c r="C244" s="137"/>
      <c r="D244" s="139"/>
      <c r="E244" s="38"/>
      <c r="F244" s="139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142"/>
      <c r="B245" s="38"/>
      <c r="C245" s="137"/>
      <c r="D245" s="139"/>
      <c r="E245" s="38"/>
      <c r="F245" s="139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142"/>
      <c r="B246" s="38"/>
      <c r="C246" s="137"/>
      <c r="D246" s="139"/>
      <c r="E246" s="38"/>
      <c r="F246" s="139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142"/>
      <c r="B247" s="38"/>
      <c r="C247" s="137"/>
      <c r="D247" s="139"/>
      <c r="E247" s="38"/>
      <c r="F247" s="139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142"/>
      <c r="B248" s="38"/>
      <c r="C248" s="137"/>
      <c r="D248" s="139"/>
      <c r="E248" s="38"/>
      <c r="F248" s="139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142"/>
      <c r="B249" s="38"/>
      <c r="C249" s="137"/>
      <c r="D249" s="139"/>
      <c r="E249" s="38"/>
      <c r="F249" s="139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142"/>
      <c r="B250" s="38"/>
      <c r="C250" s="137"/>
      <c r="D250" s="139"/>
      <c r="E250" s="38"/>
      <c r="F250" s="139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142"/>
      <c r="B251" s="38"/>
      <c r="C251" s="137"/>
      <c r="D251" s="139"/>
      <c r="E251" s="38"/>
      <c r="F251" s="139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142"/>
      <c r="B252" s="38"/>
      <c r="C252" s="137"/>
      <c r="D252" s="139"/>
      <c r="E252" s="38"/>
      <c r="F252" s="139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142"/>
      <c r="B253" s="38"/>
      <c r="C253" s="137"/>
      <c r="D253" s="139"/>
      <c r="E253" s="38"/>
      <c r="F253" s="139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142"/>
      <c r="B254" s="38"/>
      <c r="C254" s="137"/>
      <c r="D254" s="139"/>
      <c r="E254" s="38"/>
      <c r="F254" s="139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142"/>
      <c r="B255" s="38"/>
      <c r="C255" s="137"/>
      <c r="D255" s="139"/>
      <c r="E255" s="38"/>
      <c r="F255" s="139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142"/>
      <c r="B256" s="38"/>
      <c r="C256" s="137"/>
      <c r="D256" s="139"/>
      <c r="E256" s="38"/>
      <c r="F256" s="139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142"/>
      <c r="B257" s="38"/>
      <c r="C257" s="137"/>
      <c r="D257" s="139"/>
      <c r="E257" s="38"/>
      <c r="F257" s="139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142"/>
      <c r="B258" s="38"/>
      <c r="C258" s="137"/>
      <c r="D258" s="139"/>
      <c r="E258" s="38"/>
      <c r="F258" s="139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142"/>
      <c r="B259" s="38"/>
      <c r="C259" s="137"/>
      <c r="D259" s="139"/>
      <c r="E259" s="38"/>
      <c r="F259" s="139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142"/>
      <c r="B260" s="38"/>
      <c r="C260" s="137"/>
      <c r="D260" s="139"/>
      <c r="E260" s="38"/>
      <c r="F260" s="139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142"/>
      <c r="B261" s="38"/>
      <c r="C261" s="137"/>
      <c r="D261" s="139"/>
      <c r="E261" s="38"/>
      <c r="F261" s="139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142"/>
      <c r="B262" s="38"/>
      <c r="C262" s="137"/>
      <c r="D262" s="139"/>
      <c r="E262" s="38"/>
      <c r="F262" s="139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142"/>
      <c r="B263" s="38"/>
      <c r="C263" s="137"/>
      <c r="D263" s="139"/>
      <c r="E263" s="38"/>
      <c r="F263" s="139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142"/>
      <c r="B264" s="38"/>
      <c r="C264" s="137"/>
      <c r="D264" s="139"/>
      <c r="E264" s="38"/>
      <c r="F264" s="139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142"/>
      <c r="B265" s="38"/>
      <c r="C265" s="137"/>
      <c r="D265" s="139"/>
      <c r="E265" s="38"/>
      <c r="F265" s="139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142"/>
      <c r="B266" s="38"/>
      <c r="C266" s="137"/>
      <c r="D266" s="139"/>
      <c r="E266" s="38"/>
      <c r="F266" s="139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142"/>
      <c r="B267" s="38"/>
      <c r="C267" s="137"/>
      <c r="D267" s="139"/>
      <c r="E267" s="38"/>
      <c r="F267" s="139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142"/>
      <c r="B268" s="38"/>
      <c r="C268" s="137"/>
      <c r="D268" s="139"/>
      <c r="E268" s="38"/>
      <c r="F268" s="139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142"/>
      <c r="B269" s="38"/>
      <c r="C269" s="137"/>
      <c r="D269" s="139"/>
      <c r="E269" s="38"/>
      <c r="F269" s="139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142"/>
      <c r="B270" s="38"/>
      <c r="C270" s="137"/>
      <c r="D270" s="139"/>
      <c r="E270" s="38"/>
      <c r="F270" s="139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142"/>
      <c r="B271" s="38"/>
      <c r="C271" s="137"/>
      <c r="D271" s="139"/>
      <c r="E271" s="38"/>
      <c r="F271" s="139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142"/>
      <c r="B272" s="38"/>
      <c r="C272" s="137"/>
      <c r="D272" s="139"/>
      <c r="E272" s="38"/>
      <c r="F272" s="139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142"/>
      <c r="B273" s="38"/>
      <c r="C273" s="137"/>
      <c r="D273" s="139"/>
      <c r="E273" s="38"/>
      <c r="F273" s="139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142"/>
      <c r="B274" s="38"/>
      <c r="C274" s="137"/>
      <c r="D274" s="139"/>
      <c r="E274" s="38"/>
      <c r="F274" s="139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142"/>
      <c r="B275" s="38"/>
      <c r="C275" s="137"/>
      <c r="D275" s="139"/>
      <c r="E275" s="38"/>
      <c r="F275" s="139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142"/>
      <c r="B276" s="38"/>
      <c r="C276" s="137"/>
      <c r="D276" s="139"/>
      <c r="E276" s="38"/>
      <c r="F276" s="139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142"/>
      <c r="B277" s="38"/>
      <c r="C277" s="137"/>
      <c r="D277" s="139"/>
      <c r="E277" s="38"/>
      <c r="F277" s="139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142"/>
      <c r="B278" s="38"/>
      <c r="C278" s="137"/>
      <c r="D278" s="139"/>
      <c r="E278" s="38"/>
      <c r="F278" s="139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142"/>
      <c r="B279" s="38"/>
      <c r="C279" s="137"/>
      <c r="D279" s="139"/>
      <c r="E279" s="38"/>
      <c r="F279" s="139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142"/>
      <c r="B280" s="38"/>
      <c r="C280" s="137"/>
      <c r="D280" s="139"/>
      <c r="E280" s="38"/>
      <c r="F280" s="139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142"/>
      <c r="B281" s="38"/>
      <c r="C281" s="137"/>
      <c r="D281" s="139"/>
      <c r="E281" s="38"/>
      <c r="F281" s="139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142"/>
      <c r="B282" s="38"/>
      <c r="C282" s="137"/>
      <c r="D282" s="139"/>
      <c r="E282" s="38"/>
      <c r="F282" s="139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142"/>
      <c r="B283" s="38"/>
      <c r="C283" s="137"/>
      <c r="D283" s="139"/>
      <c r="E283" s="38"/>
      <c r="F283" s="139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142"/>
      <c r="B284" s="38"/>
      <c r="C284" s="137"/>
      <c r="D284" s="139"/>
      <c r="E284" s="38"/>
      <c r="F284" s="139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142"/>
      <c r="B285" s="38"/>
      <c r="C285" s="137"/>
      <c r="D285" s="139"/>
      <c r="E285" s="38"/>
      <c r="F285" s="139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142"/>
      <c r="B286" s="38"/>
      <c r="C286" s="137"/>
      <c r="D286" s="139"/>
      <c r="E286" s="38"/>
      <c r="F286" s="139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142"/>
      <c r="B287" s="38"/>
      <c r="C287" s="137"/>
      <c r="D287" s="139"/>
      <c r="E287" s="38"/>
      <c r="F287" s="139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142"/>
      <c r="B288" s="38"/>
      <c r="C288" s="137"/>
      <c r="D288" s="139"/>
      <c r="E288" s="38"/>
      <c r="F288" s="139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142"/>
      <c r="B289" s="38"/>
      <c r="C289" s="137"/>
      <c r="D289" s="139"/>
      <c r="E289" s="38"/>
      <c r="F289" s="139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142"/>
      <c r="B290" s="38"/>
      <c r="C290" s="137"/>
      <c r="D290" s="139"/>
      <c r="E290" s="38"/>
      <c r="F290" s="139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142"/>
      <c r="B291" s="38"/>
      <c r="C291" s="137"/>
      <c r="D291" s="139"/>
      <c r="E291" s="38"/>
      <c r="F291" s="139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142"/>
      <c r="B292" s="38"/>
      <c r="C292" s="137"/>
      <c r="D292" s="139"/>
      <c r="E292" s="38"/>
      <c r="F292" s="139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142"/>
      <c r="B293" s="38"/>
      <c r="C293" s="137"/>
      <c r="D293" s="139"/>
      <c r="E293" s="38"/>
      <c r="F293" s="139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142"/>
      <c r="B294" s="38"/>
      <c r="C294" s="137"/>
      <c r="D294" s="139"/>
      <c r="E294" s="38"/>
      <c r="F294" s="139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142"/>
      <c r="B295" s="38"/>
      <c r="C295" s="137"/>
      <c r="D295" s="139"/>
      <c r="E295" s="38"/>
      <c r="F295" s="139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142"/>
      <c r="B296" s="38"/>
      <c r="C296" s="137"/>
      <c r="D296" s="139"/>
      <c r="E296" s="38"/>
      <c r="F296" s="139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142"/>
      <c r="B297" s="38"/>
      <c r="C297" s="137"/>
      <c r="D297" s="139"/>
      <c r="E297" s="38"/>
      <c r="F297" s="139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142"/>
      <c r="B298" s="38"/>
      <c r="C298" s="137"/>
      <c r="D298" s="139"/>
      <c r="E298" s="38"/>
      <c r="F298" s="139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142"/>
      <c r="B299" s="38"/>
      <c r="C299" s="137"/>
      <c r="D299" s="139"/>
      <c r="E299" s="38"/>
      <c r="F299" s="139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142"/>
      <c r="B300" s="38"/>
      <c r="C300" s="137"/>
      <c r="D300" s="139"/>
      <c r="E300" s="38"/>
      <c r="F300" s="139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142"/>
      <c r="B301" s="38"/>
      <c r="C301" s="137"/>
      <c r="D301" s="139"/>
      <c r="E301" s="38"/>
      <c r="F301" s="139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142"/>
      <c r="B302" s="38"/>
      <c r="C302" s="137"/>
      <c r="D302" s="139"/>
      <c r="E302" s="38"/>
      <c r="F302" s="139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142"/>
      <c r="B303" s="38"/>
      <c r="C303" s="137"/>
      <c r="D303" s="139"/>
      <c r="E303" s="38"/>
      <c r="F303" s="139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142"/>
      <c r="B304" s="38"/>
      <c r="C304" s="137"/>
      <c r="D304" s="139"/>
      <c r="E304" s="38"/>
      <c r="F304" s="139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142"/>
      <c r="B305" s="38"/>
      <c r="C305" s="137"/>
      <c r="D305" s="139"/>
      <c r="E305" s="38"/>
      <c r="F305" s="139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142"/>
      <c r="B306" s="38"/>
      <c r="C306" s="137"/>
      <c r="D306" s="139"/>
      <c r="E306" s="38"/>
      <c r="F306" s="139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142"/>
      <c r="B307" s="38"/>
      <c r="C307" s="137"/>
      <c r="D307" s="139"/>
      <c r="E307" s="38"/>
      <c r="F307" s="139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142"/>
      <c r="B308" s="38"/>
      <c r="C308" s="137"/>
      <c r="D308" s="139"/>
      <c r="E308" s="38"/>
      <c r="F308" s="139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142"/>
      <c r="B309" s="38"/>
      <c r="C309" s="137"/>
      <c r="D309" s="139"/>
      <c r="E309" s="38"/>
      <c r="F309" s="139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142"/>
      <c r="B310" s="38"/>
      <c r="C310" s="137"/>
      <c r="D310" s="139"/>
      <c r="E310" s="38"/>
      <c r="F310" s="139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142"/>
      <c r="B311" s="38"/>
      <c r="C311" s="137"/>
      <c r="D311" s="139"/>
      <c r="E311" s="38"/>
      <c r="F311" s="139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142"/>
      <c r="B312" s="38"/>
      <c r="C312" s="137"/>
      <c r="D312" s="139"/>
      <c r="E312" s="38"/>
      <c r="F312" s="139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142"/>
      <c r="B313" s="38"/>
      <c r="C313" s="137"/>
      <c r="D313" s="139"/>
      <c r="E313" s="38"/>
      <c r="F313" s="139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142"/>
      <c r="B314" s="38"/>
      <c r="C314" s="137"/>
      <c r="D314" s="139"/>
      <c r="E314" s="38"/>
      <c r="F314" s="139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142"/>
      <c r="B315" s="38"/>
      <c r="C315" s="137"/>
      <c r="D315" s="139"/>
      <c r="E315" s="38"/>
      <c r="F315" s="139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142"/>
      <c r="B316" s="38"/>
      <c r="C316" s="137"/>
      <c r="D316" s="139"/>
      <c r="E316" s="38"/>
      <c r="F316" s="139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142"/>
      <c r="B317" s="38"/>
      <c r="C317" s="137"/>
      <c r="D317" s="139"/>
      <c r="E317" s="38"/>
      <c r="F317" s="139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142"/>
      <c r="B318" s="38"/>
      <c r="C318" s="137"/>
      <c r="D318" s="139"/>
      <c r="E318" s="38"/>
      <c r="F318" s="139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142"/>
      <c r="B319" s="38"/>
      <c r="C319" s="137"/>
      <c r="D319" s="139"/>
      <c r="E319" s="38"/>
      <c r="F319" s="139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142"/>
      <c r="B320" s="38"/>
      <c r="C320" s="137"/>
      <c r="D320" s="139"/>
      <c r="E320" s="38"/>
      <c r="F320" s="139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142"/>
      <c r="B321" s="38"/>
      <c r="C321" s="137"/>
      <c r="D321" s="139"/>
      <c r="E321" s="38"/>
      <c r="F321" s="139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142"/>
      <c r="B322" s="38"/>
      <c r="C322" s="137"/>
      <c r="D322" s="139"/>
      <c r="E322" s="38"/>
      <c r="F322" s="139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142"/>
      <c r="B323" s="38"/>
      <c r="C323" s="137"/>
      <c r="D323" s="139"/>
      <c r="E323" s="38"/>
      <c r="F323" s="139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142"/>
      <c r="B324" s="38"/>
      <c r="C324" s="137"/>
      <c r="D324" s="139"/>
      <c r="E324" s="38"/>
      <c r="F324" s="139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142"/>
      <c r="B325" s="38"/>
      <c r="C325" s="137"/>
      <c r="D325" s="139"/>
      <c r="E325" s="38"/>
      <c r="F325" s="139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142"/>
      <c r="B326" s="38"/>
      <c r="C326" s="137"/>
      <c r="D326" s="139"/>
      <c r="E326" s="38"/>
      <c r="F326" s="139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142"/>
      <c r="B327" s="38"/>
      <c r="C327" s="137"/>
      <c r="D327" s="139"/>
      <c r="E327" s="38"/>
      <c r="F327" s="139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142"/>
      <c r="B328" s="38"/>
      <c r="C328" s="137"/>
      <c r="D328" s="139"/>
      <c r="E328" s="38"/>
      <c r="F328" s="139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142"/>
      <c r="B329" s="38"/>
      <c r="C329" s="137"/>
      <c r="D329" s="139"/>
      <c r="E329" s="38"/>
      <c r="F329" s="139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142"/>
      <c r="B330" s="38"/>
      <c r="C330" s="137"/>
      <c r="D330" s="139"/>
      <c r="E330" s="38"/>
      <c r="F330" s="139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142"/>
      <c r="B331" s="38"/>
      <c r="C331" s="137"/>
      <c r="D331" s="139"/>
      <c r="E331" s="38"/>
      <c r="F331" s="139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142"/>
      <c r="B332" s="38"/>
      <c r="C332" s="137"/>
      <c r="D332" s="139"/>
      <c r="E332" s="38"/>
      <c r="F332" s="139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142"/>
      <c r="B333" s="38"/>
      <c r="C333" s="137"/>
      <c r="D333" s="139"/>
      <c r="E333" s="38"/>
      <c r="F333" s="139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142"/>
      <c r="B334" s="38"/>
      <c r="C334" s="137"/>
      <c r="D334" s="139"/>
      <c r="E334" s="38"/>
      <c r="F334" s="139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142"/>
      <c r="B335" s="38"/>
      <c r="C335" s="137"/>
      <c r="D335" s="139"/>
      <c r="E335" s="38"/>
      <c r="F335" s="139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142"/>
      <c r="B336" s="38"/>
      <c r="C336" s="137"/>
      <c r="D336" s="139"/>
      <c r="E336" s="38"/>
      <c r="F336" s="139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142"/>
      <c r="B337" s="38"/>
      <c r="C337" s="137"/>
      <c r="D337" s="139"/>
      <c r="E337" s="38"/>
      <c r="F337" s="139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142"/>
      <c r="B338" s="38"/>
      <c r="C338" s="137"/>
      <c r="D338" s="139"/>
      <c r="E338" s="38"/>
      <c r="F338" s="139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142"/>
      <c r="B339" s="38"/>
      <c r="C339" s="137"/>
      <c r="D339" s="139"/>
      <c r="E339" s="38"/>
      <c r="F339" s="139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142"/>
      <c r="B340" s="38"/>
      <c r="C340" s="137"/>
      <c r="D340" s="139"/>
      <c r="E340" s="38"/>
      <c r="F340" s="139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142"/>
      <c r="B341" s="38"/>
      <c r="C341" s="137"/>
      <c r="D341" s="139"/>
      <c r="E341" s="38"/>
      <c r="F341" s="139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142"/>
      <c r="B342" s="38"/>
      <c r="C342" s="137"/>
      <c r="D342" s="139"/>
      <c r="E342" s="38"/>
      <c r="F342" s="139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142"/>
      <c r="B343" s="38"/>
      <c r="C343" s="137"/>
      <c r="D343" s="139"/>
      <c r="E343" s="38"/>
      <c r="F343" s="139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142"/>
      <c r="B344" s="38"/>
      <c r="C344" s="137"/>
      <c r="D344" s="139"/>
      <c r="E344" s="38"/>
      <c r="F344" s="139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142"/>
      <c r="B345" s="38"/>
      <c r="C345" s="137"/>
      <c r="D345" s="139"/>
      <c r="E345" s="38"/>
      <c r="F345" s="139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142"/>
      <c r="B346" s="38"/>
      <c r="C346" s="137"/>
      <c r="D346" s="139"/>
      <c r="E346" s="38"/>
      <c r="F346" s="139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142"/>
      <c r="B347" s="38"/>
      <c r="C347" s="137"/>
      <c r="D347" s="139"/>
      <c r="E347" s="38"/>
      <c r="F347" s="139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142"/>
      <c r="B348" s="38"/>
      <c r="C348" s="137"/>
      <c r="D348" s="139"/>
      <c r="E348" s="38"/>
      <c r="F348" s="139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142"/>
      <c r="B349" s="38"/>
      <c r="C349" s="137"/>
      <c r="D349" s="139"/>
      <c r="E349" s="38"/>
      <c r="F349" s="139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142"/>
      <c r="B350" s="38"/>
      <c r="C350" s="137"/>
      <c r="D350" s="139"/>
      <c r="E350" s="38"/>
      <c r="F350" s="139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142"/>
      <c r="B351" s="38"/>
      <c r="C351" s="137"/>
      <c r="D351" s="139"/>
      <c r="E351" s="38"/>
      <c r="F351" s="139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142"/>
      <c r="B352" s="38"/>
      <c r="C352" s="137"/>
      <c r="D352" s="139"/>
      <c r="E352" s="38"/>
      <c r="F352" s="139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142"/>
      <c r="B353" s="38"/>
      <c r="C353" s="137"/>
      <c r="D353" s="139"/>
      <c r="E353" s="38"/>
      <c r="F353" s="139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142"/>
      <c r="B354" s="38"/>
      <c r="C354" s="137"/>
      <c r="D354" s="139"/>
      <c r="E354" s="38"/>
      <c r="F354" s="139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142"/>
      <c r="B355" s="38"/>
      <c r="C355" s="137"/>
      <c r="D355" s="139"/>
      <c r="E355" s="38"/>
      <c r="F355" s="139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142"/>
      <c r="B356" s="38"/>
      <c r="C356" s="137"/>
      <c r="D356" s="139"/>
      <c r="E356" s="38"/>
      <c r="F356" s="139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142"/>
      <c r="B357" s="38"/>
      <c r="C357" s="137"/>
      <c r="D357" s="139"/>
      <c r="E357" s="38"/>
      <c r="F357" s="139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142"/>
      <c r="B358" s="38"/>
      <c r="C358" s="137"/>
      <c r="D358" s="139"/>
      <c r="E358" s="38"/>
      <c r="F358" s="139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142"/>
      <c r="B359" s="38"/>
      <c r="C359" s="137"/>
      <c r="D359" s="139"/>
      <c r="E359" s="38"/>
      <c r="F359" s="139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142"/>
      <c r="B360" s="38"/>
      <c r="C360" s="137"/>
      <c r="D360" s="139"/>
      <c r="E360" s="38"/>
      <c r="F360" s="139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142"/>
      <c r="B361" s="38"/>
      <c r="C361" s="137"/>
      <c r="D361" s="139"/>
      <c r="E361" s="38"/>
      <c r="F361" s="139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142"/>
      <c r="B362" s="38"/>
      <c r="C362" s="137"/>
      <c r="D362" s="139"/>
      <c r="E362" s="38"/>
      <c r="F362" s="139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142"/>
      <c r="B363" s="38"/>
      <c r="C363" s="137"/>
      <c r="D363" s="139"/>
      <c r="E363" s="38"/>
      <c r="F363" s="139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142"/>
      <c r="B364" s="38"/>
      <c r="C364" s="137"/>
      <c r="D364" s="139"/>
      <c r="E364" s="38"/>
      <c r="F364" s="139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142"/>
      <c r="B365" s="38"/>
      <c r="C365" s="137"/>
      <c r="D365" s="139"/>
      <c r="E365" s="38"/>
      <c r="F365" s="139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142"/>
      <c r="B366" s="38"/>
      <c r="C366" s="137"/>
      <c r="D366" s="139"/>
      <c r="E366" s="38"/>
      <c r="F366" s="139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142"/>
      <c r="B367" s="38"/>
      <c r="C367" s="137"/>
      <c r="D367" s="139"/>
      <c r="E367" s="38"/>
      <c r="F367" s="139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142"/>
      <c r="B368" s="38"/>
      <c r="C368" s="137"/>
      <c r="D368" s="139"/>
      <c r="E368" s="38"/>
      <c r="F368" s="139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142"/>
      <c r="B369" s="38"/>
      <c r="C369" s="137"/>
      <c r="D369" s="139"/>
      <c r="E369" s="38"/>
      <c r="F369" s="139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142"/>
      <c r="B370" s="38"/>
      <c r="C370" s="137"/>
      <c r="D370" s="139"/>
      <c r="E370" s="38"/>
      <c r="F370" s="139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142"/>
      <c r="B371" s="38"/>
      <c r="C371" s="137"/>
      <c r="D371" s="139"/>
      <c r="E371" s="38"/>
      <c r="F371" s="139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142"/>
      <c r="B372" s="38"/>
      <c r="C372" s="137"/>
      <c r="D372" s="139"/>
      <c r="E372" s="38"/>
      <c r="F372" s="139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142"/>
      <c r="B373" s="38"/>
      <c r="C373" s="137"/>
      <c r="D373" s="139"/>
      <c r="E373" s="38"/>
      <c r="F373" s="139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142"/>
      <c r="B374" s="38"/>
      <c r="C374" s="137"/>
      <c r="D374" s="139"/>
      <c r="E374" s="38"/>
      <c r="F374" s="139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142"/>
      <c r="B375" s="38"/>
      <c r="C375" s="137"/>
      <c r="D375" s="139"/>
      <c r="E375" s="38"/>
      <c r="F375" s="139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142"/>
      <c r="B376" s="38"/>
      <c r="C376" s="137"/>
      <c r="D376" s="139"/>
      <c r="E376" s="38"/>
      <c r="F376" s="139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142"/>
      <c r="B377" s="38"/>
      <c r="C377" s="137"/>
      <c r="D377" s="139"/>
      <c r="E377" s="38"/>
      <c r="F377" s="139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142"/>
      <c r="B378" s="38"/>
      <c r="C378" s="137"/>
      <c r="D378" s="139"/>
      <c r="E378" s="38"/>
      <c r="F378" s="139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142"/>
      <c r="B379" s="38"/>
      <c r="C379" s="137"/>
      <c r="D379" s="139"/>
      <c r="E379" s="38"/>
      <c r="F379" s="139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142"/>
      <c r="B380" s="38"/>
      <c r="C380" s="137"/>
      <c r="D380" s="139"/>
      <c r="E380" s="38"/>
      <c r="F380" s="139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142"/>
      <c r="B381" s="38"/>
      <c r="C381" s="137"/>
      <c r="D381" s="139"/>
      <c r="E381" s="38"/>
      <c r="F381" s="139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142"/>
      <c r="B382" s="38"/>
      <c r="C382" s="137"/>
      <c r="D382" s="139"/>
      <c r="E382" s="38"/>
      <c r="F382" s="139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142"/>
      <c r="B383" s="38"/>
      <c r="C383" s="137"/>
      <c r="D383" s="139"/>
      <c r="E383" s="38"/>
      <c r="F383" s="139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142"/>
      <c r="B384" s="38"/>
      <c r="C384" s="137"/>
      <c r="D384" s="139"/>
      <c r="E384" s="38"/>
      <c r="F384" s="139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142"/>
      <c r="B385" s="38"/>
      <c r="C385" s="137"/>
      <c r="D385" s="139"/>
      <c r="E385" s="38"/>
      <c r="F385" s="139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142"/>
      <c r="B386" s="38"/>
      <c r="C386" s="137"/>
      <c r="D386" s="139"/>
      <c r="E386" s="38"/>
      <c r="F386" s="139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142"/>
      <c r="B387" s="38"/>
      <c r="C387" s="137"/>
      <c r="D387" s="139"/>
      <c r="E387" s="38"/>
      <c r="F387" s="139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142"/>
      <c r="B388" s="38"/>
      <c r="C388" s="137"/>
      <c r="D388" s="139"/>
      <c r="E388" s="38"/>
      <c r="F388" s="139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142"/>
      <c r="B389" s="38"/>
      <c r="C389" s="137"/>
      <c r="D389" s="139"/>
      <c r="E389" s="38"/>
      <c r="F389" s="139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142"/>
      <c r="B390" s="38"/>
      <c r="C390" s="137"/>
      <c r="D390" s="139"/>
      <c r="E390" s="38"/>
      <c r="F390" s="139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142"/>
      <c r="B391" s="38"/>
      <c r="C391" s="137"/>
      <c r="D391" s="139"/>
      <c r="E391" s="38"/>
      <c r="F391" s="139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142"/>
      <c r="B392" s="38"/>
      <c r="C392" s="137"/>
      <c r="D392" s="139"/>
      <c r="E392" s="38"/>
      <c r="F392" s="139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142"/>
      <c r="B393" s="38"/>
      <c r="C393" s="137"/>
      <c r="D393" s="139"/>
      <c r="E393" s="38"/>
      <c r="F393" s="139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142"/>
      <c r="B394" s="38"/>
      <c r="C394" s="137"/>
      <c r="D394" s="139"/>
      <c r="E394" s="38"/>
      <c r="F394" s="139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142"/>
      <c r="B395" s="38"/>
      <c r="C395" s="137"/>
      <c r="D395" s="139"/>
      <c r="E395" s="38"/>
      <c r="F395" s="139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142"/>
      <c r="B396" s="38"/>
      <c r="C396" s="137"/>
      <c r="D396" s="139"/>
      <c r="E396" s="38"/>
      <c r="F396" s="139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142"/>
      <c r="B397" s="38"/>
      <c r="C397" s="137"/>
      <c r="D397" s="139"/>
      <c r="E397" s="38"/>
      <c r="F397" s="139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142"/>
      <c r="B398" s="38"/>
      <c r="C398" s="137"/>
      <c r="D398" s="139"/>
      <c r="E398" s="38"/>
      <c r="F398" s="139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142"/>
      <c r="B399" s="38"/>
      <c r="C399" s="137"/>
      <c r="D399" s="139"/>
      <c r="E399" s="38"/>
      <c r="F399" s="139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142"/>
      <c r="B400" s="38"/>
      <c r="C400" s="137"/>
      <c r="D400" s="139"/>
      <c r="E400" s="38"/>
      <c r="F400" s="139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142"/>
      <c r="B401" s="38"/>
      <c r="C401" s="137"/>
      <c r="D401" s="139"/>
      <c r="E401" s="38"/>
      <c r="F401" s="139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142"/>
      <c r="B402" s="38"/>
      <c r="C402" s="137"/>
      <c r="D402" s="139"/>
      <c r="E402" s="38"/>
      <c r="F402" s="139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142"/>
      <c r="B403" s="38"/>
      <c r="C403" s="137"/>
      <c r="D403" s="139"/>
      <c r="E403" s="38"/>
      <c r="F403" s="139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142"/>
      <c r="B404" s="38"/>
      <c r="C404" s="137"/>
      <c r="D404" s="139"/>
      <c r="E404" s="38"/>
      <c r="F404" s="139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142"/>
      <c r="B405" s="38"/>
      <c r="C405" s="137"/>
      <c r="D405" s="139"/>
      <c r="E405" s="38"/>
      <c r="F405" s="139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142"/>
      <c r="B406" s="38"/>
      <c r="C406" s="137"/>
      <c r="D406" s="139"/>
      <c r="E406" s="38"/>
      <c r="F406" s="139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142"/>
      <c r="B407" s="38"/>
      <c r="C407" s="137"/>
      <c r="D407" s="139"/>
      <c r="E407" s="38"/>
      <c r="F407" s="139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142"/>
      <c r="B408" s="38"/>
      <c r="C408" s="137"/>
      <c r="D408" s="139"/>
      <c r="E408" s="38"/>
      <c r="F408" s="139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142"/>
      <c r="B409" s="38"/>
      <c r="C409" s="137"/>
      <c r="D409" s="139"/>
      <c r="E409" s="38"/>
      <c r="F409" s="139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142"/>
      <c r="B410" s="38"/>
      <c r="C410" s="137"/>
      <c r="D410" s="139"/>
      <c r="E410" s="38"/>
      <c r="F410" s="139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142"/>
      <c r="B411" s="38"/>
      <c r="C411" s="137"/>
      <c r="D411" s="139"/>
      <c r="E411" s="38"/>
      <c r="F411" s="139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142"/>
      <c r="B412" s="38"/>
      <c r="C412" s="137"/>
      <c r="D412" s="139"/>
      <c r="E412" s="38"/>
      <c r="F412" s="139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142"/>
      <c r="B413" s="38"/>
      <c r="C413" s="137"/>
      <c r="D413" s="139"/>
      <c r="E413" s="38"/>
      <c r="F413" s="139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142"/>
      <c r="B414" s="38"/>
      <c r="C414" s="137"/>
      <c r="D414" s="139"/>
      <c r="E414" s="38"/>
      <c r="F414" s="139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142"/>
      <c r="B415" s="38"/>
      <c r="C415" s="137"/>
      <c r="D415" s="139"/>
      <c r="E415" s="38"/>
      <c r="F415" s="139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142"/>
      <c r="B416" s="38"/>
      <c r="C416" s="137"/>
      <c r="D416" s="139"/>
      <c r="E416" s="38"/>
      <c r="F416" s="139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142"/>
      <c r="B417" s="38"/>
      <c r="C417" s="137"/>
      <c r="D417" s="139"/>
      <c r="E417" s="38"/>
      <c r="F417" s="139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142"/>
      <c r="B418" s="38"/>
      <c r="C418" s="137"/>
      <c r="D418" s="139"/>
      <c r="E418" s="38"/>
      <c r="F418" s="139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142"/>
      <c r="B419" s="38"/>
      <c r="C419" s="137"/>
      <c r="D419" s="139"/>
      <c r="E419" s="38"/>
      <c r="F419" s="139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142"/>
      <c r="B420" s="38"/>
      <c r="C420" s="137"/>
      <c r="D420" s="139"/>
      <c r="E420" s="38"/>
      <c r="F420" s="139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142"/>
      <c r="B421" s="38"/>
      <c r="C421" s="137"/>
      <c r="D421" s="139"/>
      <c r="E421" s="38"/>
      <c r="F421" s="139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142"/>
      <c r="B422" s="38"/>
      <c r="C422" s="137"/>
      <c r="D422" s="139"/>
      <c r="E422" s="38"/>
      <c r="F422" s="139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142"/>
      <c r="B423" s="38"/>
      <c r="C423" s="137"/>
      <c r="D423" s="139"/>
      <c r="E423" s="38"/>
      <c r="F423" s="139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142"/>
      <c r="B424" s="38"/>
      <c r="C424" s="137"/>
      <c r="D424" s="139"/>
      <c r="E424" s="38"/>
      <c r="F424" s="139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142"/>
      <c r="B425" s="38"/>
      <c r="C425" s="137"/>
      <c r="D425" s="139"/>
      <c r="E425" s="38"/>
      <c r="F425" s="139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142"/>
      <c r="B426" s="38"/>
      <c r="C426" s="137"/>
      <c r="D426" s="139"/>
      <c r="E426" s="38"/>
      <c r="F426" s="139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142"/>
      <c r="B427" s="38"/>
      <c r="C427" s="137"/>
      <c r="D427" s="139"/>
      <c r="E427" s="38"/>
      <c r="F427" s="139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142"/>
      <c r="B428" s="38"/>
      <c r="C428" s="137"/>
      <c r="D428" s="139"/>
      <c r="E428" s="38"/>
      <c r="F428" s="139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142"/>
      <c r="B429" s="38"/>
      <c r="C429" s="137"/>
      <c r="D429" s="139"/>
      <c r="E429" s="38"/>
      <c r="F429" s="139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142"/>
      <c r="B430" s="38"/>
      <c r="C430" s="137"/>
      <c r="D430" s="139"/>
      <c r="E430" s="38"/>
      <c r="F430" s="139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142"/>
      <c r="B431" s="38"/>
      <c r="C431" s="137"/>
      <c r="D431" s="139"/>
      <c r="E431" s="38"/>
      <c r="F431" s="139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142"/>
      <c r="B432" s="38"/>
      <c r="C432" s="137"/>
      <c r="D432" s="139"/>
      <c r="E432" s="38"/>
      <c r="F432" s="139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142"/>
      <c r="B433" s="38"/>
      <c r="C433" s="137"/>
      <c r="D433" s="139"/>
      <c r="E433" s="38"/>
      <c r="F433" s="139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142"/>
      <c r="B434" s="38"/>
      <c r="C434" s="137"/>
      <c r="D434" s="139"/>
      <c r="E434" s="38"/>
      <c r="F434" s="139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142"/>
      <c r="B435" s="38"/>
      <c r="C435" s="137"/>
      <c r="D435" s="139"/>
      <c r="E435" s="38"/>
      <c r="F435" s="139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142"/>
      <c r="B436" s="38"/>
      <c r="C436" s="137"/>
      <c r="D436" s="139"/>
      <c r="E436" s="38"/>
      <c r="F436" s="139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142"/>
      <c r="B437" s="38"/>
      <c r="C437" s="137"/>
      <c r="D437" s="139"/>
      <c r="E437" s="38"/>
      <c r="F437" s="139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142"/>
      <c r="B438" s="38"/>
      <c r="C438" s="137"/>
      <c r="D438" s="139"/>
      <c r="E438" s="38"/>
      <c r="F438" s="139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142"/>
      <c r="B439" s="38"/>
      <c r="C439" s="137"/>
      <c r="D439" s="139"/>
      <c r="E439" s="38"/>
      <c r="F439" s="139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142"/>
      <c r="B440" s="38"/>
      <c r="C440" s="137"/>
      <c r="D440" s="139"/>
      <c r="E440" s="38"/>
      <c r="F440" s="139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142"/>
      <c r="B441" s="38"/>
      <c r="C441" s="137"/>
      <c r="D441" s="139"/>
      <c r="E441" s="38"/>
      <c r="F441" s="139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142"/>
      <c r="B442" s="38"/>
      <c r="C442" s="137"/>
      <c r="D442" s="139"/>
      <c r="E442" s="38"/>
      <c r="F442" s="139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142"/>
      <c r="B443" s="38"/>
      <c r="C443" s="137"/>
      <c r="D443" s="139"/>
      <c r="E443" s="38"/>
      <c r="F443" s="139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142"/>
      <c r="B444" s="38"/>
      <c r="C444" s="137"/>
      <c r="D444" s="139"/>
      <c r="E444" s="38"/>
      <c r="F444" s="139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142"/>
      <c r="B445" s="38"/>
      <c r="C445" s="137"/>
      <c r="D445" s="139"/>
      <c r="E445" s="38"/>
      <c r="F445" s="139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142"/>
      <c r="B446" s="38"/>
      <c r="C446" s="137"/>
      <c r="D446" s="139"/>
      <c r="E446" s="38"/>
      <c r="F446" s="139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142"/>
      <c r="B447" s="38"/>
      <c r="C447" s="137"/>
      <c r="D447" s="139"/>
      <c r="E447" s="38"/>
      <c r="F447" s="139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142"/>
      <c r="B448" s="38"/>
      <c r="C448" s="137"/>
      <c r="D448" s="139"/>
      <c r="E448" s="38"/>
      <c r="F448" s="139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142"/>
      <c r="B449" s="38"/>
      <c r="C449" s="137"/>
      <c r="D449" s="139"/>
      <c r="E449" s="38"/>
      <c r="F449" s="139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142"/>
      <c r="B450" s="38"/>
      <c r="C450" s="137"/>
      <c r="D450" s="139"/>
      <c r="E450" s="38"/>
      <c r="F450" s="139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142"/>
      <c r="B451" s="38"/>
      <c r="C451" s="137"/>
      <c r="D451" s="139"/>
      <c r="E451" s="38"/>
      <c r="F451" s="139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142"/>
      <c r="B452" s="38"/>
      <c r="C452" s="137"/>
      <c r="D452" s="139"/>
      <c r="E452" s="38"/>
      <c r="F452" s="139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142"/>
      <c r="B453" s="38"/>
      <c r="C453" s="137"/>
      <c r="D453" s="139"/>
      <c r="E453" s="38"/>
      <c r="F453" s="139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142"/>
      <c r="B454" s="38"/>
      <c r="C454" s="137"/>
      <c r="D454" s="139"/>
      <c r="E454" s="38"/>
      <c r="F454" s="139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142"/>
      <c r="B455" s="38"/>
      <c r="C455" s="137"/>
      <c r="D455" s="139"/>
      <c r="E455" s="38"/>
      <c r="F455" s="139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142"/>
      <c r="B456" s="38"/>
      <c r="C456" s="137"/>
      <c r="D456" s="139"/>
      <c r="E456" s="38"/>
      <c r="F456" s="139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142"/>
      <c r="B457" s="38"/>
      <c r="C457" s="137"/>
      <c r="D457" s="139"/>
      <c r="E457" s="38"/>
      <c r="F457" s="139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142"/>
      <c r="B458" s="38"/>
      <c r="C458" s="137"/>
      <c r="D458" s="139"/>
      <c r="E458" s="38"/>
      <c r="F458" s="139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142"/>
      <c r="B459" s="38"/>
      <c r="C459" s="137"/>
      <c r="D459" s="139"/>
      <c r="E459" s="38"/>
      <c r="F459" s="139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142"/>
      <c r="B460" s="38"/>
      <c r="C460" s="137"/>
      <c r="D460" s="139"/>
      <c r="E460" s="38"/>
      <c r="F460" s="139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142"/>
      <c r="B461" s="38"/>
      <c r="C461" s="137"/>
      <c r="D461" s="139"/>
      <c r="E461" s="38"/>
      <c r="F461" s="139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142"/>
      <c r="B462" s="38"/>
      <c r="C462" s="137"/>
      <c r="D462" s="139"/>
      <c r="E462" s="38"/>
      <c r="F462" s="139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142"/>
      <c r="B463" s="38"/>
      <c r="C463" s="137"/>
      <c r="D463" s="139"/>
      <c r="E463" s="38"/>
      <c r="F463" s="139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142"/>
      <c r="B464" s="38"/>
      <c r="C464" s="137"/>
      <c r="D464" s="139"/>
      <c r="E464" s="38"/>
      <c r="F464" s="139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142"/>
      <c r="B465" s="38"/>
      <c r="C465" s="137"/>
      <c r="D465" s="139"/>
      <c r="E465" s="38"/>
      <c r="F465" s="139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142"/>
      <c r="B466" s="38"/>
      <c r="C466" s="137"/>
      <c r="D466" s="139"/>
      <c r="E466" s="38"/>
      <c r="F466" s="139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142"/>
      <c r="B467" s="38"/>
      <c r="C467" s="137"/>
      <c r="D467" s="139"/>
      <c r="E467" s="38"/>
      <c r="F467" s="139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142"/>
      <c r="B468" s="38"/>
      <c r="C468" s="137"/>
      <c r="D468" s="139"/>
      <c r="E468" s="38"/>
      <c r="F468" s="139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142"/>
      <c r="B469" s="38"/>
      <c r="C469" s="137"/>
      <c r="D469" s="139"/>
      <c r="E469" s="38"/>
      <c r="F469" s="139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142"/>
      <c r="B470" s="38"/>
      <c r="C470" s="137"/>
      <c r="D470" s="139"/>
      <c r="E470" s="38"/>
      <c r="F470" s="139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142"/>
      <c r="B471" s="38"/>
      <c r="C471" s="137"/>
      <c r="D471" s="139"/>
      <c r="E471" s="38"/>
      <c r="F471" s="139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142"/>
      <c r="B472" s="38"/>
      <c r="C472" s="137"/>
      <c r="D472" s="139"/>
      <c r="E472" s="38"/>
      <c r="F472" s="139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142"/>
      <c r="B473" s="38"/>
      <c r="C473" s="137"/>
      <c r="D473" s="139"/>
      <c r="E473" s="38"/>
      <c r="F473" s="139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142"/>
      <c r="B474" s="38"/>
      <c r="C474" s="137"/>
      <c r="D474" s="139"/>
      <c r="E474" s="38"/>
      <c r="F474" s="139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142"/>
      <c r="B475" s="38"/>
      <c r="C475" s="137"/>
      <c r="D475" s="139"/>
      <c r="E475" s="38"/>
      <c r="F475" s="139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142"/>
      <c r="B476" s="38"/>
      <c r="C476" s="137"/>
      <c r="D476" s="139"/>
      <c r="E476" s="38"/>
      <c r="F476" s="139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142"/>
      <c r="B477" s="38"/>
      <c r="C477" s="137"/>
      <c r="D477" s="139"/>
      <c r="E477" s="38"/>
      <c r="F477" s="139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142"/>
      <c r="B478" s="38"/>
      <c r="C478" s="137"/>
      <c r="D478" s="139"/>
      <c r="E478" s="38"/>
      <c r="F478" s="139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142"/>
      <c r="B479" s="38"/>
      <c r="C479" s="137"/>
      <c r="D479" s="139"/>
      <c r="E479" s="38"/>
      <c r="F479" s="139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142"/>
      <c r="B480" s="38"/>
      <c r="C480" s="137"/>
      <c r="D480" s="139"/>
      <c r="E480" s="38"/>
      <c r="F480" s="139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142"/>
      <c r="B481" s="38"/>
      <c r="C481" s="137"/>
      <c r="D481" s="139"/>
      <c r="E481" s="38"/>
      <c r="F481" s="139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142"/>
      <c r="B482" s="38"/>
      <c r="C482" s="137"/>
      <c r="D482" s="139"/>
      <c r="E482" s="38"/>
      <c r="F482" s="139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142"/>
      <c r="B483" s="38"/>
      <c r="C483" s="137"/>
      <c r="D483" s="139"/>
      <c r="E483" s="38"/>
      <c r="F483" s="139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142"/>
      <c r="B484" s="38"/>
      <c r="C484" s="137"/>
      <c r="D484" s="139"/>
      <c r="E484" s="38"/>
      <c r="F484" s="139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142"/>
      <c r="B485" s="38"/>
      <c r="C485" s="137"/>
      <c r="D485" s="139"/>
      <c r="E485" s="38"/>
      <c r="F485" s="139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142"/>
      <c r="B486" s="38"/>
      <c r="C486" s="137"/>
      <c r="D486" s="139"/>
      <c r="E486" s="38"/>
      <c r="F486" s="139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142"/>
      <c r="B487" s="38"/>
      <c r="C487" s="137"/>
      <c r="D487" s="139"/>
      <c r="E487" s="38"/>
      <c r="F487" s="139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142"/>
      <c r="B488" s="38"/>
      <c r="C488" s="137"/>
      <c r="D488" s="139"/>
      <c r="E488" s="38"/>
      <c r="F488" s="139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142"/>
      <c r="B489" s="38"/>
      <c r="C489" s="137"/>
      <c r="D489" s="139"/>
      <c r="E489" s="38"/>
      <c r="F489" s="139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142"/>
      <c r="B490" s="38"/>
      <c r="C490" s="137"/>
      <c r="D490" s="139"/>
      <c r="E490" s="38"/>
      <c r="F490" s="139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142"/>
      <c r="B491" s="38"/>
      <c r="C491" s="137"/>
      <c r="D491" s="139"/>
      <c r="E491" s="38"/>
      <c r="F491" s="139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142"/>
      <c r="B492" s="38"/>
      <c r="C492" s="137"/>
      <c r="D492" s="139"/>
      <c r="E492" s="38"/>
      <c r="F492" s="139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142"/>
      <c r="B493" s="38"/>
      <c r="C493" s="137"/>
      <c r="D493" s="139"/>
      <c r="E493" s="38"/>
      <c r="F493" s="139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142"/>
      <c r="B494" s="38"/>
      <c r="C494" s="137"/>
      <c r="D494" s="139"/>
      <c r="E494" s="38"/>
      <c r="F494" s="139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142"/>
      <c r="B495" s="38"/>
      <c r="C495" s="137"/>
      <c r="D495" s="139"/>
      <c r="E495" s="38"/>
      <c r="F495" s="139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142"/>
      <c r="B496" s="38"/>
      <c r="C496" s="137"/>
      <c r="D496" s="139"/>
      <c r="E496" s="38"/>
      <c r="F496" s="139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142"/>
      <c r="B497" s="38"/>
      <c r="C497" s="137"/>
      <c r="D497" s="139"/>
      <c r="E497" s="38"/>
      <c r="F497" s="139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142"/>
      <c r="B498" s="38"/>
      <c r="C498" s="137"/>
      <c r="D498" s="139"/>
      <c r="E498" s="38"/>
      <c r="F498" s="139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142"/>
      <c r="B499" s="38"/>
      <c r="C499" s="137"/>
      <c r="D499" s="139"/>
      <c r="E499" s="38"/>
      <c r="F499" s="139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142"/>
      <c r="B500" s="38"/>
      <c r="C500" s="137"/>
      <c r="D500" s="139"/>
      <c r="E500" s="38"/>
      <c r="F500" s="139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142"/>
      <c r="B501" s="38"/>
      <c r="C501" s="137"/>
      <c r="D501" s="139"/>
      <c r="E501" s="38"/>
      <c r="F501" s="139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142"/>
      <c r="B502" s="38"/>
      <c r="C502" s="137"/>
      <c r="D502" s="139"/>
      <c r="E502" s="38"/>
      <c r="F502" s="139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142"/>
      <c r="B503" s="38"/>
      <c r="C503" s="137"/>
      <c r="D503" s="139"/>
      <c r="E503" s="38"/>
      <c r="F503" s="139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142"/>
      <c r="B504" s="38"/>
      <c r="C504" s="137"/>
      <c r="D504" s="139"/>
      <c r="E504" s="38"/>
      <c r="F504" s="139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142"/>
      <c r="B505" s="38"/>
      <c r="C505" s="137"/>
      <c r="D505" s="139"/>
      <c r="E505" s="38"/>
      <c r="F505" s="139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142"/>
      <c r="B506" s="38"/>
      <c r="C506" s="137"/>
      <c r="D506" s="139"/>
      <c r="E506" s="38"/>
      <c r="F506" s="139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142"/>
      <c r="B507" s="38"/>
      <c r="C507" s="137"/>
      <c r="D507" s="139"/>
      <c r="E507" s="38"/>
      <c r="F507" s="139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142"/>
      <c r="B508" s="38"/>
      <c r="C508" s="137"/>
      <c r="D508" s="139"/>
      <c r="E508" s="38"/>
      <c r="F508" s="139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142"/>
      <c r="B509" s="38"/>
      <c r="C509" s="137"/>
      <c r="D509" s="139"/>
      <c r="E509" s="38"/>
      <c r="F509" s="139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142"/>
      <c r="B510" s="38"/>
      <c r="C510" s="137"/>
      <c r="D510" s="139"/>
      <c r="E510" s="38"/>
      <c r="F510" s="139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142"/>
      <c r="B511" s="38"/>
      <c r="C511" s="137"/>
      <c r="D511" s="139"/>
      <c r="E511" s="38"/>
      <c r="F511" s="139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142"/>
      <c r="B512" s="38"/>
      <c r="C512" s="137"/>
      <c r="D512" s="139"/>
      <c r="E512" s="38"/>
      <c r="F512" s="139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142"/>
      <c r="B513" s="38"/>
      <c r="C513" s="137"/>
      <c r="D513" s="139"/>
      <c r="E513" s="38"/>
      <c r="F513" s="139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142"/>
      <c r="B514" s="38"/>
      <c r="C514" s="137"/>
      <c r="D514" s="139"/>
      <c r="E514" s="38"/>
      <c r="F514" s="139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142"/>
      <c r="B515" s="38"/>
      <c r="C515" s="137"/>
      <c r="D515" s="139"/>
      <c r="E515" s="38"/>
      <c r="F515" s="139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142"/>
      <c r="B516" s="38"/>
      <c r="C516" s="137"/>
      <c r="D516" s="139"/>
      <c r="E516" s="38"/>
      <c r="F516" s="139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142"/>
      <c r="B517" s="38"/>
      <c r="C517" s="137"/>
      <c r="D517" s="139"/>
      <c r="E517" s="38"/>
      <c r="F517" s="139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142"/>
      <c r="B518" s="38"/>
      <c r="C518" s="137"/>
      <c r="D518" s="139"/>
      <c r="E518" s="38"/>
      <c r="F518" s="139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142"/>
      <c r="B519" s="38"/>
      <c r="C519" s="137"/>
      <c r="D519" s="139"/>
      <c r="E519" s="38"/>
      <c r="F519" s="139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142"/>
      <c r="B520" s="38"/>
      <c r="C520" s="137"/>
      <c r="D520" s="139"/>
      <c r="E520" s="38"/>
      <c r="F520" s="139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142"/>
      <c r="B521" s="38"/>
      <c r="C521" s="137"/>
      <c r="D521" s="139"/>
      <c r="E521" s="38"/>
      <c r="F521" s="139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142"/>
      <c r="B522" s="38"/>
      <c r="C522" s="137"/>
      <c r="D522" s="139"/>
      <c r="E522" s="38"/>
      <c r="F522" s="139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142"/>
      <c r="B523" s="38"/>
      <c r="C523" s="137"/>
      <c r="D523" s="139"/>
      <c r="E523" s="38"/>
      <c r="F523" s="139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142"/>
      <c r="B524" s="38"/>
      <c r="C524" s="137"/>
      <c r="D524" s="139"/>
      <c r="E524" s="38"/>
      <c r="F524" s="139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142"/>
      <c r="B525" s="38"/>
      <c r="C525" s="137"/>
      <c r="D525" s="139"/>
      <c r="E525" s="38"/>
      <c r="F525" s="139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142"/>
      <c r="B526" s="38"/>
      <c r="C526" s="137"/>
      <c r="D526" s="139"/>
      <c r="E526" s="38"/>
      <c r="F526" s="139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142"/>
      <c r="B527" s="38"/>
      <c r="C527" s="137"/>
      <c r="D527" s="139"/>
      <c r="E527" s="38"/>
      <c r="F527" s="139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142"/>
      <c r="B528" s="38"/>
      <c r="C528" s="137"/>
      <c r="D528" s="139"/>
      <c r="E528" s="38"/>
      <c r="F528" s="139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142"/>
      <c r="B529" s="38"/>
      <c r="C529" s="137"/>
      <c r="D529" s="139"/>
      <c r="E529" s="38"/>
      <c r="F529" s="139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142"/>
      <c r="B530" s="38"/>
      <c r="C530" s="137"/>
      <c r="D530" s="139"/>
      <c r="E530" s="38"/>
      <c r="F530" s="139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142"/>
      <c r="B531" s="38"/>
      <c r="C531" s="137"/>
      <c r="D531" s="139"/>
      <c r="E531" s="38"/>
      <c r="F531" s="139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142"/>
      <c r="B532" s="38"/>
      <c r="C532" s="137"/>
      <c r="D532" s="139"/>
      <c r="E532" s="38"/>
      <c r="F532" s="139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142"/>
      <c r="B533" s="38"/>
      <c r="C533" s="137"/>
      <c r="D533" s="139"/>
      <c r="E533" s="38"/>
      <c r="F533" s="139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142"/>
      <c r="B534" s="38"/>
      <c r="C534" s="137"/>
      <c r="D534" s="139"/>
      <c r="E534" s="38"/>
      <c r="F534" s="139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142"/>
      <c r="B535" s="38"/>
      <c r="C535" s="137"/>
      <c r="D535" s="139"/>
      <c r="E535" s="38"/>
      <c r="F535" s="139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142"/>
      <c r="B536" s="38"/>
      <c r="C536" s="137"/>
      <c r="D536" s="139"/>
      <c r="E536" s="38"/>
      <c r="F536" s="139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142"/>
      <c r="B537" s="38"/>
      <c r="C537" s="137"/>
      <c r="D537" s="139"/>
      <c r="E537" s="38"/>
      <c r="F537" s="139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142"/>
      <c r="B538" s="38"/>
      <c r="C538" s="137"/>
      <c r="D538" s="139"/>
      <c r="E538" s="38"/>
      <c r="F538" s="139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142"/>
      <c r="B539" s="38"/>
      <c r="C539" s="137"/>
      <c r="D539" s="139"/>
      <c r="E539" s="38"/>
      <c r="F539" s="139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142"/>
      <c r="B540" s="38"/>
      <c r="C540" s="137"/>
      <c r="D540" s="139"/>
      <c r="E540" s="38"/>
      <c r="F540" s="139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142"/>
      <c r="B541" s="38"/>
      <c r="C541" s="137"/>
      <c r="D541" s="139"/>
      <c r="E541" s="38"/>
      <c r="F541" s="139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142"/>
      <c r="B542" s="38"/>
      <c r="C542" s="137"/>
      <c r="D542" s="139"/>
      <c r="E542" s="38"/>
      <c r="F542" s="139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142"/>
      <c r="B543" s="38"/>
      <c r="C543" s="137"/>
      <c r="D543" s="139"/>
      <c r="E543" s="38"/>
      <c r="F543" s="139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142"/>
      <c r="B544" s="38"/>
      <c r="C544" s="137"/>
      <c r="D544" s="139"/>
      <c r="E544" s="38"/>
      <c r="F544" s="139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142"/>
      <c r="B545" s="38"/>
      <c r="C545" s="137"/>
      <c r="D545" s="139"/>
      <c r="E545" s="38"/>
      <c r="F545" s="139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142"/>
      <c r="B546" s="38"/>
      <c r="C546" s="137"/>
      <c r="D546" s="139"/>
      <c r="E546" s="38"/>
      <c r="F546" s="139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142"/>
      <c r="B547" s="38"/>
      <c r="C547" s="137"/>
      <c r="D547" s="139"/>
      <c r="E547" s="38"/>
      <c r="F547" s="139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142"/>
      <c r="B548" s="38"/>
      <c r="C548" s="137"/>
      <c r="D548" s="139"/>
      <c r="E548" s="38"/>
      <c r="F548" s="139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142"/>
      <c r="B549" s="38"/>
      <c r="C549" s="137"/>
      <c r="D549" s="139"/>
      <c r="E549" s="38"/>
      <c r="F549" s="139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142"/>
      <c r="B550" s="38"/>
      <c r="C550" s="137"/>
      <c r="D550" s="139"/>
      <c r="E550" s="38"/>
      <c r="F550" s="139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142"/>
      <c r="B551" s="38"/>
      <c r="C551" s="137"/>
      <c r="D551" s="139"/>
      <c r="E551" s="38"/>
      <c r="F551" s="139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142"/>
      <c r="B552" s="38"/>
      <c r="C552" s="137"/>
      <c r="D552" s="139"/>
      <c r="E552" s="38"/>
      <c r="F552" s="139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142"/>
      <c r="B553" s="38"/>
      <c r="C553" s="137"/>
      <c r="D553" s="139"/>
      <c r="E553" s="38"/>
      <c r="F553" s="139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142"/>
      <c r="B554" s="38"/>
      <c r="C554" s="137"/>
      <c r="D554" s="139"/>
      <c r="E554" s="38"/>
      <c r="F554" s="139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142"/>
      <c r="B555" s="38"/>
      <c r="C555" s="137"/>
      <c r="D555" s="139"/>
      <c r="E555" s="38"/>
      <c r="F555" s="139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142"/>
      <c r="B556" s="38"/>
      <c r="C556" s="137"/>
      <c r="D556" s="139"/>
      <c r="E556" s="38"/>
      <c r="F556" s="139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142"/>
      <c r="B557" s="38"/>
      <c r="C557" s="137"/>
      <c r="D557" s="139"/>
      <c r="E557" s="38"/>
      <c r="F557" s="139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142"/>
      <c r="B558" s="38"/>
      <c r="C558" s="137"/>
      <c r="D558" s="139"/>
      <c r="E558" s="38"/>
      <c r="F558" s="139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142"/>
      <c r="B559" s="38"/>
      <c r="C559" s="137"/>
      <c r="D559" s="139"/>
      <c r="E559" s="38"/>
      <c r="F559" s="139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142"/>
      <c r="B560" s="38"/>
      <c r="C560" s="137"/>
      <c r="D560" s="139"/>
      <c r="E560" s="38"/>
      <c r="F560" s="139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142"/>
      <c r="B561" s="38"/>
      <c r="C561" s="137"/>
      <c r="D561" s="139"/>
      <c r="E561" s="38"/>
      <c r="F561" s="139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142"/>
      <c r="B562" s="38"/>
      <c r="C562" s="137"/>
      <c r="D562" s="139"/>
      <c r="E562" s="38"/>
      <c r="F562" s="139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142"/>
      <c r="B563" s="38"/>
      <c r="C563" s="137"/>
      <c r="D563" s="139"/>
      <c r="E563" s="38"/>
      <c r="F563" s="139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142"/>
      <c r="B564" s="38"/>
      <c r="C564" s="137"/>
      <c r="D564" s="139"/>
      <c r="E564" s="38"/>
      <c r="F564" s="139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142"/>
      <c r="B565" s="38"/>
      <c r="C565" s="137"/>
      <c r="D565" s="139"/>
      <c r="E565" s="38"/>
      <c r="F565" s="139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142"/>
      <c r="B566" s="38"/>
      <c r="C566" s="137"/>
      <c r="D566" s="139"/>
      <c r="E566" s="38"/>
      <c r="F566" s="139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142"/>
      <c r="B567" s="38"/>
      <c r="C567" s="137"/>
      <c r="D567" s="139"/>
      <c r="E567" s="38"/>
      <c r="F567" s="139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142"/>
      <c r="B568" s="38"/>
      <c r="C568" s="137"/>
      <c r="D568" s="139"/>
      <c r="E568" s="38"/>
      <c r="F568" s="139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142"/>
      <c r="B569" s="38"/>
      <c r="C569" s="137"/>
      <c r="D569" s="139"/>
      <c r="E569" s="38"/>
      <c r="F569" s="139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142"/>
      <c r="B570" s="38"/>
      <c r="C570" s="137"/>
      <c r="D570" s="139"/>
      <c r="E570" s="38"/>
      <c r="F570" s="139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142"/>
      <c r="B571" s="38"/>
      <c r="C571" s="137"/>
      <c r="D571" s="139"/>
      <c r="E571" s="38"/>
      <c r="F571" s="139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142"/>
      <c r="B572" s="38"/>
      <c r="C572" s="137"/>
      <c r="D572" s="139"/>
      <c r="E572" s="38"/>
      <c r="F572" s="139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142"/>
      <c r="B573" s="38"/>
      <c r="C573" s="137"/>
      <c r="D573" s="139"/>
      <c r="E573" s="38"/>
      <c r="F573" s="139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142"/>
      <c r="B574" s="38"/>
      <c r="C574" s="137"/>
      <c r="D574" s="139"/>
      <c r="E574" s="38"/>
      <c r="F574" s="139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142"/>
      <c r="B575" s="38"/>
      <c r="C575" s="137"/>
      <c r="D575" s="139"/>
      <c r="E575" s="38"/>
      <c r="F575" s="139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142"/>
      <c r="B576" s="38"/>
      <c r="C576" s="137"/>
      <c r="D576" s="139"/>
      <c r="E576" s="38"/>
      <c r="F576" s="139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142"/>
      <c r="B577" s="38"/>
      <c r="C577" s="137"/>
      <c r="D577" s="139"/>
      <c r="E577" s="38"/>
      <c r="F577" s="139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142"/>
      <c r="B578" s="38"/>
      <c r="C578" s="137"/>
      <c r="D578" s="139"/>
      <c r="E578" s="38"/>
      <c r="F578" s="139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142"/>
      <c r="B579" s="38"/>
      <c r="C579" s="137"/>
      <c r="D579" s="139"/>
      <c r="E579" s="38"/>
      <c r="F579" s="139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142"/>
      <c r="B580" s="38"/>
      <c r="C580" s="137"/>
      <c r="D580" s="139"/>
      <c r="E580" s="38"/>
      <c r="F580" s="139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142"/>
      <c r="B581" s="38"/>
      <c r="C581" s="137"/>
      <c r="D581" s="139"/>
      <c r="E581" s="38"/>
      <c r="F581" s="139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142"/>
      <c r="B582" s="38"/>
      <c r="C582" s="137"/>
      <c r="D582" s="139"/>
      <c r="E582" s="38"/>
      <c r="F582" s="139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142"/>
      <c r="B583" s="38"/>
      <c r="C583" s="137"/>
      <c r="D583" s="139"/>
      <c r="E583" s="38"/>
      <c r="F583" s="139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142"/>
      <c r="B584" s="38"/>
      <c r="C584" s="137"/>
      <c r="D584" s="139"/>
      <c r="E584" s="38"/>
      <c r="F584" s="139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142"/>
      <c r="B585" s="38"/>
      <c r="C585" s="137"/>
      <c r="D585" s="139"/>
      <c r="E585" s="38"/>
      <c r="F585" s="139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142"/>
      <c r="B586" s="38"/>
      <c r="C586" s="137"/>
      <c r="D586" s="139"/>
      <c r="E586" s="38"/>
      <c r="F586" s="139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142"/>
      <c r="B587" s="38"/>
      <c r="C587" s="137"/>
      <c r="D587" s="139"/>
      <c r="E587" s="38"/>
      <c r="F587" s="139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142"/>
      <c r="B588" s="38"/>
      <c r="C588" s="137"/>
      <c r="D588" s="139"/>
      <c r="E588" s="38"/>
      <c r="F588" s="139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142"/>
      <c r="B589" s="38"/>
      <c r="C589" s="137"/>
      <c r="D589" s="139"/>
      <c r="E589" s="38"/>
      <c r="F589" s="139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142"/>
      <c r="B590" s="38"/>
      <c r="C590" s="137"/>
      <c r="D590" s="139"/>
      <c r="E590" s="38"/>
      <c r="F590" s="139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142"/>
      <c r="B591" s="38"/>
      <c r="C591" s="137"/>
      <c r="D591" s="139"/>
      <c r="E591" s="38"/>
      <c r="F591" s="139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142"/>
      <c r="B592" s="38"/>
      <c r="C592" s="137"/>
      <c r="D592" s="139"/>
      <c r="E592" s="38"/>
      <c r="F592" s="139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142"/>
      <c r="B593" s="38"/>
      <c r="C593" s="137"/>
      <c r="D593" s="139"/>
      <c r="E593" s="38"/>
      <c r="F593" s="139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142"/>
      <c r="B594" s="38"/>
      <c r="C594" s="137"/>
      <c r="D594" s="139"/>
      <c r="E594" s="38"/>
      <c r="F594" s="139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142"/>
      <c r="B595" s="38"/>
      <c r="C595" s="137"/>
      <c r="D595" s="139"/>
      <c r="E595" s="38"/>
      <c r="F595" s="139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142"/>
      <c r="B596" s="38"/>
      <c r="C596" s="137"/>
      <c r="D596" s="139"/>
      <c r="E596" s="38"/>
      <c r="F596" s="139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142"/>
      <c r="B597" s="38"/>
      <c r="C597" s="137"/>
      <c r="D597" s="139"/>
      <c r="E597" s="38"/>
      <c r="F597" s="139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142"/>
      <c r="B598" s="38"/>
      <c r="C598" s="137"/>
      <c r="D598" s="139"/>
      <c r="E598" s="38"/>
      <c r="F598" s="139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142"/>
      <c r="B599" s="38"/>
      <c r="C599" s="137"/>
      <c r="D599" s="139"/>
      <c r="E599" s="38"/>
      <c r="F599" s="139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142"/>
      <c r="B600" s="38"/>
      <c r="C600" s="137"/>
      <c r="D600" s="139"/>
      <c r="E600" s="38"/>
      <c r="F600" s="139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142"/>
      <c r="B601" s="38"/>
      <c r="C601" s="137"/>
      <c r="D601" s="139"/>
      <c r="E601" s="38"/>
      <c r="F601" s="139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142"/>
      <c r="B602" s="38"/>
      <c r="C602" s="137"/>
      <c r="D602" s="139"/>
      <c r="E602" s="38"/>
      <c r="F602" s="139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142"/>
      <c r="B603" s="38"/>
      <c r="C603" s="137"/>
      <c r="D603" s="139"/>
      <c r="E603" s="38"/>
      <c r="F603" s="139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142"/>
      <c r="B604" s="38"/>
      <c r="C604" s="137"/>
      <c r="D604" s="139"/>
      <c r="E604" s="38"/>
      <c r="F604" s="139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142"/>
      <c r="B605" s="38"/>
      <c r="C605" s="137"/>
      <c r="D605" s="139"/>
      <c r="E605" s="38"/>
      <c r="F605" s="139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142"/>
      <c r="B606" s="38"/>
      <c r="C606" s="137"/>
      <c r="D606" s="139"/>
      <c r="E606" s="38"/>
      <c r="F606" s="139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142"/>
      <c r="B607" s="38"/>
      <c r="C607" s="137"/>
      <c r="D607" s="139"/>
      <c r="E607" s="38"/>
      <c r="F607" s="139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142"/>
      <c r="B608" s="38"/>
      <c r="C608" s="137"/>
      <c r="D608" s="139"/>
      <c r="E608" s="38"/>
      <c r="F608" s="139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142"/>
      <c r="B609" s="38"/>
      <c r="C609" s="137"/>
      <c r="D609" s="139"/>
      <c r="E609" s="38"/>
      <c r="F609" s="139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142"/>
      <c r="B610" s="38"/>
      <c r="C610" s="137"/>
      <c r="D610" s="139"/>
      <c r="E610" s="38"/>
      <c r="F610" s="139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142"/>
      <c r="B611" s="38"/>
      <c r="C611" s="137"/>
      <c r="D611" s="139"/>
      <c r="E611" s="38"/>
      <c r="F611" s="139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142"/>
      <c r="B612" s="38"/>
      <c r="C612" s="137"/>
      <c r="D612" s="139"/>
      <c r="E612" s="38"/>
      <c r="F612" s="139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142"/>
      <c r="B613" s="38"/>
      <c r="C613" s="137"/>
      <c r="D613" s="139"/>
      <c r="E613" s="38"/>
      <c r="F613" s="139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142"/>
      <c r="B614" s="38"/>
      <c r="C614" s="137"/>
      <c r="D614" s="139"/>
      <c r="E614" s="38"/>
      <c r="F614" s="139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142"/>
      <c r="B615" s="38"/>
      <c r="C615" s="137"/>
      <c r="D615" s="139"/>
      <c r="E615" s="38"/>
      <c r="F615" s="139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142"/>
      <c r="B616" s="38"/>
      <c r="C616" s="137"/>
      <c r="D616" s="139"/>
      <c r="E616" s="38"/>
      <c r="F616" s="139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142"/>
      <c r="B617" s="38"/>
      <c r="C617" s="137"/>
      <c r="D617" s="139"/>
      <c r="E617" s="38"/>
      <c r="F617" s="139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142"/>
      <c r="B618" s="38"/>
      <c r="C618" s="137"/>
      <c r="D618" s="139"/>
      <c r="E618" s="38"/>
      <c r="F618" s="139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142"/>
      <c r="B619" s="38"/>
      <c r="C619" s="137"/>
      <c r="D619" s="139"/>
      <c r="E619" s="38"/>
      <c r="F619" s="139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142"/>
      <c r="B620" s="38"/>
      <c r="C620" s="137"/>
      <c r="D620" s="139"/>
      <c r="E620" s="38"/>
      <c r="F620" s="139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142"/>
      <c r="B621" s="38"/>
      <c r="C621" s="137"/>
      <c r="D621" s="139"/>
      <c r="E621" s="38"/>
      <c r="F621" s="139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142"/>
      <c r="B622" s="38"/>
      <c r="C622" s="137"/>
      <c r="D622" s="139"/>
      <c r="E622" s="38"/>
      <c r="F622" s="139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142"/>
      <c r="B623" s="38"/>
      <c r="C623" s="137"/>
      <c r="D623" s="139"/>
      <c r="E623" s="38"/>
      <c r="F623" s="139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142"/>
      <c r="B624" s="38"/>
      <c r="C624" s="137"/>
      <c r="D624" s="139"/>
      <c r="E624" s="38"/>
      <c r="F624" s="139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142"/>
      <c r="B625" s="38"/>
      <c r="C625" s="137"/>
      <c r="D625" s="139"/>
      <c r="E625" s="38"/>
      <c r="F625" s="139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142"/>
      <c r="B626" s="38"/>
      <c r="C626" s="137"/>
      <c r="D626" s="139"/>
      <c r="E626" s="38"/>
      <c r="F626" s="139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142"/>
      <c r="B627" s="38"/>
      <c r="C627" s="137"/>
      <c r="D627" s="139"/>
      <c r="E627" s="38"/>
      <c r="F627" s="139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142"/>
      <c r="B628" s="38"/>
      <c r="C628" s="137"/>
      <c r="D628" s="139"/>
      <c r="E628" s="38"/>
      <c r="F628" s="139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142"/>
      <c r="B629" s="38"/>
      <c r="C629" s="137"/>
      <c r="D629" s="139"/>
      <c r="E629" s="38"/>
      <c r="F629" s="139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142"/>
      <c r="B630" s="38"/>
      <c r="C630" s="137"/>
      <c r="D630" s="139"/>
      <c r="E630" s="38"/>
      <c r="F630" s="139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142"/>
      <c r="B631" s="38"/>
      <c r="C631" s="137"/>
      <c r="D631" s="139"/>
      <c r="E631" s="38"/>
      <c r="F631" s="139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142"/>
      <c r="B632" s="38"/>
      <c r="C632" s="137"/>
      <c r="D632" s="139"/>
      <c r="E632" s="38"/>
      <c r="F632" s="139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142"/>
      <c r="B633" s="38"/>
      <c r="C633" s="137"/>
      <c r="D633" s="139"/>
      <c r="E633" s="38"/>
      <c r="F633" s="139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142"/>
      <c r="B634" s="38"/>
      <c r="C634" s="137"/>
      <c r="D634" s="139"/>
      <c r="E634" s="38"/>
      <c r="F634" s="139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142"/>
      <c r="B635" s="38"/>
      <c r="C635" s="137"/>
      <c r="D635" s="139"/>
      <c r="E635" s="38"/>
      <c r="F635" s="139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142"/>
      <c r="B636" s="38"/>
      <c r="C636" s="137"/>
      <c r="D636" s="139"/>
      <c r="E636" s="38"/>
      <c r="F636" s="139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142"/>
      <c r="B637" s="38"/>
      <c r="C637" s="137"/>
      <c r="D637" s="139"/>
      <c r="E637" s="38"/>
      <c r="F637" s="139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142"/>
      <c r="B638" s="38"/>
      <c r="C638" s="137"/>
      <c r="D638" s="139"/>
      <c r="E638" s="38"/>
      <c r="F638" s="139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142"/>
      <c r="B639" s="38"/>
      <c r="C639" s="137"/>
      <c r="D639" s="139"/>
      <c r="E639" s="38"/>
      <c r="F639" s="139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142"/>
      <c r="B640" s="38"/>
      <c r="C640" s="137"/>
      <c r="D640" s="139"/>
      <c r="E640" s="38"/>
      <c r="F640" s="139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142"/>
      <c r="B641" s="38"/>
      <c r="C641" s="137"/>
      <c r="D641" s="139"/>
      <c r="E641" s="38"/>
      <c r="F641" s="139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142"/>
      <c r="B642" s="38"/>
      <c r="C642" s="137"/>
      <c r="D642" s="139"/>
      <c r="E642" s="38"/>
      <c r="F642" s="139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142"/>
      <c r="B643" s="38"/>
      <c r="C643" s="137"/>
      <c r="D643" s="139"/>
      <c r="E643" s="38"/>
      <c r="F643" s="139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142"/>
      <c r="B644" s="38"/>
      <c r="C644" s="137"/>
      <c r="D644" s="139"/>
      <c r="E644" s="38"/>
      <c r="F644" s="139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142"/>
      <c r="B645" s="38"/>
      <c r="C645" s="137"/>
      <c r="D645" s="139"/>
      <c r="E645" s="38"/>
      <c r="F645" s="139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142"/>
      <c r="B646" s="38"/>
      <c r="C646" s="137"/>
      <c r="D646" s="139"/>
      <c r="E646" s="38"/>
      <c r="F646" s="139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142"/>
      <c r="B647" s="38"/>
      <c r="C647" s="137"/>
      <c r="D647" s="139"/>
      <c r="E647" s="38"/>
      <c r="F647" s="139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142"/>
      <c r="B648" s="38"/>
      <c r="C648" s="137"/>
      <c r="D648" s="139"/>
      <c r="E648" s="38"/>
      <c r="F648" s="139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142"/>
      <c r="B649" s="38"/>
      <c r="C649" s="137"/>
      <c r="D649" s="139"/>
      <c r="E649" s="38"/>
      <c r="F649" s="139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142"/>
      <c r="B650" s="38"/>
      <c r="C650" s="137"/>
      <c r="D650" s="139"/>
      <c r="E650" s="38"/>
      <c r="F650" s="139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142"/>
      <c r="B651" s="38"/>
      <c r="C651" s="137"/>
      <c r="D651" s="139"/>
      <c r="E651" s="38"/>
      <c r="F651" s="139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142"/>
      <c r="B652" s="38"/>
      <c r="C652" s="137"/>
      <c r="D652" s="139"/>
      <c r="E652" s="38"/>
      <c r="F652" s="139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142"/>
      <c r="B653" s="38"/>
      <c r="C653" s="137"/>
      <c r="D653" s="139"/>
      <c r="E653" s="38"/>
      <c r="F653" s="139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142"/>
      <c r="B654" s="38"/>
      <c r="C654" s="137"/>
      <c r="D654" s="139"/>
      <c r="E654" s="38"/>
      <c r="F654" s="139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142"/>
      <c r="B655" s="38"/>
      <c r="C655" s="137"/>
      <c r="D655" s="139"/>
      <c r="E655" s="38"/>
      <c r="F655" s="139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142"/>
      <c r="B656" s="38"/>
      <c r="C656" s="137"/>
      <c r="D656" s="139"/>
      <c r="E656" s="38"/>
      <c r="F656" s="139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142"/>
      <c r="B657" s="38"/>
      <c r="C657" s="137"/>
      <c r="D657" s="139"/>
      <c r="E657" s="38"/>
      <c r="F657" s="139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142"/>
      <c r="B658" s="38"/>
      <c r="C658" s="137"/>
      <c r="D658" s="139"/>
      <c r="E658" s="38"/>
      <c r="F658" s="139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142"/>
      <c r="B659" s="38"/>
      <c r="C659" s="137"/>
      <c r="D659" s="139"/>
      <c r="E659" s="38"/>
      <c r="F659" s="139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142"/>
      <c r="B660" s="38"/>
      <c r="C660" s="137"/>
      <c r="D660" s="139"/>
      <c r="E660" s="38"/>
      <c r="F660" s="139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142"/>
      <c r="B661" s="38"/>
      <c r="C661" s="137"/>
      <c r="D661" s="139"/>
      <c r="E661" s="38"/>
      <c r="F661" s="139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142"/>
      <c r="B662" s="38"/>
      <c r="C662" s="137"/>
      <c r="D662" s="139"/>
      <c r="E662" s="38"/>
      <c r="F662" s="139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142"/>
      <c r="B663" s="38"/>
      <c r="C663" s="137"/>
      <c r="D663" s="139"/>
      <c r="E663" s="38"/>
      <c r="F663" s="139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142"/>
      <c r="B664" s="38"/>
      <c r="C664" s="137"/>
      <c r="D664" s="139"/>
      <c r="E664" s="38"/>
      <c r="F664" s="139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142"/>
      <c r="B665" s="38"/>
      <c r="C665" s="137"/>
      <c r="D665" s="139"/>
      <c r="E665" s="38"/>
      <c r="F665" s="139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142"/>
      <c r="B666" s="38"/>
      <c r="C666" s="137"/>
      <c r="D666" s="139"/>
      <c r="E666" s="38"/>
      <c r="F666" s="139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142"/>
      <c r="B667" s="38"/>
      <c r="C667" s="137"/>
      <c r="D667" s="139"/>
      <c r="E667" s="38"/>
      <c r="F667" s="139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142"/>
      <c r="B668" s="38"/>
      <c r="C668" s="137"/>
      <c r="D668" s="139"/>
      <c r="E668" s="38"/>
      <c r="F668" s="139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142"/>
      <c r="B669" s="38"/>
      <c r="C669" s="137"/>
      <c r="D669" s="139"/>
      <c r="E669" s="38"/>
      <c r="F669" s="139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142"/>
      <c r="B670" s="38"/>
      <c r="C670" s="137"/>
      <c r="D670" s="139"/>
      <c r="E670" s="38"/>
      <c r="F670" s="139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142"/>
      <c r="B671" s="38"/>
      <c r="C671" s="137"/>
      <c r="D671" s="139"/>
      <c r="E671" s="38"/>
      <c r="F671" s="139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142"/>
      <c r="B672" s="38"/>
      <c r="C672" s="137"/>
      <c r="D672" s="139"/>
      <c r="E672" s="38"/>
      <c r="F672" s="139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142"/>
      <c r="B673" s="38"/>
      <c r="C673" s="137"/>
      <c r="D673" s="139"/>
      <c r="E673" s="38"/>
      <c r="F673" s="139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142"/>
      <c r="B674" s="38"/>
      <c r="C674" s="137"/>
      <c r="D674" s="139"/>
      <c r="E674" s="38"/>
      <c r="F674" s="139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142"/>
      <c r="B675" s="38"/>
      <c r="C675" s="137"/>
      <c r="D675" s="139"/>
      <c r="E675" s="38"/>
      <c r="F675" s="139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142"/>
      <c r="B676" s="38"/>
      <c r="C676" s="137"/>
      <c r="D676" s="139"/>
      <c r="E676" s="38"/>
      <c r="F676" s="139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142"/>
      <c r="B677" s="38"/>
      <c r="C677" s="137"/>
      <c r="D677" s="139"/>
      <c r="E677" s="38"/>
      <c r="F677" s="139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142"/>
      <c r="B678" s="38"/>
      <c r="C678" s="137"/>
      <c r="D678" s="139"/>
      <c r="E678" s="38"/>
      <c r="F678" s="139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142"/>
      <c r="B679" s="38"/>
      <c r="C679" s="137"/>
      <c r="D679" s="139"/>
      <c r="E679" s="38"/>
      <c r="F679" s="139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142"/>
      <c r="B680" s="38"/>
      <c r="C680" s="137"/>
      <c r="D680" s="139"/>
      <c r="E680" s="38"/>
      <c r="F680" s="139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142"/>
      <c r="B681" s="38"/>
      <c r="C681" s="137"/>
      <c r="D681" s="139"/>
      <c r="E681" s="38"/>
      <c r="F681" s="139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142"/>
      <c r="B682" s="38"/>
      <c r="C682" s="137"/>
      <c r="D682" s="139"/>
      <c r="E682" s="38"/>
      <c r="F682" s="139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142"/>
      <c r="B683" s="38"/>
      <c r="C683" s="137"/>
      <c r="D683" s="139"/>
      <c r="E683" s="38"/>
      <c r="F683" s="139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142"/>
      <c r="B684" s="38"/>
      <c r="C684" s="137"/>
      <c r="D684" s="139"/>
      <c r="E684" s="38"/>
      <c r="F684" s="139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142"/>
      <c r="B685" s="38"/>
      <c r="C685" s="137"/>
      <c r="D685" s="139"/>
      <c r="E685" s="38"/>
      <c r="F685" s="139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142"/>
      <c r="B686" s="38"/>
      <c r="C686" s="137"/>
      <c r="D686" s="139"/>
      <c r="E686" s="38"/>
      <c r="F686" s="139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142"/>
      <c r="B687" s="38"/>
      <c r="C687" s="137"/>
      <c r="D687" s="139"/>
      <c r="E687" s="38"/>
      <c r="F687" s="139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142"/>
      <c r="B688" s="38"/>
      <c r="C688" s="137"/>
      <c r="D688" s="139"/>
      <c r="E688" s="38"/>
      <c r="F688" s="139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142"/>
      <c r="B689" s="38"/>
      <c r="C689" s="137"/>
      <c r="D689" s="139"/>
      <c r="E689" s="38"/>
      <c r="F689" s="139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142"/>
      <c r="B690" s="38"/>
      <c r="C690" s="137"/>
      <c r="D690" s="139"/>
      <c r="E690" s="38"/>
      <c r="F690" s="139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142"/>
      <c r="B691" s="38"/>
      <c r="C691" s="137"/>
      <c r="D691" s="139"/>
      <c r="E691" s="38"/>
      <c r="F691" s="139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142"/>
      <c r="B692" s="38"/>
      <c r="C692" s="137"/>
      <c r="D692" s="139"/>
      <c r="E692" s="38"/>
      <c r="F692" s="139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142"/>
      <c r="B693" s="38"/>
      <c r="C693" s="137"/>
      <c r="D693" s="139"/>
      <c r="E693" s="38"/>
      <c r="F693" s="139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142"/>
      <c r="B694" s="38"/>
      <c r="C694" s="137"/>
      <c r="D694" s="139"/>
      <c r="E694" s="38"/>
      <c r="F694" s="139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142"/>
      <c r="B695" s="38"/>
      <c r="C695" s="137"/>
      <c r="D695" s="139"/>
      <c r="E695" s="38"/>
      <c r="F695" s="139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142"/>
      <c r="B696" s="38"/>
      <c r="C696" s="137"/>
      <c r="D696" s="139"/>
      <c r="E696" s="38"/>
      <c r="F696" s="139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142"/>
      <c r="B697" s="38"/>
      <c r="C697" s="137"/>
      <c r="D697" s="139"/>
      <c r="E697" s="38"/>
      <c r="F697" s="139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142"/>
      <c r="B698" s="38"/>
      <c r="C698" s="137"/>
      <c r="D698" s="139"/>
      <c r="E698" s="38"/>
      <c r="F698" s="139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142"/>
      <c r="B699" s="38"/>
      <c r="C699" s="137"/>
      <c r="D699" s="139"/>
      <c r="E699" s="38"/>
      <c r="F699" s="139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142"/>
      <c r="B700" s="38"/>
      <c r="C700" s="137"/>
      <c r="D700" s="139"/>
      <c r="E700" s="38"/>
      <c r="F700" s="139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142"/>
      <c r="B701" s="38"/>
      <c r="C701" s="137"/>
      <c r="D701" s="139"/>
      <c r="E701" s="38"/>
      <c r="F701" s="139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142"/>
      <c r="B702" s="38"/>
      <c r="C702" s="137"/>
      <c r="D702" s="139"/>
      <c r="E702" s="38"/>
      <c r="F702" s="139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142"/>
      <c r="B703" s="38"/>
      <c r="C703" s="137"/>
      <c r="D703" s="139"/>
      <c r="E703" s="38"/>
      <c r="F703" s="139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142"/>
      <c r="B704" s="38"/>
      <c r="C704" s="137"/>
      <c r="D704" s="139"/>
      <c r="E704" s="38"/>
      <c r="F704" s="139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142"/>
      <c r="B705" s="38"/>
      <c r="C705" s="137"/>
      <c r="D705" s="139"/>
      <c r="E705" s="38"/>
      <c r="F705" s="139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142"/>
      <c r="B706" s="38"/>
      <c r="C706" s="137"/>
      <c r="D706" s="139"/>
      <c r="E706" s="38"/>
      <c r="F706" s="139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142"/>
      <c r="B707" s="38"/>
      <c r="C707" s="137"/>
      <c r="D707" s="139"/>
      <c r="E707" s="38"/>
      <c r="F707" s="139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142"/>
      <c r="B708" s="38"/>
      <c r="C708" s="137"/>
      <c r="D708" s="139"/>
      <c r="E708" s="38"/>
      <c r="F708" s="139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142"/>
      <c r="B709" s="38"/>
      <c r="C709" s="137"/>
      <c r="D709" s="139"/>
      <c r="E709" s="38"/>
      <c r="F709" s="139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142"/>
      <c r="B710" s="38"/>
      <c r="C710" s="137"/>
      <c r="D710" s="139"/>
      <c r="E710" s="38"/>
      <c r="F710" s="139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142"/>
      <c r="B711" s="38"/>
      <c r="C711" s="137"/>
      <c r="D711" s="139"/>
      <c r="E711" s="38"/>
      <c r="F711" s="139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142"/>
      <c r="B712" s="38"/>
      <c r="C712" s="137"/>
      <c r="D712" s="139"/>
      <c r="E712" s="38"/>
      <c r="F712" s="139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142"/>
      <c r="B713" s="38"/>
      <c r="C713" s="137"/>
      <c r="D713" s="139"/>
      <c r="E713" s="38"/>
      <c r="F713" s="139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142"/>
      <c r="B714" s="38"/>
      <c r="C714" s="137"/>
      <c r="D714" s="139"/>
      <c r="E714" s="38"/>
      <c r="F714" s="139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142"/>
      <c r="B715" s="38"/>
      <c r="C715" s="137"/>
      <c r="D715" s="139"/>
      <c r="E715" s="38"/>
      <c r="F715" s="139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142"/>
      <c r="B716" s="38"/>
      <c r="C716" s="137"/>
      <c r="D716" s="139"/>
      <c r="E716" s="38"/>
      <c r="F716" s="139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142"/>
      <c r="B717" s="38"/>
      <c r="C717" s="137"/>
      <c r="D717" s="139"/>
      <c r="E717" s="38"/>
      <c r="F717" s="139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142"/>
      <c r="B718" s="38"/>
      <c r="C718" s="137"/>
      <c r="D718" s="139"/>
      <c r="E718" s="38"/>
      <c r="F718" s="139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142"/>
      <c r="B719" s="38"/>
      <c r="C719" s="137"/>
      <c r="D719" s="139"/>
      <c r="E719" s="38"/>
      <c r="F719" s="139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142"/>
      <c r="B720" s="38"/>
      <c r="C720" s="137"/>
      <c r="D720" s="139"/>
      <c r="E720" s="38"/>
      <c r="F720" s="139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142"/>
      <c r="B721" s="38"/>
      <c r="C721" s="137"/>
      <c r="D721" s="139"/>
      <c r="E721" s="38"/>
      <c r="F721" s="139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142"/>
      <c r="B722" s="38"/>
      <c r="C722" s="137"/>
      <c r="D722" s="139"/>
      <c r="E722" s="38"/>
      <c r="F722" s="139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142"/>
      <c r="B723" s="38"/>
      <c r="C723" s="137"/>
      <c r="D723" s="139"/>
      <c r="E723" s="38"/>
      <c r="F723" s="139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142"/>
      <c r="B724" s="38"/>
      <c r="C724" s="137"/>
      <c r="D724" s="139"/>
      <c r="E724" s="38"/>
      <c r="F724" s="139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142"/>
      <c r="B725" s="38"/>
      <c r="C725" s="137"/>
      <c r="D725" s="139"/>
      <c r="E725" s="38"/>
      <c r="F725" s="139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142"/>
      <c r="B726" s="38"/>
      <c r="C726" s="137"/>
      <c r="D726" s="139"/>
      <c r="E726" s="38"/>
      <c r="F726" s="139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142"/>
      <c r="B727" s="38"/>
      <c r="C727" s="137"/>
      <c r="D727" s="139"/>
      <c r="E727" s="38"/>
      <c r="F727" s="139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142"/>
      <c r="B728" s="38"/>
      <c r="C728" s="137"/>
      <c r="D728" s="139"/>
      <c r="E728" s="38"/>
      <c r="F728" s="139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142"/>
      <c r="B729" s="38"/>
      <c r="C729" s="137"/>
      <c r="D729" s="139"/>
      <c r="E729" s="38"/>
      <c r="F729" s="139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142"/>
      <c r="B730" s="38"/>
      <c r="C730" s="137"/>
      <c r="D730" s="139"/>
      <c r="E730" s="38"/>
      <c r="F730" s="139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142"/>
      <c r="B731" s="38"/>
      <c r="C731" s="137"/>
      <c r="D731" s="139"/>
      <c r="E731" s="38"/>
      <c r="F731" s="139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142"/>
      <c r="B732" s="38"/>
      <c r="C732" s="137"/>
      <c r="D732" s="139"/>
      <c r="E732" s="38"/>
      <c r="F732" s="139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142"/>
      <c r="B733" s="38"/>
      <c r="C733" s="137"/>
      <c r="D733" s="139"/>
      <c r="E733" s="38"/>
      <c r="F733" s="139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142"/>
      <c r="B734" s="38"/>
      <c r="C734" s="137"/>
      <c r="D734" s="139"/>
      <c r="E734" s="38"/>
      <c r="F734" s="139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142"/>
      <c r="B735" s="38"/>
      <c r="C735" s="137"/>
      <c r="D735" s="139"/>
      <c r="E735" s="38"/>
      <c r="F735" s="139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142"/>
      <c r="B736" s="38"/>
      <c r="C736" s="137"/>
      <c r="D736" s="139"/>
      <c r="E736" s="38"/>
      <c r="F736" s="139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142"/>
      <c r="B737" s="38"/>
      <c r="C737" s="137"/>
      <c r="D737" s="139"/>
      <c r="E737" s="38"/>
      <c r="F737" s="139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142"/>
      <c r="B738" s="38"/>
      <c r="C738" s="137"/>
      <c r="D738" s="139"/>
      <c r="E738" s="38"/>
      <c r="F738" s="139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142"/>
      <c r="B739" s="38"/>
      <c r="C739" s="137"/>
      <c r="D739" s="139"/>
      <c r="E739" s="38"/>
      <c r="F739" s="139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142"/>
      <c r="B740" s="38"/>
      <c r="C740" s="137"/>
      <c r="D740" s="139"/>
      <c r="E740" s="38"/>
      <c r="F740" s="139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142"/>
      <c r="B741" s="38"/>
      <c r="C741" s="137"/>
      <c r="D741" s="139"/>
      <c r="E741" s="38"/>
      <c r="F741" s="139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142"/>
      <c r="B742" s="38"/>
      <c r="C742" s="137"/>
      <c r="D742" s="139"/>
      <c r="E742" s="38"/>
      <c r="F742" s="139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142"/>
      <c r="B743" s="38"/>
      <c r="C743" s="137"/>
      <c r="D743" s="139"/>
      <c r="E743" s="38"/>
      <c r="F743" s="139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142"/>
      <c r="B744" s="38"/>
      <c r="C744" s="137"/>
      <c r="D744" s="139"/>
      <c r="E744" s="38"/>
      <c r="F744" s="139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142"/>
      <c r="B745" s="38"/>
      <c r="C745" s="137"/>
      <c r="D745" s="139"/>
      <c r="E745" s="38"/>
      <c r="F745" s="139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142"/>
      <c r="B746" s="38"/>
      <c r="C746" s="137"/>
      <c r="D746" s="139"/>
      <c r="E746" s="38"/>
      <c r="F746" s="139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142"/>
      <c r="B747" s="38"/>
      <c r="C747" s="137"/>
      <c r="D747" s="139"/>
      <c r="E747" s="38"/>
      <c r="F747" s="139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142"/>
      <c r="B748" s="38"/>
      <c r="C748" s="137"/>
      <c r="D748" s="139"/>
      <c r="E748" s="38"/>
      <c r="F748" s="139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142"/>
      <c r="B749" s="38"/>
      <c r="C749" s="137"/>
      <c r="D749" s="139"/>
      <c r="E749" s="38"/>
      <c r="F749" s="139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142"/>
      <c r="B750" s="38"/>
      <c r="C750" s="137"/>
      <c r="D750" s="139"/>
      <c r="E750" s="38"/>
      <c r="F750" s="139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142"/>
      <c r="B751" s="38"/>
      <c r="C751" s="137"/>
      <c r="D751" s="139"/>
      <c r="E751" s="38"/>
      <c r="F751" s="139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142"/>
      <c r="B752" s="38"/>
      <c r="C752" s="137"/>
      <c r="D752" s="139"/>
      <c r="E752" s="38"/>
      <c r="F752" s="139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142"/>
      <c r="B753" s="38"/>
      <c r="C753" s="137"/>
      <c r="D753" s="139"/>
      <c r="E753" s="38"/>
      <c r="F753" s="139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142"/>
      <c r="B754" s="38"/>
      <c r="C754" s="137"/>
      <c r="D754" s="139"/>
      <c r="E754" s="38"/>
      <c r="F754" s="139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142"/>
      <c r="B755" s="38"/>
      <c r="C755" s="137"/>
      <c r="D755" s="139"/>
      <c r="E755" s="38"/>
      <c r="F755" s="139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142"/>
      <c r="B756" s="38"/>
      <c r="C756" s="137"/>
      <c r="D756" s="139"/>
      <c r="E756" s="38"/>
      <c r="F756" s="139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142"/>
      <c r="B757" s="38"/>
      <c r="C757" s="137"/>
      <c r="D757" s="139"/>
      <c r="E757" s="38"/>
      <c r="F757" s="139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142"/>
      <c r="B758" s="38"/>
      <c r="C758" s="137"/>
      <c r="D758" s="139"/>
      <c r="E758" s="38"/>
      <c r="F758" s="139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142"/>
      <c r="B759" s="38"/>
      <c r="C759" s="137"/>
      <c r="D759" s="139"/>
      <c r="E759" s="38"/>
      <c r="F759" s="139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142"/>
      <c r="B760" s="38"/>
      <c r="C760" s="137"/>
      <c r="D760" s="139"/>
      <c r="E760" s="38"/>
      <c r="F760" s="139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142"/>
      <c r="B761" s="38"/>
      <c r="C761" s="137"/>
      <c r="D761" s="139"/>
      <c r="E761" s="38"/>
      <c r="F761" s="139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142"/>
      <c r="B762" s="38"/>
      <c r="C762" s="137"/>
      <c r="D762" s="139"/>
      <c r="E762" s="38"/>
      <c r="F762" s="139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142"/>
      <c r="B763" s="38"/>
      <c r="C763" s="137"/>
      <c r="D763" s="139"/>
      <c r="E763" s="38"/>
      <c r="F763" s="139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142"/>
      <c r="B764" s="38"/>
      <c r="C764" s="137"/>
      <c r="D764" s="139"/>
      <c r="E764" s="38"/>
      <c r="F764" s="139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142"/>
      <c r="B765" s="38"/>
      <c r="C765" s="137"/>
      <c r="D765" s="139"/>
      <c r="E765" s="38"/>
      <c r="F765" s="139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142"/>
      <c r="B766" s="38"/>
      <c r="C766" s="137"/>
      <c r="D766" s="139"/>
      <c r="E766" s="38"/>
      <c r="F766" s="139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142"/>
      <c r="B767" s="38"/>
      <c r="C767" s="137"/>
      <c r="D767" s="139"/>
      <c r="E767" s="38"/>
      <c r="F767" s="139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142"/>
      <c r="B768" s="38"/>
      <c r="C768" s="137"/>
      <c r="D768" s="139"/>
      <c r="E768" s="38"/>
      <c r="F768" s="139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142"/>
      <c r="B769" s="38"/>
      <c r="C769" s="137"/>
      <c r="D769" s="139"/>
      <c r="E769" s="38"/>
      <c r="F769" s="139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142"/>
      <c r="B770" s="38"/>
      <c r="C770" s="137"/>
      <c r="D770" s="139"/>
      <c r="E770" s="38"/>
      <c r="F770" s="139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142"/>
      <c r="B771" s="38"/>
      <c r="C771" s="137"/>
      <c r="D771" s="139"/>
      <c r="E771" s="38"/>
      <c r="F771" s="139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142"/>
      <c r="B772" s="38"/>
      <c r="C772" s="137"/>
      <c r="D772" s="139"/>
      <c r="E772" s="38"/>
      <c r="F772" s="139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142"/>
      <c r="B773" s="38"/>
      <c r="C773" s="137"/>
      <c r="D773" s="139"/>
      <c r="E773" s="38"/>
      <c r="F773" s="139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142"/>
      <c r="B774" s="38"/>
      <c r="C774" s="137"/>
      <c r="D774" s="139"/>
      <c r="E774" s="38"/>
      <c r="F774" s="139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142"/>
      <c r="B775" s="38"/>
      <c r="C775" s="137"/>
      <c r="D775" s="139"/>
      <c r="E775" s="38"/>
      <c r="F775" s="139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142"/>
      <c r="B776" s="38"/>
      <c r="C776" s="137"/>
      <c r="D776" s="139"/>
      <c r="E776" s="38"/>
      <c r="F776" s="139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142"/>
      <c r="B777" s="38"/>
      <c r="C777" s="137"/>
      <c r="D777" s="139"/>
      <c r="E777" s="38"/>
      <c r="F777" s="139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142"/>
      <c r="B778" s="38"/>
      <c r="C778" s="137"/>
      <c r="D778" s="139"/>
      <c r="E778" s="38"/>
      <c r="F778" s="139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142"/>
      <c r="B779" s="38"/>
      <c r="C779" s="137"/>
      <c r="D779" s="139"/>
      <c r="E779" s="38"/>
      <c r="F779" s="139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142"/>
      <c r="B780" s="38"/>
      <c r="C780" s="137"/>
      <c r="D780" s="139"/>
      <c r="E780" s="38"/>
      <c r="F780" s="139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142"/>
      <c r="B781" s="38"/>
      <c r="C781" s="137"/>
      <c r="D781" s="139"/>
      <c r="E781" s="38"/>
      <c r="F781" s="139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142"/>
      <c r="B782" s="38"/>
      <c r="C782" s="137"/>
      <c r="D782" s="139"/>
      <c r="E782" s="38"/>
      <c r="F782" s="139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142"/>
      <c r="B783" s="38"/>
      <c r="C783" s="137"/>
      <c r="D783" s="139"/>
      <c r="E783" s="38"/>
      <c r="F783" s="139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142"/>
      <c r="B784" s="38"/>
      <c r="C784" s="137"/>
      <c r="D784" s="139"/>
      <c r="E784" s="38"/>
      <c r="F784" s="139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142"/>
      <c r="B785" s="38"/>
      <c r="C785" s="137"/>
      <c r="D785" s="139"/>
      <c r="E785" s="38"/>
      <c r="F785" s="139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142"/>
      <c r="B786" s="38"/>
      <c r="C786" s="137"/>
      <c r="D786" s="139"/>
      <c r="E786" s="38"/>
      <c r="F786" s="139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142"/>
      <c r="B787" s="38"/>
      <c r="C787" s="137"/>
      <c r="D787" s="139"/>
      <c r="E787" s="38"/>
      <c r="F787" s="139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142"/>
      <c r="B788" s="38"/>
      <c r="C788" s="137"/>
      <c r="D788" s="139"/>
      <c r="E788" s="38"/>
      <c r="F788" s="139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142"/>
      <c r="B789" s="38"/>
      <c r="C789" s="137"/>
      <c r="D789" s="139"/>
      <c r="E789" s="38"/>
      <c r="F789" s="139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142"/>
      <c r="B790" s="38"/>
      <c r="C790" s="137"/>
      <c r="D790" s="139"/>
      <c r="E790" s="38"/>
      <c r="F790" s="139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142"/>
      <c r="B791" s="38"/>
      <c r="C791" s="137"/>
      <c r="D791" s="139"/>
      <c r="E791" s="38"/>
      <c r="F791" s="139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142"/>
      <c r="B792" s="38"/>
      <c r="C792" s="137"/>
      <c r="D792" s="139"/>
      <c r="E792" s="38"/>
      <c r="F792" s="139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142"/>
      <c r="B793" s="38"/>
      <c r="C793" s="137"/>
      <c r="D793" s="139"/>
      <c r="E793" s="38"/>
      <c r="F793" s="139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142"/>
      <c r="B794" s="38"/>
      <c r="C794" s="137"/>
      <c r="D794" s="139"/>
      <c r="E794" s="38"/>
      <c r="F794" s="139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142"/>
      <c r="B795" s="38"/>
      <c r="C795" s="137"/>
      <c r="D795" s="139"/>
      <c r="E795" s="38"/>
      <c r="F795" s="139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142"/>
      <c r="B796" s="38"/>
      <c r="C796" s="137"/>
      <c r="D796" s="139"/>
      <c r="E796" s="38"/>
      <c r="F796" s="139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142"/>
      <c r="B797" s="38"/>
      <c r="C797" s="137"/>
      <c r="D797" s="139"/>
      <c r="E797" s="38"/>
      <c r="F797" s="139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142"/>
      <c r="B798" s="38"/>
      <c r="C798" s="137"/>
      <c r="D798" s="139"/>
      <c r="E798" s="38"/>
      <c r="F798" s="139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142"/>
      <c r="B799" s="38"/>
      <c r="C799" s="137"/>
      <c r="D799" s="139"/>
      <c r="E799" s="38"/>
      <c r="F799" s="139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142"/>
      <c r="B800" s="38"/>
      <c r="C800" s="137"/>
      <c r="D800" s="139"/>
      <c r="E800" s="38"/>
      <c r="F800" s="139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142"/>
      <c r="B801" s="38"/>
      <c r="C801" s="137"/>
      <c r="D801" s="139"/>
      <c r="E801" s="38"/>
      <c r="F801" s="139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142"/>
      <c r="B802" s="38"/>
      <c r="C802" s="137"/>
      <c r="D802" s="139"/>
      <c r="E802" s="38"/>
      <c r="F802" s="139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142"/>
      <c r="B803" s="38"/>
      <c r="C803" s="137"/>
      <c r="D803" s="139"/>
      <c r="E803" s="38"/>
      <c r="F803" s="139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142"/>
      <c r="B804" s="38"/>
      <c r="C804" s="137"/>
      <c r="D804" s="139"/>
      <c r="E804" s="38"/>
      <c r="F804" s="139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142"/>
      <c r="B805" s="38"/>
      <c r="C805" s="137"/>
      <c r="D805" s="139"/>
      <c r="E805" s="38"/>
      <c r="F805" s="139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142"/>
      <c r="B806" s="38"/>
      <c r="C806" s="137"/>
      <c r="D806" s="139"/>
      <c r="E806" s="38"/>
      <c r="F806" s="139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142"/>
      <c r="B807" s="38"/>
      <c r="C807" s="137"/>
      <c r="D807" s="139"/>
      <c r="E807" s="38"/>
      <c r="F807" s="139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142"/>
      <c r="B808" s="38"/>
      <c r="C808" s="137"/>
      <c r="D808" s="139"/>
      <c r="E808" s="38"/>
      <c r="F808" s="139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142"/>
      <c r="B809" s="38"/>
      <c r="C809" s="137"/>
      <c r="D809" s="139"/>
      <c r="E809" s="38"/>
      <c r="F809" s="139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142"/>
      <c r="B810" s="38"/>
      <c r="C810" s="137"/>
      <c r="D810" s="139"/>
      <c r="E810" s="38"/>
      <c r="F810" s="139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142"/>
      <c r="B811" s="38"/>
      <c r="C811" s="137"/>
      <c r="D811" s="139"/>
      <c r="E811" s="38"/>
      <c r="F811" s="139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142"/>
      <c r="B812" s="38"/>
      <c r="C812" s="137"/>
      <c r="D812" s="139"/>
      <c r="E812" s="38"/>
      <c r="F812" s="139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142"/>
      <c r="B813" s="38"/>
      <c r="C813" s="137"/>
      <c r="D813" s="139"/>
      <c r="E813" s="38"/>
      <c r="F813" s="139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142"/>
      <c r="B814" s="38"/>
      <c r="C814" s="137"/>
      <c r="D814" s="139"/>
      <c r="E814" s="38"/>
      <c r="F814" s="139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142"/>
      <c r="B815" s="38"/>
      <c r="C815" s="137"/>
      <c r="D815" s="139"/>
      <c r="E815" s="38"/>
      <c r="F815" s="139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142"/>
      <c r="B816" s="38"/>
      <c r="C816" s="137"/>
      <c r="D816" s="139"/>
      <c r="E816" s="38"/>
      <c r="F816" s="139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142"/>
      <c r="B817" s="38"/>
      <c r="C817" s="137"/>
      <c r="D817" s="139"/>
      <c r="E817" s="38"/>
      <c r="F817" s="139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142"/>
      <c r="B818" s="38"/>
      <c r="C818" s="137"/>
      <c r="D818" s="139"/>
      <c r="E818" s="38"/>
      <c r="F818" s="139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142"/>
      <c r="B819" s="38"/>
      <c r="C819" s="137"/>
      <c r="D819" s="139"/>
      <c r="E819" s="38"/>
      <c r="F819" s="139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142"/>
      <c r="B820" s="38"/>
      <c r="C820" s="137"/>
      <c r="D820" s="139"/>
      <c r="E820" s="38"/>
      <c r="F820" s="139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142"/>
      <c r="B821" s="38"/>
      <c r="C821" s="137"/>
      <c r="D821" s="139"/>
      <c r="E821" s="38"/>
      <c r="F821" s="139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142"/>
      <c r="B822" s="38"/>
      <c r="C822" s="137"/>
      <c r="D822" s="139"/>
      <c r="E822" s="38"/>
      <c r="F822" s="139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142"/>
      <c r="B823" s="38"/>
      <c r="C823" s="137"/>
      <c r="D823" s="139"/>
      <c r="E823" s="38"/>
      <c r="F823" s="139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142"/>
      <c r="B824" s="38"/>
      <c r="C824" s="137"/>
      <c r="D824" s="139"/>
      <c r="E824" s="38"/>
      <c r="F824" s="139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142"/>
      <c r="B825" s="38"/>
      <c r="C825" s="137"/>
      <c r="D825" s="139"/>
      <c r="E825" s="38"/>
      <c r="F825" s="139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142"/>
      <c r="B826" s="38"/>
      <c r="C826" s="137"/>
      <c r="D826" s="139"/>
      <c r="E826" s="38"/>
      <c r="F826" s="139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142"/>
      <c r="B827" s="38"/>
      <c r="C827" s="137"/>
      <c r="D827" s="139"/>
      <c r="E827" s="38"/>
      <c r="F827" s="139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142"/>
      <c r="B828" s="38"/>
      <c r="C828" s="137"/>
      <c r="D828" s="139"/>
      <c r="E828" s="38"/>
      <c r="F828" s="139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142"/>
      <c r="B829" s="38"/>
      <c r="C829" s="137"/>
      <c r="D829" s="139"/>
      <c r="E829" s="38"/>
      <c r="F829" s="139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142"/>
      <c r="B830" s="38"/>
      <c r="C830" s="137"/>
      <c r="D830" s="139"/>
      <c r="E830" s="38"/>
      <c r="F830" s="139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142"/>
      <c r="B831" s="38"/>
      <c r="C831" s="137"/>
      <c r="D831" s="139"/>
      <c r="E831" s="38"/>
      <c r="F831" s="139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142"/>
      <c r="B832" s="38"/>
      <c r="C832" s="137"/>
      <c r="D832" s="139"/>
      <c r="E832" s="38"/>
      <c r="F832" s="139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142"/>
      <c r="B833" s="38"/>
      <c r="C833" s="137"/>
      <c r="D833" s="139"/>
      <c r="E833" s="38"/>
      <c r="F833" s="139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142"/>
      <c r="B834" s="38"/>
      <c r="C834" s="137"/>
      <c r="D834" s="139"/>
      <c r="E834" s="38"/>
      <c r="F834" s="139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142"/>
      <c r="B835" s="38"/>
      <c r="C835" s="137"/>
      <c r="D835" s="139"/>
      <c r="E835" s="38"/>
      <c r="F835" s="139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142"/>
      <c r="B836" s="38"/>
      <c r="C836" s="137"/>
      <c r="D836" s="139"/>
      <c r="E836" s="38"/>
      <c r="F836" s="139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142"/>
      <c r="B837" s="38"/>
      <c r="C837" s="137"/>
      <c r="D837" s="139"/>
      <c r="E837" s="38"/>
      <c r="F837" s="139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142"/>
      <c r="B838" s="38"/>
      <c r="C838" s="137"/>
      <c r="D838" s="139"/>
      <c r="E838" s="38"/>
      <c r="F838" s="139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142"/>
      <c r="B839" s="38"/>
      <c r="C839" s="137"/>
      <c r="D839" s="139"/>
      <c r="E839" s="38"/>
      <c r="F839" s="139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142"/>
      <c r="B840" s="38"/>
      <c r="C840" s="137"/>
      <c r="D840" s="139"/>
      <c r="E840" s="38"/>
      <c r="F840" s="139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142"/>
      <c r="B841" s="38"/>
      <c r="C841" s="137"/>
      <c r="D841" s="139"/>
      <c r="E841" s="38"/>
      <c r="F841" s="139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142"/>
      <c r="B842" s="38"/>
      <c r="C842" s="137"/>
      <c r="D842" s="139"/>
      <c r="E842" s="38"/>
      <c r="F842" s="139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142"/>
      <c r="B843" s="38"/>
      <c r="C843" s="137"/>
      <c r="D843" s="139"/>
      <c r="E843" s="38"/>
      <c r="F843" s="139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142"/>
      <c r="B844" s="38"/>
      <c r="C844" s="137"/>
      <c r="D844" s="139"/>
      <c r="E844" s="38"/>
      <c r="F844" s="139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142"/>
      <c r="B845" s="38"/>
      <c r="C845" s="137"/>
      <c r="D845" s="139"/>
      <c r="E845" s="38"/>
      <c r="F845" s="139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142"/>
      <c r="B846" s="38"/>
      <c r="C846" s="137"/>
      <c r="D846" s="139"/>
      <c r="E846" s="38"/>
      <c r="F846" s="139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142"/>
      <c r="B847" s="38"/>
      <c r="C847" s="137"/>
      <c r="D847" s="139"/>
      <c r="E847" s="38"/>
      <c r="F847" s="139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142"/>
      <c r="B848" s="38"/>
      <c r="C848" s="137"/>
      <c r="D848" s="139"/>
      <c r="E848" s="38"/>
      <c r="F848" s="139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142"/>
      <c r="B849" s="38"/>
      <c r="C849" s="137"/>
      <c r="D849" s="139"/>
      <c r="E849" s="38"/>
      <c r="F849" s="139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142"/>
      <c r="B850" s="38"/>
      <c r="C850" s="137"/>
      <c r="D850" s="139"/>
      <c r="E850" s="38"/>
      <c r="F850" s="139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142"/>
      <c r="B851" s="38"/>
      <c r="C851" s="137"/>
      <c r="D851" s="139"/>
      <c r="E851" s="38"/>
      <c r="F851" s="139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142"/>
      <c r="B852" s="38"/>
      <c r="C852" s="137"/>
      <c r="D852" s="139"/>
      <c r="E852" s="38"/>
      <c r="F852" s="139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142"/>
      <c r="B853" s="38"/>
      <c r="C853" s="137"/>
      <c r="D853" s="139"/>
      <c r="E853" s="38"/>
      <c r="F853" s="139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142"/>
      <c r="B854" s="38"/>
      <c r="C854" s="137"/>
      <c r="D854" s="139"/>
      <c r="E854" s="38"/>
      <c r="F854" s="139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142"/>
      <c r="B855" s="38"/>
      <c r="C855" s="137"/>
      <c r="D855" s="139"/>
      <c r="E855" s="38"/>
      <c r="F855" s="139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142"/>
      <c r="B856" s="38"/>
      <c r="C856" s="137"/>
      <c r="D856" s="139"/>
      <c r="E856" s="38"/>
      <c r="F856" s="139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142"/>
      <c r="B857" s="38"/>
      <c r="C857" s="137"/>
      <c r="D857" s="139"/>
      <c r="E857" s="38"/>
      <c r="F857" s="139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142"/>
      <c r="B858" s="38"/>
      <c r="C858" s="137"/>
      <c r="D858" s="139"/>
      <c r="E858" s="38"/>
      <c r="F858" s="139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142"/>
      <c r="B859" s="38"/>
      <c r="C859" s="137"/>
      <c r="D859" s="139"/>
      <c r="E859" s="38"/>
      <c r="F859" s="139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142"/>
      <c r="B860" s="38"/>
      <c r="C860" s="137"/>
      <c r="D860" s="139"/>
      <c r="E860" s="38"/>
      <c r="F860" s="139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142"/>
      <c r="B861" s="38"/>
      <c r="C861" s="137"/>
      <c r="D861" s="139"/>
      <c r="E861" s="38"/>
      <c r="F861" s="139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142"/>
      <c r="B862" s="38"/>
      <c r="C862" s="137"/>
      <c r="D862" s="139"/>
      <c r="E862" s="38"/>
      <c r="F862" s="139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142"/>
      <c r="B863" s="38"/>
      <c r="C863" s="137"/>
      <c r="D863" s="139"/>
      <c r="E863" s="38"/>
      <c r="F863" s="139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142"/>
      <c r="B864" s="38"/>
      <c r="C864" s="137"/>
      <c r="D864" s="139"/>
      <c r="E864" s="38"/>
      <c r="F864" s="139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142"/>
      <c r="B865" s="38"/>
      <c r="C865" s="137"/>
      <c r="D865" s="139"/>
      <c r="E865" s="38"/>
      <c r="F865" s="139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142"/>
      <c r="B866" s="38"/>
      <c r="C866" s="137"/>
      <c r="D866" s="139"/>
      <c r="E866" s="38"/>
      <c r="F866" s="139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142"/>
      <c r="B867" s="38"/>
      <c r="C867" s="137"/>
      <c r="D867" s="139"/>
      <c r="E867" s="38"/>
      <c r="F867" s="139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142"/>
      <c r="B868" s="38"/>
      <c r="C868" s="137"/>
      <c r="D868" s="139"/>
      <c r="E868" s="38"/>
      <c r="F868" s="139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142"/>
      <c r="B869" s="38"/>
      <c r="C869" s="137"/>
      <c r="D869" s="139"/>
      <c r="E869" s="38"/>
      <c r="F869" s="139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142"/>
      <c r="B870" s="38"/>
      <c r="C870" s="137"/>
      <c r="D870" s="139"/>
      <c r="E870" s="38"/>
      <c r="F870" s="139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142"/>
      <c r="B871" s="38"/>
      <c r="C871" s="137"/>
      <c r="D871" s="139"/>
      <c r="E871" s="38"/>
      <c r="F871" s="139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142"/>
      <c r="B872" s="38"/>
      <c r="C872" s="137"/>
      <c r="D872" s="139"/>
      <c r="E872" s="38"/>
      <c r="F872" s="139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142"/>
      <c r="B873" s="38"/>
      <c r="C873" s="137"/>
      <c r="D873" s="139"/>
      <c r="E873" s="38"/>
      <c r="F873" s="139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142"/>
      <c r="B874" s="38"/>
      <c r="C874" s="137"/>
      <c r="D874" s="139"/>
      <c r="E874" s="38"/>
      <c r="F874" s="139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142"/>
      <c r="B875" s="38"/>
      <c r="C875" s="137"/>
      <c r="D875" s="139"/>
      <c r="E875" s="38"/>
      <c r="F875" s="139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142"/>
      <c r="B876" s="38"/>
      <c r="C876" s="137"/>
      <c r="D876" s="139"/>
      <c r="E876" s="38"/>
      <c r="F876" s="139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142"/>
      <c r="B877" s="38"/>
      <c r="C877" s="137"/>
      <c r="D877" s="139"/>
      <c r="E877" s="38"/>
      <c r="F877" s="139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142"/>
      <c r="B878" s="38"/>
      <c r="C878" s="137"/>
      <c r="D878" s="139"/>
      <c r="E878" s="38"/>
      <c r="F878" s="139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142"/>
      <c r="B879" s="38"/>
      <c r="C879" s="137"/>
      <c r="D879" s="139"/>
      <c r="E879" s="38"/>
      <c r="F879" s="139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142"/>
      <c r="B880" s="38"/>
      <c r="C880" s="137"/>
      <c r="D880" s="139"/>
      <c r="E880" s="38"/>
      <c r="F880" s="139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142"/>
      <c r="B881" s="38"/>
      <c r="C881" s="137"/>
      <c r="D881" s="139"/>
      <c r="E881" s="38"/>
      <c r="F881" s="139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142"/>
      <c r="B882" s="38"/>
      <c r="C882" s="137"/>
      <c r="D882" s="139"/>
      <c r="E882" s="38"/>
      <c r="F882" s="139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142"/>
      <c r="B883" s="38"/>
      <c r="C883" s="137"/>
      <c r="D883" s="139"/>
      <c r="E883" s="38"/>
      <c r="F883" s="139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142"/>
      <c r="B884" s="38"/>
      <c r="C884" s="137"/>
      <c r="D884" s="139"/>
      <c r="E884" s="38"/>
      <c r="F884" s="139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142"/>
      <c r="B885" s="38"/>
      <c r="C885" s="137"/>
      <c r="D885" s="139"/>
      <c r="E885" s="38"/>
      <c r="F885" s="139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142"/>
      <c r="B886" s="38"/>
      <c r="C886" s="137"/>
      <c r="D886" s="139"/>
      <c r="E886" s="38"/>
      <c r="F886" s="139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142"/>
      <c r="B887" s="38"/>
      <c r="C887" s="137"/>
      <c r="D887" s="139"/>
      <c r="E887" s="38"/>
      <c r="F887" s="139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142"/>
      <c r="B888" s="38"/>
      <c r="C888" s="137"/>
      <c r="D888" s="139"/>
      <c r="E888" s="38"/>
      <c r="F888" s="139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142"/>
      <c r="B889" s="38"/>
      <c r="C889" s="137"/>
      <c r="D889" s="139"/>
      <c r="E889" s="38"/>
      <c r="F889" s="139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142"/>
      <c r="B890" s="38"/>
      <c r="C890" s="137"/>
      <c r="D890" s="139"/>
      <c r="E890" s="38"/>
      <c r="F890" s="139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142"/>
      <c r="B891" s="38"/>
      <c r="C891" s="137"/>
      <c r="D891" s="139"/>
      <c r="E891" s="38"/>
      <c r="F891" s="139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142"/>
      <c r="B892" s="38"/>
      <c r="C892" s="137"/>
      <c r="D892" s="139"/>
      <c r="E892" s="38"/>
      <c r="F892" s="139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142"/>
      <c r="B893" s="38"/>
      <c r="C893" s="137"/>
      <c r="D893" s="139"/>
      <c r="E893" s="38"/>
      <c r="F893" s="139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142"/>
      <c r="B894" s="38"/>
      <c r="C894" s="137"/>
      <c r="D894" s="139"/>
      <c r="E894" s="38"/>
      <c r="F894" s="139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142"/>
      <c r="B895" s="38"/>
      <c r="C895" s="137"/>
      <c r="D895" s="139"/>
      <c r="E895" s="38"/>
      <c r="F895" s="139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142"/>
      <c r="B896" s="38"/>
      <c r="C896" s="137"/>
      <c r="D896" s="139"/>
      <c r="E896" s="38"/>
      <c r="F896" s="139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142"/>
      <c r="B897" s="38"/>
      <c r="C897" s="137"/>
      <c r="D897" s="139"/>
      <c r="E897" s="38"/>
      <c r="F897" s="139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142"/>
      <c r="B898" s="38"/>
      <c r="C898" s="137"/>
      <c r="D898" s="139"/>
      <c r="E898" s="38"/>
      <c r="F898" s="139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142"/>
      <c r="B899" s="38"/>
      <c r="C899" s="137"/>
      <c r="D899" s="139"/>
      <c r="E899" s="38"/>
      <c r="F899" s="139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142"/>
      <c r="B900" s="38"/>
      <c r="C900" s="137"/>
      <c r="D900" s="139"/>
      <c r="E900" s="38"/>
      <c r="F900" s="139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142"/>
      <c r="B901" s="38"/>
      <c r="C901" s="137"/>
      <c r="D901" s="139"/>
      <c r="E901" s="38"/>
      <c r="F901" s="139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142"/>
      <c r="B902" s="38"/>
      <c r="C902" s="137"/>
      <c r="D902" s="139"/>
      <c r="E902" s="38"/>
      <c r="F902" s="139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142"/>
      <c r="B903" s="38"/>
      <c r="C903" s="137"/>
      <c r="D903" s="139"/>
      <c r="E903" s="38"/>
      <c r="F903" s="139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142"/>
      <c r="B904" s="38"/>
      <c r="C904" s="137"/>
      <c r="D904" s="139"/>
      <c r="E904" s="38"/>
      <c r="F904" s="139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142"/>
      <c r="B905" s="38"/>
      <c r="C905" s="137"/>
      <c r="D905" s="139"/>
      <c r="E905" s="38"/>
      <c r="F905" s="139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142"/>
      <c r="B906" s="38"/>
      <c r="C906" s="137"/>
      <c r="D906" s="139"/>
      <c r="E906" s="38"/>
      <c r="F906" s="139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142"/>
      <c r="B907" s="38"/>
      <c r="C907" s="137"/>
      <c r="D907" s="139"/>
      <c r="E907" s="38"/>
      <c r="F907" s="139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142"/>
      <c r="B908" s="38"/>
      <c r="C908" s="137"/>
      <c r="D908" s="139"/>
      <c r="E908" s="38"/>
      <c r="F908" s="139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142"/>
      <c r="B909" s="38"/>
      <c r="C909" s="137"/>
      <c r="D909" s="139"/>
      <c r="E909" s="38"/>
      <c r="F909" s="139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142"/>
      <c r="B910" s="38"/>
      <c r="C910" s="137"/>
      <c r="D910" s="139"/>
      <c r="E910" s="38"/>
      <c r="F910" s="139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142"/>
      <c r="B911" s="38"/>
      <c r="C911" s="137"/>
      <c r="D911" s="139"/>
      <c r="E911" s="38"/>
      <c r="F911" s="139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142"/>
      <c r="B912" s="38"/>
      <c r="C912" s="137"/>
      <c r="D912" s="139"/>
      <c r="E912" s="38"/>
      <c r="F912" s="139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142"/>
      <c r="B913" s="38"/>
      <c r="C913" s="137"/>
      <c r="D913" s="139"/>
      <c r="E913" s="38"/>
      <c r="F913" s="139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142"/>
      <c r="B914" s="38"/>
      <c r="C914" s="137"/>
      <c r="D914" s="139"/>
      <c r="E914" s="38"/>
      <c r="F914" s="139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142"/>
      <c r="B915" s="38"/>
      <c r="C915" s="137"/>
      <c r="D915" s="139"/>
      <c r="E915" s="38"/>
      <c r="F915" s="139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142"/>
      <c r="B916" s="38"/>
      <c r="C916" s="137"/>
      <c r="D916" s="139"/>
      <c r="E916" s="38"/>
      <c r="F916" s="139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142"/>
      <c r="B917" s="38"/>
      <c r="C917" s="137"/>
      <c r="D917" s="139"/>
      <c r="E917" s="38"/>
      <c r="F917" s="139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142"/>
      <c r="B918" s="38"/>
      <c r="C918" s="137"/>
      <c r="D918" s="139"/>
      <c r="E918" s="38"/>
      <c r="F918" s="139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142"/>
      <c r="B919" s="38"/>
      <c r="C919" s="137"/>
      <c r="D919" s="139"/>
      <c r="E919" s="38"/>
      <c r="F919" s="139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142"/>
      <c r="B920" s="38"/>
      <c r="C920" s="137"/>
      <c r="D920" s="139"/>
      <c r="E920" s="38"/>
      <c r="F920" s="139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142"/>
      <c r="B921" s="38"/>
      <c r="C921" s="137"/>
      <c r="D921" s="139"/>
      <c r="E921" s="38"/>
      <c r="F921" s="139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142"/>
      <c r="B922" s="38"/>
      <c r="C922" s="137"/>
      <c r="D922" s="139"/>
      <c r="E922" s="38"/>
      <c r="F922" s="139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142"/>
      <c r="B923" s="38"/>
      <c r="C923" s="137"/>
      <c r="D923" s="139"/>
      <c r="E923" s="38"/>
      <c r="F923" s="139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142"/>
      <c r="B924" s="38"/>
      <c r="C924" s="137"/>
      <c r="D924" s="139"/>
      <c r="E924" s="38"/>
      <c r="F924" s="139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142"/>
      <c r="B925" s="38"/>
      <c r="C925" s="137"/>
      <c r="D925" s="139"/>
      <c r="E925" s="38"/>
      <c r="F925" s="139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142"/>
      <c r="B926" s="38"/>
      <c r="C926" s="137"/>
      <c r="D926" s="139"/>
      <c r="E926" s="38"/>
      <c r="F926" s="139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142"/>
      <c r="B927" s="38"/>
      <c r="C927" s="137"/>
      <c r="D927" s="139"/>
      <c r="E927" s="38"/>
      <c r="F927" s="139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142"/>
      <c r="B928" s="38"/>
      <c r="C928" s="137"/>
      <c r="D928" s="139"/>
      <c r="E928" s="38"/>
      <c r="F928" s="139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142"/>
      <c r="B929" s="38"/>
      <c r="C929" s="137"/>
      <c r="D929" s="139"/>
      <c r="E929" s="38"/>
      <c r="F929" s="139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142"/>
      <c r="B930" s="38"/>
      <c r="C930" s="137"/>
      <c r="D930" s="139"/>
      <c r="E930" s="38"/>
      <c r="F930" s="139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142"/>
      <c r="B931" s="38"/>
      <c r="C931" s="137"/>
      <c r="D931" s="139"/>
      <c r="E931" s="38"/>
      <c r="F931" s="139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142"/>
      <c r="B932" s="38"/>
      <c r="C932" s="137"/>
      <c r="D932" s="139"/>
      <c r="E932" s="38"/>
      <c r="F932" s="139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142"/>
      <c r="B933" s="38"/>
      <c r="C933" s="137"/>
      <c r="D933" s="139"/>
      <c r="E933" s="38"/>
      <c r="F933" s="139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142"/>
      <c r="B934" s="38"/>
      <c r="C934" s="137"/>
      <c r="D934" s="139"/>
      <c r="E934" s="38"/>
      <c r="F934" s="139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142"/>
      <c r="B935" s="38"/>
      <c r="C935" s="137"/>
      <c r="D935" s="139"/>
      <c r="E935" s="38"/>
      <c r="F935" s="139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142"/>
      <c r="B936" s="38"/>
      <c r="C936" s="137"/>
      <c r="D936" s="139"/>
      <c r="E936" s="38"/>
      <c r="F936" s="139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142"/>
      <c r="B937" s="38"/>
      <c r="C937" s="137"/>
      <c r="D937" s="139"/>
      <c r="E937" s="38"/>
      <c r="F937" s="139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142"/>
      <c r="B938" s="38"/>
      <c r="C938" s="137"/>
      <c r="D938" s="139"/>
      <c r="E938" s="38"/>
      <c r="F938" s="139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142"/>
      <c r="B939" s="38"/>
      <c r="C939" s="137"/>
      <c r="D939" s="139"/>
      <c r="E939" s="38"/>
      <c r="F939" s="139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142"/>
      <c r="B940" s="38"/>
      <c r="C940" s="137"/>
      <c r="D940" s="139"/>
      <c r="E940" s="38"/>
      <c r="F940" s="139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142"/>
      <c r="B941" s="38"/>
      <c r="C941" s="137"/>
      <c r="D941" s="139"/>
      <c r="E941" s="38"/>
      <c r="F941" s="139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142"/>
      <c r="B942" s="38"/>
      <c r="C942" s="137"/>
      <c r="D942" s="139"/>
      <c r="E942" s="38"/>
      <c r="F942" s="139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142"/>
      <c r="B943" s="38"/>
      <c r="C943" s="137"/>
      <c r="D943" s="139"/>
      <c r="E943" s="38"/>
      <c r="F943" s="139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142"/>
      <c r="B944" s="38"/>
      <c r="C944" s="137"/>
      <c r="D944" s="139"/>
      <c r="E944" s="38"/>
      <c r="F944" s="139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142"/>
      <c r="B945" s="38"/>
      <c r="C945" s="137"/>
      <c r="D945" s="139"/>
      <c r="E945" s="38"/>
      <c r="F945" s="139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142"/>
      <c r="B946" s="38"/>
      <c r="C946" s="137"/>
      <c r="D946" s="139"/>
      <c r="E946" s="38"/>
      <c r="F946" s="139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142"/>
      <c r="B947" s="38"/>
      <c r="C947" s="137"/>
      <c r="D947" s="139"/>
      <c r="E947" s="38"/>
      <c r="F947" s="139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142"/>
      <c r="B948" s="38"/>
      <c r="C948" s="137"/>
      <c r="D948" s="139"/>
      <c r="E948" s="38"/>
      <c r="F948" s="139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142"/>
      <c r="B949" s="38"/>
      <c r="C949" s="137"/>
      <c r="D949" s="139"/>
      <c r="E949" s="38"/>
      <c r="F949" s="139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142"/>
      <c r="B950" s="38"/>
      <c r="C950" s="137"/>
      <c r="D950" s="139"/>
      <c r="E950" s="38"/>
      <c r="F950" s="139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142"/>
      <c r="B951" s="38"/>
      <c r="C951" s="137"/>
      <c r="D951" s="139"/>
      <c r="E951" s="38"/>
      <c r="F951" s="139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142"/>
      <c r="B952" s="38"/>
      <c r="C952" s="137"/>
      <c r="D952" s="139"/>
      <c r="E952" s="38"/>
      <c r="F952" s="139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142"/>
      <c r="B953" s="38"/>
      <c r="C953" s="137"/>
      <c r="D953" s="139"/>
      <c r="E953" s="38"/>
      <c r="F953" s="139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142"/>
      <c r="B954" s="38"/>
      <c r="C954" s="137"/>
      <c r="D954" s="139"/>
      <c r="E954" s="38"/>
      <c r="F954" s="139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142"/>
      <c r="B955" s="38"/>
      <c r="C955" s="137"/>
      <c r="D955" s="139"/>
      <c r="E955" s="38"/>
      <c r="F955" s="139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142"/>
      <c r="B956" s="38"/>
      <c r="C956" s="137"/>
      <c r="D956" s="139"/>
      <c r="E956" s="38"/>
      <c r="F956" s="139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142"/>
      <c r="B957" s="38"/>
      <c r="C957" s="137"/>
      <c r="D957" s="139"/>
      <c r="E957" s="38"/>
      <c r="F957" s="139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142"/>
      <c r="B958" s="38"/>
      <c r="C958" s="137"/>
      <c r="D958" s="139"/>
      <c r="E958" s="38"/>
      <c r="F958" s="139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142"/>
      <c r="B959" s="38"/>
      <c r="C959" s="137"/>
      <c r="D959" s="139"/>
      <c r="E959" s="38"/>
      <c r="F959" s="139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142"/>
      <c r="B960" s="38"/>
      <c r="C960" s="137"/>
      <c r="D960" s="139"/>
      <c r="E960" s="38"/>
      <c r="F960" s="139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142"/>
      <c r="B961" s="38"/>
      <c r="C961" s="137"/>
      <c r="D961" s="139"/>
      <c r="E961" s="38"/>
      <c r="F961" s="139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142"/>
      <c r="B962" s="38"/>
      <c r="C962" s="137"/>
      <c r="D962" s="139"/>
      <c r="E962" s="38"/>
      <c r="F962" s="139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142"/>
      <c r="B963" s="38"/>
      <c r="C963" s="137"/>
      <c r="D963" s="139"/>
      <c r="E963" s="38"/>
      <c r="F963" s="139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142"/>
      <c r="B964" s="38"/>
      <c r="C964" s="137"/>
      <c r="D964" s="139"/>
      <c r="E964" s="38"/>
      <c r="F964" s="139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142"/>
      <c r="B965" s="38"/>
      <c r="C965" s="137"/>
      <c r="D965" s="139"/>
      <c r="E965" s="38"/>
      <c r="F965" s="139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142"/>
      <c r="B966" s="38"/>
      <c r="C966" s="137"/>
      <c r="D966" s="139"/>
      <c r="E966" s="38"/>
      <c r="F966" s="139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142"/>
      <c r="B967" s="38"/>
      <c r="C967" s="137"/>
      <c r="D967" s="139"/>
      <c r="E967" s="38"/>
      <c r="F967" s="139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142"/>
      <c r="B968" s="38"/>
      <c r="C968" s="137"/>
      <c r="D968" s="139"/>
      <c r="E968" s="38"/>
      <c r="F968" s="139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142"/>
      <c r="B969" s="38"/>
      <c r="C969" s="137"/>
      <c r="D969" s="139"/>
      <c r="E969" s="38"/>
      <c r="F969" s="139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142"/>
      <c r="B970" s="38"/>
      <c r="C970" s="137"/>
      <c r="D970" s="139"/>
      <c r="E970" s="38"/>
      <c r="F970" s="139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142"/>
      <c r="B971" s="38"/>
      <c r="C971" s="137"/>
      <c r="D971" s="139"/>
      <c r="E971" s="38"/>
      <c r="F971" s="139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142"/>
      <c r="B972" s="38"/>
      <c r="C972" s="137"/>
      <c r="D972" s="139"/>
      <c r="E972" s="38"/>
      <c r="F972" s="139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142"/>
      <c r="B973" s="38"/>
      <c r="C973" s="137"/>
      <c r="D973" s="139"/>
      <c r="E973" s="38"/>
      <c r="F973" s="139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142"/>
      <c r="B974" s="38"/>
      <c r="C974" s="137"/>
      <c r="D974" s="139"/>
      <c r="E974" s="38"/>
      <c r="F974" s="139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142"/>
      <c r="B975" s="38"/>
      <c r="C975" s="137"/>
      <c r="D975" s="139"/>
      <c r="E975" s="38"/>
      <c r="F975" s="139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142"/>
      <c r="B976" s="38"/>
      <c r="C976" s="137"/>
      <c r="D976" s="139"/>
      <c r="E976" s="38"/>
      <c r="F976" s="139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142"/>
      <c r="B977" s="38"/>
      <c r="C977" s="137"/>
      <c r="D977" s="139"/>
      <c r="E977" s="38"/>
      <c r="F977" s="139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142"/>
      <c r="B978" s="38"/>
      <c r="C978" s="137"/>
      <c r="D978" s="139"/>
      <c r="E978" s="38"/>
      <c r="F978" s="139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142"/>
      <c r="B979" s="38"/>
      <c r="C979" s="137"/>
      <c r="D979" s="139"/>
      <c r="E979" s="38"/>
      <c r="F979" s="139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142"/>
      <c r="B980" s="38"/>
      <c r="C980" s="137"/>
      <c r="D980" s="139"/>
      <c r="E980" s="38"/>
      <c r="F980" s="139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142"/>
      <c r="B981" s="38"/>
      <c r="C981" s="137"/>
      <c r="D981" s="139"/>
      <c r="E981" s="38"/>
      <c r="F981" s="139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142"/>
      <c r="B982" s="38"/>
      <c r="C982" s="137"/>
      <c r="D982" s="139"/>
      <c r="E982" s="38"/>
      <c r="F982" s="139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142"/>
      <c r="B983" s="38"/>
      <c r="C983" s="137"/>
      <c r="D983" s="139"/>
      <c r="E983" s="38"/>
      <c r="F983" s="139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142"/>
      <c r="B984" s="38"/>
      <c r="C984" s="137"/>
      <c r="D984" s="139"/>
      <c r="E984" s="38"/>
      <c r="F984" s="139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142"/>
      <c r="B985" s="38"/>
      <c r="C985" s="137"/>
      <c r="D985" s="139"/>
      <c r="E985" s="38"/>
      <c r="F985" s="139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142"/>
      <c r="B986" s="38"/>
      <c r="C986" s="137"/>
      <c r="D986" s="139"/>
      <c r="E986" s="38"/>
      <c r="F986" s="139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142"/>
      <c r="B987" s="38"/>
      <c r="C987" s="137"/>
      <c r="D987" s="139"/>
      <c r="E987" s="38"/>
      <c r="F987" s="139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142"/>
      <c r="B988" s="38"/>
      <c r="C988" s="137"/>
      <c r="D988" s="139"/>
      <c r="E988" s="38"/>
      <c r="F988" s="139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142"/>
      <c r="B989" s="38"/>
      <c r="C989" s="137"/>
      <c r="D989" s="139"/>
      <c r="E989" s="38"/>
      <c r="F989" s="139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142"/>
      <c r="B990" s="38"/>
      <c r="C990" s="137"/>
      <c r="D990" s="139"/>
      <c r="E990" s="38"/>
      <c r="F990" s="139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142"/>
      <c r="B991" s="38"/>
      <c r="C991" s="137"/>
      <c r="D991" s="139"/>
      <c r="E991" s="38"/>
      <c r="F991" s="139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142"/>
      <c r="B992" s="38"/>
      <c r="C992" s="137"/>
      <c r="D992" s="139"/>
      <c r="E992" s="38"/>
      <c r="F992" s="139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142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142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142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142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142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142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142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142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</sheetData>
  <mergeCells count="2">
    <mergeCell ref="H2:I2"/>
    <mergeCell ref="H3:I3"/>
  </mergeCells>
  <drawing r:id="rId1"/>
  <tableParts count="1">
    <tablePart r:id="rId3"/>
  </tableParts>
</worksheet>
</file>