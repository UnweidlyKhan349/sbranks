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eld" sheetId="1" r:id="rId5"/>
    <sheet state="visible" name="Team Standings" sheetId="2" r:id="rId6"/>
    <sheet state="visible" name="Individual Standings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4" fillId="0" fontId="1" numFmtId="2" xfId="0" applyAlignment="1" applyBorder="1" applyFont="1" applyNumberFormat="1">
      <alignment horizontal="center" readingOrder="0"/>
    </xf>
    <xf borderId="0" fillId="0" fontId="2" numFmtId="0" xfId="0" applyFont="1"/>
    <xf borderId="5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2" numFmtId="49" xfId="0" applyFont="1" applyNumberFormat="1"/>
    <xf borderId="3" fillId="0" fontId="1" numFmtId="2" xfId="0" applyAlignment="1" applyBorder="1" applyFont="1" applyNumberFormat="1">
      <alignment horizontal="center" readingOrder="0"/>
    </xf>
    <xf borderId="7" fillId="0" fontId="1" numFmtId="2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shrinkToFit="0" wrapText="0"/>
    </xf>
    <xf borderId="3" fillId="0" fontId="2" numFmtId="0" xfId="0" applyAlignment="1" applyBorder="1" applyFont="1">
      <alignment shrinkToFit="0" wrapText="0"/>
    </xf>
    <xf borderId="8" fillId="0" fontId="1" numFmtId="164" xfId="0" applyAlignment="1" applyBorder="1" applyFont="1" applyNumberFormat="1">
      <alignment horizontal="center" readingOrder="0"/>
    </xf>
    <xf borderId="4" fillId="0" fontId="2" numFmtId="2" xfId="0" applyAlignment="1" applyBorder="1" applyFont="1" applyNumberFormat="1">
      <alignment horizontal="center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5" fillId="0" fontId="1" numFmtId="2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shrinkToFit="0" wrapText="0"/>
    </xf>
    <xf borderId="2" fillId="0" fontId="2" numFmtId="2" xfId="0" applyAlignment="1" applyBorder="1" applyFont="1" applyNumberFormat="1">
      <alignment horizontal="center"/>
    </xf>
    <xf borderId="3" fillId="0" fontId="2" numFmtId="2" xfId="0" applyAlignment="1" applyBorder="1" applyFont="1" applyNumberFormat="1">
      <alignment horizontal="center"/>
    </xf>
    <xf borderId="5" fillId="0" fontId="2" numFmtId="49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center"/>
    </xf>
    <xf borderId="6" fillId="0" fontId="2" numFmtId="49" xfId="0" applyAlignment="1" applyBorder="1" applyFont="1" applyNumberFormat="1">
      <alignment horizontal="center" readingOrder="0"/>
    </xf>
    <xf borderId="3" fillId="0" fontId="2" numFmtId="49" xfId="0" applyAlignment="1" applyBorder="1" applyFont="1" applyNumberFormat="1">
      <alignment horizontal="center" readingOrder="0"/>
    </xf>
    <xf borderId="7" fillId="0" fontId="2" numFmtId="2" xfId="0" applyAlignment="1" applyBorder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" fillId="0" fontId="2" numFmtId="2" xfId="0" applyAlignment="1" applyBorder="1" applyFont="1" applyNumberFormat="1">
      <alignment horizontal="center"/>
    </xf>
    <xf borderId="7" fillId="0" fontId="2" numFmtId="2" xfId="0" applyAlignment="1" applyBorder="1" applyFont="1" applyNumberFormat="1">
      <alignment horizontal="center"/>
    </xf>
    <xf borderId="3" fillId="0" fontId="2" numFmtId="2" xfId="0" applyAlignment="1" applyBorder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5" fillId="0" fontId="2" numFmtId="2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shrinkToFit="0" vertical="bottom" wrapText="0"/>
    </xf>
    <xf borderId="4" fillId="0" fontId="3" numFmtId="2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2" fillId="0" fontId="3" numFmtId="2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shrinkToFit="0" vertical="bottom" wrapText="0"/>
    </xf>
    <xf borderId="11" fillId="0" fontId="3" numFmtId="2" xfId="0" applyAlignment="1" applyBorder="1" applyFont="1" applyNumberFormat="1">
      <alignment horizontal="center" vertical="bottom"/>
    </xf>
    <xf borderId="10" fillId="0" fontId="3" numFmtId="0" xfId="0" applyAlignment="1" applyBorder="1" applyFont="1">
      <alignment horizontal="center"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1" fillId="0" fontId="3" numFmtId="0" xfId="0" applyAlignment="1" applyBorder="1" applyFont="1">
      <alignment horizontal="center" shrinkToFit="0" vertical="bottom" wrapText="0"/>
    </xf>
    <xf borderId="10" fillId="0" fontId="3" numFmtId="2" xfId="0" applyAlignment="1" applyBorder="1" applyFont="1" applyNumberFormat="1">
      <alignment horizontal="center" vertical="bottom"/>
    </xf>
    <xf borderId="11" fillId="0" fontId="3" numFmtId="0" xfId="0" applyAlignment="1" applyBorder="1" applyFont="1">
      <alignment horizontal="center" vertical="bottom"/>
    </xf>
    <xf borderId="12" fillId="0" fontId="2" numFmtId="0" xfId="0" applyBorder="1" applyFont="1"/>
    <xf borderId="0" fillId="0" fontId="2" numFmtId="0" xfId="0" applyAlignment="1" applyFont="1">
      <alignment shrinkToFit="0" wrapText="0"/>
    </xf>
    <xf borderId="13" fillId="0" fontId="2" numFmtId="2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3" fillId="0" fontId="2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6" width="18.88"/>
  </cols>
  <sheetData>
    <row r="1">
      <c r="A1" s="1" t="str">
        <f>IFERROR(__xludf.DUMMYFUNCTION("IMPORTRANGE(""https://docs.google.com/spreadsheets/d/1eIZuQeyRtq0mJjb55rtQGY6jBqymy827DmA_Jcm_2n4/edit?usp=sharing"",""Sheet1!A1:F10"")"),"Team Name")</f>
        <v>Team Name</v>
      </c>
      <c r="B1" s="1" t="str">
        <f>IFERROR(__xludf.DUMMYFUNCTION("""COMPUTED_VALUE"""),"Player 1")</f>
        <v>Player 1</v>
      </c>
      <c r="C1" s="1" t="str">
        <f>IFERROR(__xludf.DUMMYFUNCTION("""COMPUTED_VALUE"""),"Player 2")</f>
        <v>Player 2</v>
      </c>
      <c r="D1" s="1" t="str">
        <f>IFERROR(__xludf.DUMMYFUNCTION("""COMPUTED_VALUE"""),"Player 3")</f>
        <v>Player 3</v>
      </c>
      <c r="E1" s="1" t="str">
        <f>IFERROR(__xludf.DUMMYFUNCTION("""COMPUTED_VALUE"""),"Player 4")</f>
        <v>Player 4</v>
      </c>
      <c r="F1" s="1" t="str">
        <f>IFERROR(__xludf.DUMMYFUNCTION("""COMPUTED_VALUE"""),"Alternate")</f>
        <v>Alternate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tr">
        <f>IFERROR(__xludf.DUMMYFUNCTION("""COMPUTED_VALUE"""),"Tesla")</f>
        <v>Tesla</v>
      </c>
      <c r="B2" s="7" t="str">
        <f>IFERROR(__xludf.DUMMYFUNCTION("""COMPUTED_VALUE"""),"Pklvls")</f>
        <v>Pklvls</v>
      </c>
      <c r="C2" s="7" t="str">
        <f>IFERROR(__xludf.DUMMYFUNCTION("""COMPUTED_VALUE"""),"Sword of Damocles")</f>
        <v>Sword of Damocles</v>
      </c>
      <c r="D2" s="7" t="str">
        <f>IFERROR(__xludf.DUMMYFUNCTION("""COMPUTED_VALUE"""),"Uwuchen")</f>
        <v>Uwuchen</v>
      </c>
      <c r="E2" s="7" t="str">
        <f>IFERROR(__xludf.DUMMYFUNCTION("""COMPUTED_VALUE"""),"Saketh(Reverse)")</f>
        <v>Saketh(Reverse)</v>
      </c>
      <c r="F2" s="7" t="str">
        <f>IFERROR(__xludf.DUMMYFUNCTION("""COMPUTED_VALUE"""),"Electric Van")</f>
        <v>Electric Van</v>
      </c>
    </row>
    <row r="3">
      <c r="A3" s="7" t="str">
        <f>IFERROR(__xludf.DUMMYFUNCTION("""COMPUTED_VALUE"""),"Wayzata/Blair")</f>
        <v>Wayzata/Blair</v>
      </c>
      <c r="B3" s="7" t="str">
        <f>IFERROR(__xludf.DUMMYFUNCTION("""COMPUTED_VALUE"""),"TheRaggedFlygon")</f>
        <v>TheRaggedFlygon</v>
      </c>
      <c r="C3" s="7" t="str">
        <f>IFERROR(__xludf.DUMMYFUNCTION("""COMPUTED_VALUE"""),"A. A. H. J.")</f>
        <v>A. A. H. J.</v>
      </c>
      <c r="D3" s="7" t="str">
        <f>IFERROR(__xludf.DUMMYFUNCTION("""COMPUTED_VALUE"""),"CTong")</f>
        <v>CTong</v>
      </c>
      <c r="E3" s="7" t="str">
        <f>IFERROR(__xludf.DUMMYFUNCTION("""COMPUTED_VALUE"""),"TOG")</f>
        <v>TOG</v>
      </c>
      <c r="F3" s="7"/>
    </row>
    <row r="4">
      <c r="A4" s="7" t="str">
        <f>IFERROR(__xludf.DUMMYFUNCTION("""COMPUTED_VALUE"""),"shittier kids")</f>
        <v>shittier kids</v>
      </c>
      <c r="B4" s="7" t="str">
        <f>IFERROR(__xludf.DUMMYFUNCTION("""COMPUTED_VALUE"""),"tsm manlet")</f>
        <v>tsm manlet</v>
      </c>
      <c r="C4" s="7" t="str">
        <f>IFERROR(__xludf.DUMMYFUNCTION("""COMPUTED_VALUE"""),"shelker1529")</f>
        <v>shelker1529</v>
      </c>
      <c r="D4" s="7" t="str">
        <f>IFERROR(__xludf.DUMMYFUNCTION("""COMPUTED_VALUE"""),"Entropy")</f>
        <v>Entropy</v>
      </c>
      <c r="E4" s="7" t="str">
        <f>IFERROR(__xludf.DUMMYFUNCTION("""COMPUTED_VALUE"""),"jackass")</f>
        <v>jackass</v>
      </c>
      <c r="F4" s="13" t="str">
        <f>IFERROR(__xludf.DUMMYFUNCTION("""COMPUTED_VALUE"""),"4435#4435")</f>
        <v>4435#4435</v>
      </c>
    </row>
    <row r="5">
      <c r="A5" s="7" t="str">
        <f>IFERROR(__xludf.DUMMYFUNCTION("""COMPUTED_VALUE"""),"Sexington High School + Con")</f>
        <v>Sexington High School + Con</v>
      </c>
      <c r="B5" s="7" t="str">
        <f>IFERROR(__xludf.DUMMYFUNCTION("""COMPUTED_VALUE"""),"GidTheKid2")</f>
        <v>GidTheKid2</v>
      </c>
      <c r="C5" s="7" t="str">
        <f>IFERROR(__xludf.DUMMYFUNCTION("""COMPUTED_VALUE"""),"DanZ137")</f>
        <v>DanZ137</v>
      </c>
      <c r="D5" s="7" t="str">
        <f>IFERROR(__xludf.DUMMYFUNCTION("""COMPUTED_VALUE"""),"Sean29")</f>
        <v>Sean29</v>
      </c>
      <c r="E5" s="7" t="str">
        <f>IFERROR(__xludf.DUMMYFUNCTION("""COMPUTED_VALUE"""),"Constantine (maybe)")</f>
        <v>Constantine (maybe)</v>
      </c>
      <c r="F5" s="7" t="str">
        <f>IFERROR(__xludf.DUMMYFUNCTION("""COMPUTED_VALUE"""),"im a turtle")</f>
        <v>im a turtle</v>
      </c>
    </row>
    <row r="6">
      <c r="A6" s="7" t="str">
        <f>IFERROR(__xludf.DUMMYFUNCTION("""COMPUTED_VALUE"""),"Langley")</f>
        <v>Langley</v>
      </c>
      <c r="B6" s="7" t="str">
        <f>IFERROR(__xludf.DUMMYFUNCTION("""COMPUTED_VALUE"""),"dc1mousavi")</f>
        <v>dc1mousavi</v>
      </c>
      <c r="C6" s="7" t="str">
        <f>IFERROR(__xludf.DUMMYFUNCTION("""COMPUTED_VALUE"""),"Fizzest")</f>
        <v>Fizzest</v>
      </c>
      <c r="D6" s="7" t="str">
        <f>IFERROR(__xludf.DUMMYFUNCTION("""COMPUTED_VALUE"""),"bobb")</f>
        <v>bobb</v>
      </c>
      <c r="E6" s="7" t="str">
        <f>IFERROR(__xludf.DUMMYFUNCTION("""COMPUTED_VALUE"""),"joey")</f>
        <v>joey</v>
      </c>
      <c r="F6" s="7" t="str">
        <f>IFERROR(__xludf.DUMMYFUNCTION("""COMPUTED_VALUE"""),"hellothere")</f>
        <v>hellothere</v>
      </c>
    </row>
    <row r="7">
      <c r="A7" s="7" t="str">
        <f>IFERROR(__xludf.DUMMYFUNCTION("""COMPUTED_VALUE"""),"Fairview")</f>
        <v>Fairview</v>
      </c>
      <c r="B7" s="7" t="str">
        <f>IFERROR(__xludf.DUMMYFUNCTION("""COMPUTED_VALUE"""),"j〰〰〰〰〰〰〰〰〰〰〰〰〰〰〰〰〰〰〰〰〰〰hope#5085")</f>
        <v>j〰〰〰〰〰〰〰〰〰〰〰〰〰〰〰〰〰〰〰〰〰〰hope#5085</v>
      </c>
      <c r="C7" s="7" t="str">
        <f>IFERROR(__xludf.DUMMYFUNCTION("""COMPUTED_VALUE"""),"seasalt#0575")</f>
        <v>seasalt#0575</v>
      </c>
      <c r="D7" s="7" t="str">
        <f>IFERROR(__xludf.DUMMYFUNCTION("""COMPUTED_VALUE"""),"FireWolf256")</f>
        <v>FireWolf256</v>
      </c>
      <c r="E7" s="7" t="str">
        <f>IFERROR(__xludf.DUMMYFUNCTION("""COMPUTED_VALUE"""),"JK#6170")</f>
        <v>JK#6170</v>
      </c>
      <c r="F7" s="7"/>
    </row>
    <row r="8">
      <c r="A8" s="7" t="str">
        <f>IFERROR(__xludf.DUMMYFUNCTION("""COMPUTED_VALUE"""),"Westview")</f>
        <v>Westview</v>
      </c>
      <c r="B8" s="7" t="str">
        <f>IFERROR(__xludf.DUMMYFUNCTION("""COMPUTED_VALUE"""),"Makorn#1037")</f>
        <v>Makorn#1037</v>
      </c>
      <c r="C8" s="7" t="str">
        <f>IFERROR(__xludf.DUMMYFUNCTION("""COMPUTED_VALUE"""),"j_w12808#0788")</f>
        <v>j_w12808#0788</v>
      </c>
      <c r="D8" s="7" t="str">
        <f>IFERROR(__xludf.DUMMYFUNCTION("""COMPUTED_VALUE"""),"ThyOwneBoy#6424")</f>
        <v>ThyOwneBoy#6424</v>
      </c>
      <c r="E8" s="7" t="str">
        <f>IFERROR(__xludf.DUMMYFUNCTION("""COMPUTED_VALUE"""),"\\\\\\\\#0741")</f>
        <v>\\\\\\\\#0741</v>
      </c>
      <c r="F8" s="7" t="str">
        <f>IFERROR(__xludf.DUMMYFUNCTION("""COMPUTED_VALUE"""),"prototype_milk")</f>
        <v>prototype_milk</v>
      </c>
    </row>
    <row r="9">
      <c r="A9" s="7" t="str">
        <f>IFERROR(__xludf.DUMMYFUNCTION("""COMPUTED_VALUE"""),"mike oxlong")</f>
        <v>mike oxlong</v>
      </c>
      <c r="B9" s="7" t="str">
        <f>IFERROR(__xludf.DUMMYFUNCTION("""COMPUTED_VALUE"""),"thecoolchicken")</f>
        <v>thecoolchicken</v>
      </c>
      <c r="C9" s="7" t="str">
        <f>IFERROR(__xludf.DUMMYFUNCTION("""COMPUTED_VALUE"""),"mathcube1717")</f>
        <v>mathcube1717</v>
      </c>
      <c r="D9" s="7" t="str">
        <f>IFERROR(__xludf.DUMMYFUNCTION("""COMPUTED_VALUE"""),"steviewonder24")</f>
        <v>steviewonder24</v>
      </c>
      <c r="E9" s="7" t="str">
        <f>IFERROR(__xludf.DUMMYFUNCTION("""COMPUTED_VALUE"""),"learner11afc#0359")</f>
        <v>learner11afc#0359</v>
      </c>
      <c r="F9" s="7" t="str">
        <f>IFERROR(__xludf.DUMMYFUNCTION("""COMPUTED_VALUE"""),"lil beep boop IV")</f>
        <v>lil beep boop IV</v>
      </c>
    </row>
    <row r="10">
      <c r="A10" s="7" t="str">
        <f>IFERROR(__xludf.DUMMYFUNCTION("""COMPUTED_VALUE"""),"Bamiters")</f>
        <v>Bamiters</v>
      </c>
      <c r="B10" s="7" t="str">
        <f>IFERROR(__xludf.DUMMYFUNCTION("""COMPUTED_VALUE"""),"Not Bamity#3907")</f>
        <v>Not Bamity#3907</v>
      </c>
      <c r="C10" s="7" t="str">
        <f>IFERROR(__xludf.DUMMYFUNCTION("""COMPUTED_VALUE"""),"Seregios#6729")</f>
        <v>Seregios#6729</v>
      </c>
      <c r="D10" s="7" t="str">
        <f>IFERROR(__xludf.DUMMYFUNCTION("""COMPUTED_VALUE"""),"aquaticseatard")</f>
        <v>aquaticseatard</v>
      </c>
      <c r="E10" s="7" t="str">
        <f>IFERROR(__xludf.DUMMYFUNCTION("""COMPUTED_VALUE"""),"Kylari04#3842")</f>
        <v>Kylari04#3842</v>
      </c>
      <c r="F1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31.38"/>
    <col customWidth="1" min="3" max="5" width="6.38"/>
    <col customWidth="1" min="6" max="7" width="9.5"/>
    <col customWidth="1" min="8" max="15" width="6.38"/>
  </cols>
  <sheetData>
    <row r="1">
      <c r="A1" s="5" t="str">
        <f>IFERROR(__xludf.DUMMYFUNCTION("IMPORTRANGE(""https://docs.google.com/spreadsheets/d/1OybiuBTGjSbgZUhbjn6OP5PR1JdBKjYDC9dbhedPNxo/edit?usp=sharing"", ""T. Rank - Manual!A1:O10"")"),"Rank")</f>
        <v>Rank</v>
      </c>
      <c r="B1" s="8" t="str">
        <f>IFERROR(__xludf.DUMMYFUNCTION("""COMPUTED_VALUE"""),"Team")</f>
        <v>Team</v>
      </c>
      <c r="C1" s="11" t="str">
        <f>IFERROR(__xludf.DUMMYFUNCTION("""COMPUTED_VALUE"""),"W")</f>
        <v>W</v>
      </c>
      <c r="D1" s="10" t="str">
        <f>IFERROR(__xludf.DUMMYFUNCTION("""COMPUTED_VALUE"""),"L")</f>
        <v>L</v>
      </c>
      <c r="E1" s="15" t="str">
        <f>IFERROR(__xludf.DUMMYFUNCTION("""COMPUTED_VALUE"""),"Pct")</f>
        <v>Pct</v>
      </c>
      <c r="F1" s="14" t="str">
        <f>IFERROR(__xludf.DUMMYFUNCTION("""COMPUTED_VALUE"""),"PPG")</f>
        <v>PPG</v>
      </c>
      <c r="G1" s="14" t="str">
        <f>IFERROR(__xludf.DUMMYFUNCTION("""COMPUTED_VALUE"""),"PAPG")</f>
        <v>PAPG</v>
      </c>
      <c r="H1" s="19" t="str">
        <f>IFERROR(__xludf.DUMMYFUNCTION("""COMPUTED_VALUE"""),"Mrg")</f>
        <v>Mrg</v>
      </c>
      <c r="I1" s="11" t="str">
        <f>IFERROR(__xludf.DUMMYFUNCTION("""COMPUTED_VALUE"""),"TUH")</f>
        <v>TUH</v>
      </c>
      <c r="J1" s="10">
        <f>IFERROR(__xludf.DUMMYFUNCTION("""COMPUTED_VALUE"""),4.0)</f>
        <v>4</v>
      </c>
      <c r="K1" s="12">
        <f>IFERROR(__xludf.DUMMYFUNCTION("""COMPUTED_VALUE"""),-4.0)</f>
        <v>-4</v>
      </c>
      <c r="L1" s="23" t="str">
        <f>IFERROR(__xludf.DUMMYFUNCTION("""COMPUTED_VALUE"""),"G/N")</f>
        <v>G/N</v>
      </c>
      <c r="M1" s="11" t="str">
        <f>IFERROR(__xludf.DUMMYFUNCTION("""COMPUTED_VALUE"""),"BHrd")</f>
        <v>BHrd</v>
      </c>
      <c r="N1" s="10" t="str">
        <f>IFERROR(__xludf.DUMMYFUNCTION("""COMPUTED_VALUE"""),"BPts")</f>
        <v>BPts</v>
      </c>
      <c r="O1" s="15" t="str">
        <f>IFERROR(__xludf.DUMMYFUNCTION("""COMPUTED_VALUE"""),"P/B")</f>
        <v>P/B</v>
      </c>
    </row>
    <row r="2">
      <c r="A2" s="16">
        <f>IFERROR(__xludf.DUMMYFUNCTION("""COMPUTED_VALUE"""),1.0)</f>
        <v>1</v>
      </c>
      <c r="B2" s="27" t="str">
        <f>IFERROR(__xludf.DUMMYFUNCTION("""COMPUTED_VALUE"""),"Sexington High School + Con")</f>
        <v>Sexington High School + Con</v>
      </c>
      <c r="C2" s="29" t="str">
        <f>IFERROR(__xludf.DUMMYFUNCTION("""COMPUTED_VALUE"""),"5.5")</f>
        <v>5.5</v>
      </c>
      <c r="D2" s="30" t="str">
        <f>IFERROR(__xludf.DUMMYFUNCTION("""COMPUTED_VALUE"""),".5")</f>
        <v>.5</v>
      </c>
      <c r="E2" s="31">
        <f>IFERROR(__xludf.DUMMYFUNCTION("""COMPUTED_VALUE"""),0.9166666)</f>
        <v>0.9166666</v>
      </c>
      <c r="F2" s="26">
        <f>IFERROR(__xludf.DUMMYFUNCTION("""COMPUTED_VALUE"""),87.66666666666667)</f>
        <v>87.66666667</v>
      </c>
      <c r="G2" s="26">
        <f>IFERROR(__xludf.DUMMYFUNCTION("""COMPUTED_VALUE"""),37.666666666666664)</f>
        <v>37.66666667</v>
      </c>
      <c r="H2" s="32">
        <f>IFERROR(__xludf.DUMMYFUNCTION("""COMPUTED_VALUE"""),50.00000000000001)</f>
        <v>50</v>
      </c>
      <c r="I2" s="33">
        <f>IFERROR(__xludf.DUMMYFUNCTION("""COMPUTED_VALUE"""),120.0)</f>
        <v>120</v>
      </c>
      <c r="J2" s="34">
        <f>IFERROR(__xludf.DUMMYFUNCTION("""COMPUTED_VALUE"""),59.0)</f>
        <v>59</v>
      </c>
      <c r="K2" s="28">
        <f>IFERROR(__xludf.DUMMYFUNCTION("""COMPUTED_VALUE"""),15.0)</f>
        <v>15</v>
      </c>
      <c r="L2" s="35">
        <f>IFERROR(__xludf.DUMMYFUNCTION("""COMPUTED_VALUE"""),3.933333333333333)</f>
        <v>3.933333333</v>
      </c>
      <c r="M2" s="33">
        <f>IFERROR(__xludf.DUMMYFUNCTION("""COMPUTED_VALUE"""),59.0)</f>
        <v>59</v>
      </c>
      <c r="N2" s="34">
        <f>IFERROR(__xludf.DUMMYFUNCTION("""COMPUTED_VALUE"""),350.0)</f>
        <v>350</v>
      </c>
      <c r="O2" s="36">
        <f>IFERROR(__xludf.DUMMYFUNCTION("""COMPUTED_VALUE"""),5.932203389830509)</f>
        <v>5.93220339</v>
      </c>
    </row>
    <row r="3">
      <c r="A3" s="16">
        <f>IFERROR(__xludf.DUMMYFUNCTION("""COMPUTED_VALUE"""),2.0)</f>
        <v>2</v>
      </c>
      <c r="B3" s="27" t="str">
        <f>IFERROR(__xludf.DUMMYFUNCTION("""COMPUTED_VALUE"""),"Wayzata/Blair")</f>
        <v>Wayzata/Blair</v>
      </c>
      <c r="C3" s="29" t="str">
        <f>IFERROR(__xludf.DUMMYFUNCTION("""COMPUTED_VALUE"""),"3.5")</f>
        <v>3.5</v>
      </c>
      <c r="D3" s="30" t="str">
        <f>IFERROR(__xludf.DUMMYFUNCTION("""COMPUTED_VALUE"""),".5")</f>
        <v>.5</v>
      </c>
      <c r="E3" s="31">
        <f>IFERROR(__xludf.DUMMYFUNCTION("""COMPUTED_VALUE"""),0.875)</f>
        <v>0.875</v>
      </c>
      <c r="F3" s="26">
        <f>IFERROR(__xludf.DUMMYFUNCTION("""COMPUTED_VALUE"""),74.5)</f>
        <v>74.5</v>
      </c>
      <c r="G3" s="26">
        <f>IFERROR(__xludf.DUMMYFUNCTION("""COMPUTED_VALUE"""),47.5)</f>
        <v>47.5</v>
      </c>
      <c r="H3" s="32">
        <f>IFERROR(__xludf.DUMMYFUNCTION("""COMPUTED_VALUE"""),27.0)</f>
        <v>27</v>
      </c>
      <c r="I3" s="33">
        <f>IFERROR(__xludf.DUMMYFUNCTION("""COMPUTED_VALUE"""),80.0)</f>
        <v>80</v>
      </c>
      <c r="J3" s="34">
        <f>IFERROR(__xludf.DUMMYFUNCTION("""COMPUTED_VALUE"""),34.0)</f>
        <v>34</v>
      </c>
      <c r="K3" s="28">
        <f>IFERROR(__xludf.DUMMYFUNCTION("""COMPUTED_VALUE"""),7.0)</f>
        <v>7</v>
      </c>
      <c r="L3" s="35">
        <f>IFERROR(__xludf.DUMMYFUNCTION("""COMPUTED_VALUE"""),4.857142857142857)</f>
        <v>4.857142857</v>
      </c>
      <c r="M3" s="33">
        <f>IFERROR(__xludf.DUMMYFUNCTION("""COMPUTED_VALUE"""),34.0)</f>
        <v>34</v>
      </c>
      <c r="N3" s="34">
        <f>IFERROR(__xludf.DUMMYFUNCTION("""COMPUTED_VALUE"""),190.0)</f>
        <v>190</v>
      </c>
      <c r="O3" s="36">
        <f>IFERROR(__xludf.DUMMYFUNCTION("""COMPUTED_VALUE"""),5.588235294117647)</f>
        <v>5.588235294</v>
      </c>
    </row>
    <row r="4">
      <c r="A4" s="16">
        <f>IFERROR(__xludf.DUMMYFUNCTION("""COMPUTED_VALUE"""),3.0)</f>
        <v>3</v>
      </c>
      <c r="B4" s="27" t="str">
        <f>IFERROR(__xludf.DUMMYFUNCTION("""COMPUTED_VALUE"""),"Bamiters")</f>
        <v>Bamiters</v>
      </c>
      <c r="C4" s="29">
        <f>IFERROR(__xludf.DUMMYFUNCTION("""COMPUTED_VALUE"""),4.0)</f>
        <v>4</v>
      </c>
      <c r="D4" s="30">
        <f>IFERROR(__xludf.DUMMYFUNCTION("""COMPUTED_VALUE"""),2.0)</f>
        <v>2</v>
      </c>
      <c r="E4" s="31">
        <f>IFERROR(__xludf.DUMMYFUNCTION("""COMPUTED_VALUE"""),0.875)</f>
        <v>0.875</v>
      </c>
      <c r="F4" s="26">
        <f>IFERROR(__xludf.DUMMYFUNCTION("""COMPUTED_VALUE"""),63.0)</f>
        <v>63</v>
      </c>
      <c r="G4" s="26">
        <f>IFERROR(__xludf.DUMMYFUNCTION("""COMPUTED_VALUE"""),47.333333333333336)</f>
        <v>47.33333333</v>
      </c>
      <c r="H4" s="32">
        <f>IFERROR(__xludf.DUMMYFUNCTION("""COMPUTED_VALUE"""),15.666666666666664)</f>
        <v>15.66666667</v>
      </c>
      <c r="I4" s="33">
        <f>IFERROR(__xludf.DUMMYFUNCTION("""COMPUTED_VALUE"""),125.0)</f>
        <v>125</v>
      </c>
      <c r="J4" s="34">
        <f>IFERROR(__xludf.DUMMYFUNCTION("""COMPUTED_VALUE"""),47.0)</f>
        <v>47</v>
      </c>
      <c r="K4" s="28">
        <f>IFERROR(__xludf.DUMMYFUNCTION("""COMPUTED_VALUE"""),5.0)</f>
        <v>5</v>
      </c>
      <c r="L4" s="35">
        <f>IFERROR(__xludf.DUMMYFUNCTION("""COMPUTED_VALUE"""),9.4)</f>
        <v>9.4</v>
      </c>
      <c r="M4" s="33">
        <f>IFERROR(__xludf.DUMMYFUNCTION("""COMPUTED_VALUE"""),47.0)</f>
        <v>47</v>
      </c>
      <c r="N4" s="34">
        <f>IFERROR(__xludf.DUMMYFUNCTION("""COMPUTED_VALUE"""),210.0)</f>
        <v>210</v>
      </c>
      <c r="O4" s="36">
        <f>IFERROR(__xludf.DUMMYFUNCTION("""COMPUTED_VALUE"""),4.468085106382978)</f>
        <v>4.468085106</v>
      </c>
    </row>
    <row r="5">
      <c r="A5" s="16">
        <f>IFERROR(__xludf.DUMMYFUNCTION("""COMPUTED_VALUE"""),4.0)</f>
        <v>4</v>
      </c>
      <c r="B5" s="27" t="str">
        <f>IFERROR(__xludf.DUMMYFUNCTION("""COMPUTED_VALUE"""),"Tesla")</f>
        <v>Tesla</v>
      </c>
      <c r="C5" s="29">
        <f>IFERROR(__xludf.DUMMYFUNCTION("""COMPUTED_VALUE"""),2.0)</f>
        <v>2</v>
      </c>
      <c r="D5" s="30">
        <f>IFERROR(__xludf.DUMMYFUNCTION("""COMPUTED_VALUE"""),2.0)</f>
        <v>2</v>
      </c>
      <c r="E5" s="31">
        <f>IFERROR(__xludf.DUMMYFUNCTION("""COMPUTED_VALUE"""),0.6)</f>
        <v>0.6</v>
      </c>
      <c r="F5" s="26">
        <f>IFERROR(__xludf.DUMMYFUNCTION("""COMPUTED_VALUE"""),51.0)</f>
        <v>51</v>
      </c>
      <c r="G5" s="26">
        <f>IFERROR(__xludf.DUMMYFUNCTION("""COMPUTED_VALUE"""),52.0)</f>
        <v>52</v>
      </c>
      <c r="H5" s="32">
        <f>IFERROR(__xludf.DUMMYFUNCTION("""COMPUTED_VALUE"""),-1.0)</f>
        <v>-1</v>
      </c>
      <c r="I5" s="33">
        <f>IFERROR(__xludf.DUMMYFUNCTION("""COMPUTED_VALUE"""),80.0)</f>
        <v>80</v>
      </c>
      <c r="J5" s="34">
        <f>IFERROR(__xludf.DUMMYFUNCTION("""COMPUTED_VALUE"""),29.0)</f>
        <v>29</v>
      </c>
      <c r="K5" s="28">
        <f>IFERROR(__xludf.DUMMYFUNCTION("""COMPUTED_VALUE"""),8.0)</f>
        <v>8</v>
      </c>
      <c r="L5" s="35">
        <f>IFERROR(__xludf.DUMMYFUNCTION("""COMPUTED_VALUE"""),3.625)</f>
        <v>3.625</v>
      </c>
      <c r="M5" s="33">
        <f>IFERROR(__xludf.DUMMYFUNCTION("""COMPUTED_VALUE"""),29.0)</f>
        <v>29</v>
      </c>
      <c r="N5" s="34">
        <f>IFERROR(__xludf.DUMMYFUNCTION("""COMPUTED_VALUE"""),120.0)</f>
        <v>120</v>
      </c>
      <c r="O5" s="36">
        <f>IFERROR(__xludf.DUMMYFUNCTION("""COMPUTED_VALUE"""),4.137931034482759)</f>
        <v>4.137931034</v>
      </c>
    </row>
    <row r="6">
      <c r="A6" s="16">
        <f>IFERROR(__xludf.DUMMYFUNCTION("""COMPUTED_VALUE"""),5.0)</f>
        <v>5</v>
      </c>
      <c r="B6" s="27" t="str">
        <f>IFERROR(__xludf.DUMMYFUNCTION("""COMPUTED_VALUE"""),"mike oxlong")</f>
        <v>mike oxlong</v>
      </c>
      <c r="C6" s="29">
        <f>IFERROR(__xludf.DUMMYFUNCTION("""COMPUTED_VALUE"""),4.0)</f>
        <v>4</v>
      </c>
      <c r="D6" s="30">
        <f>IFERROR(__xludf.DUMMYFUNCTION("""COMPUTED_VALUE"""),4.0)</f>
        <v>4</v>
      </c>
      <c r="E6" s="31">
        <f>IFERROR(__xludf.DUMMYFUNCTION("""COMPUTED_VALUE"""),0.5)</f>
        <v>0.5</v>
      </c>
      <c r="F6" s="26">
        <f>IFERROR(__xludf.DUMMYFUNCTION("""COMPUTED_VALUE"""),43.75)</f>
        <v>43.75</v>
      </c>
      <c r="G6" s="26">
        <f>IFERROR(__xludf.DUMMYFUNCTION("""COMPUTED_VALUE"""),62.5)</f>
        <v>62.5</v>
      </c>
      <c r="H6" s="32">
        <f>IFERROR(__xludf.DUMMYFUNCTION("""COMPUTED_VALUE"""),-18.75)</f>
        <v>-18.75</v>
      </c>
      <c r="I6" s="33">
        <f>IFERROR(__xludf.DUMMYFUNCTION("""COMPUTED_VALUE"""),165.0)</f>
        <v>165</v>
      </c>
      <c r="J6" s="34">
        <f>IFERROR(__xludf.DUMMYFUNCTION("""COMPUTED_VALUE"""),47.0)</f>
        <v>47</v>
      </c>
      <c r="K6" s="28">
        <f>IFERROR(__xludf.DUMMYFUNCTION("""COMPUTED_VALUE"""),7.0)</f>
        <v>7</v>
      </c>
      <c r="L6" s="35">
        <f>IFERROR(__xludf.DUMMYFUNCTION("""COMPUTED_VALUE"""),6.714285714285714)</f>
        <v>6.714285714</v>
      </c>
      <c r="M6" s="33">
        <f>IFERROR(__xludf.DUMMYFUNCTION("""COMPUTED_VALUE"""),47.0)</f>
        <v>47</v>
      </c>
      <c r="N6" s="34">
        <f>IFERROR(__xludf.DUMMYFUNCTION("""COMPUTED_VALUE"""),190.0)</f>
        <v>190</v>
      </c>
      <c r="O6" s="36">
        <f>IFERROR(__xludf.DUMMYFUNCTION("""COMPUTED_VALUE"""),4.042553191489362)</f>
        <v>4.042553191</v>
      </c>
    </row>
    <row r="7">
      <c r="A7" s="16">
        <f>IFERROR(__xludf.DUMMYFUNCTION("""COMPUTED_VALUE"""),6.0)</f>
        <v>6</v>
      </c>
      <c r="B7" s="27" t="str">
        <f>IFERROR(__xludf.DUMMYFUNCTION("""COMPUTED_VALUE"""),"shittier kids")</f>
        <v>shittier kids</v>
      </c>
      <c r="C7" s="29">
        <f>IFERROR(__xludf.DUMMYFUNCTION("""COMPUTED_VALUE"""),2.0)</f>
        <v>2</v>
      </c>
      <c r="D7" s="30">
        <f>IFERROR(__xludf.DUMMYFUNCTION("""COMPUTED_VALUE"""),3.0)</f>
        <v>3</v>
      </c>
      <c r="E7" s="31">
        <f>IFERROR(__xludf.DUMMYFUNCTION("""COMPUTED_VALUE"""),0.4)</f>
        <v>0.4</v>
      </c>
      <c r="F7" s="26">
        <f>IFERROR(__xludf.DUMMYFUNCTION("""COMPUTED_VALUE"""),59.6)</f>
        <v>59.6</v>
      </c>
      <c r="G7" s="26">
        <f>IFERROR(__xludf.DUMMYFUNCTION("""COMPUTED_VALUE"""),54.4)</f>
        <v>54.4</v>
      </c>
      <c r="H7" s="32">
        <f>IFERROR(__xludf.DUMMYFUNCTION("""COMPUTED_VALUE"""),5.200000000000003)</f>
        <v>5.2</v>
      </c>
      <c r="I7" s="33">
        <f>IFERROR(__xludf.DUMMYFUNCTION("""COMPUTED_VALUE"""),100.0)</f>
        <v>100</v>
      </c>
      <c r="J7" s="34">
        <f>IFERROR(__xludf.DUMMYFUNCTION("""COMPUTED_VALUE"""),36.0)</f>
        <v>36</v>
      </c>
      <c r="K7" s="28">
        <f>IFERROR(__xludf.DUMMYFUNCTION("""COMPUTED_VALUE"""),9.0)</f>
        <v>9</v>
      </c>
      <c r="L7" s="35">
        <f>IFERROR(__xludf.DUMMYFUNCTION("""COMPUTED_VALUE"""),4.0)</f>
        <v>4</v>
      </c>
      <c r="M7" s="33">
        <f>IFERROR(__xludf.DUMMYFUNCTION("""COMPUTED_VALUE"""),36.0)</f>
        <v>36</v>
      </c>
      <c r="N7" s="34">
        <f>IFERROR(__xludf.DUMMYFUNCTION("""COMPUTED_VALUE"""),190.0)</f>
        <v>190</v>
      </c>
      <c r="O7" s="36">
        <f>IFERROR(__xludf.DUMMYFUNCTION("""COMPUTED_VALUE"""),5.277777777777778)</f>
        <v>5.277777778</v>
      </c>
    </row>
    <row r="8">
      <c r="A8" s="16">
        <f>IFERROR(__xludf.DUMMYFUNCTION("""COMPUTED_VALUE"""),7.0)</f>
        <v>7</v>
      </c>
      <c r="B8" s="27" t="str">
        <f>IFERROR(__xludf.DUMMYFUNCTION("""COMPUTED_VALUE"""),"Langley")</f>
        <v>Langley</v>
      </c>
      <c r="C8" s="29">
        <f>IFERROR(__xludf.DUMMYFUNCTION("""COMPUTED_VALUE"""),1.0)</f>
        <v>1</v>
      </c>
      <c r="D8" s="30">
        <f>IFERROR(__xludf.DUMMYFUNCTION("""COMPUTED_VALUE"""),4.0)</f>
        <v>4</v>
      </c>
      <c r="E8" s="31">
        <f>IFERROR(__xludf.DUMMYFUNCTION("""COMPUTED_VALUE"""),0.2)</f>
        <v>0.2</v>
      </c>
      <c r="F8" s="26">
        <f>IFERROR(__xludf.DUMMYFUNCTION("""COMPUTED_VALUE"""),35.2)</f>
        <v>35.2</v>
      </c>
      <c r="G8" s="26">
        <f>IFERROR(__xludf.DUMMYFUNCTION("""COMPUTED_VALUE"""),75.6)</f>
        <v>75.6</v>
      </c>
      <c r="H8" s="32">
        <f>IFERROR(__xludf.DUMMYFUNCTION("""COMPUTED_VALUE"""),-40.39999999999999)</f>
        <v>-40.4</v>
      </c>
      <c r="I8" s="33">
        <f>IFERROR(__xludf.DUMMYFUNCTION("""COMPUTED_VALUE"""),100.0)</f>
        <v>100</v>
      </c>
      <c r="J8" s="34">
        <f>IFERROR(__xludf.DUMMYFUNCTION("""COMPUTED_VALUE"""),22.0)</f>
        <v>22</v>
      </c>
      <c r="K8" s="28">
        <f>IFERROR(__xludf.DUMMYFUNCTION("""COMPUTED_VALUE"""),8.0)</f>
        <v>8</v>
      </c>
      <c r="L8" s="35">
        <f>IFERROR(__xludf.DUMMYFUNCTION("""COMPUTED_VALUE"""),2.75)</f>
        <v>2.75</v>
      </c>
      <c r="M8" s="33">
        <f>IFERROR(__xludf.DUMMYFUNCTION("""COMPUTED_VALUE"""),22.0)</f>
        <v>22</v>
      </c>
      <c r="N8" s="34">
        <f>IFERROR(__xludf.DUMMYFUNCTION("""COMPUTED_VALUE"""),120.0)</f>
        <v>120</v>
      </c>
      <c r="O8" s="36">
        <f>IFERROR(__xludf.DUMMYFUNCTION("""COMPUTED_VALUE"""),5.454545454545454)</f>
        <v>5.454545455</v>
      </c>
    </row>
    <row r="9">
      <c r="A9" s="16">
        <f>IFERROR(__xludf.DUMMYFUNCTION("""COMPUTED_VALUE"""),8.0)</f>
        <v>8</v>
      </c>
      <c r="B9" s="27" t="str">
        <f>IFERROR(__xludf.DUMMYFUNCTION("""COMPUTED_VALUE"""),"Fairview")</f>
        <v>Fairview</v>
      </c>
      <c r="C9" s="29">
        <f>IFERROR(__xludf.DUMMYFUNCTION("""COMPUTED_VALUE"""),0.0)</f>
        <v>0</v>
      </c>
      <c r="D9" s="30">
        <f>IFERROR(__xludf.DUMMYFUNCTION("""COMPUTED_VALUE"""),1.0)</f>
        <v>1</v>
      </c>
      <c r="E9" s="31">
        <f>IFERROR(__xludf.DUMMYFUNCTION("""COMPUTED_VALUE"""),0.0)</f>
        <v>0</v>
      </c>
      <c r="F9" s="37">
        <f>IFERROR(__xludf.DUMMYFUNCTION("""COMPUTED_VALUE"""),40.0)</f>
        <v>40</v>
      </c>
      <c r="G9" s="37">
        <f>IFERROR(__xludf.DUMMYFUNCTION("""COMPUTED_VALUE"""),92.0)</f>
        <v>92</v>
      </c>
      <c r="H9" s="38">
        <f>IFERROR(__xludf.DUMMYFUNCTION("""COMPUTED_VALUE"""),-52.0)</f>
        <v>-52</v>
      </c>
      <c r="I9" s="39">
        <f>IFERROR(__xludf.DUMMYFUNCTION("""COMPUTED_VALUE"""),20.0)</f>
        <v>20</v>
      </c>
      <c r="J9" s="40">
        <f>IFERROR(__xludf.DUMMYFUNCTION("""COMPUTED_VALUE"""),5.0)</f>
        <v>5</v>
      </c>
      <c r="K9" s="41">
        <f>IFERROR(__xludf.DUMMYFUNCTION("""COMPUTED_VALUE"""),0.0)</f>
        <v>0</v>
      </c>
      <c r="L9" s="42" t="str">
        <f>IFERROR(__xludf.DUMMYFUNCTION("""COMPUTED_VALUE"""),"inf")</f>
        <v>inf</v>
      </c>
      <c r="M9" s="43">
        <f>IFERROR(__xludf.DUMMYFUNCTION("""COMPUTED_VALUE"""),5.0)</f>
        <v>5</v>
      </c>
      <c r="N9" s="40">
        <f>IFERROR(__xludf.DUMMYFUNCTION("""COMPUTED_VALUE"""),20.0)</f>
        <v>20</v>
      </c>
      <c r="O9" s="31">
        <f>IFERROR(__xludf.DUMMYFUNCTION("""COMPUTED_VALUE"""),4.0)</f>
        <v>4</v>
      </c>
    </row>
    <row r="10">
      <c r="A10" s="16">
        <f>IFERROR(__xludf.DUMMYFUNCTION("""COMPUTED_VALUE"""),9.0)</f>
        <v>9</v>
      </c>
      <c r="B10" s="27" t="str">
        <f>IFERROR(__xludf.DUMMYFUNCTION("""COMPUTED_VALUE"""),"Westview")</f>
        <v>Westview</v>
      </c>
      <c r="C10" s="29">
        <f>IFERROR(__xludf.DUMMYFUNCTION("""COMPUTED_VALUE"""),0.0)</f>
        <v>0</v>
      </c>
      <c r="D10" s="30">
        <f>IFERROR(__xludf.DUMMYFUNCTION("""COMPUTED_VALUE"""),5.0)</f>
        <v>5</v>
      </c>
      <c r="E10" s="31">
        <f>IFERROR(__xludf.DUMMYFUNCTION("""COMPUTED_VALUE"""),0.0)</f>
        <v>0</v>
      </c>
      <c r="F10" s="37">
        <f>IFERROR(__xludf.DUMMYFUNCTION("""COMPUTED_VALUE"""),38.8)</f>
        <v>38.8</v>
      </c>
      <c r="G10" s="37">
        <f>IFERROR(__xludf.DUMMYFUNCTION("""COMPUTED_VALUE"""),62.8)</f>
        <v>62.8</v>
      </c>
      <c r="H10" s="38">
        <f>IFERROR(__xludf.DUMMYFUNCTION("""COMPUTED_VALUE"""),-24.0)</f>
        <v>-24</v>
      </c>
      <c r="I10" s="39">
        <f>IFERROR(__xludf.DUMMYFUNCTION("""COMPUTED_VALUE"""),100.0)</f>
        <v>100</v>
      </c>
      <c r="J10" s="40">
        <f>IFERROR(__xludf.DUMMYFUNCTION("""COMPUTED_VALUE"""),28.0)</f>
        <v>28</v>
      </c>
      <c r="K10" s="41">
        <f>IFERROR(__xludf.DUMMYFUNCTION("""COMPUTED_VALUE"""),7.0)</f>
        <v>7</v>
      </c>
      <c r="L10" s="42">
        <f>IFERROR(__xludf.DUMMYFUNCTION("""COMPUTED_VALUE"""),4.0)</f>
        <v>4</v>
      </c>
      <c r="M10" s="43">
        <f>IFERROR(__xludf.DUMMYFUNCTION("""COMPUTED_VALUE"""),28.0)</f>
        <v>28</v>
      </c>
      <c r="N10" s="40">
        <f>IFERROR(__xludf.DUMMYFUNCTION("""COMPUTED_VALUE"""),110.0)</f>
        <v>110</v>
      </c>
      <c r="O10" s="31">
        <f>IFERROR(__xludf.DUMMYFUNCTION("""COMPUTED_VALUE"""),3.9285714285714284)</f>
        <v>3.928571429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25.13"/>
    <col customWidth="1" min="4" max="11" width="6.38"/>
  </cols>
  <sheetData>
    <row r="1">
      <c r="A1" s="2" t="str">
        <f>IFERROR(__xludf.DUMMYFUNCTION("IMPORTRANGE(""https://docs.google.com/spreadsheets/d/1OybiuBTGjSbgZUhbjn6OP5PR1JdBKjYDC9dbhedPNxo/edit?usp=sharing"", ""I. Rank - Manual!A1:K50"")"),"Rank")</f>
        <v>Rank</v>
      </c>
      <c r="B1" s="3" t="str">
        <f>IFERROR(__xludf.DUMMYFUNCTION("""COMPUTED_VALUE"""),"Player")</f>
        <v>Player</v>
      </c>
      <c r="C1" s="4" t="str">
        <f>IFERROR(__xludf.DUMMYFUNCTION("""COMPUTED_VALUE"""),"Team")</f>
        <v>Team</v>
      </c>
      <c r="D1" s="6" t="str">
        <f>IFERROR(__xludf.DUMMYFUNCTION("""COMPUTED_VALUE"""),"GP")</f>
        <v>GP</v>
      </c>
      <c r="E1" s="9" t="str">
        <f>IFERROR(__xludf.DUMMYFUNCTION("""COMPUTED_VALUE"""),"TUH")</f>
        <v>TUH</v>
      </c>
      <c r="F1" s="10">
        <f>IFERROR(__xludf.DUMMYFUNCTION("""COMPUTED_VALUE"""),4.0)</f>
        <v>4</v>
      </c>
      <c r="G1" s="12">
        <f>IFERROR(__xludf.DUMMYFUNCTION("""COMPUTED_VALUE"""),-4.0)</f>
        <v>-4</v>
      </c>
      <c r="H1" s="9" t="str">
        <f>IFERROR(__xludf.DUMMYFUNCTION("""COMPUTED_VALUE"""),"P/TU")</f>
        <v>P/TU</v>
      </c>
      <c r="I1" s="14" t="str">
        <f>IFERROR(__xludf.DUMMYFUNCTION("""COMPUTED_VALUE"""),"G/N")</f>
        <v>G/N</v>
      </c>
      <c r="J1" s="12" t="str">
        <f>IFERROR(__xludf.DUMMYFUNCTION("""COMPUTED_VALUE"""),"Pts")</f>
        <v>Pts</v>
      </c>
      <c r="K1" s="9" t="str">
        <f>IFERROR(__xludf.DUMMYFUNCTION("""COMPUTED_VALUE"""),"PP20")</f>
        <v>PP20</v>
      </c>
    </row>
    <row r="2">
      <c r="A2" s="16">
        <f>IFERROR(__xludf.DUMMYFUNCTION("""COMPUTED_VALUE"""),1.0)</f>
        <v>1</v>
      </c>
      <c r="B2" s="17" t="str">
        <f>IFERROR(__xludf.DUMMYFUNCTION("""COMPUTED_VALUE"""),"aquaticseatard")</f>
        <v>aquaticseatard</v>
      </c>
      <c r="C2" s="18" t="str">
        <f>IFERROR(__xludf.DUMMYFUNCTION("""COMPUTED_VALUE"""),"Bamiters")</f>
        <v>Bamiters</v>
      </c>
      <c r="D2" s="20">
        <f>IFERROR(__xludf.DUMMYFUNCTION("""COMPUTED_VALUE"""),6.25)</f>
        <v>6.25</v>
      </c>
      <c r="E2" s="21">
        <f>IFERROR(__xludf.DUMMYFUNCTION("""COMPUTED_VALUE"""),125.0)</f>
        <v>125</v>
      </c>
      <c r="F2" s="22">
        <f>IFERROR(__xludf.DUMMYFUNCTION("""COMPUTED_VALUE"""),42.0)</f>
        <v>42</v>
      </c>
      <c r="G2" s="24">
        <f>IFERROR(__xludf.DUMMYFUNCTION("""COMPUTED_VALUE"""),4.0)</f>
        <v>4</v>
      </c>
      <c r="H2" s="25">
        <f>IFERROR(__xludf.DUMMYFUNCTION("""COMPUTED_VALUE"""),1.216)</f>
        <v>1.216</v>
      </c>
      <c r="I2" s="26">
        <f>IFERROR(__xludf.DUMMYFUNCTION("""COMPUTED_VALUE"""),10.5)</f>
        <v>10.5</v>
      </c>
      <c r="J2" s="28">
        <f>IFERROR(__xludf.DUMMYFUNCTION("""COMPUTED_VALUE"""),152.0)</f>
        <v>152</v>
      </c>
      <c r="K2" s="25">
        <f>IFERROR(__xludf.DUMMYFUNCTION("""COMPUTED_VALUE"""),24.32)</f>
        <v>24.32</v>
      </c>
    </row>
    <row r="3">
      <c r="A3" s="16">
        <f>IFERROR(__xludf.DUMMYFUNCTION("""COMPUTED_VALUE"""),2.0)</f>
        <v>2</v>
      </c>
      <c r="B3" s="17" t="str">
        <f>IFERROR(__xludf.DUMMYFUNCTION("""COMPUTED_VALUE"""),"CTong")</f>
        <v>CTong</v>
      </c>
      <c r="C3" s="18" t="str">
        <f>IFERROR(__xludf.DUMMYFUNCTION("""COMPUTED_VALUE"""),"Wayzata/Blair")</f>
        <v>Wayzata/Blair</v>
      </c>
      <c r="D3" s="20">
        <f>IFERROR(__xludf.DUMMYFUNCTION("""COMPUTED_VALUE"""),4.0)</f>
        <v>4</v>
      </c>
      <c r="E3" s="21">
        <f>IFERROR(__xludf.DUMMYFUNCTION("""COMPUTED_VALUE"""),80.0)</f>
        <v>80</v>
      </c>
      <c r="F3" s="22">
        <f>IFERROR(__xludf.DUMMYFUNCTION("""COMPUTED_VALUE"""),19.0)</f>
        <v>19</v>
      </c>
      <c r="G3" s="24">
        <f>IFERROR(__xludf.DUMMYFUNCTION("""COMPUTED_VALUE"""),3.0)</f>
        <v>3</v>
      </c>
      <c r="H3" s="25">
        <f>IFERROR(__xludf.DUMMYFUNCTION("""COMPUTED_VALUE"""),0.8)</f>
        <v>0.8</v>
      </c>
      <c r="I3" s="26">
        <f>IFERROR(__xludf.DUMMYFUNCTION("""COMPUTED_VALUE"""),6.333333333333333)</f>
        <v>6.333333333</v>
      </c>
      <c r="J3" s="28">
        <f>IFERROR(__xludf.DUMMYFUNCTION("""COMPUTED_VALUE"""),64.0)</f>
        <v>64</v>
      </c>
      <c r="K3" s="25">
        <f>IFERROR(__xludf.DUMMYFUNCTION("""COMPUTED_VALUE"""),16.0)</f>
        <v>16</v>
      </c>
    </row>
    <row r="4">
      <c r="A4" s="16">
        <f>IFERROR(__xludf.DUMMYFUNCTION("""COMPUTED_VALUE"""),3.0)</f>
        <v>3</v>
      </c>
      <c r="B4" s="17" t="str">
        <f>IFERROR(__xludf.DUMMYFUNCTION("""COMPUTED_VALUE"""),"Makorn#1037")</f>
        <v>Makorn#1037</v>
      </c>
      <c r="C4" s="18" t="str">
        <f>IFERROR(__xludf.DUMMYFUNCTION("""COMPUTED_VALUE"""),"Westview")</f>
        <v>Westview</v>
      </c>
      <c r="D4" s="20">
        <f>IFERROR(__xludf.DUMMYFUNCTION("""COMPUTED_VALUE"""),5.0)</f>
        <v>5</v>
      </c>
      <c r="E4" s="21">
        <f>IFERROR(__xludf.DUMMYFUNCTION("""COMPUTED_VALUE"""),100.0)</f>
        <v>100</v>
      </c>
      <c r="F4" s="22">
        <f>IFERROR(__xludf.DUMMYFUNCTION("""COMPUTED_VALUE"""),19.0)</f>
        <v>19</v>
      </c>
      <c r="G4" s="24">
        <f>IFERROR(__xludf.DUMMYFUNCTION("""COMPUTED_VALUE"""),2.0)</f>
        <v>2</v>
      </c>
      <c r="H4" s="25">
        <f>IFERROR(__xludf.DUMMYFUNCTION("""COMPUTED_VALUE"""),0.68)</f>
        <v>0.68</v>
      </c>
      <c r="I4" s="26">
        <f>IFERROR(__xludf.DUMMYFUNCTION("""COMPUTED_VALUE"""),9.5)</f>
        <v>9.5</v>
      </c>
      <c r="J4" s="28">
        <f>IFERROR(__xludf.DUMMYFUNCTION("""COMPUTED_VALUE"""),68.0)</f>
        <v>68</v>
      </c>
      <c r="K4" s="25">
        <f>IFERROR(__xludf.DUMMYFUNCTION("""COMPUTED_VALUE"""),13.6)</f>
        <v>13.6</v>
      </c>
    </row>
    <row r="5">
      <c r="A5" s="16">
        <f>IFERROR(__xludf.DUMMYFUNCTION("""COMPUTED_VALUE"""),4.0)</f>
        <v>4</v>
      </c>
      <c r="B5" s="17" t="str">
        <f>IFERROR(__xludf.DUMMYFUNCTION("""COMPUTED_VALUE"""),"Uwuchen")</f>
        <v>Uwuchen</v>
      </c>
      <c r="C5" s="18" t="str">
        <f>IFERROR(__xludf.DUMMYFUNCTION("""COMPUTED_VALUE"""),"Tesla")</f>
        <v>Tesla</v>
      </c>
      <c r="D5" s="20">
        <f>IFERROR(__xludf.DUMMYFUNCTION("""COMPUTED_VALUE"""),4.0)</f>
        <v>4</v>
      </c>
      <c r="E5" s="21">
        <f>IFERROR(__xludf.DUMMYFUNCTION("""COMPUTED_VALUE"""),80.0)</f>
        <v>80</v>
      </c>
      <c r="F5" s="22">
        <f>IFERROR(__xludf.DUMMYFUNCTION("""COMPUTED_VALUE"""),17.0)</f>
        <v>17</v>
      </c>
      <c r="G5" s="24">
        <f>IFERROR(__xludf.DUMMYFUNCTION("""COMPUTED_VALUE"""),4.0)</f>
        <v>4</v>
      </c>
      <c r="H5" s="25">
        <f>IFERROR(__xludf.DUMMYFUNCTION("""COMPUTED_VALUE"""),0.65)</f>
        <v>0.65</v>
      </c>
      <c r="I5" s="26">
        <f>IFERROR(__xludf.DUMMYFUNCTION("""COMPUTED_VALUE"""),4.25)</f>
        <v>4.25</v>
      </c>
      <c r="J5" s="28">
        <f>IFERROR(__xludf.DUMMYFUNCTION("""COMPUTED_VALUE"""),52.0)</f>
        <v>52</v>
      </c>
      <c r="K5" s="25">
        <f>IFERROR(__xludf.DUMMYFUNCTION("""COMPUTED_VALUE"""),13.0)</f>
        <v>13</v>
      </c>
    </row>
    <row r="6">
      <c r="A6" s="16">
        <f>IFERROR(__xludf.DUMMYFUNCTION("""COMPUTED_VALUE"""),5.0)</f>
        <v>5</v>
      </c>
      <c r="B6" s="17" t="str">
        <f>IFERROR(__xludf.DUMMYFUNCTION("""COMPUTED_VALUE"""),"Sean29")</f>
        <v>Sean29</v>
      </c>
      <c r="C6" s="18" t="str">
        <f>IFERROR(__xludf.DUMMYFUNCTION("""COMPUTED_VALUE"""),"Sexington High School + Con")</f>
        <v>Sexington High School + Con</v>
      </c>
      <c r="D6" s="20">
        <f>IFERROR(__xludf.DUMMYFUNCTION("""COMPUTED_VALUE"""),6.0)</f>
        <v>6</v>
      </c>
      <c r="E6" s="21">
        <f>IFERROR(__xludf.DUMMYFUNCTION("""COMPUTED_VALUE"""),120.0)</f>
        <v>120</v>
      </c>
      <c r="F6" s="22">
        <f>IFERROR(__xludf.DUMMYFUNCTION("""COMPUTED_VALUE"""),25.0)</f>
        <v>25</v>
      </c>
      <c r="G6" s="24">
        <f>IFERROR(__xludf.DUMMYFUNCTION("""COMPUTED_VALUE"""),6.0)</f>
        <v>6</v>
      </c>
      <c r="H6" s="25">
        <f>IFERROR(__xludf.DUMMYFUNCTION("""COMPUTED_VALUE"""),0.6333333333333333)</f>
        <v>0.6333333333</v>
      </c>
      <c r="I6" s="26">
        <f>IFERROR(__xludf.DUMMYFUNCTION("""COMPUTED_VALUE"""),4.166666666666667)</f>
        <v>4.166666667</v>
      </c>
      <c r="J6" s="28">
        <f>IFERROR(__xludf.DUMMYFUNCTION("""COMPUTED_VALUE"""),76.0)</f>
        <v>76</v>
      </c>
      <c r="K6" s="25">
        <f>IFERROR(__xludf.DUMMYFUNCTION("""COMPUTED_VALUE"""),12.666666666666666)</f>
        <v>12.66666667</v>
      </c>
    </row>
    <row r="7">
      <c r="A7" s="16">
        <f>IFERROR(__xludf.DUMMYFUNCTION("""COMPUTED_VALUE"""),6.0)</f>
        <v>6</v>
      </c>
      <c r="B7" s="17" t="str">
        <f>IFERROR(__xludf.DUMMYFUNCTION("""COMPUTED_VALUE"""),"mathcube1717")</f>
        <v>mathcube1717</v>
      </c>
      <c r="C7" s="18" t="str">
        <f>IFERROR(__xludf.DUMMYFUNCTION("""COMPUTED_VALUE"""),"mike oxlong")</f>
        <v>mike oxlong</v>
      </c>
      <c r="D7" s="20">
        <f>IFERROR(__xludf.DUMMYFUNCTION("""COMPUTED_VALUE"""),8.25)</f>
        <v>8.25</v>
      </c>
      <c r="E7" s="21">
        <f>IFERROR(__xludf.DUMMYFUNCTION("""COMPUTED_VALUE"""),165.0)</f>
        <v>165</v>
      </c>
      <c r="F7" s="22">
        <f>IFERROR(__xludf.DUMMYFUNCTION("""COMPUTED_VALUE"""),24.0)</f>
        <v>24</v>
      </c>
      <c r="G7" s="24">
        <f>IFERROR(__xludf.DUMMYFUNCTION("""COMPUTED_VALUE"""),1.0)</f>
        <v>1</v>
      </c>
      <c r="H7" s="25">
        <f>IFERROR(__xludf.DUMMYFUNCTION("""COMPUTED_VALUE"""),0.5575757575757576)</f>
        <v>0.5575757576</v>
      </c>
      <c r="I7" s="26">
        <f>IFERROR(__xludf.DUMMYFUNCTION("""COMPUTED_VALUE"""),24.0)</f>
        <v>24</v>
      </c>
      <c r="J7" s="28">
        <f>IFERROR(__xludf.DUMMYFUNCTION("""COMPUTED_VALUE"""),92.0)</f>
        <v>92</v>
      </c>
      <c r="K7" s="25">
        <f>IFERROR(__xludf.DUMMYFUNCTION("""COMPUTED_VALUE"""),11.151515151515152)</f>
        <v>11.15151515</v>
      </c>
    </row>
    <row r="8">
      <c r="A8" s="16">
        <f>IFERROR(__xludf.DUMMYFUNCTION("""COMPUTED_VALUE"""),7.0)</f>
        <v>7</v>
      </c>
      <c r="B8" s="17" t="str">
        <f>IFERROR(__xludf.DUMMYFUNCTION("""COMPUTED_VALUE"""),"tsm manlet")</f>
        <v>tsm manlet</v>
      </c>
      <c r="C8" s="18" t="str">
        <f>IFERROR(__xludf.DUMMYFUNCTION("""COMPUTED_VALUE"""),"shittier kids")</f>
        <v>shittier kids</v>
      </c>
      <c r="D8" s="20">
        <f>IFERROR(__xludf.DUMMYFUNCTION("""COMPUTED_VALUE"""),2.0)</f>
        <v>2</v>
      </c>
      <c r="E8" s="21">
        <f>IFERROR(__xludf.DUMMYFUNCTION("""COMPUTED_VALUE"""),40.0)</f>
        <v>40</v>
      </c>
      <c r="F8" s="22">
        <f>IFERROR(__xludf.DUMMYFUNCTION("""COMPUTED_VALUE"""),5.0)</f>
        <v>5</v>
      </c>
      <c r="G8" s="24">
        <f>IFERROR(__xludf.DUMMYFUNCTION("""COMPUTED_VALUE"""),0.0)</f>
        <v>0</v>
      </c>
      <c r="H8" s="25">
        <f>IFERROR(__xludf.DUMMYFUNCTION("""COMPUTED_VALUE"""),0.5)</f>
        <v>0.5</v>
      </c>
      <c r="I8" s="26">
        <f>IFERROR(__xludf.DUMMYFUNCTION("""COMPUTED_VALUE"""),0.0)</f>
        <v>0</v>
      </c>
      <c r="J8" s="28">
        <f>IFERROR(__xludf.DUMMYFUNCTION("""COMPUTED_VALUE"""),20.0)</f>
        <v>20</v>
      </c>
      <c r="K8" s="25">
        <f>IFERROR(__xludf.DUMMYFUNCTION("""COMPUTED_VALUE"""),10.0)</f>
        <v>10</v>
      </c>
    </row>
    <row r="9">
      <c r="A9" s="16">
        <f>IFERROR(__xludf.DUMMYFUNCTION("""COMPUTED_VALUE"""),8.0)</f>
        <v>8</v>
      </c>
      <c r="B9" s="17" t="str">
        <f>IFERROR(__xludf.DUMMYFUNCTION("""COMPUTED_VALUE"""),"Constantine (maybe)")</f>
        <v>Constantine (maybe)</v>
      </c>
      <c r="C9" s="18" t="str">
        <f>IFERROR(__xludf.DUMMYFUNCTION("""COMPUTED_VALUE"""),"Sexington High School + Con")</f>
        <v>Sexington High School + Con</v>
      </c>
      <c r="D9" s="20">
        <f>IFERROR(__xludf.DUMMYFUNCTION("""COMPUTED_VALUE"""),4.0)</f>
        <v>4</v>
      </c>
      <c r="E9" s="21">
        <f>IFERROR(__xludf.DUMMYFUNCTION("""COMPUTED_VALUE"""),80.0)</f>
        <v>80</v>
      </c>
      <c r="F9" s="22">
        <f>IFERROR(__xludf.DUMMYFUNCTION("""COMPUTED_VALUE"""),12.0)</f>
        <v>12</v>
      </c>
      <c r="G9" s="24">
        <f>IFERROR(__xludf.DUMMYFUNCTION("""COMPUTED_VALUE"""),2.0)</f>
        <v>2</v>
      </c>
      <c r="H9" s="25">
        <f>IFERROR(__xludf.DUMMYFUNCTION("""COMPUTED_VALUE"""),0.5)</f>
        <v>0.5</v>
      </c>
      <c r="I9" s="26">
        <f>IFERROR(__xludf.DUMMYFUNCTION("""COMPUTED_VALUE"""),6.0)</f>
        <v>6</v>
      </c>
      <c r="J9" s="28">
        <f>IFERROR(__xludf.DUMMYFUNCTION("""COMPUTED_VALUE"""),40.0)</f>
        <v>40</v>
      </c>
      <c r="K9" s="25">
        <f>IFERROR(__xludf.DUMMYFUNCTION("""COMPUTED_VALUE"""),10.0)</f>
        <v>10</v>
      </c>
    </row>
    <row r="10">
      <c r="A10" s="16">
        <f>IFERROR(__xludf.DUMMYFUNCTION("""COMPUTED_VALUE"""),9.0)</f>
        <v>9</v>
      </c>
      <c r="B10" s="17" t="str">
        <f>IFERROR(__xludf.DUMMYFUNCTION("""COMPUTED_VALUE"""),"Entropy")</f>
        <v>Entropy</v>
      </c>
      <c r="C10" s="18" t="str">
        <f>IFERROR(__xludf.DUMMYFUNCTION("""COMPUTED_VALUE"""),"shittier kids")</f>
        <v>shittier kids</v>
      </c>
      <c r="D10" s="20">
        <f>IFERROR(__xludf.DUMMYFUNCTION("""COMPUTED_VALUE"""),5.0)</f>
        <v>5</v>
      </c>
      <c r="E10" s="21">
        <f>IFERROR(__xludf.DUMMYFUNCTION("""COMPUTED_VALUE"""),100.0)</f>
        <v>100</v>
      </c>
      <c r="F10" s="22">
        <f>IFERROR(__xludf.DUMMYFUNCTION("""COMPUTED_VALUE"""),15.0)</f>
        <v>15</v>
      </c>
      <c r="G10" s="24">
        <f>IFERROR(__xludf.DUMMYFUNCTION("""COMPUTED_VALUE"""),4.0)</f>
        <v>4</v>
      </c>
      <c r="H10" s="25">
        <f>IFERROR(__xludf.DUMMYFUNCTION("""COMPUTED_VALUE"""),0.44)</f>
        <v>0.44</v>
      </c>
      <c r="I10" s="26">
        <f>IFERROR(__xludf.DUMMYFUNCTION("""COMPUTED_VALUE"""),3.75)</f>
        <v>3.75</v>
      </c>
      <c r="J10" s="28">
        <f>IFERROR(__xludf.DUMMYFUNCTION("""COMPUTED_VALUE"""),44.0)</f>
        <v>44</v>
      </c>
      <c r="K10" s="25">
        <f>IFERROR(__xludf.DUMMYFUNCTION("""COMPUTED_VALUE"""),8.8)</f>
        <v>8.8</v>
      </c>
    </row>
    <row r="11">
      <c r="A11" s="16">
        <f>IFERROR(__xludf.DUMMYFUNCTION("""COMPUTED_VALUE"""),10.0)</f>
        <v>10</v>
      </c>
      <c r="B11" s="17" t="str">
        <f>IFERROR(__xludf.DUMMYFUNCTION("""COMPUTED_VALUE"""),"Sword of Damocles")</f>
        <v>Sword of Damocles</v>
      </c>
      <c r="C11" s="18" t="str">
        <f>IFERROR(__xludf.DUMMYFUNCTION("""COMPUTED_VALUE"""),"Tesla")</f>
        <v>Tesla</v>
      </c>
      <c r="D11" s="20">
        <f>IFERROR(__xludf.DUMMYFUNCTION("""COMPUTED_VALUE"""),4.0)</f>
        <v>4</v>
      </c>
      <c r="E11" s="21">
        <f>IFERROR(__xludf.DUMMYFUNCTION("""COMPUTED_VALUE"""),80.0)</f>
        <v>80</v>
      </c>
      <c r="F11" s="22">
        <f>IFERROR(__xludf.DUMMYFUNCTION("""COMPUTED_VALUE"""),10.0)</f>
        <v>10</v>
      </c>
      <c r="G11" s="24">
        <f>IFERROR(__xludf.DUMMYFUNCTION("""COMPUTED_VALUE"""),2.0)</f>
        <v>2</v>
      </c>
      <c r="H11" s="25">
        <f>IFERROR(__xludf.DUMMYFUNCTION("""COMPUTED_VALUE"""),0.4)</f>
        <v>0.4</v>
      </c>
      <c r="I11" s="26">
        <f>IFERROR(__xludf.DUMMYFUNCTION("""COMPUTED_VALUE"""),5.0)</f>
        <v>5</v>
      </c>
      <c r="J11" s="28">
        <f>IFERROR(__xludf.DUMMYFUNCTION("""COMPUTED_VALUE"""),32.0)</f>
        <v>32</v>
      </c>
      <c r="K11" s="25">
        <f>IFERROR(__xludf.DUMMYFUNCTION("""COMPUTED_VALUE"""),8.0)</f>
        <v>8</v>
      </c>
    </row>
    <row r="12">
      <c r="A12" s="16">
        <f>IFERROR(__xludf.DUMMYFUNCTION("""COMPUTED_VALUE"""),11.0)</f>
        <v>11</v>
      </c>
      <c r="B12" s="17" t="str">
        <f>IFERROR(__xludf.DUMMYFUNCTION("""COMPUTED_VALUE"""),"A. A. H. J.")</f>
        <v>A. A. H. J.</v>
      </c>
      <c r="C12" s="18" t="str">
        <f>IFERROR(__xludf.DUMMYFUNCTION("""COMPUTED_VALUE"""),"Wayzata/Blair")</f>
        <v>Wayzata/Blair</v>
      </c>
      <c r="D12" s="20">
        <f>IFERROR(__xludf.DUMMYFUNCTION("""COMPUTED_VALUE"""),3.0)</f>
        <v>3</v>
      </c>
      <c r="E12" s="21">
        <f>IFERROR(__xludf.DUMMYFUNCTION("""COMPUTED_VALUE"""),60.0)</f>
        <v>60</v>
      </c>
      <c r="F12" s="22">
        <f>IFERROR(__xludf.DUMMYFUNCTION("""COMPUTED_VALUE"""),7.0)</f>
        <v>7</v>
      </c>
      <c r="G12" s="24">
        <f>IFERROR(__xludf.DUMMYFUNCTION("""COMPUTED_VALUE"""),1.0)</f>
        <v>1</v>
      </c>
      <c r="H12" s="25">
        <f>IFERROR(__xludf.DUMMYFUNCTION("""COMPUTED_VALUE"""),0.4)</f>
        <v>0.4</v>
      </c>
      <c r="I12" s="26">
        <f>IFERROR(__xludf.DUMMYFUNCTION("""COMPUTED_VALUE"""),7.0)</f>
        <v>7</v>
      </c>
      <c r="J12" s="28">
        <f>IFERROR(__xludf.DUMMYFUNCTION("""COMPUTED_VALUE"""),24.0)</f>
        <v>24</v>
      </c>
      <c r="K12" s="25">
        <f>IFERROR(__xludf.DUMMYFUNCTION("""COMPUTED_VALUE"""),8.0)</f>
        <v>8</v>
      </c>
    </row>
    <row r="13">
      <c r="A13" s="16">
        <f>IFERROR(__xludf.DUMMYFUNCTION("""COMPUTED_VALUE"""),12.0)</f>
        <v>12</v>
      </c>
      <c r="B13" s="17" t="str">
        <f>IFERROR(__xludf.DUMMYFUNCTION("""COMPUTED_VALUE"""),"GidTheKid2")</f>
        <v>GidTheKid2</v>
      </c>
      <c r="C13" s="18" t="str">
        <f>IFERROR(__xludf.DUMMYFUNCTION("""COMPUTED_VALUE"""),"Sexington High School + Con")</f>
        <v>Sexington High School + Con</v>
      </c>
      <c r="D13" s="20">
        <f>IFERROR(__xludf.DUMMYFUNCTION("""COMPUTED_VALUE"""),6.0)</f>
        <v>6</v>
      </c>
      <c r="E13" s="21">
        <f>IFERROR(__xludf.DUMMYFUNCTION("""COMPUTED_VALUE"""),120.0)</f>
        <v>120</v>
      </c>
      <c r="F13" s="22">
        <f>IFERROR(__xludf.DUMMYFUNCTION("""COMPUTED_VALUE"""),15.0)</f>
        <v>15</v>
      </c>
      <c r="G13" s="24">
        <f>IFERROR(__xludf.DUMMYFUNCTION("""COMPUTED_VALUE"""),3.0)</f>
        <v>3</v>
      </c>
      <c r="H13" s="25">
        <f>IFERROR(__xludf.DUMMYFUNCTION("""COMPUTED_VALUE"""),0.4)</f>
        <v>0.4</v>
      </c>
      <c r="I13" s="26">
        <f>IFERROR(__xludf.DUMMYFUNCTION("""COMPUTED_VALUE"""),5.0)</f>
        <v>5</v>
      </c>
      <c r="J13" s="28">
        <f>IFERROR(__xludf.DUMMYFUNCTION("""COMPUTED_VALUE"""),48.0)</f>
        <v>48</v>
      </c>
      <c r="K13" s="25">
        <f>IFERROR(__xludf.DUMMYFUNCTION("""COMPUTED_VALUE"""),8.0)</f>
        <v>8</v>
      </c>
    </row>
    <row r="14">
      <c r="A14" s="16">
        <f>IFERROR(__xludf.DUMMYFUNCTION("""COMPUTED_VALUE"""),13.0)</f>
        <v>13</v>
      </c>
      <c r="B14" s="17" t="str">
        <f>IFERROR(__xludf.DUMMYFUNCTION("""COMPUTED_VALUE"""),"dc1mousavi")</f>
        <v>dc1mousavi</v>
      </c>
      <c r="C14" s="18" t="str">
        <f>IFERROR(__xludf.DUMMYFUNCTION("""COMPUTED_VALUE"""),"Langley")</f>
        <v>Langley</v>
      </c>
      <c r="D14" s="20">
        <f>IFERROR(__xludf.DUMMYFUNCTION("""COMPUTED_VALUE"""),5.0)</f>
        <v>5</v>
      </c>
      <c r="E14" s="21">
        <f>IFERROR(__xludf.DUMMYFUNCTION("""COMPUTED_VALUE"""),100.0)</f>
        <v>100</v>
      </c>
      <c r="F14" s="22">
        <f>IFERROR(__xludf.DUMMYFUNCTION("""COMPUTED_VALUE"""),15.0)</f>
        <v>15</v>
      </c>
      <c r="G14" s="24">
        <f>IFERROR(__xludf.DUMMYFUNCTION("""COMPUTED_VALUE"""),5.0)</f>
        <v>5</v>
      </c>
      <c r="H14" s="25">
        <f>IFERROR(__xludf.DUMMYFUNCTION("""COMPUTED_VALUE"""),0.4)</f>
        <v>0.4</v>
      </c>
      <c r="I14" s="26">
        <f>IFERROR(__xludf.DUMMYFUNCTION("""COMPUTED_VALUE"""),3.0)</f>
        <v>3</v>
      </c>
      <c r="J14" s="28">
        <f>IFERROR(__xludf.DUMMYFUNCTION("""COMPUTED_VALUE"""),40.0)</f>
        <v>40</v>
      </c>
      <c r="K14" s="25">
        <f>IFERROR(__xludf.DUMMYFUNCTION("""COMPUTED_VALUE"""),8.0)</f>
        <v>8</v>
      </c>
    </row>
    <row r="15">
      <c r="A15" s="16">
        <f>IFERROR(__xludf.DUMMYFUNCTION("""COMPUTED_VALUE"""),14.0)</f>
        <v>14</v>
      </c>
      <c r="B15" s="17" t="str">
        <f>IFERROR(__xludf.DUMMYFUNCTION("""COMPUTED_VALUE"""),"j〰〰〰〰〰〰〰〰〰〰〰〰〰〰〰〰〰〰〰〰〰〰hope#5085")</f>
        <v>j〰〰〰〰〰〰〰〰〰〰〰〰〰〰〰〰〰〰〰〰〰〰hope#5085</v>
      </c>
      <c r="C15" s="18" t="str">
        <f>IFERROR(__xludf.DUMMYFUNCTION("""COMPUTED_VALUE"""),"Fairview")</f>
        <v>Fairview</v>
      </c>
      <c r="D15" s="20">
        <f>IFERROR(__xludf.DUMMYFUNCTION("""COMPUTED_VALUE"""),1.0)</f>
        <v>1</v>
      </c>
      <c r="E15" s="21">
        <f>IFERROR(__xludf.DUMMYFUNCTION("""COMPUTED_VALUE"""),20.0)</f>
        <v>20</v>
      </c>
      <c r="F15" s="22">
        <f>IFERROR(__xludf.DUMMYFUNCTION("""COMPUTED_VALUE"""),2.0)</f>
        <v>2</v>
      </c>
      <c r="G15" s="24">
        <f>IFERROR(__xludf.DUMMYFUNCTION("""COMPUTED_VALUE"""),0.0)</f>
        <v>0</v>
      </c>
      <c r="H15" s="25">
        <f>IFERROR(__xludf.DUMMYFUNCTION("""COMPUTED_VALUE"""),0.4)</f>
        <v>0.4</v>
      </c>
      <c r="I15" s="26">
        <f>IFERROR(__xludf.DUMMYFUNCTION("""COMPUTED_VALUE"""),0.0)</f>
        <v>0</v>
      </c>
      <c r="J15" s="28">
        <f>IFERROR(__xludf.DUMMYFUNCTION("""COMPUTED_VALUE"""),8.0)</f>
        <v>8</v>
      </c>
      <c r="K15" s="25">
        <f>IFERROR(__xludf.DUMMYFUNCTION("""COMPUTED_VALUE"""),8.0)</f>
        <v>8</v>
      </c>
    </row>
    <row r="16">
      <c r="A16" s="16">
        <f>IFERROR(__xludf.DUMMYFUNCTION("""COMPUTED_VALUE"""),15.0)</f>
        <v>15</v>
      </c>
      <c r="B16" s="17" t="str">
        <f>IFERROR(__xludf.DUMMYFUNCTION("""COMPUTED_VALUE"""),"JK#6170")</f>
        <v>JK#6170</v>
      </c>
      <c r="C16" s="18" t="str">
        <f>IFERROR(__xludf.DUMMYFUNCTION("""COMPUTED_VALUE"""),"Fairview")</f>
        <v>Fairview</v>
      </c>
      <c r="D16" s="20">
        <f>IFERROR(__xludf.DUMMYFUNCTION("""COMPUTED_VALUE"""),1.0)</f>
        <v>1</v>
      </c>
      <c r="E16" s="21">
        <f>IFERROR(__xludf.DUMMYFUNCTION("""COMPUTED_VALUE"""),20.0)</f>
        <v>20</v>
      </c>
      <c r="F16" s="22">
        <f>IFERROR(__xludf.DUMMYFUNCTION("""COMPUTED_VALUE"""),2.0)</f>
        <v>2</v>
      </c>
      <c r="G16" s="24">
        <f>IFERROR(__xludf.DUMMYFUNCTION("""COMPUTED_VALUE"""),0.0)</f>
        <v>0</v>
      </c>
      <c r="H16" s="25">
        <f>IFERROR(__xludf.DUMMYFUNCTION("""COMPUTED_VALUE"""),0.4)</f>
        <v>0.4</v>
      </c>
      <c r="I16" s="26">
        <f>IFERROR(__xludf.DUMMYFUNCTION("""COMPUTED_VALUE"""),0.0)</f>
        <v>0</v>
      </c>
      <c r="J16" s="28">
        <f>IFERROR(__xludf.DUMMYFUNCTION("""COMPUTED_VALUE"""),8.0)</f>
        <v>8</v>
      </c>
      <c r="K16" s="25">
        <f>IFERROR(__xludf.DUMMYFUNCTION("""COMPUTED_VALUE"""),8.0)</f>
        <v>8</v>
      </c>
    </row>
    <row r="17">
      <c r="A17" s="16">
        <f>IFERROR(__xludf.DUMMYFUNCTION("""COMPUTED_VALUE"""),16.0)</f>
        <v>16</v>
      </c>
      <c r="B17" s="17" t="str">
        <f>IFERROR(__xludf.DUMMYFUNCTION("""COMPUTED_VALUE"""),"shelker1529")</f>
        <v>shelker1529</v>
      </c>
      <c r="C17" s="18" t="str">
        <f>IFERROR(__xludf.DUMMYFUNCTION("""COMPUTED_VALUE"""),"shittier kids")</f>
        <v>shittier kids</v>
      </c>
      <c r="D17" s="20">
        <f>IFERROR(__xludf.DUMMYFUNCTION("""COMPUTED_VALUE"""),4.5)</f>
        <v>4.5</v>
      </c>
      <c r="E17" s="21">
        <f>IFERROR(__xludf.DUMMYFUNCTION("""COMPUTED_VALUE"""),90.0)</f>
        <v>90</v>
      </c>
      <c r="F17" s="22">
        <f>IFERROR(__xludf.DUMMYFUNCTION("""COMPUTED_VALUE"""),9.0)</f>
        <v>9</v>
      </c>
      <c r="G17" s="24">
        <f>IFERROR(__xludf.DUMMYFUNCTION("""COMPUTED_VALUE"""),2.0)</f>
        <v>2</v>
      </c>
      <c r="H17" s="25">
        <f>IFERROR(__xludf.DUMMYFUNCTION("""COMPUTED_VALUE"""),0.3111111111111111)</f>
        <v>0.3111111111</v>
      </c>
      <c r="I17" s="26">
        <f>IFERROR(__xludf.DUMMYFUNCTION("""COMPUTED_VALUE"""),4.5)</f>
        <v>4.5</v>
      </c>
      <c r="J17" s="28">
        <f>IFERROR(__xludf.DUMMYFUNCTION("""COMPUTED_VALUE"""),28.0)</f>
        <v>28</v>
      </c>
      <c r="K17" s="25">
        <f>IFERROR(__xludf.DUMMYFUNCTION("""COMPUTED_VALUE"""),6.222222222222222)</f>
        <v>6.222222222</v>
      </c>
    </row>
    <row r="18">
      <c r="A18" s="16">
        <f>IFERROR(__xludf.DUMMYFUNCTION("""COMPUTED_VALUE"""),17.0)</f>
        <v>17</v>
      </c>
      <c r="B18" s="17" t="str">
        <f>IFERROR(__xludf.DUMMYFUNCTION("""COMPUTED_VALUE"""),"TheRaggedFlygon")</f>
        <v>TheRaggedFlygon</v>
      </c>
      <c r="C18" s="18" t="str">
        <f>IFERROR(__xludf.DUMMYFUNCTION("""COMPUTED_VALUE"""),"Wayzata/Blair")</f>
        <v>Wayzata/Blair</v>
      </c>
      <c r="D18" s="20">
        <f>IFERROR(__xludf.DUMMYFUNCTION("""COMPUTED_VALUE"""),3.0)</f>
        <v>3</v>
      </c>
      <c r="E18" s="21">
        <f>IFERROR(__xludf.DUMMYFUNCTION("""COMPUTED_VALUE"""),60.0)</f>
        <v>60</v>
      </c>
      <c r="F18" s="22">
        <f>IFERROR(__xludf.DUMMYFUNCTION("""COMPUTED_VALUE"""),5.0)</f>
        <v>5</v>
      </c>
      <c r="G18" s="24">
        <f>IFERROR(__xludf.DUMMYFUNCTION("""COMPUTED_VALUE"""),1.0)</f>
        <v>1</v>
      </c>
      <c r="H18" s="25">
        <f>IFERROR(__xludf.DUMMYFUNCTION("""COMPUTED_VALUE"""),0.26666666666666666)</f>
        <v>0.2666666667</v>
      </c>
      <c r="I18" s="26">
        <f>IFERROR(__xludf.DUMMYFUNCTION("""COMPUTED_VALUE"""),5.0)</f>
        <v>5</v>
      </c>
      <c r="J18" s="28">
        <f>IFERROR(__xludf.DUMMYFUNCTION("""COMPUTED_VALUE"""),16.0)</f>
        <v>16</v>
      </c>
      <c r="K18" s="25">
        <f>IFERROR(__xludf.DUMMYFUNCTION("""COMPUTED_VALUE"""),5.333333333333333)</f>
        <v>5.333333333</v>
      </c>
    </row>
    <row r="19">
      <c r="A19" s="16">
        <f>IFERROR(__xludf.DUMMYFUNCTION("""COMPUTED_VALUE"""),18.0)</f>
        <v>18</v>
      </c>
      <c r="B19" s="17" t="str">
        <f>IFERROR(__xludf.DUMMYFUNCTION("""COMPUTED_VALUE"""),"lil beep boop IV")</f>
        <v>lil beep boop IV</v>
      </c>
      <c r="C19" s="18" t="str">
        <f>IFERROR(__xludf.DUMMYFUNCTION("""COMPUTED_VALUE"""),"mike oxlong")</f>
        <v>mike oxlong</v>
      </c>
      <c r="D19" s="20">
        <f>IFERROR(__xludf.DUMMYFUNCTION("""COMPUTED_VALUE"""),2.75)</f>
        <v>2.75</v>
      </c>
      <c r="E19" s="21">
        <f>IFERROR(__xludf.DUMMYFUNCTION("""COMPUTED_VALUE"""),55.0)</f>
        <v>55</v>
      </c>
      <c r="F19" s="22">
        <f>IFERROR(__xludf.DUMMYFUNCTION("""COMPUTED_VALUE"""),4.0)</f>
        <v>4</v>
      </c>
      <c r="G19" s="24">
        <f>IFERROR(__xludf.DUMMYFUNCTION("""COMPUTED_VALUE"""),1.0)</f>
        <v>1</v>
      </c>
      <c r="H19" s="25">
        <f>IFERROR(__xludf.DUMMYFUNCTION("""COMPUTED_VALUE"""),0.21818181818181817)</f>
        <v>0.2181818182</v>
      </c>
      <c r="I19" s="26">
        <f>IFERROR(__xludf.DUMMYFUNCTION("""COMPUTED_VALUE"""),4.0)</f>
        <v>4</v>
      </c>
      <c r="J19" s="28">
        <f>IFERROR(__xludf.DUMMYFUNCTION("""COMPUTED_VALUE"""),12.0)</f>
        <v>12</v>
      </c>
      <c r="K19" s="25">
        <f>IFERROR(__xludf.DUMMYFUNCTION("""COMPUTED_VALUE"""),4.363636363636363)</f>
        <v>4.363636364</v>
      </c>
    </row>
    <row r="20">
      <c r="A20" s="16">
        <f>IFERROR(__xludf.DUMMYFUNCTION("""COMPUTED_VALUE"""),19.0)</f>
        <v>19</v>
      </c>
      <c r="B20" s="17" t="str">
        <f>IFERROR(__xludf.DUMMYFUNCTION("""COMPUTED_VALUE"""),"Electric Van")</f>
        <v>Electric Van</v>
      </c>
      <c r="C20" s="18" t="str">
        <f>IFERROR(__xludf.DUMMYFUNCTION("""COMPUTED_VALUE"""),"Tesla")</f>
        <v>Tesla</v>
      </c>
      <c r="D20" s="20">
        <f>IFERROR(__xludf.DUMMYFUNCTION("""COMPUTED_VALUE"""),1.0)</f>
        <v>1</v>
      </c>
      <c r="E20" s="21">
        <f>IFERROR(__xludf.DUMMYFUNCTION("""COMPUTED_VALUE"""),20.0)</f>
        <v>20</v>
      </c>
      <c r="F20" s="22">
        <f>IFERROR(__xludf.DUMMYFUNCTION("""COMPUTED_VALUE"""),1.0)</f>
        <v>1</v>
      </c>
      <c r="G20" s="24">
        <f>IFERROR(__xludf.DUMMYFUNCTION("""COMPUTED_VALUE"""),0.0)</f>
        <v>0</v>
      </c>
      <c r="H20" s="25">
        <f>IFERROR(__xludf.DUMMYFUNCTION("""COMPUTED_VALUE"""),0.2)</f>
        <v>0.2</v>
      </c>
      <c r="I20" s="26">
        <f>IFERROR(__xludf.DUMMYFUNCTION("""COMPUTED_VALUE"""),0.0)</f>
        <v>0</v>
      </c>
      <c r="J20" s="28">
        <f>IFERROR(__xludf.DUMMYFUNCTION("""COMPUTED_VALUE"""),4.0)</f>
        <v>4</v>
      </c>
      <c r="K20" s="25">
        <f>IFERROR(__xludf.DUMMYFUNCTION("""COMPUTED_VALUE"""),4.0)</f>
        <v>4</v>
      </c>
    </row>
    <row r="21">
      <c r="A21" s="16">
        <f>IFERROR(__xludf.DUMMYFUNCTION("""COMPUTED_VALUE"""),20.0)</f>
        <v>20</v>
      </c>
      <c r="B21" s="17" t="str">
        <f>IFERROR(__xludf.DUMMYFUNCTION("""COMPUTED_VALUE"""),"seasalt#0575")</f>
        <v>seasalt#0575</v>
      </c>
      <c r="C21" s="18" t="str">
        <f>IFERROR(__xludf.DUMMYFUNCTION("""COMPUTED_VALUE"""),"Fairview")</f>
        <v>Fairview</v>
      </c>
      <c r="D21" s="20">
        <f>IFERROR(__xludf.DUMMYFUNCTION("""COMPUTED_VALUE"""),1.0)</f>
        <v>1</v>
      </c>
      <c r="E21" s="21">
        <f>IFERROR(__xludf.DUMMYFUNCTION("""COMPUTED_VALUE"""),20.0)</f>
        <v>20</v>
      </c>
      <c r="F21" s="22">
        <f>IFERROR(__xludf.DUMMYFUNCTION("""COMPUTED_VALUE"""),1.0)</f>
        <v>1</v>
      </c>
      <c r="G21" s="24">
        <f>IFERROR(__xludf.DUMMYFUNCTION("""COMPUTED_VALUE"""),0.0)</f>
        <v>0</v>
      </c>
      <c r="H21" s="25">
        <f>IFERROR(__xludf.DUMMYFUNCTION("""COMPUTED_VALUE"""),0.2)</f>
        <v>0.2</v>
      </c>
      <c r="I21" s="26">
        <f>IFERROR(__xludf.DUMMYFUNCTION("""COMPUTED_VALUE"""),0.0)</f>
        <v>0</v>
      </c>
      <c r="J21" s="28">
        <f>IFERROR(__xludf.DUMMYFUNCTION("""COMPUTED_VALUE"""),4.0)</f>
        <v>4</v>
      </c>
      <c r="K21" s="25">
        <f>IFERROR(__xludf.DUMMYFUNCTION("""COMPUTED_VALUE"""),4.0)</f>
        <v>4</v>
      </c>
    </row>
    <row r="22">
      <c r="A22" s="16">
        <f>IFERROR(__xludf.DUMMYFUNCTION("""COMPUTED_VALUE"""),21.0)</f>
        <v>21</v>
      </c>
      <c r="B22" s="17" t="str">
        <f>IFERROR(__xludf.DUMMYFUNCTION("""COMPUTED_VALUE"""),"j_w12808#0788")</f>
        <v>j_w12808#0788</v>
      </c>
      <c r="C22" s="18" t="str">
        <f>IFERROR(__xludf.DUMMYFUNCTION("""COMPUTED_VALUE"""),"Westview")</f>
        <v>Westview</v>
      </c>
      <c r="D22" s="20">
        <f>IFERROR(__xludf.DUMMYFUNCTION("""COMPUTED_VALUE"""),3.0)</f>
        <v>3</v>
      </c>
      <c r="E22" s="21">
        <f>IFERROR(__xludf.DUMMYFUNCTION("""COMPUTED_VALUE"""),60.0)</f>
        <v>60</v>
      </c>
      <c r="F22" s="22">
        <f>IFERROR(__xludf.DUMMYFUNCTION("""COMPUTED_VALUE"""),3.0)</f>
        <v>3</v>
      </c>
      <c r="G22" s="24">
        <f>IFERROR(__xludf.DUMMYFUNCTION("""COMPUTED_VALUE"""),0.0)</f>
        <v>0</v>
      </c>
      <c r="H22" s="25">
        <f>IFERROR(__xludf.DUMMYFUNCTION("""COMPUTED_VALUE"""),0.2)</f>
        <v>0.2</v>
      </c>
      <c r="I22" s="26">
        <f>IFERROR(__xludf.DUMMYFUNCTION("""COMPUTED_VALUE"""),0.0)</f>
        <v>0</v>
      </c>
      <c r="J22" s="28">
        <f>IFERROR(__xludf.DUMMYFUNCTION("""COMPUTED_VALUE"""),12.0)</f>
        <v>12</v>
      </c>
      <c r="K22" s="25">
        <f>IFERROR(__xludf.DUMMYFUNCTION("""COMPUTED_VALUE"""),4.0)</f>
        <v>4</v>
      </c>
    </row>
    <row r="23">
      <c r="A23" s="16">
        <f>IFERROR(__xludf.DUMMYFUNCTION("""COMPUTED_VALUE"""),22.0)</f>
        <v>22</v>
      </c>
      <c r="B23" s="17" t="str">
        <f>IFERROR(__xludf.DUMMYFUNCTION("""COMPUTED_VALUE"""),"steviewonder24")</f>
        <v>steviewonder24</v>
      </c>
      <c r="C23" s="18" t="str">
        <f>IFERROR(__xludf.DUMMYFUNCTION("""COMPUTED_VALUE"""),"mike oxlong")</f>
        <v>mike oxlong</v>
      </c>
      <c r="D23" s="20">
        <f>IFERROR(__xludf.DUMMYFUNCTION("""COMPUTED_VALUE"""),7.75)</f>
        <v>7.75</v>
      </c>
      <c r="E23" s="21">
        <f>IFERROR(__xludf.DUMMYFUNCTION("""COMPUTED_VALUE"""),155.0)</f>
        <v>155</v>
      </c>
      <c r="F23" s="22">
        <f>IFERROR(__xludf.DUMMYFUNCTION("""COMPUTED_VALUE"""),9.0)</f>
        <v>9</v>
      </c>
      <c r="G23" s="24">
        <f>IFERROR(__xludf.DUMMYFUNCTION("""COMPUTED_VALUE"""),2.0)</f>
        <v>2</v>
      </c>
      <c r="H23" s="25">
        <f>IFERROR(__xludf.DUMMYFUNCTION("""COMPUTED_VALUE"""),0.18064516129032257)</f>
        <v>0.1806451613</v>
      </c>
      <c r="I23" s="26">
        <f>IFERROR(__xludf.DUMMYFUNCTION("""COMPUTED_VALUE"""),4.5)</f>
        <v>4.5</v>
      </c>
      <c r="J23" s="28">
        <f>IFERROR(__xludf.DUMMYFUNCTION("""COMPUTED_VALUE"""),28.0)</f>
        <v>28</v>
      </c>
      <c r="K23" s="25">
        <f>IFERROR(__xludf.DUMMYFUNCTION("""COMPUTED_VALUE"""),3.6129032258064515)</f>
        <v>3.612903226</v>
      </c>
    </row>
    <row r="24">
      <c r="A24" s="16">
        <f>IFERROR(__xludf.DUMMYFUNCTION("""COMPUTED_VALUE"""),23.0)</f>
        <v>23</v>
      </c>
      <c r="B24" s="17" t="str">
        <f>IFERROR(__xludf.DUMMYFUNCTION("""COMPUTED_VALUE"""),"jackass")</f>
        <v>jackass</v>
      </c>
      <c r="C24" s="18" t="str">
        <f>IFERROR(__xludf.DUMMYFUNCTION("""COMPUTED_VALUE"""),"shittier kids")</f>
        <v>shittier kids</v>
      </c>
      <c r="D24" s="20">
        <f>IFERROR(__xludf.DUMMYFUNCTION("""COMPUTED_VALUE"""),3.5)</f>
        <v>3.5</v>
      </c>
      <c r="E24" s="21">
        <f>IFERROR(__xludf.DUMMYFUNCTION("""COMPUTED_VALUE"""),70.0)</f>
        <v>70</v>
      </c>
      <c r="F24" s="22">
        <f>IFERROR(__xludf.DUMMYFUNCTION("""COMPUTED_VALUE"""),3.0)</f>
        <v>3</v>
      </c>
      <c r="G24" s="24">
        <f>IFERROR(__xludf.DUMMYFUNCTION("""COMPUTED_VALUE"""),0.0)</f>
        <v>0</v>
      </c>
      <c r="H24" s="25">
        <f>IFERROR(__xludf.DUMMYFUNCTION("""COMPUTED_VALUE"""),0.17142857142857143)</f>
        <v>0.1714285714</v>
      </c>
      <c r="I24" s="26">
        <f>IFERROR(__xludf.DUMMYFUNCTION("""COMPUTED_VALUE"""),0.0)</f>
        <v>0</v>
      </c>
      <c r="J24" s="28">
        <f>IFERROR(__xludf.DUMMYFUNCTION("""COMPUTED_VALUE"""),12.0)</f>
        <v>12</v>
      </c>
      <c r="K24" s="25">
        <f>IFERROR(__xludf.DUMMYFUNCTION("""COMPUTED_VALUE"""),3.4285714285714284)</f>
        <v>3.428571429</v>
      </c>
    </row>
    <row r="25">
      <c r="A25" s="16">
        <f>IFERROR(__xludf.DUMMYFUNCTION("""COMPUTED_VALUE"""),24.0)</f>
        <v>24</v>
      </c>
      <c r="B25" s="17" t="str">
        <f>IFERROR(__xludf.DUMMYFUNCTION("""COMPUTED_VALUE"""),"DanZ137")</f>
        <v>DanZ137</v>
      </c>
      <c r="C25" s="18" t="str">
        <f>IFERROR(__xludf.DUMMYFUNCTION("""COMPUTED_VALUE"""),"Sexington High School + Con")</f>
        <v>Sexington High School + Con</v>
      </c>
      <c r="D25" s="20">
        <f>IFERROR(__xludf.DUMMYFUNCTION("""COMPUTED_VALUE"""),5.0)</f>
        <v>5</v>
      </c>
      <c r="E25" s="21">
        <f>IFERROR(__xludf.DUMMYFUNCTION("""COMPUTED_VALUE"""),100.0)</f>
        <v>100</v>
      </c>
      <c r="F25" s="22">
        <f>IFERROR(__xludf.DUMMYFUNCTION("""COMPUTED_VALUE"""),7.0)</f>
        <v>7</v>
      </c>
      <c r="G25" s="24">
        <f>IFERROR(__xludf.DUMMYFUNCTION("""COMPUTED_VALUE"""),3.0)</f>
        <v>3</v>
      </c>
      <c r="H25" s="25">
        <f>IFERROR(__xludf.DUMMYFUNCTION("""COMPUTED_VALUE"""),0.16)</f>
        <v>0.16</v>
      </c>
      <c r="I25" s="26">
        <f>IFERROR(__xludf.DUMMYFUNCTION("""COMPUTED_VALUE"""),2.3333333333333335)</f>
        <v>2.333333333</v>
      </c>
      <c r="J25" s="28">
        <f>IFERROR(__xludf.DUMMYFUNCTION("""COMPUTED_VALUE"""),16.0)</f>
        <v>16</v>
      </c>
      <c r="K25" s="25">
        <f>IFERROR(__xludf.DUMMYFUNCTION("""COMPUTED_VALUE"""),3.2)</f>
        <v>3.2</v>
      </c>
    </row>
    <row r="26">
      <c r="A26" s="16">
        <f>IFERROR(__xludf.DUMMYFUNCTION("""COMPUTED_VALUE"""),25.0)</f>
        <v>25</v>
      </c>
      <c r="B26" s="17" t="str">
        <f>IFERROR(__xludf.DUMMYFUNCTION("""COMPUTED_VALUE"""),"Fizzest")</f>
        <v>Fizzest</v>
      </c>
      <c r="C26" s="18" t="str">
        <f>IFERROR(__xludf.DUMMYFUNCTION("""COMPUTED_VALUE"""),"Langley")</f>
        <v>Langley</v>
      </c>
      <c r="D26" s="20">
        <f>IFERROR(__xludf.DUMMYFUNCTION("""COMPUTED_VALUE"""),5.0)</f>
        <v>5</v>
      </c>
      <c r="E26" s="21">
        <f>IFERROR(__xludf.DUMMYFUNCTION("""COMPUTED_VALUE"""),100.0)</f>
        <v>100</v>
      </c>
      <c r="F26" s="22">
        <f>IFERROR(__xludf.DUMMYFUNCTION("""COMPUTED_VALUE"""),6.0)</f>
        <v>6</v>
      </c>
      <c r="G26" s="24">
        <f>IFERROR(__xludf.DUMMYFUNCTION("""COMPUTED_VALUE"""),2.0)</f>
        <v>2</v>
      </c>
      <c r="H26" s="25">
        <f>IFERROR(__xludf.DUMMYFUNCTION("""COMPUTED_VALUE"""),0.16)</f>
        <v>0.16</v>
      </c>
      <c r="I26" s="26">
        <f>IFERROR(__xludf.DUMMYFUNCTION("""COMPUTED_VALUE"""),3.0)</f>
        <v>3</v>
      </c>
      <c r="J26" s="28">
        <f>IFERROR(__xludf.DUMMYFUNCTION("""COMPUTED_VALUE"""),16.0)</f>
        <v>16</v>
      </c>
      <c r="K26" s="25">
        <f>IFERROR(__xludf.DUMMYFUNCTION("""COMPUTED_VALUE"""),3.2)</f>
        <v>3.2</v>
      </c>
    </row>
    <row r="27">
      <c r="A27" s="16">
        <f>IFERROR(__xludf.DUMMYFUNCTION("""COMPUTED_VALUE"""),26.0)</f>
        <v>26</v>
      </c>
      <c r="B27" s="17" t="str">
        <f>IFERROR(__xludf.DUMMYFUNCTION("""COMPUTED_VALUE"""),"Kylari04#3842")</f>
        <v>Kylari04#3842</v>
      </c>
      <c r="C27" s="18" t="str">
        <f>IFERROR(__xludf.DUMMYFUNCTION("""COMPUTED_VALUE"""),"Bamiters")</f>
        <v>Bamiters</v>
      </c>
      <c r="D27" s="20">
        <f>IFERROR(__xludf.DUMMYFUNCTION("""COMPUTED_VALUE"""),5.25)</f>
        <v>5.25</v>
      </c>
      <c r="E27" s="21">
        <f>IFERROR(__xludf.DUMMYFUNCTION("""COMPUTED_VALUE"""),105.0)</f>
        <v>105</v>
      </c>
      <c r="F27" s="22">
        <f>IFERROR(__xludf.DUMMYFUNCTION("""COMPUTED_VALUE"""),4.0)</f>
        <v>4</v>
      </c>
      <c r="G27" s="24">
        <f>IFERROR(__xludf.DUMMYFUNCTION("""COMPUTED_VALUE"""),1.0)</f>
        <v>1</v>
      </c>
      <c r="H27" s="25">
        <f>IFERROR(__xludf.DUMMYFUNCTION("""COMPUTED_VALUE"""),0.11428571428571428)</f>
        <v>0.1142857143</v>
      </c>
      <c r="I27" s="26">
        <f>IFERROR(__xludf.DUMMYFUNCTION("""COMPUTED_VALUE"""),4.0)</f>
        <v>4</v>
      </c>
      <c r="J27" s="28">
        <f>IFERROR(__xludf.DUMMYFUNCTION("""COMPUTED_VALUE"""),12.0)</f>
        <v>12</v>
      </c>
      <c r="K27" s="25">
        <f>IFERROR(__xludf.DUMMYFUNCTION("""COMPUTED_VALUE"""),2.2857142857142856)</f>
        <v>2.285714286</v>
      </c>
    </row>
    <row r="28">
      <c r="A28" s="16">
        <f>IFERROR(__xludf.DUMMYFUNCTION("""COMPUTED_VALUE"""),27.0)</f>
        <v>27</v>
      </c>
      <c r="B28" s="17" t="str">
        <f>IFERROR(__xludf.DUMMYFUNCTION("""COMPUTED_VALUE"""),"hellothere")</f>
        <v>hellothere</v>
      </c>
      <c r="C28" s="18" t="str">
        <f>IFERROR(__xludf.DUMMYFUNCTION("""COMPUTED_VALUE"""),"Langley")</f>
        <v>Langley</v>
      </c>
      <c r="D28" s="20">
        <f>IFERROR(__xludf.DUMMYFUNCTION("""COMPUTED_VALUE"""),2.0)</f>
        <v>2</v>
      </c>
      <c r="E28" s="21">
        <f>IFERROR(__xludf.DUMMYFUNCTION("""COMPUTED_VALUE"""),40.0)</f>
        <v>40</v>
      </c>
      <c r="F28" s="22">
        <f>IFERROR(__xludf.DUMMYFUNCTION("""COMPUTED_VALUE"""),1.0)</f>
        <v>1</v>
      </c>
      <c r="G28" s="24">
        <f>IFERROR(__xludf.DUMMYFUNCTION("""COMPUTED_VALUE"""),0.0)</f>
        <v>0</v>
      </c>
      <c r="H28" s="25">
        <f>IFERROR(__xludf.DUMMYFUNCTION("""COMPUTED_VALUE"""),0.1)</f>
        <v>0.1</v>
      </c>
      <c r="I28" s="26">
        <f>IFERROR(__xludf.DUMMYFUNCTION("""COMPUTED_VALUE"""),0.0)</f>
        <v>0</v>
      </c>
      <c r="J28" s="28">
        <f>IFERROR(__xludf.DUMMYFUNCTION("""COMPUTED_VALUE"""),4.0)</f>
        <v>4</v>
      </c>
      <c r="K28" s="25">
        <f>IFERROR(__xludf.DUMMYFUNCTION("""COMPUTED_VALUE"""),2.0)</f>
        <v>2</v>
      </c>
    </row>
    <row r="29">
      <c r="A29" s="16">
        <f>IFERROR(__xludf.DUMMYFUNCTION("""COMPUTED_VALUE"""),28.0)</f>
        <v>28</v>
      </c>
      <c r="B29" s="17" t="str">
        <f>IFERROR(__xludf.DUMMYFUNCTION("""COMPUTED_VALUE"""),"learner11afc#0359")</f>
        <v>learner11afc#0359</v>
      </c>
      <c r="C29" s="18" t="str">
        <f>IFERROR(__xludf.DUMMYFUNCTION("""COMPUTED_VALUE"""),"mike oxlong")</f>
        <v>mike oxlong</v>
      </c>
      <c r="D29" s="20">
        <f>IFERROR(__xludf.DUMMYFUNCTION("""COMPUTED_VALUE"""),6.0)</f>
        <v>6</v>
      </c>
      <c r="E29" s="21">
        <f>IFERROR(__xludf.DUMMYFUNCTION("""COMPUTED_VALUE"""),120.0)</f>
        <v>120</v>
      </c>
      <c r="F29" s="22">
        <f>IFERROR(__xludf.DUMMYFUNCTION("""COMPUTED_VALUE"""),4.0)</f>
        <v>4</v>
      </c>
      <c r="G29" s="24">
        <f>IFERROR(__xludf.DUMMYFUNCTION("""COMPUTED_VALUE"""),1.0)</f>
        <v>1</v>
      </c>
      <c r="H29" s="25">
        <f>IFERROR(__xludf.DUMMYFUNCTION("""COMPUTED_VALUE"""),0.1)</f>
        <v>0.1</v>
      </c>
      <c r="I29" s="26">
        <f>IFERROR(__xludf.DUMMYFUNCTION("""COMPUTED_VALUE"""),4.0)</f>
        <v>4</v>
      </c>
      <c r="J29" s="28">
        <f>IFERROR(__xludf.DUMMYFUNCTION("""COMPUTED_VALUE"""),12.0)</f>
        <v>12</v>
      </c>
      <c r="K29" s="25">
        <f>IFERROR(__xludf.DUMMYFUNCTION("""COMPUTED_VALUE"""),2.0)</f>
        <v>2</v>
      </c>
    </row>
    <row r="30">
      <c r="A30" s="16">
        <f>IFERROR(__xludf.DUMMYFUNCTION("""COMPUTED_VALUE"""),29.0)</f>
        <v>29</v>
      </c>
      <c r="B30" s="17" t="str">
        <f>IFERROR(__xludf.DUMMYFUNCTION("""COMPUTED_VALUE"""),"thecoolchicken")</f>
        <v>thecoolchicken</v>
      </c>
      <c r="C30" s="18" t="str">
        <f>IFERROR(__xludf.DUMMYFUNCTION("""COMPUTED_VALUE"""),"mike oxlong")</f>
        <v>mike oxlong</v>
      </c>
      <c r="D30" s="20">
        <f>IFERROR(__xludf.DUMMYFUNCTION("""COMPUTED_VALUE"""),8.25)</f>
        <v>8.25</v>
      </c>
      <c r="E30" s="21">
        <f>IFERROR(__xludf.DUMMYFUNCTION("""COMPUTED_VALUE"""),165.0)</f>
        <v>165</v>
      </c>
      <c r="F30" s="22">
        <f>IFERROR(__xludf.DUMMYFUNCTION("""COMPUTED_VALUE"""),6.0)</f>
        <v>6</v>
      </c>
      <c r="G30" s="24">
        <f>IFERROR(__xludf.DUMMYFUNCTION("""COMPUTED_VALUE"""),2.0)</f>
        <v>2</v>
      </c>
      <c r="H30" s="25">
        <f>IFERROR(__xludf.DUMMYFUNCTION("""COMPUTED_VALUE"""),0.09696969696969697)</f>
        <v>0.09696969697</v>
      </c>
      <c r="I30" s="26">
        <f>IFERROR(__xludf.DUMMYFUNCTION("""COMPUTED_VALUE"""),3.0)</f>
        <v>3</v>
      </c>
      <c r="J30" s="28">
        <f>IFERROR(__xludf.DUMMYFUNCTION("""COMPUTED_VALUE"""),16.0)</f>
        <v>16</v>
      </c>
      <c r="K30" s="25">
        <f>IFERROR(__xludf.DUMMYFUNCTION("""COMPUTED_VALUE"""),1.9393939393939394)</f>
        <v>1.939393939</v>
      </c>
    </row>
    <row r="31">
      <c r="A31" s="16">
        <f>IFERROR(__xludf.DUMMYFUNCTION("""COMPUTED_VALUE"""),30.0)</f>
        <v>30</v>
      </c>
      <c r="B31" s="17" t="str">
        <f>IFERROR(__xludf.DUMMYFUNCTION("""COMPUTED_VALUE"""),"TOG")</f>
        <v>TOG</v>
      </c>
      <c r="C31" s="18" t="str">
        <f>IFERROR(__xludf.DUMMYFUNCTION("""COMPUTED_VALUE"""),"Wayzata/Blair")</f>
        <v>Wayzata/Blair</v>
      </c>
      <c r="D31" s="20">
        <f>IFERROR(__xludf.DUMMYFUNCTION("""COMPUTED_VALUE"""),3.6)</f>
        <v>3.6</v>
      </c>
      <c r="E31" s="21">
        <f>IFERROR(__xludf.DUMMYFUNCTION("""COMPUTED_VALUE"""),72.0)</f>
        <v>72</v>
      </c>
      <c r="F31" s="22">
        <f>IFERROR(__xludf.DUMMYFUNCTION("""COMPUTED_VALUE"""),3.0)</f>
        <v>3</v>
      </c>
      <c r="G31" s="24">
        <f>IFERROR(__xludf.DUMMYFUNCTION("""COMPUTED_VALUE"""),2.0)</f>
        <v>2</v>
      </c>
      <c r="H31" s="25">
        <f>IFERROR(__xludf.DUMMYFUNCTION("""COMPUTED_VALUE"""),0.05555555555555555)</f>
        <v>0.05555555556</v>
      </c>
      <c r="I31" s="26">
        <f>IFERROR(__xludf.DUMMYFUNCTION("""COMPUTED_VALUE"""),1.5)</f>
        <v>1.5</v>
      </c>
      <c r="J31" s="28">
        <f>IFERROR(__xludf.DUMMYFUNCTION("""COMPUTED_VALUE"""),4.0)</f>
        <v>4</v>
      </c>
      <c r="K31" s="25">
        <f>IFERROR(__xludf.DUMMYFUNCTION("""COMPUTED_VALUE"""),1.1111111111111112)</f>
        <v>1.111111111</v>
      </c>
    </row>
    <row r="32">
      <c r="A32" s="16">
        <f>IFERROR(__xludf.DUMMYFUNCTION("""COMPUTED_VALUE"""),31.0)</f>
        <v>31</v>
      </c>
      <c r="B32" s="17" t="str">
        <f>IFERROR(__xludf.DUMMYFUNCTION("""COMPUTED_VALUE"""),"4435#4435")</f>
        <v>4435#4435</v>
      </c>
      <c r="C32" s="18" t="str">
        <f>IFERROR(__xludf.DUMMYFUNCTION("""COMPUTED_VALUE"""),"shittier kids")</f>
        <v>shittier kids</v>
      </c>
      <c r="D32" s="20">
        <f>IFERROR(__xludf.DUMMYFUNCTION("""COMPUTED_VALUE"""),4.0)</f>
        <v>4</v>
      </c>
      <c r="E32" s="21">
        <f>IFERROR(__xludf.DUMMYFUNCTION("""COMPUTED_VALUE"""),80.0)</f>
        <v>80</v>
      </c>
      <c r="F32" s="22">
        <f>IFERROR(__xludf.DUMMYFUNCTION("""COMPUTED_VALUE"""),4.0)</f>
        <v>4</v>
      </c>
      <c r="G32" s="24">
        <f>IFERROR(__xludf.DUMMYFUNCTION("""COMPUTED_VALUE"""),3.0)</f>
        <v>3</v>
      </c>
      <c r="H32" s="25">
        <f>IFERROR(__xludf.DUMMYFUNCTION("""COMPUTED_VALUE"""),0.05)</f>
        <v>0.05</v>
      </c>
      <c r="I32" s="26">
        <f>IFERROR(__xludf.DUMMYFUNCTION("""COMPUTED_VALUE"""),1.3333333333333333)</f>
        <v>1.333333333</v>
      </c>
      <c r="J32" s="28">
        <f>IFERROR(__xludf.DUMMYFUNCTION("""COMPUTED_VALUE"""),4.0)</f>
        <v>4</v>
      </c>
      <c r="K32" s="25">
        <f>IFERROR(__xludf.DUMMYFUNCTION("""COMPUTED_VALUE"""),1.0)</f>
        <v>1</v>
      </c>
    </row>
    <row r="33">
      <c r="A33" s="16">
        <f>IFERROR(__xludf.DUMMYFUNCTION("""COMPUTED_VALUE"""),32.0)</f>
        <v>32</v>
      </c>
      <c r="B33" s="17" t="str">
        <f>IFERROR(__xludf.DUMMYFUNCTION("""COMPUTED_VALUE"""),"\\\\\\\\#0741")</f>
        <v>\\\\\\\\#0741</v>
      </c>
      <c r="C33" s="18" t="str">
        <f>IFERROR(__xludf.DUMMYFUNCTION("""COMPUTED_VALUE"""),"Westview")</f>
        <v>Westview</v>
      </c>
      <c r="D33" s="20">
        <f>IFERROR(__xludf.DUMMYFUNCTION("""COMPUTED_VALUE"""),4.0)</f>
        <v>4</v>
      </c>
      <c r="E33" s="21">
        <f>IFERROR(__xludf.DUMMYFUNCTION("""COMPUTED_VALUE"""),80.0)</f>
        <v>80</v>
      </c>
      <c r="F33" s="22">
        <f>IFERROR(__xludf.DUMMYFUNCTION("""COMPUTED_VALUE"""),2.0)</f>
        <v>2</v>
      </c>
      <c r="G33" s="24">
        <f>IFERROR(__xludf.DUMMYFUNCTION("""COMPUTED_VALUE"""),1.0)</f>
        <v>1</v>
      </c>
      <c r="H33" s="25">
        <f>IFERROR(__xludf.DUMMYFUNCTION("""COMPUTED_VALUE"""),0.05)</f>
        <v>0.05</v>
      </c>
      <c r="I33" s="26">
        <f>IFERROR(__xludf.DUMMYFUNCTION("""COMPUTED_VALUE"""),2.0)</f>
        <v>2</v>
      </c>
      <c r="J33" s="28">
        <f>IFERROR(__xludf.DUMMYFUNCTION("""COMPUTED_VALUE"""),4.0)</f>
        <v>4</v>
      </c>
      <c r="K33" s="25">
        <f>IFERROR(__xludf.DUMMYFUNCTION("""COMPUTED_VALUE"""),1.0)</f>
        <v>1</v>
      </c>
    </row>
    <row r="34">
      <c r="A34" s="16">
        <f>IFERROR(__xludf.DUMMYFUNCTION("""COMPUTED_VALUE"""),33.0)</f>
        <v>33</v>
      </c>
      <c r="B34" s="17" t="str">
        <f>IFERROR(__xludf.DUMMYFUNCTION("""COMPUTED_VALUE"""),"Not Bamity#3907")</f>
        <v>Not Bamity#3907</v>
      </c>
      <c r="C34" s="18" t="str">
        <f>IFERROR(__xludf.DUMMYFUNCTION("""COMPUTED_VALUE"""),"Bamiters")</f>
        <v>Bamiters</v>
      </c>
      <c r="D34" s="20">
        <f>IFERROR(__xludf.DUMMYFUNCTION("""COMPUTED_VALUE"""),6.25)</f>
        <v>6.25</v>
      </c>
      <c r="E34" s="21">
        <f>IFERROR(__xludf.DUMMYFUNCTION("""COMPUTED_VALUE"""),125.0)</f>
        <v>125</v>
      </c>
      <c r="F34" s="22">
        <f>IFERROR(__xludf.DUMMYFUNCTION("""COMPUTED_VALUE"""),1.0)</f>
        <v>1</v>
      </c>
      <c r="G34" s="24">
        <f>IFERROR(__xludf.DUMMYFUNCTION("""COMPUTED_VALUE"""),0.0)</f>
        <v>0</v>
      </c>
      <c r="H34" s="25">
        <f>IFERROR(__xludf.DUMMYFUNCTION("""COMPUTED_VALUE"""),0.032)</f>
        <v>0.032</v>
      </c>
      <c r="I34" s="26">
        <f>IFERROR(__xludf.DUMMYFUNCTION("""COMPUTED_VALUE"""),0.0)</f>
        <v>0</v>
      </c>
      <c r="J34" s="28">
        <f>IFERROR(__xludf.DUMMYFUNCTION("""COMPUTED_VALUE"""),4.0)</f>
        <v>4</v>
      </c>
      <c r="K34" s="25">
        <f>IFERROR(__xludf.DUMMYFUNCTION("""COMPUTED_VALUE"""),0.64)</f>
        <v>0.64</v>
      </c>
    </row>
    <row r="35">
      <c r="A35" s="16">
        <f>IFERROR(__xludf.DUMMYFUNCTION("""COMPUTED_VALUE"""),34.0)</f>
        <v>34</v>
      </c>
      <c r="B35" s="17" t="str">
        <f>IFERROR(__xludf.DUMMYFUNCTION("""COMPUTED_VALUE"""),"Pklvls")</f>
        <v>Pklvls</v>
      </c>
      <c r="C35" s="18" t="str">
        <f>IFERROR(__xludf.DUMMYFUNCTION("""COMPUTED_VALUE"""),"Tesla")</f>
        <v>Tesla</v>
      </c>
      <c r="D35" s="20">
        <f>IFERROR(__xludf.DUMMYFUNCTION("""COMPUTED_VALUE"""),2.0)</f>
        <v>2</v>
      </c>
      <c r="E35" s="21">
        <f>IFERROR(__xludf.DUMMYFUNCTION("""COMPUTED_VALUE"""),40.0)</f>
        <v>40</v>
      </c>
      <c r="F35" s="22">
        <f>IFERROR(__xludf.DUMMYFUNCTION("""COMPUTED_VALUE"""),0.0)</f>
        <v>0</v>
      </c>
      <c r="G35" s="24">
        <f>IFERROR(__xludf.DUMMYFUNCTION("""COMPUTED_VALUE"""),0.0)</f>
        <v>0</v>
      </c>
      <c r="H35" s="25">
        <f>IFERROR(__xludf.DUMMYFUNCTION("""COMPUTED_VALUE"""),0.0)</f>
        <v>0</v>
      </c>
      <c r="I35" s="26">
        <f>IFERROR(__xludf.DUMMYFUNCTION("""COMPUTED_VALUE"""),0.0)</f>
        <v>0</v>
      </c>
      <c r="J35" s="28">
        <f>IFERROR(__xludf.DUMMYFUNCTION("""COMPUTED_VALUE"""),0.0)</f>
        <v>0</v>
      </c>
      <c r="K35" s="25">
        <f>IFERROR(__xludf.DUMMYFUNCTION("""COMPUTED_VALUE"""),0.0)</f>
        <v>0</v>
      </c>
    </row>
    <row r="36">
      <c r="A36" s="16">
        <f>IFERROR(__xludf.DUMMYFUNCTION("""COMPUTED_VALUE"""),35.0)</f>
        <v>35</v>
      </c>
      <c r="B36" s="17" t="str">
        <f>IFERROR(__xludf.DUMMYFUNCTION("""COMPUTED_VALUE"""),"bobb")</f>
        <v>bobb</v>
      </c>
      <c r="C36" s="18" t="str">
        <f>IFERROR(__xludf.DUMMYFUNCTION("""COMPUTED_VALUE"""),"Langley")</f>
        <v>Langley</v>
      </c>
      <c r="D36" s="20">
        <f>IFERROR(__xludf.DUMMYFUNCTION("""COMPUTED_VALUE"""),1.0)</f>
        <v>1</v>
      </c>
      <c r="E36" s="21">
        <f>IFERROR(__xludf.DUMMYFUNCTION("""COMPUTED_VALUE"""),20.0)</f>
        <v>20</v>
      </c>
      <c r="F36" s="22">
        <f>IFERROR(__xludf.DUMMYFUNCTION("""COMPUTED_VALUE"""),0.0)</f>
        <v>0</v>
      </c>
      <c r="G36" s="24">
        <f>IFERROR(__xludf.DUMMYFUNCTION("""COMPUTED_VALUE"""),0.0)</f>
        <v>0</v>
      </c>
      <c r="H36" s="25">
        <f>IFERROR(__xludf.DUMMYFUNCTION("""COMPUTED_VALUE"""),0.0)</f>
        <v>0</v>
      </c>
      <c r="I36" s="26">
        <f>IFERROR(__xludf.DUMMYFUNCTION("""COMPUTED_VALUE"""),0.0)</f>
        <v>0</v>
      </c>
      <c r="J36" s="28">
        <f>IFERROR(__xludf.DUMMYFUNCTION("""COMPUTED_VALUE"""),0.0)</f>
        <v>0</v>
      </c>
      <c r="K36" s="25">
        <f>IFERROR(__xludf.DUMMYFUNCTION("""COMPUTED_VALUE"""),0.0)</f>
        <v>0</v>
      </c>
    </row>
    <row r="37">
      <c r="A37" s="16">
        <f>IFERROR(__xludf.DUMMYFUNCTION("""COMPUTED_VALUE"""),36.0)</f>
        <v>36</v>
      </c>
      <c r="B37" s="17" t="str">
        <f>IFERROR(__xludf.DUMMYFUNCTION("""COMPUTED_VALUE"""),"FireWolf256")</f>
        <v>FireWolf256</v>
      </c>
      <c r="C37" s="18" t="str">
        <f>IFERROR(__xludf.DUMMYFUNCTION("""COMPUTED_VALUE"""),"Fairview")</f>
        <v>Fairview</v>
      </c>
      <c r="D37" s="20">
        <f>IFERROR(__xludf.DUMMYFUNCTION("""COMPUTED_VALUE"""),1.0)</f>
        <v>1</v>
      </c>
      <c r="E37" s="21">
        <f>IFERROR(__xludf.DUMMYFUNCTION("""COMPUTED_VALUE"""),20.0)</f>
        <v>20</v>
      </c>
      <c r="F37" s="22">
        <f>IFERROR(__xludf.DUMMYFUNCTION("""COMPUTED_VALUE"""),0.0)</f>
        <v>0</v>
      </c>
      <c r="G37" s="24">
        <f>IFERROR(__xludf.DUMMYFUNCTION("""COMPUTED_VALUE"""),0.0)</f>
        <v>0</v>
      </c>
      <c r="H37" s="25">
        <f>IFERROR(__xludf.DUMMYFUNCTION("""COMPUTED_VALUE"""),0.0)</f>
        <v>0</v>
      </c>
      <c r="I37" s="26">
        <f>IFERROR(__xludf.DUMMYFUNCTION("""COMPUTED_VALUE"""),0.0)</f>
        <v>0</v>
      </c>
      <c r="J37" s="28">
        <f>IFERROR(__xludf.DUMMYFUNCTION("""COMPUTED_VALUE"""),0.0)</f>
        <v>0</v>
      </c>
      <c r="K37" s="25">
        <f>IFERROR(__xludf.DUMMYFUNCTION("""COMPUTED_VALUE"""),0.0)</f>
        <v>0</v>
      </c>
    </row>
    <row r="38">
      <c r="A38" s="16">
        <f>IFERROR(__xludf.DUMMYFUNCTION("""COMPUTED_VALUE"""),37.0)</f>
        <v>37</v>
      </c>
      <c r="B38" s="17" t="str">
        <f>IFERROR(__xludf.DUMMYFUNCTION("""COMPUTED_VALUE"""),"ThyOwneBoy#6424")</f>
        <v>ThyOwneBoy#6424</v>
      </c>
      <c r="C38" s="18" t="str">
        <f>IFERROR(__xludf.DUMMYFUNCTION("""COMPUTED_VALUE"""),"Westview")</f>
        <v>Westview</v>
      </c>
      <c r="D38" s="20">
        <f>IFERROR(__xludf.DUMMYFUNCTION("""COMPUTED_VALUE"""),4.5)</f>
        <v>4.5</v>
      </c>
      <c r="E38" s="21">
        <f>IFERROR(__xludf.DUMMYFUNCTION("""COMPUTED_VALUE"""),90.0)</f>
        <v>90</v>
      </c>
      <c r="F38" s="22">
        <f>IFERROR(__xludf.DUMMYFUNCTION("""COMPUTED_VALUE"""),4.0)</f>
        <v>4</v>
      </c>
      <c r="G38" s="24">
        <f>IFERROR(__xludf.DUMMYFUNCTION("""COMPUTED_VALUE"""),4.0)</f>
        <v>4</v>
      </c>
      <c r="H38" s="25">
        <f>IFERROR(__xludf.DUMMYFUNCTION("""COMPUTED_VALUE"""),0.0)</f>
        <v>0</v>
      </c>
      <c r="I38" s="26">
        <f>IFERROR(__xludf.DUMMYFUNCTION("""COMPUTED_VALUE"""),1.0)</f>
        <v>1</v>
      </c>
      <c r="J38" s="28">
        <f>IFERROR(__xludf.DUMMYFUNCTION("""COMPUTED_VALUE"""),0.0)</f>
        <v>0</v>
      </c>
      <c r="K38" s="25">
        <f>IFERROR(__xludf.DUMMYFUNCTION("""COMPUTED_VALUE"""),0.0)</f>
        <v>0</v>
      </c>
    </row>
    <row r="39">
      <c r="A39" s="16">
        <f>IFERROR(__xludf.DUMMYFUNCTION("""COMPUTED_VALUE"""),38.0)</f>
        <v>38</v>
      </c>
      <c r="B39" s="17" t="str">
        <f>IFERROR(__xludf.DUMMYFUNCTION("""COMPUTED_VALUE"""),"Seregios#6729")</f>
        <v>Seregios#6729</v>
      </c>
      <c r="C39" s="18" t="str">
        <f>IFERROR(__xludf.DUMMYFUNCTION("""COMPUTED_VALUE"""),"Bamiters")</f>
        <v>Bamiters</v>
      </c>
      <c r="D39" s="20">
        <f>IFERROR(__xludf.DUMMYFUNCTION("""COMPUTED_VALUE"""),6.25)</f>
        <v>6.25</v>
      </c>
      <c r="E39" s="21">
        <f>IFERROR(__xludf.DUMMYFUNCTION("""COMPUTED_VALUE"""),125.0)</f>
        <v>125</v>
      </c>
      <c r="F39" s="22">
        <f>IFERROR(__xludf.DUMMYFUNCTION("""COMPUTED_VALUE"""),0.0)</f>
        <v>0</v>
      </c>
      <c r="G39" s="24">
        <f>IFERROR(__xludf.DUMMYFUNCTION("""COMPUTED_VALUE"""),0.0)</f>
        <v>0</v>
      </c>
      <c r="H39" s="25">
        <f>IFERROR(__xludf.DUMMYFUNCTION("""COMPUTED_VALUE"""),0.0)</f>
        <v>0</v>
      </c>
      <c r="I39" s="26">
        <f>IFERROR(__xludf.DUMMYFUNCTION("""COMPUTED_VALUE"""),0.0)</f>
        <v>0</v>
      </c>
      <c r="J39" s="28">
        <f>IFERROR(__xludf.DUMMYFUNCTION("""COMPUTED_VALUE"""),0.0)</f>
        <v>0</v>
      </c>
      <c r="K39" s="25">
        <f>IFERROR(__xludf.DUMMYFUNCTION("""COMPUTED_VALUE"""),0.0)</f>
        <v>0</v>
      </c>
    </row>
    <row r="40">
      <c r="A40" s="16">
        <f>IFERROR(__xludf.DUMMYFUNCTION("""COMPUTED_VALUE"""),39.0)</f>
        <v>39</v>
      </c>
      <c r="B40" s="17" t="str">
        <f>IFERROR(__xludf.DUMMYFUNCTION("""COMPUTED_VALUE"""),"Saketh(Reverse)")</f>
        <v>Saketh(Reverse)</v>
      </c>
      <c r="C40" s="18" t="str">
        <f>IFERROR(__xludf.DUMMYFUNCTION("""COMPUTED_VALUE"""),"Tesla")</f>
        <v>Tesla</v>
      </c>
      <c r="D40" s="20">
        <f>IFERROR(__xludf.DUMMYFUNCTION("""COMPUTED_VALUE"""),3.0)</f>
        <v>3</v>
      </c>
      <c r="E40" s="21">
        <f>IFERROR(__xludf.DUMMYFUNCTION("""COMPUTED_VALUE"""),60.0)</f>
        <v>60</v>
      </c>
      <c r="F40" s="22">
        <f>IFERROR(__xludf.DUMMYFUNCTION("""COMPUTED_VALUE"""),1.0)</f>
        <v>1</v>
      </c>
      <c r="G40" s="24">
        <f>IFERROR(__xludf.DUMMYFUNCTION("""COMPUTED_VALUE"""),2.0)</f>
        <v>2</v>
      </c>
      <c r="H40" s="25">
        <f>IFERROR(__xludf.DUMMYFUNCTION("""COMPUTED_VALUE"""),-0.06666666666666667)</f>
        <v>-0.06666666667</v>
      </c>
      <c r="I40" s="26">
        <f>IFERROR(__xludf.DUMMYFUNCTION("""COMPUTED_VALUE"""),0.5)</f>
        <v>0.5</v>
      </c>
      <c r="J40" s="28">
        <f>IFERROR(__xludf.DUMMYFUNCTION("""COMPUTED_VALUE"""),-4.0)</f>
        <v>-4</v>
      </c>
      <c r="K40" s="25">
        <f>IFERROR(__xludf.DUMMYFUNCTION("""COMPUTED_VALUE"""),-1.3333333333333333)</f>
        <v>-1.333333333</v>
      </c>
    </row>
    <row r="41">
      <c r="A41" s="44">
        <f>IFERROR(__xludf.DUMMYFUNCTION("""COMPUTED_VALUE"""),40.0)</f>
        <v>40</v>
      </c>
      <c r="B41" s="45" t="str">
        <f>IFERROR(__xludf.DUMMYFUNCTION("""COMPUTED_VALUE"""),"joey")</f>
        <v>joey</v>
      </c>
      <c r="C41" s="45" t="str">
        <f>IFERROR(__xludf.DUMMYFUNCTION("""COMPUTED_VALUE"""),"Langley")</f>
        <v>Langley</v>
      </c>
      <c r="D41" s="46">
        <f>IFERROR(__xludf.DUMMYFUNCTION("""COMPUTED_VALUE"""),3.0)</f>
        <v>3</v>
      </c>
      <c r="E41" s="47">
        <f>IFERROR(__xludf.DUMMYFUNCTION("""COMPUTED_VALUE"""),60.0)</f>
        <v>60</v>
      </c>
      <c r="F41" s="48">
        <f>IFERROR(__xludf.DUMMYFUNCTION("""COMPUTED_VALUE"""),0.0)</f>
        <v>0</v>
      </c>
      <c r="G41" s="49">
        <f>IFERROR(__xludf.DUMMYFUNCTION("""COMPUTED_VALUE"""),1.0)</f>
        <v>1</v>
      </c>
      <c r="H41" s="50">
        <f>IFERROR(__xludf.DUMMYFUNCTION("""COMPUTED_VALUE"""),-0.06666666666666667)</f>
        <v>-0.06666666667</v>
      </c>
      <c r="I41" s="50">
        <f>IFERROR(__xludf.DUMMYFUNCTION("""COMPUTED_VALUE"""),0.0)</f>
        <v>0</v>
      </c>
      <c r="J41" s="51">
        <f>IFERROR(__xludf.DUMMYFUNCTION("""COMPUTED_VALUE"""),-4.0)</f>
        <v>-4</v>
      </c>
      <c r="K41" s="50">
        <f>IFERROR(__xludf.DUMMYFUNCTION("""COMPUTED_VALUE"""),-1.3333333333333333)</f>
        <v>-1.333333333</v>
      </c>
    </row>
    <row r="42">
      <c r="A42" s="52">
        <f>IFERROR(__xludf.DUMMYFUNCTION("""COMPUTED_VALUE"""),41.0)</f>
        <v>41</v>
      </c>
      <c r="B42" s="53" t="str">
        <f>IFERROR(__xludf.DUMMYFUNCTION("""COMPUTED_VALUE"""),"im a turtle")</f>
        <v>im a turtle</v>
      </c>
      <c r="C42" s="53" t="str">
        <f>IFERROR(__xludf.DUMMYFUNCTION("""COMPUTED_VALUE"""),"Sexington High School + Con")</f>
        <v>Sexington High School + Con</v>
      </c>
      <c r="D42" s="54">
        <f>IFERROR(__xludf.DUMMYFUNCTION("""COMPUTED_VALUE"""),2.0)</f>
        <v>2</v>
      </c>
      <c r="E42" s="55">
        <f>IFERROR(__xludf.DUMMYFUNCTION("""COMPUTED_VALUE"""),40.0)</f>
        <v>40</v>
      </c>
      <c r="F42" s="56">
        <f>IFERROR(__xludf.DUMMYFUNCTION("""COMPUTED_VALUE"""),0.0)</f>
        <v>0</v>
      </c>
      <c r="G42" s="57">
        <f>IFERROR(__xludf.DUMMYFUNCTION("""COMPUTED_VALUE"""),1.0)</f>
        <v>1</v>
      </c>
      <c r="H42" s="58">
        <f>IFERROR(__xludf.DUMMYFUNCTION("""COMPUTED_VALUE"""),-0.1)</f>
        <v>-0.1</v>
      </c>
      <c r="I42" s="58">
        <f>IFERROR(__xludf.DUMMYFUNCTION("""COMPUTED_VALUE"""),0.0)</f>
        <v>0</v>
      </c>
      <c r="J42" s="59">
        <f>IFERROR(__xludf.DUMMYFUNCTION("""COMPUTED_VALUE"""),-4.0)</f>
        <v>-4</v>
      </c>
      <c r="K42" s="58">
        <f>IFERROR(__xludf.DUMMYFUNCTION("""COMPUTED_VALUE"""),-2.0)</f>
        <v>-2</v>
      </c>
    </row>
    <row r="43">
      <c r="A43" s="60"/>
      <c r="B43" s="61"/>
      <c r="C43" s="7"/>
      <c r="D43" s="62"/>
      <c r="E43" s="63"/>
      <c r="F43" s="64"/>
      <c r="G43" s="65"/>
      <c r="H43" s="63"/>
      <c r="I43" s="66"/>
      <c r="J43" s="65"/>
      <c r="K43" s="63"/>
    </row>
    <row r="44">
      <c r="A44" s="60"/>
      <c r="B44" s="61"/>
      <c r="C44" s="7"/>
      <c r="D44" s="62"/>
      <c r="E44" s="63"/>
      <c r="F44" s="64"/>
      <c r="G44" s="65"/>
      <c r="H44" s="63"/>
      <c r="I44" s="66"/>
      <c r="J44" s="65"/>
      <c r="K44" s="63"/>
    </row>
    <row r="45">
      <c r="A45" s="60"/>
      <c r="B45" s="61"/>
      <c r="C45" s="7"/>
      <c r="D45" s="62"/>
      <c r="E45" s="63"/>
      <c r="F45" s="64"/>
      <c r="G45" s="65"/>
      <c r="H45" s="63"/>
      <c r="I45" s="66"/>
      <c r="J45" s="65"/>
      <c r="K45" s="63"/>
    </row>
    <row r="46">
      <c r="A46" s="60"/>
      <c r="B46" s="61"/>
      <c r="C46" s="7"/>
      <c r="D46" s="62"/>
      <c r="E46" s="63"/>
      <c r="F46" s="63"/>
      <c r="G46" s="65"/>
      <c r="H46" s="63"/>
      <c r="I46" s="66"/>
      <c r="J46" s="65"/>
      <c r="K46" s="63"/>
    </row>
    <row r="47">
      <c r="A47" s="60"/>
      <c r="B47" s="61"/>
      <c r="C47" s="7"/>
      <c r="D47" s="62"/>
      <c r="E47" s="63"/>
      <c r="F47" s="63"/>
      <c r="G47" s="65"/>
      <c r="H47" s="63"/>
      <c r="I47" s="66"/>
      <c r="J47" s="65"/>
      <c r="K47" s="63"/>
    </row>
    <row r="48">
      <c r="A48" s="60"/>
      <c r="B48" s="61"/>
      <c r="C48" s="7"/>
      <c r="D48" s="62"/>
      <c r="E48" s="63"/>
      <c r="F48" s="63"/>
      <c r="G48" s="65"/>
      <c r="H48" s="63"/>
      <c r="I48" s="66"/>
      <c r="J48" s="65"/>
      <c r="K48" s="63"/>
    </row>
    <row r="49">
      <c r="A49" s="60"/>
      <c r="B49" s="61"/>
      <c r="C49" s="7"/>
      <c r="D49" s="62"/>
      <c r="E49" s="63"/>
      <c r="F49" s="63"/>
      <c r="G49" s="65"/>
      <c r="H49" s="63"/>
      <c r="I49" s="66"/>
      <c r="J49" s="65"/>
      <c r="K49" s="63"/>
    </row>
    <row r="50">
      <c r="A50" s="60"/>
      <c r="B50" s="61"/>
      <c r="C50" s="7"/>
      <c r="D50" s="62"/>
      <c r="E50" s="63"/>
      <c r="F50" s="63"/>
      <c r="G50" s="65"/>
      <c r="H50" s="63"/>
      <c r="I50" s="66"/>
      <c r="J50" s="65"/>
      <c r="K50" s="63"/>
    </row>
  </sheetData>
  <drawing r:id="rId1"/>
</worksheet>
</file>