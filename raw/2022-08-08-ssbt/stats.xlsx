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elim Rankings Unsorted" sheetId="1" r:id="rId5"/>
    <sheet state="visible" name="Prelim Rankings" sheetId="2" r:id="rId6"/>
    <sheet state="hidden" name="Player Overall Stats Unsorted" sheetId="3" r:id="rId7"/>
    <sheet state="visible" name="Player Overall Stats" sheetId="4" r:id="rId8"/>
    <sheet state="visible" name="Biology" sheetId="5" r:id="rId9"/>
    <sheet state="hidden" name="Discord Username to Real Name" sheetId="6" r:id="rId10"/>
    <sheet state="visible" name="Chemistry" sheetId="7" r:id="rId11"/>
    <sheet state="visible" name="ESS" sheetId="8" r:id="rId12"/>
    <sheet state="visible" name="Math" sheetId="9" r:id="rId13"/>
    <sheet state="visible" name="Physics" sheetId="10" r:id="rId14"/>
    <sheet state="hidden" name="Math Unsorted" sheetId="11" r:id="rId15"/>
    <sheet state="hidden" name="ESS Unsorted" sheetId="12" r:id="rId16"/>
    <sheet state="hidden" name="Energy Unsorted" sheetId="13" r:id="rId17"/>
    <sheet state="visible" name="Energy" sheetId="14" r:id="rId18"/>
    <sheet state="hidden" name="Chemistry Unsorted" sheetId="15" r:id="rId19"/>
    <sheet state="hidden" name="Biology Unsorted" sheetId="16" r:id="rId20"/>
    <sheet state="hidden" name="Physics Unsorted" sheetId="17" r:id="rId21"/>
    <sheet state="hidden" name="Match Names" sheetId="18" r:id="rId22"/>
    <sheet state="hidden" name="Subject Order" sheetId="19" r:id="rId23"/>
  </sheets>
  <definedNames/>
  <calcPr/>
</workbook>
</file>

<file path=xl/sharedStrings.xml><?xml version="1.0" encoding="utf-8"?>
<sst xmlns="http://schemas.openxmlformats.org/spreadsheetml/2006/main" count="3931" uniqueCount="319">
  <si>
    <t>Round:</t>
  </si>
  <si>
    <t>Player</t>
  </si>
  <si>
    <t>Prelims</t>
  </si>
  <si>
    <t>TEAMS</t>
  </si>
  <si>
    <t>TOTAL POINTS</t>
  </si>
  <si>
    <t>Grammar Kids</t>
  </si>
  <si>
    <t>Discord Username</t>
  </si>
  <si>
    <t>Team</t>
  </si>
  <si>
    <t>TU Heard</t>
  </si>
  <si>
    <t>4s</t>
  </si>
  <si>
    <t>0s</t>
  </si>
  <si>
    <t>-4s</t>
  </si>
  <si>
    <t>PPG</t>
  </si>
  <si>
    <t>Daniel</t>
  </si>
  <si>
    <t>The Catecholomines</t>
  </si>
  <si>
    <t>Banana Corp</t>
  </si>
  <si>
    <t>IDIOM</t>
  </si>
  <si>
    <t>Deer Feeled</t>
  </si>
  <si>
    <t>Sacramento Country Day School</t>
  </si>
  <si>
    <t>The Mother Doers</t>
  </si>
  <si>
    <t>Galena Popsicles</t>
  </si>
  <si>
    <t>Dear Field</t>
  </si>
  <si>
    <t>Jerry is a Nerd</t>
  </si>
  <si>
    <t>Degenerate Matter</t>
  </si>
  <si>
    <t>Squishy Cats</t>
  </si>
  <si>
    <t>Scrubby Teletubbies</t>
  </si>
  <si>
    <t>Bio and Chem Players Only Challenge</t>
  </si>
  <si>
    <t>U-235 Soup</t>
  </si>
  <si>
    <t>Orthonormal BASIS</t>
  </si>
  <si>
    <t>Be the Block of Bread</t>
  </si>
  <si>
    <t>Hopkins</t>
  </si>
  <si>
    <t>William Mason</t>
  </si>
  <si>
    <t>Glastonbury</t>
  </si>
  <si>
    <t>Running Runin</t>
  </si>
  <si>
    <t>oof7373#7373</t>
  </si>
  <si>
    <t>David</t>
  </si>
  <si>
    <t>borb#6872</t>
  </si>
  <si>
    <t>Saheb</t>
  </si>
  <si>
    <t>aurum#9391</t>
  </si>
  <si>
    <t>Henryd</t>
  </si>
  <si>
    <t>ThisIsDenry#0446</t>
  </si>
  <si>
    <t>Clownfrog</t>
  </si>
  <si>
    <t>ClownFrogg𓆏#3571</t>
  </si>
  <si>
    <t>Xing</t>
  </si>
  <si>
    <t>Xing#7270</t>
  </si>
  <si>
    <t>Ryan</t>
  </si>
  <si>
    <t>(Stitch)^2#3169</t>
  </si>
  <si>
    <t>grassisgood#9863</t>
  </si>
  <si>
    <t>Allison</t>
  </si>
  <si>
    <t>Avani</t>
  </si>
  <si>
    <t>a Aquilae#6100</t>
  </si>
  <si>
    <t>avani#8445</t>
  </si>
  <si>
    <t>Cindy</t>
  </si>
  <si>
    <t>Brandon</t>
  </si>
  <si>
    <t>cindyhlu#0060</t>
  </si>
  <si>
    <t>brandon.chang#3043</t>
  </si>
  <si>
    <t>Owen</t>
  </si>
  <si>
    <t>WeisPickle#1350</t>
  </si>
  <si>
    <t>Noah</t>
  </si>
  <si>
    <t>nshapiro#4660</t>
  </si>
  <si>
    <t>danliu488#6963</t>
  </si>
  <si>
    <t>Chahak</t>
  </si>
  <si>
    <t>chalk#0845</t>
  </si>
  <si>
    <t>Rishabh</t>
  </si>
  <si>
    <t>effervescence#3904</t>
  </si>
  <si>
    <t>Sahas</t>
  </si>
  <si>
    <t>Sahas#5704</t>
  </si>
  <si>
    <t>Danny</t>
  </si>
  <si>
    <t>dannyridel#2256</t>
  </si>
  <si>
    <t>Cows</t>
  </si>
  <si>
    <t>Sidhant</t>
  </si>
  <si>
    <t>Cows#0460</t>
  </si>
  <si>
    <t>aloevera42#2760</t>
  </si>
  <si>
    <t>Vishnu</t>
  </si>
  <si>
    <t>Chris</t>
  </si>
  <si>
    <t>Chris Ge#6364</t>
  </si>
  <si>
    <t>Jesse</t>
  </si>
  <si>
    <t>Dr. Jess#0829</t>
  </si>
  <si>
    <t>Ava</t>
  </si>
  <si>
    <t>Joseph</t>
  </si>
  <si>
    <t>Serferducter#1979</t>
  </si>
  <si>
    <t>Grace</t>
  </si>
  <si>
    <t>Jerry</t>
  </si>
  <si>
    <t>Cemo475#3867</t>
  </si>
  <si>
    <t>spongebob</t>
  </si>
  <si>
    <t>spongebob#0577</t>
  </si>
  <si>
    <t>Henry</t>
  </si>
  <si>
    <t>Henryb#9686</t>
  </si>
  <si>
    <t>s0arbeacon</t>
  </si>
  <si>
    <t>s0arbeacon#9262</t>
  </si>
  <si>
    <t>Hriday</t>
  </si>
  <si>
    <t>hriday#5979</t>
  </si>
  <si>
    <t>asiangold#6836</t>
  </si>
  <si>
    <t>Aravind</t>
  </si>
  <si>
    <t>Hyperion#5422</t>
  </si>
  <si>
    <t>Nathan</t>
  </si>
  <si>
    <t>ashrug0002#8740</t>
  </si>
  <si>
    <t>very_creative_name</t>
  </si>
  <si>
    <t>very_creative_name#1358</t>
  </si>
  <si>
    <t>Prajit</t>
  </si>
  <si>
    <t>Izwerzx#2598</t>
  </si>
  <si>
    <t>prr#4609</t>
  </si>
  <si>
    <t>Weber</t>
  </si>
  <si>
    <t>Weber_Lin#5389</t>
  </si>
  <si>
    <t>Logan</t>
  </si>
  <si>
    <t>Logan L.#8589</t>
  </si>
  <si>
    <t>Annie</t>
  </si>
  <si>
    <t>banane#7103</t>
  </si>
  <si>
    <t>Adam</t>
  </si>
  <si>
    <t>Oshimimers#4758</t>
  </si>
  <si>
    <t>IAmNotJerry#6312</t>
  </si>
  <si>
    <t>Margaret</t>
  </si>
  <si>
    <t>margaret#3477</t>
  </si>
  <si>
    <t>a5a7</t>
  </si>
  <si>
    <t>a5a7#2184</t>
  </si>
  <si>
    <t>Jeremy</t>
  </si>
  <si>
    <t>choiboi#3455</t>
  </si>
  <si>
    <t>Samhita</t>
  </si>
  <si>
    <t>the-wraith#2013</t>
  </si>
  <si>
    <t>neyhar</t>
  </si>
  <si>
    <t>saltwater#3722</t>
  </si>
  <si>
    <t>alienated#7505</t>
  </si>
  <si>
    <t>Emi</t>
  </si>
  <si>
    <t>emu#0818</t>
  </si>
  <si>
    <t>Connor</t>
  </si>
  <si>
    <t>Connor Zhao#9139</t>
  </si>
  <si>
    <t>Keisuke</t>
  </si>
  <si>
    <t>Aishwarya</t>
  </si>
  <si>
    <t>MR_67#1546</t>
  </si>
  <si>
    <t>PerfectPenguin#3133</t>
  </si>
  <si>
    <t>crebz</t>
  </si>
  <si>
    <t>crebz#4622</t>
  </si>
  <si>
    <t>Ray</t>
  </si>
  <si>
    <t>Endoplasmic Rayticulum#6706</t>
  </si>
  <si>
    <t>Jeffrey Li</t>
  </si>
  <si>
    <t>Jeffrey Li#1694</t>
  </si>
  <si>
    <t>Carolyn</t>
  </si>
  <si>
    <t>capriisun#3255</t>
  </si>
  <si>
    <t>Chloe</t>
  </si>
  <si>
    <t>sachiko#9539</t>
  </si>
  <si>
    <t>Jonathan</t>
  </si>
  <si>
    <t>Jonathan Hu#9386</t>
  </si>
  <si>
    <t>Char</t>
  </si>
  <si>
    <t>Analy</t>
  </si>
  <si>
    <t>Char#5513</t>
  </si>
  <si>
    <t>CheeseGr8ter#2134</t>
  </si>
  <si>
    <t>Kevin</t>
  </si>
  <si>
    <t>Kevin Yang#3870</t>
  </si>
  <si>
    <t>RR</t>
  </si>
  <si>
    <t>RR#5337</t>
  </si>
  <si>
    <t>Aaron</t>
  </si>
  <si>
    <t>aaron0109#6251</t>
  </si>
  <si>
    <t>Dylan</t>
  </si>
  <si>
    <t>hsuehpooy#7813</t>
  </si>
  <si>
    <t>Shinybro64</t>
  </si>
  <si>
    <t>Hugo</t>
  </si>
  <si>
    <t>Shinybro64#1122</t>
  </si>
  <si>
    <t>xplt#4416</t>
  </si>
  <si>
    <t>Gregory</t>
  </si>
  <si>
    <t>TreefallGap#0407</t>
  </si>
  <si>
    <t>Lucas</t>
  </si>
  <si>
    <t>luczha003#3376</t>
  </si>
  <si>
    <t>Ajay</t>
  </si>
  <si>
    <t>Ajay G.#0147</t>
  </si>
  <si>
    <t>Tejasvi</t>
  </si>
  <si>
    <t>Teji11#5265</t>
  </si>
  <si>
    <t>avaa#8678</t>
  </si>
  <si>
    <t>KOZlegend</t>
  </si>
  <si>
    <t>KOZlegend#1745</t>
  </si>
  <si>
    <t>Verisimilitude</t>
  </si>
  <si>
    <t>Verisimilitude#2169</t>
  </si>
  <si>
    <t>Elliot</t>
  </si>
  <si>
    <t>Tencor7144#2297</t>
  </si>
  <si>
    <t>Rosin#8074</t>
  </si>
  <si>
    <t>Advai</t>
  </si>
  <si>
    <t>Static#2349</t>
  </si>
  <si>
    <t>Aryc</t>
  </si>
  <si>
    <t>aryc702#7517</t>
  </si>
  <si>
    <t>avaebe#2714</t>
  </si>
  <si>
    <t>Joshua</t>
  </si>
  <si>
    <t>Nutritious Soup#4238</t>
  </si>
  <si>
    <t>Ronuk</t>
  </si>
  <si>
    <t>ronster#8561</t>
  </si>
  <si>
    <t>Ari</t>
  </si>
  <si>
    <t>Paradoxygen#5753</t>
  </si>
  <si>
    <t>DanielRocks(UrMom)#5639</t>
  </si>
  <si>
    <t>Audrey</t>
  </si>
  <si>
    <t>audrey#4828</t>
  </si>
  <si>
    <t>Allusion</t>
  </si>
  <si>
    <t>Allusion#0092</t>
  </si>
  <si>
    <t>bread</t>
  </si>
  <si>
    <t>bread#1582</t>
  </si>
  <si>
    <t>Aditi</t>
  </si>
  <si>
    <t>aditi#0716</t>
  </si>
  <si>
    <t>ez</t>
  </si>
  <si>
    <t>ez#5904</t>
  </si>
  <si>
    <t>haybales</t>
  </si>
  <si>
    <t>haybales#0656</t>
  </si>
  <si>
    <t>Bulala</t>
  </si>
  <si>
    <t>Running Runin#5021</t>
  </si>
  <si>
    <t>Victoria</t>
  </si>
  <si>
    <t>Victoria123#0687</t>
  </si>
  <si>
    <t>Ritz</t>
  </si>
  <si>
    <t>Ritz#0792</t>
  </si>
  <si>
    <t>NightHarassment</t>
  </si>
  <si>
    <t>Einglass#1845</t>
  </si>
  <si>
    <t>penguin</t>
  </si>
  <si>
    <t>.penguin#3809</t>
  </si>
  <si>
    <t>Blue Rhinobeetles</t>
  </si>
  <si>
    <t>Prelim Round 1 Spreadsheet</t>
  </si>
  <si>
    <t>https://docs.google.com/spreadsheets/d/1xIzECe7aNndzt0hqqFOHk_CBewZtwYpEZ1_9ljU4DrE/edit#gid=1640670551</t>
  </si>
  <si>
    <t>Prelim Round 2 Spreadsheet</t>
  </si>
  <si>
    <t>https://docs.google.com/spreadsheets/d/115_83cmXVItW0frF_mp6wnNfNAj63wlpF6v2wcXgJrU/edit#gid=0</t>
  </si>
  <si>
    <t>Prelim Round 3 Spreadsheet</t>
  </si>
  <si>
    <t>https://docs.google.com/spreadsheets/d/1epChxX7xpqa0FpCzekFs4W6lBQOnPeFmcxX2fWD6lc8/edit#gid=0</t>
  </si>
  <si>
    <t>Name</t>
  </si>
  <si>
    <t>Concat</t>
  </si>
  <si>
    <t>Discord</t>
  </si>
  <si>
    <t>X</t>
  </si>
  <si>
    <t>jmarsh</t>
  </si>
  <si>
    <t>Blue Valley North</t>
  </si>
  <si>
    <t>jmarsh#9660</t>
  </si>
  <si>
    <t>eddmu</t>
  </si>
  <si>
    <t>ling lara#0800</t>
  </si>
  <si>
    <t>eddybertran</t>
  </si>
  <si>
    <t>eddybertran#8731</t>
  </si>
  <si>
    <t>ling lara</t>
  </si>
  <si>
    <t>eddmu#2425</t>
  </si>
  <si>
    <t>LiJingWei</t>
  </si>
  <si>
    <t>LiJingWei#8059</t>
  </si>
  <si>
    <t>pizzarzzzz</t>
  </si>
  <si>
    <t>pizzarzzzz#2344</t>
  </si>
  <si>
    <t>snellslaw</t>
  </si>
  <si>
    <t>Nick</t>
  </si>
  <si>
    <t>nickzhang133#7202</t>
  </si>
  <si>
    <t>The Axolotl</t>
  </si>
  <si>
    <t>TheAxolotl1#4821</t>
  </si>
  <si>
    <t>Hopkins vs. Sacramento Country Day School</t>
  </si>
  <si>
    <t>Hopkins vs. Grammar Kids</t>
  </si>
  <si>
    <t>Hopkins vs. Squishy Cats</t>
  </si>
  <si>
    <t>Squishy Cats vs Hopkins</t>
  </si>
  <si>
    <t>N/A</t>
  </si>
  <si>
    <t>Degenerate Matter vs. SCD School</t>
  </si>
  <si>
    <t>Deer Feeled vs. Sacramento Country Day School</t>
  </si>
  <si>
    <t>IDIOM vs SCDS</t>
  </si>
  <si>
    <t>Jerry is a Nerd vs SCDS</t>
  </si>
  <si>
    <t>Degenerate Matter vs. Be the Block of Bread</t>
  </si>
  <si>
    <t>Degenerate Matter vs. Grammar Kids</t>
  </si>
  <si>
    <t>Degenerate Matter vs Be the Block of Bread</t>
  </si>
  <si>
    <t>IDIOM vs Degenerate Matter</t>
  </si>
  <si>
    <t>Degenerate Matter vs U-235 Soup</t>
  </si>
  <si>
    <t>Deer Feeled vs. Be the Block of Bread</t>
  </si>
  <si>
    <t>BCPOC vs. Be the Block of Bread</t>
  </si>
  <si>
    <t>BCPOC vs Be the Block of Bread</t>
  </si>
  <si>
    <t>Deer Feeled vs. U-235 Soup</t>
  </si>
  <si>
    <t>Deer Feeled vs Scrubby Teletubbies</t>
  </si>
  <si>
    <t>BCPOC vs. U-235 Soup</t>
  </si>
  <si>
    <t>The Mother Doers vs. U-235 Soup</t>
  </si>
  <si>
    <t>U235 vs Glastonbury</t>
  </si>
  <si>
    <t>U-235 vs Orthonomal Basis</t>
  </si>
  <si>
    <t>BCPOC vs. Blue Valley North</t>
  </si>
  <si>
    <t>The Mother Doers vs. Blue Valley North</t>
  </si>
  <si>
    <t>Glastonbury vs. Blue Valley North</t>
  </si>
  <si>
    <t>The Mother Doers vs. Blue Rhinobeetles</t>
  </si>
  <si>
    <t>Banana vs Mother Doers</t>
  </si>
  <si>
    <t>Catecholamines-vs-MotherDoers</t>
  </si>
  <si>
    <t>Glastonbury vs. Blue Rhinobeetles</t>
  </si>
  <si>
    <t>Scrubby Teletubbies vs. Blue Rhinobeetles</t>
  </si>
  <si>
    <t>Blue Rhinobeetles vs Jerry is a Nerd</t>
  </si>
  <si>
    <t>Glastonbury vs. The Catecholomines</t>
  </si>
  <si>
    <t>Scrubby Teletubbies vs. The Catecholomines</t>
  </si>
  <si>
    <t>Banana Corp vs. The Catecholomines</t>
  </si>
  <si>
    <t>Catech vs Galena</t>
  </si>
  <si>
    <t>Catecholamines vs Jerry is a Nerd</t>
  </si>
  <si>
    <t>Scrubby Teletubbies vs. Orthonormal BASIS</t>
  </si>
  <si>
    <t>Scrubby Teletubbies vs William Mason</t>
  </si>
  <si>
    <t>Galena vs Scrubby Teletubbies</t>
  </si>
  <si>
    <t>Orthonormal Basis</t>
  </si>
  <si>
    <t>Banana Corp vs. Orthonormal BASIS</t>
  </si>
  <si>
    <t>Jerry is a Nerd vs. Orthonormal BASIS</t>
  </si>
  <si>
    <t>Orthronormal vs Grammar</t>
  </si>
  <si>
    <t>Banana Corp vs. William Mason</t>
  </si>
  <si>
    <t>Banana Corp vs Dear Field</t>
  </si>
  <si>
    <t>Banana vs Galena</t>
  </si>
  <si>
    <t>Jerry is a Nerd vs. William Mason</t>
  </si>
  <si>
    <t>IDIOM vs. William Mason</t>
  </si>
  <si>
    <t>Jerry is a Nerd vs. Dear Field</t>
  </si>
  <si>
    <t>IDIOM vs. Dear Field</t>
  </si>
  <si>
    <t>Galena Popsicles vs. Dear Field</t>
  </si>
  <si>
    <t>Deer Field vs Squishy Cats</t>
  </si>
  <si>
    <t>IDIOM vs. Squishy Cats</t>
  </si>
  <si>
    <t>Galena Popsicles vs. Squishy Cats</t>
  </si>
  <si>
    <t>Galena Popsicles vs. Grammar Kids</t>
  </si>
  <si>
    <t>Link</t>
  </si>
  <si>
    <t>https://docs.google.com/spreadsheets/d/1G2O-Tjo9j9iG63yJgo5XQTAFXiTeS1j8CpnApqrW_L4/edit#gid=888937401</t>
  </si>
  <si>
    <t>https://docs.google.com/spreadsheets/d/12-hrWmB2tXXYLK7YiTDLCvyUacJrRyeHFMInolBIgNU/edit#gid=649923337</t>
  </si>
  <si>
    <t>https://docs.google.com/spreadsheets/d/1oRJiq6nVM4Fiy07rnr37-kVfShQbTMeAm7ad0tN_Q5k/edit#gid=1775214235</t>
  </si>
  <si>
    <t>PreRound1</t>
  </si>
  <si>
    <t>PreRound2</t>
  </si>
  <si>
    <t>PreRound3</t>
  </si>
  <si>
    <t>PlayRound1</t>
  </si>
  <si>
    <t>PlayRound2</t>
  </si>
  <si>
    <t>PlayRound3</t>
  </si>
  <si>
    <t>PlayRound4</t>
  </si>
  <si>
    <t>https://docs.google.com/spreadsheets/d/1fvhNlqJqMT6zj5j4Vnn4FmunJpKTRqm-fyhgH5WyEO4/edit#gid=2086591698</t>
  </si>
  <si>
    <t>Biology</t>
  </si>
  <si>
    <t>Chemistry</t>
  </si>
  <si>
    <t>Round</t>
  </si>
  <si>
    <t>ESS</t>
  </si>
  <si>
    <t>Pre1</t>
  </si>
  <si>
    <t>Pre2</t>
  </si>
  <si>
    <t>Pre3</t>
  </si>
  <si>
    <t>Play1</t>
  </si>
  <si>
    <t>Play2</t>
  </si>
  <si>
    <t>Play3</t>
  </si>
  <si>
    <t>Play4</t>
  </si>
  <si>
    <t>Physics</t>
  </si>
  <si>
    <t>Math</t>
  </si>
  <si>
    <t>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</si>
</sst>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Inconsolata"/>
    </font>
    <font>
      <u/>
      <color rgb="FF0000FF"/>
      <name val="Arial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sz val="10.0"/>
      <color rgb="FF222222"/>
      <name val="&quot;Google Sans&quot;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2" numFmtId="0" xfId="0" applyAlignment="1" applyFont="1">
      <alignment horizontal="right" vertical="bottom"/>
    </xf>
    <xf borderId="1" fillId="0" fontId="4" numFmtId="0" xfId="0" applyBorder="1" applyFont="1"/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0" fontId="3" numFmtId="2" xfId="0" applyAlignment="1" applyFont="1" applyNumberFormat="1">
      <alignment readingOrder="0"/>
    </xf>
    <xf borderId="0" fillId="0" fontId="4" numFmtId="2" xfId="0" applyFont="1" applyNumberFormat="1"/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2" xfId="0" applyAlignment="1" applyFont="1" applyNumberFormat="1">
      <alignment readingOrder="0"/>
    </xf>
    <xf borderId="0" fillId="0" fontId="9" numFmtId="0" xfId="0" applyFont="1"/>
    <xf borderId="0" fillId="2" fontId="0" numFmtId="0" xfId="0" applyFill="1" applyFont="1"/>
    <xf borderId="0" fillId="0" fontId="9" numFmtId="2" xfId="0" applyFont="1" applyNumberFormat="1"/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10" numFmtId="0" xfId="0" applyFill="1" applyFont="1"/>
    <xf borderId="0" fillId="3" fontId="4" numFmtId="0" xfId="0" applyAlignment="1" applyFill="1" applyFont="1">
      <alignment vertical="bottom"/>
    </xf>
    <xf borderId="0" fillId="2" fontId="4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11" numFmtId="0" xfId="0" applyAlignment="1" applyFill="1" applyFont="1">
      <alignment horizontal="right"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1" numFmtId="0" xfId="0" applyAlignment="1" applyFill="1" applyFont="1">
      <alignment horizontal="right" vertical="bottom"/>
    </xf>
    <xf borderId="0" fillId="2" fontId="1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IzECe7aNndzt0hqqFOHk_CBewZtwYpEZ1_9ljU4DrE/edit" TargetMode="External"/><Relationship Id="rId2" Type="http://schemas.openxmlformats.org/officeDocument/2006/relationships/hyperlink" Target="https://docs.google.com/spreadsheets/d/115_83cmXVItW0frF_mp6wnNfNAj63wlpF6v2wcXgJrU/edit" TargetMode="External"/><Relationship Id="rId3" Type="http://schemas.openxmlformats.org/officeDocument/2006/relationships/hyperlink" Target="https://docs.google.com/spreadsheets/d/1epChxX7xpqa0FpCzekFs4W6lBQOnPeFmcxX2fWD6lc8/ed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2O-Tjo9j9iG63yJgo5XQTAFXiTeS1j8CpnApqrW_L4/edit" TargetMode="External"/><Relationship Id="rId2" Type="http://schemas.openxmlformats.org/officeDocument/2006/relationships/hyperlink" Target="https://docs.google.com/spreadsheets/d/12-hrWmB2tXXYLK7YiTDLCvyUacJrRyeHFMInolBIgNU/edit" TargetMode="External"/><Relationship Id="rId3" Type="http://schemas.openxmlformats.org/officeDocument/2006/relationships/hyperlink" Target="https://docs.google.com/spreadsheets/d/1oRJiq6nVM4Fiy07rnr37-kVfShQbTMeAm7ad0tN_Q5k/edit" TargetMode="External"/><Relationship Id="rId4" Type="http://schemas.openxmlformats.org/officeDocument/2006/relationships/hyperlink" Target="https://docs.google.com/spreadsheets/d/1fvhNlqJqMT6zj5j4Vnn4FmunJpKTRqm-fyhgH5WyEO4/edit" TargetMode="External"/><Relationship Id="rId5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 t="s">
        <v>3</v>
      </c>
      <c r="B2" s="1">
        <v>1.0</v>
      </c>
      <c r="C2" s="1">
        <v>2.0</v>
      </c>
      <c r="D2" s="1">
        <v>3.0</v>
      </c>
      <c r="E2" s="1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5</v>
      </c>
      <c r="B3" s="4">
        <f>IFERROR(__xludf.DUMMYFUNCTION("HLOOKUP($A3, IMPORTRANGE($B$40, CONCAT(VLOOKUP($A3, 'Match Names'!$A$1:$D$22, 2, FALSE),""!C1:R29"")), 29, FALSE)"),4.0)</f>
        <v>4</v>
      </c>
      <c r="C3" s="4">
        <f>IFERROR(__xludf.DUMMYFUNCTION("HLOOKUP($A3, IMPORTRANGE($B$41, CONCAT(VLOOKUP($A3, 'Match Names'!$A$1:$D$22, 3, FALSE),""!C1:R29"")), 29, FALSE)"),28.0)</f>
        <v>28</v>
      </c>
      <c r="D3" s="4">
        <f>IFERROR(__xludf.DUMMYFUNCTION("HLOOKUP($A3, IMPORTRANGE($B$42, CONCAT(VLOOKUP($A3, 'Match Names'!$A$1:$D$22, 4, FALSE),""!C1:R29"")), 29, FALSE)"),38.0)</f>
        <v>38</v>
      </c>
      <c r="E3" s="9">
        <f t="shared" ref="E3:E23" si="1">SUM(B3:D3)</f>
        <v>70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17</v>
      </c>
      <c r="B4" s="4">
        <f>IFERROR(__xludf.DUMMYFUNCTION("HLOOKUP($A4, IMPORTRANGE($B$40, CONCAT(VLOOKUP($A4, 'Match Names'!$A$1:$D$22, 2, FALSE),""!C1:R29"")), 29, FALSE)"),206.0)</f>
        <v>206</v>
      </c>
      <c r="C4" s="4">
        <f>IFERROR(__xludf.DUMMYFUNCTION("HLOOKUP($A4, IMPORTRANGE($B$41, CONCAT(VLOOKUP($A4, 'Match Names'!$A$1:$D$22, 3, FALSE),""!C1:R29"")), 29, FALSE)"),180.0)</f>
        <v>180</v>
      </c>
      <c r="D4" s="4">
        <f>IFERROR(__xludf.DUMMYFUNCTION("HLOOKUP($A4, IMPORTRANGE($B$42, CONCAT(VLOOKUP($A4, 'Match Names'!$A$1:$D$22, 4, FALSE),""!C1:R29"")), 29, FALSE)"),42.0)</f>
        <v>42</v>
      </c>
      <c r="E4" s="9">
        <f t="shared" si="1"/>
        <v>428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21</v>
      </c>
      <c r="B5" s="4">
        <f>IFERROR(__xludf.DUMMYFUNCTION("HLOOKUP($A5, IMPORTRANGE($B$40, CONCAT(VLOOKUP($A5, 'Match Names'!$A$1:$D$22, 2, FALSE),""!C1:R29"")), 29, FALSE)"),210.0)</f>
        <v>210</v>
      </c>
      <c r="C5" s="4">
        <f>IFERROR(__xludf.DUMMYFUNCTION("HLOOKUP($A5, IMPORTRANGE($B$41, CONCAT(VLOOKUP($A5, 'Match Names'!$A$1:$D$22, 3, FALSE),""!C1:R29"")), 29, FALSE)"),78.0)</f>
        <v>78</v>
      </c>
      <c r="D5" s="4">
        <f>IFERROR(__xludf.DUMMYFUNCTION("HLOOKUP($A5, IMPORTRANGE($B$42, CONCAT(VLOOKUP($A5, 'Match Names'!$A$1:$D$22, 4, FALSE),""!C1:R29"")), 29, FALSE)"),156.0)</f>
        <v>156</v>
      </c>
      <c r="E5" s="9">
        <f t="shared" si="1"/>
        <v>444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31</v>
      </c>
      <c r="B6" s="4">
        <f>IFERROR(__xludf.DUMMYFUNCTION("HLOOKUP($A6, IMPORTRANGE($B$40, CONCAT(VLOOKUP($A6, 'Match Names'!$A$1:$D$22, 2, FALSE),""!C1:R29"")), 29, FALSE)"),50.0)</f>
        <v>50</v>
      </c>
      <c r="C6" s="4">
        <f>IFERROR(__xludf.DUMMYFUNCTION("HLOOKUP($A6, IMPORTRANGE($B$41, CONCAT(VLOOKUP($A6, 'Match Names'!$A$1:$D$22, 3, FALSE),""!C1:R29"")), 29, FALSE)"),24.0)</f>
        <v>24</v>
      </c>
      <c r="D6" s="4">
        <f>IFERROR(__xludf.DUMMYFUNCTION("HLOOKUP($A6, IMPORTRANGE($B$42, CONCAT(VLOOKUP($A6, 'Match Names'!$A$1:$D$22, 4, FALSE),""!C1:R29"")), 29, FALSE)"),96.0)</f>
        <v>96</v>
      </c>
      <c r="E6" s="9">
        <f t="shared" si="1"/>
        <v>170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25</v>
      </c>
      <c r="B7" s="4">
        <f>IFERROR(__xludf.DUMMYFUNCTION("HLOOKUP($A7, IMPORTRANGE($B$40, CONCAT(VLOOKUP($A7, 'Match Names'!$A$1:$D$22, 2, FALSE),""!C1:R29"")), 29, FALSE)"),224.0)</f>
        <v>224</v>
      </c>
      <c r="C7" s="4">
        <f>IFERROR(__xludf.DUMMYFUNCTION("HLOOKUP($A7, IMPORTRANGE($B$41, CONCAT(VLOOKUP($A7, 'Match Names'!$A$1:$D$22, 3, FALSE),""!C1:R29"")), 29, FALSE)"),98.0)</f>
        <v>98</v>
      </c>
      <c r="D7" s="4">
        <f>IFERROR(__xludf.DUMMYFUNCTION("HLOOKUP($A7, IMPORTRANGE($B$42, CONCAT(VLOOKUP($A7, 'Match Names'!$A$1:$D$22, 4, FALSE),""!C1:R29"")), 29, FALSE)"),56.0)</f>
        <v>56</v>
      </c>
      <c r="E7" s="9">
        <f t="shared" si="1"/>
        <v>378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" t="s">
        <v>27</v>
      </c>
      <c r="B8" s="4">
        <f>IFERROR(__xludf.DUMMYFUNCTION("HLOOKUP($A8, IMPORTRANGE($B$40, CONCAT(VLOOKUP($A8, 'Match Names'!$A$1:$D$22, 2, FALSE),""!C1:R29"")), 29, FALSE)"),110.0)</f>
        <v>110</v>
      </c>
      <c r="C8" s="4">
        <f>IFERROR(__xludf.DUMMYFUNCTION("HLOOKUP($A8, IMPORTRANGE($B$41, CONCAT(VLOOKUP($A8, 'Match Names'!$A$1:$D$22, 3, FALSE),""!C1:R29"")), 29, FALSE)"),194.0)</f>
        <v>194</v>
      </c>
      <c r="D8" s="4">
        <f>IFERROR(__xludf.DUMMYFUNCTION("HLOOKUP($A8, IMPORTRANGE($B$42, CONCAT(VLOOKUP($A8, 'Match Names'!$A$1:$D$22, 4, FALSE),""!C1:R29"")), 29, FALSE)"),16.0)</f>
        <v>16</v>
      </c>
      <c r="E8" s="9">
        <f t="shared" si="1"/>
        <v>320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 t="s">
        <v>20</v>
      </c>
      <c r="B9" s="4">
        <f>IFERROR(__xludf.DUMMYFUNCTION("HLOOKUP($A9, IMPORTRANGE($B$40, CONCAT(VLOOKUP($A9, 'Match Names'!$A$1:$D$22, 2, FALSE),""!C1:R29"")), 29, FALSE)"),234.0)</f>
        <v>234</v>
      </c>
      <c r="C9" s="4">
        <f>IFERROR(__xludf.DUMMYFUNCTION("HLOOKUP($A9, IMPORTRANGE($B$41, CONCAT(VLOOKUP($A9, 'Match Names'!$A$1:$D$22, 3, FALSE),""!C1:R29"")), 29, FALSE)"),222.0)</f>
        <v>222</v>
      </c>
      <c r="D9" s="4">
        <f>IFERROR(__xludf.DUMMYFUNCTION("HLOOKUP($A9, IMPORTRANGE($B$42, CONCAT(VLOOKUP($A9, 'Match Names'!$A$1:$D$22, 4, FALSE),""!C1:R29"")), 29, FALSE)"),80.0)</f>
        <v>80</v>
      </c>
      <c r="E9" s="9">
        <f t="shared" si="1"/>
        <v>536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16</v>
      </c>
      <c r="B10" s="4">
        <f>IFERROR(__xludf.DUMMYFUNCTION("HLOOKUP($A10, IMPORTRANGE($B$40, CONCAT(VLOOKUP($A10, 'Match Names'!$A$1:$D$22, 2, FALSE),""!C1:R29"")), 29, FALSE)"),210.0)</f>
        <v>210</v>
      </c>
      <c r="C10" s="4">
        <f>IFERROR(__xludf.DUMMYFUNCTION("HLOOKUP($A10, IMPORTRANGE($B$41, CONCAT(VLOOKUP($A10, 'Match Names'!$A$1:$D$22, 3, FALSE),""!C1:R29"")), 29, FALSE)"),238.0)</f>
        <v>238</v>
      </c>
      <c r="D10" s="4">
        <f>IFERROR(__xludf.DUMMYFUNCTION("HLOOKUP($A10, IMPORTRANGE($B$42, CONCAT(VLOOKUP($A10, 'Match Names'!$A$1:$D$22, 4, FALSE),""!C1:R29"")), 29, FALSE)"),164.0)</f>
        <v>164</v>
      </c>
      <c r="E10" s="9">
        <f t="shared" si="1"/>
        <v>612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15</v>
      </c>
      <c r="B11" s="4">
        <f>IFERROR(__xludf.DUMMYFUNCTION("HLOOKUP($A11, IMPORTRANGE($B$40, CONCAT(VLOOKUP($A11, 'Match Names'!$A$1:$D$22, 2, FALSE),""!C1:R29"")), 29, FALSE)"),304.0)</f>
        <v>304</v>
      </c>
      <c r="C11" s="4">
        <f>IFERROR(__xludf.DUMMYFUNCTION("HLOOKUP($A11, IMPORTRANGE($B$41, CONCAT(VLOOKUP($A11, 'Match Names'!$A$1:$D$22, 3, FALSE),""!C1:R29"")), 29, FALSE)"),326.0)</f>
        <v>326</v>
      </c>
      <c r="D11" s="4">
        <f>IFERROR(__xludf.DUMMYFUNCTION("HLOOKUP($A11, IMPORTRANGE($B$42, CONCAT(VLOOKUP($A11, 'Match Names'!$A$1:$D$22, 4, FALSE),""!C1:R29"")), 29, FALSE)"),114.0)</f>
        <v>114</v>
      </c>
      <c r="E11" s="9">
        <f t="shared" si="1"/>
        <v>744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14</v>
      </c>
      <c r="B12" s="4">
        <f>IFERROR(__xludf.DUMMYFUNCTION("HLOOKUP($A12, IMPORTRANGE($B$40, CONCAT(VLOOKUP($A12, 'Match Names'!$A$1:$D$22, 2, FALSE),""!C1:R29"")), 29, FALSE)"),288.0)</f>
        <v>288</v>
      </c>
      <c r="C12" s="4">
        <f>IFERROR(__xludf.DUMMYFUNCTION("HLOOKUP($A12, IMPORTRANGE($B$41, CONCAT(VLOOKUP($A12, 'Match Names'!$A$1:$D$22, 3, FALSE),""!C1:R29"")), 29, FALSE)"),276.0)</f>
        <v>276</v>
      </c>
      <c r="D12" s="4">
        <f>IFERROR(__xludf.DUMMYFUNCTION("HLOOKUP($A12, IMPORTRANGE($B$42, CONCAT(VLOOKUP($A12, 'Match Names'!$A$1:$D$22, 4, FALSE),""!C1:R29"")), 29, FALSE)"),202.0)</f>
        <v>202</v>
      </c>
      <c r="E12" s="9">
        <f t="shared" si="1"/>
        <v>766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29</v>
      </c>
      <c r="B13" s="4">
        <f>IFERROR(__xludf.DUMMYFUNCTION("HLOOKUP($A13, IMPORTRANGE($B$40, CONCAT(VLOOKUP($A13, 'Match Names'!$A$1:$D$22, 2, FALSE),""!C1:R29"")), 29, FALSE)"),116.0)</f>
        <v>116</v>
      </c>
      <c r="C13" s="4">
        <f>IFERROR(__xludf.DUMMYFUNCTION("HLOOKUP($A13, IMPORTRANGE($B$41, CONCAT(VLOOKUP($A13, 'Match Names'!$A$1:$D$22, 3, FALSE),""!C1:R29"")), 29, FALSE)"),80.0)</f>
        <v>80</v>
      </c>
      <c r="D13" s="4">
        <f>IFERROR(__xludf.DUMMYFUNCTION("HLOOKUP($A13, IMPORTRANGE($B$42, CONCAT(VLOOKUP($A13, 'Match Names'!$A$1:$D$22, 4, FALSE),""!C1:R29"")), 29, FALSE)"),48.0)</f>
        <v>48</v>
      </c>
      <c r="E13" s="9">
        <f t="shared" si="1"/>
        <v>244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19</v>
      </c>
      <c r="B14" s="4">
        <f>IFERROR(__xludf.DUMMYFUNCTION("HLOOKUP($A14, IMPORTRANGE($B$40, CONCAT(VLOOKUP($A14, 'Match Names'!$A$1:$D$22, 2, FALSE),""!C1:R29"")), 29, FALSE)"),66.0)</f>
        <v>66</v>
      </c>
      <c r="C14" s="4">
        <f>IFERROR(__xludf.DUMMYFUNCTION("HLOOKUP($A14, IMPORTRANGE($B$41, CONCAT(VLOOKUP($A14, 'Match Names'!$A$1:$D$22, 3, FALSE),""!C1:R29"")), 29, FALSE)"),183.0)</f>
        <v>183</v>
      </c>
      <c r="D14" s="4">
        <f>IFERROR(__xludf.DUMMYFUNCTION("HLOOKUP($A14, IMPORTRANGE($B$42, CONCAT(VLOOKUP($A14, 'Match Names'!$A$1:$D$22, 4, FALSE),""!C1:R29"")), 29, FALSE)"),300.0)</f>
        <v>300</v>
      </c>
      <c r="E14" s="9">
        <f t="shared" si="1"/>
        <v>549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22</v>
      </c>
      <c r="B15" s="4">
        <f>IFERROR(__xludf.DUMMYFUNCTION("HLOOKUP($A15, IMPORTRANGE($B$40, CONCAT(VLOOKUP($A15, 'Match Names'!$A$1:$D$22, 2, FALSE),""!C1:R29"")), 29, FALSE)"),122.0)</f>
        <v>122</v>
      </c>
      <c r="C15" s="4">
        <f>IFERROR(__xludf.DUMMYFUNCTION("HLOOKUP($A15, IMPORTRANGE($B$41, CONCAT(VLOOKUP($A15, 'Match Names'!$A$1:$D$22, 3, FALSE),""!C1:R29"")), 29, FALSE)"),204.0)</f>
        <v>204</v>
      </c>
      <c r="D15" s="4">
        <f>IFERROR(__xludf.DUMMYFUNCTION("HLOOKUP($A15, IMPORTRANGE($B$42, CONCAT(VLOOKUP($A15, 'Match Names'!$A$1:$D$22, 4, FALSE),""!C1:R29"")), 29, FALSE)"),176.0)</f>
        <v>176</v>
      </c>
      <c r="E15" s="9">
        <f t="shared" si="1"/>
        <v>502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30</v>
      </c>
      <c r="B16" s="4">
        <f>IFERROR(__xludf.DUMMYFUNCTION("HLOOKUP($A16, IMPORTRANGE($B$40, CONCAT(VLOOKUP($A16, 'Match Names'!$A$1:$D$22, 2, FALSE),""!C1:R29"")), 29, FALSE)"),12.0)</f>
        <v>12</v>
      </c>
      <c r="C16" s="4">
        <f>IFERROR(__xludf.DUMMYFUNCTION("HLOOKUP($A16, IMPORTRANGE($B$41, CONCAT(VLOOKUP($A16, 'Match Names'!$A$1:$D$22, 3, FALSE),""!C1:R29"")), 29, FALSE)"),176.0)</f>
        <v>176</v>
      </c>
      <c r="D16" s="4">
        <f>IFERROR(__xludf.DUMMYFUNCTION("HLOOKUP($A16, IMPORTRANGE($B$42, CONCAT(VLOOKUP($A16, 'Match Names'!$A$1:$D$22, 4, FALSE),""!C1:R29"")), 29, FALSE)"),44.0)</f>
        <v>44</v>
      </c>
      <c r="E16" s="9">
        <f t="shared" si="1"/>
        <v>232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24</v>
      </c>
      <c r="B17" s="4">
        <f>IFERROR(__xludf.DUMMYFUNCTION("HLOOKUP($A17, IMPORTRANGE($B$40, CONCAT(VLOOKUP($A17, 'Match Names'!$A$1:$D$22, 2, FALSE),""!C1:R29"")), 29, FALSE)"),130.0)</f>
        <v>130</v>
      </c>
      <c r="C17" s="4">
        <f>IFERROR(__xludf.DUMMYFUNCTION("HLOOKUP($A17, IMPORTRANGE($B$41, CONCAT(VLOOKUP($A17, 'Match Names'!$A$1:$D$22, 3, FALSE),""!C1:R29"")), 29, FALSE)"),98.0)</f>
        <v>98</v>
      </c>
      <c r="D17" s="4">
        <f>IFERROR(__xludf.DUMMYFUNCTION("HLOOKUP($A17, IMPORTRANGE($B$42, CONCAT(VLOOKUP($A17, 'Match Names'!$A$1:$D$22, 4, FALSE),""!C1:R29"")), 29, FALSE)"),196.0)</f>
        <v>196</v>
      </c>
      <c r="E17" s="9">
        <f t="shared" si="1"/>
        <v>424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23</v>
      </c>
      <c r="B18" s="4">
        <f>IFERROR(__xludf.DUMMYFUNCTION("HLOOKUP($A18, IMPORTRANGE($B$40, CONCAT(VLOOKUP($A18, 'Match Names'!$A$1:$D$22, 2, FALSE),""!C1:R29"")), 29, FALSE)"),216.0)</f>
        <v>216</v>
      </c>
      <c r="C18" s="4">
        <f>IFERROR(__xludf.DUMMYFUNCTION("HLOOKUP($A18, IMPORTRANGE($B$41, CONCAT(VLOOKUP($A18, 'Match Names'!$A$1:$D$22, 3, FALSE),""!C1:R29"")), 29, FALSE)"),42.0)</f>
        <v>42</v>
      </c>
      <c r="D18" s="4">
        <f>IFERROR(__xludf.DUMMYFUNCTION("HLOOKUP($A18, IMPORTRANGE($B$42, CONCAT(VLOOKUP($A18, 'Match Names'!$A$1:$D$22, 4, FALSE),""!C1:R29"")), 29, FALSE)"),170.0)</f>
        <v>170</v>
      </c>
      <c r="E18" s="9">
        <f t="shared" si="1"/>
        <v>428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26</v>
      </c>
      <c r="B19" s="4">
        <f>IFERROR(__xludf.DUMMYFUNCTION("HLOOKUP(""BCPOC"", IMPORTRANGE($B$40, CONCAT(VLOOKUP($A19, 'Match Names'!$A$1:$D$22, 2, FALSE),""!C1:R29"")), 29, FALSE)"),123.0)</f>
        <v>123</v>
      </c>
      <c r="C19" s="4">
        <f>IFERROR(__xludf.DUMMYFUNCTION("HLOOKUP(""BCPOC"", IMPORTRANGE($B$41, CONCAT(VLOOKUP($A19, 'Match Names'!$A$1:$D$22, 3, FALSE),""!C1:R29"")), 29, FALSE)"),86.0)</f>
        <v>86</v>
      </c>
      <c r="D19" s="4">
        <f>IFERROR(__xludf.DUMMYFUNCTION("HLOOKUP(""BCPOC"", IMPORTRANGE($B$42, CONCAT(VLOOKUP($A19, 'Match Names'!$A$1:$D$22, 4, FALSE),""!C1:R29"")), 29, FALSE)"),160.0)</f>
        <v>160</v>
      </c>
      <c r="E19" s="9">
        <f t="shared" si="1"/>
        <v>369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 t="s">
        <v>18</v>
      </c>
      <c r="B20" s="4">
        <f>IFERROR(__xludf.DUMMYFUNCTION("HLOOKUP(""SCD School"", IMPORTRANGE($B$40, CONCAT(VLOOKUP($A20, 'Match Names'!$A$1:$D$22, 2, FALSE),""!C1:R29"")), 29, FALSE)"),222.0)</f>
        <v>222</v>
      </c>
      <c r="C20" s="4">
        <f>IFERROR(__xludf.DUMMYFUNCTION("HLOOKUP(""SCD School"", IMPORTRANGE($B$41, CONCAT(VLOOKUP($A20, 'Match Names'!$A$1:$D$22, 3, FALSE),""!C1:R29"")), 29, FALSE)"),198.0)</f>
        <v>198</v>
      </c>
      <c r="D20" s="4">
        <f>IFERROR(__xludf.DUMMYFUNCTION("HLOOKUP(""SCD School"", IMPORTRANGE($B$42, CONCAT(VLOOKUP($A20, 'Match Names'!$A$1:$D$22, 4, FALSE),""!C1:R29"")), 29, FALSE)"),190.0)</f>
        <v>190</v>
      </c>
      <c r="E20" s="9">
        <f t="shared" si="1"/>
        <v>610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 t="s">
        <v>28</v>
      </c>
      <c r="B21" s="4">
        <f>IFERROR(__xludf.DUMMYFUNCTION("HLOOKUP($A21, IMPORTRANGE($B$40, CONCAT(VLOOKUP($A21, 'Match Names'!$A$1:$D$22, 2, FALSE),""!C1:R29"")), 29, FALSE)"),140.0)</f>
        <v>140</v>
      </c>
      <c r="C21" s="4">
        <f>IFERROR(__xludf.DUMMYFUNCTION("HLOOKUP($A21, IMPORTRANGE($B$41, CONCAT(VLOOKUP($A21, 'Match Names'!$A$1:$D$22, 3, FALSE),""!C1:R29"")), 29, FALSE)"),56.0)</f>
        <v>56</v>
      </c>
      <c r="D21" s="4">
        <f>IFERROR(__xludf.DUMMYFUNCTION("HLOOKUP($A21, IMPORTRANGE($B$42, CONCAT(VLOOKUP($A21, 'Match Names'!$A$1:$D$22, 4, FALSE),""!C1:R29"")), 29, FALSE)"),100.0)</f>
        <v>100</v>
      </c>
      <c r="E21" s="9">
        <f t="shared" si="1"/>
        <v>296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" t="s">
        <v>208</v>
      </c>
      <c r="B22" s="4">
        <f>IFERROR(__xludf.DUMMYFUNCTION("HLOOKUP($A22, IMPORTRANGE($B$40, CONCAT(VLOOKUP($A22, 'Match Names'!$A$1:$D$22, 2, FALSE),""!C1:R29"")), 29, FALSE)"),252.0)</f>
        <v>252</v>
      </c>
      <c r="C22" s="4">
        <f>IFERROR(__xludf.DUMMYFUNCTION("HLOOKUP($A22, IMPORTRANGE($B$41, CONCAT(VLOOKUP($A22, 'Match Names'!$A$1:$D$22, 3, FALSE),""!C1:R29"")), 29, FALSE)"),238.0)</f>
        <v>238</v>
      </c>
      <c r="D22" s="4">
        <f>IFERROR(__xludf.DUMMYFUNCTION("HLOOKUP($A22, IMPORTRANGE($B$42, CONCAT(VLOOKUP($A22, 'Match Names'!$A$1:$D$22, 4, FALSE),""!C1:R29"")), 29, FALSE)"),322.0)</f>
        <v>322</v>
      </c>
      <c r="E22" s="9">
        <f t="shared" si="1"/>
        <v>812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" t="s">
        <v>32</v>
      </c>
      <c r="B23" s="4">
        <f>IFERROR(__xludf.DUMMYFUNCTION("HLOOKUP($A23, IMPORTRANGE($B$40, CONCAT(VLOOKUP($A23, 'Match Names'!$A$1:$D$22, 2, FALSE),""!C1:R29"")), 29, FALSE)"),16.0)</f>
        <v>16</v>
      </c>
      <c r="C23" s="4">
        <f>IFERROR(__xludf.DUMMYFUNCTION("HLOOKUP($A23, IMPORTRANGE($B$41, CONCAT(VLOOKUP($A23, 'Match Names'!$A$1:$D$22, 3, FALSE),""!C1:R29"")), 29, FALSE)"),8.0)</f>
        <v>8</v>
      </c>
      <c r="D23" s="4">
        <f>IFERROR(__xludf.DUMMYFUNCTION("HLOOKUP($A23, IMPORTRANGE($B$42, CONCAT(VLOOKUP($A23, 'Match Names'!$A$1:$D$22, 4, FALSE),""!C1:R29"")), 29, FALSE)"),12.0)</f>
        <v>12</v>
      </c>
      <c r="E23" s="4">
        <f t="shared" si="1"/>
        <v>36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" t="s">
        <v>209</v>
      </c>
      <c r="B40" s="20" t="s">
        <v>210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" t="s">
        <v>211</v>
      </c>
      <c r="B41" s="20" t="s">
        <v>212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" t="s">
        <v>213</v>
      </c>
      <c r="B42" s="20" t="s">
        <v>214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">
    <mergeCell ref="B1:D1"/>
  </mergeCells>
  <hyperlinks>
    <hyperlink r:id="rId1" location="gid=1640670551" ref="B40"/>
    <hyperlink r:id="rId2" location="gid=0" ref="B41"/>
    <hyperlink r:id="rId3" location="gid=0" ref="B4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/>
      <c r="B1" s="2" t="s">
        <v>2</v>
      </c>
      <c r="E1" s="3"/>
    </row>
    <row r="2">
      <c r="A2" s="3" t="s">
        <v>3</v>
      </c>
      <c r="B2" s="2">
        <v>1.0</v>
      </c>
      <c r="C2" s="2">
        <v>2.0</v>
      </c>
      <c r="D2" s="2">
        <v>3.0</v>
      </c>
      <c r="E2" s="1" t="s">
        <v>4</v>
      </c>
    </row>
    <row r="3">
      <c r="A3" s="8" t="str">
        <f t="array" ref="A3:E23">SORT('Prelim Rankings Unsorted'!A3:E23, 5, FALSE, 1, TRUE)</f>
        <v>Blue Rhinobeetles</v>
      </c>
      <c r="B3" s="8">
        <v>252.0</v>
      </c>
      <c r="C3" s="8">
        <v>238.0</v>
      </c>
      <c r="D3" s="8">
        <v>322.0</v>
      </c>
      <c r="E3" s="8">
        <v>812.0</v>
      </c>
    </row>
    <row r="4">
      <c r="A4" s="8" t="s">
        <v>14</v>
      </c>
      <c r="B4" s="8">
        <v>288.0</v>
      </c>
      <c r="C4" s="8">
        <v>276.0</v>
      </c>
      <c r="D4" s="8">
        <v>202.0</v>
      </c>
      <c r="E4" s="8">
        <v>766.0</v>
      </c>
    </row>
    <row r="5">
      <c r="A5" s="8" t="s">
        <v>15</v>
      </c>
      <c r="B5" s="8">
        <v>304.0</v>
      </c>
      <c r="C5" s="8">
        <v>326.0</v>
      </c>
      <c r="D5" s="8">
        <v>114.0</v>
      </c>
      <c r="E5" s="8">
        <v>744.0</v>
      </c>
    </row>
    <row r="6">
      <c r="A6" s="8" t="s">
        <v>16</v>
      </c>
      <c r="B6" s="8">
        <v>210.0</v>
      </c>
      <c r="C6" s="8">
        <v>238.0</v>
      </c>
      <c r="D6" s="8">
        <v>164.0</v>
      </c>
      <c r="E6" s="8">
        <v>612.0</v>
      </c>
    </row>
    <row r="7">
      <c r="A7" s="8" t="s">
        <v>18</v>
      </c>
      <c r="B7" s="8">
        <v>222.0</v>
      </c>
      <c r="C7" s="8">
        <v>198.0</v>
      </c>
      <c r="D7" s="8">
        <v>190.0</v>
      </c>
      <c r="E7" s="8">
        <v>610.0</v>
      </c>
    </row>
    <row r="8">
      <c r="A8" s="8" t="s">
        <v>19</v>
      </c>
      <c r="B8" s="8">
        <v>66.0</v>
      </c>
      <c r="C8" s="8">
        <v>183.0</v>
      </c>
      <c r="D8" s="8">
        <v>300.0</v>
      </c>
      <c r="E8" s="8">
        <v>549.0</v>
      </c>
    </row>
    <row r="9">
      <c r="A9" s="8" t="s">
        <v>20</v>
      </c>
      <c r="B9" s="8">
        <v>234.0</v>
      </c>
      <c r="C9" s="8">
        <v>222.0</v>
      </c>
      <c r="D9" s="8">
        <v>80.0</v>
      </c>
      <c r="E9" s="8">
        <v>536.0</v>
      </c>
    </row>
    <row r="10">
      <c r="A10" s="8" t="s">
        <v>22</v>
      </c>
      <c r="B10" s="8">
        <v>122.0</v>
      </c>
      <c r="C10" s="8">
        <v>204.0</v>
      </c>
      <c r="D10" s="8">
        <v>176.0</v>
      </c>
      <c r="E10" s="8">
        <v>502.0</v>
      </c>
    </row>
    <row r="11">
      <c r="A11" s="10" t="s">
        <v>21</v>
      </c>
      <c r="B11" s="10">
        <v>210.0</v>
      </c>
      <c r="C11" s="10">
        <v>78.0</v>
      </c>
      <c r="D11" s="10">
        <v>156.0</v>
      </c>
      <c r="E11" s="10">
        <v>444.0</v>
      </c>
    </row>
    <row r="12">
      <c r="A12" s="8" t="s">
        <v>17</v>
      </c>
      <c r="B12" s="8">
        <v>206.0</v>
      </c>
      <c r="C12" s="8">
        <v>180.0</v>
      </c>
      <c r="D12" s="8">
        <v>42.0</v>
      </c>
      <c r="E12" s="8">
        <v>428.0</v>
      </c>
    </row>
    <row r="13">
      <c r="A13" s="8" t="s">
        <v>23</v>
      </c>
      <c r="B13" s="8">
        <v>216.0</v>
      </c>
      <c r="C13" s="8">
        <v>42.0</v>
      </c>
      <c r="D13" s="8">
        <v>170.0</v>
      </c>
      <c r="E13" s="8">
        <v>428.0</v>
      </c>
    </row>
    <row r="14">
      <c r="A14" s="8" t="s">
        <v>24</v>
      </c>
      <c r="B14" s="8">
        <v>130.0</v>
      </c>
      <c r="C14" s="8">
        <v>98.0</v>
      </c>
      <c r="D14" s="8">
        <v>196.0</v>
      </c>
      <c r="E14" s="8">
        <v>424.0</v>
      </c>
    </row>
    <row r="15">
      <c r="A15" s="8" t="s">
        <v>25</v>
      </c>
      <c r="B15" s="8">
        <v>224.0</v>
      </c>
      <c r="C15" s="8">
        <v>98.0</v>
      </c>
      <c r="D15" s="8">
        <v>56.0</v>
      </c>
      <c r="E15" s="8">
        <v>378.0</v>
      </c>
    </row>
    <row r="16">
      <c r="A16" s="8" t="s">
        <v>26</v>
      </c>
      <c r="B16" s="8">
        <v>123.0</v>
      </c>
      <c r="C16" s="8">
        <v>86.0</v>
      </c>
      <c r="D16" s="8">
        <v>160.0</v>
      </c>
      <c r="E16" s="8">
        <v>369.0</v>
      </c>
    </row>
    <row r="17">
      <c r="A17" s="8" t="s">
        <v>27</v>
      </c>
      <c r="B17" s="8">
        <v>110.0</v>
      </c>
      <c r="C17" s="8">
        <v>194.0</v>
      </c>
      <c r="D17" s="8">
        <v>16.0</v>
      </c>
      <c r="E17" s="8">
        <v>320.0</v>
      </c>
    </row>
    <row r="18">
      <c r="A18" s="8" t="s">
        <v>28</v>
      </c>
      <c r="B18" s="8">
        <v>140.0</v>
      </c>
      <c r="C18" s="8">
        <v>56.0</v>
      </c>
      <c r="D18" s="8">
        <v>100.0</v>
      </c>
      <c r="E18" s="8">
        <v>296.0</v>
      </c>
    </row>
    <row r="19">
      <c r="A19" s="8" t="s">
        <v>29</v>
      </c>
      <c r="B19" s="8">
        <v>116.0</v>
      </c>
      <c r="C19" s="8">
        <v>80.0</v>
      </c>
      <c r="D19" s="8">
        <v>48.0</v>
      </c>
      <c r="E19" s="8">
        <v>244.0</v>
      </c>
    </row>
    <row r="20">
      <c r="A20" s="8" t="s">
        <v>30</v>
      </c>
      <c r="B20" s="8">
        <v>12.0</v>
      </c>
      <c r="C20" s="8">
        <v>176.0</v>
      </c>
      <c r="D20" s="8">
        <v>44.0</v>
      </c>
      <c r="E20" s="8">
        <v>232.0</v>
      </c>
    </row>
    <row r="21">
      <c r="A21" s="8" t="s">
        <v>31</v>
      </c>
      <c r="B21" s="8">
        <v>50.0</v>
      </c>
      <c r="C21" s="8">
        <v>24.0</v>
      </c>
      <c r="D21" s="8">
        <v>96.0</v>
      </c>
      <c r="E21" s="8">
        <v>170.0</v>
      </c>
    </row>
    <row r="22">
      <c r="A22" s="8" t="s">
        <v>5</v>
      </c>
      <c r="B22" s="8">
        <v>4.0</v>
      </c>
      <c r="C22" s="8">
        <v>28.0</v>
      </c>
      <c r="D22" s="8">
        <v>38.0</v>
      </c>
      <c r="E22" s="8">
        <v>70.0</v>
      </c>
    </row>
    <row r="23">
      <c r="A23" s="8" t="s">
        <v>32</v>
      </c>
      <c r="B23" s="8">
        <v>16.0</v>
      </c>
      <c r="C23" s="8">
        <v>8.0</v>
      </c>
      <c r="D23" s="8">
        <v>12.0</v>
      </c>
      <c r="E23" s="8">
        <v>36.0</v>
      </c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">
        <v>13</v>
      </c>
      <c r="B3" s="7" t="str">
        <f>VLOOKUP(CONCAT(A3, C3), 'Discord Username to Real Name'!C:D, 2, FALSE)</f>
        <v>DanielRocks(UrMom)#5639</v>
      </c>
      <c r="C3" s="7" t="s">
        <v>5</v>
      </c>
      <c r="D3" s="11">
        <f>IFERROR(__xludf.DUMMYFUNCTION("(23 - COUNTIF(IFERROR(ARRAYFORMULA(HLOOKUP($B3, IMPORTRANGE('Prelim Rankings Unsorted'!$B$40, CONCAT(VLOOKUP($C3, 'Match Names'!$A$1:$D$22, 2, FALSE), ""!C3:R29"")), ROW($A$1:$A$24), FALSE)), $AA$9:$AA$31), ""=X"")) + (23 - COUNTIF(IFERROR(ARRAYFORMULA(HL"&amp;"OOKUP($B3, IMPORTRANGE('Prelim Rankings Unsorted'!$B$41, CONCAT(VLOOKUP($C3, 'Match Names'!$A$1:$D$22, 3, FALSE), ""!C3:R29"")), ROW($A$1:$A$24), FALSE)), $AA$9:$AA$31), ""=X"")) + (23 - COUNTIF(IFERROR(ARRAYFORMULA(HLOOKUP($B3, IMPORTRANGE('Prelim Rankin"&amp;"gs Unsorted'!$B$42, CONCAT(VLOOKUP($C3, 'Match Names'!$A$1:$D$22, 4, FALSE), ""!C3:R29"")), ROW($A$1:$A$24), FALSE)), $AA$9:$AA$31), ""=X"")) + (23 - COUNTIF(IFERROR(ARRAYFORMULA(HLOOKUP($B3, IMPORTRANGE('Match Names'!$E$23, CONCAT(VLOOKUP($C3, 'Match Nam"&amp;"es'!$1:$22, 5, FALSE), ""!C3:R29"")), ROW($A$1:$A$24), FALSE)), $AA$9:$AA$31), ""=X"")) + (23 - COUNTIF(IFERROR(ARRAYFORMULA(HLOOKUP($B3, IMPORTRANGE('Match Names'!$F$23, CONCAT(VLOOKUP($C3, 'Match Names'!$1:$22, 6, FALSE), ""!C3:R29"")), ROW($A$1:$A$24),"&amp;" FALSE)), $AA$9:$AA$31), ""=X"")) + (23 - COUNTIF(IFERROR(ARRAYFORMULA(HLOOKUP($B3, IMPORTRANGE('Match Names'!$G$23, CONCAT(VLOOKUP($C3, 'Match Names'!$1:$22, 7, FALSE), ""!C3:R29"")), ROW($A$1:$A$24), FALSE)), $AA$9:$AA$31), ""=X"")) + (23 - COUNTIF(IFER"&amp;"ROR(ARRAYFORMULA(HLOOKUP($B3, IMPORTRANGE('Match Names'!$H$23, CONCAT(VLOOKUP($C3, 'Match Names'!$1:$22, 8, FALSE), ""!C3:R29"")), ROW($A$1:$A$24), FALSE)), $AA$9:$AA$31), ""=X""))"),46.0)</f>
        <v>46</v>
      </c>
      <c r="E3" s="4">
        <f>IFERROR(__xludf.DUMMYFUNCTION("COUNTIF(ARRAYFORMULA(HLOOKUP($B3, IMPORTRANGE('Prelim Rankings Unsorted'!$B$40, CONCAT(VLOOKUP($C3, 'Match Names'!$A$1:$D$22, 2, FALSE), ""!C3:R29"")), ROW($A$1:$A$24), FALSE)), ""=4"") + COUNTIF(ARRAYFORMULA(HLOOKUP($B3, IMPORTRANGE('Prelim Rankings Unso"&amp;"rted'!$B$41, CONCAT(VLOOKUP($C3, 'Match Names'!$A$1:$D$22, 3, FALSE), ""!C3:R29"")), ROW($A$1:$A$24), FALSE)), ""=4"") + COUNTIF(ARRAYFORMULA(HLOOKUP($B3, IMPORTRANGE('Prelim Rankings Unsorted'!$B$42, CONCAT(VLOOKUP($C3, 'Match Names'!$A$1:$D$22, 4, FALSE"&amp;"), ""!C3:R29"")), ROW($A$1:$A$24), FALSE)), ""=4"") + COUNTIF(ARRAYFORMULA(HLOOKUP($B3, IMPORTRANGE('Match Names'!$E$23, CONCAT(VLOOKUP($C3, 'Match Names'!$1:$22, 5, FALSE), ""!C3:R29"")), ROW($A$1:$A$24), FALSE)), ""=4"") + COUNTIF(ARRAYFORMULA(HLOOKUP($"&amp;"B3, IMPORTRANGE('Match Names'!$F$23, CONCAT(VLOOKUP($C3, 'Match Names'!$1:$22, 6, FALSE), ""!C3:R29"")), ROW($A$1:$A$24), FALSE)), ""=4"") + COUNTIF(ARRAYFORMULA(HLOOKUP($B3, IMPORTRANGE('Match Names'!$G$23, CONCAT(VLOOKUP($C3, 'Match Names'!$1:$22, 7, FA"&amp;"LSE), ""!C3:R29"")), ROW($A$1:$A$24), FALSE)), ""=4"") + COUNTIF(ARRAYFORMULA(HLOOKUP($B3, IMPORTRANGE('Match Names'!$H$23, CONCAT(VLOOKUP($C3, 'Match Names'!$1:$22, 8, FALSE), ""!C3:R29"")), ROW($A$1:$A$24), FALSE)), ""=4"")"),1.0)</f>
        <v>1</v>
      </c>
      <c r="F3" s="4">
        <f>IFERROR(__xludf.DUMMYFUNCTION("COUNTIF(ARRAYFORMULA(HLOOKUP($B3, IMPORTRANGE('Prelim Rankings Unsorted'!$B$40, CONCAT(VLOOKUP($C3, 'Match Names'!$A$1:$D$22, 2, FALSE), ""!C3:R29"")), ROW($A$1:$A$24), FALSE)), ""=0"") + COUNTIF(ARRAYFORMULA(HLOOKUP($B3, IMPORTRANGE('Prelim Rankings Unso"&amp;"rted'!$B$41, CONCAT(VLOOKUP($C3, 'Match Names'!$A$1:$D$22, 3, FALSE), ""!C3:R29"")), ROW($A$1:$A$24), FALSE)), ""=0"") + COUNTIF(ARRAYFORMULA(HLOOKUP($B3, IMPORTRANGE('Prelim Rankings Unsorted'!$B$42, CONCAT(VLOOKUP($C3, 'Match Names'!$A$1:$D$22, 4, FALSE"&amp;"), ""!C3:R29"")), ROW($A$1:$A$24), FALSE)), ""=0"") + COUNTIF(ARRAYFORMULA(HLOOKUP($B3, IMPORTRANGE('Match Names'!$E$23, CONCAT(VLOOKUP($C3, 'Match Names'!$1:$22, 5, FALSE), ""!C3:R29"")), ROW($A$1:$A$24), FALSE)), ""=0"") + COUNTIF(ARRAYFORMULA(HLOOKUP($"&amp;"B3, IMPORTRANGE('Match Names'!$F$23, CONCAT(VLOOKUP($C3, 'Match Names'!$1:$22, 6, FALSE), ""!C3:R29"")), ROW($A$1:$A$24), FALSE)), ""=0"") + COUNTIF(ARRAYFORMULA(HLOOKUP($B3, IMPORTRANGE('Match Names'!$G$23, CONCAT(VLOOKUP($C3, 'Match Names'!$1:$22, 7, FA"&amp;"LSE), ""!C3:R29"")), ROW($A$1:$A$24), FALSE)), ""=0"") + COUNTIF(ARRAYFORMULA(HLOOKUP($B3, IMPORTRANGE('Match Names'!$H$23, CONCAT(VLOOKUP($C3, 'Match Names'!$1:$22, 8, FALSE), ""!C3:R29"")), ROW($A$1:$A$24), FALSE)), ""=0"")"),2.0)</f>
        <v>2</v>
      </c>
      <c r="G3" s="4">
        <f>IFERROR(__xludf.DUMMYFUNCTION("COUNTIF(ARRAYFORMULA(HLOOKUP($B3, IMPORTRANGE('Prelim Rankings Unsorted'!$B$40, CONCAT(VLOOKUP($C3, 'Match Names'!$A$1:$D$22, 2, FALSE), ""!C3:R29"")), ROW($A$1:$A$24), FALSE)), ""=-4"") + COUNTIF(ARRAYFORMULA(HLOOKUP($B3, IMPORTRANGE('Prelim Rankings Uns"&amp;"orted'!$B$41, CONCAT(VLOOKUP($C3, 'Match Names'!$A$1:$D$22, 3, FALSE), ""!C3:R29"")), ROW($A$1:$A$24), FALSE)), ""=-4"") + COUNTIF(ARRAYFORMULA(HLOOKUP($B3, IMPORTRANGE('Prelim Rankings Unsorted'!$B$42, CONCAT(VLOOKUP($C3, 'Match Names'!$A$1:$D$22, 4, FAL"&amp;"SE), ""!C3:R29"")), ROW($A$1:$A$24), FALSE)), ""=-4"") + COUNTIF(ARRAYFORMULA(HLOOKUP($B3, IMPORTRANGE('Match Names'!$E$23, CONCAT(VLOOKUP($C3, 'Match Names'!$1:$22, 5, FALSE), ""!C3:R29"")), ROW($A$1:$A$24), FALSE)), ""=-4"") + COUNTIF(ARRAYFORMULA(HLOOK"&amp;"UP($B3, IMPORTRANGE('Match Names'!$F$23, CONCAT(VLOOKUP($C3, 'Match Names'!$1:$22, 6, FALSE), ""!C3:R29"")), ROW($A$1:$A$24), FALSE)), ""=-4"") + COUNTIF(ARRAYFORMULA(HLOOKUP($B3, IMPORTRANGE('Match Names'!$G$23, CONCAT(VLOOKUP($C3, 'Match Names'!$1:$22, "&amp;"7, FALSE), ""!C3:R29"")), ROW($A$1:$A$24), FALSE)), ""=-4"") + COUNTIF(ARRAYFORMULA(HLOOKUP($B3, IMPORTRANGE('Match Names'!$H$23, CONCAT(VLOOKUP($C3, 'Match Names'!$1:$22, 8, FALSE), ""!C3:R29"")), ROW($A$1:$A$24), FALSE)), ""=-4"")"),1.0)</f>
        <v>1</v>
      </c>
      <c r="H3" s="4">
        <f t="shared" ref="H3:H95" si="1">IFERROR(ROUND(((E3*4)+(G3*-4))/(D3/23), 2), 0)</f>
        <v>0</v>
      </c>
      <c r="M3" s="12"/>
    </row>
    <row r="4">
      <c r="A4" s="4" t="s">
        <v>33</v>
      </c>
      <c r="B4" s="7" t="str">
        <f>VLOOKUP(CONCAT(A4, C4), 'Discord Username to Real Name'!C:D, 2, FALSE)</f>
        <v>Running Runin#5021</v>
      </c>
      <c r="C4" s="7" t="s">
        <v>5</v>
      </c>
      <c r="D4" s="11">
        <f>IFERROR(__xludf.DUMMYFUNCTION("(23 - COUNTIF(IFERROR(ARRAYFORMULA(HLOOKUP($B4, IMPORTRANGE('Prelim Rankings Unsorted'!$B$40, CONCAT(VLOOKUP($C4, 'Match Names'!$A$1:$D$22, 2, FALSE), ""!C3:R29"")), ROW($A$1:$A$24), FALSE)), $AA$9:$AA$31), ""=X"")) + (23 - COUNTIF(IFERROR(ARRAYFORMULA(HL"&amp;"OOKUP($B4, IMPORTRANGE('Prelim Rankings Unsorted'!$B$41, CONCAT(VLOOKUP($C4, 'Match Names'!$A$1:$D$22, 3, FALSE), ""!C3:R29"")), ROW($A$1:$A$24), FALSE)), $AA$9:$AA$31), ""=X"")) + (23 - COUNTIF(IFERROR(ARRAYFORMULA(HLOOKUP($B4, IMPORTRANGE('Prelim Rankin"&amp;"gs Unsorted'!$B$42, CONCAT(VLOOKUP($C4, 'Match Names'!$A$1:$D$22, 4, FALSE), ""!C3:R29"")), ROW($A$1:$A$24), FALSE)), $AA$9:$AA$31), ""=X"")) + (23 - COUNTIF(IFERROR(ARRAYFORMULA(HLOOKUP($B4, IMPORTRANGE('Match Names'!$E$23, CONCAT(VLOOKUP($C4, 'Match Nam"&amp;"es'!$1:$22, 5, FALSE), ""!C3:R29"")), ROW($A$1:$A$24), FALSE)), $AA$9:$AA$31), ""=X"")) + (23 - COUNTIF(IFERROR(ARRAYFORMULA(HLOOKUP($B4, IMPORTRANGE('Match Names'!$F$23, CONCAT(VLOOKUP($C4, 'Match Names'!$1:$22, 6, FALSE), ""!C3:R29"")), ROW($A$1:$A$24),"&amp;" FALSE)), $AA$9:$AA$31), ""=X"")) + (23 - COUNTIF(IFERROR(ARRAYFORMULA(HLOOKUP($B4, IMPORTRANGE('Match Names'!$G$23, CONCAT(VLOOKUP($C4, 'Match Names'!$1:$22, 7, FALSE), ""!C3:R29"")), ROW($A$1:$A$24), FALSE)), $AA$9:$AA$31), ""=X"")) + (23 - COUNTIF(IFER"&amp;"ROR(ARRAYFORMULA(HLOOKUP($B4, IMPORTRANGE('Match Names'!$H$23, CONCAT(VLOOKUP($C4, 'Match Names'!$1:$22, 8, FALSE), ""!C3:R29"")), ROW($A$1:$A$24), FALSE)), $AA$9:$AA$31), ""=X""))"),0.0)</f>
        <v>0</v>
      </c>
      <c r="E4" s="4">
        <f>IFERROR(__xludf.DUMMYFUNCTION("COUNTIF(ARRAYFORMULA(HLOOKUP($B4, IMPORTRANGE('Prelim Rankings Unsorted'!$B$40, CONCAT(VLOOKUP($C4, 'Match Names'!$A$1:$D$22, 2, FALSE), ""!C3:R29"")), ROW($A$1:$A$24), FALSE)), ""=4"") + COUNTIF(ARRAYFORMULA(HLOOKUP($B4, IMPORTRANGE('Prelim Rankings Unso"&amp;"rted'!$B$41, CONCAT(VLOOKUP($C4, 'Match Names'!$A$1:$D$22, 3, FALSE), ""!C3:R29"")), ROW($A$1:$A$24), FALSE)), ""=4"") + COUNTIF(ARRAYFORMULA(HLOOKUP($B4, IMPORTRANGE('Prelim Rankings Unsorted'!$B$42, CONCAT(VLOOKUP($C4, 'Match Names'!$A$1:$D$22, 4, FALSE"&amp;"), ""!C3:R29"")), ROW($A$1:$A$24), FALSE)), ""=4"") + COUNTIF(ARRAYFORMULA(HLOOKUP($B4, IMPORTRANGE('Match Names'!$E$23, CONCAT(VLOOKUP($C4, 'Match Names'!$1:$22, 5, FALSE), ""!C3:R29"")), ROW($A$1:$A$24), FALSE)), ""=4"") + COUNTIF(ARRAYFORMULA(HLOOKUP($"&amp;"B4, IMPORTRANGE('Match Names'!$F$23, CONCAT(VLOOKUP($C4, 'Match Names'!$1:$22, 6, FALSE), ""!C3:R29"")), ROW($A$1:$A$24), FALSE)), ""=4"") + COUNTIF(ARRAYFORMULA(HLOOKUP($B4, IMPORTRANGE('Match Names'!$G$23, CONCAT(VLOOKUP($C4, 'Match Names'!$1:$22, 7, FA"&amp;"LSE), ""!C3:R29"")), ROW($A$1:$A$24), FALSE)), ""=4"") + COUNTIF(ARRAYFORMULA(HLOOKUP($B4, IMPORTRANGE('Match Names'!$H$23, CONCAT(VLOOKUP($C4, 'Match Names'!$1:$22, 8, FALSE), ""!C3:R29"")), ROW($A$1:$A$24), FALSE)), ""=4"")"),0.0)</f>
        <v>0</v>
      </c>
      <c r="F4" s="4">
        <f>IFERROR(__xludf.DUMMYFUNCTION("COUNTIF(ARRAYFORMULA(HLOOKUP($B4, IMPORTRANGE('Prelim Rankings Unsorted'!$B$40, CONCAT(VLOOKUP($C4, 'Match Names'!$A$1:$D$22, 2, FALSE), ""!C3:R29"")), ROW($A$1:$A$24), FALSE)), ""=0"") + COUNTIF(ARRAYFORMULA(HLOOKUP($B4, IMPORTRANGE('Prelim Rankings Unso"&amp;"rted'!$B$41, CONCAT(VLOOKUP($C4, 'Match Names'!$A$1:$D$22, 3, FALSE), ""!C3:R29"")), ROW($A$1:$A$24), FALSE)), ""=0"") + COUNTIF(ARRAYFORMULA(HLOOKUP($B4, IMPORTRANGE('Prelim Rankings Unsorted'!$B$42, CONCAT(VLOOKUP($C4, 'Match Names'!$A$1:$D$22, 4, FALSE"&amp;"), ""!C3:R29"")), ROW($A$1:$A$24), FALSE)), ""=0"") + COUNTIF(ARRAYFORMULA(HLOOKUP($B4, IMPORTRANGE('Match Names'!$E$23, CONCAT(VLOOKUP($C4, 'Match Names'!$1:$22, 5, FALSE), ""!C3:R29"")), ROW($A$1:$A$24), FALSE)), ""=0"") + COUNTIF(ARRAYFORMULA(HLOOKUP($"&amp;"B4, IMPORTRANGE('Match Names'!$F$23, CONCAT(VLOOKUP($C4, 'Match Names'!$1:$22, 6, FALSE), ""!C3:R29"")), ROW($A$1:$A$24), FALSE)), ""=0"") + COUNTIF(ARRAYFORMULA(HLOOKUP($B4, IMPORTRANGE('Match Names'!$G$23, CONCAT(VLOOKUP($C4, 'Match Names'!$1:$22, 7, FA"&amp;"LSE), ""!C3:R29"")), ROW($A$1:$A$24), FALSE)), ""=0"") + COUNTIF(ARRAYFORMULA(HLOOKUP($B4, IMPORTRANGE('Match Names'!$H$23, CONCAT(VLOOKUP($C4, 'Match Names'!$1:$22, 8, FALSE), ""!C3:R29"")), ROW($A$1:$A$24), FALSE)), ""=0"")"),0.0)</f>
        <v>0</v>
      </c>
      <c r="G4" s="4">
        <f>IFERROR(__xludf.DUMMYFUNCTION("COUNTIF(ARRAYFORMULA(HLOOKUP($B4, IMPORTRANGE('Prelim Rankings Unsorted'!$B$40, CONCAT(VLOOKUP($C4, 'Match Names'!$A$1:$D$22, 2, FALSE), ""!C3:R29"")), ROW($A$1:$A$24), FALSE)), ""=-4"") + COUNTIF(ARRAYFORMULA(HLOOKUP($B4, IMPORTRANGE('Prelim Rankings Uns"&amp;"orted'!$B$41, CONCAT(VLOOKUP($C4, 'Match Names'!$A$1:$D$22, 3, FALSE), ""!C3:R29"")), ROW($A$1:$A$24), FALSE)), ""=-4"") + COUNTIF(ARRAYFORMULA(HLOOKUP($B4, IMPORTRANGE('Prelim Rankings Unsorted'!$B$42, CONCAT(VLOOKUP($C4, 'Match Names'!$A$1:$D$22, 4, FAL"&amp;"SE), ""!C3:R29"")), ROW($A$1:$A$24), FALSE)), ""=-4"") + COUNTIF(ARRAYFORMULA(HLOOKUP($B4, IMPORTRANGE('Match Names'!$E$23, CONCAT(VLOOKUP($C4, 'Match Names'!$1:$22, 5, FALSE), ""!C3:R29"")), ROW($A$1:$A$24), FALSE)), ""=-4"") + COUNTIF(ARRAYFORMULA(HLOOK"&amp;"UP($B4, IMPORTRANGE('Match Names'!$F$23, CONCAT(VLOOKUP($C4, 'Match Names'!$1:$22, 6, FALSE), ""!C3:R29"")), ROW($A$1:$A$24), FALSE)), ""=-4"") + COUNTIF(ARRAYFORMULA(HLOOKUP($B4, IMPORTRANGE('Match Names'!$G$23, CONCAT(VLOOKUP($C4, 'Match Names'!$1:$22, "&amp;"7, FALSE), ""!C3:R29"")), ROW($A$1:$A$24), FALSE)), ""=-4"") + COUNTIF(ARRAYFORMULA(HLOOKUP($B4, IMPORTRANGE('Match Names'!$H$23, CONCAT(VLOOKUP($C4, 'Match Names'!$1:$22, 8, FALSE), ""!C3:R29"")), ROW($A$1:$A$24), FALSE)), ""=-4"")"),0.0)</f>
        <v>0</v>
      </c>
      <c r="H4" s="4">
        <f t="shared" si="1"/>
        <v>0</v>
      </c>
    </row>
    <row r="5">
      <c r="A5" s="7" t="s">
        <v>78</v>
      </c>
      <c r="B5" s="7" t="str">
        <f>VLOOKUP(CONCAT(A5, C5), 'Discord Username to Real Name'!C:D, 2, FALSE)</f>
        <v>avaa#8678</v>
      </c>
      <c r="C5" s="7" t="s">
        <v>5</v>
      </c>
      <c r="D5" s="11">
        <f>IFERROR(__xludf.DUMMYFUNCTION("(23 - COUNTIF(IFERROR(ARRAYFORMULA(HLOOKUP($B5, IMPORTRANGE('Prelim Rankings Unsorted'!$B$40, CONCAT(VLOOKUP($C5, 'Match Names'!$A$1:$D$22, 2, FALSE), ""!C3:R29"")), ROW($A$1:$A$24), FALSE)), $AA$9:$AA$31), ""=X"")) + (23 - COUNTIF(IFERROR(ARRAYFORMULA(HL"&amp;"OOKUP($B5, IMPORTRANGE('Prelim Rankings Unsorted'!$B$41, CONCAT(VLOOKUP($C5, 'Match Names'!$A$1:$D$22, 3, FALSE), ""!C3:R29"")), ROW($A$1:$A$24), FALSE)), $AA$9:$AA$31), ""=X"")) + (23 - COUNTIF(IFERROR(ARRAYFORMULA(HLOOKUP($B5, IMPORTRANGE('Prelim Rankin"&amp;"gs Unsorted'!$B$42, CONCAT(VLOOKUP($C5, 'Match Names'!$A$1:$D$22, 4, FALSE), ""!C3:R29"")), ROW($A$1:$A$24), FALSE)), $AA$9:$AA$31), ""=X"")) + (23 - COUNTIF(IFERROR(ARRAYFORMULA(HLOOKUP($B5, IMPORTRANGE('Match Names'!$E$23, CONCAT(VLOOKUP($C5, 'Match Nam"&amp;"es'!$1:$22, 5, FALSE), ""!C3:R29"")), ROW($A$1:$A$24), FALSE)), $AA$9:$AA$31), ""=X"")) + (23 - COUNTIF(IFERROR(ARRAYFORMULA(HLOOKUP($B5, IMPORTRANGE('Match Names'!$F$23, CONCAT(VLOOKUP($C5, 'Match Names'!$1:$22, 6, FALSE), ""!C3:R29"")), ROW($A$1:$A$24),"&amp;" FALSE)), $AA$9:$AA$31), ""=X"")) + (23 - COUNTIF(IFERROR(ARRAYFORMULA(HLOOKUP($B5, IMPORTRANGE('Match Names'!$G$23, CONCAT(VLOOKUP($C5, 'Match Names'!$1:$22, 7, FALSE), ""!C3:R29"")), ROW($A$1:$A$24), FALSE)), $AA$9:$AA$31), ""=X"")) + (23 - COUNTIF(IFER"&amp;"ROR(ARRAYFORMULA(HLOOKUP($B5, IMPORTRANGE('Match Names'!$H$23, CONCAT(VLOOKUP($C5, 'Match Names'!$1:$22, 8, FALSE), ""!C3:R29"")), ROW($A$1:$A$24), FALSE)), $AA$9:$AA$31), ""=X""))"),44.0)</f>
        <v>44</v>
      </c>
      <c r="E5" s="4">
        <f>IFERROR(__xludf.DUMMYFUNCTION("COUNTIF(ARRAYFORMULA(HLOOKUP($B5, IMPORTRANGE('Prelim Rankings Unsorted'!$B$40, CONCAT(VLOOKUP($C5, 'Match Names'!$A$1:$D$22, 2, FALSE), ""!C3:R29"")), ROW($A$1:$A$24), FALSE)), ""=4"") + COUNTIF(ARRAYFORMULA(HLOOKUP($B5, IMPORTRANGE('Prelim Rankings Unso"&amp;"rted'!$B$41, CONCAT(VLOOKUP($C5, 'Match Names'!$A$1:$D$22, 3, FALSE), ""!C3:R29"")), ROW($A$1:$A$24), FALSE)), ""=4"") + COUNTIF(ARRAYFORMULA(HLOOKUP($B5, IMPORTRANGE('Prelim Rankings Unsorted'!$B$42, CONCAT(VLOOKUP($C5, 'Match Names'!$A$1:$D$22, 4, FALSE"&amp;"), ""!C3:R29"")), ROW($A$1:$A$24), FALSE)), ""=4"") + COUNTIF(ARRAYFORMULA(HLOOKUP($B5, IMPORTRANGE('Match Names'!$E$23, CONCAT(VLOOKUP($C5, 'Match Names'!$1:$22, 5, FALSE), ""!C3:R29"")), ROW($A$1:$A$24), FALSE)), ""=4"") + COUNTIF(ARRAYFORMULA(HLOOKUP($"&amp;"B5, IMPORTRANGE('Match Names'!$F$23, CONCAT(VLOOKUP($C5, 'Match Names'!$1:$22, 6, FALSE), ""!C3:R29"")), ROW($A$1:$A$24), FALSE)), ""=4"") + COUNTIF(ARRAYFORMULA(HLOOKUP($B5, IMPORTRANGE('Match Names'!$G$23, CONCAT(VLOOKUP($C5, 'Match Names'!$1:$22, 7, FA"&amp;"LSE), ""!C3:R29"")), ROW($A$1:$A$24), FALSE)), ""=4"") + COUNTIF(ARRAYFORMULA(HLOOKUP($B5, IMPORTRANGE('Match Names'!$H$23, CONCAT(VLOOKUP($C5, 'Match Names'!$1:$22, 8, FALSE), ""!C3:R29"")), ROW($A$1:$A$24), FALSE)), ""=4"")"),1.0)</f>
        <v>1</v>
      </c>
      <c r="F5" s="4">
        <f>IFERROR(__xludf.DUMMYFUNCTION("COUNTIF(ARRAYFORMULA(HLOOKUP($B5, IMPORTRANGE('Prelim Rankings Unsorted'!$B$40, CONCAT(VLOOKUP($C5, 'Match Names'!$A$1:$D$22, 2, FALSE), ""!C3:R29"")), ROW($A$1:$A$24), FALSE)), ""=0"") + COUNTIF(ARRAYFORMULA(HLOOKUP($B5, IMPORTRANGE('Prelim Rankings Unso"&amp;"rted'!$B$41, CONCAT(VLOOKUP($C5, 'Match Names'!$A$1:$D$22, 3, FALSE), ""!C3:R29"")), ROW($A$1:$A$24), FALSE)), ""=0"") + COUNTIF(ARRAYFORMULA(HLOOKUP($B5, IMPORTRANGE('Prelim Rankings Unsorted'!$B$42, CONCAT(VLOOKUP($C5, 'Match Names'!$A$1:$D$22, 4, FALSE"&amp;"), ""!C3:R29"")), ROW($A$1:$A$24), FALSE)), ""=0"") + COUNTIF(ARRAYFORMULA(HLOOKUP($B5, IMPORTRANGE('Match Names'!$E$23, CONCAT(VLOOKUP($C5, 'Match Names'!$1:$22, 5, FALSE), ""!C3:R29"")), ROW($A$1:$A$24), FALSE)), ""=0"") + COUNTIF(ARRAYFORMULA(HLOOKUP($"&amp;"B5, IMPORTRANGE('Match Names'!$F$23, CONCAT(VLOOKUP($C5, 'Match Names'!$1:$22, 6, FALSE), ""!C3:R29"")), ROW($A$1:$A$24), FALSE)), ""=0"") + COUNTIF(ARRAYFORMULA(HLOOKUP($B5, IMPORTRANGE('Match Names'!$G$23, CONCAT(VLOOKUP($C5, 'Match Names'!$1:$22, 7, FA"&amp;"LSE), ""!C3:R29"")), ROW($A$1:$A$24), FALSE)), ""=0"") + COUNTIF(ARRAYFORMULA(HLOOKUP($B5, IMPORTRANGE('Match Names'!$H$23, CONCAT(VLOOKUP($C5, 'Match Names'!$1:$22, 8, FALSE), ""!C3:R29"")), ROW($A$1:$A$24), FALSE)), ""=0"")"),1.0)</f>
        <v>1</v>
      </c>
      <c r="G5" s="4">
        <f>IFERROR(__xludf.DUMMYFUNCTION("COUNTIF(ARRAYFORMULA(HLOOKUP($B5, IMPORTRANGE('Prelim Rankings Unsorted'!$B$40, CONCAT(VLOOKUP($C5, 'Match Names'!$A$1:$D$22, 2, FALSE), ""!C3:R29"")), ROW($A$1:$A$24), FALSE)), ""=-4"") + COUNTIF(ARRAYFORMULA(HLOOKUP($B5, IMPORTRANGE('Prelim Rankings Uns"&amp;"orted'!$B$41, CONCAT(VLOOKUP($C5, 'Match Names'!$A$1:$D$22, 3, FALSE), ""!C3:R29"")), ROW($A$1:$A$24), FALSE)), ""=-4"") + COUNTIF(ARRAYFORMULA(HLOOKUP($B5, IMPORTRANGE('Prelim Rankings Unsorted'!$B$42, CONCAT(VLOOKUP($C5, 'Match Names'!$A$1:$D$22, 4, FAL"&amp;"SE), ""!C3:R29"")), ROW($A$1:$A$24), FALSE)), ""=-4"") + COUNTIF(ARRAYFORMULA(HLOOKUP($B5, IMPORTRANGE('Match Names'!$E$23, CONCAT(VLOOKUP($C5, 'Match Names'!$1:$22, 5, FALSE), ""!C3:R29"")), ROW($A$1:$A$24), FALSE)), ""=-4"") + COUNTIF(ARRAYFORMULA(HLOOK"&amp;"UP($B5, IMPORTRANGE('Match Names'!$F$23, CONCAT(VLOOKUP($C5, 'Match Names'!$1:$22, 6, FALSE), ""!C3:R29"")), ROW($A$1:$A$24), FALSE)), ""=-4"") + COUNTIF(ARRAYFORMULA(HLOOKUP($B5, IMPORTRANGE('Match Names'!$G$23, CONCAT(VLOOKUP($C5, 'Match Names'!$1:$22, "&amp;"7, FALSE), ""!C3:R29"")), ROW($A$1:$A$24), FALSE)), ""=-4"") + COUNTIF(ARRAYFORMULA(HLOOKUP($B5, IMPORTRANGE('Match Names'!$H$23, CONCAT(VLOOKUP($C5, 'Match Names'!$1:$22, 8, FALSE), ""!C3:R29"")), ROW($A$1:$A$24), FALSE)), ""=-4"")"),0.0)</f>
        <v>0</v>
      </c>
      <c r="H5" s="4">
        <f t="shared" si="1"/>
        <v>2.09</v>
      </c>
    </row>
    <row r="6">
      <c r="A6" s="7" t="s">
        <v>146</v>
      </c>
      <c r="B6" s="7" t="str">
        <f>VLOOKUP(CONCAT(A6, C6), 'Discord Username to Real Name'!C:D, 2, FALSE)</f>
        <v>Kevin Yang#3870</v>
      </c>
      <c r="C6" s="7" t="s">
        <v>5</v>
      </c>
      <c r="D6" s="11">
        <f>IFERROR(__xludf.DUMMYFUNCTION("(23 - COUNTIF(IFERROR(ARRAYFORMULA(HLOOKUP($B6, IMPORTRANGE('Prelim Rankings Unsorted'!$B$40, CONCAT(VLOOKUP($C6, 'Match Names'!$A$1:$D$22, 2, FALSE), ""!C3:R29"")), ROW($A$1:$A$24), FALSE)), $AA$9:$AA$31), ""=X"")) + (23 - COUNTIF(IFERROR(ARRAYFORMULA(HL"&amp;"OOKUP($B6, IMPORTRANGE('Prelim Rankings Unsorted'!$B$41, CONCAT(VLOOKUP($C6, 'Match Names'!$A$1:$D$22, 3, FALSE), ""!C3:R29"")), ROW($A$1:$A$24), FALSE)), $AA$9:$AA$31), ""=X"")) + (23 - COUNTIF(IFERROR(ARRAYFORMULA(HLOOKUP($B6, IMPORTRANGE('Prelim Rankin"&amp;"gs Unsorted'!$B$42, CONCAT(VLOOKUP($C6, 'Match Names'!$A$1:$D$22, 4, FALSE), ""!C3:R29"")), ROW($A$1:$A$24), FALSE)), $AA$9:$AA$31), ""=X"")) + (23 - COUNTIF(IFERROR(ARRAYFORMULA(HLOOKUP($B6, IMPORTRANGE('Match Names'!$E$23, CONCAT(VLOOKUP($C6, 'Match Nam"&amp;"es'!$1:$22, 5, FALSE), ""!C3:R29"")), ROW($A$1:$A$24), FALSE)), $AA$9:$AA$31), ""=X"")) + (23 - COUNTIF(IFERROR(ARRAYFORMULA(HLOOKUP($B6, IMPORTRANGE('Match Names'!$F$23, CONCAT(VLOOKUP($C6, 'Match Names'!$1:$22, 6, FALSE), ""!C3:R29"")), ROW($A$1:$A$24),"&amp;" FALSE)), $AA$9:$AA$31), ""=X"")) + (23 - COUNTIF(IFERROR(ARRAYFORMULA(HLOOKUP($B6, IMPORTRANGE('Match Names'!$G$23, CONCAT(VLOOKUP($C6, 'Match Names'!$1:$22, 7, FALSE), ""!C3:R29"")), ROW($A$1:$A$24), FALSE)), $AA$9:$AA$31), ""=X"")) + (23 - COUNTIF(IFER"&amp;"ROR(ARRAYFORMULA(HLOOKUP($B6, IMPORTRANGE('Match Names'!$H$23, CONCAT(VLOOKUP($C6, 'Match Names'!$1:$22, 8, FALSE), ""!C3:R29"")), ROW($A$1:$A$24), FALSE)), $AA$9:$AA$31), ""=X""))"),69.0)</f>
        <v>69</v>
      </c>
      <c r="E6" s="4">
        <f>IFERROR(__xludf.DUMMYFUNCTION("COUNTIF(ARRAYFORMULA(HLOOKUP($B6, IMPORTRANGE('Prelim Rankings Unsorted'!$B$40, CONCAT(VLOOKUP($C6, 'Match Names'!$A$1:$D$22, 2, FALSE), ""!C3:R29"")), ROW($A$1:$A$24), FALSE)), ""=4"") + COUNTIF(ARRAYFORMULA(HLOOKUP($B6, IMPORTRANGE('Prelim Rankings Unso"&amp;"rted'!$B$41, CONCAT(VLOOKUP($C6, 'Match Names'!$A$1:$D$22, 3, FALSE), ""!C3:R29"")), ROW($A$1:$A$24), FALSE)), ""=4"") + COUNTIF(ARRAYFORMULA(HLOOKUP($B6, IMPORTRANGE('Prelim Rankings Unsorted'!$B$42, CONCAT(VLOOKUP($C6, 'Match Names'!$A$1:$D$22, 4, FALSE"&amp;"), ""!C3:R29"")), ROW($A$1:$A$24), FALSE)), ""=4"") + COUNTIF(ARRAYFORMULA(HLOOKUP($B6, IMPORTRANGE('Match Names'!$E$23, CONCAT(VLOOKUP($C6, 'Match Names'!$1:$22, 5, FALSE), ""!C3:R29"")), ROW($A$1:$A$24), FALSE)), ""=4"") + COUNTIF(ARRAYFORMULA(HLOOKUP($"&amp;"B6, IMPORTRANGE('Match Names'!$F$23, CONCAT(VLOOKUP($C6, 'Match Names'!$1:$22, 6, FALSE), ""!C3:R29"")), ROW($A$1:$A$24), FALSE)), ""=4"") + COUNTIF(ARRAYFORMULA(HLOOKUP($B6, IMPORTRANGE('Match Names'!$G$23, CONCAT(VLOOKUP($C6, 'Match Names'!$1:$22, 7, FA"&amp;"LSE), ""!C3:R29"")), ROW($A$1:$A$24), FALSE)), ""=4"") + COUNTIF(ARRAYFORMULA(HLOOKUP($B6, IMPORTRANGE('Match Names'!$H$23, CONCAT(VLOOKUP($C6, 'Match Names'!$1:$22, 8, FALSE), ""!C3:R29"")), ROW($A$1:$A$24), FALSE)), ""=4"")"),3.0)</f>
        <v>3</v>
      </c>
      <c r="F6" s="4">
        <f>IFERROR(__xludf.DUMMYFUNCTION("COUNTIF(ARRAYFORMULA(HLOOKUP($B6, IMPORTRANGE('Prelim Rankings Unsorted'!$B$40, CONCAT(VLOOKUP($C6, 'Match Names'!$A$1:$D$22, 2, FALSE), ""!C3:R29"")), ROW($A$1:$A$24), FALSE)), ""=0"") + COUNTIF(ARRAYFORMULA(HLOOKUP($B6, IMPORTRANGE('Prelim Rankings Unso"&amp;"rted'!$B$41, CONCAT(VLOOKUP($C6, 'Match Names'!$A$1:$D$22, 3, FALSE), ""!C3:R29"")), ROW($A$1:$A$24), FALSE)), ""=0"") + COUNTIF(ARRAYFORMULA(HLOOKUP($B6, IMPORTRANGE('Prelim Rankings Unsorted'!$B$42, CONCAT(VLOOKUP($C6, 'Match Names'!$A$1:$D$22, 4, FALSE"&amp;"), ""!C3:R29"")), ROW($A$1:$A$24), FALSE)), ""=0"") + COUNTIF(ARRAYFORMULA(HLOOKUP($B6, IMPORTRANGE('Match Names'!$E$23, CONCAT(VLOOKUP($C6, 'Match Names'!$1:$22, 5, FALSE), ""!C3:R29"")), ROW($A$1:$A$24), FALSE)), ""=0"") + COUNTIF(ARRAYFORMULA(HLOOKUP($"&amp;"B6, IMPORTRANGE('Match Names'!$F$23, CONCAT(VLOOKUP($C6, 'Match Names'!$1:$22, 6, FALSE), ""!C3:R29"")), ROW($A$1:$A$24), FALSE)), ""=0"") + COUNTIF(ARRAYFORMULA(HLOOKUP($B6, IMPORTRANGE('Match Names'!$G$23, CONCAT(VLOOKUP($C6, 'Match Names'!$1:$22, 7, FA"&amp;"LSE), ""!C3:R29"")), ROW($A$1:$A$24), FALSE)), ""=0"") + COUNTIF(ARRAYFORMULA(HLOOKUP($B6, IMPORTRANGE('Match Names'!$H$23, CONCAT(VLOOKUP($C6, 'Match Names'!$1:$22, 8, FALSE), ""!C3:R29"")), ROW($A$1:$A$24), FALSE)), ""=0"")"),1.0)</f>
        <v>1</v>
      </c>
      <c r="G6" s="4">
        <f>IFERROR(__xludf.DUMMYFUNCTION("COUNTIF(ARRAYFORMULA(HLOOKUP($B6, IMPORTRANGE('Prelim Rankings Unsorted'!$B$40, CONCAT(VLOOKUP($C6, 'Match Names'!$A$1:$D$22, 2, FALSE), ""!C3:R29"")), ROW($A$1:$A$24), FALSE)), ""=-4"") + COUNTIF(ARRAYFORMULA(HLOOKUP($B6, IMPORTRANGE('Prelim Rankings Uns"&amp;"orted'!$B$41, CONCAT(VLOOKUP($C6, 'Match Names'!$A$1:$D$22, 3, FALSE), ""!C3:R29"")), ROW($A$1:$A$24), FALSE)), ""=-4"") + COUNTIF(ARRAYFORMULA(HLOOKUP($B6, IMPORTRANGE('Prelim Rankings Unsorted'!$B$42, CONCAT(VLOOKUP($C6, 'Match Names'!$A$1:$D$22, 4, FAL"&amp;"SE), ""!C3:R29"")), ROW($A$1:$A$24), FALSE)), ""=-4"") + COUNTIF(ARRAYFORMULA(HLOOKUP($B6, IMPORTRANGE('Match Names'!$E$23, CONCAT(VLOOKUP($C6, 'Match Names'!$1:$22, 5, FALSE), ""!C3:R29"")), ROW($A$1:$A$24), FALSE)), ""=-4"") + COUNTIF(ARRAYFORMULA(HLOOK"&amp;"UP($B6, IMPORTRANGE('Match Names'!$F$23, CONCAT(VLOOKUP($C6, 'Match Names'!$1:$22, 6, FALSE), ""!C3:R29"")), ROW($A$1:$A$24), FALSE)), ""=-4"") + COUNTIF(ARRAYFORMULA(HLOOKUP($B6, IMPORTRANGE('Match Names'!$G$23, CONCAT(VLOOKUP($C6, 'Match Names'!$1:$22, "&amp;"7, FALSE), ""!C3:R29"")), ROW($A$1:$A$24), FALSE)), ""=-4"") + COUNTIF(ARRAYFORMULA(HLOOKUP($B6, IMPORTRANGE('Match Names'!$H$23, CONCAT(VLOOKUP($C6, 'Match Names'!$1:$22, 8, FALSE), ""!C3:R29"")), ROW($A$1:$A$24), FALSE)), ""=-4"")"),0.0)</f>
        <v>0</v>
      </c>
      <c r="H6" s="4">
        <f t="shared" si="1"/>
        <v>4</v>
      </c>
    </row>
    <row r="7">
      <c r="A7" s="17" t="s">
        <v>198</v>
      </c>
      <c r="B7" s="18" t="str">
        <f>VLOOKUP(CONCAT(A7, C7), 'Discord Username to Real Name'!C:D, 2, FALSE)</f>
        <v/>
      </c>
      <c r="C7" s="19" t="s">
        <v>5</v>
      </c>
      <c r="D7" s="11">
        <f>IFERROR(__xludf.DUMMYFUNCTION("(23 - COUNTIF(IFERROR(ARRAYFORMULA(HLOOKUP($B7, IMPORTRANGE('Prelim Rankings Unsorted'!$B$40, CONCAT(VLOOKUP($C7, 'Match Names'!$A$1:$D$22, 2, FALSE), ""!C3:R29"")), ROW($A$1:$A$24), FALSE)), $AA$9:$AA$31), ""=X"")) + (23 - COUNTIF(IFERROR(ARRAYFORMULA(HL"&amp;"OOKUP($B7, IMPORTRANGE('Prelim Rankings Unsorted'!$B$41, CONCAT(VLOOKUP($C7, 'Match Names'!$A$1:$D$22, 3, FALSE), ""!C3:R29"")), ROW($A$1:$A$24), FALSE)), $AA$9:$AA$31), ""=X"")) + (23 - COUNTIF(IFERROR(ARRAYFORMULA(HLOOKUP($B7, IMPORTRANGE('Prelim Rankin"&amp;"gs Unsorted'!$B$42, CONCAT(VLOOKUP($C7, 'Match Names'!$A$1:$D$22, 4, FALSE), ""!C3:R29"")), ROW($A$1:$A$24), FALSE)), $AA$9:$AA$31), ""=X"")) + (23 - COUNTIF(IFERROR(ARRAYFORMULA(HLOOKUP($B7, IMPORTRANGE('Match Names'!$E$23, CONCAT(VLOOKUP($C7, 'Match Nam"&amp;"es'!$1:$22, 5, FALSE), ""!C3:R29"")), ROW($A$1:$A$24), FALSE)), $AA$9:$AA$31), ""=X"")) + (23 - COUNTIF(IFERROR(ARRAYFORMULA(HLOOKUP($B7, IMPORTRANGE('Match Names'!$F$23, CONCAT(VLOOKUP($C7, 'Match Names'!$1:$22, 6, FALSE), ""!C3:R29"")), ROW($A$1:$A$24),"&amp;" FALSE)), $AA$9:$AA$31), ""=X"")) + (23 - COUNTIF(IFERROR(ARRAYFORMULA(HLOOKUP($B7, IMPORTRANGE('Match Names'!$G$23, CONCAT(VLOOKUP($C7, 'Match Names'!$1:$22, 7, FALSE), ""!C3:R29"")), ROW($A$1:$A$24), FALSE)), $AA$9:$AA$31), ""=X"")) + (23 - COUNTIF(IFER"&amp;"ROR(ARRAYFORMULA(HLOOKUP($B7, IMPORTRANGE('Match Names'!$H$23, CONCAT(VLOOKUP($C7, 'Match Names'!$1:$22, 8, FALSE), ""!C3:R29"")), ROW($A$1:$A$24), FALSE)), $AA$9:$AA$31), ""=X""))"),0.0)</f>
        <v>0</v>
      </c>
      <c r="E7" s="4">
        <f>IFERROR(__xludf.DUMMYFUNCTION("COUNTIF(ARRAYFORMULA(HLOOKUP($B7, IMPORTRANGE('Prelim Rankings Unsorted'!$B$40, CONCAT(VLOOKUP($C7, 'Match Names'!$A$1:$D$22, 2, FALSE), ""!C3:R29"")), ROW($A$1:$A$24), FALSE)), ""=4"") + COUNTIF(ARRAYFORMULA(HLOOKUP($B7, IMPORTRANGE('Prelim Rankings Unso"&amp;"rted'!$B$41, CONCAT(VLOOKUP($C7, 'Match Names'!$A$1:$D$22, 3, FALSE), ""!C3:R29"")), ROW($A$1:$A$24), FALSE)), ""=4"") + COUNTIF(ARRAYFORMULA(HLOOKUP($B7, IMPORTRANGE('Prelim Rankings Unsorted'!$B$42, CONCAT(VLOOKUP($C7, 'Match Names'!$A$1:$D$22, 4, FALSE"&amp;"), ""!C3:R29"")), ROW($A$1:$A$24), FALSE)), ""=4"") + COUNTIF(ARRAYFORMULA(HLOOKUP($B7, IMPORTRANGE('Match Names'!$E$23, CONCAT(VLOOKUP($C7, 'Match Names'!$1:$22, 5, FALSE), ""!C3:R29"")), ROW($A$1:$A$24), FALSE)), ""=4"") + COUNTIF(ARRAYFORMULA(HLOOKUP($"&amp;"B7, IMPORTRANGE('Match Names'!$F$23, CONCAT(VLOOKUP($C7, 'Match Names'!$1:$22, 6, FALSE), ""!C3:R29"")), ROW($A$1:$A$24), FALSE)), ""=4"") + COUNTIF(ARRAYFORMULA(HLOOKUP($B7, IMPORTRANGE('Match Names'!$G$23, CONCAT(VLOOKUP($C7, 'Match Names'!$1:$22, 7, FA"&amp;"LSE), ""!C3:R29"")), ROW($A$1:$A$24), FALSE)), ""=4"") + COUNTIF(ARRAYFORMULA(HLOOKUP($B7, IMPORTRANGE('Match Names'!$H$23, CONCAT(VLOOKUP($C7, 'Match Names'!$1:$22, 8, FALSE), ""!C3:R29"")), ROW($A$1:$A$24), FALSE)), ""=4"")"),0.0)</f>
        <v>0</v>
      </c>
      <c r="F7" s="4">
        <f>IFERROR(__xludf.DUMMYFUNCTION("COUNTIF(ARRAYFORMULA(HLOOKUP($B7, IMPORTRANGE('Prelim Rankings Unsorted'!$B$40, CONCAT(VLOOKUP($C7, 'Match Names'!$A$1:$D$22, 2, FALSE), ""!C3:R29"")), ROW($A$1:$A$24), FALSE)), ""=0"") + COUNTIF(ARRAYFORMULA(HLOOKUP($B7, IMPORTRANGE('Prelim Rankings Unso"&amp;"rted'!$B$41, CONCAT(VLOOKUP($C7, 'Match Names'!$A$1:$D$22, 3, FALSE), ""!C3:R29"")), ROW($A$1:$A$24), FALSE)), ""=0"") + COUNTIF(ARRAYFORMULA(HLOOKUP($B7, IMPORTRANGE('Prelim Rankings Unsorted'!$B$42, CONCAT(VLOOKUP($C7, 'Match Names'!$A$1:$D$22, 4, FALSE"&amp;"), ""!C3:R29"")), ROW($A$1:$A$24), FALSE)), ""=0"") + COUNTIF(ARRAYFORMULA(HLOOKUP($B7, IMPORTRANGE('Match Names'!$E$23, CONCAT(VLOOKUP($C7, 'Match Names'!$1:$22, 5, FALSE), ""!C3:R29"")), ROW($A$1:$A$24), FALSE)), ""=0"") + COUNTIF(ARRAYFORMULA(HLOOKUP($"&amp;"B7, IMPORTRANGE('Match Names'!$F$23, CONCAT(VLOOKUP($C7, 'Match Names'!$1:$22, 6, FALSE), ""!C3:R29"")), ROW($A$1:$A$24), FALSE)), ""=0"") + COUNTIF(ARRAYFORMULA(HLOOKUP($B7, IMPORTRANGE('Match Names'!$G$23, CONCAT(VLOOKUP($C7, 'Match Names'!$1:$22, 7, FA"&amp;"LSE), ""!C3:R29"")), ROW($A$1:$A$24), FALSE)), ""=0"") + COUNTIF(ARRAYFORMULA(HLOOKUP($B7, IMPORTRANGE('Match Names'!$H$23, CONCAT(VLOOKUP($C7, 'Match Names'!$1:$22, 8, FALSE), ""!C3:R29"")), ROW($A$1:$A$24), FALSE)), ""=0"")"),0.0)</f>
        <v>0</v>
      </c>
      <c r="G7" s="4">
        <f>IFERROR(__xludf.DUMMYFUNCTION("COUNTIF(ARRAYFORMULA(HLOOKUP($B7, IMPORTRANGE('Prelim Rankings Unsorted'!$B$40, CONCAT(VLOOKUP($C7, 'Match Names'!$A$1:$D$22, 2, FALSE), ""!C3:R29"")), ROW($A$1:$A$24), FALSE)), ""=-4"") + COUNTIF(ARRAYFORMULA(HLOOKUP($B7, IMPORTRANGE('Prelim Rankings Uns"&amp;"orted'!$B$41, CONCAT(VLOOKUP($C7, 'Match Names'!$A$1:$D$22, 3, FALSE), ""!C3:R29"")), ROW($A$1:$A$24), FALSE)), ""=-4"") + COUNTIF(ARRAYFORMULA(HLOOKUP($B7, IMPORTRANGE('Prelim Rankings Unsorted'!$B$42, CONCAT(VLOOKUP($C7, 'Match Names'!$A$1:$D$22, 4, FAL"&amp;"SE), ""!C3:R29"")), ROW($A$1:$A$24), FALSE)), ""=-4"") + COUNTIF(ARRAYFORMULA(HLOOKUP($B7, IMPORTRANGE('Match Names'!$E$23, CONCAT(VLOOKUP($C7, 'Match Names'!$1:$22, 5, FALSE), ""!C3:R29"")), ROW($A$1:$A$24), FALSE)), ""=-4"") + COUNTIF(ARRAYFORMULA(HLOOK"&amp;"UP($B7, IMPORTRANGE('Match Names'!$F$23, CONCAT(VLOOKUP($C7, 'Match Names'!$1:$22, 6, FALSE), ""!C3:R29"")), ROW($A$1:$A$24), FALSE)), ""=-4"") + COUNTIF(ARRAYFORMULA(HLOOKUP($B7, IMPORTRANGE('Match Names'!$G$23, CONCAT(VLOOKUP($C7, 'Match Names'!$1:$22, "&amp;"7, FALSE), ""!C3:R29"")), ROW($A$1:$A$24), FALSE)), ""=-4"") + COUNTIF(ARRAYFORMULA(HLOOKUP($B7, IMPORTRANGE('Match Names'!$H$23, CONCAT(VLOOKUP($C7, 'Match Names'!$1:$22, 8, FALSE), ""!C3:R29"")), ROW($A$1:$A$24), FALSE)), ""=-4"")"),0.0)</f>
        <v>0</v>
      </c>
      <c r="H7" s="4">
        <f t="shared" si="1"/>
        <v>0</v>
      </c>
      <c r="I7" s="11"/>
    </row>
    <row r="8">
      <c r="A8" s="7" t="s">
        <v>200</v>
      </c>
      <c r="B8" s="7" t="str">
        <f>VLOOKUP(CONCAT(A8, C8), 'Discord Username to Real Name'!C:D, 2, FALSE)</f>
        <v>Victoria123#0687</v>
      </c>
      <c r="C8" s="7" t="s">
        <v>5</v>
      </c>
      <c r="D8" s="11">
        <f>IFERROR(__xludf.DUMMYFUNCTION("(23 - COUNTIF(IFERROR(ARRAYFORMULA(HLOOKUP($B8, IMPORTRANGE('Prelim Rankings Unsorted'!$B$40, CONCAT(VLOOKUP($C8, 'Match Names'!$A$1:$D$22, 2, FALSE), ""!C3:R29"")), ROW($A$1:$A$24), FALSE)), $AA$9:$AA$31), ""=X"")) + (23 - COUNTIF(IFERROR(ARRAYFORMULA(HL"&amp;"OOKUP($B8, IMPORTRANGE('Prelim Rankings Unsorted'!$B$41, CONCAT(VLOOKUP($C8, 'Match Names'!$A$1:$D$22, 3, FALSE), ""!C3:R29"")), ROW($A$1:$A$24), FALSE)), $AA$9:$AA$31), ""=X"")) + (23 - COUNTIF(IFERROR(ARRAYFORMULA(HLOOKUP($B8, IMPORTRANGE('Prelim Rankin"&amp;"gs Unsorted'!$B$42, CONCAT(VLOOKUP($C8, 'Match Names'!$A$1:$D$22, 4, FALSE), ""!C3:R29"")), ROW($A$1:$A$24), FALSE)), $AA$9:$AA$31), ""=X"")) + (23 - COUNTIF(IFERROR(ARRAYFORMULA(HLOOKUP($B8, IMPORTRANGE('Match Names'!$E$23, CONCAT(VLOOKUP($C8, 'Match Nam"&amp;"es'!$1:$22, 5, FALSE), ""!C3:R29"")), ROW($A$1:$A$24), FALSE)), $AA$9:$AA$31), ""=X"")) + (23 - COUNTIF(IFERROR(ARRAYFORMULA(HLOOKUP($B8, IMPORTRANGE('Match Names'!$F$23, CONCAT(VLOOKUP($C8, 'Match Names'!$1:$22, 6, FALSE), ""!C3:R29"")), ROW($A$1:$A$24),"&amp;" FALSE)), $AA$9:$AA$31), ""=X"")) + (23 - COUNTIF(IFERROR(ARRAYFORMULA(HLOOKUP($B8, IMPORTRANGE('Match Names'!$G$23, CONCAT(VLOOKUP($C8, 'Match Names'!$1:$22, 7, FALSE), ""!C3:R29"")), ROW($A$1:$A$24), FALSE)), $AA$9:$AA$31), ""=X"")) + (23 - COUNTIF(IFER"&amp;"ROR(ARRAYFORMULA(HLOOKUP($B8, IMPORTRANGE('Match Names'!$H$23, CONCAT(VLOOKUP($C8, 'Match Names'!$1:$22, 8, FALSE), ""!C3:R29"")), ROW($A$1:$A$24), FALSE)), $AA$9:$AA$31), ""=X""))"),0.0)</f>
        <v>0</v>
      </c>
      <c r="E8" s="4">
        <f>IFERROR(__xludf.DUMMYFUNCTION("COUNTIF(ARRAYFORMULA(HLOOKUP($B8, IMPORTRANGE('Prelim Rankings Unsorted'!$B$40, CONCAT(VLOOKUP($C8, 'Match Names'!$A$1:$D$22, 2, FALSE), ""!C3:R29"")), ROW($A$1:$A$24), FALSE)), ""=4"") + COUNTIF(ARRAYFORMULA(HLOOKUP($B8, IMPORTRANGE('Prelim Rankings Unso"&amp;"rted'!$B$41, CONCAT(VLOOKUP($C8, 'Match Names'!$A$1:$D$22, 3, FALSE), ""!C3:R29"")), ROW($A$1:$A$24), FALSE)), ""=4"") + COUNTIF(ARRAYFORMULA(HLOOKUP($B8, IMPORTRANGE('Prelim Rankings Unsorted'!$B$42, CONCAT(VLOOKUP($C8, 'Match Names'!$A$1:$D$22, 4, FALSE"&amp;"), ""!C3:R29"")), ROW($A$1:$A$24), FALSE)), ""=4"") + COUNTIF(ARRAYFORMULA(HLOOKUP($B8, IMPORTRANGE('Match Names'!$E$23, CONCAT(VLOOKUP($C8, 'Match Names'!$1:$22, 5, FALSE), ""!C3:R29"")), ROW($A$1:$A$24), FALSE)), ""=4"") + COUNTIF(ARRAYFORMULA(HLOOKUP($"&amp;"B8, IMPORTRANGE('Match Names'!$F$23, CONCAT(VLOOKUP($C8, 'Match Names'!$1:$22, 6, FALSE), ""!C3:R29"")), ROW($A$1:$A$24), FALSE)), ""=4"") + COUNTIF(ARRAYFORMULA(HLOOKUP($B8, IMPORTRANGE('Match Names'!$G$23, CONCAT(VLOOKUP($C8, 'Match Names'!$1:$22, 7, FA"&amp;"LSE), ""!C3:R29"")), ROW($A$1:$A$24), FALSE)), ""=4"") + COUNTIF(ARRAYFORMULA(HLOOKUP($B8, IMPORTRANGE('Match Names'!$H$23, CONCAT(VLOOKUP($C8, 'Match Names'!$1:$22, 8, FALSE), ""!C3:R29"")), ROW($A$1:$A$24), FALSE)), ""=4"")"),0.0)</f>
        <v>0</v>
      </c>
      <c r="F8" s="4">
        <f>IFERROR(__xludf.DUMMYFUNCTION("COUNTIF(ARRAYFORMULA(HLOOKUP($B8, IMPORTRANGE('Prelim Rankings Unsorted'!$B$40, CONCAT(VLOOKUP($C8, 'Match Names'!$A$1:$D$22, 2, FALSE), ""!C3:R29"")), ROW($A$1:$A$24), FALSE)), ""=0"") + COUNTIF(ARRAYFORMULA(HLOOKUP($B8, IMPORTRANGE('Prelim Rankings Unso"&amp;"rted'!$B$41, CONCAT(VLOOKUP($C8, 'Match Names'!$A$1:$D$22, 3, FALSE), ""!C3:R29"")), ROW($A$1:$A$24), FALSE)), ""=0"") + COUNTIF(ARRAYFORMULA(HLOOKUP($B8, IMPORTRANGE('Prelim Rankings Unsorted'!$B$42, CONCAT(VLOOKUP($C8, 'Match Names'!$A$1:$D$22, 4, FALSE"&amp;"), ""!C3:R29"")), ROW($A$1:$A$24), FALSE)), ""=0"") + COUNTIF(ARRAYFORMULA(HLOOKUP($B8, IMPORTRANGE('Match Names'!$E$23, CONCAT(VLOOKUP($C8, 'Match Names'!$1:$22, 5, FALSE), ""!C3:R29"")), ROW($A$1:$A$24), FALSE)), ""=0"") + COUNTIF(ARRAYFORMULA(HLOOKUP($"&amp;"B8, IMPORTRANGE('Match Names'!$F$23, CONCAT(VLOOKUP($C8, 'Match Names'!$1:$22, 6, FALSE), ""!C3:R29"")), ROW($A$1:$A$24), FALSE)), ""=0"") + COUNTIF(ARRAYFORMULA(HLOOKUP($B8, IMPORTRANGE('Match Names'!$G$23, CONCAT(VLOOKUP($C8, 'Match Names'!$1:$22, 7, FA"&amp;"LSE), ""!C3:R29"")), ROW($A$1:$A$24), FALSE)), ""=0"") + COUNTIF(ARRAYFORMULA(HLOOKUP($B8, IMPORTRANGE('Match Names'!$H$23, CONCAT(VLOOKUP($C8, 'Match Names'!$1:$22, 8, FALSE), ""!C3:R29"")), ROW($A$1:$A$24), FALSE)), ""=0"")"),0.0)</f>
        <v>0</v>
      </c>
      <c r="G8" s="4">
        <f>IFERROR(__xludf.DUMMYFUNCTION("COUNTIF(ARRAYFORMULA(HLOOKUP($B8, IMPORTRANGE('Prelim Rankings Unsorted'!$B$40, CONCAT(VLOOKUP($C8, 'Match Names'!$A$1:$D$22, 2, FALSE), ""!C3:R29"")), ROW($A$1:$A$24), FALSE)), ""=-4"") + COUNTIF(ARRAYFORMULA(HLOOKUP($B8, IMPORTRANGE('Prelim Rankings Uns"&amp;"orted'!$B$41, CONCAT(VLOOKUP($C8, 'Match Names'!$A$1:$D$22, 3, FALSE), ""!C3:R29"")), ROW($A$1:$A$24), FALSE)), ""=-4"") + COUNTIF(ARRAYFORMULA(HLOOKUP($B8, IMPORTRANGE('Prelim Rankings Unsorted'!$B$42, CONCAT(VLOOKUP($C8, 'Match Names'!$A$1:$D$22, 4, FAL"&amp;"SE), ""!C3:R29"")), ROW($A$1:$A$24), FALSE)), ""=-4"") + COUNTIF(ARRAYFORMULA(HLOOKUP($B8, IMPORTRANGE('Match Names'!$E$23, CONCAT(VLOOKUP($C8, 'Match Names'!$1:$22, 5, FALSE), ""!C3:R29"")), ROW($A$1:$A$24), FALSE)), ""=-4"") + COUNTIF(ARRAYFORMULA(HLOOK"&amp;"UP($B8, IMPORTRANGE('Match Names'!$F$23, CONCAT(VLOOKUP($C8, 'Match Names'!$1:$22, 6, FALSE), ""!C3:R29"")), ROW($A$1:$A$24), FALSE)), ""=-4"") + COUNTIF(ARRAYFORMULA(HLOOKUP($B8, IMPORTRANGE('Match Names'!$G$23, CONCAT(VLOOKUP($C8, 'Match Names'!$1:$22, "&amp;"7, FALSE), ""!C3:R29"")), ROW($A$1:$A$24), FALSE)), ""=-4"") + COUNTIF(ARRAYFORMULA(HLOOKUP($B8, IMPORTRANGE('Match Names'!$H$23, CONCAT(VLOOKUP($C8, 'Match Names'!$1:$22, 8, FALSE), ""!C3:R29"")), ROW($A$1:$A$24), FALSE)), ""=-4"")"),0.0)</f>
        <v>0</v>
      </c>
      <c r="H8" s="4">
        <f t="shared" si="1"/>
        <v>0</v>
      </c>
    </row>
    <row r="9">
      <c r="A9" s="7" t="s">
        <v>82</v>
      </c>
      <c r="B9" s="7" t="str">
        <f>VLOOKUP(CONCAT(A9, C9), 'Discord Username to Real Name'!C:D, 2, FALSE)</f>
        <v>IAmNotJerry#6312</v>
      </c>
      <c r="C9" s="7" t="s">
        <v>5</v>
      </c>
      <c r="D9" s="11">
        <f>IFERROR(__xludf.DUMMYFUNCTION("(23 - COUNTIF(IFERROR(ARRAYFORMULA(HLOOKUP($B9, IMPORTRANGE('Prelim Rankings Unsorted'!$B$40, CONCAT(VLOOKUP($C9, 'Match Names'!$A$1:$D$22, 2, FALSE), ""!C3:R29"")), ROW($A$1:$A$24), FALSE)), $AA$9:$AA$31), ""=X"")) + (23 - COUNTIF(IFERROR(ARRAYFORMULA(HL"&amp;"OOKUP($B9, IMPORTRANGE('Prelim Rankings Unsorted'!$B$41, CONCAT(VLOOKUP($C9, 'Match Names'!$A$1:$D$22, 3, FALSE), ""!C3:R29"")), ROW($A$1:$A$24), FALSE)), $AA$9:$AA$31), ""=X"")) + (23 - COUNTIF(IFERROR(ARRAYFORMULA(HLOOKUP($B9, IMPORTRANGE('Prelim Rankin"&amp;"gs Unsorted'!$B$42, CONCAT(VLOOKUP($C9, 'Match Names'!$A$1:$D$22, 4, FALSE), ""!C3:R29"")), ROW($A$1:$A$24), FALSE)), $AA$9:$AA$31), ""=X"")) + (23 - COUNTIF(IFERROR(ARRAYFORMULA(HLOOKUP($B9, IMPORTRANGE('Match Names'!$E$23, CONCAT(VLOOKUP($C9, 'Match Nam"&amp;"es'!$1:$22, 5, FALSE), ""!C3:R29"")), ROW($A$1:$A$24), FALSE)), $AA$9:$AA$31), ""=X"")) + (23 - COUNTIF(IFERROR(ARRAYFORMULA(HLOOKUP($B9, IMPORTRANGE('Match Names'!$F$23, CONCAT(VLOOKUP($C9, 'Match Names'!$1:$22, 6, FALSE), ""!C3:R29"")), ROW($A$1:$A$24),"&amp;" FALSE)), $AA$9:$AA$31), ""=X"")) + (23 - COUNTIF(IFERROR(ARRAYFORMULA(HLOOKUP($B9, IMPORTRANGE('Match Names'!$G$23, CONCAT(VLOOKUP($C9, 'Match Names'!$1:$22, 7, FALSE), ""!C3:R29"")), ROW($A$1:$A$24), FALSE)), $AA$9:$AA$31), ""=X"")) + (23 - COUNTIF(IFER"&amp;"ROR(ARRAYFORMULA(HLOOKUP($B9, IMPORTRANGE('Match Names'!$H$23, CONCAT(VLOOKUP($C9, 'Match Names'!$1:$22, 8, FALSE), ""!C3:R29"")), ROW($A$1:$A$24), FALSE)), $AA$9:$AA$31), ""=X""))"),69.0)</f>
        <v>69</v>
      </c>
      <c r="E9" s="4">
        <f>IFERROR(__xludf.DUMMYFUNCTION("COUNTIF(ARRAYFORMULA(HLOOKUP($B9, IMPORTRANGE('Prelim Rankings Unsorted'!$B$40, CONCAT(VLOOKUP($C9, 'Match Names'!$A$1:$D$22, 2, FALSE), ""!C3:R29"")), ROW($A$1:$A$24), FALSE)), ""=4"") + COUNTIF(ARRAYFORMULA(HLOOKUP($B9, IMPORTRANGE('Prelim Rankings Unso"&amp;"rted'!$B$41, CONCAT(VLOOKUP($C9, 'Match Names'!$A$1:$D$22, 3, FALSE), ""!C3:R29"")), ROW($A$1:$A$24), FALSE)), ""=4"") + COUNTIF(ARRAYFORMULA(HLOOKUP($B9, IMPORTRANGE('Prelim Rankings Unsorted'!$B$42, CONCAT(VLOOKUP($C9, 'Match Names'!$A$1:$D$22, 4, FALSE"&amp;"), ""!C3:R29"")), ROW($A$1:$A$24), FALSE)), ""=4"") + COUNTIF(ARRAYFORMULA(HLOOKUP($B9, IMPORTRANGE('Match Names'!$E$23, CONCAT(VLOOKUP($C9, 'Match Names'!$1:$22, 5, FALSE), ""!C3:R29"")), ROW($A$1:$A$24), FALSE)), ""=4"") + COUNTIF(ARRAYFORMULA(HLOOKUP($"&amp;"B9, IMPORTRANGE('Match Names'!$F$23, CONCAT(VLOOKUP($C9, 'Match Names'!$1:$22, 6, FALSE), ""!C3:R29"")), ROW($A$1:$A$24), FALSE)), ""=4"") + COUNTIF(ARRAYFORMULA(HLOOKUP($B9, IMPORTRANGE('Match Names'!$G$23, CONCAT(VLOOKUP($C9, 'Match Names'!$1:$22, 7, FA"&amp;"LSE), ""!C3:R29"")), ROW($A$1:$A$24), FALSE)), ""=4"") + COUNTIF(ARRAYFORMULA(HLOOKUP($B9, IMPORTRANGE('Match Names'!$H$23, CONCAT(VLOOKUP($C9, 'Match Names'!$1:$22, 8, FALSE), ""!C3:R29"")), ROW($A$1:$A$24), FALSE)), ""=4"")"),1.0)</f>
        <v>1</v>
      </c>
      <c r="F9" s="4">
        <f>IFERROR(__xludf.DUMMYFUNCTION("COUNTIF(ARRAYFORMULA(HLOOKUP($B9, IMPORTRANGE('Prelim Rankings Unsorted'!$B$40, CONCAT(VLOOKUP($C9, 'Match Names'!$A$1:$D$22, 2, FALSE), ""!C3:R29"")), ROW($A$1:$A$24), FALSE)), ""=0"") + COUNTIF(ARRAYFORMULA(HLOOKUP($B9, IMPORTRANGE('Prelim Rankings Unso"&amp;"rted'!$B$41, CONCAT(VLOOKUP($C9, 'Match Names'!$A$1:$D$22, 3, FALSE), ""!C3:R29"")), ROW($A$1:$A$24), FALSE)), ""=0"") + COUNTIF(ARRAYFORMULA(HLOOKUP($B9, IMPORTRANGE('Prelim Rankings Unsorted'!$B$42, CONCAT(VLOOKUP($C9, 'Match Names'!$A$1:$D$22, 4, FALSE"&amp;"), ""!C3:R29"")), ROW($A$1:$A$24), FALSE)), ""=0"") + COUNTIF(ARRAYFORMULA(HLOOKUP($B9, IMPORTRANGE('Match Names'!$E$23, CONCAT(VLOOKUP($C9, 'Match Names'!$1:$22, 5, FALSE), ""!C3:R29"")), ROW($A$1:$A$24), FALSE)), ""=0"") + COUNTIF(ARRAYFORMULA(HLOOKUP($"&amp;"B9, IMPORTRANGE('Match Names'!$F$23, CONCAT(VLOOKUP($C9, 'Match Names'!$1:$22, 6, FALSE), ""!C3:R29"")), ROW($A$1:$A$24), FALSE)), ""=0"") + COUNTIF(ARRAYFORMULA(HLOOKUP($B9, IMPORTRANGE('Match Names'!$G$23, CONCAT(VLOOKUP($C9, 'Match Names'!$1:$22, 7, FA"&amp;"LSE), ""!C3:R29"")), ROW($A$1:$A$24), FALSE)), ""=0"") + COUNTIF(ARRAYFORMULA(HLOOKUP($B9, IMPORTRANGE('Match Names'!$H$23, CONCAT(VLOOKUP($C9, 'Match Names'!$1:$22, 8, FALSE), ""!C3:R29"")), ROW($A$1:$A$24), FALSE)), ""=0"")"),6.0)</f>
        <v>6</v>
      </c>
      <c r="G9" s="4">
        <f>IFERROR(__xludf.DUMMYFUNCTION("COUNTIF(ARRAYFORMULA(HLOOKUP($B9, IMPORTRANGE('Prelim Rankings Unsorted'!$B$40, CONCAT(VLOOKUP($C9, 'Match Names'!$A$1:$D$22, 2, FALSE), ""!C3:R29"")), ROW($A$1:$A$24), FALSE)), ""=-4"") + COUNTIF(ARRAYFORMULA(HLOOKUP($B9, IMPORTRANGE('Prelim Rankings Uns"&amp;"orted'!$B$41, CONCAT(VLOOKUP($C9, 'Match Names'!$A$1:$D$22, 3, FALSE), ""!C3:R29"")), ROW($A$1:$A$24), FALSE)), ""=-4"") + COUNTIF(ARRAYFORMULA(HLOOKUP($B9, IMPORTRANGE('Prelim Rankings Unsorted'!$B$42, CONCAT(VLOOKUP($C9, 'Match Names'!$A$1:$D$22, 4, FAL"&amp;"SE), ""!C3:R29"")), ROW($A$1:$A$24), FALSE)), ""=-4"") + COUNTIF(ARRAYFORMULA(HLOOKUP($B9, IMPORTRANGE('Match Names'!$E$23, CONCAT(VLOOKUP($C9, 'Match Names'!$1:$22, 5, FALSE), ""!C3:R29"")), ROW($A$1:$A$24), FALSE)), ""=-4"") + COUNTIF(ARRAYFORMULA(HLOOK"&amp;"UP($B9, IMPORTRANGE('Match Names'!$F$23, CONCAT(VLOOKUP($C9, 'Match Names'!$1:$22, 6, FALSE), ""!C3:R29"")), ROW($A$1:$A$24), FALSE)), ""=-4"") + COUNTIF(ARRAYFORMULA(HLOOKUP($B9, IMPORTRANGE('Match Names'!$G$23, CONCAT(VLOOKUP($C9, 'Match Names'!$1:$22, "&amp;"7, FALSE), ""!C3:R29"")), ROW($A$1:$A$24), FALSE)), ""=-4"") + COUNTIF(ARRAYFORMULA(HLOOKUP($B9, IMPORTRANGE('Match Names'!$H$23, CONCAT(VLOOKUP($C9, 'Match Names'!$1:$22, 8, FALSE), ""!C3:R29"")), ROW($A$1:$A$24), FALSE)), ""=-4"")"),0.0)</f>
        <v>0</v>
      </c>
      <c r="H9" s="4">
        <f t="shared" si="1"/>
        <v>1.33</v>
      </c>
      <c r="AA9" s="22" t="s">
        <v>218</v>
      </c>
    </row>
    <row r="10">
      <c r="A10" s="7" t="s">
        <v>196</v>
      </c>
      <c r="B10" s="7" t="str">
        <f>VLOOKUP(CONCAT(A10, C10), 'Discord Username to Real Name'!C:D, 2, FALSE)</f>
        <v>haybales#0656</v>
      </c>
      <c r="C10" s="21" t="s">
        <v>17</v>
      </c>
      <c r="D10" s="11">
        <f>IFERROR(__xludf.DUMMYFUNCTION("(23 - COUNTIF(IFERROR(ARRAYFORMULA(HLOOKUP($B10, IMPORTRANGE('Prelim Rankings Unsorted'!$B$40, CONCAT(VLOOKUP($C10, 'Match Names'!$A$1:$D$22, 2, FALSE), ""!C3:R29"")), ROW($A$1:$A$24), FALSE)), $AA$9:$AA$31), ""=X"")) + (23 - COUNTIF(IFERROR(ARRAYFORMULA("&amp;"HLOOKUP($B10, IMPORTRANGE('Prelim Rankings Unsorted'!$B$41, CONCAT(VLOOKUP($C10, 'Match Names'!$A$1:$D$22, 3, FALSE), ""!C3:R29"")), ROW($A$1:$A$24), FALSE)), $AA$9:$AA$31), ""=X"")) + (23 - COUNTIF(IFERROR(ARRAYFORMULA(HLOOKUP($B10, IMPORTRANGE('Prelim R"&amp;"ankings Unsorted'!$B$42, CONCAT(VLOOKUP($C10, 'Match Names'!$A$1:$D$22, 4, FALSE), ""!C3:R29"")), ROW($A$1:$A$24), FALSE)), $AA$9:$AA$31), ""=X"")) + (23 - COUNTIF(IFERROR(ARRAYFORMULA(HLOOKUP($B10, IMPORTRANGE('Match Names'!$E$23, CONCAT(VLOOKUP($C10, 'M"&amp;"atch Names'!$1:$22, 5, FALSE), ""!C3:R29"")), ROW($A$1:$A$24), FALSE)), $AA$9:$AA$31), ""=X"")) + (23 - COUNTIF(IFERROR(ARRAYFORMULA(HLOOKUP($B10, IMPORTRANGE('Match Names'!$F$23, CONCAT(VLOOKUP($C10, 'Match Names'!$1:$22, 6, FALSE), ""!C3:R29"")), ROW($A"&amp;"$1:$A$24), FALSE)), $AA$9:$AA$31), ""=X"")) + (23 - COUNTIF(IFERROR(ARRAYFORMULA(HLOOKUP($B10, IMPORTRANGE('Match Names'!$G$23, CONCAT(VLOOKUP($C10, 'Match Names'!$1:$22, 7, FALSE), ""!C3:R29"")), ROW($A$1:$A$24), FALSE)), $AA$9:$AA$31), ""=X"")) + (23 - "&amp;"COUNTIF(IFERROR(ARRAYFORMULA(HLOOKUP($B10, IMPORTRANGE('Match Names'!$H$23, CONCAT(VLOOKUP($C10, 'Match Names'!$1:$22, 8, FALSE), ""!C3:R29"")), ROW($A$1:$A$24), FALSE)), $AA$9:$AA$31), ""=X""))"),0.0)</f>
        <v>0</v>
      </c>
      <c r="E10" s="4">
        <f>IFERROR(__xludf.DUMMYFUNCTION("COUNTIF(ARRAYFORMULA(HLOOKUP($B10, IMPORTRANGE('Prelim Rankings Unsorted'!$B$40, CONCAT(VLOOKUP($C10, 'Match Names'!$A$1:$D$22, 2, FALSE), ""!C3:R29"")), ROW($A$1:$A$24), FALSE)), ""=4"") + COUNTIF(ARRAYFORMULA(HLOOKUP($B10, IMPORTRANGE('Prelim Rankings U"&amp;"nsorted'!$B$41, CONCAT(VLOOKUP($C10, 'Match Names'!$A$1:$D$22, 3, FALSE), ""!C3:R29"")), ROW($A$1:$A$24), FALSE)), ""=4"") + COUNTIF(ARRAYFORMULA(HLOOKUP($B10, IMPORTRANGE('Prelim Rankings Unsorted'!$B$42, CONCAT(VLOOKUP($C10, 'Match Names'!$A$1:$D$22, 4,"&amp;" FALSE), ""!C3:R29"")), ROW($A$1:$A$24), FALSE)), ""=4"") + COUNTIF(ARRAYFORMULA(HLOOKUP($B10, IMPORTRANGE('Match Names'!$E$23, CONCAT(VLOOKUP($C10, 'Match Names'!$1:$22, 5, FALSE), ""!C3:R29"")), ROW($A$1:$A$24), FALSE)), ""=4"") + COUNTIF(ARRAYFORMULA(H"&amp;"LOOKUP($B10, IMPORTRANGE('Match Names'!$F$23, CONCAT(VLOOKUP($C10, 'Match Names'!$1:$22, 6, FALSE), ""!C3:R29"")), ROW($A$1:$A$24), FALSE)), ""=4"") + COUNTIF(ARRAYFORMULA(HLOOKUP($B10, IMPORTRANGE('Match Names'!$G$23, CONCAT(VLOOKUP($C10, 'Match Names'!$"&amp;"1:$22, 7, FALSE), ""!C3:R29"")), ROW($A$1:$A$24), FALSE)), ""=4"") + COUNTIF(ARRAYFORMULA(HLOOKUP($B10, IMPORTRANGE('Match Names'!$H$23, CONCAT(VLOOKUP($C10, 'Match Names'!$1:$22, 8, FALSE), ""!C3:R29"")), ROW($A$1:$A$24), FALSE)), ""=4"")"),0.0)</f>
        <v>0</v>
      </c>
      <c r="F10" s="4">
        <f>IFERROR(__xludf.DUMMYFUNCTION("COUNTIF(ARRAYFORMULA(HLOOKUP($B10, IMPORTRANGE('Prelim Rankings Unsorted'!$B$40, CONCAT(VLOOKUP($C10, 'Match Names'!$A$1:$D$22, 2, FALSE), ""!C3:R29"")), ROW($A$1:$A$24), FALSE)), ""=0"") + COUNTIF(ARRAYFORMULA(HLOOKUP($B10, IMPORTRANGE('Prelim Rankings U"&amp;"nsorted'!$B$41, CONCAT(VLOOKUP($C10, 'Match Names'!$A$1:$D$22, 3, FALSE), ""!C3:R29"")), ROW($A$1:$A$24), FALSE)), ""=0"") + COUNTIF(ARRAYFORMULA(HLOOKUP($B10, IMPORTRANGE('Prelim Rankings Unsorted'!$B$42, CONCAT(VLOOKUP($C10, 'Match Names'!$A$1:$D$22, 4,"&amp;" FALSE), ""!C3:R29"")), ROW($A$1:$A$24), FALSE)), ""=0"") + COUNTIF(ARRAYFORMULA(HLOOKUP($B10, IMPORTRANGE('Match Names'!$E$23, CONCAT(VLOOKUP($C10, 'Match Names'!$1:$22, 5, FALSE), ""!C3:R29"")), ROW($A$1:$A$24), FALSE)), ""=0"") + COUNTIF(ARRAYFORMULA(H"&amp;"LOOKUP($B10, IMPORTRANGE('Match Names'!$F$23, CONCAT(VLOOKUP($C10, 'Match Names'!$1:$22, 6, FALSE), ""!C3:R29"")), ROW($A$1:$A$24), FALSE)), ""=0"") + COUNTIF(ARRAYFORMULA(HLOOKUP($B10, IMPORTRANGE('Match Names'!$G$23, CONCAT(VLOOKUP($C10, 'Match Names'!$"&amp;"1:$22, 7, FALSE), ""!C3:R29"")), ROW($A$1:$A$24), FALSE)), ""=0"") + COUNTIF(ARRAYFORMULA(HLOOKUP($B10, IMPORTRANGE('Match Names'!$H$23, CONCAT(VLOOKUP($C10, 'Match Names'!$1:$22, 8, FALSE), ""!C3:R29"")), ROW($A$1:$A$24), FALSE)), ""=0"")"),0.0)</f>
        <v>0</v>
      </c>
      <c r="G10" s="4">
        <f>IFERROR(__xludf.DUMMYFUNCTION("COUNTIF(ARRAYFORMULA(HLOOKUP($B10, IMPORTRANGE('Prelim Rankings Unsorted'!$B$40, CONCAT(VLOOKUP($C10, 'Match Names'!$A$1:$D$22, 2, FALSE), ""!C3:R29"")), ROW($A$1:$A$24), FALSE)), ""=-4"") + COUNTIF(ARRAYFORMULA(HLOOKUP($B10, IMPORTRANGE('Prelim Rankings "&amp;"Unsorted'!$B$41, CONCAT(VLOOKUP($C10, 'Match Names'!$A$1:$D$22, 3, FALSE), ""!C3:R29"")), ROW($A$1:$A$24), FALSE)), ""=-4"") + COUNTIF(ARRAYFORMULA(HLOOKUP($B10, IMPORTRANGE('Prelim Rankings Unsorted'!$B$42, CONCAT(VLOOKUP($C10, 'Match Names'!$A$1:$D$22, "&amp;"4, FALSE), ""!C3:R29"")), ROW($A$1:$A$24), FALSE)), ""=-4"") + COUNTIF(ARRAYFORMULA(HLOOKUP($B10, IMPORTRANGE('Match Names'!$E$23, CONCAT(VLOOKUP($C10, 'Match Names'!$1:$22, 5, FALSE), ""!C3:R29"")), ROW($A$1:$A$24), FALSE)), ""=-4"") + COUNTIF(ARRAYFORMU"&amp;"LA(HLOOKUP($B10, IMPORTRANGE('Match Names'!$F$23, CONCAT(VLOOKUP($C10, 'Match Names'!$1:$22, 6, FALSE), ""!C3:R29"")), ROW($A$1:$A$24), FALSE)), ""=-4"") + COUNTIF(ARRAYFORMULA(HLOOKUP($B10, IMPORTRANGE('Match Names'!$G$23, CONCAT(VLOOKUP($C10, 'Match Nam"&amp;"es'!$1:$22, 7, FALSE), ""!C3:R29"")), ROW($A$1:$A$24), FALSE)), ""=-4"") + COUNTIF(ARRAYFORMULA(HLOOKUP($B10, IMPORTRANGE('Match Names'!$H$23, CONCAT(VLOOKUP($C10, 'Match Names'!$1:$22, 8, FALSE), ""!C3:R29"")), ROW($A$1:$A$24), FALSE)), ""=-4"")"),0.0)</f>
        <v>0</v>
      </c>
      <c r="H10" s="4">
        <f t="shared" si="1"/>
        <v>0</v>
      </c>
      <c r="AA10" s="22" t="s">
        <v>218</v>
      </c>
    </row>
    <row r="11">
      <c r="A11" s="7" t="s">
        <v>194</v>
      </c>
      <c r="B11" s="7" t="str">
        <f>VLOOKUP(CONCAT(A11, C11), 'Discord Username to Real Name'!C:D, 2, FALSE)</f>
        <v>ez#5904</v>
      </c>
      <c r="C11" s="21" t="s">
        <v>17</v>
      </c>
      <c r="D11" s="11">
        <f>IFERROR(__xludf.DUMMYFUNCTION("(23 - COUNTIF(IFERROR(ARRAYFORMULA(HLOOKUP($B11, IMPORTRANGE('Prelim Rankings Unsorted'!$B$40, CONCAT(VLOOKUP($C11, 'Match Names'!$A$1:$D$22, 2, FALSE), ""!C3:R29"")), ROW($A$1:$A$24), FALSE)), $AA$9:$AA$31), ""=X"")) + (23 - COUNTIF(IFERROR(ARRAYFORMULA("&amp;"HLOOKUP($B11, IMPORTRANGE('Prelim Rankings Unsorted'!$B$41, CONCAT(VLOOKUP($C11, 'Match Names'!$A$1:$D$22, 3, FALSE), ""!C3:R29"")), ROW($A$1:$A$24), FALSE)), $AA$9:$AA$31), ""=X"")) + (23 - COUNTIF(IFERROR(ARRAYFORMULA(HLOOKUP($B11, IMPORTRANGE('Prelim R"&amp;"ankings Unsorted'!$B$42, CONCAT(VLOOKUP($C11, 'Match Names'!$A$1:$D$22, 4, FALSE), ""!C3:R29"")), ROW($A$1:$A$24), FALSE)), $AA$9:$AA$31), ""=X"")) + (23 - COUNTIF(IFERROR(ARRAYFORMULA(HLOOKUP($B11, IMPORTRANGE('Match Names'!$E$23, CONCAT(VLOOKUP($C11, 'M"&amp;"atch Names'!$1:$22, 5, FALSE), ""!C3:R29"")), ROW($A$1:$A$24), FALSE)), $AA$9:$AA$31), ""=X"")) + (23 - COUNTIF(IFERROR(ARRAYFORMULA(HLOOKUP($B11, IMPORTRANGE('Match Names'!$F$23, CONCAT(VLOOKUP($C11, 'Match Names'!$1:$22, 6, FALSE), ""!C3:R29"")), ROW($A"&amp;"$1:$A$24), FALSE)), $AA$9:$AA$31), ""=X"")) + (23 - COUNTIF(IFERROR(ARRAYFORMULA(HLOOKUP($B11, IMPORTRANGE('Match Names'!$G$23, CONCAT(VLOOKUP($C11, 'Match Names'!$1:$22, 7, FALSE), ""!C3:R29"")), ROW($A$1:$A$24), FALSE)), $AA$9:$AA$31), ""=X"")) + (23 - "&amp;"COUNTIF(IFERROR(ARRAYFORMULA(HLOOKUP($B11, IMPORTRANGE('Match Names'!$H$23, CONCAT(VLOOKUP($C11, 'Match Names'!$1:$22, 8, FALSE), ""!C3:R29"")), ROW($A$1:$A$24), FALSE)), $AA$9:$AA$31), ""=X""))"),0.0)</f>
        <v>0</v>
      </c>
      <c r="E11" s="4">
        <f>IFERROR(__xludf.DUMMYFUNCTION("COUNTIF(ARRAYFORMULA(HLOOKUP($B11, IMPORTRANGE('Prelim Rankings Unsorted'!$B$40, CONCAT(VLOOKUP($C11, 'Match Names'!$A$1:$D$22, 2, FALSE), ""!C3:R29"")), ROW($A$1:$A$24), FALSE)), ""=4"") + COUNTIF(ARRAYFORMULA(HLOOKUP($B11, IMPORTRANGE('Prelim Rankings U"&amp;"nsorted'!$B$41, CONCAT(VLOOKUP($C11, 'Match Names'!$A$1:$D$22, 3, FALSE), ""!C3:R29"")), ROW($A$1:$A$24), FALSE)), ""=4"") + COUNTIF(ARRAYFORMULA(HLOOKUP($B11, IMPORTRANGE('Prelim Rankings Unsorted'!$B$42, CONCAT(VLOOKUP($C11, 'Match Names'!$A$1:$D$22, 4,"&amp;" FALSE), ""!C3:R29"")), ROW($A$1:$A$24), FALSE)), ""=4"") + COUNTIF(ARRAYFORMULA(HLOOKUP($B11, IMPORTRANGE('Match Names'!$E$23, CONCAT(VLOOKUP($C11, 'Match Names'!$1:$22, 5, FALSE), ""!C3:R29"")), ROW($A$1:$A$24), FALSE)), ""=4"") + COUNTIF(ARRAYFORMULA(H"&amp;"LOOKUP($B11, IMPORTRANGE('Match Names'!$F$23, CONCAT(VLOOKUP($C11, 'Match Names'!$1:$22, 6, FALSE), ""!C3:R29"")), ROW($A$1:$A$24), FALSE)), ""=4"") + COUNTIF(ARRAYFORMULA(HLOOKUP($B11, IMPORTRANGE('Match Names'!$G$23, CONCAT(VLOOKUP($C11, 'Match Names'!$"&amp;"1:$22, 7, FALSE), ""!C3:R29"")), ROW($A$1:$A$24), FALSE)), ""=4"") + COUNTIF(ARRAYFORMULA(HLOOKUP($B11, IMPORTRANGE('Match Names'!$H$23, CONCAT(VLOOKUP($C11, 'Match Names'!$1:$22, 8, FALSE), ""!C3:R29"")), ROW($A$1:$A$24), FALSE)), ""=4"")"),0.0)</f>
        <v>0</v>
      </c>
      <c r="F11" s="4">
        <f>IFERROR(__xludf.DUMMYFUNCTION("COUNTIF(ARRAYFORMULA(HLOOKUP($B11, IMPORTRANGE('Prelim Rankings Unsorted'!$B$40, CONCAT(VLOOKUP($C11, 'Match Names'!$A$1:$D$22, 2, FALSE), ""!C3:R29"")), ROW($A$1:$A$24), FALSE)), ""=0"") + COUNTIF(ARRAYFORMULA(HLOOKUP($B11, IMPORTRANGE('Prelim Rankings U"&amp;"nsorted'!$B$41, CONCAT(VLOOKUP($C11, 'Match Names'!$A$1:$D$22, 3, FALSE), ""!C3:R29"")), ROW($A$1:$A$24), FALSE)), ""=0"") + COUNTIF(ARRAYFORMULA(HLOOKUP($B11, IMPORTRANGE('Prelim Rankings Unsorted'!$B$42, CONCAT(VLOOKUP($C11, 'Match Names'!$A$1:$D$22, 4,"&amp;" FALSE), ""!C3:R29"")), ROW($A$1:$A$24), FALSE)), ""=0"") + COUNTIF(ARRAYFORMULA(HLOOKUP($B11, IMPORTRANGE('Match Names'!$E$23, CONCAT(VLOOKUP($C11, 'Match Names'!$1:$22, 5, FALSE), ""!C3:R29"")), ROW($A$1:$A$24), FALSE)), ""=0"") + COUNTIF(ARRAYFORMULA(H"&amp;"LOOKUP($B11, IMPORTRANGE('Match Names'!$F$23, CONCAT(VLOOKUP($C11, 'Match Names'!$1:$22, 6, FALSE), ""!C3:R29"")), ROW($A$1:$A$24), FALSE)), ""=0"") + COUNTIF(ARRAYFORMULA(HLOOKUP($B11, IMPORTRANGE('Match Names'!$G$23, CONCAT(VLOOKUP($C11, 'Match Names'!$"&amp;"1:$22, 7, FALSE), ""!C3:R29"")), ROW($A$1:$A$24), FALSE)), ""=0"") + COUNTIF(ARRAYFORMULA(HLOOKUP($B11, IMPORTRANGE('Match Names'!$H$23, CONCAT(VLOOKUP($C11, 'Match Names'!$1:$22, 8, FALSE), ""!C3:R29"")), ROW($A$1:$A$24), FALSE)), ""=0"")"),0.0)</f>
        <v>0</v>
      </c>
      <c r="G11" s="4">
        <f>IFERROR(__xludf.DUMMYFUNCTION("COUNTIF(ARRAYFORMULA(HLOOKUP($B11, IMPORTRANGE('Prelim Rankings Unsorted'!$B$40, CONCAT(VLOOKUP($C11, 'Match Names'!$A$1:$D$22, 2, FALSE), ""!C3:R29"")), ROW($A$1:$A$24), FALSE)), ""=-4"") + COUNTIF(ARRAYFORMULA(HLOOKUP($B11, IMPORTRANGE('Prelim Rankings "&amp;"Unsorted'!$B$41, CONCAT(VLOOKUP($C11, 'Match Names'!$A$1:$D$22, 3, FALSE), ""!C3:R29"")), ROW($A$1:$A$24), FALSE)), ""=-4"") + COUNTIF(ARRAYFORMULA(HLOOKUP($B11, IMPORTRANGE('Prelim Rankings Unsorted'!$B$42, CONCAT(VLOOKUP($C11, 'Match Names'!$A$1:$D$22, "&amp;"4, FALSE), ""!C3:R29"")), ROW($A$1:$A$24), FALSE)), ""=-4"") + COUNTIF(ARRAYFORMULA(HLOOKUP($B11, IMPORTRANGE('Match Names'!$E$23, CONCAT(VLOOKUP($C11, 'Match Names'!$1:$22, 5, FALSE), ""!C3:R29"")), ROW($A$1:$A$24), FALSE)), ""=-4"") + COUNTIF(ARRAYFORMU"&amp;"LA(HLOOKUP($B11, IMPORTRANGE('Match Names'!$F$23, CONCAT(VLOOKUP($C11, 'Match Names'!$1:$22, 6, FALSE), ""!C3:R29"")), ROW($A$1:$A$24), FALSE)), ""=-4"") + COUNTIF(ARRAYFORMULA(HLOOKUP($B11, IMPORTRANGE('Match Names'!$G$23, CONCAT(VLOOKUP($C11, 'Match Nam"&amp;"es'!$1:$22, 7, FALSE), ""!C3:R29"")), ROW($A$1:$A$24), FALSE)), ""=-4"") + COUNTIF(ARRAYFORMULA(HLOOKUP($B11, IMPORTRANGE('Match Names'!$H$23, CONCAT(VLOOKUP($C11, 'Match Names'!$1:$22, 8, FALSE), ""!C3:R29"")), ROW($A$1:$A$24), FALSE)), ""=-4"")"),0.0)</f>
        <v>0</v>
      </c>
      <c r="H11" s="4">
        <f t="shared" si="1"/>
        <v>0</v>
      </c>
      <c r="AA11" s="22" t="s">
        <v>218</v>
      </c>
    </row>
    <row r="12">
      <c r="A12" s="7" t="s">
        <v>35</v>
      </c>
      <c r="B12" s="7" t="str">
        <f>VLOOKUP(CONCAT(A12, C12), 'Discord Username to Real Name'!C:D, 2, FALSE)</f>
        <v>borb#6872</v>
      </c>
      <c r="C12" s="21" t="s">
        <v>17</v>
      </c>
      <c r="D12" s="11">
        <f>IFERROR(__xludf.DUMMYFUNCTION("(23 - COUNTIF(IFERROR(ARRAYFORMULA(HLOOKUP($B12, IMPORTRANGE('Prelim Rankings Unsorted'!$B$40, CONCAT(VLOOKUP($C12, 'Match Names'!$A$1:$D$22, 2, FALSE), ""!C3:R29"")), ROW($A$1:$A$24), FALSE)), $AA$9:$AA$31), ""=X"")) + (23 - COUNTIF(IFERROR(ARRAYFORMULA("&amp;"HLOOKUP($B12, IMPORTRANGE('Prelim Rankings Unsorted'!$B$41, CONCAT(VLOOKUP($C12, 'Match Names'!$A$1:$D$22, 3, FALSE), ""!C3:R29"")), ROW($A$1:$A$24), FALSE)), $AA$9:$AA$31), ""=X"")) + (23 - COUNTIF(IFERROR(ARRAYFORMULA(HLOOKUP($B12, IMPORTRANGE('Prelim R"&amp;"ankings Unsorted'!$B$42, CONCAT(VLOOKUP($C12, 'Match Names'!$A$1:$D$22, 4, FALSE), ""!C3:R29"")), ROW($A$1:$A$24), FALSE)), $AA$9:$AA$31), ""=X"")) + (23 - COUNTIF(IFERROR(ARRAYFORMULA(HLOOKUP($B12, IMPORTRANGE('Match Names'!$E$23, CONCAT(VLOOKUP($C12, 'M"&amp;"atch Names'!$1:$22, 5, FALSE), ""!C3:R29"")), ROW($A$1:$A$24), FALSE)), $AA$9:$AA$31), ""=X"")) + (23 - COUNTIF(IFERROR(ARRAYFORMULA(HLOOKUP($B12, IMPORTRANGE('Match Names'!$F$23, CONCAT(VLOOKUP($C12, 'Match Names'!$1:$22, 6, FALSE), ""!C3:R29"")), ROW($A"&amp;"$1:$A$24), FALSE)), $AA$9:$AA$31), ""=X"")) + (23 - COUNTIF(IFERROR(ARRAYFORMULA(HLOOKUP($B12, IMPORTRANGE('Match Names'!$G$23, CONCAT(VLOOKUP($C12, 'Match Names'!$1:$22, 7, FALSE), ""!C3:R29"")), ROW($A$1:$A$24), FALSE)), $AA$9:$AA$31), ""=X"")) + (23 - "&amp;"COUNTIF(IFERROR(ARRAYFORMULA(HLOOKUP($B12, IMPORTRANGE('Match Names'!$H$23, CONCAT(VLOOKUP($C12, 'Match Names'!$1:$22, 8, FALSE), ""!C3:R29"")), ROW($A$1:$A$24), FALSE)), $AA$9:$AA$31), ""=X""))"),92.0)</f>
        <v>92</v>
      </c>
      <c r="E12" s="4">
        <f>IFERROR(__xludf.DUMMYFUNCTION("COUNTIF(ARRAYFORMULA(HLOOKUP($B12, IMPORTRANGE('Prelim Rankings Unsorted'!$B$40, CONCAT(VLOOKUP($C12, 'Match Names'!$A$1:$D$22, 2, FALSE), ""!C3:R29"")), ROW($A$1:$A$24), FALSE)), ""=4"") + COUNTIF(ARRAYFORMULA(HLOOKUP($B12, IMPORTRANGE('Prelim Rankings U"&amp;"nsorted'!$B$41, CONCAT(VLOOKUP($C12, 'Match Names'!$A$1:$D$22, 3, FALSE), ""!C3:R29"")), ROW($A$1:$A$24), FALSE)), ""=4"") + COUNTIF(ARRAYFORMULA(HLOOKUP($B12, IMPORTRANGE('Prelim Rankings Unsorted'!$B$42, CONCAT(VLOOKUP($C12, 'Match Names'!$A$1:$D$22, 4,"&amp;" FALSE), ""!C3:R29"")), ROW($A$1:$A$24), FALSE)), ""=4"") + COUNTIF(ARRAYFORMULA(HLOOKUP($B12, IMPORTRANGE('Match Names'!$E$23, CONCAT(VLOOKUP($C12, 'Match Names'!$1:$22, 5, FALSE), ""!C3:R29"")), ROW($A$1:$A$24), FALSE)), ""=4"") + COUNTIF(ARRAYFORMULA(H"&amp;"LOOKUP($B12, IMPORTRANGE('Match Names'!$F$23, CONCAT(VLOOKUP($C12, 'Match Names'!$1:$22, 6, FALSE), ""!C3:R29"")), ROW($A$1:$A$24), FALSE)), ""=4"") + COUNTIF(ARRAYFORMULA(HLOOKUP($B12, IMPORTRANGE('Match Names'!$G$23, CONCAT(VLOOKUP($C12, 'Match Names'!$"&amp;"1:$22, 7, FALSE), ""!C3:R29"")), ROW($A$1:$A$24), FALSE)), ""=4"") + COUNTIF(ARRAYFORMULA(HLOOKUP($B12, IMPORTRANGE('Match Names'!$H$23, CONCAT(VLOOKUP($C12, 'Match Names'!$1:$22, 8, FALSE), ""!C3:R29"")), ROW($A$1:$A$24), FALSE)), ""=4"")"),28.0)</f>
        <v>28</v>
      </c>
      <c r="F12" s="4">
        <f>IFERROR(__xludf.DUMMYFUNCTION("COUNTIF(ARRAYFORMULA(HLOOKUP($B12, IMPORTRANGE('Prelim Rankings Unsorted'!$B$40, CONCAT(VLOOKUP($C12, 'Match Names'!$A$1:$D$22, 2, FALSE), ""!C3:R29"")), ROW($A$1:$A$24), FALSE)), ""=0"") + COUNTIF(ARRAYFORMULA(HLOOKUP($B12, IMPORTRANGE('Prelim Rankings U"&amp;"nsorted'!$B$41, CONCAT(VLOOKUP($C12, 'Match Names'!$A$1:$D$22, 3, FALSE), ""!C3:R29"")), ROW($A$1:$A$24), FALSE)), ""=0"") + COUNTIF(ARRAYFORMULA(HLOOKUP($B12, IMPORTRANGE('Prelim Rankings Unsorted'!$B$42, CONCAT(VLOOKUP($C12, 'Match Names'!$A$1:$D$22, 4,"&amp;" FALSE), ""!C3:R29"")), ROW($A$1:$A$24), FALSE)), ""=0"") + COUNTIF(ARRAYFORMULA(HLOOKUP($B12, IMPORTRANGE('Match Names'!$E$23, CONCAT(VLOOKUP($C12, 'Match Names'!$1:$22, 5, FALSE), ""!C3:R29"")), ROW($A$1:$A$24), FALSE)), ""=0"") + COUNTIF(ARRAYFORMULA(H"&amp;"LOOKUP($B12, IMPORTRANGE('Match Names'!$F$23, CONCAT(VLOOKUP($C12, 'Match Names'!$1:$22, 6, FALSE), ""!C3:R29"")), ROW($A$1:$A$24), FALSE)), ""=0"") + COUNTIF(ARRAYFORMULA(HLOOKUP($B12, IMPORTRANGE('Match Names'!$G$23, CONCAT(VLOOKUP($C12, 'Match Names'!$"&amp;"1:$22, 7, FALSE), ""!C3:R29"")), ROW($A$1:$A$24), FALSE)), ""=0"") + COUNTIF(ARRAYFORMULA(HLOOKUP($B12, IMPORTRANGE('Match Names'!$H$23, CONCAT(VLOOKUP($C12, 'Match Names'!$1:$22, 8, FALSE), ""!C3:R29"")), ROW($A$1:$A$24), FALSE)), ""=0"")"),22.0)</f>
        <v>22</v>
      </c>
      <c r="G12" s="4">
        <f>IFERROR(__xludf.DUMMYFUNCTION("COUNTIF(ARRAYFORMULA(HLOOKUP($B12, IMPORTRANGE('Prelim Rankings Unsorted'!$B$40, CONCAT(VLOOKUP($C12, 'Match Names'!$A$1:$D$22, 2, FALSE), ""!C3:R29"")), ROW($A$1:$A$24), FALSE)), ""=-4"") + COUNTIF(ARRAYFORMULA(HLOOKUP($B12, IMPORTRANGE('Prelim Rankings "&amp;"Unsorted'!$B$41, CONCAT(VLOOKUP($C12, 'Match Names'!$A$1:$D$22, 3, FALSE), ""!C3:R29"")), ROW($A$1:$A$24), FALSE)), ""=-4"") + COUNTIF(ARRAYFORMULA(HLOOKUP($B12, IMPORTRANGE('Prelim Rankings Unsorted'!$B$42, CONCAT(VLOOKUP($C12, 'Match Names'!$A$1:$D$22, "&amp;"4, FALSE), ""!C3:R29"")), ROW($A$1:$A$24), FALSE)), ""=-4"") + COUNTIF(ARRAYFORMULA(HLOOKUP($B12, IMPORTRANGE('Match Names'!$E$23, CONCAT(VLOOKUP($C12, 'Match Names'!$1:$22, 5, FALSE), ""!C3:R29"")), ROW($A$1:$A$24), FALSE)), ""=-4"") + COUNTIF(ARRAYFORMU"&amp;"LA(HLOOKUP($B12, IMPORTRANGE('Match Names'!$F$23, CONCAT(VLOOKUP($C12, 'Match Names'!$1:$22, 6, FALSE), ""!C3:R29"")), ROW($A$1:$A$24), FALSE)), ""=-4"") + COUNTIF(ARRAYFORMULA(HLOOKUP($B12, IMPORTRANGE('Match Names'!$G$23, CONCAT(VLOOKUP($C12, 'Match Nam"&amp;"es'!$1:$22, 7, FALSE), ""!C3:R29"")), ROW($A$1:$A$24), FALSE)), ""=-4"") + COUNTIF(ARRAYFORMULA(HLOOKUP($B12, IMPORTRANGE('Match Names'!$H$23, CONCAT(VLOOKUP($C12, 'Match Names'!$1:$22, 8, FALSE), ""!C3:R29"")), ROW($A$1:$A$24), FALSE)), ""=-4"")"),1.0)</f>
        <v>1</v>
      </c>
      <c r="H12" s="4">
        <f t="shared" si="1"/>
        <v>27</v>
      </c>
      <c r="AA12" s="22" t="s">
        <v>218</v>
      </c>
    </row>
    <row r="13">
      <c r="A13" s="7" t="s">
        <v>158</v>
      </c>
      <c r="B13" s="7" t="str">
        <f>VLOOKUP(CONCAT(A13, C13), 'Discord Username to Real Name'!C:D, 2, FALSE)</f>
        <v>TreefallGap#0407</v>
      </c>
      <c r="C13" s="21" t="s">
        <v>17</v>
      </c>
      <c r="D13" s="11">
        <f>IFERROR(__xludf.DUMMYFUNCTION("(23 - COUNTIF(IFERROR(ARRAYFORMULA(HLOOKUP($B13, IMPORTRANGE('Prelim Rankings Unsorted'!$B$40, CONCAT(VLOOKUP($C13, 'Match Names'!$A$1:$D$22, 2, FALSE), ""!C3:R29"")), ROW($A$1:$A$24), FALSE)), $AA$9:$AA$31), ""=X"")) + (23 - COUNTIF(IFERROR(ARRAYFORMULA("&amp;"HLOOKUP($B13, IMPORTRANGE('Prelim Rankings Unsorted'!$B$41, CONCAT(VLOOKUP($C13, 'Match Names'!$A$1:$D$22, 3, FALSE), ""!C3:R29"")), ROW($A$1:$A$24), FALSE)), $AA$9:$AA$31), ""=X"")) + (23 - COUNTIF(IFERROR(ARRAYFORMULA(HLOOKUP($B13, IMPORTRANGE('Prelim R"&amp;"ankings Unsorted'!$B$42, CONCAT(VLOOKUP($C13, 'Match Names'!$A$1:$D$22, 4, FALSE), ""!C3:R29"")), ROW($A$1:$A$24), FALSE)), $AA$9:$AA$31), ""=X"")) + (23 - COUNTIF(IFERROR(ARRAYFORMULA(HLOOKUP($B13, IMPORTRANGE('Match Names'!$E$23, CONCAT(VLOOKUP($C13, 'M"&amp;"atch Names'!$1:$22, 5, FALSE), ""!C3:R29"")), ROW($A$1:$A$24), FALSE)), $AA$9:$AA$31), ""=X"")) + (23 - COUNTIF(IFERROR(ARRAYFORMULA(HLOOKUP($B13, IMPORTRANGE('Match Names'!$F$23, CONCAT(VLOOKUP($C13, 'Match Names'!$1:$22, 6, FALSE), ""!C3:R29"")), ROW($A"&amp;"$1:$A$24), FALSE)), $AA$9:$AA$31), ""=X"")) + (23 - COUNTIF(IFERROR(ARRAYFORMULA(HLOOKUP($B13, IMPORTRANGE('Match Names'!$G$23, CONCAT(VLOOKUP($C13, 'Match Names'!$1:$22, 7, FALSE), ""!C3:R29"")), ROW($A$1:$A$24), FALSE)), $AA$9:$AA$31), ""=X"")) + (23 - "&amp;"COUNTIF(IFERROR(ARRAYFORMULA(HLOOKUP($B13, IMPORTRANGE('Match Names'!$H$23, CONCAT(VLOOKUP($C13, 'Match Names'!$1:$22, 8, FALSE), ""!C3:R29"")), ROW($A$1:$A$24), FALSE)), $AA$9:$AA$31), ""=X""))"),92.0)</f>
        <v>92</v>
      </c>
      <c r="E13" s="4">
        <f>IFERROR(__xludf.DUMMYFUNCTION("COUNTIF(ARRAYFORMULA(HLOOKUP($B13, IMPORTRANGE('Prelim Rankings Unsorted'!$B$40, CONCAT(VLOOKUP($C13, 'Match Names'!$A$1:$D$22, 2, FALSE), ""!C3:R29"")), ROW($A$1:$A$24), FALSE)), ""=4"") + COUNTIF(ARRAYFORMULA(HLOOKUP($B13, IMPORTRANGE('Prelim Rankings U"&amp;"nsorted'!$B$41, CONCAT(VLOOKUP($C13, 'Match Names'!$A$1:$D$22, 3, FALSE), ""!C3:R29"")), ROW($A$1:$A$24), FALSE)), ""=4"") + COUNTIF(ARRAYFORMULA(HLOOKUP($B13, IMPORTRANGE('Prelim Rankings Unsorted'!$B$42, CONCAT(VLOOKUP($C13, 'Match Names'!$A$1:$D$22, 4,"&amp;" FALSE), ""!C3:R29"")), ROW($A$1:$A$24), FALSE)), ""=4"") + COUNTIF(ARRAYFORMULA(HLOOKUP($B13, IMPORTRANGE('Match Names'!$E$23, CONCAT(VLOOKUP($C13, 'Match Names'!$1:$22, 5, FALSE), ""!C3:R29"")), ROW($A$1:$A$24), FALSE)), ""=4"") + COUNTIF(ARRAYFORMULA(H"&amp;"LOOKUP($B13, IMPORTRANGE('Match Names'!$F$23, CONCAT(VLOOKUP($C13, 'Match Names'!$1:$22, 6, FALSE), ""!C3:R29"")), ROW($A$1:$A$24), FALSE)), ""=4"") + COUNTIF(ARRAYFORMULA(HLOOKUP($B13, IMPORTRANGE('Match Names'!$G$23, CONCAT(VLOOKUP($C13, 'Match Names'!$"&amp;"1:$22, 7, FALSE), ""!C3:R29"")), ROW($A$1:$A$24), FALSE)), ""=4"") + COUNTIF(ARRAYFORMULA(HLOOKUP($B13, IMPORTRANGE('Match Names'!$H$23, CONCAT(VLOOKUP($C13, 'Match Names'!$1:$22, 8, FALSE), ""!C3:R29"")), ROW($A$1:$A$24), FALSE)), ""=4"")"),1.0)</f>
        <v>1</v>
      </c>
      <c r="F13" s="4">
        <f>IFERROR(__xludf.DUMMYFUNCTION("COUNTIF(ARRAYFORMULA(HLOOKUP($B13, IMPORTRANGE('Prelim Rankings Unsorted'!$B$40, CONCAT(VLOOKUP($C13, 'Match Names'!$A$1:$D$22, 2, FALSE), ""!C3:R29"")), ROW($A$1:$A$24), FALSE)), ""=0"") + COUNTIF(ARRAYFORMULA(HLOOKUP($B13, IMPORTRANGE('Prelim Rankings U"&amp;"nsorted'!$B$41, CONCAT(VLOOKUP($C13, 'Match Names'!$A$1:$D$22, 3, FALSE), ""!C3:R29"")), ROW($A$1:$A$24), FALSE)), ""=0"") + COUNTIF(ARRAYFORMULA(HLOOKUP($B13, IMPORTRANGE('Prelim Rankings Unsorted'!$B$42, CONCAT(VLOOKUP($C13, 'Match Names'!$A$1:$D$22, 4,"&amp;" FALSE), ""!C3:R29"")), ROW($A$1:$A$24), FALSE)), ""=0"") + COUNTIF(ARRAYFORMULA(HLOOKUP($B13, IMPORTRANGE('Match Names'!$E$23, CONCAT(VLOOKUP($C13, 'Match Names'!$1:$22, 5, FALSE), ""!C3:R29"")), ROW($A$1:$A$24), FALSE)), ""=0"") + COUNTIF(ARRAYFORMULA(H"&amp;"LOOKUP($B13, IMPORTRANGE('Match Names'!$F$23, CONCAT(VLOOKUP($C13, 'Match Names'!$1:$22, 6, FALSE), ""!C3:R29"")), ROW($A$1:$A$24), FALSE)), ""=0"") + COUNTIF(ARRAYFORMULA(HLOOKUP($B13, IMPORTRANGE('Match Names'!$G$23, CONCAT(VLOOKUP($C13, 'Match Names'!$"&amp;"1:$22, 7, FALSE), ""!C3:R29"")), ROW($A$1:$A$24), FALSE)), ""=0"") + COUNTIF(ARRAYFORMULA(HLOOKUP($B13, IMPORTRANGE('Match Names'!$H$23, CONCAT(VLOOKUP($C13, 'Match Names'!$1:$22, 8, FALSE), ""!C3:R29"")), ROW($A$1:$A$24), FALSE)), ""=0"")"),1.0)</f>
        <v>1</v>
      </c>
      <c r="G13" s="4">
        <f>IFERROR(__xludf.DUMMYFUNCTION("COUNTIF(ARRAYFORMULA(HLOOKUP($B13, IMPORTRANGE('Prelim Rankings Unsorted'!$B$40, CONCAT(VLOOKUP($C13, 'Match Names'!$A$1:$D$22, 2, FALSE), ""!C3:R29"")), ROW($A$1:$A$24), FALSE)), ""=-4"") + COUNTIF(ARRAYFORMULA(HLOOKUP($B13, IMPORTRANGE('Prelim Rankings "&amp;"Unsorted'!$B$41, CONCAT(VLOOKUP($C13, 'Match Names'!$A$1:$D$22, 3, FALSE), ""!C3:R29"")), ROW($A$1:$A$24), FALSE)), ""=-4"") + COUNTIF(ARRAYFORMULA(HLOOKUP($B13, IMPORTRANGE('Prelim Rankings Unsorted'!$B$42, CONCAT(VLOOKUP($C13, 'Match Names'!$A$1:$D$22, "&amp;"4, FALSE), ""!C3:R29"")), ROW($A$1:$A$24), FALSE)), ""=-4"") + COUNTIF(ARRAYFORMULA(HLOOKUP($B13, IMPORTRANGE('Match Names'!$E$23, CONCAT(VLOOKUP($C13, 'Match Names'!$1:$22, 5, FALSE), ""!C3:R29"")), ROW($A$1:$A$24), FALSE)), ""=-4"") + COUNTIF(ARRAYFORMU"&amp;"LA(HLOOKUP($B13, IMPORTRANGE('Match Names'!$F$23, CONCAT(VLOOKUP($C13, 'Match Names'!$1:$22, 6, FALSE), ""!C3:R29"")), ROW($A$1:$A$24), FALSE)), ""=-4"") + COUNTIF(ARRAYFORMULA(HLOOKUP($B13, IMPORTRANGE('Match Names'!$G$23, CONCAT(VLOOKUP($C13, 'Match Nam"&amp;"es'!$1:$22, 7, FALSE), ""!C3:R29"")), ROW($A$1:$A$24), FALSE)), ""=-4"") + COUNTIF(ARRAYFORMULA(HLOOKUP($B13, IMPORTRANGE('Match Names'!$H$23, CONCAT(VLOOKUP($C13, 'Match Names'!$1:$22, 8, FALSE), ""!C3:R29"")), ROW($A$1:$A$24), FALSE)), ""=-4"")"),0.0)</f>
        <v>0</v>
      </c>
      <c r="H13" s="4">
        <f t="shared" si="1"/>
        <v>1</v>
      </c>
      <c r="AA13" s="22" t="s">
        <v>218</v>
      </c>
    </row>
    <row r="14">
      <c r="A14" s="7" t="s">
        <v>39</v>
      </c>
      <c r="B14" s="7" t="str">
        <f>VLOOKUP(CONCAT(A14, C14), 'Discord Username to Real Name'!C:D, 2, FALSE)</f>
        <v>ThisIsDenry#0446</v>
      </c>
      <c r="C14" s="7" t="s">
        <v>21</v>
      </c>
      <c r="D14" s="11">
        <f>IFERROR(__xludf.DUMMYFUNCTION("(23 - COUNTIF(IFERROR(ARRAYFORMULA(HLOOKUP($B14, IMPORTRANGE('Prelim Rankings Unsorted'!$B$40, CONCAT(VLOOKUP($C14, 'Match Names'!$A$1:$D$22, 2, FALSE), ""!C3:R29"")), ROW($A$1:$A$24), FALSE)), $AA$9:$AA$31), ""=X"")) + (23 - COUNTIF(IFERROR(ARRAYFORMULA("&amp;"HLOOKUP($B14, IMPORTRANGE('Prelim Rankings Unsorted'!$B$41, CONCAT(VLOOKUP($C14, 'Match Names'!$A$1:$D$22, 3, FALSE), ""!C3:R29"")), ROW($A$1:$A$24), FALSE)), $AA$9:$AA$31), ""=X"")) + (23 - COUNTIF(IFERROR(ARRAYFORMULA(HLOOKUP($B14, IMPORTRANGE('Prelim R"&amp;"ankings Unsorted'!$B$42, CONCAT(VLOOKUP($C14, 'Match Names'!$A$1:$D$22, 4, FALSE), ""!C3:R29"")), ROW($A$1:$A$24), FALSE)), $AA$9:$AA$31), ""=X"")) + (23 - COUNTIF(IFERROR(ARRAYFORMULA(HLOOKUP($B14, IMPORTRANGE('Match Names'!$E$23, CONCAT(VLOOKUP($C14, 'M"&amp;"atch Names'!$1:$22, 5, FALSE), ""!C3:R29"")), ROW($A$1:$A$24), FALSE)), $AA$9:$AA$31), ""=X"")) + (23 - COUNTIF(IFERROR(ARRAYFORMULA(HLOOKUP($B14, IMPORTRANGE('Match Names'!$F$23, CONCAT(VLOOKUP($C14, 'Match Names'!$1:$22, 6, FALSE), ""!C3:R29"")), ROW($A"&amp;"$1:$A$24), FALSE)), $AA$9:$AA$31), ""=X"")) + (23 - COUNTIF(IFERROR(ARRAYFORMULA(HLOOKUP($B14, IMPORTRANGE('Match Names'!$G$23, CONCAT(VLOOKUP($C14, 'Match Names'!$1:$22, 7, FALSE), ""!C3:R29"")), ROW($A$1:$A$24), FALSE)), $AA$9:$AA$31), ""=X"")) + (23 - "&amp;"COUNTIF(IFERROR(ARRAYFORMULA(HLOOKUP($B14, IMPORTRANGE('Match Names'!$H$23, CONCAT(VLOOKUP($C14, 'Match Names'!$1:$22, 8, FALSE), ""!C3:R29"")), ROW($A$1:$A$24), FALSE)), $AA$9:$AA$31), ""=X""))"),115.0)</f>
        <v>115</v>
      </c>
      <c r="E14" s="4">
        <f>IFERROR(__xludf.DUMMYFUNCTION("COUNTIF(ARRAYFORMULA(HLOOKUP($B14, IMPORTRANGE('Prelim Rankings Unsorted'!$B$40, CONCAT(VLOOKUP($C14, 'Match Names'!$A$1:$D$22, 2, FALSE), ""!C3:R29"")), ROW($A$1:$A$24), FALSE)), ""=4"") + COUNTIF(ARRAYFORMULA(HLOOKUP($B14, IMPORTRANGE('Prelim Rankings U"&amp;"nsorted'!$B$41, CONCAT(VLOOKUP($C14, 'Match Names'!$A$1:$D$22, 3, FALSE), ""!C3:R29"")), ROW($A$1:$A$24), FALSE)), ""=4"") + COUNTIF(ARRAYFORMULA(HLOOKUP($B14, IMPORTRANGE('Prelim Rankings Unsorted'!$B$42, CONCAT(VLOOKUP($C14, 'Match Names'!$A$1:$D$22, 4,"&amp;" FALSE), ""!C3:R29"")), ROW($A$1:$A$24), FALSE)), ""=4"") + COUNTIF(ARRAYFORMULA(HLOOKUP($B14, IMPORTRANGE('Match Names'!$E$23, CONCAT(VLOOKUP($C14, 'Match Names'!$1:$22, 5, FALSE), ""!C3:R29"")), ROW($A$1:$A$24), FALSE)), ""=4"") + COUNTIF(ARRAYFORMULA(H"&amp;"LOOKUP($B14, IMPORTRANGE('Match Names'!$F$23, CONCAT(VLOOKUP($C14, 'Match Names'!$1:$22, 6, FALSE), ""!C3:R29"")), ROW($A$1:$A$24), FALSE)), ""=4"") + COUNTIF(ARRAYFORMULA(HLOOKUP($B14, IMPORTRANGE('Match Names'!$G$23, CONCAT(VLOOKUP($C14, 'Match Names'!$"&amp;"1:$22, 7, FALSE), ""!C3:R29"")), ROW($A$1:$A$24), FALSE)), ""=4"") + COUNTIF(ARRAYFORMULA(HLOOKUP($B14, IMPORTRANGE('Match Names'!$H$23, CONCAT(VLOOKUP($C14, 'Match Names'!$1:$22, 8, FALSE), ""!C3:R29"")), ROW($A$1:$A$24), FALSE)), ""=4"")"),35.0)</f>
        <v>35</v>
      </c>
      <c r="F14" s="4">
        <f>IFERROR(__xludf.DUMMYFUNCTION("COUNTIF(ARRAYFORMULA(HLOOKUP($B14, IMPORTRANGE('Prelim Rankings Unsorted'!$B$40, CONCAT(VLOOKUP($C14, 'Match Names'!$A$1:$D$22, 2, FALSE), ""!C3:R29"")), ROW($A$1:$A$24), FALSE)), ""=0"") + COUNTIF(ARRAYFORMULA(HLOOKUP($B14, IMPORTRANGE('Prelim Rankings U"&amp;"nsorted'!$B$41, CONCAT(VLOOKUP($C14, 'Match Names'!$A$1:$D$22, 3, FALSE), ""!C3:R29"")), ROW($A$1:$A$24), FALSE)), ""=0"") + COUNTIF(ARRAYFORMULA(HLOOKUP($B14, IMPORTRANGE('Prelim Rankings Unsorted'!$B$42, CONCAT(VLOOKUP($C14, 'Match Names'!$A$1:$D$22, 4,"&amp;" FALSE), ""!C3:R29"")), ROW($A$1:$A$24), FALSE)), ""=0"") + COUNTIF(ARRAYFORMULA(HLOOKUP($B14, IMPORTRANGE('Match Names'!$E$23, CONCAT(VLOOKUP($C14, 'Match Names'!$1:$22, 5, FALSE), ""!C3:R29"")), ROW($A$1:$A$24), FALSE)), ""=0"") + COUNTIF(ARRAYFORMULA(H"&amp;"LOOKUP($B14, IMPORTRANGE('Match Names'!$F$23, CONCAT(VLOOKUP($C14, 'Match Names'!$1:$22, 6, FALSE), ""!C3:R29"")), ROW($A$1:$A$24), FALSE)), ""=0"") + COUNTIF(ARRAYFORMULA(HLOOKUP($B14, IMPORTRANGE('Match Names'!$G$23, CONCAT(VLOOKUP($C14, 'Match Names'!$"&amp;"1:$22, 7, FALSE), ""!C3:R29"")), ROW($A$1:$A$24), FALSE)), ""=0"") + COUNTIF(ARRAYFORMULA(HLOOKUP($B14, IMPORTRANGE('Match Names'!$H$23, CONCAT(VLOOKUP($C14, 'Match Names'!$1:$22, 8, FALSE), ""!C3:R29"")), ROW($A$1:$A$24), FALSE)), ""=0"")"),26.0)</f>
        <v>26</v>
      </c>
      <c r="G14" s="4">
        <f>IFERROR(__xludf.DUMMYFUNCTION("COUNTIF(ARRAYFORMULA(HLOOKUP($B14, IMPORTRANGE('Prelim Rankings Unsorted'!$B$40, CONCAT(VLOOKUP($C14, 'Match Names'!$A$1:$D$22, 2, FALSE), ""!C3:R29"")), ROW($A$1:$A$24), FALSE)), ""=-4"") + COUNTIF(ARRAYFORMULA(HLOOKUP($B14, IMPORTRANGE('Prelim Rankings "&amp;"Unsorted'!$B$41, CONCAT(VLOOKUP($C14, 'Match Names'!$A$1:$D$22, 3, FALSE), ""!C3:R29"")), ROW($A$1:$A$24), FALSE)), ""=-4"") + COUNTIF(ARRAYFORMULA(HLOOKUP($B14, IMPORTRANGE('Prelim Rankings Unsorted'!$B$42, CONCAT(VLOOKUP($C14, 'Match Names'!$A$1:$D$22, "&amp;"4, FALSE), ""!C3:R29"")), ROW($A$1:$A$24), FALSE)), ""=-4"") + COUNTIF(ARRAYFORMULA(HLOOKUP($B14, IMPORTRANGE('Match Names'!$E$23, CONCAT(VLOOKUP($C14, 'Match Names'!$1:$22, 5, FALSE), ""!C3:R29"")), ROW($A$1:$A$24), FALSE)), ""=-4"") + COUNTIF(ARRAYFORMU"&amp;"LA(HLOOKUP($B14, IMPORTRANGE('Match Names'!$F$23, CONCAT(VLOOKUP($C14, 'Match Names'!$1:$22, 6, FALSE), ""!C3:R29"")), ROW($A$1:$A$24), FALSE)), ""=-4"") + COUNTIF(ARRAYFORMULA(HLOOKUP($B14, IMPORTRANGE('Match Names'!$G$23, CONCAT(VLOOKUP($C14, 'Match Nam"&amp;"es'!$1:$22, 7, FALSE), ""!C3:R29"")), ROW($A$1:$A$24), FALSE)), ""=-4"") + COUNTIF(ARRAYFORMULA(HLOOKUP($B14, IMPORTRANGE('Match Names'!$H$23, CONCAT(VLOOKUP($C14, 'Match Names'!$1:$22, 8, FALSE), ""!C3:R29"")), ROW($A$1:$A$24), FALSE)), ""=-4"")"),3.0)</f>
        <v>3</v>
      </c>
      <c r="H14" s="4">
        <f t="shared" si="1"/>
        <v>25.6</v>
      </c>
      <c r="AA14" s="22" t="s">
        <v>218</v>
      </c>
    </row>
    <row r="15">
      <c r="A15" s="7" t="s">
        <v>152</v>
      </c>
      <c r="B15" s="7" t="str">
        <f>VLOOKUP(CONCAT(A15, C15), 'Discord Username to Real Name'!C:D, 2, FALSE)</f>
        <v>hsuehpooy#7813</v>
      </c>
      <c r="C15" s="7" t="s">
        <v>21</v>
      </c>
      <c r="D15" s="11">
        <f>IFERROR(__xludf.DUMMYFUNCTION("(23 - COUNTIF(IFERROR(ARRAYFORMULA(HLOOKUP($B15, IMPORTRANGE('Prelim Rankings Unsorted'!$B$40, CONCAT(VLOOKUP($C15, 'Match Names'!$A$1:$D$22, 2, FALSE), ""!C3:R29"")), ROW($A$1:$A$24), FALSE)), $AA$9:$AA$31), ""=X"")) + (23 - COUNTIF(IFERROR(ARRAYFORMULA("&amp;"HLOOKUP($B15, IMPORTRANGE('Prelim Rankings Unsorted'!$B$41, CONCAT(VLOOKUP($C15, 'Match Names'!$A$1:$D$22, 3, FALSE), ""!C3:R29"")), ROW($A$1:$A$24), FALSE)), $AA$9:$AA$31), ""=X"")) + (23 - COUNTIF(IFERROR(ARRAYFORMULA(HLOOKUP($B15, IMPORTRANGE('Prelim R"&amp;"ankings Unsorted'!$B$42, CONCAT(VLOOKUP($C15, 'Match Names'!$A$1:$D$22, 4, FALSE), ""!C3:R29"")), ROW($A$1:$A$24), FALSE)), $AA$9:$AA$31), ""=X"")) + (23 - COUNTIF(IFERROR(ARRAYFORMULA(HLOOKUP($B15, IMPORTRANGE('Match Names'!$E$23, CONCAT(VLOOKUP($C15, 'M"&amp;"atch Names'!$1:$22, 5, FALSE), ""!C3:R29"")), ROW($A$1:$A$24), FALSE)), $AA$9:$AA$31), ""=X"")) + (23 - COUNTIF(IFERROR(ARRAYFORMULA(HLOOKUP($B15, IMPORTRANGE('Match Names'!$F$23, CONCAT(VLOOKUP($C15, 'Match Names'!$1:$22, 6, FALSE), ""!C3:R29"")), ROW($A"&amp;"$1:$A$24), FALSE)), $AA$9:$AA$31), ""=X"")) + (23 - COUNTIF(IFERROR(ARRAYFORMULA(HLOOKUP($B15, IMPORTRANGE('Match Names'!$G$23, CONCAT(VLOOKUP($C15, 'Match Names'!$1:$22, 7, FALSE), ""!C3:R29"")), ROW($A$1:$A$24), FALSE)), $AA$9:$AA$31), ""=X"")) + (23 - "&amp;"COUNTIF(IFERROR(ARRAYFORMULA(HLOOKUP($B15, IMPORTRANGE('Match Names'!$H$23, CONCAT(VLOOKUP($C15, 'Match Names'!$1:$22, 8, FALSE), ""!C3:R29"")), ROW($A$1:$A$24), FALSE)), $AA$9:$AA$31), ""=X""))"),103.0)</f>
        <v>103</v>
      </c>
      <c r="E15" s="4">
        <f>IFERROR(__xludf.DUMMYFUNCTION("COUNTIF(ARRAYFORMULA(HLOOKUP($B15, IMPORTRANGE('Prelim Rankings Unsorted'!$B$40, CONCAT(VLOOKUP($C15, 'Match Names'!$A$1:$D$22, 2, FALSE), ""!C3:R29"")), ROW($A$1:$A$24), FALSE)), ""=4"") + COUNTIF(ARRAYFORMULA(HLOOKUP($B15, IMPORTRANGE('Prelim Rankings U"&amp;"nsorted'!$B$41, CONCAT(VLOOKUP($C15, 'Match Names'!$A$1:$D$22, 3, FALSE), ""!C3:R29"")), ROW($A$1:$A$24), FALSE)), ""=4"") + COUNTIF(ARRAYFORMULA(HLOOKUP($B15, IMPORTRANGE('Prelim Rankings Unsorted'!$B$42, CONCAT(VLOOKUP($C15, 'Match Names'!$A$1:$D$22, 4,"&amp;" FALSE), ""!C3:R29"")), ROW($A$1:$A$24), FALSE)), ""=4"") + COUNTIF(ARRAYFORMULA(HLOOKUP($B15, IMPORTRANGE('Match Names'!$E$23, CONCAT(VLOOKUP($C15, 'Match Names'!$1:$22, 5, FALSE), ""!C3:R29"")), ROW($A$1:$A$24), FALSE)), ""=4"") + COUNTIF(ARRAYFORMULA(H"&amp;"LOOKUP($B15, IMPORTRANGE('Match Names'!$F$23, CONCAT(VLOOKUP($C15, 'Match Names'!$1:$22, 6, FALSE), ""!C3:R29"")), ROW($A$1:$A$24), FALSE)), ""=4"") + COUNTIF(ARRAYFORMULA(HLOOKUP($B15, IMPORTRANGE('Match Names'!$G$23, CONCAT(VLOOKUP($C15, 'Match Names'!$"&amp;"1:$22, 7, FALSE), ""!C3:R29"")), ROW($A$1:$A$24), FALSE)), ""=4"") + COUNTIF(ARRAYFORMULA(HLOOKUP($B15, IMPORTRANGE('Match Names'!$H$23, CONCAT(VLOOKUP($C15, 'Match Names'!$1:$22, 8, FALSE), ""!C3:R29"")), ROW($A$1:$A$24), FALSE)), ""=4"")"),3.0)</f>
        <v>3</v>
      </c>
      <c r="F15" s="4">
        <f>IFERROR(__xludf.DUMMYFUNCTION("COUNTIF(ARRAYFORMULA(HLOOKUP($B15, IMPORTRANGE('Prelim Rankings Unsorted'!$B$40, CONCAT(VLOOKUP($C15, 'Match Names'!$A$1:$D$22, 2, FALSE), ""!C3:R29"")), ROW($A$1:$A$24), FALSE)), ""=0"") + COUNTIF(ARRAYFORMULA(HLOOKUP($B15, IMPORTRANGE('Prelim Rankings U"&amp;"nsorted'!$B$41, CONCAT(VLOOKUP($C15, 'Match Names'!$A$1:$D$22, 3, FALSE), ""!C3:R29"")), ROW($A$1:$A$24), FALSE)), ""=0"") + COUNTIF(ARRAYFORMULA(HLOOKUP($B15, IMPORTRANGE('Prelim Rankings Unsorted'!$B$42, CONCAT(VLOOKUP($C15, 'Match Names'!$A$1:$D$22, 4,"&amp;" FALSE), ""!C3:R29"")), ROW($A$1:$A$24), FALSE)), ""=0"") + COUNTIF(ARRAYFORMULA(HLOOKUP($B15, IMPORTRANGE('Match Names'!$E$23, CONCAT(VLOOKUP($C15, 'Match Names'!$1:$22, 5, FALSE), ""!C3:R29"")), ROW($A$1:$A$24), FALSE)), ""=0"") + COUNTIF(ARRAYFORMULA(H"&amp;"LOOKUP($B15, IMPORTRANGE('Match Names'!$F$23, CONCAT(VLOOKUP($C15, 'Match Names'!$1:$22, 6, FALSE), ""!C3:R29"")), ROW($A$1:$A$24), FALSE)), ""=0"") + COUNTIF(ARRAYFORMULA(HLOOKUP($B15, IMPORTRANGE('Match Names'!$G$23, CONCAT(VLOOKUP($C15, 'Match Names'!$"&amp;"1:$22, 7, FALSE), ""!C3:R29"")), ROW($A$1:$A$24), FALSE)), ""=0"") + COUNTIF(ARRAYFORMULA(HLOOKUP($B15, IMPORTRANGE('Match Names'!$H$23, CONCAT(VLOOKUP($C15, 'Match Names'!$1:$22, 8, FALSE), ""!C3:R29"")), ROW($A$1:$A$24), FALSE)), ""=0"")"),4.0)</f>
        <v>4</v>
      </c>
      <c r="G15" s="4">
        <f>IFERROR(__xludf.DUMMYFUNCTION("COUNTIF(ARRAYFORMULA(HLOOKUP($B15, IMPORTRANGE('Prelim Rankings Unsorted'!$B$40, CONCAT(VLOOKUP($C15, 'Match Names'!$A$1:$D$22, 2, FALSE), ""!C3:R29"")), ROW($A$1:$A$24), FALSE)), ""=-4"") + COUNTIF(ARRAYFORMULA(HLOOKUP($B15, IMPORTRANGE('Prelim Rankings "&amp;"Unsorted'!$B$41, CONCAT(VLOOKUP($C15, 'Match Names'!$A$1:$D$22, 3, FALSE), ""!C3:R29"")), ROW($A$1:$A$24), FALSE)), ""=-4"") + COUNTIF(ARRAYFORMULA(HLOOKUP($B15, IMPORTRANGE('Prelim Rankings Unsorted'!$B$42, CONCAT(VLOOKUP($C15, 'Match Names'!$A$1:$D$22, "&amp;"4, FALSE), ""!C3:R29"")), ROW($A$1:$A$24), FALSE)), ""=-4"") + COUNTIF(ARRAYFORMULA(HLOOKUP($B15, IMPORTRANGE('Match Names'!$E$23, CONCAT(VLOOKUP($C15, 'Match Names'!$1:$22, 5, FALSE), ""!C3:R29"")), ROW($A$1:$A$24), FALSE)), ""=-4"") + COUNTIF(ARRAYFORMU"&amp;"LA(HLOOKUP($B15, IMPORTRANGE('Match Names'!$F$23, CONCAT(VLOOKUP($C15, 'Match Names'!$1:$22, 6, FALSE), ""!C3:R29"")), ROW($A$1:$A$24), FALSE)), ""=-4"") + COUNTIF(ARRAYFORMULA(HLOOKUP($B15, IMPORTRANGE('Match Names'!$G$23, CONCAT(VLOOKUP($C15, 'Match Nam"&amp;"es'!$1:$22, 7, FALSE), ""!C3:R29"")), ROW($A$1:$A$24), FALSE)), ""=-4"") + COUNTIF(ARRAYFORMULA(HLOOKUP($B15, IMPORTRANGE('Match Names'!$H$23, CONCAT(VLOOKUP($C15, 'Match Names'!$1:$22, 8, FALSE), ""!C3:R29"")), ROW($A$1:$A$24), FALSE)), ""=-4"")"),0.0)</f>
        <v>0</v>
      </c>
      <c r="H15" s="4">
        <f t="shared" si="1"/>
        <v>2.68</v>
      </c>
      <c r="AA15" s="22" t="s">
        <v>218</v>
      </c>
    </row>
    <row r="16">
      <c r="A16" s="7" t="s">
        <v>143</v>
      </c>
      <c r="B16" s="7" t="str">
        <f>VLOOKUP(CONCAT(A16, C16), 'Discord Username to Real Name'!C:D, 2, FALSE)</f>
        <v>CheeseGr8ter#2134</v>
      </c>
      <c r="C16" s="7" t="s">
        <v>21</v>
      </c>
      <c r="D16" s="11">
        <f>IFERROR(__xludf.DUMMYFUNCTION("(23 - COUNTIF(IFERROR(ARRAYFORMULA(HLOOKUP($B16, IMPORTRANGE('Prelim Rankings Unsorted'!$B$40, CONCAT(VLOOKUP($C16, 'Match Names'!$A$1:$D$22, 2, FALSE), ""!C3:R29"")), ROW($A$1:$A$24), FALSE)), $AA$9:$AA$31), ""=X"")) + (23 - COUNTIF(IFERROR(ARRAYFORMULA("&amp;"HLOOKUP($B16, IMPORTRANGE('Prelim Rankings Unsorted'!$B$41, CONCAT(VLOOKUP($C16, 'Match Names'!$A$1:$D$22, 3, FALSE), ""!C3:R29"")), ROW($A$1:$A$24), FALSE)), $AA$9:$AA$31), ""=X"")) + (23 - COUNTIF(IFERROR(ARRAYFORMULA(HLOOKUP($B16, IMPORTRANGE('Prelim R"&amp;"ankings Unsorted'!$B$42, CONCAT(VLOOKUP($C16, 'Match Names'!$A$1:$D$22, 4, FALSE), ""!C3:R29"")), ROW($A$1:$A$24), FALSE)), $AA$9:$AA$31), ""=X"")) + (23 - COUNTIF(IFERROR(ARRAYFORMULA(HLOOKUP($B16, IMPORTRANGE('Match Names'!$E$23, CONCAT(VLOOKUP($C16, 'M"&amp;"atch Names'!$1:$22, 5, FALSE), ""!C3:R29"")), ROW($A$1:$A$24), FALSE)), $AA$9:$AA$31), ""=X"")) + (23 - COUNTIF(IFERROR(ARRAYFORMULA(HLOOKUP($B16, IMPORTRANGE('Match Names'!$F$23, CONCAT(VLOOKUP($C16, 'Match Names'!$1:$22, 6, FALSE), ""!C3:R29"")), ROW($A"&amp;"$1:$A$24), FALSE)), $AA$9:$AA$31), ""=X"")) + (23 - COUNTIF(IFERROR(ARRAYFORMULA(HLOOKUP($B16, IMPORTRANGE('Match Names'!$G$23, CONCAT(VLOOKUP($C16, 'Match Names'!$1:$22, 7, FALSE), ""!C3:R29"")), ROW($A$1:$A$24), FALSE)), $AA$9:$AA$31), ""=X"")) + (23 - "&amp;"COUNTIF(IFERROR(ARRAYFORMULA(HLOOKUP($B16, IMPORTRANGE('Match Names'!$H$23, CONCAT(VLOOKUP($C16, 'Match Names'!$1:$22, 8, FALSE), ""!C3:R29"")), ROW($A$1:$A$24), FALSE)), $AA$9:$AA$31), ""=X""))"),115.0)</f>
        <v>115</v>
      </c>
      <c r="E16" s="4">
        <f>IFERROR(__xludf.DUMMYFUNCTION("COUNTIF(ARRAYFORMULA(HLOOKUP($B16, IMPORTRANGE('Prelim Rankings Unsorted'!$B$40, CONCAT(VLOOKUP($C16, 'Match Names'!$A$1:$D$22, 2, FALSE), ""!C3:R29"")), ROW($A$1:$A$24), FALSE)), ""=4"") + COUNTIF(ARRAYFORMULA(HLOOKUP($B16, IMPORTRANGE('Prelim Rankings U"&amp;"nsorted'!$B$41, CONCAT(VLOOKUP($C16, 'Match Names'!$A$1:$D$22, 3, FALSE), ""!C3:R29"")), ROW($A$1:$A$24), FALSE)), ""=4"") + COUNTIF(ARRAYFORMULA(HLOOKUP($B16, IMPORTRANGE('Prelim Rankings Unsorted'!$B$42, CONCAT(VLOOKUP($C16, 'Match Names'!$A$1:$D$22, 4,"&amp;" FALSE), ""!C3:R29"")), ROW($A$1:$A$24), FALSE)), ""=4"") + COUNTIF(ARRAYFORMULA(HLOOKUP($B16, IMPORTRANGE('Match Names'!$E$23, CONCAT(VLOOKUP($C16, 'Match Names'!$1:$22, 5, FALSE), ""!C3:R29"")), ROW($A$1:$A$24), FALSE)), ""=4"") + COUNTIF(ARRAYFORMULA(H"&amp;"LOOKUP($B16, IMPORTRANGE('Match Names'!$F$23, CONCAT(VLOOKUP($C16, 'Match Names'!$1:$22, 6, FALSE), ""!C3:R29"")), ROW($A$1:$A$24), FALSE)), ""=4"") + COUNTIF(ARRAYFORMULA(HLOOKUP($B16, IMPORTRANGE('Match Names'!$G$23, CONCAT(VLOOKUP($C16, 'Match Names'!$"&amp;"1:$22, 7, FALSE), ""!C3:R29"")), ROW($A$1:$A$24), FALSE)), ""=4"") + COUNTIF(ARRAYFORMULA(HLOOKUP($B16, IMPORTRANGE('Match Names'!$H$23, CONCAT(VLOOKUP($C16, 'Match Names'!$1:$22, 8, FALSE), ""!C3:R29"")), ROW($A$1:$A$24), FALSE)), ""=4"")"),1.0)</f>
        <v>1</v>
      </c>
      <c r="F16" s="4">
        <f>IFERROR(__xludf.DUMMYFUNCTION("COUNTIF(ARRAYFORMULA(HLOOKUP($B16, IMPORTRANGE('Prelim Rankings Unsorted'!$B$40, CONCAT(VLOOKUP($C16, 'Match Names'!$A$1:$D$22, 2, FALSE), ""!C3:R29"")), ROW($A$1:$A$24), FALSE)), ""=0"") + COUNTIF(ARRAYFORMULA(HLOOKUP($B16, IMPORTRANGE('Prelim Rankings U"&amp;"nsorted'!$B$41, CONCAT(VLOOKUP($C16, 'Match Names'!$A$1:$D$22, 3, FALSE), ""!C3:R29"")), ROW($A$1:$A$24), FALSE)), ""=0"") + COUNTIF(ARRAYFORMULA(HLOOKUP($B16, IMPORTRANGE('Prelim Rankings Unsorted'!$B$42, CONCAT(VLOOKUP($C16, 'Match Names'!$A$1:$D$22, 4,"&amp;" FALSE), ""!C3:R29"")), ROW($A$1:$A$24), FALSE)), ""=0"") + COUNTIF(ARRAYFORMULA(HLOOKUP($B16, IMPORTRANGE('Match Names'!$E$23, CONCAT(VLOOKUP($C16, 'Match Names'!$1:$22, 5, FALSE), ""!C3:R29"")), ROW($A$1:$A$24), FALSE)), ""=0"") + COUNTIF(ARRAYFORMULA(H"&amp;"LOOKUP($B16, IMPORTRANGE('Match Names'!$F$23, CONCAT(VLOOKUP($C16, 'Match Names'!$1:$22, 6, FALSE), ""!C3:R29"")), ROW($A$1:$A$24), FALSE)), ""=0"") + COUNTIF(ARRAYFORMULA(HLOOKUP($B16, IMPORTRANGE('Match Names'!$G$23, CONCAT(VLOOKUP($C16, 'Match Names'!$"&amp;"1:$22, 7, FALSE), ""!C3:R29"")), ROW($A$1:$A$24), FALSE)), ""=0"") + COUNTIF(ARRAYFORMULA(HLOOKUP($B16, IMPORTRANGE('Match Names'!$H$23, CONCAT(VLOOKUP($C16, 'Match Names'!$1:$22, 8, FALSE), ""!C3:R29"")), ROW($A$1:$A$24), FALSE)), ""=0"")"),4.0)</f>
        <v>4</v>
      </c>
      <c r="G16" s="4">
        <f>IFERROR(__xludf.DUMMYFUNCTION("COUNTIF(ARRAYFORMULA(HLOOKUP($B16, IMPORTRANGE('Prelim Rankings Unsorted'!$B$40, CONCAT(VLOOKUP($C16, 'Match Names'!$A$1:$D$22, 2, FALSE), ""!C3:R29"")), ROW($A$1:$A$24), FALSE)), ""=-4"") + COUNTIF(ARRAYFORMULA(HLOOKUP($B16, IMPORTRANGE('Prelim Rankings "&amp;"Unsorted'!$B$41, CONCAT(VLOOKUP($C16, 'Match Names'!$A$1:$D$22, 3, FALSE), ""!C3:R29"")), ROW($A$1:$A$24), FALSE)), ""=-4"") + COUNTIF(ARRAYFORMULA(HLOOKUP($B16, IMPORTRANGE('Prelim Rankings Unsorted'!$B$42, CONCAT(VLOOKUP($C16, 'Match Names'!$A$1:$D$22, "&amp;"4, FALSE), ""!C3:R29"")), ROW($A$1:$A$24), FALSE)), ""=-4"") + COUNTIF(ARRAYFORMULA(HLOOKUP($B16, IMPORTRANGE('Match Names'!$E$23, CONCAT(VLOOKUP($C16, 'Match Names'!$1:$22, 5, FALSE), ""!C3:R29"")), ROW($A$1:$A$24), FALSE)), ""=-4"") + COUNTIF(ARRAYFORMU"&amp;"LA(HLOOKUP($B16, IMPORTRANGE('Match Names'!$F$23, CONCAT(VLOOKUP($C16, 'Match Names'!$1:$22, 6, FALSE), ""!C3:R29"")), ROW($A$1:$A$24), FALSE)), ""=-4"") + COUNTIF(ARRAYFORMULA(HLOOKUP($B16, IMPORTRANGE('Match Names'!$G$23, CONCAT(VLOOKUP($C16, 'Match Nam"&amp;"es'!$1:$22, 7, FALSE), ""!C3:R29"")), ROW($A$1:$A$24), FALSE)), ""=-4"") + COUNTIF(ARRAYFORMULA(HLOOKUP($B16, IMPORTRANGE('Match Names'!$H$23, CONCAT(VLOOKUP($C16, 'Match Names'!$1:$22, 8, FALSE), ""!C3:R29"")), ROW($A$1:$A$24), FALSE)), ""=-4"")"),0.0)</f>
        <v>0</v>
      </c>
      <c r="H16" s="4">
        <f t="shared" si="1"/>
        <v>0.8</v>
      </c>
      <c r="AA16" s="22" t="s">
        <v>218</v>
      </c>
    </row>
    <row r="17">
      <c r="A17" s="4" t="s">
        <v>88</v>
      </c>
      <c r="B17" s="7" t="str">
        <f>VLOOKUP(CONCAT(A17, C17), 'Discord Username to Real Name'!C:D, 2, FALSE)</f>
        <v>s0arbeacon#9262</v>
      </c>
      <c r="C17" s="7" t="s">
        <v>31</v>
      </c>
      <c r="D17" s="11">
        <f>IFERROR(__xludf.DUMMYFUNCTION("(23 - COUNTIF(IFERROR(ARRAYFORMULA(HLOOKUP($B17, IMPORTRANGE('Prelim Rankings Unsorted'!$B$40, CONCAT(VLOOKUP($C17, 'Match Names'!$A$1:$D$22, 2, FALSE), ""!C3:R29"")), ROW($A$1:$A$24), FALSE)), $AA$9:$AA$31), ""=X"")) + (23 - COUNTIF(IFERROR(ARRAYFORMULA("&amp;"HLOOKUP($B17, IMPORTRANGE('Prelim Rankings Unsorted'!$B$41, CONCAT(VLOOKUP($C17, 'Match Names'!$A$1:$D$22, 3, FALSE), ""!C3:R29"")), ROW($A$1:$A$24), FALSE)), $AA$9:$AA$31), ""=X"")) + (23 - COUNTIF(IFERROR(ARRAYFORMULA(HLOOKUP($B17, IMPORTRANGE('Prelim R"&amp;"ankings Unsorted'!$B$42, CONCAT(VLOOKUP($C17, 'Match Names'!$A$1:$D$22, 4, FALSE), ""!C3:R29"")), ROW($A$1:$A$24), FALSE)), $AA$9:$AA$31), ""=X"")) + (23 - COUNTIF(IFERROR(ARRAYFORMULA(HLOOKUP($B17, IMPORTRANGE('Match Names'!$E$23, CONCAT(VLOOKUP($C17, 'M"&amp;"atch Names'!$1:$22, 5, FALSE), ""!C3:R29"")), ROW($A$1:$A$24), FALSE)), $AA$9:$AA$31), ""=X"")) + (23 - COUNTIF(IFERROR(ARRAYFORMULA(HLOOKUP($B17, IMPORTRANGE('Match Names'!$F$23, CONCAT(VLOOKUP($C17, 'Match Names'!$1:$22, 6, FALSE), ""!C3:R29"")), ROW($A"&amp;"$1:$A$24), FALSE)), $AA$9:$AA$31), ""=X"")) + (23 - COUNTIF(IFERROR(ARRAYFORMULA(HLOOKUP($B17, IMPORTRANGE('Match Names'!$G$23, CONCAT(VLOOKUP($C17, 'Match Names'!$1:$22, 7, FALSE), ""!C3:R29"")), ROW($A$1:$A$24), FALSE)), $AA$9:$AA$31), ""=X"")) + (23 - "&amp;"COUNTIF(IFERROR(ARRAYFORMULA(HLOOKUP($B17, IMPORTRANGE('Match Names'!$H$23, CONCAT(VLOOKUP($C17, 'Match Names'!$1:$22, 8, FALSE), ""!C3:R29"")), ROW($A$1:$A$24), FALSE)), $AA$9:$AA$31), ""=X""))"),92.0)</f>
        <v>92</v>
      </c>
      <c r="E17" s="4">
        <f>IFERROR(__xludf.DUMMYFUNCTION("COUNTIF(ARRAYFORMULA(HLOOKUP($B17, IMPORTRANGE('Prelim Rankings Unsorted'!$B$40, CONCAT(VLOOKUP($C17, 'Match Names'!$A$1:$D$22, 2, FALSE), ""!C3:R29"")), ROW($A$1:$A$24), FALSE)), ""=4"") + COUNTIF(ARRAYFORMULA(HLOOKUP($B17, IMPORTRANGE('Prelim Rankings U"&amp;"nsorted'!$B$41, CONCAT(VLOOKUP($C17, 'Match Names'!$A$1:$D$22, 3, FALSE), ""!C3:R29"")), ROW($A$1:$A$24), FALSE)), ""=4"") + COUNTIF(ARRAYFORMULA(HLOOKUP($B17, IMPORTRANGE('Prelim Rankings Unsorted'!$B$42, CONCAT(VLOOKUP($C17, 'Match Names'!$A$1:$D$22, 4,"&amp;" FALSE), ""!C3:R29"")), ROW($A$1:$A$24), FALSE)), ""=4"") + COUNTIF(ARRAYFORMULA(HLOOKUP($B17, IMPORTRANGE('Match Names'!$E$23, CONCAT(VLOOKUP($C17, 'Match Names'!$1:$22, 5, FALSE), ""!C3:R29"")), ROW($A$1:$A$24), FALSE)), ""=4"") + COUNTIF(ARRAYFORMULA(H"&amp;"LOOKUP($B17, IMPORTRANGE('Match Names'!$F$23, CONCAT(VLOOKUP($C17, 'Match Names'!$1:$22, 6, FALSE), ""!C3:R29"")), ROW($A$1:$A$24), FALSE)), ""=4"") + COUNTIF(ARRAYFORMULA(HLOOKUP($B17, IMPORTRANGE('Match Names'!$G$23, CONCAT(VLOOKUP($C17, 'Match Names'!$"&amp;"1:$22, 7, FALSE), ""!C3:R29"")), ROW($A$1:$A$24), FALSE)), ""=4"") + COUNTIF(ARRAYFORMULA(HLOOKUP($B17, IMPORTRANGE('Match Names'!$H$23, CONCAT(VLOOKUP($C17, 'Match Names'!$1:$22, 8, FALSE), ""!C3:R29"")), ROW($A$1:$A$24), FALSE)), ""=4"")"),12.0)</f>
        <v>12</v>
      </c>
      <c r="F17" s="4">
        <f>IFERROR(__xludf.DUMMYFUNCTION("COUNTIF(ARRAYFORMULA(HLOOKUP($B17, IMPORTRANGE('Prelim Rankings Unsorted'!$B$40, CONCAT(VLOOKUP($C17, 'Match Names'!$A$1:$D$22, 2, FALSE), ""!C3:R29"")), ROW($A$1:$A$24), FALSE)), ""=0"") + COUNTIF(ARRAYFORMULA(HLOOKUP($B17, IMPORTRANGE('Prelim Rankings U"&amp;"nsorted'!$B$41, CONCAT(VLOOKUP($C17, 'Match Names'!$A$1:$D$22, 3, FALSE), ""!C3:R29"")), ROW($A$1:$A$24), FALSE)), ""=0"") + COUNTIF(ARRAYFORMULA(HLOOKUP($B17, IMPORTRANGE('Prelim Rankings Unsorted'!$B$42, CONCAT(VLOOKUP($C17, 'Match Names'!$A$1:$D$22, 4,"&amp;" FALSE), ""!C3:R29"")), ROW($A$1:$A$24), FALSE)), ""=0"") + COUNTIF(ARRAYFORMULA(HLOOKUP($B17, IMPORTRANGE('Match Names'!$E$23, CONCAT(VLOOKUP($C17, 'Match Names'!$1:$22, 5, FALSE), ""!C3:R29"")), ROW($A$1:$A$24), FALSE)), ""=0"") + COUNTIF(ARRAYFORMULA(H"&amp;"LOOKUP($B17, IMPORTRANGE('Match Names'!$F$23, CONCAT(VLOOKUP($C17, 'Match Names'!$1:$22, 6, FALSE), ""!C3:R29"")), ROW($A$1:$A$24), FALSE)), ""=0"") + COUNTIF(ARRAYFORMULA(HLOOKUP($B17, IMPORTRANGE('Match Names'!$G$23, CONCAT(VLOOKUP($C17, 'Match Names'!$"&amp;"1:$22, 7, FALSE), ""!C3:R29"")), ROW($A$1:$A$24), FALSE)), ""=0"") + COUNTIF(ARRAYFORMULA(HLOOKUP($B17, IMPORTRANGE('Match Names'!$H$23, CONCAT(VLOOKUP($C17, 'Match Names'!$1:$22, 8, FALSE), ""!C3:R29"")), ROW($A$1:$A$24), FALSE)), ""=0"")"),15.0)</f>
        <v>15</v>
      </c>
      <c r="G17" s="4">
        <f>IFERROR(__xludf.DUMMYFUNCTION("COUNTIF(ARRAYFORMULA(HLOOKUP($B17, IMPORTRANGE('Prelim Rankings Unsorted'!$B$40, CONCAT(VLOOKUP($C17, 'Match Names'!$A$1:$D$22, 2, FALSE), ""!C3:R29"")), ROW($A$1:$A$24), FALSE)), ""=-4"") + COUNTIF(ARRAYFORMULA(HLOOKUP($B17, IMPORTRANGE('Prelim Rankings "&amp;"Unsorted'!$B$41, CONCAT(VLOOKUP($C17, 'Match Names'!$A$1:$D$22, 3, FALSE), ""!C3:R29"")), ROW($A$1:$A$24), FALSE)), ""=-4"") + COUNTIF(ARRAYFORMULA(HLOOKUP($B17, IMPORTRANGE('Prelim Rankings Unsorted'!$B$42, CONCAT(VLOOKUP($C17, 'Match Names'!$A$1:$D$22, "&amp;"4, FALSE), ""!C3:R29"")), ROW($A$1:$A$24), FALSE)), ""=-4"") + COUNTIF(ARRAYFORMULA(HLOOKUP($B17, IMPORTRANGE('Match Names'!$E$23, CONCAT(VLOOKUP($C17, 'Match Names'!$1:$22, 5, FALSE), ""!C3:R29"")), ROW($A$1:$A$24), FALSE)), ""=-4"") + COUNTIF(ARRAYFORMU"&amp;"LA(HLOOKUP($B17, IMPORTRANGE('Match Names'!$F$23, CONCAT(VLOOKUP($C17, 'Match Names'!$1:$22, 6, FALSE), ""!C3:R29"")), ROW($A$1:$A$24), FALSE)), ""=-4"") + COUNTIF(ARRAYFORMULA(HLOOKUP($B17, IMPORTRANGE('Match Names'!$G$23, CONCAT(VLOOKUP($C17, 'Match Nam"&amp;"es'!$1:$22, 7, FALSE), ""!C3:R29"")), ROW($A$1:$A$24), FALSE)), ""=-4"") + COUNTIF(ARRAYFORMULA(HLOOKUP($B17, IMPORTRANGE('Match Names'!$H$23, CONCAT(VLOOKUP($C17, 'Match Names'!$1:$22, 8, FALSE), ""!C3:R29"")), ROW($A$1:$A$24), FALSE)), ""=-4"")"),1.0)</f>
        <v>1</v>
      </c>
      <c r="H17" s="4">
        <f t="shared" si="1"/>
        <v>11</v>
      </c>
      <c r="AA17" s="22" t="s">
        <v>218</v>
      </c>
    </row>
    <row r="18">
      <c r="A18" s="17" t="s">
        <v>206</v>
      </c>
      <c r="B18" s="7" t="str">
        <f>VLOOKUP(CONCAT(A18, C18), 'Discord Username to Real Name'!C:D, 2, FALSE)</f>
        <v>.penguin#3809</v>
      </c>
      <c r="C18" s="19" t="s">
        <v>31</v>
      </c>
      <c r="D18" s="11">
        <f>IFERROR(__xludf.DUMMYFUNCTION("(23 - COUNTIF(IFERROR(ARRAYFORMULA(HLOOKUP($B18, IMPORTRANGE('Prelim Rankings Unsorted'!$B$40, CONCAT(VLOOKUP($C18, 'Match Names'!$A$1:$D$22, 2, FALSE), ""!C3:R29"")), ROW($A$1:$A$24), FALSE)), $AA$9:$AA$31), ""=X"")) + (23 - COUNTIF(IFERROR(ARRAYFORMULA("&amp;"HLOOKUP($B18, IMPORTRANGE('Prelim Rankings Unsorted'!$B$41, CONCAT(VLOOKUP($C18, 'Match Names'!$A$1:$D$22, 3, FALSE), ""!C3:R29"")), ROW($A$1:$A$24), FALSE)), $AA$9:$AA$31), ""=X"")) + (23 - COUNTIF(IFERROR(ARRAYFORMULA(HLOOKUP($B18, IMPORTRANGE('Prelim R"&amp;"ankings Unsorted'!$B$42, CONCAT(VLOOKUP($C18, 'Match Names'!$A$1:$D$22, 4, FALSE), ""!C3:R29"")), ROW($A$1:$A$24), FALSE)), $AA$9:$AA$31), ""=X"")) + (23 - COUNTIF(IFERROR(ARRAYFORMULA(HLOOKUP($B18, IMPORTRANGE('Match Names'!$E$23, CONCAT(VLOOKUP($C18, 'M"&amp;"atch Names'!$1:$22, 5, FALSE), ""!C3:R29"")), ROW($A$1:$A$24), FALSE)), $AA$9:$AA$31), ""=X"")) + (23 - COUNTIF(IFERROR(ARRAYFORMULA(HLOOKUP($B18, IMPORTRANGE('Match Names'!$F$23, CONCAT(VLOOKUP($C18, 'Match Names'!$1:$22, 6, FALSE), ""!C3:R29"")), ROW($A"&amp;"$1:$A$24), FALSE)), $AA$9:$AA$31), ""=X"")) + (23 - COUNTIF(IFERROR(ARRAYFORMULA(HLOOKUP($B18, IMPORTRANGE('Match Names'!$G$23, CONCAT(VLOOKUP($C18, 'Match Names'!$1:$22, 7, FALSE), ""!C3:R29"")), ROW($A$1:$A$24), FALSE)), $AA$9:$AA$31), ""=X"")) + (23 - "&amp;"COUNTIF(IFERROR(ARRAYFORMULA(HLOOKUP($B18, IMPORTRANGE('Match Names'!$H$23, CONCAT(VLOOKUP($C18, 'Match Names'!$1:$22, 8, FALSE), ""!C3:R29"")), ROW($A$1:$A$24), FALSE)), $AA$9:$AA$31), ""=X""))"),0.0)</f>
        <v>0</v>
      </c>
      <c r="E18" s="4">
        <f>IFERROR(__xludf.DUMMYFUNCTION("COUNTIF(ARRAYFORMULA(HLOOKUP($B18, IMPORTRANGE('Prelim Rankings Unsorted'!$B$40, CONCAT(VLOOKUP($C18, 'Match Names'!$A$1:$D$22, 2, FALSE), ""!C3:R29"")), ROW($A$1:$A$24), FALSE)), ""=4"") + COUNTIF(ARRAYFORMULA(HLOOKUP($B18, IMPORTRANGE('Prelim Rankings U"&amp;"nsorted'!$B$41, CONCAT(VLOOKUP($C18, 'Match Names'!$A$1:$D$22, 3, FALSE), ""!C3:R29"")), ROW($A$1:$A$24), FALSE)), ""=4"") + COUNTIF(ARRAYFORMULA(HLOOKUP($B18, IMPORTRANGE('Prelim Rankings Unsorted'!$B$42, CONCAT(VLOOKUP($C18, 'Match Names'!$A$1:$D$22, 4,"&amp;" FALSE), ""!C3:R29"")), ROW($A$1:$A$24), FALSE)), ""=4"") + COUNTIF(ARRAYFORMULA(HLOOKUP($B18, IMPORTRANGE('Match Names'!$E$23, CONCAT(VLOOKUP($C18, 'Match Names'!$1:$22, 5, FALSE), ""!C3:R29"")), ROW($A$1:$A$24), FALSE)), ""=4"") + COUNTIF(ARRAYFORMULA(H"&amp;"LOOKUP($B18, IMPORTRANGE('Match Names'!$F$23, CONCAT(VLOOKUP($C18, 'Match Names'!$1:$22, 6, FALSE), ""!C3:R29"")), ROW($A$1:$A$24), FALSE)), ""=4"") + COUNTIF(ARRAYFORMULA(HLOOKUP($B18, IMPORTRANGE('Match Names'!$G$23, CONCAT(VLOOKUP($C18, 'Match Names'!$"&amp;"1:$22, 7, FALSE), ""!C3:R29"")), ROW($A$1:$A$24), FALSE)), ""=4"") + COUNTIF(ARRAYFORMULA(HLOOKUP($B18, IMPORTRANGE('Match Names'!$H$23, CONCAT(VLOOKUP($C18, 'Match Names'!$1:$22, 8, FALSE), ""!C3:R29"")), ROW($A$1:$A$24), FALSE)), ""=4"")"),0.0)</f>
        <v>0</v>
      </c>
      <c r="F18" s="4">
        <f>IFERROR(__xludf.DUMMYFUNCTION("COUNTIF(ARRAYFORMULA(HLOOKUP($B18, IMPORTRANGE('Prelim Rankings Unsorted'!$B$40, CONCAT(VLOOKUP($C18, 'Match Names'!$A$1:$D$22, 2, FALSE), ""!C3:R29"")), ROW($A$1:$A$24), FALSE)), ""=0"") + COUNTIF(ARRAYFORMULA(HLOOKUP($B18, IMPORTRANGE('Prelim Rankings U"&amp;"nsorted'!$B$41, CONCAT(VLOOKUP($C18, 'Match Names'!$A$1:$D$22, 3, FALSE), ""!C3:R29"")), ROW($A$1:$A$24), FALSE)), ""=0"") + COUNTIF(ARRAYFORMULA(HLOOKUP($B18, IMPORTRANGE('Prelim Rankings Unsorted'!$B$42, CONCAT(VLOOKUP($C18, 'Match Names'!$A$1:$D$22, 4,"&amp;" FALSE), ""!C3:R29"")), ROW($A$1:$A$24), FALSE)), ""=0"") + COUNTIF(ARRAYFORMULA(HLOOKUP($B18, IMPORTRANGE('Match Names'!$E$23, CONCAT(VLOOKUP($C18, 'Match Names'!$1:$22, 5, FALSE), ""!C3:R29"")), ROW($A$1:$A$24), FALSE)), ""=0"") + COUNTIF(ARRAYFORMULA(H"&amp;"LOOKUP($B18, IMPORTRANGE('Match Names'!$F$23, CONCAT(VLOOKUP($C18, 'Match Names'!$1:$22, 6, FALSE), ""!C3:R29"")), ROW($A$1:$A$24), FALSE)), ""=0"") + COUNTIF(ARRAYFORMULA(HLOOKUP($B18, IMPORTRANGE('Match Names'!$G$23, CONCAT(VLOOKUP($C18, 'Match Names'!$"&amp;"1:$22, 7, FALSE), ""!C3:R29"")), ROW($A$1:$A$24), FALSE)), ""=0"") + COUNTIF(ARRAYFORMULA(HLOOKUP($B18, IMPORTRANGE('Match Names'!$H$23, CONCAT(VLOOKUP($C18, 'Match Names'!$1:$22, 8, FALSE), ""!C3:R29"")), ROW($A$1:$A$24), FALSE)), ""=0"")"),0.0)</f>
        <v>0</v>
      </c>
      <c r="G18" s="4">
        <f>IFERROR(__xludf.DUMMYFUNCTION("COUNTIF(ARRAYFORMULA(HLOOKUP($B18, IMPORTRANGE('Prelim Rankings Unsorted'!$B$40, CONCAT(VLOOKUP($C18, 'Match Names'!$A$1:$D$22, 2, FALSE), ""!C3:R29"")), ROW($A$1:$A$24), FALSE)), ""=-4"") + COUNTIF(ARRAYFORMULA(HLOOKUP($B18, IMPORTRANGE('Prelim Rankings "&amp;"Unsorted'!$B$41, CONCAT(VLOOKUP($C18, 'Match Names'!$A$1:$D$22, 3, FALSE), ""!C3:R29"")), ROW($A$1:$A$24), FALSE)), ""=-4"") + COUNTIF(ARRAYFORMULA(HLOOKUP($B18, IMPORTRANGE('Prelim Rankings Unsorted'!$B$42, CONCAT(VLOOKUP($C18, 'Match Names'!$A$1:$D$22, "&amp;"4, FALSE), ""!C3:R29"")), ROW($A$1:$A$24), FALSE)), ""=-4"") + COUNTIF(ARRAYFORMULA(HLOOKUP($B18, IMPORTRANGE('Match Names'!$E$23, CONCAT(VLOOKUP($C18, 'Match Names'!$1:$22, 5, FALSE), ""!C3:R29"")), ROW($A$1:$A$24), FALSE)), ""=-4"") + COUNTIF(ARRAYFORMU"&amp;"LA(HLOOKUP($B18, IMPORTRANGE('Match Names'!$F$23, CONCAT(VLOOKUP($C18, 'Match Names'!$1:$22, 6, FALSE), ""!C3:R29"")), ROW($A$1:$A$24), FALSE)), ""=-4"") + COUNTIF(ARRAYFORMULA(HLOOKUP($B18, IMPORTRANGE('Match Names'!$G$23, CONCAT(VLOOKUP($C18, 'Match Nam"&amp;"es'!$1:$22, 7, FALSE), ""!C3:R29"")), ROW($A$1:$A$24), FALSE)), ""=-4"") + COUNTIF(ARRAYFORMULA(HLOOKUP($B18, IMPORTRANGE('Match Names'!$H$23, CONCAT(VLOOKUP($C18, 'Match Names'!$1:$22, 8, FALSE), ""!C3:R29"")), ROW($A$1:$A$24), FALSE)), ""=-4"")"),0.0)</f>
        <v>0</v>
      </c>
      <c r="H18" s="4">
        <f t="shared" si="1"/>
        <v>0</v>
      </c>
      <c r="AA18" s="22" t="s">
        <v>218</v>
      </c>
    </row>
    <row r="19">
      <c r="A19" s="4" t="s">
        <v>84</v>
      </c>
      <c r="B19" s="7" t="str">
        <f>VLOOKUP(CONCAT(A19, C19), 'Discord Username to Real Name'!C:D, 2, FALSE)</f>
        <v>spongebob#0577</v>
      </c>
      <c r="C19" s="7" t="s">
        <v>31</v>
      </c>
      <c r="D19" s="11">
        <f>IFERROR(__xludf.DUMMYFUNCTION("(23 - COUNTIF(IFERROR(ARRAYFORMULA(HLOOKUP($B19, IMPORTRANGE('Prelim Rankings Unsorted'!$B$40, CONCAT(VLOOKUP($C19, 'Match Names'!$A$1:$D$22, 2, FALSE), ""!C3:R29"")), ROW($A$1:$A$24), FALSE)), $AA$9:$AA$31), ""=X"")) + (23 - COUNTIF(IFERROR(ARRAYFORMULA("&amp;"HLOOKUP($B19, IMPORTRANGE('Prelim Rankings Unsorted'!$B$41, CONCAT(VLOOKUP($C19, 'Match Names'!$A$1:$D$22, 3, FALSE), ""!C3:R29"")), ROW($A$1:$A$24), FALSE)), $AA$9:$AA$31), ""=X"")) + (23 - COUNTIF(IFERROR(ARRAYFORMULA(HLOOKUP($B19, IMPORTRANGE('Prelim R"&amp;"ankings Unsorted'!$B$42, CONCAT(VLOOKUP($C19, 'Match Names'!$A$1:$D$22, 4, FALSE), ""!C3:R29"")), ROW($A$1:$A$24), FALSE)), $AA$9:$AA$31), ""=X"")) + (23 - COUNTIF(IFERROR(ARRAYFORMULA(HLOOKUP($B19, IMPORTRANGE('Match Names'!$E$23, CONCAT(VLOOKUP($C19, 'M"&amp;"atch Names'!$1:$22, 5, FALSE), ""!C3:R29"")), ROW($A$1:$A$24), FALSE)), $AA$9:$AA$31), ""=X"")) + (23 - COUNTIF(IFERROR(ARRAYFORMULA(HLOOKUP($B19, IMPORTRANGE('Match Names'!$F$23, CONCAT(VLOOKUP($C19, 'Match Names'!$1:$22, 6, FALSE), ""!C3:R29"")), ROW($A"&amp;"$1:$A$24), FALSE)), $AA$9:$AA$31), ""=X"")) + (23 - COUNTIF(IFERROR(ARRAYFORMULA(HLOOKUP($B19, IMPORTRANGE('Match Names'!$G$23, CONCAT(VLOOKUP($C19, 'Match Names'!$1:$22, 7, FALSE), ""!C3:R29"")), ROW($A$1:$A$24), FALSE)), $AA$9:$AA$31), ""=X"")) + (23 - "&amp;"COUNTIF(IFERROR(ARRAYFORMULA(HLOOKUP($B19, IMPORTRANGE('Match Names'!$H$23, CONCAT(VLOOKUP($C19, 'Match Names'!$1:$22, 8, FALSE), ""!C3:R29"")), ROW($A$1:$A$24), FALSE)), $AA$9:$AA$31), ""=X""))"),69.0)</f>
        <v>69</v>
      </c>
      <c r="E19" s="4">
        <f>IFERROR(__xludf.DUMMYFUNCTION("COUNTIF(ARRAYFORMULA(HLOOKUP($B19, IMPORTRANGE('Prelim Rankings Unsorted'!$B$40, CONCAT(VLOOKUP($C19, 'Match Names'!$A$1:$D$22, 2, FALSE), ""!C3:R29"")), ROW($A$1:$A$24), FALSE)), ""=4"") + COUNTIF(ARRAYFORMULA(HLOOKUP($B19, IMPORTRANGE('Prelim Rankings U"&amp;"nsorted'!$B$41, CONCAT(VLOOKUP($C19, 'Match Names'!$A$1:$D$22, 3, FALSE), ""!C3:R29"")), ROW($A$1:$A$24), FALSE)), ""=4"") + COUNTIF(ARRAYFORMULA(HLOOKUP($B19, IMPORTRANGE('Prelim Rankings Unsorted'!$B$42, CONCAT(VLOOKUP($C19, 'Match Names'!$A$1:$D$22, 4,"&amp;" FALSE), ""!C3:R29"")), ROW($A$1:$A$24), FALSE)), ""=4"") + COUNTIF(ARRAYFORMULA(HLOOKUP($B19, IMPORTRANGE('Match Names'!$E$23, CONCAT(VLOOKUP($C19, 'Match Names'!$1:$22, 5, FALSE), ""!C3:R29"")), ROW($A$1:$A$24), FALSE)), ""=4"") + COUNTIF(ARRAYFORMULA(H"&amp;"LOOKUP($B19, IMPORTRANGE('Match Names'!$F$23, CONCAT(VLOOKUP($C19, 'Match Names'!$1:$22, 6, FALSE), ""!C3:R29"")), ROW($A$1:$A$24), FALSE)), ""=4"") + COUNTIF(ARRAYFORMULA(HLOOKUP($B19, IMPORTRANGE('Match Names'!$G$23, CONCAT(VLOOKUP($C19, 'Match Names'!$"&amp;"1:$22, 7, FALSE), ""!C3:R29"")), ROW($A$1:$A$24), FALSE)), ""=4"") + COUNTIF(ARRAYFORMULA(HLOOKUP($B19, IMPORTRANGE('Match Names'!$H$23, CONCAT(VLOOKUP($C19, 'Match Names'!$1:$22, 8, FALSE), ""!C3:R29"")), ROW($A$1:$A$24), FALSE)), ""=4"")"),7.0)</f>
        <v>7</v>
      </c>
      <c r="F19" s="4">
        <f>IFERROR(__xludf.DUMMYFUNCTION("COUNTIF(ARRAYFORMULA(HLOOKUP($B19, IMPORTRANGE('Prelim Rankings Unsorted'!$B$40, CONCAT(VLOOKUP($C19, 'Match Names'!$A$1:$D$22, 2, FALSE), ""!C3:R29"")), ROW($A$1:$A$24), FALSE)), ""=0"") + COUNTIF(ARRAYFORMULA(HLOOKUP($B19, IMPORTRANGE('Prelim Rankings U"&amp;"nsorted'!$B$41, CONCAT(VLOOKUP($C19, 'Match Names'!$A$1:$D$22, 3, FALSE), ""!C3:R29"")), ROW($A$1:$A$24), FALSE)), ""=0"") + COUNTIF(ARRAYFORMULA(HLOOKUP($B19, IMPORTRANGE('Prelim Rankings Unsorted'!$B$42, CONCAT(VLOOKUP($C19, 'Match Names'!$A$1:$D$22, 4,"&amp;" FALSE), ""!C3:R29"")), ROW($A$1:$A$24), FALSE)), ""=0"") + COUNTIF(ARRAYFORMULA(HLOOKUP($B19, IMPORTRANGE('Match Names'!$E$23, CONCAT(VLOOKUP($C19, 'Match Names'!$1:$22, 5, FALSE), ""!C3:R29"")), ROW($A$1:$A$24), FALSE)), ""=0"") + COUNTIF(ARRAYFORMULA(H"&amp;"LOOKUP($B19, IMPORTRANGE('Match Names'!$F$23, CONCAT(VLOOKUP($C19, 'Match Names'!$1:$22, 6, FALSE), ""!C3:R29"")), ROW($A$1:$A$24), FALSE)), ""=0"") + COUNTIF(ARRAYFORMULA(HLOOKUP($B19, IMPORTRANGE('Match Names'!$G$23, CONCAT(VLOOKUP($C19, 'Match Names'!$"&amp;"1:$22, 7, FALSE), ""!C3:R29"")), ROW($A$1:$A$24), FALSE)), ""=0"") + COUNTIF(ARRAYFORMULA(HLOOKUP($B19, IMPORTRANGE('Match Names'!$H$23, CONCAT(VLOOKUP($C19, 'Match Names'!$1:$22, 8, FALSE), ""!C3:R29"")), ROW($A$1:$A$24), FALSE)), ""=0"")"),5.0)</f>
        <v>5</v>
      </c>
      <c r="G19" s="4">
        <f>IFERROR(__xludf.DUMMYFUNCTION("COUNTIF(ARRAYFORMULA(HLOOKUP($B19, IMPORTRANGE('Prelim Rankings Unsorted'!$B$40, CONCAT(VLOOKUP($C19, 'Match Names'!$A$1:$D$22, 2, FALSE), ""!C3:R29"")), ROW($A$1:$A$24), FALSE)), ""=-4"") + COUNTIF(ARRAYFORMULA(HLOOKUP($B19, IMPORTRANGE('Prelim Rankings "&amp;"Unsorted'!$B$41, CONCAT(VLOOKUP($C19, 'Match Names'!$A$1:$D$22, 3, FALSE), ""!C3:R29"")), ROW($A$1:$A$24), FALSE)), ""=-4"") + COUNTIF(ARRAYFORMULA(HLOOKUP($B19, IMPORTRANGE('Prelim Rankings Unsorted'!$B$42, CONCAT(VLOOKUP($C19, 'Match Names'!$A$1:$D$22, "&amp;"4, FALSE), ""!C3:R29"")), ROW($A$1:$A$24), FALSE)), ""=-4"") + COUNTIF(ARRAYFORMULA(HLOOKUP($B19, IMPORTRANGE('Match Names'!$E$23, CONCAT(VLOOKUP($C19, 'Match Names'!$1:$22, 5, FALSE), ""!C3:R29"")), ROW($A$1:$A$24), FALSE)), ""=-4"") + COUNTIF(ARRAYFORMU"&amp;"LA(HLOOKUP($B19, IMPORTRANGE('Match Names'!$F$23, CONCAT(VLOOKUP($C19, 'Match Names'!$1:$22, 6, FALSE), ""!C3:R29"")), ROW($A$1:$A$24), FALSE)), ""=-4"") + COUNTIF(ARRAYFORMULA(HLOOKUP($B19, IMPORTRANGE('Match Names'!$G$23, CONCAT(VLOOKUP($C19, 'Match Nam"&amp;"es'!$1:$22, 7, FALSE), ""!C3:R29"")), ROW($A$1:$A$24), FALSE)), ""=-4"") + COUNTIF(ARRAYFORMULA(HLOOKUP($B19, IMPORTRANGE('Match Names'!$H$23, CONCAT(VLOOKUP($C19, 'Match Names'!$1:$22, 8, FALSE), ""!C3:R29"")), ROW($A$1:$A$24), FALSE)), ""=-4"")"),0.0)</f>
        <v>0</v>
      </c>
      <c r="H19" s="4">
        <f t="shared" si="1"/>
        <v>9.33</v>
      </c>
      <c r="AA19" s="22" t="s">
        <v>218</v>
      </c>
    </row>
    <row r="20">
      <c r="A20" s="17" t="s">
        <v>100</v>
      </c>
      <c r="B20" s="7" t="str">
        <f>VLOOKUP(CONCAT(A20, C20), 'Discord Username to Real Name'!C:D, 2, FALSE)</f>
        <v>Izwerzx#2598</v>
      </c>
      <c r="C20" s="19" t="s">
        <v>31</v>
      </c>
      <c r="D20" s="11">
        <f>IFERROR(__xludf.DUMMYFUNCTION("(23 - COUNTIF(IFERROR(ARRAYFORMULA(HLOOKUP($B20, IMPORTRANGE('Prelim Rankings Unsorted'!$B$40, CONCAT(VLOOKUP($C20, 'Match Names'!$A$1:$D$22, 2, FALSE), ""!C3:R29"")), ROW($A$1:$A$24), FALSE)), $AA$9:$AA$31), ""=X"")) + (23 - COUNTIF(IFERROR(ARRAYFORMULA("&amp;"HLOOKUP($B20, IMPORTRANGE('Prelim Rankings Unsorted'!$B$41, CONCAT(VLOOKUP($C20, 'Match Names'!$A$1:$D$22, 3, FALSE), ""!C3:R29"")), ROW($A$1:$A$24), FALSE)), $AA$9:$AA$31), ""=X"")) + (23 - COUNTIF(IFERROR(ARRAYFORMULA(HLOOKUP($B20, IMPORTRANGE('Prelim R"&amp;"ankings Unsorted'!$B$42, CONCAT(VLOOKUP($C20, 'Match Names'!$A$1:$D$22, 4, FALSE), ""!C3:R29"")), ROW($A$1:$A$24), FALSE)), $AA$9:$AA$31), ""=X"")) + (23 - COUNTIF(IFERROR(ARRAYFORMULA(HLOOKUP($B20, IMPORTRANGE('Match Names'!$E$23, CONCAT(VLOOKUP($C20, 'M"&amp;"atch Names'!$1:$22, 5, FALSE), ""!C3:R29"")), ROW($A$1:$A$24), FALSE)), $AA$9:$AA$31), ""=X"")) + (23 - COUNTIF(IFERROR(ARRAYFORMULA(HLOOKUP($B20, IMPORTRANGE('Match Names'!$F$23, CONCAT(VLOOKUP($C20, 'Match Names'!$1:$22, 6, FALSE), ""!C3:R29"")), ROW($A"&amp;"$1:$A$24), FALSE)), $AA$9:$AA$31), ""=X"")) + (23 - COUNTIF(IFERROR(ARRAYFORMULA(HLOOKUP($B20, IMPORTRANGE('Match Names'!$G$23, CONCAT(VLOOKUP($C20, 'Match Names'!$1:$22, 7, FALSE), ""!C3:R29"")), ROW($A$1:$A$24), FALSE)), $AA$9:$AA$31), ""=X"")) + (23 - "&amp;"COUNTIF(IFERROR(ARRAYFORMULA(HLOOKUP($B20, IMPORTRANGE('Match Names'!$H$23, CONCAT(VLOOKUP($C20, 'Match Names'!$1:$22, 8, FALSE), ""!C3:R29"")), ROW($A$1:$A$24), FALSE)), $AA$9:$AA$31), ""=X""))"),46.0)</f>
        <v>46</v>
      </c>
      <c r="E20" s="4">
        <f>IFERROR(__xludf.DUMMYFUNCTION("COUNTIF(ARRAYFORMULA(HLOOKUP($B20, IMPORTRANGE('Prelim Rankings Unsorted'!$B$40, CONCAT(VLOOKUP($C20, 'Match Names'!$A$1:$D$22, 2, FALSE), ""!C3:R29"")), ROW($A$1:$A$24), FALSE)), ""=4"") + COUNTIF(ARRAYFORMULA(HLOOKUP($B20, IMPORTRANGE('Prelim Rankings U"&amp;"nsorted'!$B$41, CONCAT(VLOOKUP($C20, 'Match Names'!$A$1:$D$22, 3, FALSE), ""!C3:R29"")), ROW($A$1:$A$24), FALSE)), ""=4"") + COUNTIF(ARRAYFORMULA(HLOOKUP($B20, IMPORTRANGE('Prelim Rankings Unsorted'!$B$42, CONCAT(VLOOKUP($C20, 'Match Names'!$A$1:$D$22, 4,"&amp;" FALSE), ""!C3:R29"")), ROW($A$1:$A$24), FALSE)), ""=4"") + COUNTIF(ARRAYFORMULA(HLOOKUP($B20, IMPORTRANGE('Match Names'!$E$23, CONCAT(VLOOKUP($C20, 'Match Names'!$1:$22, 5, FALSE), ""!C3:R29"")), ROW($A$1:$A$24), FALSE)), ""=4"") + COUNTIF(ARRAYFORMULA(H"&amp;"LOOKUP($B20, IMPORTRANGE('Match Names'!$F$23, CONCAT(VLOOKUP($C20, 'Match Names'!$1:$22, 6, FALSE), ""!C3:R29"")), ROW($A$1:$A$24), FALSE)), ""=4"") + COUNTIF(ARRAYFORMULA(HLOOKUP($B20, IMPORTRANGE('Match Names'!$G$23, CONCAT(VLOOKUP($C20, 'Match Names'!$"&amp;"1:$22, 7, FALSE), ""!C3:R29"")), ROW($A$1:$A$24), FALSE)), ""=4"") + COUNTIF(ARRAYFORMULA(HLOOKUP($B20, IMPORTRANGE('Match Names'!$H$23, CONCAT(VLOOKUP($C20, 'Match Names'!$1:$22, 8, FALSE), ""!C3:R29"")), ROW($A$1:$A$24), FALSE)), ""=4"")"),1.0)</f>
        <v>1</v>
      </c>
      <c r="F20" s="4">
        <f>IFERROR(__xludf.DUMMYFUNCTION("COUNTIF(ARRAYFORMULA(HLOOKUP($B20, IMPORTRANGE('Prelim Rankings Unsorted'!$B$40, CONCAT(VLOOKUP($C20, 'Match Names'!$A$1:$D$22, 2, FALSE), ""!C3:R29"")), ROW($A$1:$A$24), FALSE)), ""=0"") + COUNTIF(ARRAYFORMULA(HLOOKUP($B20, IMPORTRANGE('Prelim Rankings U"&amp;"nsorted'!$B$41, CONCAT(VLOOKUP($C20, 'Match Names'!$A$1:$D$22, 3, FALSE), ""!C3:R29"")), ROW($A$1:$A$24), FALSE)), ""=0"") + COUNTIF(ARRAYFORMULA(HLOOKUP($B20, IMPORTRANGE('Prelim Rankings Unsorted'!$B$42, CONCAT(VLOOKUP($C20, 'Match Names'!$A$1:$D$22, 4,"&amp;" FALSE), ""!C3:R29"")), ROW($A$1:$A$24), FALSE)), ""=0"") + COUNTIF(ARRAYFORMULA(HLOOKUP($B20, IMPORTRANGE('Match Names'!$E$23, CONCAT(VLOOKUP($C20, 'Match Names'!$1:$22, 5, FALSE), ""!C3:R29"")), ROW($A$1:$A$24), FALSE)), ""=0"") + COUNTIF(ARRAYFORMULA(H"&amp;"LOOKUP($B20, IMPORTRANGE('Match Names'!$F$23, CONCAT(VLOOKUP($C20, 'Match Names'!$1:$22, 6, FALSE), ""!C3:R29"")), ROW($A$1:$A$24), FALSE)), ""=0"") + COUNTIF(ARRAYFORMULA(HLOOKUP($B20, IMPORTRANGE('Match Names'!$G$23, CONCAT(VLOOKUP($C20, 'Match Names'!$"&amp;"1:$22, 7, FALSE), ""!C3:R29"")), ROW($A$1:$A$24), FALSE)), ""=0"") + COUNTIF(ARRAYFORMULA(HLOOKUP($B20, IMPORTRANGE('Match Names'!$H$23, CONCAT(VLOOKUP($C20, 'Match Names'!$1:$22, 8, FALSE), ""!C3:R29"")), ROW($A$1:$A$24), FALSE)), ""=0"")"),0.0)</f>
        <v>0</v>
      </c>
      <c r="G20" s="4">
        <f>IFERROR(__xludf.DUMMYFUNCTION("COUNTIF(ARRAYFORMULA(HLOOKUP($B20, IMPORTRANGE('Prelim Rankings Unsorted'!$B$40, CONCAT(VLOOKUP($C20, 'Match Names'!$A$1:$D$22, 2, FALSE), ""!C3:R29"")), ROW($A$1:$A$24), FALSE)), ""=-4"") + COUNTIF(ARRAYFORMULA(HLOOKUP($B20, IMPORTRANGE('Prelim Rankings "&amp;"Unsorted'!$B$41, CONCAT(VLOOKUP($C20, 'Match Names'!$A$1:$D$22, 3, FALSE), ""!C3:R29"")), ROW($A$1:$A$24), FALSE)), ""=-4"") + COUNTIF(ARRAYFORMULA(HLOOKUP($B20, IMPORTRANGE('Prelim Rankings Unsorted'!$B$42, CONCAT(VLOOKUP($C20, 'Match Names'!$A$1:$D$22, "&amp;"4, FALSE), ""!C3:R29"")), ROW($A$1:$A$24), FALSE)), ""=-4"") + COUNTIF(ARRAYFORMULA(HLOOKUP($B20, IMPORTRANGE('Match Names'!$E$23, CONCAT(VLOOKUP($C20, 'Match Names'!$1:$22, 5, FALSE), ""!C3:R29"")), ROW($A$1:$A$24), FALSE)), ""=-4"") + COUNTIF(ARRAYFORMU"&amp;"LA(HLOOKUP($B20, IMPORTRANGE('Match Names'!$F$23, CONCAT(VLOOKUP($C20, 'Match Names'!$1:$22, 6, FALSE), ""!C3:R29"")), ROW($A$1:$A$24), FALSE)), ""=-4"") + COUNTIF(ARRAYFORMULA(HLOOKUP($B20, IMPORTRANGE('Match Names'!$G$23, CONCAT(VLOOKUP($C20, 'Match Nam"&amp;"es'!$1:$22, 7, FALSE), ""!C3:R29"")), ROW($A$1:$A$24), FALSE)), ""=-4"") + COUNTIF(ARRAYFORMULA(HLOOKUP($B20, IMPORTRANGE('Match Names'!$H$23, CONCAT(VLOOKUP($C20, 'Match Names'!$1:$22, 8, FALSE), ""!C3:R29"")), ROW($A$1:$A$24), FALSE)), ""=-4"")"),0.0)</f>
        <v>0</v>
      </c>
      <c r="H20" s="4">
        <f t="shared" si="1"/>
        <v>2</v>
      </c>
      <c r="J20" s="4"/>
      <c r="K20" s="4"/>
      <c r="L20" s="4"/>
      <c r="AA20" s="22" t="s">
        <v>218</v>
      </c>
    </row>
    <row r="21">
      <c r="A21" s="7" t="s">
        <v>205</v>
      </c>
      <c r="B21" s="7" t="str">
        <f>VLOOKUP(CONCAT(A21, C21), 'Discord Username to Real Name'!C:D, 2, FALSE)</f>
        <v>Einglass#1845</v>
      </c>
      <c r="C21" s="7" t="s">
        <v>31</v>
      </c>
      <c r="D21" s="11">
        <f>IFERROR(__xludf.DUMMYFUNCTION("(23 - COUNTIF(IFERROR(ARRAYFORMULA(HLOOKUP($B21, IMPORTRANGE('Prelim Rankings Unsorted'!$B$40, CONCAT(VLOOKUP($C21, 'Match Names'!$A$1:$D$22, 2, FALSE), ""!C3:R29"")), ROW($A$1:$A$24), FALSE)), $AA$9:$AA$31), ""=X"")) + (23 - COUNTIF(IFERROR(ARRAYFORMULA("&amp;"HLOOKUP($B21, IMPORTRANGE('Prelim Rankings Unsorted'!$B$41, CONCAT(VLOOKUP($C21, 'Match Names'!$A$1:$D$22, 3, FALSE), ""!C3:R29"")), ROW($A$1:$A$24), FALSE)), $AA$9:$AA$31), ""=X"")) + (23 - COUNTIF(IFERROR(ARRAYFORMULA(HLOOKUP($B21, IMPORTRANGE('Prelim R"&amp;"ankings Unsorted'!$B$42, CONCAT(VLOOKUP($C21, 'Match Names'!$A$1:$D$22, 4, FALSE), ""!C3:R29"")), ROW($A$1:$A$24), FALSE)), $AA$9:$AA$31), ""=X"")) + (23 - COUNTIF(IFERROR(ARRAYFORMULA(HLOOKUP($B21, IMPORTRANGE('Match Names'!$E$23, CONCAT(VLOOKUP($C21, 'M"&amp;"atch Names'!$1:$22, 5, FALSE), ""!C3:R29"")), ROW($A$1:$A$24), FALSE)), $AA$9:$AA$31), ""=X"")) + (23 - COUNTIF(IFERROR(ARRAYFORMULA(HLOOKUP($B21, IMPORTRANGE('Match Names'!$F$23, CONCAT(VLOOKUP($C21, 'Match Names'!$1:$22, 6, FALSE), ""!C3:R29"")), ROW($A"&amp;"$1:$A$24), FALSE)), $AA$9:$AA$31), ""=X"")) + (23 - COUNTIF(IFERROR(ARRAYFORMULA(HLOOKUP($B21, IMPORTRANGE('Match Names'!$G$23, CONCAT(VLOOKUP($C21, 'Match Names'!$1:$22, 7, FALSE), ""!C3:R29"")), ROW($A$1:$A$24), FALSE)), $AA$9:$AA$31), ""=X"")) + (23 - "&amp;"COUNTIF(IFERROR(ARRAYFORMULA(HLOOKUP($B21, IMPORTRANGE('Match Names'!$H$23, CONCAT(VLOOKUP($C21, 'Match Names'!$1:$22, 8, FALSE), ""!C3:R29"")), ROW($A$1:$A$24), FALSE)), $AA$9:$AA$31), ""=X""))"),0.0)</f>
        <v>0</v>
      </c>
      <c r="E21" s="4">
        <f>IFERROR(__xludf.DUMMYFUNCTION("COUNTIF(ARRAYFORMULA(HLOOKUP($B21, IMPORTRANGE('Prelim Rankings Unsorted'!$B$40, CONCAT(VLOOKUP($C21, 'Match Names'!$A$1:$D$22, 2, FALSE), ""!C3:R29"")), ROW($A$1:$A$24), FALSE)), ""=4"") + COUNTIF(ARRAYFORMULA(HLOOKUP($B21, IMPORTRANGE('Prelim Rankings U"&amp;"nsorted'!$B$41, CONCAT(VLOOKUP($C21, 'Match Names'!$A$1:$D$22, 3, FALSE), ""!C3:R29"")), ROW($A$1:$A$24), FALSE)), ""=4"") + COUNTIF(ARRAYFORMULA(HLOOKUP($B21, IMPORTRANGE('Prelim Rankings Unsorted'!$B$42, CONCAT(VLOOKUP($C21, 'Match Names'!$A$1:$D$22, 4,"&amp;" FALSE), ""!C3:R29"")), ROW($A$1:$A$24), FALSE)), ""=4"") + COUNTIF(ARRAYFORMULA(HLOOKUP($B21, IMPORTRANGE('Match Names'!$E$23, CONCAT(VLOOKUP($C21, 'Match Names'!$1:$22, 5, FALSE), ""!C3:R29"")), ROW($A$1:$A$24), FALSE)), ""=4"") + COUNTIF(ARRAYFORMULA(H"&amp;"LOOKUP($B21, IMPORTRANGE('Match Names'!$F$23, CONCAT(VLOOKUP($C21, 'Match Names'!$1:$22, 6, FALSE), ""!C3:R29"")), ROW($A$1:$A$24), FALSE)), ""=4"") + COUNTIF(ARRAYFORMULA(HLOOKUP($B21, IMPORTRANGE('Match Names'!$G$23, CONCAT(VLOOKUP($C21, 'Match Names'!$"&amp;"1:$22, 7, FALSE), ""!C3:R29"")), ROW($A$1:$A$24), FALSE)), ""=4"") + COUNTIF(ARRAYFORMULA(HLOOKUP($B21, IMPORTRANGE('Match Names'!$H$23, CONCAT(VLOOKUP($C21, 'Match Names'!$1:$22, 8, FALSE), ""!C3:R29"")), ROW($A$1:$A$24), FALSE)), ""=4"")"),0.0)</f>
        <v>0</v>
      </c>
      <c r="F21" s="4">
        <f>IFERROR(__xludf.DUMMYFUNCTION("COUNTIF(ARRAYFORMULA(HLOOKUP($B21, IMPORTRANGE('Prelim Rankings Unsorted'!$B$40, CONCAT(VLOOKUP($C21, 'Match Names'!$A$1:$D$22, 2, FALSE), ""!C3:R29"")), ROW($A$1:$A$24), FALSE)), ""=0"") + COUNTIF(ARRAYFORMULA(HLOOKUP($B21, IMPORTRANGE('Prelim Rankings U"&amp;"nsorted'!$B$41, CONCAT(VLOOKUP($C21, 'Match Names'!$A$1:$D$22, 3, FALSE), ""!C3:R29"")), ROW($A$1:$A$24), FALSE)), ""=0"") + COUNTIF(ARRAYFORMULA(HLOOKUP($B21, IMPORTRANGE('Prelim Rankings Unsorted'!$B$42, CONCAT(VLOOKUP($C21, 'Match Names'!$A$1:$D$22, 4,"&amp;" FALSE), ""!C3:R29"")), ROW($A$1:$A$24), FALSE)), ""=0"") + COUNTIF(ARRAYFORMULA(HLOOKUP($B21, IMPORTRANGE('Match Names'!$E$23, CONCAT(VLOOKUP($C21, 'Match Names'!$1:$22, 5, FALSE), ""!C3:R29"")), ROW($A$1:$A$24), FALSE)), ""=0"") + COUNTIF(ARRAYFORMULA(H"&amp;"LOOKUP($B21, IMPORTRANGE('Match Names'!$F$23, CONCAT(VLOOKUP($C21, 'Match Names'!$1:$22, 6, FALSE), ""!C3:R29"")), ROW($A$1:$A$24), FALSE)), ""=0"") + COUNTIF(ARRAYFORMULA(HLOOKUP($B21, IMPORTRANGE('Match Names'!$G$23, CONCAT(VLOOKUP($C21, 'Match Names'!$"&amp;"1:$22, 7, FALSE), ""!C3:R29"")), ROW($A$1:$A$24), FALSE)), ""=0"") + COUNTIF(ARRAYFORMULA(HLOOKUP($B21, IMPORTRANGE('Match Names'!$H$23, CONCAT(VLOOKUP($C21, 'Match Names'!$1:$22, 8, FALSE), ""!C3:R29"")), ROW($A$1:$A$24), FALSE)), ""=0"")"),0.0)</f>
        <v>0</v>
      </c>
      <c r="G21" s="4">
        <f>IFERROR(__xludf.DUMMYFUNCTION("COUNTIF(ARRAYFORMULA(HLOOKUP($B21, IMPORTRANGE('Prelim Rankings Unsorted'!$B$40, CONCAT(VLOOKUP($C21, 'Match Names'!$A$1:$D$22, 2, FALSE), ""!C3:R29"")), ROW($A$1:$A$24), FALSE)), ""=-4"") + COUNTIF(ARRAYFORMULA(HLOOKUP($B21, IMPORTRANGE('Prelim Rankings "&amp;"Unsorted'!$B$41, CONCAT(VLOOKUP($C21, 'Match Names'!$A$1:$D$22, 3, FALSE), ""!C3:R29"")), ROW($A$1:$A$24), FALSE)), ""=-4"") + COUNTIF(ARRAYFORMULA(HLOOKUP($B21, IMPORTRANGE('Prelim Rankings Unsorted'!$B$42, CONCAT(VLOOKUP($C21, 'Match Names'!$A$1:$D$22, "&amp;"4, FALSE), ""!C3:R29"")), ROW($A$1:$A$24), FALSE)), ""=-4"") + COUNTIF(ARRAYFORMULA(HLOOKUP($B21, IMPORTRANGE('Match Names'!$E$23, CONCAT(VLOOKUP($C21, 'Match Names'!$1:$22, 5, FALSE), ""!C3:R29"")), ROW($A$1:$A$24), FALSE)), ""=-4"") + COUNTIF(ARRAYFORMU"&amp;"LA(HLOOKUP($B21, IMPORTRANGE('Match Names'!$F$23, CONCAT(VLOOKUP($C21, 'Match Names'!$1:$22, 6, FALSE), ""!C3:R29"")), ROW($A$1:$A$24), FALSE)), ""=-4"") + COUNTIF(ARRAYFORMULA(HLOOKUP($B21, IMPORTRANGE('Match Names'!$G$23, CONCAT(VLOOKUP($C21, 'Match Nam"&amp;"es'!$1:$22, 7, FALSE), ""!C3:R29"")), ROW($A$1:$A$24), FALSE)), ""=-4"") + COUNTIF(ARRAYFORMULA(HLOOKUP($B21, IMPORTRANGE('Match Names'!$H$23, CONCAT(VLOOKUP($C21, 'Match Names'!$1:$22, 8, FALSE), ""!C3:R29"")), ROW($A$1:$A$24), FALSE)), ""=-4"")"),0.0)</f>
        <v>0</v>
      </c>
      <c r="H21" s="4">
        <f t="shared" si="1"/>
        <v>0</v>
      </c>
      <c r="AA21" s="22" t="s">
        <v>218</v>
      </c>
    </row>
    <row r="22">
      <c r="A22" s="7" t="s">
        <v>167</v>
      </c>
      <c r="B22" s="7" t="str">
        <f>VLOOKUP(CONCAT(A22, C22), 'Discord Username to Real Name'!C:D, 2, FALSE)</f>
        <v>KOZlegend#1745</v>
      </c>
      <c r="C22" s="7" t="s">
        <v>31</v>
      </c>
      <c r="D22" s="11">
        <f>IFERROR(__xludf.DUMMYFUNCTION("(23 - COUNTIF(IFERROR(ARRAYFORMULA(HLOOKUP($B22, IMPORTRANGE('Prelim Rankings Unsorted'!$B$40, CONCAT(VLOOKUP($C22, 'Match Names'!$A$1:$D$22, 2, FALSE), ""!C3:R29"")), ROW($A$1:$A$24), FALSE)), $AA$9:$AA$31), ""=X"")) + (23 - COUNTIF(IFERROR(ARRAYFORMULA("&amp;"HLOOKUP($B22, IMPORTRANGE('Prelim Rankings Unsorted'!$B$41, CONCAT(VLOOKUP($C22, 'Match Names'!$A$1:$D$22, 3, FALSE), ""!C3:R29"")), ROW($A$1:$A$24), FALSE)), $AA$9:$AA$31), ""=X"")) + (23 - COUNTIF(IFERROR(ARRAYFORMULA(HLOOKUP($B22, IMPORTRANGE('Prelim R"&amp;"ankings Unsorted'!$B$42, CONCAT(VLOOKUP($C22, 'Match Names'!$A$1:$D$22, 4, FALSE), ""!C3:R29"")), ROW($A$1:$A$24), FALSE)), $AA$9:$AA$31), ""=X"")) + (23 - COUNTIF(IFERROR(ARRAYFORMULA(HLOOKUP($B22, IMPORTRANGE('Match Names'!$E$23, CONCAT(VLOOKUP($C22, 'M"&amp;"atch Names'!$1:$22, 5, FALSE), ""!C3:R29"")), ROW($A$1:$A$24), FALSE)), $AA$9:$AA$31), ""=X"")) + (23 - COUNTIF(IFERROR(ARRAYFORMULA(HLOOKUP($B22, IMPORTRANGE('Match Names'!$F$23, CONCAT(VLOOKUP($C22, 'Match Names'!$1:$22, 6, FALSE), ""!C3:R29"")), ROW($A"&amp;"$1:$A$24), FALSE)), $AA$9:$AA$31), ""=X"")) + (23 - COUNTIF(IFERROR(ARRAYFORMULA(HLOOKUP($B22, IMPORTRANGE('Match Names'!$G$23, CONCAT(VLOOKUP($C22, 'Match Names'!$1:$22, 7, FALSE), ""!C3:R29"")), ROW($A$1:$A$24), FALSE)), $AA$9:$AA$31), ""=X"")) + (23 - "&amp;"COUNTIF(IFERROR(ARRAYFORMULA(HLOOKUP($B22, IMPORTRANGE('Match Names'!$H$23, CONCAT(VLOOKUP($C22, 'Match Names'!$1:$22, 8, FALSE), ""!C3:R29"")), ROW($A$1:$A$24), FALSE)), $AA$9:$AA$31), ""=X""))"),92.0)</f>
        <v>92</v>
      </c>
      <c r="E22" s="4">
        <f>IFERROR(__xludf.DUMMYFUNCTION("COUNTIF(ARRAYFORMULA(HLOOKUP($B22, IMPORTRANGE('Prelim Rankings Unsorted'!$B$40, CONCAT(VLOOKUP($C22, 'Match Names'!$A$1:$D$22, 2, FALSE), ""!C3:R29"")), ROW($A$1:$A$24), FALSE)), ""=4"") + COUNTIF(ARRAYFORMULA(HLOOKUP($B22, IMPORTRANGE('Prelim Rankings U"&amp;"nsorted'!$B$41, CONCAT(VLOOKUP($C22, 'Match Names'!$A$1:$D$22, 3, FALSE), ""!C3:R29"")), ROW($A$1:$A$24), FALSE)), ""=4"") + COUNTIF(ARRAYFORMULA(HLOOKUP($B22, IMPORTRANGE('Prelim Rankings Unsorted'!$B$42, CONCAT(VLOOKUP($C22, 'Match Names'!$A$1:$D$22, 4,"&amp;" FALSE), ""!C3:R29"")), ROW($A$1:$A$24), FALSE)), ""=4"") + COUNTIF(ARRAYFORMULA(HLOOKUP($B22, IMPORTRANGE('Match Names'!$E$23, CONCAT(VLOOKUP($C22, 'Match Names'!$1:$22, 5, FALSE), ""!C3:R29"")), ROW($A$1:$A$24), FALSE)), ""=4"") + COUNTIF(ARRAYFORMULA(H"&amp;"LOOKUP($B22, IMPORTRANGE('Match Names'!$F$23, CONCAT(VLOOKUP($C22, 'Match Names'!$1:$22, 6, FALSE), ""!C3:R29"")), ROW($A$1:$A$24), FALSE)), ""=4"") + COUNTIF(ARRAYFORMULA(HLOOKUP($B22, IMPORTRANGE('Match Names'!$G$23, CONCAT(VLOOKUP($C22, 'Match Names'!$"&amp;"1:$22, 7, FALSE), ""!C3:R29"")), ROW($A$1:$A$24), FALSE)), ""=4"") + COUNTIF(ARRAYFORMULA(HLOOKUP($B22, IMPORTRANGE('Match Names'!$H$23, CONCAT(VLOOKUP($C22, 'Match Names'!$1:$22, 8, FALSE), ""!C3:R29"")), ROW($A$1:$A$24), FALSE)), ""=4"")"),0.0)</f>
        <v>0</v>
      </c>
      <c r="F22" s="4">
        <f>IFERROR(__xludf.DUMMYFUNCTION("COUNTIF(ARRAYFORMULA(HLOOKUP($B22, IMPORTRANGE('Prelim Rankings Unsorted'!$B$40, CONCAT(VLOOKUP($C22, 'Match Names'!$A$1:$D$22, 2, FALSE), ""!C3:R29"")), ROW($A$1:$A$24), FALSE)), ""=0"") + COUNTIF(ARRAYFORMULA(HLOOKUP($B22, IMPORTRANGE('Prelim Rankings U"&amp;"nsorted'!$B$41, CONCAT(VLOOKUP($C22, 'Match Names'!$A$1:$D$22, 3, FALSE), ""!C3:R29"")), ROW($A$1:$A$24), FALSE)), ""=0"") + COUNTIF(ARRAYFORMULA(HLOOKUP($B22, IMPORTRANGE('Prelim Rankings Unsorted'!$B$42, CONCAT(VLOOKUP($C22, 'Match Names'!$A$1:$D$22, 4,"&amp;" FALSE), ""!C3:R29"")), ROW($A$1:$A$24), FALSE)), ""=0"") + COUNTIF(ARRAYFORMULA(HLOOKUP($B22, IMPORTRANGE('Match Names'!$E$23, CONCAT(VLOOKUP($C22, 'Match Names'!$1:$22, 5, FALSE), ""!C3:R29"")), ROW($A$1:$A$24), FALSE)), ""=0"") + COUNTIF(ARRAYFORMULA(H"&amp;"LOOKUP($B22, IMPORTRANGE('Match Names'!$F$23, CONCAT(VLOOKUP($C22, 'Match Names'!$1:$22, 6, FALSE), ""!C3:R29"")), ROW($A$1:$A$24), FALSE)), ""=0"") + COUNTIF(ARRAYFORMULA(HLOOKUP($B22, IMPORTRANGE('Match Names'!$G$23, CONCAT(VLOOKUP($C22, 'Match Names'!$"&amp;"1:$22, 7, FALSE), ""!C3:R29"")), ROW($A$1:$A$24), FALSE)), ""=0"") + COUNTIF(ARRAYFORMULA(HLOOKUP($B22, IMPORTRANGE('Match Names'!$H$23, CONCAT(VLOOKUP($C22, 'Match Names'!$1:$22, 8, FALSE), ""!C3:R29"")), ROW($A$1:$A$24), FALSE)), ""=0"")"),2.0)</f>
        <v>2</v>
      </c>
      <c r="G22" s="4">
        <f>IFERROR(__xludf.DUMMYFUNCTION("COUNTIF(ARRAYFORMULA(HLOOKUP($B22, IMPORTRANGE('Prelim Rankings Unsorted'!$B$40, CONCAT(VLOOKUP($C22, 'Match Names'!$A$1:$D$22, 2, FALSE), ""!C3:R29"")), ROW($A$1:$A$24), FALSE)), ""=-4"") + COUNTIF(ARRAYFORMULA(HLOOKUP($B22, IMPORTRANGE('Prelim Rankings "&amp;"Unsorted'!$B$41, CONCAT(VLOOKUP($C22, 'Match Names'!$A$1:$D$22, 3, FALSE), ""!C3:R29"")), ROW($A$1:$A$24), FALSE)), ""=-4"") + COUNTIF(ARRAYFORMULA(HLOOKUP($B22, IMPORTRANGE('Prelim Rankings Unsorted'!$B$42, CONCAT(VLOOKUP($C22, 'Match Names'!$A$1:$D$22, "&amp;"4, FALSE), ""!C3:R29"")), ROW($A$1:$A$24), FALSE)), ""=-4"") + COUNTIF(ARRAYFORMULA(HLOOKUP($B22, IMPORTRANGE('Match Names'!$E$23, CONCAT(VLOOKUP($C22, 'Match Names'!$1:$22, 5, FALSE), ""!C3:R29"")), ROW($A$1:$A$24), FALSE)), ""=-4"") + COUNTIF(ARRAYFORMU"&amp;"LA(HLOOKUP($B22, IMPORTRANGE('Match Names'!$F$23, CONCAT(VLOOKUP($C22, 'Match Names'!$1:$22, 6, FALSE), ""!C3:R29"")), ROW($A$1:$A$24), FALSE)), ""=-4"") + COUNTIF(ARRAYFORMULA(HLOOKUP($B22, IMPORTRANGE('Match Names'!$G$23, CONCAT(VLOOKUP($C22, 'Match Nam"&amp;"es'!$1:$22, 7, FALSE), ""!C3:R29"")), ROW($A$1:$A$24), FALSE)), ""=-4"") + COUNTIF(ARRAYFORMULA(HLOOKUP($B22, IMPORTRANGE('Match Names'!$H$23, CONCAT(VLOOKUP($C22, 'Match Names'!$1:$22, 8, FALSE), ""!C3:R29"")), ROW($A$1:$A$24), FALSE)), ""=-4"")"),0.0)</f>
        <v>0</v>
      </c>
      <c r="H22" s="4">
        <f t="shared" si="1"/>
        <v>0</v>
      </c>
      <c r="AA22" s="22" t="s">
        <v>218</v>
      </c>
    </row>
    <row r="23">
      <c r="A23" s="7" t="s">
        <v>90</v>
      </c>
      <c r="B23" s="7" t="str">
        <f>VLOOKUP(CONCAT(A23, C23), 'Discord Username to Real Name'!C:D, 2, FALSE)</f>
        <v>hriday#5979</v>
      </c>
      <c r="C23" s="7" t="s">
        <v>25</v>
      </c>
      <c r="D23" s="11">
        <f>IFERROR(__xludf.DUMMYFUNCTION("(23 - COUNTIF(IFERROR(ARRAYFORMULA(HLOOKUP($B23, IMPORTRANGE('Prelim Rankings Unsorted'!$B$40, CONCAT(VLOOKUP($C23, 'Match Names'!$A$1:$D$22, 2, FALSE), ""!C3:R29"")), ROW($A$1:$A$24), FALSE)), $AA$9:$AA$31), ""=X"")) + (23 - COUNTIF(IFERROR(ARRAYFORMULA("&amp;"HLOOKUP($B23, IMPORTRANGE('Prelim Rankings Unsorted'!$B$41, CONCAT(VLOOKUP($C23, 'Match Names'!$A$1:$D$22, 3, FALSE), ""!C3:R29"")), ROW($A$1:$A$24), FALSE)), $AA$9:$AA$31), ""=X"")) + (23 - COUNTIF(IFERROR(ARRAYFORMULA(HLOOKUP($B23, IMPORTRANGE('Prelim R"&amp;"ankings Unsorted'!$B$42, CONCAT(VLOOKUP($C23, 'Match Names'!$A$1:$D$22, 4, FALSE), ""!C3:R29"")), ROW($A$1:$A$24), FALSE)), $AA$9:$AA$31), ""=X"")) + (23 - COUNTIF(IFERROR(ARRAYFORMULA(HLOOKUP($B23, IMPORTRANGE('Match Names'!$E$23, CONCAT(VLOOKUP($C23, 'M"&amp;"atch Names'!$1:$22, 5, FALSE), ""!C3:R29"")), ROW($A$1:$A$24), FALSE)), $AA$9:$AA$31), ""=X"")) + (23 - COUNTIF(IFERROR(ARRAYFORMULA(HLOOKUP($B23, IMPORTRANGE('Match Names'!$F$23, CONCAT(VLOOKUP($C23, 'Match Names'!$1:$22, 6, FALSE), ""!C3:R29"")), ROW($A"&amp;"$1:$A$24), FALSE)), $AA$9:$AA$31), ""=X"")) + (23 - COUNTIF(IFERROR(ARRAYFORMULA(HLOOKUP($B23, IMPORTRANGE('Match Names'!$G$23, CONCAT(VLOOKUP($C23, 'Match Names'!$1:$22, 7, FALSE), ""!C3:R29"")), ROW($A$1:$A$24), FALSE)), $AA$9:$AA$31), ""=X"")) + (23 - "&amp;"COUNTIF(IFERROR(ARRAYFORMULA(HLOOKUP($B23, IMPORTRANGE('Match Names'!$H$23, CONCAT(VLOOKUP($C23, 'Match Names'!$1:$22, 8, FALSE), ""!C3:R29"")), ROW($A$1:$A$24), FALSE)), $AA$9:$AA$31), ""=X""))"),80.0)</f>
        <v>80</v>
      </c>
      <c r="E23" s="4">
        <f>IFERROR(__xludf.DUMMYFUNCTION("COUNTIF(ARRAYFORMULA(HLOOKUP($B23, IMPORTRANGE('Prelim Rankings Unsorted'!$B$40, CONCAT(VLOOKUP($C23, 'Match Names'!$A$1:$D$22, 2, FALSE), ""!C3:R29"")), ROW($A$1:$A$24), FALSE)), ""=4"") + COUNTIF(ARRAYFORMULA(HLOOKUP($B23, IMPORTRANGE('Prelim Rankings U"&amp;"nsorted'!$B$41, CONCAT(VLOOKUP($C23, 'Match Names'!$A$1:$D$22, 3, FALSE), ""!C3:R29"")), ROW($A$1:$A$24), FALSE)), ""=4"") + COUNTIF(ARRAYFORMULA(HLOOKUP($B23, IMPORTRANGE('Prelim Rankings Unsorted'!$B$42, CONCAT(VLOOKUP($C23, 'Match Names'!$A$1:$D$22, 4,"&amp;" FALSE), ""!C3:R29"")), ROW($A$1:$A$24), FALSE)), ""=4"") + COUNTIF(ARRAYFORMULA(HLOOKUP($B23, IMPORTRANGE('Match Names'!$E$23, CONCAT(VLOOKUP($C23, 'Match Names'!$1:$22, 5, FALSE), ""!C3:R29"")), ROW($A$1:$A$24), FALSE)), ""=4"") + COUNTIF(ARRAYFORMULA(H"&amp;"LOOKUP($B23, IMPORTRANGE('Match Names'!$F$23, CONCAT(VLOOKUP($C23, 'Match Names'!$1:$22, 6, FALSE), ""!C3:R29"")), ROW($A$1:$A$24), FALSE)), ""=4"") + COUNTIF(ARRAYFORMULA(HLOOKUP($B23, IMPORTRANGE('Match Names'!$G$23, CONCAT(VLOOKUP($C23, 'Match Names'!$"&amp;"1:$22, 7, FALSE), ""!C3:R29"")), ROW($A$1:$A$24), FALSE)), ""=4"") + COUNTIF(ARRAYFORMULA(HLOOKUP($B23, IMPORTRANGE('Match Names'!$H$23, CONCAT(VLOOKUP($C23, 'Match Names'!$1:$22, 8, FALSE), ""!C3:R29"")), ROW($A$1:$A$24), FALSE)), ""=4"")"),5.0)</f>
        <v>5</v>
      </c>
      <c r="F23" s="4">
        <f>IFERROR(__xludf.DUMMYFUNCTION("COUNTIF(ARRAYFORMULA(HLOOKUP($B23, IMPORTRANGE('Prelim Rankings Unsorted'!$B$40, CONCAT(VLOOKUP($C23, 'Match Names'!$A$1:$D$22, 2, FALSE), ""!C3:R29"")), ROW($A$1:$A$24), FALSE)), ""=0"") + COUNTIF(ARRAYFORMULA(HLOOKUP($B23, IMPORTRANGE('Prelim Rankings U"&amp;"nsorted'!$B$41, CONCAT(VLOOKUP($C23, 'Match Names'!$A$1:$D$22, 3, FALSE), ""!C3:R29"")), ROW($A$1:$A$24), FALSE)), ""=0"") + COUNTIF(ARRAYFORMULA(HLOOKUP($B23, IMPORTRANGE('Prelim Rankings Unsorted'!$B$42, CONCAT(VLOOKUP($C23, 'Match Names'!$A$1:$D$22, 4,"&amp;" FALSE), ""!C3:R29"")), ROW($A$1:$A$24), FALSE)), ""=0"") + COUNTIF(ARRAYFORMULA(HLOOKUP($B23, IMPORTRANGE('Match Names'!$E$23, CONCAT(VLOOKUP($C23, 'Match Names'!$1:$22, 5, FALSE), ""!C3:R29"")), ROW($A$1:$A$24), FALSE)), ""=0"") + COUNTIF(ARRAYFORMULA(H"&amp;"LOOKUP($B23, IMPORTRANGE('Match Names'!$F$23, CONCAT(VLOOKUP($C23, 'Match Names'!$1:$22, 6, FALSE), ""!C3:R29"")), ROW($A$1:$A$24), FALSE)), ""=0"") + COUNTIF(ARRAYFORMULA(HLOOKUP($B23, IMPORTRANGE('Match Names'!$G$23, CONCAT(VLOOKUP($C23, 'Match Names'!$"&amp;"1:$22, 7, FALSE), ""!C3:R29"")), ROW($A$1:$A$24), FALSE)), ""=0"") + COUNTIF(ARRAYFORMULA(HLOOKUP($B23, IMPORTRANGE('Match Names'!$H$23, CONCAT(VLOOKUP($C23, 'Match Names'!$1:$22, 8, FALSE), ""!C3:R29"")), ROW($A$1:$A$24), FALSE)), ""=0"")"),0.0)</f>
        <v>0</v>
      </c>
      <c r="G23" s="4">
        <f>IFERROR(__xludf.DUMMYFUNCTION("COUNTIF(ARRAYFORMULA(HLOOKUP($B23, IMPORTRANGE('Prelim Rankings Unsorted'!$B$40, CONCAT(VLOOKUP($C23, 'Match Names'!$A$1:$D$22, 2, FALSE), ""!C3:R29"")), ROW($A$1:$A$24), FALSE)), ""=-4"") + COUNTIF(ARRAYFORMULA(HLOOKUP($B23, IMPORTRANGE('Prelim Rankings "&amp;"Unsorted'!$B$41, CONCAT(VLOOKUP($C23, 'Match Names'!$A$1:$D$22, 3, FALSE), ""!C3:R29"")), ROW($A$1:$A$24), FALSE)), ""=-4"") + COUNTIF(ARRAYFORMULA(HLOOKUP($B23, IMPORTRANGE('Prelim Rankings Unsorted'!$B$42, CONCAT(VLOOKUP($C23, 'Match Names'!$A$1:$D$22, "&amp;"4, FALSE), ""!C3:R29"")), ROW($A$1:$A$24), FALSE)), ""=-4"") + COUNTIF(ARRAYFORMULA(HLOOKUP($B23, IMPORTRANGE('Match Names'!$E$23, CONCAT(VLOOKUP($C23, 'Match Names'!$1:$22, 5, FALSE), ""!C3:R29"")), ROW($A$1:$A$24), FALSE)), ""=-4"") + COUNTIF(ARRAYFORMU"&amp;"LA(HLOOKUP($B23, IMPORTRANGE('Match Names'!$F$23, CONCAT(VLOOKUP($C23, 'Match Names'!$1:$22, 6, FALSE), ""!C3:R29"")), ROW($A$1:$A$24), FALSE)), ""=-4"") + COUNTIF(ARRAYFORMULA(HLOOKUP($B23, IMPORTRANGE('Match Names'!$G$23, CONCAT(VLOOKUP($C23, 'Match Nam"&amp;"es'!$1:$22, 7, FALSE), ""!C3:R29"")), ROW($A$1:$A$24), FALSE)), ""=-4"") + COUNTIF(ARRAYFORMULA(HLOOKUP($B23, IMPORTRANGE('Match Names'!$H$23, CONCAT(VLOOKUP($C23, 'Match Names'!$1:$22, 8, FALSE), ""!C3:R29"")), ROW($A$1:$A$24), FALSE)), ""=-4"")"),0.0)</f>
        <v>0</v>
      </c>
      <c r="H23" s="4">
        <f t="shared" si="1"/>
        <v>5.75</v>
      </c>
      <c r="AA23" s="22" t="s">
        <v>218</v>
      </c>
    </row>
    <row r="24">
      <c r="A24" s="7" t="s">
        <v>95</v>
      </c>
      <c r="B24" s="7" t="str">
        <f>VLOOKUP(CONCAT(A24, C24), 'Discord Username to Real Name'!C:D, 2, FALSE)</f>
        <v>ashrug0002#8740</v>
      </c>
      <c r="C24" s="7" t="s">
        <v>25</v>
      </c>
      <c r="D24" s="11">
        <f>IFERROR(__xludf.DUMMYFUNCTION("(23 - COUNTIF(IFERROR(ARRAYFORMULA(HLOOKUP($B24, IMPORTRANGE('Prelim Rankings Unsorted'!$B$40, CONCAT(VLOOKUP($C24, 'Match Names'!$A$1:$D$22, 2, FALSE), ""!C3:R29"")), ROW($A$1:$A$24), FALSE)), $AA$9:$AA$31), ""=X"")) + (23 - COUNTIF(IFERROR(ARRAYFORMULA("&amp;"HLOOKUP($B24, IMPORTRANGE('Prelim Rankings Unsorted'!$B$41, CONCAT(VLOOKUP($C24, 'Match Names'!$A$1:$D$22, 3, FALSE), ""!C3:R29"")), ROW($A$1:$A$24), FALSE)), $AA$9:$AA$31), ""=X"")) + (23 - COUNTIF(IFERROR(ARRAYFORMULA(HLOOKUP($B24, IMPORTRANGE('Prelim R"&amp;"ankings Unsorted'!$B$42, CONCAT(VLOOKUP($C24, 'Match Names'!$A$1:$D$22, 4, FALSE), ""!C3:R29"")), ROW($A$1:$A$24), FALSE)), $AA$9:$AA$31), ""=X"")) + (23 - COUNTIF(IFERROR(ARRAYFORMULA(HLOOKUP($B24, IMPORTRANGE('Match Names'!$E$23, CONCAT(VLOOKUP($C24, 'M"&amp;"atch Names'!$1:$22, 5, FALSE), ""!C3:R29"")), ROW($A$1:$A$24), FALSE)), $AA$9:$AA$31), ""=X"")) + (23 - COUNTIF(IFERROR(ARRAYFORMULA(HLOOKUP($B24, IMPORTRANGE('Match Names'!$F$23, CONCAT(VLOOKUP($C24, 'Match Names'!$1:$22, 6, FALSE), ""!C3:R29"")), ROW($A"&amp;"$1:$A$24), FALSE)), $AA$9:$AA$31), ""=X"")) + (23 - COUNTIF(IFERROR(ARRAYFORMULA(HLOOKUP($B24, IMPORTRANGE('Match Names'!$G$23, CONCAT(VLOOKUP($C24, 'Match Names'!$1:$22, 7, FALSE), ""!C3:R29"")), ROW($A$1:$A$24), FALSE)), $AA$9:$AA$31), ""=X"")) + (23 - "&amp;"COUNTIF(IFERROR(ARRAYFORMULA(HLOOKUP($B24, IMPORTRANGE('Match Names'!$H$23, CONCAT(VLOOKUP($C24, 'Match Names'!$1:$22, 8, FALSE), ""!C3:R29"")), ROW($A$1:$A$24), FALSE)), $AA$9:$AA$31), ""=X""))"),138.0)</f>
        <v>138</v>
      </c>
      <c r="E24" s="4">
        <f>IFERROR(__xludf.DUMMYFUNCTION("COUNTIF(ARRAYFORMULA(HLOOKUP($B24, IMPORTRANGE('Prelim Rankings Unsorted'!$B$40, CONCAT(VLOOKUP($C24, 'Match Names'!$A$1:$D$22, 2, FALSE), ""!C3:R29"")), ROW($A$1:$A$24), FALSE)), ""=4"") + COUNTIF(ARRAYFORMULA(HLOOKUP($B24, IMPORTRANGE('Prelim Rankings U"&amp;"nsorted'!$B$41, CONCAT(VLOOKUP($C24, 'Match Names'!$A$1:$D$22, 3, FALSE), ""!C3:R29"")), ROW($A$1:$A$24), FALSE)), ""=4"") + COUNTIF(ARRAYFORMULA(HLOOKUP($B24, IMPORTRANGE('Prelim Rankings Unsorted'!$B$42, CONCAT(VLOOKUP($C24, 'Match Names'!$A$1:$D$22, 4,"&amp;" FALSE), ""!C3:R29"")), ROW($A$1:$A$24), FALSE)), ""=4"") + COUNTIF(ARRAYFORMULA(HLOOKUP($B24, IMPORTRANGE('Match Names'!$E$23, CONCAT(VLOOKUP($C24, 'Match Names'!$1:$22, 5, FALSE), ""!C3:R29"")), ROW($A$1:$A$24), FALSE)), ""=4"") + COUNTIF(ARRAYFORMULA(H"&amp;"LOOKUP($B24, IMPORTRANGE('Match Names'!$F$23, CONCAT(VLOOKUP($C24, 'Match Names'!$1:$22, 6, FALSE), ""!C3:R29"")), ROW($A$1:$A$24), FALSE)), ""=4"") + COUNTIF(ARRAYFORMULA(HLOOKUP($B24, IMPORTRANGE('Match Names'!$G$23, CONCAT(VLOOKUP($C24, 'Match Names'!$"&amp;"1:$22, 7, FALSE), ""!C3:R29"")), ROW($A$1:$A$24), FALSE)), ""=4"") + COUNTIF(ARRAYFORMULA(HLOOKUP($B24, IMPORTRANGE('Match Names'!$H$23, CONCAT(VLOOKUP($C24, 'Match Names'!$1:$22, 8, FALSE), ""!C3:R29"")), ROW($A$1:$A$24), FALSE)), ""=4"")"),15.0)</f>
        <v>15</v>
      </c>
      <c r="F24" s="4">
        <f>IFERROR(__xludf.DUMMYFUNCTION("COUNTIF(ARRAYFORMULA(HLOOKUP($B24, IMPORTRANGE('Prelim Rankings Unsorted'!$B$40, CONCAT(VLOOKUP($C24, 'Match Names'!$A$1:$D$22, 2, FALSE), ""!C3:R29"")), ROW($A$1:$A$24), FALSE)), ""=0"") + COUNTIF(ARRAYFORMULA(HLOOKUP($B24, IMPORTRANGE('Prelim Rankings U"&amp;"nsorted'!$B$41, CONCAT(VLOOKUP($C24, 'Match Names'!$A$1:$D$22, 3, FALSE), ""!C3:R29"")), ROW($A$1:$A$24), FALSE)), ""=0"") + COUNTIF(ARRAYFORMULA(HLOOKUP($B24, IMPORTRANGE('Prelim Rankings Unsorted'!$B$42, CONCAT(VLOOKUP($C24, 'Match Names'!$A$1:$D$22, 4,"&amp;" FALSE), ""!C3:R29"")), ROW($A$1:$A$24), FALSE)), ""=0"") + COUNTIF(ARRAYFORMULA(HLOOKUP($B24, IMPORTRANGE('Match Names'!$E$23, CONCAT(VLOOKUP($C24, 'Match Names'!$1:$22, 5, FALSE), ""!C3:R29"")), ROW($A$1:$A$24), FALSE)), ""=0"") + COUNTIF(ARRAYFORMULA(H"&amp;"LOOKUP($B24, IMPORTRANGE('Match Names'!$F$23, CONCAT(VLOOKUP($C24, 'Match Names'!$1:$22, 6, FALSE), ""!C3:R29"")), ROW($A$1:$A$24), FALSE)), ""=0"") + COUNTIF(ARRAYFORMULA(HLOOKUP($B24, IMPORTRANGE('Match Names'!$G$23, CONCAT(VLOOKUP($C24, 'Match Names'!$"&amp;"1:$22, 7, FALSE), ""!C3:R29"")), ROW($A$1:$A$24), FALSE)), ""=0"") + COUNTIF(ARRAYFORMULA(HLOOKUP($B24, IMPORTRANGE('Match Names'!$H$23, CONCAT(VLOOKUP($C24, 'Match Names'!$1:$22, 8, FALSE), ""!C3:R29"")), ROW($A$1:$A$24), FALSE)), ""=0"")"),7.0)</f>
        <v>7</v>
      </c>
      <c r="G24" s="4">
        <f>IFERROR(__xludf.DUMMYFUNCTION("COUNTIF(ARRAYFORMULA(HLOOKUP($B24, IMPORTRANGE('Prelim Rankings Unsorted'!$B$40, CONCAT(VLOOKUP($C24, 'Match Names'!$A$1:$D$22, 2, FALSE), ""!C3:R29"")), ROW($A$1:$A$24), FALSE)), ""=-4"") + COUNTIF(ARRAYFORMULA(HLOOKUP($B24, IMPORTRANGE('Prelim Rankings "&amp;"Unsorted'!$B$41, CONCAT(VLOOKUP($C24, 'Match Names'!$A$1:$D$22, 3, FALSE), ""!C3:R29"")), ROW($A$1:$A$24), FALSE)), ""=-4"") + COUNTIF(ARRAYFORMULA(HLOOKUP($B24, IMPORTRANGE('Prelim Rankings Unsorted'!$B$42, CONCAT(VLOOKUP($C24, 'Match Names'!$A$1:$D$22, "&amp;"4, FALSE), ""!C3:R29"")), ROW($A$1:$A$24), FALSE)), ""=-4"") + COUNTIF(ARRAYFORMULA(HLOOKUP($B24, IMPORTRANGE('Match Names'!$E$23, CONCAT(VLOOKUP($C24, 'Match Names'!$1:$22, 5, FALSE), ""!C3:R29"")), ROW($A$1:$A$24), FALSE)), ""=-4"") + COUNTIF(ARRAYFORMU"&amp;"LA(HLOOKUP($B24, IMPORTRANGE('Match Names'!$F$23, CONCAT(VLOOKUP($C24, 'Match Names'!$1:$22, 6, FALSE), ""!C3:R29"")), ROW($A$1:$A$24), FALSE)), ""=-4"") + COUNTIF(ARRAYFORMULA(HLOOKUP($B24, IMPORTRANGE('Match Names'!$G$23, CONCAT(VLOOKUP($C24, 'Match Nam"&amp;"es'!$1:$22, 7, FALSE), ""!C3:R29"")), ROW($A$1:$A$24), FALSE)), ""=-4"") + COUNTIF(ARRAYFORMULA(HLOOKUP($B24, IMPORTRANGE('Match Names'!$H$23, CONCAT(VLOOKUP($C24, 'Match Names'!$1:$22, 8, FALSE), ""!C3:R29"")), ROW($A$1:$A$24), FALSE)), ""=-4"")"),0.0)</f>
        <v>0</v>
      </c>
      <c r="H24" s="4">
        <f t="shared" si="1"/>
        <v>10</v>
      </c>
      <c r="AA24" s="22" t="s">
        <v>218</v>
      </c>
    </row>
    <row r="25">
      <c r="A25" s="7" t="s">
        <v>124</v>
      </c>
      <c r="B25" s="7" t="str">
        <f>VLOOKUP(CONCAT(A25, C25), 'Discord Username to Real Name'!C:D, 2, FALSE)</f>
        <v>Connor Zhao#9139</v>
      </c>
      <c r="C25" s="7" t="s">
        <v>25</v>
      </c>
      <c r="D25" s="11">
        <f>IFERROR(__xludf.DUMMYFUNCTION("(23 - COUNTIF(IFERROR(ARRAYFORMULA(HLOOKUP($B25, IMPORTRANGE('Prelim Rankings Unsorted'!$B$40, CONCAT(VLOOKUP($C25, 'Match Names'!$A$1:$D$22, 2, FALSE), ""!C3:R29"")), ROW($A$1:$A$24), FALSE)), $AA$9:$AA$31), ""=X"")) + (23 - COUNTIF(IFERROR(ARRAYFORMULA("&amp;"HLOOKUP($B25, IMPORTRANGE('Prelim Rankings Unsorted'!$B$41, CONCAT(VLOOKUP($C25, 'Match Names'!$A$1:$D$22, 3, FALSE), ""!C3:R29"")), ROW($A$1:$A$24), FALSE)), $AA$9:$AA$31), ""=X"")) + (23 - COUNTIF(IFERROR(ARRAYFORMULA(HLOOKUP($B25, IMPORTRANGE('Prelim R"&amp;"ankings Unsorted'!$B$42, CONCAT(VLOOKUP($C25, 'Match Names'!$A$1:$D$22, 4, FALSE), ""!C3:R29"")), ROW($A$1:$A$24), FALSE)), $AA$9:$AA$31), ""=X"")) + (23 - COUNTIF(IFERROR(ARRAYFORMULA(HLOOKUP($B25, IMPORTRANGE('Match Names'!$E$23, CONCAT(VLOOKUP($C25, 'M"&amp;"atch Names'!$1:$22, 5, FALSE), ""!C3:R29"")), ROW($A$1:$A$24), FALSE)), $AA$9:$AA$31), ""=X"")) + (23 - COUNTIF(IFERROR(ARRAYFORMULA(HLOOKUP($B25, IMPORTRANGE('Match Names'!$F$23, CONCAT(VLOOKUP($C25, 'Match Names'!$1:$22, 6, FALSE), ""!C3:R29"")), ROW($A"&amp;"$1:$A$24), FALSE)), $AA$9:$AA$31), ""=X"")) + (23 - COUNTIF(IFERROR(ARRAYFORMULA(HLOOKUP($B25, IMPORTRANGE('Match Names'!$G$23, CONCAT(VLOOKUP($C25, 'Match Names'!$1:$22, 7, FALSE), ""!C3:R29"")), ROW($A$1:$A$24), FALSE)), $AA$9:$AA$31), ""=X"")) + (23 - "&amp;"COUNTIF(IFERROR(ARRAYFORMULA(HLOOKUP($B25, IMPORTRANGE('Match Names'!$H$23, CONCAT(VLOOKUP($C25, 'Match Names'!$1:$22, 8, FALSE), ""!C3:R29"")), ROW($A$1:$A$24), FALSE)), $AA$9:$AA$31), ""=X""))"),127.0)</f>
        <v>127</v>
      </c>
      <c r="E25" s="4">
        <f>IFERROR(__xludf.DUMMYFUNCTION("COUNTIF(ARRAYFORMULA(HLOOKUP($B25, IMPORTRANGE('Prelim Rankings Unsorted'!$B$40, CONCAT(VLOOKUP($C25, 'Match Names'!$A$1:$D$22, 2, FALSE), ""!C3:R29"")), ROW($A$1:$A$24), FALSE)), ""=4"") + COUNTIF(ARRAYFORMULA(HLOOKUP($B25, IMPORTRANGE('Prelim Rankings U"&amp;"nsorted'!$B$41, CONCAT(VLOOKUP($C25, 'Match Names'!$A$1:$D$22, 3, FALSE), ""!C3:R29"")), ROW($A$1:$A$24), FALSE)), ""=4"") + COUNTIF(ARRAYFORMULA(HLOOKUP($B25, IMPORTRANGE('Prelim Rankings Unsorted'!$B$42, CONCAT(VLOOKUP($C25, 'Match Names'!$A$1:$D$22, 4,"&amp;" FALSE), ""!C3:R29"")), ROW($A$1:$A$24), FALSE)), ""=4"") + COUNTIF(ARRAYFORMULA(HLOOKUP($B25, IMPORTRANGE('Match Names'!$E$23, CONCAT(VLOOKUP($C25, 'Match Names'!$1:$22, 5, FALSE), ""!C3:R29"")), ROW($A$1:$A$24), FALSE)), ""=4"") + COUNTIF(ARRAYFORMULA(H"&amp;"LOOKUP($B25, IMPORTRANGE('Match Names'!$F$23, CONCAT(VLOOKUP($C25, 'Match Names'!$1:$22, 6, FALSE), ""!C3:R29"")), ROW($A$1:$A$24), FALSE)), ""=4"") + COUNTIF(ARRAYFORMULA(HLOOKUP($B25, IMPORTRANGE('Match Names'!$G$23, CONCAT(VLOOKUP($C25, 'Match Names'!$"&amp;"1:$22, 7, FALSE), ""!C3:R29"")), ROW($A$1:$A$24), FALSE)), ""=4"") + COUNTIF(ARRAYFORMULA(HLOOKUP($B25, IMPORTRANGE('Match Names'!$H$23, CONCAT(VLOOKUP($C25, 'Match Names'!$1:$22, 8, FALSE), ""!C3:R29"")), ROW($A$1:$A$24), FALSE)), ""=4"")"),9.0)</f>
        <v>9</v>
      </c>
      <c r="F25" s="4">
        <f>IFERROR(__xludf.DUMMYFUNCTION("COUNTIF(ARRAYFORMULA(HLOOKUP($B25, IMPORTRANGE('Prelim Rankings Unsorted'!$B$40, CONCAT(VLOOKUP($C25, 'Match Names'!$A$1:$D$22, 2, FALSE), ""!C3:R29"")), ROW($A$1:$A$24), FALSE)), ""=0"") + COUNTIF(ARRAYFORMULA(HLOOKUP($B25, IMPORTRANGE('Prelim Rankings U"&amp;"nsorted'!$B$41, CONCAT(VLOOKUP($C25, 'Match Names'!$A$1:$D$22, 3, FALSE), ""!C3:R29"")), ROW($A$1:$A$24), FALSE)), ""=0"") + COUNTIF(ARRAYFORMULA(HLOOKUP($B25, IMPORTRANGE('Prelim Rankings Unsorted'!$B$42, CONCAT(VLOOKUP($C25, 'Match Names'!$A$1:$D$22, 4,"&amp;" FALSE), ""!C3:R29"")), ROW($A$1:$A$24), FALSE)), ""=0"") + COUNTIF(ARRAYFORMULA(HLOOKUP($B25, IMPORTRANGE('Match Names'!$E$23, CONCAT(VLOOKUP($C25, 'Match Names'!$1:$22, 5, FALSE), ""!C3:R29"")), ROW($A$1:$A$24), FALSE)), ""=0"") + COUNTIF(ARRAYFORMULA(H"&amp;"LOOKUP($B25, IMPORTRANGE('Match Names'!$F$23, CONCAT(VLOOKUP($C25, 'Match Names'!$1:$22, 6, FALSE), ""!C3:R29"")), ROW($A$1:$A$24), FALSE)), ""=0"") + COUNTIF(ARRAYFORMULA(HLOOKUP($B25, IMPORTRANGE('Match Names'!$G$23, CONCAT(VLOOKUP($C25, 'Match Names'!$"&amp;"1:$22, 7, FALSE), ""!C3:R29"")), ROW($A$1:$A$24), FALSE)), ""=0"") + COUNTIF(ARRAYFORMULA(HLOOKUP($B25, IMPORTRANGE('Match Names'!$H$23, CONCAT(VLOOKUP($C25, 'Match Names'!$1:$22, 8, FALSE), ""!C3:R29"")), ROW($A$1:$A$24), FALSE)), ""=0"")"),4.0)</f>
        <v>4</v>
      </c>
      <c r="G25" s="4">
        <f>IFERROR(__xludf.DUMMYFUNCTION("COUNTIF(ARRAYFORMULA(HLOOKUP($B25, IMPORTRANGE('Prelim Rankings Unsorted'!$B$40, CONCAT(VLOOKUP($C25, 'Match Names'!$A$1:$D$22, 2, FALSE), ""!C3:R29"")), ROW($A$1:$A$24), FALSE)), ""=-4"") + COUNTIF(ARRAYFORMULA(HLOOKUP($B25, IMPORTRANGE('Prelim Rankings "&amp;"Unsorted'!$B$41, CONCAT(VLOOKUP($C25, 'Match Names'!$A$1:$D$22, 3, FALSE), ""!C3:R29"")), ROW($A$1:$A$24), FALSE)), ""=-4"") + COUNTIF(ARRAYFORMULA(HLOOKUP($B25, IMPORTRANGE('Prelim Rankings Unsorted'!$B$42, CONCAT(VLOOKUP($C25, 'Match Names'!$A$1:$D$22, "&amp;"4, FALSE), ""!C3:R29"")), ROW($A$1:$A$24), FALSE)), ""=-4"") + COUNTIF(ARRAYFORMULA(HLOOKUP($B25, IMPORTRANGE('Match Names'!$E$23, CONCAT(VLOOKUP($C25, 'Match Names'!$1:$22, 5, FALSE), ""!C3:R29"")), ROW($A$1:$A$24), FALSE)), ""=-4"") + COUNTIF(ARRAYFORMU"&amp;"LA(HLOOKUP($B25, IMPORTRANGE('Match Names'!$F$23, CONCAT(VLOOKUP($C25, 'Match Names'!$1:$22, 6, FALSE), ""!C3:R29"")), ROW($A$1:$A$24), FALSE)), ""=-4"") + COUNTIF(ARRAYFORMULA(HLOOKUP($B25, IMPORTRANGE('Match Names'!$G$23, CONCAT(VLOOKUP($C25, 'Match Nam"&amp;"es'!$1:$22, 7, FALSE), ""!C3:R29"")), ROW($A$1:$A$24), FALSE)), ""=-4"") + COUNTIF(ARRAYFORMULA(HLOOKUP($B25, IMPORTRANGE('Match Names'!$H$23, CONCAT(VLOOKUP($C25, 'Match Names'!$1:$22, 8, FALSE), ""!C3:R29"")), ROW($A$1:$A$24), FALSE)), ""=-4"")"),1.0)</f>
        <v>1</v>
      </c>
      <c r="H25" s="4">
        <f t="shared" si="1"/>
        <v>5.8</v>
      </c>
      <c r="AA25" s="22" t="s">
        <v>218</v>
      </c>
    </row>
    <row r="26">
      <c r="A26" s="7" t="s">
        <v>13</v>
      </c>
      <c r="B26" s="7" t="str">
        <f>VLOOKUP(CONCAT(A26, C26), 'Discord Username to Real Name'!C:D, 2, FALSE)</f>
        <v>asiangold#6836</v>
      </c>
      <c r="C26" s="7" t="s">
        <v>25</v>
      </c>
      <c r="D26" s="11">
        <f>IFERROR(__xludf.DUMMYFUNCTION("(23 - COUNTIF(IFERROR(ARRAYFORMULA(HLOOKUP($B26, IMPORTRANGE('Prelim Rankings Unsorted'!$B$40, CONCAT(VLOOKUP($C26, 'Match Names'!$A$1:$D$22, 2, FALSE), ""!C3:R29"")), ROW($A$1:$A$24), FALSE)), $AA$9:$AA$31), ""=X"")) + (23 - COUNTIF(IFERROR(ARRAYFORMULA("&amp;"HLOOKUP($B26, IMPORTRANGE('Prelim Rankings Unsorted'!$B$41, CONCAT(VLOOKUP($C26, 'Match Names'!$A$1:$D$22, 3, FALSE), ""!C3:R29"")), ROW($A$1:$A$24), FALSE)), $AA$9:$AA$31), ""=X"")) + (23 - COUNTIF(IFERROR(ARRAYFORMULA(HLOOKUP($B26, IMPORTRANGE('Prelim R"&amp;"ankings Unsorted'!$B$42, CONCAT(VLOOKUP($C26, 'Match Names'!$A$1:$D$22, 4, FALSE), ""!C3:R29"")), ROW($A$1:$A$24), FALSE)), $AA$9:$AA$31), ""=X"")) + (23 - COUNTIF(IFERROR(ARRAYFORMULA(HLOOKUP($B26, IMPORTRANGE('Match Names'!$E$23, CONCAT(VLOOKUP($C26, 'M"&amp;"atch Names'!$1:$22, 5, FALSE), ""!C3:R29"")), ROW($A$1:$A$24), FALSE)), $AA$9:$AA$31), ""=X"")) + (23 - COUNTIF(IFERROR(ARRAYFORMULA(HLOOKUP($B26, IMPORTRANGE('Match Names'!$F$23, CONCAT(VLOOKUP($C26, 'Match Names'!$1:$22, 6, FALSE), ""!C3:R29"")), ROW($A"&amp;"$1:$A$24), FALSE)), $AA$9:$AA$31), ""=X"")) + (23 - COUNTIF(IFERROR(ARRAYFORMULA(HLOOKUP($B26, IMPORTRANGE('Match Names'!$G$23, CONCAT(VLOOKUP($C26, 'Match Names'!$1:$22, 7, FALSE), ""!C3:R29"")), ROW($A$1:$A$24), FALSE)), $AA$9:$AA$31), ""=X"")) + (23 - "&amp;"COUNTIF(IFERROR(ARRAYFORMULA(HLOOKUP($B26, IMPORTRANGE('Match Names'!$H$23, CONCAT(VLOOKUP($C26, 'Match Names'!$1:$22, 8, FALSE), ""!C3:R29"")), ROW($A$1:$A$24), FALSE)), $AA$9:$AA$31), ""=X""))"),138.0)</f>
        <v>138</v>
      </c>
      <c r="E26" s="4">
        <f>IFERROR(__xludf.DUMMYFUNCTION("COUNTIF(ARRAYFORMULA(HLOOKUP($B26, IMPORTRANGE('Prelim Rankings Unsorted'!$B$40, CONCAT(VLOOKUP($C26, 'Match Names'!$A$1:$D$22, 2, FALSE), ""!C3:R29"")), ROW($A$1:$A$24), FALSE)), ""=4"") + COUNTIF(ARRAYFORMULA(HLOOKUP($B26, IMPORTRANGE('Prelim Rankings U"&amp;"nsorted'!$B$41, CONCAT(VLOOKUP($C26, 'Match Names'!$A$1:$D$22, 3, FALSE), ""!C3:R29"")), ROW($A$1:$A$24), FALSE)), ""=4"") + COUNTIF(ARRAYFORMULA(HLOOKUP($B26, IMPORTRANGE('Prelim Rankings Unsorted'!$B$42, CONCAT(VLOOKUP($C26, 'Match Names'!$A$1:$D$22, 4,"&amp;" FALSE), ""!C3:R29"")), ROW($A$1:$A$24), FALSE)), ""=4"") + COUNTIF(ARRAYFORMULA(HLOOKUP($B26, IMPORTRANGE('Match Names'!$E$23, CONCAT(VLOOKUP($C26, 'Match Names'!$1:$22, 5, FALSE), ""!C3:R29"")), ROW($A$1:$A$24), FALSE)), ""=4"") + COUNTIF(ARRAYFORMULA(H"&amp;"LOOKUP($B26, IMPORTRANGE('Match Names'!$F$23, CONCAT(VLOOKUP($C26, 'Match Names'!$1:$22, 6, FALSE), ""!C3:R29"")), ROW($A$1:$A$24), FALSE)), ""=4"") + COUNTIF(ARRAYFORMULA(HLOOKUP($B26, IMPORTRANGE('Match Names'!$G$23, CONCAT(VLOOKUP($C26, 'Match Names'!$"&amp;"1:$22, 7, FALSE), ""!C3:R29"")), ROW($A$1:$A$24), FALSE)), ""=4"") + COUNTIF(ARRAYFORMULA(HLOOKUP($B26, IMPORTRANGE('Match Names'!$H$23, CONCAT(VLOOKUP($C26, 'Match Names'!$1:$22, 8, FALSE), ""!C3:R29"")), ROW($A$1:$A$24), FALSE)), ""=4"")"),19.0)</f>
        <v>19</v>
      </c>
      <c r="F26" s="4">
        <f>IFERROR(__xludf.DUMMYFUNCTION("COUNTIF(ARRAYFORMULA(HLOOKUP($B26, IMPORTRANGE('Prelim Rankings Unsorted'!$B$40, CONCAT(VLOOKUP($C26, 'Match Names'!$A$1:$D$22, 2, FALSE), ""!C3:R29"")), ROW($A$1:$A$24), FALSE)), ""=0"") + COUNTIF(ARRAYFORMULA(HLOOKUP($B26, IMPORTRANGE('Prelim Rankings U"&amp;"nsorted'!$B$41, CONCAT(VLOOKUP($C26, 'Match Names'!$A$1:$D$22, 3, FALSE), ""!C3:R29"")), ROW($A$1:$A$24), FALSE)), ""=0"") + COUNTIF(ARRAYFORMULA(HLOOKUP($B26, IMPORTRANGE('Prelim Rankings Unsorted'!$B$42, CONCAT(VLOOKUP($C26, 'Match Names'!$A$1:$D$22, 4,"&amp;" FALSE), ""!C3:R29"")), ROW($A$1:$A$24), FALSE)), ""=0"") + COUNTIF(ARRAYFORMULA(HLOOKUP($B26, IMPORTRANGE('Match Names'!$E$23, CONCAT(VLOOKUP($C26, 'Match Names'!$1:$22, 5, FALSE), ""!C3:R29"")), ROW($A$1:$A$24), FALSE)), ""=0"") + COUNTIF(ARRAYFORMULA(H"&amp;"LOOKUP($B26, IMPORTRANGE('Match Names'!$F$23, CONCAT(VLOOKUP($C26, 'Match Names'!$1:$22, 6, FALSE), ""!C3:R29"")), ROW($A$1:$A$24), FALSE)), ""=0"") + COUNTIF(ARRAYFORMULA(HLOOKUP($B26, IMPORTRANGE('Match Names'!$G$23, CONCAT(VLOOKUP($C26, 'Match Names'!$"&amp;"1:$22, 7, FALSE), ""!C3:R29"")), ROW($A$1:$A$24), FALSE)), ""=0"") + COUNTIF(ARRAYFORMULA(HLOOKUP($B26, IMPORTRANGE('Match Names'!$H$23, CONCAT(VLOOKUP($C26, 'Match Names'!$1:$22, 8, FALSE), ""!C3:R29"")), ROW($A$1:$A$24), FALSE)), ""=0"")"),11.0)</f>
        <v>11</v>
      </c>
      <c r="G26" s="4">
        <f>IFERROR(__xludf.DUMMYFUNCTION("COUNTIF(ARRAYFORMULA(HLOOKUP($B26, IMPORTRANGE('Prelim Rankings Unsorted'!$B$40, CONCAT(VLOOKUP($C26, 'Match Names'!$A$1:$D$22, 2, FALSE), ""!C3:R29"")), ROW($A$1:$A$24), FALSE)), ""=-4"") + COUNTIF(ARRAYFORMULA(HLOOKUP($B26, IMPORTRANGE('Prelim Rankings "&amp;"Unsorted'!$B$41, CONCAT(VLOOKUP($C26, 'Match Names'!$A$1:$D$22, 3, FALSE), ""!C3:R29"")), ROW($A$1:$A$24), FALSE)), ""=-4"") + COUNTIF(ARRAYFORMULA(HLOOKUP($B26, IMPORTRANGE('Prelim Rankings Unsorted'!$B$42, CONCAT(VLOOKUP($C26, 'Match Names'!$A$1:$D$22, "&amp;"4, FALSE), ""!C3:R29"")), ROW($A$1:$A$24), FALSE)), ""=-4"") + COUNTIF(ARRAYFORMULA(HLOOKUP($B26, IMPORTRANGE('Match Names'!$E$23, CONCAT(VLOOKUP($C26, 'Match Names'!$1:$22, 5, FALSE), ""!C3:R29"")), ROW($A$1:$A$24), FALSE)), ""=-4"") + COUNTIF(ARRAYFORMU"&amp;"LA(HLOOKUP($B26, IMPORTRANGE('Match Names'!$F$23, CONCAT(VLOOKUP($C26, 'Match Names'!$1:$22, 6, FALSE), ""!C3:R29"")), ROW($A$1:$A$24), FALSE)), ""=-4"") + COUNTIF(ARRAYFORMULA(HLOOKUP($B26, IMPORTRANGE('Match Names'!$G$23, CONCAT(VLOOKUP($C26, 'Match Nam"&amp;"es'!$1:$22, 7, FALSE), ""!C3:R29"")), ROW($A$1:$A$24), FALSE)), ""=-4"") + COUNTIF(ARRAYFORMULA(HLOOKUP($B26, IMPORTRANGE('Match Names'!$H$23, CONCAT(VLOOKUP($C26, 'Match Names'!$1:$22, 8, FALSE), ""!C3:R29"")), ROW($A$1:$A$24), FALSE)), ""=-4"")"),3.0)</f>
        <v>3</v>
      </c>
      <c r="H26" s="4">
        <f t="shared" si="1"/>
        <v>10.67</v>
      </c>
      <c r="AA26" s="22" t="s">
        <v>218</v>
      </c>
    </row>
    <row r="27">
      <c r="A27" s="7" t="s">
        <v>179</v>
      </c>
      <c r="B27" s="7" t="str">
        <f>VLOOKUP(CONCAT(A27, C27), 'Discord Username to Real Name'!C:D, 2, FALSE)</f>
        <v>Nutritious Soup#4238</v>
      </c>
      <c r="C27" s="7" t="s">
        <v>25</v>
      </c>
      <c r="D27" s="11">
        <f>IFERROR(__xludf.DUMMYFUNCTION("(23 - COUNTIF(IFERROR(ARRAYFORMULA(HLOOKUP($B27, IMPORTRANGE('Prelim Rankings Unsorted'!$B$40, CONCAT(VLOOKUP($C27, 'Match Names'!$A$1:$D$22, 2, FALSE), ""!C3:R29"")), ROW($A$1:$A$24), FALSE)), $AA$9:$AA$31), ""=X"")) + (23 - COUNTIF(IFERROR(ARRAYFORMULA("&amp;"HLOOKUP($B27, IMPORTRANGE('Prelim Rankings Unsorted'!$B$41, CONCAT(VLOOKUP($C27, 'Match Names'!$A$1:$D$22, 3, FALSE), ""!C3:R29"")), ROW($A$1:$A$24), FALSE)), $AA$9:$AA$31), ""=X"")) + (23 - COUNTIF(IFERROR(ARRAYFORMULA(HLOOKUP($B27, IMPORTRANGE('Prelim R"&amp;"ankings Unsorted'!$B$42, CONCAT(VLOOKUP($C27, 'Match Names'!$A$1:$D$22, 4, FALSE), ""!C3:R29"")), ROW($A$1:$A$24), FALSE)), $AA$9:$AA$31), ""=X"")) + (23 - COUNTIF(IFERROR(ARRAYFORMULA(HLOOKUP($B27, IMPORTRANGE('Match Names'!$E$23, CONCAT(VLOOKUP($C27, 'M"&amp;"atch Names'!$1:$22, 5, FALSE), ""!C3:R29"")), ROW($A$1:$A$24), FALSE)), $AA$9:$AA$31), ""=X"")) + (23 - COUNTIF(IFERROR(ARRAYFORMULA(HLOOKUP($B27, IMPORTRANGE('Match Names'!$F$23, CONCAT(VLOOKUP($C27, 'Match Names'!$1:$22, 6, FALSE), ""!C3:R29"")), ROW($A"&amp;"$1:$A$24), FALSE)), $AA$9:$AA$31), ""=X"")) + (23 - COUNTIF(IFERROR(ARRAYFORMULA(HLOOKUP($B27, IMPORTRANGE('Match Names'!$G$23, CONCAT(VLOOKUP($C27, 'Match Names'!$1:$22, 7, FALSE), ""!C3:R29"")), ROW($A$1:$A$24), FALSE)), $AA$9:$AA$31), ""=X"")) + (23 - "&amp;"COUNTIF(IFERROR(ARRAYFORMULA(HLOOKUP($B27, IMPORTRANGE('Match Names'!$H$23, CONCAT(VLOOKUP($C27, 'Match Names'!$1:$22, 8, FALSE), ""!C3:R29"")), ROW($A$1:$A$24), FALSE)), $AA$9:$AA$31), ""=X""))"),69.0)</f>
        <v>69</v>
      </c>
      <c r="E27" s="4">
        <f>IFERROR(__xludf.DUMMYFUNCTION("COUNTIF(ARRAYFORMULA(HLOOKUP($B27, IMPORTRANGE('Prelim Rankings Unsorted'!$B$40, CONCAT(VLOOKUP($C27, 'Match Names'!$A$1:$D$22, 2, FALSE), ""!C3:R29"")), ROW($A$1:$A$24), FALSE)), ""=4"") + COUNTIF(ARRAYFORMULA(HLOOKUP($B27, IMPORTRANGE('Prelim Rankings U"&amp;"nsorted'!$B$41, CONCAT(VLOOKUP($C27, 'Match Names'!$A$1:$D$22, 3, FALSE), ""!C3:R29"")), ROW($A$1:$A$24), FALSE)), ""=4"") + COUNTIF(ARRAYFORMULA(HLOOKUP($B27, IMPORTRANGE('Prelim Rankings Unsorted'!$B$42, CONCAT(VLOOKUP($C27, 'Match Names'!$A$1:$D$22, 4,"&amp;" FALSE), ""!C3:R29"")), ROW($A$1:$A$24), FALSE)), ""=4"") + COUNTIF(ARRAYFORMULA(HLOOKUP($B27, IMPORTRANGE('Match Names'!$E$23, CONCAT(VLOOKUP($C27, 'Match Names'!$1:$22, 5, FALSE), ""!C3:R29"")), ROW($A$1:$A$24), FALSE)), ""=4"") + COUNTIF(ARRAYFORMULA(H"&amp;"LOOKUP($B27, IMPORTRANGE('Match Names'!$F$23, CONCAT(VLOOKUP($C27, 'Match Names'!$1:$22, 6, FALSE), ""!C3:R29"")), ROW($A$1:$A$24), FALSE)), ""=4"") + COUNTIF(ARRAYFORMULA(HLOOKUP($B27, IMPORTRANGE('Match Names'!$G$23, CONCAT(VLOOKUP($C27, 'Match Names'!$"&amp;"1:$22, 7, FALSE), ""!C3:R29"")), ROW($A$1:$A$24), FALSE)), ""=4"") + COUNTIF(ARRAYFORMULA(HLOOKUP($B27, IMPORTRANGE('Match Names'!$H$23, CONCAT(VLOOKUP($C27, 'Match Names'!$1:$22, 8, FALSE), ""!C3:R29"")), ROW($A$1:$A$24), FALSE)), ""=4"")"),0.0)</f>
        <v>0</v>
      </c>
      <c r="F27" s="4">
        <f>IFERROR(__xludf.DUMMYFUNCTION("COUNTIF(ARRAYFORMULA(HLOOKUP($B27, IMPORTRANGE('Prelim Rankings Unsorted'!$B$40, CONCAT(VLOOKUP($C27, 'Match Names'!$A$1:$D$22, 2, FALSE), ""!C3:R29"")), ROW($A$1:$A$24), FALSE)), ""=0"") + COUNTIF(ARRAYFORMULA(HLOOKUP($B27, IMPORTRANGE('Prelim Rankings U"&amp;"nsorted'!$B$41, CONCAT(VLOOKUP($C27, 'Match Names'!$A$1:$D$22, 3, FALSE), ""!C3:R29"")), ROW($A$1:$A$24), FALSE)), ""=0"") + COUNTIF(ARRAYFORMULA(HLOOKUP($B27, IMPORTRANGE('Prelim Rankings Unsorted'!$B$42, CONCAT(VLOOKUP($C27, 'Match Names'!$A$1:$D$22, 4,"&amp;" FALSE), ""!C3:R29"")), ROW($A$1:$A$24), FALSE)), ""=0"") + COUNTIF(ARRAYFORMULA(HLOOKUP($B27, IMPORTRANGE('Match Names'!$E$23, CONCAT(VLOOKUP($C27, 'Match Names'!$1:$22, 5, FALSE), ""!C3:R29"")), ROW($A$1:$A$24), FALSE)), ""=0"") + COUNTIF(ARRAYFORMULA(H"&amp;"LOOKUP($B27, IMPORTRANGE('Match Names'!$F$23, CONCAT(VLOOKUP($C27, 'Match Names'!$1:$22, 6, FALSE), ""!C3:R29"")), ROW($A$1:$A$24), FALSE)), ""=0"") + COUNTIF(ARRAYFORMULA(HLOOKUP($B27, IMPORTRANGE('Match Names'!$G$23, CONCAT(VLOOKUP($C27, 'Match Names'!$"&amp;"1:$22, 7, FALSE), ""!C3:R29"")), ROW($A$1:$A$24), FALSE)), ""=0"") + COUNTIF(ARRAYFORMULA(HLOOKUP($B27, IMPORTRANGE('Match Names'!$H$23, CONCAT(VLOOKUP($C27, 'Match Names'!$1:$22, 8, FALSE), ""!C3:R29"")), ROW($A$1:$A$24), FALSE)), ""=0"")"),0.0)</f>
        <v>0</v>
      </c>
      <c r="G27" s="4">
        <f>IFERROR(__xludf.DUMMYFUNCTION("COUNTIF(ARRAYFORMULA(HLOOKUP($B27, IMPORTRANGE('Prelim Rankings Unsorted'!$B$40, CONCAT(VLOOKUP($C27, 'Match Names'!$A$1:$D$22, 2, FALSE), ""!C3:R29"")), ROW($A$1:$A$24), FALSE)), ""=-4"") + COUNTIF(ARRAYFORMULA(HLOOKUP($B27, IMPORTRANGE('Prelim Rankings "&amp;"Unsorted'!$B$41, CONCAT(VLOOKUP($C27, 'Match Names'!$A$1:$D$22, 3, FALSE), ""!C3:R29"")), ROW($A$1:$A$24), FALSE)), ""=-4"") + COUNTIF(ARRAYFORMULA(HLOOKUP($B27, IMPORTRANGE('Prelim Rankings Unsorted'!$B$42, CONCAT(VLOOKUP($C27, 'Match Names'!$A$1:$D$22, "&amp;"4, FALSE), ""!C3:R29"")), ROW($A$1:$A$24), FALSE)), ""=-4"") + COUNTIF(ARRAYFORMULA(HLOOKUP($B27, IMPORTRANGE('Match Names'!$E$23, CONCAT(VLOOKUP($C27, 'Match Names'!$1:$22, 5, FALSE), ""!C3:R29"")), ROW($A$1:$A$24), FALSE)), ""=-4"") + COUNTIF(ARRAYFORMU"&amp;"LA(HLOOKUP($B27, IMPORTRANGE('Match Names'!$F$23, CONCAT(VLOOKUP($C27, 'Match Names'!$1:$22, 6, FALSE), ""!C3:R29"")), ROW($A$1:$A$24), FALSE)), ""=-4"") + COUNTIF(ARRAYFORMULA(HLOOKUP($B27, IMPORTRANGE('Match Names'!$G$23, CONCAT(VLOOKUP($C27, 'Match Nam"&amp;"es'!$1:$22, 7, FALSE), ""!C3:R29"")), ROW($A$1:$A$24), FALSE)), ""=-4"") + COUNTIF(ARRAYFORMULA(HLOOKUP($B27, IMPORTRANGE('Match Names'!$H$23, CONCAT(VLOOKUP($C27, 'Match Names'!$1:$22, 8, FALSE), ""!C3:R29"")), ROW($A$1:$A$24), FALSE)), ""=-4"")"),0.0)</f>
        <v>0</v>
      </c>
      <c r="H27" s="4">
        <f t="shared" si="1"/>
        <v>0</v>
      </c>
      <c r="AA27" s="22" t="s">
        <v>218</v>
      </c>
    </row>
    <row r="28">
      <c r="A28" s="7" t="s">
        <v>48</v>
      </c>
      <c r="B28" s="7" t="str">
        <f>VLOOKUP(CONCAT(A28, C28), 'Discord Username to Real Name'!C:D, 2, FALSE)</f>
        <v>a Aquilae#6100</v>
      </c>
      <c r="C28" s="21" t="s">
        <v>27</v>
      </c>
      <c r="D28" s="11">
        <f>IFERROR(__xludf.DUMMYFUNCTION("(23 - COUNTIF(IFERROR(ARRAYFORMULA(HLOOKUP($B28, IMPORTRANGE('Prelim Rankings Unsorted'!$B$40, CONCAT(VLOOKUP($C28, 'Match Names'!$A$1:$D$22, 2, FALSE), ""!C3:R29"")), ROW($A$1:$A$24), FALSE)), $AA$9:$AA$31), ""=X"")) + (23 - COUNTIF(IFERROR(ARRAYFORMULA("&amp;"HLOOKUP($B28, IMPORTRANGE('Prelim Rankings Unsorted'!$B$41, CONCAT(VLOOKUP($C28, 'Match Names'!$A$1:$D$22, 3, FALSE), ""!C3:R29"")), ROW($A$1:$A$24), FALSE)), $AA$9:$AA$31), ""=X"")) + (23 - COUNTIF(IFERROR(ARRAYFORMULA(HLOOKUP($B28, IMPORTRANGE('Prelim R"&amp;"ankings Unsorted'!$B$42, CONCAT(VLOOKUP($C28, 'Match Names'!$A$1:$D$22, 4, FALSE), ""!C3:R29"")), ROW($A$1:$A$24), FALSE)), $AA$9:$AA$31), ""=X"")) + (23 - COUNTIF(IFERROR(ARRAYFORMULA(HLOOKUP($B28, IMPORTRANGE('Match Names'!$E$23, CONCAT(VLOOKUP($C28, 'M"&amp;"atch Names'!$1:$22, 5, FALSE), ""!C3:R29"")), ROW($A$1:$A$24), FALSE)), $AA$9:$AA$31), ""=X"")) + (23 - COUNTIF(IFERROR(ARRAYFORMULA(HLOOKUP($B28, IMPORTRANGE('Match Names'!$F$23, CONCAT(VLOOKUP($C28, 'Match Names'!$1:$22, 6, FALSE), ""!C3:R29"")), ROW($A"&amp;"$1:$A$24), FALSE)), $AA$9:$AA$31), ""=X"")) + (23 - COUNTIF(IFERROR(ARRAYFORMULA(HLOOKUP($B28, IMPORTRANGE('Match Names'!$G$23, CONCAT(VLOOKUP($C28, 'Match Names'!$1:$22, 7, FALSE), ""!C3:R29"")), ROW($A$1:$A$24), FALSE)), $AA$9:$AA$31), ""=X"")) + (23 - "&amp;"COUNTIF(IFERROR(ARRAYFORMULA(HLOOKUP($B28, IMPORTRANGE('Match Names'!$H$23, CONCAT(VLOOKUP($C28, 'Match Names'!$1:$22, 8, FALSE), ""!C3:R29"")), ROW($A$1:$A$24), FALSE)), $AA$9:$AA$31), ""=X""))"),138.0)</f>
        <v>138</v>
      </c>
      <c r="E28" s="4">
        <f>IFERROR(__xludf.DUMMYFUNCTION("COUNTIF(ARRAYFORMULA(HLOOKUP($B28, IMPORTRANGE('Prelim Rankings Unsorted'!$B$40, CONCAT(VLOOKUP($C28, 'Match Names'!$A$1:$D$22, 2, FALSE), ""!C3:R29"")), ROW($A$1:$A$24), FALSE)), ""=4"") + COUNTIF(ARRAYFORMULA(HLOOKUP($B28, IMPORTRANGE('Prelim Rankings U"&amp;"nsorted'!$B$41, CONCAT(VLOOKUP($C28, 'Match Names'!$A$1:$D$22, 3, FALSE), ""!C3:R29"")), ROW($A$1:$A$24), FALSE)), ""=4"") + COUNTIF(ARRAYFORMULA(HLOOKUP($B28, IMPORTRANGE('Prelim Rankings Unsorted'!$B$42, CONCAT(VLOOKUP($C28, 'Match Names'!$A$1:$D$22, 4,"&amp;" FALSE), ""!C3:R29"")), ROW($A$1:$A$24), FALSE)), ""=4"") + COUNTIF(ARRAYFORMULA(HLOOKUP($B28, IMPORTRANGE('Match Names'!$E$23, CONCAT(VLOOKUP($C28, 'Match Names'!$1:$22, 5, FALSE), ""!C3:R29"")), ROW($A$1:$A$24), FALSE)), ""=4"") + COUNTIF(ARRAYFORMULA(H"&amp;"LOOKUP($B28, IMPORTRANGE('Match Names'!$F$23, CONCAT(VLOOKUP($C28, 'Match Names'!$1:$22, 6, FALSE), ""!C3:R29"")), ROW($A$1:$A$24), FALSE)), ""=4"") + COUNTIF(ARRAYFORMULA(HLOOKUP($B28, IMPORTRANGE('Match Names'!$G$23, CONCAT(VLOOKUP($C28, 'Match Names'!$"&amp;"1:$22, 7, FALSE), ""!C3:R29"")), ROW($A$1:$A$24), FALSE)), ""=4"") + COUNTIF(ARRAYFORMULA(HLOOKUP($B28, IMPORTRANGE('Match Names'!$H$23, CONCAT(VLOOKUP($C28, 'Match Names'!$1:$22, 8, FALSE), ""!C3:R29"")), ROW($A$1:$A$24), FALSE)), ""=4"")"),27.0)</f>
        <v>27</v>
      </c>
      <c r="F28" s="4">
        <f>IFERROR(__xludf.DUMMYFUNCTION("COUNTIF(ARRAYFORMULA(HLOOKUP($B28, IMPORTRANGE('Prelim Rankings Unsorted'!$B$40, CONCAT(VLOOKUP($C28, 'Match Names'!$A$1:$D$22, 2, FALSE), ""!C3:R29"")), ROW($A$1:$A$24), FALSE)), ""=0"") + COUNTIF(ARRAYFORMULA(HLOOKUP($B28, IMPORTRANGE('Prelim Rankings U"&amp;"nsorted'!$B$41, CONCAT(VLOOKUP($C28, 'Match Names'!$A$1:$D$22, 3, FALSE), ""!C3:R29"")), ROW($A$1:$A$24), FALSE)), ""=0"") + COUNTIF(ARRAYFORMULA(HLOOKUP($B28, IMPORTRANGE('Prelim Rankings Unsorted'!$B$42, CONCAT(VLOOKUP($C28, 'Match Names'!$A$1:$D$22, 4,"&amp;" FALSE), ""!C3:R29"")), ROW($A$1:$A$24), FALSE)), ""=0"") + COUNTIF(ARRAYFORMULA(HLOOKUP($B28, IMPORTRANGE('Match Names'!$E$23, CONCAT(VLOOKUP($C28, 'Match Names'!$1:$22, 5, FALSE), ""!C3:R29"")), ROW($A$1:$A$24), FALSE)), ""=0"") + COUNTIF(ARRAYFORMULA(H"&amp;"LOOKUP($B28, IMPORTRANGE('Match Names'!$F$23, CONCAT(VLOOKUP($C28, 'Match Names'!$1:$22, 6, FALSE), ""!C3:R29"")), ROW($A$1:$A$24), FALSE)), ""=0"") + COUNTIF(ARRAYFORMULA(HLOOKUP($B28, IMPORTRANGE('Match Names'!$G$23, CONCAT(VLOOKUP($C28, 'Match Names'!$"&amp;"1:$22, 7, FALSE), ""!C3:R29"")), ROW($A$1:$A$24), FALSE)), ""=0"") + COUNTIF(ARRAYFORMULA(HLOOKUP($B28, IMPORTRANGE('Match Names'!$H$23, CONCAT(VLOOKUP($C28, 'Match Names'!$1:$22, 8, FALSE), ""!C3:R29"")), ROW($A$1:$A$24), FALSE)), ""=0"")"),14.0)</f>
        <v>14</v>
      </c>
      <c r="G28" s="4">
        <f>IFERROR(__xludf.DUMMYFUNCTION("COUNTIF(ARRAYFORMULA(HLOOKUP($B28, IMPORTRANGE('Prelim Rankings Unsorted'!$B$40, CONCAT(VLOOKUP($C28, 'Match Names'!$A$1:$D$22, 2, FALSE), ""!C3:R29"")), ROW($A$1:$A$24), FALSE)), ""=-4"") + COUNTIF(ARRAYFORMULA(HLOOKUP($B28, IMPORTRANGE('Prelim Rankings "&amp;"Unsorted'!$B$41, CONCAT(VLOOKUP($C28, 'Match Names'!$A$1:$D$22, 3, FALSE), ""!C3:R29"")), ROW($A$1:$A$24), FALSE)), ""=-4"") + COUNTIF(ARRAYFORMULA(HLOOKUP($B28, IMPORTRANGE('Prelim Rankings Unsorted'!$B$42, CONCAT(VLOOKUP($C28, 'Match Names'!$A$1:$D$22, "&amp;"4, FALSE), ""!C3:R29"")), ROW($A$1:$A$24), FALSE)), ""=-4"") + COUNTIF(ARRAYFORMULA(HLOOKUP($B28, IMPORTRANGE('Match Names'!$E$23, CONCAT(VLOOKUP($C28, 'Match Names'!$1:$22, 5, FALSE), ""!C3:R29"")), ROW($A$1:$A$24), FALSE)), ""=-4"") + COUNTIF(ARRAYFORMU"&amp;"LA(HLOOKUP($B28, IMPORTRANGE('Match Names'!$F$23, CONCAT(VLOOKUP($C28, 'Match Names'!$1:$22, 6, FALSE), ""!C3:R29"")), ROW($A$1:$A$24), FALSE)), ""=-4"") + COUNTIF(ARRAYFORMULA(HLOOKUP($B28, IMPORTRANGE('Match Names'!$G$23, CONCAT(VLOOKUP($C28, 'Match Nam"&amp;"es'!$1:$22, 7, FALSE), ""!C3:R29"")), ROW($A$1:$A$24), FALSE)), ""=-4"") + COUNTIF(ARRAYFORMULA(HLOOKUP($B28, IMPORTRANGE('Match Names'!$H$23, CONCAT(VLOOKUP($C28, 'Match Names'!$1:$22, 8, FALSE), ""!C3:R29"")), ROW($A$1:$A$24), FALSE)), ""=-4"")"),1.0)</f>
        <v>1</v>
      </c>
      <c r="H28" s="4">
        <f t="shared" si="1"/>
        <v>17.33</v>
      </c>
      <c r="AA28" s="22" t="s">
        <v>218</v>
      </c>
    </row>
    <row r="29">
      <c r="A29" s="7" t="s">
        <v>122</v>
      </c>
      <c r="B29" s="7" t="str">
        <f>VLOOKUP(CONCAT(A29, C29), 'Discord Username to Real Name'!C:D, 2, FALSE)</f>
        <v>emu#0818</v>
      </c>
      <c r="C29" s="21" t="s">
        <v>27</v>
      </c>
      <c r="D29" s="11">
        <f>IFERROR(__xludf.DUMMYFUNCTION("(23 - COUNTIF(IFERROR(ARRAYFORMULA(HLOOKUP($B29, IMPORTRANGE('Prelim Rankings Unsorted'!$B$40, CONCAT(VLOOKUP($C29, 'Match Names'!$A$1:$D$22, 2, FALSE), ""!C3:R29"")), ROW($A$1:$A$24), FALSE)), $AA$9:$AA$31), ""=X"")) + (23 - COUNTIF(IFERROR(ARRAYFORMULA("&amp;"HLOOKUP($B29, IMPORTRANGE('Prelim Rankings Unsorted'!$B$41, CONCAT(VLOOKUP($C29, 'Match Names'!$A$1:$D$22, 3, FALSE), ""!C3:R29"")), ROW($A$1:$A$24), FALSE)), $AA$9:$AA$31), ""=X"")) + (23 - COUNTIF(IFERROR(ARRAYFORMULA(HLOOKUP($B29, IMPORTRANGE('Prelim R"&amp;"ankings Unsorted'!$B$42, CONCAT(VLOOKUP($C29, 'Match Names'!$A$1:$D$22, 4, FALSE), ""!C3:R29"")), ROW($A$1:$A$24), FALSE)), $AA$9:$AA$31), ""=X"")) + (23 - COUNTIF(IFERROR(ARRAYFORMULA(HLOOKUP($B29, IMPORTRANGE('Match Names'!$E$23, CONCAT(VLOOKUP($C29, 'M"&amp;"atch Names'!$1:$22, 5, FALSE), ""!C3:R29"")), ROW($A$1:$A$24), FALSE)), $AA$9:$AA$31), ""=X"")) + (23 - COUNTIF(IFERROR(ARRAYFORMULA(HLOOKUP($B29, IMPORTRANGE('Match Names'!$F$23, CONCAT(VLOOKUP($C29, 'Match Names'!$1:$22, 6, FALSE), ""!C3:R29"")), ROW($A"&amp;"$1:$A$24), FALSE)), $AA$9:$AA$31), ""=X"")) + (23 - COUNTIF(IFERROR(ARRAYFORMULA(HLOOKUP($B29, IMPORTRANGE('Match Names'!$G$23, CONCAT(VLOOKUP($C29, 'Match Names'!$1:$22, 7, FALSE), ""!C3:R29"")), ROW($A$1:$A$24), FALSE)), $AA$9:$AA$31), ""=X"")) + (23 - "&amp;"COUNTIF(IFERROR(ARRAYFORMULA(HLOOKUP($B29, IMPORTRANGE('Match Names'!$H$23, CONCAT(VLOOKUP($C29, 'Match Names'!$1:$22, 8, FALSE), ""!C3:R29"")), ROW($A$1:$A$24), FALSE)), $AA$9:$AA$31), ""=X""))"),115.0)</f>
        <v>115</v>
      </c>
      <c r="E29" s="4">
        <f>IFERROR(__xludf.DUMMYFUNCTION("COUNTIF(ARRAYFORMULA(HLOOKUP($B29, IMPORTRANGE('Prelim Rankings Unsorted'!$B$40, CONCAT(VLOOKUP($C29, 'Match Names'!$A$1:$D$22, 2, FALSE), ""!C3:R29"")), ROW($A$1:$A$24), FALSE)), ""=4"") + COUNTIF(ARRAYFORMULA(HLOOKUP($B29, IMPORTRANGE('Prelim Rankings U"&amp;"nsorted'!$B$41, CONCAT(VLOOKUP($C29, 'Match Names'!$A$1:$D$22, 3, FALSE), ""!C3:R29"")), ROW($A$1:$A$24), FALSE)), ""=4"") + COUNTIF(ARRAYFORMULA(HLOOKUP($B29, IMPORTRANGE('Prelim Rankings Unsorted'!$B$42, CONCAT(VLOOKUP($C29, 'Match Names'!$A$1:$D$22, 4,"&amp;" FALSE), ""!C3:R29"")), ROW($A$1:$A$24), FALSE)), ""=4"") + COUNTIF(ARRAYFORMULA(HLOOKUP($B29, IMPORTRANGE('Match Names'!$E$23, CONCAT(VLOOKUP($C29, 'Match Names'!$1:$22, 5, FALSE), ""!C3:R29"")), ROW($A$1:$A$24), FALSE)), ""=4"") + COUNTIF(ARRAYFORMULA(H"&amp;"LOOKUP($B29, IMPORTRANGE('Match Names'!$F$23, CONCAT(VLOOKUP($C29, 'Match Names'!$1:$22, 6, FALSE), ""!C3:R29"")), ROW($A$1:$A$24), FALSE)), ""=4"") + COUNTIF(ARRAYFORMULA(HLOOKUP($B29, IMPORTRANGE('Match Names'!$G$23, CONCAT(VLOOKUP($C29, 'Match Names'!$"&amp;"1:$22, 7, FALSE), ""!C3:R29"")), ROW($A$1:$A$24), FALSE)), ""=4"") + COUNTIF(ARRAYFORMULA(HLOOKUP($B29, IMPORTRANGE('Match Names'!$H$23, CONCAT(VLOOKUP($C29, 'Match Names'!$1:$22, 8, FALSE), ""!C3:R29"")), ROW($A$1:$A$24), FALSE)), ""=4"")"),2.0)</f>
        <v>2</v>
      </c>
      <c r="F29" s="4">
        <f>IFERROR(__xludf.DUMMYFUNCTION("COUNTIF(ARRAYFORMULA(HLOOKUP($B29, IMPORTRANGE('Prelim Rankings Unsorted'!$B$40, CONCAT(VLOOKUP($C29, 'Match Names'!$A$1:$D$22, 2, FALSE), ""!C3:R29"")), ROW($A$1:$A$24), FALSE)), ""=0"") + COUNTIF(ARRAYFORMULA(HLOOKUP($B29, IMPORTRANGE('Prelim Rankings U"&amp;"nsorted'!$B$41, CONCAT(VLOOKUP($C29, 'Match Names'!$A$1:$D$22, 3, FALSE), ""!C3:R29"")), ROW($A$1:$A$24), FALSE)), ""=0"") + COUNTIF(ARRAYFORMULA(HLOOKUP($B29, IMPORTRANGE('Prelim Rankings Unsorted'!$B$42, CONCAT(VLOOKUP($C29, 'Match Names'!$A$1:$D$22, 4,"&amp;" FALSE), ""!C3:R29"")), ROW($A$1:$A$24), FALSE)), ""=0"") + COUNTIF(ARRAYFORMULA(HLOOKUP($B29, IMPORTRANGE('Match Names'!$E$23, CONCAT(VLOOKUP($C29, 'Match Names'!$1:$22, 5, FALSE), ""!C3:R29"")), ROW($A$1:$A$24), FALSE)), ""=0"") + COUNTIF(ARRAYFORMULA(H"&amp;"LOOKUP($B29, IMPORTRANGE('Match Names'!$F$23, CONCAT(VLOOKUP($C29, 'Match Names'!$1:$22, 6, FALSE), ""!C3:R29"")), ROW($A$1:$A$24), FALSE)), ""=0"") + COUNTIF(ARRAYFORMULA(HLOOKUP($B29, IMPORTRANGE('Match Names'!$G$23, CONCAT(VLOOKUP($C29, 'Match Names'!$"&amp;"1:$22, 7, FALSE), ""!C3:R29"")), ROW($A$1:$A$24), FALSE)), ""=0"") + COUNTIF(ARRAYFORMULA(HLOOKUP($B29, IMPORTRANGE('Match Names'!$H$23, CONCAT(VLOOKUP($C29, 'Match Names'!$1:$22, 8, FALSE), ""!C3:R29"")), ROW($A$1:$A$24), FALSE)), ""=0"")"),3.0)</f>
        <v>3</v>
      </c>
      <c r="G29" s="4">
        <f>IFERROR(__xludf.DUMMYFUNCTION("COUNTIF(ARRAYFORMULA(HLOOKUP($B29, IMPORTRANGE('Prelim Rankings Unsorted'!$B$40, CONCAT(VLOOKUP($C29, 'Match Names'!$A$1:$D$22, 2, FALSE), ""!C3:R29"")), ROW($A$1:$A$24), FALSE)), ""=-4"") + COUNTIF(ARRAYFORMULA(HLOOKUP($B29, IMPORTRANGE('Prelim Rankings "&amp;"Unsorted'!$B$41, CONCAT(VLOOKUP($C29, 'Match Names'!$A$1:$D$22, 3, FALSE), ""!C3:R29"")), ROW($A$1:$A$24), FALSE)), ""=-4"") + COUNTIF(ARRAYFORMULA(HLOOKUP($B29, IMPORTRANGE('Prelim Rankings Unsorted'!$B$42, CONCAT(VLOOKUP($C29, 'Match Names'!$A$1:$D$22, "&amp;"4, FALSE), ""!C3:R29"")), ROW($A$1:$A$24), FALSE)), ""=-4"") + COUNTIF(ARRAYFORMULA(HLOOKUP($B29, IMPORTRANGE('Match Names'!$E$23, CONCAT(VLOOKUP($C29, 'Match Names'!$1:$22, 5, FALSE), ""!C3:R29"")), ROW($A$1:$A$24), FALSE)), ""=-4"") + COUNTIF(ARRAYFORMU"&amp;"LA(HLOOKUP($B29, IMPORTRANGE('Match Names'!$F$23, CONCAT(VLOOKUP($C29, 'Match Names'!$1:$22, 6, FALSE), ""!C3:R29"")), ROW($A$1:$A$24), FALSE)), ""=-4"") + COUNTIF(ARRAYFORMULA(HLOOKUP($B29, IMPORTRANGE('Match Names'!$G$23, CONCAT(VLOOKUP($C29, 'Match Nam"&amp;"es'!$1:$22, 7, FALSE), ""!C3:R29"")), ROW($A$1:$A$24), FALSE)), ""=-4"") + COUNTIF(ARRAYFORMULA(HLOOKUP($B29, IMPORTRANGE('Match Names'!$H$23, CONCAT(VLOOKUP($C29, 'Match Names'!$1:$22, 8, FALSE), ""!C3:R29"")), ROW($A$1:$A$24), FALSE)), ""=-4"")"),0.0)</f>
        <v>0</v>
      </c>
      <c r="H29" s="4">
        <f t="shared" si="1"/>
        <v>1.6</v>
      </c>
      <c r="AA29" s="22" t="s">
        <v>218</v>
      </c>
    </row>
    <row r="30">
      <c r="A30" s="7" t="s">
        <v>138</v>
      </c>
      <c r="B30" s="7" t="str">
        <f>VLOOKUP(CONCAT(A30, C30), 'Discord Username to Real Name'!C:D, 2, FALSE)</f>
        <v>sachiko#9539</v>
      </c>
      <c r="C30" s="21" t="s">
        <v>27</v>
      </c>
      <c r="D30" s="11">
        <f>IFERROR(__xludf.DUMMYFUNCTION("(23 - COUNTIF(IFERROR(ARRAYFORMULA(HLOOKUP($B30, IMPORTRANGE('Prelim Rankings Unsorted'!$B$40, CONCAT(VLOOKUP($C30, 'Match Names'!$A$1:$D$22, 2, FALSE), ""!C3:R29"")), ROW($A$1:$A$24), FALSE)), $AA$9:$AA$31), ""=X"")) + (23 - COUNTIF(IFERROR(ARRAYFORMULA("&amp;"HLOOKUP($B30, IMPORTRANGE('Prelim Rankings Unsorted'!$B$41, CONCAT(VLOOKUP($C30, 'Match Names'!$A$1:$D$22, 3, FALSE), ""!C3:R29"")), ROW($A$1:$A$24), FALSE)), $AA$9:$AA$31), ""=X"")) + (23 - COUNTIF(IFERROR(ARRAYFORMULA(HLOOKUP($B30, IMPORTRANGE('Prelim R"&amp;"ankings Unsorted'!$B$42, CONCAT(VLOOKUP($C30, 'Match Names'!$A$1:$D$22, 4, FALSE), ""!C3:R29"")), ROW($A$1:$A$24), FALSE)), $AA$9:$AA$31), ""=X"")) + (23 - COUNTIF(IFERROR(ARRAYFORMULA(HLOOKUP($B30, IMPORTRANGE('Match Names'!$E$23, CONCAT(VLOOKUP($C30, 'M"&amp;"atch Names'!$1:$22, 5, FALSE), ""!C3:R29"")), ROW($A$1:$A$24), FALSE)), $AA$9:$AA$31), ""=X"")) + (23 - COUNTIF(IFERROR(ARRAYFORMULA(HLOOKUP($B30, IMPORTRANGE('Match Names'!$F$23, CONCAT(VLOOKUP($C30, 'Match Names'!$1:$22, 6, FALSE), ""!C3:R29"")), ROW($A"&amp;"$1:$A$24), FALSE)), $AA$9:$AA$31), ""=X"")) + (23 - COUNTIF(IFERROR(ARRAYFORMULA(HLOOKUP($B30, IMPORTRANGE('Match Names'!$G$23, CONCAT(VLOOKUP($C30, 'Match Names'!$1:$22, 7, FALSE), ""!C3:R29"")), ROW($A$1:$A$24), FALSE)), $AA$9:$AA$31), ""=X"")) + (23 - "&amp;"COUNTIF(IFERROR(ARRAYFORMULA(HLOOKUP($B30, IMPORTRANGE('Match Names'!$H$23, CONCAT(VLOOKUP($C30, 'Match Names'!$1:$22, 8, FALSE), ""!C3:R29"")), ROW($A$1:$A$24), FALSE)), $AA$9:$AA$31), ""=X""))"),126.0)</f>
        <v>126</v>
      </c>
      <c r="E30" s="4">
        <f>IFERROR(__xludf.DUMMYFUNCTION("COUNTIF(ARRAYFORMULA(HLOOKUP($B30, IMPORTRANGE('Prelim Rankings Unsorted'!$B$40, CONCAT(VLOOKUP($C30, 'Match Names'!$A$1:$D$22, 2, FALSE), ""!C3:R29"")), ROW($A$1:$A$24), FALSE)), ""=4"") + COUNTIF(ARRAYFORMULA(HLOOKUP($B30, IMPORTRANGE('Prelim Rankings U"&amp;"nsorted'!$B$41, CONCAT(VLOOKUP($C30, 'Match Names'!$A$1:$D$22, 3, FALSE), ""!C3:R29"")), ROW($A$1:$A$24), FALSE)), ""=4"") + COUNTIF(ARRAYFORMULA(HLOOKUP($B30, IMPORTRANGE('Prelim Rankings Unsorted'!$B$42, CONCAT(VLOOKUP($C30, 'Match Names'!$A$1:$D$22, 4,"&amp;" FALSE), ""!C3:R29"")), ROW($A$1:$A$24), FALSE)), ""=4"") + COUNTIF(ARRAYFORMULA(HLOOKUP($B30, IMPORTRANGE('Match Names'!$E$23, CONCAT(VLOOKUP($C30, 'Match Names'!$1:$22, 5, FALSE), ""!C3:R29"")), ROW($A$1:$A$24), FALSE)), ""=4"") + COUNTIF(ARRAYFORMULA(H"&amp;"LOOKUP($B30, IMPORTRANGE('Match Names'!$F$23, CONCAT(VLOOKUP($C30, 'Match Names'!$1:$22, 6, FALSE), ""!C3:R29"")), ROW($A$1:$A$24), FALSE)), ""=4"") + COUNTIF(ARRAYFORMULA(HLOOKUP($B30, IMPORTRANGE('Match Names'!$G$23, CONCAT(VLOOKUP($C30, 'Match Names'!$"&amp;"1:$22, 7, FALSE), ""!C3:R29"")), ROW($A$1:$A$24), FALSE)), ""=4"") + COUNTIF(ARRAYFORMULA(HLOOKUP($B30, IMPORTRANGE('Match Names'!$H$23, CONCAT(VLOOKUP($C30, 'Match Names'!$1:$22, 8, FALSE), ""!C3:R29"")), ROW($A$1:$A$24), FALSE)), ""=4"")"),3.0)</f>
        <v>3</v>
      </c>
      <c r="F30" s="4">
        <f>IFERROR(__xludf.DUMMYFUNCTION("COUNTIF(ARRAYFORMULA(HLOOKUP($B30, IMPORTRANGE('Prelim Rankings Unsorted'!$B$40, CONCAT(VLOOKUP($C30, 'Match Names'!$A$1:$D$22, 2, FALSE), ""!C3:R29"")), ROW($A$1:$A$24), FALSE)), ""=0"") + COUNTIF(ARRAYFORMULA(HLOOKUP($B30, IMPORTRANGE('Prelim Rankings U"&amp;"nsorted'!$B$41, CONCAT(VLOOKUP($C30, 'Match Names'!$A$1:$D$22, 3, FALSE), ""!C3:R29"")), ROW($A$1:$A$24), FALSE)), ""=0"") + COUNTIF(ARRAYFORMULA(HLOOKUP($B30, IMPORTRANGE('Prelim Rankings Unsorted'!$B$42, CONCAT(VLOOKUP($C30, 'Match Names'!$A$1:$D$22, 4,"&amp;" FALSE), ""!C3:R29"")), ROW($A$1:$A$24), FALSE)), ""=0"") + COUNTIF(ARRAYFORMULA(HLOOKUP($B30, IMPORTRANGE('Match Names'!$E$23, CONCAT(VLOOKUP($C30, 'Match Names'!$1:$22, 5, FALSE), ""!C3:R29"")), ROW($A$1:$A$24), FALSE)), ""=0"") + COUNTIF(ARRAYFORMULA(H"&amp;"LOOKUP($B30, IMPORTRANGE('Match Names'!$F$23, CONCAT(VLOOKUP($C30, 'Match Names'!$1:$22, 6, FALSE), ""!C3:R29"")), ROW($A$1:$A$24), FALSE)), ""=0"") + COUNTIF(ARRAYFORMULA(HLOOKUP($B30, IMPORTRANGE('Match Names'!$G$23, CONCAT(VLOOKUP($C30, 'Match Names'!$"&amp;"1:$22, 7, FALSE), ""!C3:R29"")), ROW($A$1:$A$24), FALSE)), ""=0"") + COUNTIF(ARRAYFORMULA(HLOOKUP($B30, IMPORTRANGE('Match Names'!$H$23, CONCAT(VLOOKUP($C30, 'Match Names'!$1:$22, 8, FALSE), ""!C3:R29"")), ROW($A$1:$A$24), FALSE)), ""=0"")"),2.0)</f>
        <v>2</v>
      </c>
      <c r="G30" s="4">
        <f>IFERROR(__xludf.DUMMYFUNCTION("COUNTIF(ARRAYFORMULA(HLOOKUP($B30, IMPORTRANGE('Prelim Rankings Unsorted'!$B$40, CONCAT(VLOOKUP($C30, 'Match Names'!$A$1:$D$22, 2, FALSE), ""!C3:R29"")), ROW($A$1:$A$24), FALSE)), ""=-4"") + COUNTIF(ARRAYFORMULA(HLOOKUP($B30, IMPORTRANGE('Prelim Rankings "&amp;"Unsorted'!$B$41, CONCAT(VLOOKUP($C30, 'Match Names'!$A$1:$D$22, 3, FALSE), ""!C3:R29"")), ROW($A$1:$A$24), FALSE)), ""=-4"") + COUNTIF(ARRAYFORMULA(HLOOKUP($B30, IMPORTRANGE('Prelim Rankings Unsorted'!$B$42, CONCAT(VLOOKUP($C30, 'Match Names'!$A$1:$D$22, "&amp;"4, FALSE), ""!C3:R29"")), ROW($A$1:$A$24), FALSE)), ""=-4"") + COUNTIF(ARRAYFORMULA(HLOOKUP($B30, IMPORTRANGE('Match Names'!$E$23, CONCAT(VLOOKUP($C30, 'Match Names'!$1:$22, 5, FALSE), ""!C3:R29"")), ROW($A$1:$A$24), FALSE)), ""=-4"") + COUNTIF(ARRAYFORMU"&amp;"LA(HLOOKUP($B30, IMPORTRANGE('Match Names'!$F$23, CONCAT(VLOOKUP($C30, 'Match Names'!$1:$22, 6, FALSE), ""!C3:R29"")), ROW($A$1:$A$24), FALSE)), ""=-4"") + COUNTIF(ARRAYFORMULA(HLOOKUP($B30, IMPORTRANGE('Match Names'!$G$23, CONCAT(VLOOKUP($C30, 'Match Nam"&amp;"es'!$1:$22, 7, FALSE), ""!C3:R29"")), ROW($A$1:$A$24), FALSE)), ""=-4"") + COUNTIF(ARRAYFORMULA(HLOOKUP($B30, IMPORTRANGE('Match Names'!$H$23, CONCAT(VLOOKUP($C30, 'Match Names'!$1:$22, 8, FALSE), ""!C3:R29"")), ROW($A$1:$A$24), FALSE)), ""=-4"")"),0.0)</f>
        <v>0</v>
      </c>
      <c r="H30" s="4">
        <f t="shared" si="1"/>
        <v>2.19</v>
      </c>
      <c r="AA30" s="22" t="s">
        <v>218</v>
      </c>
    </row>
    <row r="31">
      <c r="A31" s="7" t="s">
        <v>186</v>
      </c>
      <c r="B31" s="7" t="str">
        <f>VLOOKUP(CONCAT(A31, C31), 'Discord Username to Real Name'!C:D, 2, FALSE)</f>
        <v>audrey#4828</v>
      </c>
      <c r="C31" s="21" t="s">
        <v>27</v>
      </c>
      <c r="D31" s="11">
        <f>IFERROR(__xludf.DUMMYFUNCTION("(23 - COUNTIF(IFERROR(ARRAYFORMULA(HLOOKUP($B31, IMPORTRANGE('Prelim Rankings Unsorted'!$B$40, CONCAT(VLOOKUP($C31, 'Match Names'!$A$1:$D$22, 2, FALSE), ""!C3:R29"")), ROW($A$1:$A$24), FALSE)), $AA$9:$AA$31), ""=X"")) + (23 - COUNTIF(IFERROR(ARRAYFORMULA("&amp;"HLOOKUP($B31, IMPORTRANGE('Prelim Rankings Unsorted'!$B$41, CONCAT(VLOOKUP($C31, 'Match Names'!$A$1:$D$22, 3, FALSE), ""!C3:R29"")), ROW($A$1:$A$24), FALSE)), $AA$9:$AA$31), ""=X"")) + (23 - COUNTIF(IFERROR(ARRAYFORMULA(HLOOKUP($B31, IMPORTRANGE('Prelim R"&amp;"ankings Unsorted'!$B$42, CONCAT(VLOOKUP($C31, 'Match Names'!$A$1:$D$22, 4, FALSE), ""!C3:R29"")), ROW($A$1:$A$24), FALSE)), $AA$9:$AA$31), ""=X"")) + (23 - COUNTIF(IFERROR(ARRAYFORMULA(HLOOKUP($B31, IMPORTRANGE('Match Names'!$E$23, CONCAT(VLOOKUP($C31, 'M"&amp;"atch Names'!$1:$22, 5, FALSE), ""!C3:R29"")), ROW($A$1:$A$24), FALSE)), $AA$9:$AA$31), ""=X"")) + (23 - COUNTIF(IFERROR(ARRAYFORMULA(HLOOKUP($B31, IMPORTRANGE('Match Names'!$F$23, CONCAT(VLOOKUP($C31, 'Match Names'!$1:$22, 6, FALSE), ""!C3:R29"")), ROW($A"&amp;"$1:$A$24), FALSE)), $AA$9:$AA$31), ""=X"")) + (23 - COUNTIF(IFERROR(ARRAYFORMULA(HLOOKUP($B31, IMPORTRANGE('Match Names'!$G$23, CONCAT(VLOOKUP($C31, 'Match Names'!$1:$22, 7, FALSE), ""!C3:R29"")), ROW($A$1:$A$24), FALSE)), $AA$9:$AA$31), ""=X"")) + (23 - "&amp;"COUNTIF(IFERROR(ARRAYFORMULA(HLOOKUP($B31, IMPORTRANGE('Match Names'!$H$23, CONCAT(VLOOKUP($C31, 'Match Names'!$1:$22, 8, FALSE), ""!C3:R29"")), ROW($A$1:$A$24), FALSE)), $AA$9:$AA$31), ""=X""))"),34.0)</f>
        <v>34</v>
      </c>
      <c r="E31" s="4">
        <f>IFERROR(__xludf.DUMMYFUNCTION("COUNTIF(ARRAYFORMULA(HLOOKUP($B31, IMPORTRANGE('Prelim Rankings Unsorted'!$B$40, CONCAT(VLOOKUP($C31, 'Match Names'!$A$1:$D$22, 2, FALSE), ""!C3:R29"")), ROW($A$1:$A$24), FALSE)), ""=4"") + COUNTIF(ARRAYFORMULA(HLOOKUP($B31, IMPORTRANGE('Prelim Rankings U"&amp;"nsorted'!$B$41, CONCAT(VLOOKUP($C31, 'Match Names'!$A$1:$D$22, 3, FALSE), ""!C3:R29"")), ROW($A$1:$A$24), FALSE)), ""=4"") + COUNTIF(ARRAYFORMULA(HLOOKUP($B31, IMPORTRANGE('Prelim Rankings Unsorted'!$B$42, CONCAT(VLOOKUP($C31, 'Match Names'!$A$1:$D$22, 4,"&amp;" FALSE), ""!C3:R29"")), ROW($A$1:$A$24), FALSE)), ""=4"") + COUNTIF(ARRAYFORMULA(HLOOKUP($B31, IMPORTRANGE('Match Names'!$E$23, CONCAT(VLOOKUP($C31, 'Match Names'!$1:$22, 5, FALSE), ""!C3:R29"")), ROW($A$1:$A$24), FALSE)), ""=4"") + COUNTIF(ARRAYFORMULA(H"&amp;"LOOKUP($B31, IMPORTRANGE('Match Names'!$F$23, CONCAT(VLOOKUP($C31, 'Match Names'!$1:$22, 6, FALSE), ""!C3:R29"")), ROW($A$1:$A$24), FALSE)), ""=4"") + COUNTIF(ARRAYFORMULA(HLOOKUP($B31, IMPORTRANGE('Match Names'!$G$23, CONCAT(VLOOKUP($C31, 'Match Names'!$"&amp;"1:$22, 7, FALSE), ""!C3:R29"")), ROW($A$1:$A$24), FALSE)), ""=4"") + COUNTIF(ARRAYFORMULA(HLOOKUP($B31, IMPORTRANGE('Match Names'!$H$23, CONCAT(VLOOKUP($C31, 'Match Names'!$1:$22, 8, FALSE), ""!C3:R29"")), ROW($A$1:$A$24), FALSE)), ""=4"")"),0.0)</f>
        <v>0</v>
      </c>
      <c r="F31" s="4">
        <f>IFERROR(__xludf.DUMMYFUNCTION("COUNTIF(ARRAYFORMULA(HLOOKUP($B31, IMPORTRANGE('Prelim Rankings Unsorted'!$B$40, CONCAT(VLOOKUP($C31, 'Match Names'!$A$1:$D$22, 2, FALSE), ""!C3:R29"")), ROW($A$1:$A$24), FALSE)), ""=0"") + COUNTIF(ARRAYFORMULA(HLOOKUP($B31, IMPORTRANGE('Prelim Rankings U"&amp;"nsorted'!$B$41, CONCAT(VLOOKUP($C31, 'Match Names'!$A$1:$D$22, 3, FALSE), ""!C3:R29"")), ROW($A$1:$A$24), FALSE)), ""=0"") + COUNTIF(ARRAYFORMULA(HLOOKUP($B31, IMPORTRANGE('Prelim Rankings Unsorted'!$B$42, CONCAT(VLOOKUP($C31, 'Match Names'!$A$1:$D$22, 4,"&amp;" FALSE), ""!C3:R29"")), ROW($A$1:$A$24), FALSE)), ""=0"") + COUNTIF(ARRAYFORMULA(HLOOKUP($B31, IMPORTRANGE('Match Names'!$E$23, CONCAT(VLOOKUP($C31, 'Match Names'!$1:$22, 5, FALSE), ""!C3:R29"")), ROW($A$1:$A$24), FALSE)), ""=0"") + COUNTIF(ARRAYFORMULA(H"&amp;"LOOKUP($B31, IMPORTRANGE('Match Names'!$F$23, CONCAT(VLOOKUP($C31, 'Match Names'!$1:$22, 6, FALSE), ""!C3:R29"")), ROW($A$1:$A$24), FALSE)), ""=0"") + COUNTIF(ARRAYFORMULA(HLOOKUP($B31, IMPORTRANGE('Match Names'!$G$23, CONCAT(VLOOKUP($C31, 'Match Names'!$"&amp;"1:$22, 7, FALSE), ""!C3:R29"")), ROW($A$1:$A$24), FALSE)), ""=0"") + COUNTIF(ARRAYFORMULA(HLOOKUP($B31, IMPORTRANGE('Match Names'!$H$23, CONCAT(VLOOKUP($C31, 'Match Names'!$1:$22, 8, FALSE), ""!C3:R29"")), ROW($A$1:$A$24), FALSE)), ""=0"")"),1.0)</f>
        <v>1</v>
      </c>
      <c r="G31" s="4">
        <f>IFERROR(__xludf.DUMMYFUNCTION("COUNTIF(ARRAYFORMULA(HLOOKUP($B31, IMPORTRANGE('Prelim Rankings Unsorted'!$B$40, CONCAT(VLOOKUP($C31, 'Match Names'!$A$1:$D$22, 2, FALSE), ""!C3:R29"")), ROW($A$1:$A$24), FALSE)), ""=-4"") + COUNTIF(ARRAYFORMULA(HLOOKUP($B31, IMPORTRANGE('Prelim Rankings "&amp;"Unsorted'!$B$41, CONCAT(VLOOKUP($C31, 'Match Names'!$A$1:$D$22, 3, FALSE), ""!C3:R29"")), ROW($A$1:$A$24), FALSE)), ""=-4"") + COUNTIF(ARRAYFORMULA(HLOOKUP($B31, IMPORTRANGE('Prelim Rankings Unsorted'!$B$42, CONCAT(VLOOKUP($C31, 'Match Names'!$A$1:$D$22, "&amp;"4, FALSE), ""!C3:R29"")), ROW($A$1:$A$24), FALSE)), ""=-4"") + COUNTIF(ARRAYFORMULA(HLOOKUP($B31, IMPORTRANGE('Match Names'!$E$23, CONCAT(VLOOKUP($C31, 'Match Names'!$1:$22, 5, FALSE), ""!C3:R29"")), ROW($A$1:$A$24), FALSE)), ""=-4"") + COUNTIF(ARRAYFORMU"&amp;"LA(HLOOKUP($B31, IMPORTRANGE('Match Names'!$F$23, CONCAT(VLOOKUP($C31, 'Match Names'!$1:$22, 6, FALSE), ""!C3:R29"")), ROW($A$1:$A$24), FALSE)), ""=-4"") + COUNTIF(ARRAYFORMULA(HLOOKUP($B31, IMPORTRANGE('Match Names'!$G$23, CONCAT(VLOOKUP($C31, 'Match Nam"&amp;"es'!$1:$22, 7, FALSE), ""!C3:R29"")), ROW($A$1:$A$24), FALSE)), ""=-4"") + COUNTIF(ARRAYFORMULA(HLOOKUP($B31, IMPORTRANGE('Match Names'!$H$23, CONCAT(VLOOKUP($C31, 'Match Names'!$1:$22, 8, FALSE), ""!C3:R29"")), ROW($A$1:$A$24), FALSE)), ""=-4"")"),0.0)</f>
        <v>0</v>
      </c>
      <c r="H31" s="4">
        <f t="shared" si="1"/>
        <v>0</v>
      </c>
      <c r="AA31" s="22" t="s">
        <v>218</v>
      </c>
    </row>
    <row r="32">
      <c r="A32" s="7" t="s">
        <v>104</v>
      </c>
      <c r="B32" s="7" t="str">
        <f>VLOOKUP(CONCAT(A32, C32), 'Discord Username to Real Name'!C:D, 2, FALSE)</f>
        <v>Logan L.#8589</v>
      </c>
      <c r="C32" s="21" t="s">
        <v>27</v>
      </c>
      <c r="D32" s="11">
        <f>IFERROR(__xludf.DUMMYFUNCTION("(23 - COUNTIF(IFERROR(ARRAYFORMULA(HLOOKUP($B32, IMPORTRANGE('Prelim Rankings Unsorted'!$B$40, CONCAT(VLOOKUP($C32, 'Match Names'!$A$1:$D$22, 2, FALSE), ""!C3:R29"")), ROW($A$1:$A$24), FALSE)), $AA$9:$AA$31), ""=X"")) + (23 - COUNTIF(IFERROR(ARRAYFORMULA("&amp;"HLOOKUP($B32, IMPORTRANGE('Prelim Rankings Unsorted'!$B$41, CONCAT(VLOOKUP($C32, 'Match Names'!$A$1:$D$22, 3, FALSE), ""!C3:R29"")), ROW($A$1:$A$24), FALSE)), $AA$9:$AA$31), ""=X"")) + (23 - COUNTIF(IFERROR(ARRAYFORMULA(HLOOKUP($B32, IMPORTRANGE('Prelim R"&amp;"ankings Unsorted'!$B$42, CONCAT(VLOOKUP($C32, 'Match Names'!$A$1:$D$22, 4, FALSE), ""!C3:R29"")), ROW($A$1:$A$24), FALSE)), $AA$9:$AA$31), ""=X"")) + (23 - COUNTIF(IFERROR(ARRAYFORMULA(HLOOKUP($B32, IMPORTRANGE('Match Names'!$E$23, CONCAT(VLOOKUP($C32, 'M"&amp;"atch Names'!$1:$22, 5, FALSE), ""!C3:R29"")), ROW($A$1:$A$24), FALSE)), $AA$9:$AA$31), ""=X"")) + (23 - COUNTIF(IFERROR(ARRAYFORMULA(HLOOKUP($B32, IMPORTRANGE('Match Names'!$F$23, CONCAT(VLOOKUP($C32, 'Match Names'!$1:$22, 6, FALSE), ""!C3:R29"")), ROW($A"&amp;"$1:$A$24), FALSE)), $AA$9:$AA$31), ""=X"")) + (23 - COUNTIF(IFERROR(ARRAYFORMULA(HLOOKUP($B32, IMPORTRANGE('Match Names'!$G$23, CONCAT(VLOOKUP($C32, 'Match Names'!$1:$22, 7, FALSE), ""!C3:R29"")), ROW($A$1:$A$24), FALSE)), $AA$9:$AA$31), ""=X"")) + (23 - "&amp;"COUNTIF(IFERROR(ARRAYFORMULA(HLOOKUP($B32, IMPORTRANGE('Match Names'!$H$23, CONCAT(VLOOKUP($C32, 'Match Names'!$1:$22, 8, FALSE), ""!C3:R29"")), ROW($A$1:$A$24), FALSE)), $AA$9:$AA$31), ""=X""))"),127.0)</f>
        <v>127</v>
      </c>
      <c r="E32" s="4">
        <f>IFERROR(__xludf.DUMMYFUNCTION("COUNTIF(ARRAYFORMULA(HLOOKUP($B32, IMPORTRANGE('Prelim Rankings Unsorted'!$B$40, CONCAT(VLOOKUP($C32, 'Match Names'!$A$1:$D$22, 2, FALSE), ""!C3:R29"")), ROW($A$1:$A$24), FALSE)), ""=4"") + COUNTIF(ARRAYFORMULA(HLOOKUP($B32, IMPORTRANGE('Prelim Rankings U"&amp;"nsorted'!$B$41, CONCAT(VLOOKUP($C32, 'Match Names'!$A$1:$D$22, 3, FALSE), ""!C3:R29"")), ROW($A$1:$A$24), FALSE)), ""=4"") + COUNTIF(ARRAYFORMULA(HLOOKUP($B32, IMPORTRANGE('Prelim Rankings Unsorted'!$B$42, CONCAT(VLOOKUP($C32, 'Match Names'!$A$1:$D$22, 4,"&amp;" FALSE), ""!C3:R29"")), ROW($A$1:$A$24), FALSE)), ""=4"") + COUNTIF(ARRAYFORMULA(HLOOKUP($B32, IMPORTRANGE('Match Names'!$E$23, CONCAT(VLOOKUP($C32, 'Match Names'!$1:$22, 5, FALSE), ""!C3:R29"")), ROW($A$1:$A$24), FALSE)), ""=4"") + COUNTIF(ARRAYFORMULA(H"&amp;"LOOKUP($B32, IMPORTRANGE('Match Names'!$F$23, CONCAT(VLOOKUP($C32, 'Match Names'!$1:$22, 6, FALSE), ""!C3:R29"")), ROW($A$1:$A$24), FALSE)), ""=4"") + COUNTIF(ARRAYFORMULA(HLOOKUP($B32, IMPORTRANGE('Match Names'!$G$23, CONCAT(VLOOKUP($C32, 'Match Names'!$"&amp;"1:$22, 7, FALSE), ""!C3:R29"")), ROW($A$1:$A$24), FALSE)), ""=4"") + COUNTIF(ARRAYFORMULA(HLOOKUP($B32, IMPORTRANGE('Match Names'!$H$23, CONCAT(VLOOKUP($C32, 'Match Names'!$1:$22, 8, FALSE), ""!C3:R29"")), ROW($A$1:$A$24), FALSE)), ""=4"")"),10.0)</f>
        <v>10</v>
      </c>
      <c r="F32" s="4">
        <f>IFERROR(__xludf.DUMMYFUNCTION("COUNTIF(ARRAYFORMULA(HLOOKUP($B32, IMPORTRANGE('Prelim Rankings Unsorted'!$B$40, CONCAT(VLOOKUP($C32, 'Match Names'!$A$1:$D$22, 2, FALSE), ""!C3:R29"")), ROW($A$1:$A$24), FALSE)), ""=0"") + COUNTIF(ARRAYFORMULA(HLOOKUP($B32, IMPORTRANGE('Prelim Rankings U"&amp;"nsorted'!$B$41, CONCAT(VLOOKUP($C32, 'Match Names'!$A$1:$D$22, 3, FALSE), ""!C3:R29"")), ROW($A$1:$A$24), FALSE)), ""=0"") + COUNTIF(ARRAYFORMULA(HLOOKUP($B32, IMPORTRANGE('Prelim Rankings Unsorted'!$B$42, CONCAT(VLOOKUP($C32, 'Match Names'!$A$1:$D$22, 4,"&amp;" FALSE), ""!C3:R29"")), ROW($A$1:$A$24), FALSE)), ""=0"") + COUNTIF(ARRAYFORMULA(HLOOKUP($B32, IMPORTRANGE('Match Names'!$E$23, CONCAT(VLOOKUP($C32, 'Match Names'!$1:$22, 5, FALSE), ""!C3:R29"")), ROW($A$1:$A$24), FALSE)), ""=0"") + COUNTIF(ARRAYFORMULA(H"&amp;"LOOKUP($B32, IMPORTRANGE('Match Names'!$F$23, CONCAT(VLOOKUP($C32, 'Match Names'!$1:$22, 6, FALSE), ""!C3:R29"")), ROW($A$1:$A$24), FALSE)), ""=0"") + COUNTIF(ARRAYFORMULA(HLOOKUP($B32, IMPORTRANGE('Match Names'!$G$23, CONCAT(VLOOKUP($C32, 'Match Names'!$"&amp;"1:$22, 7, FALSE), ""!C3:R29"")), ROW($A$1:$A$24), FALSE)), ""=0"") + COUNTIF(ARRAYFORMULA(HLOOKUP($B32, IMPORTRANGE('Match Names'!$H$23, CONCAT(VLOOKUP($C32, 'Match Names'!$1:$22, 8, FALSE), ""!C3:R29"")), ROW($A$1:$A$24), FALSE)), ""=0"")"),11.0)</f>
        <v>11</v>
      </c>
      <c r="G32" s="4">
        <f>IFERROR(__xludf.DUMMYFUNCTION("COUNTIF(ARRAYFORMULA(HLOOKUP($B32, IMPORTRANGE('Prelim Rankings Unsorted'!$B$40, CONCAT(VLOOKUP($C32, 'Match Names'!$A$1:$D$22, 2, FALSE), ""!C3:R29"")), ROW($A$1:$A$24), FALSE)), ""=-4"") + COUNTIF(ARRAYFORMULA(HLOOKUP($B32, IMPORTRANGE('Prelim Rankings "&amp;"Unsorted'!$B$41, CONCAT(VLOOKUP($C32, 'Match Names'!$A$1:$D$22, 3, FALSE), ""!C3:R29"")), ROW($A$1:$A$24), FALSE)), ""=-4"") + COUNTIF(ARRAYFORMULA(HLOOKUP($B32, IMPORTRANGE('Prelim Rankings Unsorted'!$B$42, CONCAT(VLOOKUP($C32, 'Match Names'!$A$1:$D$22, "&amp;"4, FALSE), ""!C3:R29"")), ROW($A$1:$A$24), FALSE)), ""=-4"") + COUNTIF(ARRAYFORMULA(HLOOKUP($B32, IMPORTRANGE('Match Names'!$E$23, CONCAT(VLOOKUP($C32, 'Match Names'!$1:$22, 5, FALSE), ""!C3:R29"")), ROW($A$1:$A$24), FALSE)), ""=-4"") + COUNTIF(ARRAYFORMU"&amp;"LA(HLOOKUP($B32, IMPORTRANGE('Match Names'!$F$23, CONCAT(VLOOKUP($C32, 'Match Names'!$1:$22, 6, FALSE), ""!C3:R29"")), ROW($A$1:$A$24), FALSE)), ""=-4"") + COUNTIF(ARRAYFORMULA(HLOOKUP($B32, IMPORTRANGE('Match Names'!$G$23, CONCAT(VLOOKUP($C32, 'Match Nam"&amp;"es'!$1:$22, 7, FALSE), ""!C3:R29"")), ROW($A$1:$A$24), FALSE)), ""=-4"") + COUNTIF(ARRAYFORMULA(HLOOKUP($B32, IMPORTRANGE('Match Names'!$H$23, CONCAT(VLOOKUP($C32, 'Match Names'!$1:$22, 8, FALSE), ""!C3:R29"")), ROW($A$1:$A$24), FALSE)), ""=-4"")"),2.0)</f>
        <v>2</v>
      </c>
      <c r="H32" s="4">
        <f t="shared" si="1"/>
        <v>5.8</v>
      </c>
      <c r="AA32" s="37"/>
    </row>
    <row r="33">
      <c r="A33" s="7" t="s">
        <v>45</v>
      </c>
      <c r="B33" s="7" t="str">
        <f>VLOOKUP(CONCAT(A33, C33), 'Discord Username to Real Name'!C:D, 2, FALSE)</f>
        <v>(Stitch)^2#3169</v>
      </c>
      <c r="C33" s="7" t="s">
        <v>20</v>
      </c>
      <c r="D33" s="11">
        <f>IFERROR(__xludf.DUMMYFUNCTION("(23 - COUNTIF(IFERROR(ARRAYFORMULA(HLOOKUP($B33, IMPORTRANGE('Prelim Rankings Unsorted'!$B$40, CONCAT(VLOOKUP($C33, 'Match Names'!$A$1:$D$22, 2, FALSE), ""!C3:R29"")), ROW($A$1:$A$24), FALSE)), $AA$9:$AA$31), ""=X"")) + (23 - COUNTIF(IFERROR(ARRAYFORMULA("&amp;"HLOOKUP($B33, IMPORTRANGE('Prelim Rankings Unsorted'!$B$41, CONCAT(VLOOKUP($C33, 'Match Names'!$A$1:$D$22, 3, FALSE), ""!C3:R29"")), ROW($A$1:$A$24), FALSE)), $AA$9:$AA$31), ""=X"")) + (23 - COUNTIF(IFERROR(ARRAYFORMULA(HLOOKUP($B33, IMPORTRANGE('Prelim R"&amp;"ankings Unsorted'!$B$42, CONCAT(VLOOKUP($C33, 'Match Names'!$A$1:$D$22, 4, FALSE), ""!C3:R29"")), ROW($A$1:$A$24), FALSE)), $AA$9:$AA$31), ""=X"")) + (23 - COUNTIF(IFERROR(ARRAYFORMULA(HLOOKUP($B33, IMPORTRANGE('Match Names'!$E$23, CONCAT(VLOOKUP($C33, 'M"&amp;"atch Names'!$1:$22, 5, FALSE), ""!C3:R29"")), ROW($A$1:$A$24), FALSE)), $AA$9:$AA$31), ""=X"")) + (23 - COUNTIF(IFERROR(ARRAYFORMULA(HLOOKUP($B33, IMPORTRANGE('Match Names'!$F$23, CONCAT(VLOOKUP($C33, 'Match Names'!$1:$22, 6, FALSE), ""!C3:R29"")), ROW($A"&amp;"$1:$A$24), FALSE)), $AA$9:$AA$31), ""=X"")) + (23 - COUNTIF(IFERROR(ARRAYFORMULA(HLOOKUP($B33, IMPORTRANGE('Match Names'!$G$23, CONCAT(VLOOKUP($C33, 'Match Names'!$1:$22, 7, FALSE), ""!C3:R29"")), ROW($A$1:$A$24), FALSE)), $AA$9:$AA$31), ""=X"")) + (23 - "&amp;"COUNTIF(IFERROR(ARRAYFORMULA(HLOOKUP($B33, IMPORTRANGE('Match Names'!$H$23, CONCAT(VLOOKUP($C33, 'Match Names'!$1:$22, 8, FALSE), ""!C3:R29"")), ROW($A$1:$A$24), FALSE)), $AA$9:$AA$31), ""=X""))"),138.0)</f>
        <v>138</v>
      </c>
      <c r="E33" s="4">
        <f>IFERROR(__xludf.DUMMYFUNCTION("COUNTIF(ARRAYFORMULA(HLOOKUP($B33, IMPORTRANGE('Prelim Rankings Unsorted'!$B$40, CONCAT(VLOOKUP($C33, 'Match Names'!$A$1:$D$22, 2, FALSE), ""!C3:R29"")), ROW($A$1:$A$24), FALSE)), ""=4"") + COUNTIF(ARRAYFORMULA(HLOOKUP($B33, IMPORTRANGE('Prelim Rankings U"&amp;"nsorted'!$B$41, CONCAT(VLOOKUP($C33, 'Match Names'!$A$1:$D$22, 3, FALSE), ""!C3:R29"")), ROW($A$1:$A$24), FALSE)), ""=4"") + COUNTIF(ARRAYFORMULA(HLOOKUP($B33, IMPORTRANGE('Prelim Rankings Unsorted'!$B$42, CONCAT(VLOOKUP($C33, 'Match Names'!$A$1:$D$22, 4,"&amp;" FALSE), ""!C3:R29"")), ROW($A$1:$A$24), FALSE)), ""=4"") + COUNTIF(ARRAYFORMULA(HLOOKUP($B33, IMPORTRANGE('Match Names'!$E$23, CONCAT(VLOOKUP($C33, 'Match Names'!$1:$22, 5, FALSE), ""!C3:R29"")), ROW($A$1:$A$24), FALSE)), ""=4"") + COUNTIF(ARRAYFORMULA(H"&amp;"LOOKUP($B33, IMPORTRANGE('Match Names'!$F$23, CONCAT(VLOOKUP($C33, 'Match Names'!$1:$22, 6, FALSE), ""!C3:R29"")), ROW($A$1:$A$24), FALSE)), ""=4"") + COUNTIF(ARRAYFORMULA(HLOOKUP($B33, IMPORTRANGE('Match Names'!$G$23, CONCAT(VLOOKUP($C33, 'Match Names'!$"&amp;"1:$22, 7, FALSE), ""!C3:R29"")), ROW($A$1:$A$24), FALSE)), ""=4"") + COUNTIF(ARRAYFORMULA(HLOOKUP($B33, IMPORTRANGE('Match Names'!$H$23, CONCAT(VLOOKUP($C33, 'Match Names'!$1:$22, 8, FALSE), ""!C3:R29"")), ROW($A$1:$A$24), FALSE)), ""=4"")"),26.0)</f>
        <v>26</v>
      </c>
      <c r="F33" s="4">
        <f>IFERROR(__xludf.DUMMYFUNCTION("COUNTIF(ARRAYFORMULA(HLOOKUP($B33, IMPORTRANGE('Prelim Rankings Unsorted'!$B$40, CONCAT(VLOOKUP($C33, 'Match Names'!$A$1:$D$22, 2, FALSE), ""!C3:R29"")), ROW($A$1:$A$24), FALSE)), ""=0"") + COUNTIF(ARRAYFORMULA(HLOOKUP($B33, IMPORTRANGE('Prelim Rankings U"&amp;"nsorted'!$B$41, CONCAT(VLOOKUP($C33, 'Match Names'!$A$1:$D$22, 3, FALSE), ""!C3:R29"")), ROW($A$1:$A$24), FALSE)), ""=0"") + COUNTIF(ARRAYFORMULA(HLOOKUP($B33, IMPORTRANGE('Prelim Rankings Unsorted'!$B$42, CONCAT(VLOOKUP($C33, 'Match Names'!$A$1:$D$22, 4,"&amp;" FALSE), ""!C3:R29"")), ROW($A$1:$A$24), FALSE)), ""=0"") + COUNTIF(ARRAYFORMULA(HLOOKUP($B33, IMPORTRANGE('Match Names'!$E$23, CONCAT(VLOOKUP($C33, 'Match Names'!$1:$22, 5, FALSE), ""!C3:R29"")), ROW($A$1:$A$24), FALSE)), ""=0"") + COUNTIF(ARRAYFORMULA(H"&amp;"LOOKUP($B33, IMPORTRANGE('Match Names'!$F$23, CONCAT(VLOOKUP($C33, 'Match Names'!$1:$22, 6, FALSE), ""!C3:R29"")), ROW($A$1:$A$24), FALSE)), ""=0"") + COUNTIF(ARRAYFORMULA(HLOOKUP($B33, IMPORTRANGE('Match Names'!$G$23, CONCAT(VLOOKUP($C33, 'Match Names'!$"&amp;"1:$22, 7, FALSE), ""!C3:R29"")), ROW($A$1:$A$24), FALSE)), ""=0"") + COUNTIF(ARRAYFORMULA(HLOOKUP($B33, IMPORTRANGE('Match Names'!$H$23, CONCAT(VLOOKUP($C33, 'Match Names'!$1:$22, 8, FALSE), ""!C3:R29"")), ROW($A$1:$A$24), FALSE)), ""=0"")"),31.0)</f>
        <v>31</v>
      </c>
      <c r="G33" s="4">
        <f>IFERROR(__xludf.DUMMYFUNCTION("COUNTIF(ARRAYFORMULA(HLOOKUP($B33, IMPORTRANGE('Prelim Rankings Unsorted'!$B$40, CONCAT(VLOOKUP($C33, 'Match Names'!$A$1:$D$22, 2, FALSE), ""!C3:R29"")), ROW($A$1:$A$24), FALSE)), ""=-4"") + COUNTIF(ARRAYFORMULA(HLOOKUP($B33, IMPORTRANGE('Prelim Rankings "&amp;"Unsorted'!$B$41, CONCAT(VLOOKUP($C33, 'Match Names'!$A$1:$D$22, 3, FALSE), ""!C3:R29"")), ROW($A$1:$A$24), FALSE)), ""=-4"") + COUNTIF(ARRAYFORMULA(HLOOKUP($B33, IMPORTRANGE('Prelim Rankings Unsorted'!$B$42, CONCAT(VLOOKUP($C33, 'Match Names'!$A$1:$D$22, "&amp;"4, FALSE), ""!C3:R29"")), ROW($A$1:$A$24), FALSE)), ""=-4"") + COUNTIF(ARRAYFORMULA(HLOOKUP($B33, IMPORTRANGE('Match Names'!$E$23, CONCAT(VLOOKUP($C33, 'Match Names'!$1:$22, 5, FALSE), ""!C3:R29"")), ROW($A$1:$A$24), FALSE)), ""=-4"") + COUNTIF(ARRAYFORMU"&amp;"LA(HLOOKUP($B33, IMPORTRANGE('Match Names'!$F$23, CONCAT(VLOOKUP($C33, 'Match Names'!$1:$22, 6, FALSE), ""!C3:R29"")), ROW($A$1:$A$24), FALSE)), ""=-4"") + COUNTIF(ARRAYFORMULA(HLOOKUP($B33, IMPORTRANGE('Match Names'!$G$23, CONCAT(VLOOKUP($C33, 'Match Nam"&amp;"es'!$1:$22, 7, FALSE), ""!C3:R29"")), ROW($A$1:$A$24), FALSE)), ""=-4"") + COUNTIF(ARRAYFORMULA(HLOOKUP($B33, IMPORTRANGE('Match Names'!$H$23, CONCAT(VLOOKUP($C33, 'Match Names'!$1:$22, 8, FALSE), ""!C3:R29"")), ROW($A$1:$A$24), FALSE)), ""=-4"")"),0.0)</f>
        <v>0</v>
      </c>
      <c r="H33" s="4">
        <f t="shared" si="1"/>
        <v>17.33</v>
      </c>
    </row>
    <row r="34">
      <c r="A34" s="7" t="s">
        <v>108</v>
      </c>
      <c r="B34" s="7" t="str">
        <f>VLOOKUP(CONCAT(A34, C34), 'Discord Username to Real Name'!C:D, 2, FALSE)</f>
        <v>Oshimimers#4758</v>
      </c>
      <c r="C34" s="7" t="s">
        <v>20</v>
      </c>
      <c r="D34" s="11">
        <f>IFERROR(__xludf.DUMMYFUNCTION("(23 - COUNTIF(IFERROR(ARRAYFORMULA(HLOOKUP($B34, IMPORTRANGE('Prelim Rankings Unsorted'!$B$40, CONCAT(VLOOKUP($C34, 'Match Names'!$A$1:$D$22, 2, FALSE), ""!C3:R29"")), ROW($A$1:$A$24), FALSE)), $AA$9:$AA$31), ""=X"")) + (23 - COUNTIF(IFERROR(ARRAYFORMULA("&amp;"HLOOKUP($B34, IMPORTRANGE('Prelim Rankings Unsorted'!$B$41, CONCAT(VLOOKUP($C34, 'Match Names'!$A$1:$D$22, 3, FALSE), ""!C3:R29"")), ROW($A$1:$A$24), FALSE)), $AA$9:$AA$31), ""=X"")) + (23 - COUNTIF(IFERROR(ARRAYFORMULA(HLOOKUP($B34, IMPORTRANGE('Prelim R"&amp;"ankings Unsorted'!$B$42, CONCAT(VLOOKUP($C34, 'Match Names'!$A$1:$D$22, 4, FALSE), ""!C3:R29"")), ROW($A$1:$A$24), FALSE)), $AA$9:$AA$31), ""=X"")) + (23 - COUNTIF(IFERROR(ARRAYFORMULA(HLOOKUP($B34, IMPORTRANGE('Match Names'!$E$23, CONCAT(VLOOKUP($C34, 'M"&amp;"atch Names'!$1:$22, 5, FALSE), ""!C3:R29"")), ROW($A$1:$A$24), FALSE)), $AA$9:$AA$31), ""=X"")) + (23 - COUNTIF(IFERROR(ARRAYFORMULA(HLOOKUP($B34, IMPORTRANGE('Match Names'!$F$23, CONCAT(VLOOKUP($C34, 'Match Names'!$1:$22, 6, FALSE), ""!C3:R29"")), ROW($A"&amp;"$1:$A$24), FALSE)), $AA$9:$AA$31), ""=X"")) + (23 - COUNTIF(IFERROR(ARRAYFORMULA(HLOOKUP($B34, IMPORTRANGE('Match Names'!$G$23, CONCAT(VLOOKUP($C34, 'Match Names'!$1:$22, 7, FALSE), ""!C3:R29"")), ROW($A$1:$A$24), FALSE)), $AA$9:$AA$31), ""=X"")) + (23 - "&amp;"COUNTIF(IFERROR(ARRAYFORMULA(HLOOKUP($B34, IMPORTRANGE('Match Names'!$H$23, CONCAT(VLOOKUP($C34, 'Match Names'!$1:$22, 8, FALSE), ""!C3:R29"")), ROW($A$1:$A$24), FALSE)), $AA$9:$AA$31), ""=X""))"),138.0)</f>
        <v>138</v>
      </c>
      <c r="E34" s="4">
        <f>IFERROR(__xludf.DUMMYFUNCTION("COUNTIF(ARRAYFORMULA(HLOOKUP($B34, IMPORTRANGE('Prelim Rankings Unsorted'!$B$40, CONCAT(VLOOKUP($C34, 'Match Names'!$A$1:$D$22, 2, FALSE), ""!C3:R29"")), ROW($A$1:$A$24), FALSE)), ""=4"") + COUNTIF(ARRAYFORMULA(HLOOKUP($B34, IMPORTRANGE('Prelim Rankings U"&amp;"nsorted'!$B$41, CONCAT(VLOOKUP($C34, 'Match Names'!$A$1:$D$22, 3, FALSE), ""!C3:R29"")), ROW($A$1:$A$24), FALSE)), ""=4"") + COUNTIF(ARRAYFORMULA(HLOOKUP($B34, IMPORTRANGE('Prelim Rankings Unsorted'!$B$42, CONCAT(VLOOKUP($C34, 'Match Names'!$A$1:$D$22, 4,"&amp;" FALSE), ""!C3:R29"")), ROW($A$1:$A$24), FALSE)), ""=4"") + COUNTIF(ARRAYFORMULA(HLOOKUP($B34, IMPORTRANGE('Match Names'!$E$23, CONCAT(VLOOKUP($C34, 'Match Names'!$1:$22, 5, FALSE), ""!C3:R29"")), ROW($A$1:$A$24), FALSE)), ""=4"") + COUNTIF(ARRAYFORMULA(H"&amp;"LOOKUP($B34, IMPORTRANGE('Match Names'!$F$23, CONCAT(VLOOKUP($C34, 'Match Names'!$1:$22, 6, FALSE), ""!C3:R29"")), ROW($A$1:$A$24), FALSE)), ""=4"") + COUNTIF(ARRAYFORMULA(HLOOKUP($B34, IMPORTRANGE('Match Names'!$G$23, CONCAT(VLOOKUP($C34, 'Match Names'!$"&amp;"1:$22, 7, FALSE), ""!C3:R29"")), ROW($A$1:$A$24), FALSE)), ""=4"") + COUNTIF(ARRAYFORMULA(HLOOKUP($B34, IMPORTRANGE('Match Names'!$H$23, CONCAT(VLOOKUP($C34, 'Match Names'!$1:$22, 8, FALSE), ""!C3:R29"")), ROW($A$1:$A$24), FALSE)), ""=4"")"),14.0)</f>
        <v>14</v>
      </c>
      <c r="F34" s="4">
        <f>IFERROR(__xludf.DUMMYFUNCTION("COUNTIF(ARRAYFORMULA(HLOOKUP($B34, IMPORTRANGE('Prelim Rankings Unsorted'!$B$40, CONCAT(VLOOKUP($C34, 'Match Names'!$A$1:$D$22, 2, FALSE), ""!C3:R29"")), ROW($A$1:$A$24), FALSE)), ""=0"") + COUNTIF(ARRAYFORMULA(HLOOKUP($B34, IMPORTRANGE('Prelim Rankings U"&amp;"nsorted'!$B$41, CONCAT(VLOOKUP($C34, 'Match Names'!$A$1:$D$22, 3, FALSE), ""!C3:R29"")), ROW($A$1:$A$24), FALSE)), ""=0"") + COUNTIF(ARRAYFORMULA(HLOOKUP($B34, IMPORTRANGE('Prelim Rankings Unsorted'!$B$42, CONCAT(VLOOKUP($C34, 'Match Names'!$A$1:$D$22, 4,"&amp;" FALSE), ""!C3:R29"")), ROW($A$1:$A$24), FALSE)), ""=0"") + COUNTIF(ARRAYFORMULA(HLOOKUP($B34, IMPORTRANGE('Match Names'!$E$23, CONCAT(VLOOKUP($C34, 'Match Names'!$1:$22, 5, FALSE), ""!C3:R29"")), ROW($A$1:$A$24), FALSE)), ""=0"") + COUNTIF(ARRAYFORMULA(H"&amp;"LOOKUP($B34, IMPORTRANGE('Match Names'!$F$23, CONCAT(VLOOKUP($C34, 'Match Names'!$1:$22, 6, FALSE), ""!C3:R29"")), ROW($A$1:$A$24), FALSE)), ""=0"") + COUNTIF(ARRAYFORMULA(HLOOKUP($B34, IMPORTRANGE('Match Names'!$G$23, CONCAT(VLOOKUP($C34, 'Match Names'!$"&amp;"1:$22, 7, FALSE), ""!C3:R29"")), ROW($A$1:$A$24), FALSE)), ""=0"") + COUNTIF(ARRAYFORMULA(HLOOKUP($B34, IMPORTRANGE('Match Names'!$H$23, CONCAT(VLOOKUP($C34, 'Match Names'!$1:$22, 8, FALSE), ""!C3:R29"")), ROW($A$1:$A$24), FALSE)), ""=0"")"),4.0)</f>
        <v>4</v>
      </c>
      <c r="G34" s="4">
        <f>IFERROR(__xludf.DUMMYFUNCTION("COUNTIF(ARRAYFORMULA(HLOOKUP($B34, IMPORTRANGE('Prelim Rankings Unsorted'!$B$40, CONCAT(VLOOKUP($C34, 'Match Names'!$A$1:$D$22, 2, FALSE), ""!C3:R29"")), ROW($A$1:$A$24), FALSE)), ""=-4"") + COUNTIF(ARRAYFORMULA(HLOOKUP($B34, IMPORTRANGE('Prelim Rankings "&amp;"Unsorted'!$B$41, CONCAT(VLOOKUP($C34, 'Match Names'!$A$1:$D$22, 3, FALSE), ""!C3:R29"")), ROW($A$1:$A$24), FALSE)), ""=-4"") + COUNTIF(ARRAYFORMULA(HLOOKUP($B34, IMPORTRANGE('Prelim Rankings Unsorted'!$B$42, CONCAT(VLOOKUP($C34, 'Match Names'!$A$1:$D$22, "&amp;"4, FALSE), ""!C3:R29"")), ROW($A$1:$A$24), FALSE)), ""=-4"") + COUNTIF(ARRAYFORMULA(HLOOKUP($B34, IMPORTRANGE('Match Names'!$E$23, CONCAT(VLOOKUP($C34, 'Match Names'!$1:$22, 5, FALSE), ""!C3:R29"")), ROW($A$1:$A$24), FALSE)), ""=-4"") + COUNTIF(ARRAYFORMU"&amp;"LA(HLOOKUP($B34, IMPORTRANGE('Match Names'!$F$23, CONCAT(VLOOKUP($C34, 'Match Names'!$1:$22, 6, FALSE), ""!C3:R29"")), ROW($A$1:$A$24), FALSE)), ""=-4"") + COUNTIF(ARRAYFORMULA(HLOOKUP($B34, IMPORTRANGE('Match Names'!$G$23, CONCAT(VLOOKUP($C34, 'Match Nam"&amp;"es'!$1:$22, 7, FALSE), ""!C3:R29"")), ROW($A$1:$A$24), FALSE)), ""=-4"") + COUNTIF(ARRAYFORMULA(HLOOKUP($B34, IMPORTRANGE('Match Names'!$H$23, CONCAT(VLOOKUP($C34, 'Match Names'!$1:$22, 8, FALSE), ""!C3:R29"")), ROW($A$1:$A$24), FALSE)), ""=-4"")"),2.0)</f>
        <v>2</v>
      </c>
      <c r="H34" s="4">
        <f t="shared" si="1"/>
        <v>8</v>
      </c>
    </row>
    <row r="35">
      <c r="A35" s="7" t="s">
        <v>183</v>
      </c>
      <c r="B35" s="7" t="str">
        <f>VLOOKUP(CONCAT(A35, C35), 'Discord Username to Real Name'!C:D, 2, FALSE)</f>
        <v>Paradoxygen#5753</v>
      </c>
      <c r="C35" s="7" t="s">
        <v>20</v>
      </c>
      <c r="D35" s="11">
        <f>IFERROR(__xludf.DUMMYFUNCTION("(23 - COUNTIF(IFERROR(ARRAYFORMULA(HLOOKUP($B35, IMPORTRANGE('Prelim Rankings Unsorted'!$B$40, CONCAT(VLOOKUP($C35, 'Match Names'!$A$1:$D$22, 2, FALSE), ""!C3:R29"")), ROW($A$1:$A$24), FALSE)), $AA$9:$AA$31), ""=X"")) + (23 - COUNTIF(IFERROR(ARRAYFORMULA("&amp;"HLOOKUP($B35, IMPORTRANGE('Prelim Rankings Unsorted'!$B$41, CONCAT(VLOOKUP($C35, 'Match Names'!$A$1:$D$22, 3, FALSE), ""!C3:R29"")), ROW($A$1:$A$24), FALSE)), $AA$9:$AA$31), ""=X"")) + (23 - COUNTIF(IFERROR(ARRAYFORMULA(HLOOKUP($B35, IMPORTRANGE('Prelim R"&amp;"ankings Unsorted'!$B$42, CONCAT(VLOOKUP($C35, 'Match Names'!$A$1:$D$22, 4, FALSE), ""!C3:R29"")), ROW($A$1:$A$24), FALSE)), $AA$9:$AA$31), ""=X"")) + (23 - COUNTIF(IFERROR(ARRAYFORMULA(HLOOKUP($B35, IMPORTRANGE('Match Names'!$E$23, CONCAT(VLOOKUP($C35, 'M"&amp;"atch Names'!$1:$22, 5, FALSE), ""!C3:R29"")), ROW($A$1:$A$24), FALSE)), $AA$9:$AA$31), ""=X"")) + (23 - COUNTIF(IFERROR(ARRAYFORMULA(HLOOKUP($B35, IMPORTRANGE('Match Names'!$F$23, CONCAT(VLOOKUP($C35, 'Match Names'!$1:$22, 6, FALSE), ""!C3:R29"")), ROW($A"&amp;"$1:$A$24), FALSE)), $AA$9:$AA$31), ""=X"")) + (23 - COUNTIF(IFERROR(ARRAYFORMULA(HLOOKUP($B35, IMPORTRANGE('Match Names'!$G$23, CONCAT(VLOOKUP($C35, 'Match Names'!$1:$22, 7, FALSE), ""!C3:R29"")), ROW($A$1:$A$24), FALSE)), $AA$9:$AA$31), ""=X"")) + (23 - "&amp;"COUNTIF(IFERROR(ARRAYFORMULA(HLOOKUP($B35, IMPORTRANGE('Match Names'!$H$23, CONCAT(VLOOKUP($C35, 'Match Names'!$1:$22, 8, FALSE), ""!C3:R29"")), ROW($A$1:$A$24), FALSE)), $AA$9:$AA$31), ""=X""))"),46.0)</f>
        <v>46</v>
      </c>
      <c r="E35" s="4">
        <f>IFERROR(__xludf.DUMMYFUNCTION("COUNTIF(ARRAYFORMULA(HLOOKUP($B35, IMPORTRANGE('Prelim Rankings Unsorted'!$B$40, CONCAT(VLOOKUP($C35, 'Match Names'!$A$1:$D$22, 2, FALSE), ""!C3:R29"")), ROW($A$1:$A$24), FALSE)), ""=4"") + COUNTIF(ARRAYFORMULA(HLOOKUP($B35, IMPORTRANGE('Prelim Rankings U"&amp;"nsorted'!$B$41, CONCAT(VLOOKUP($C35, 'Match Names'!$A$1:$D$22, 3, FALSE), ""!C3:R29"")), ROW($A$1:$A$24), FALSE)), ""=4"") + COUNTIF(ARRAYFORMULA(HLOOKUP($B35, IMPORTRANGE('Prelim Rankings Unsorted'!$B$42, CONCAT(VLOOKUP($C35, 'Match Names'!$A$1:$D$22, 4,"&amp;" FALSE), ""!C3:R29"")), ROW($A$1:$A$24), FALSE)), ""=4"") + COUNTIF(ARRAYFORMULA(HLOOKUP($B35, IMPORTRANGE('Match Names'!$E$23, CONCAT(VLOOKUP($C35, 'Match Names'!$1:$22, 5, FALSE), ""!C3:R29"")), ROW($A$1:$A$24), FALSE)), ""=4"") + COUNTIF(ARRAYFORMULA(H"&amp;"LOOKUP($B35, IMPORTRANGE('Match Names'!$F$23, CONCAT(VLOOKUP($C35, 'Match Names'!$1:$22, 6, FALSE), ""!C3:R29"")), ROW($A$1:$A$24), FALSE)), ""=4"") + COUNTIF(ARRAYFORMULA(HLOOKUP($B35, IMPORTRANGE('Match Names'!$G$23, CONCAT(VLOOKUP($C35, 'Match Names'!$"&amp;"1:$22, 7, FALSE), ""!C3:R29"")), ROW($A$1:$A$24), FALSE)), ""=4"") + COUNTIF(ARRAYFORMULA(HLOOKUP($B35, IMPORTRANGE('Match Names'!$H$23, CONCAT(VLOOKUP($C35, 'Match Names'!$1:$22, 8, FALSE), ""!C3:R29"")), ROW($A$1:$A$24), FALSE)), ""=4"")"),0.0)</f>
        <v>0</v>
      </c>
      <c r="F35" s="4">
        <f>IFERROR(__xludf.DUMMYFUNCTION("COUNTIF(ARRAYFORMULA(HLOOKUP($B35, IMPORTRANGE('Prelim Rankings Unsorted'!$B$40, CONCAT(VLOOKUP($C35, 'Match Names'!$A$1:$D$22, 2, FALSE), ""!C3:R29"")), ROW($A$1:$A$24), FALSE)), ""=0"") + COUNTIF(ARRAYFORMULA(HLOOKUP($B35, IMPORTRANGE('Prelim Rankings U"&amp;"nsorted'!$B$41, CONCAT(VLOOKUP($C35, 'Match Names'!$A$1:$D$22, 3, FALSE), ""!C3:R29"")), ROW($A$1:$A$24), FALSE)), ""=0"") + COUNTIF(ARRAYFORMULA(HLOOKUP($B35, IMPORTRANGE('Prelim Rankings Unsorted'!$B$42, CONCAT(VLOOKUP($C35, 'Match Names'!$A$1:$D$22, 4,"&amp;" FALSE), ""!C3:R29"")), ROW($A$1:$A$24), FALSE)), ""=0"") + COUNTIF(ARRAYFORMULA(HLOOKUP($B35, IMPORTRANGE('Match Names'!$E$23, CONCAT(VLOOKUP($C35, 'Match Names'!$1:$22, 5, FALSE), ""!C3:R29"")), ROW($A$1:$A$24), FALSE)), ""=0"") + COUNTIF(ARRAYFORMULA(H"&amp;"LOOKUP($B35, IMPORTRANGE('Match Names'!$F$23, CONCAT(VLOOKUP($C35, 'Match Names'!$1:$22, 6, FALSE), ""!C3:R29"")), ROW($A$1:$A$24), FALSE)), ""=0"") + COUNTIF(ARRAYFORMULA(HLOOKUP($B35, IMPORTRANGE('Match Names'!$G$23, CONCAT(VLOOKUP($C35, 'Match Names'!$"&amp;"1:$22, 7, FALSE), ""!C3:R29"")), ROW($A$1:$A$24), FALSE)), ""=0"") + COUNTIF(ARRAYFORMULA(HLOOKUP($B35, IMPORTRANGE('Match Names'!$H$23, CONCAT(VLOOKUP($C35, 'Match Names'!$1:$22, 8, FALSE), ""!C3:R29"")), ROW($A$1:$A$24), FALSE)), ""=0"")"),0.0)</f>
        <v>0</v>
      </c>
      <c r="G35" s="4">
        <f>IFERROR(__xludf.DUMMYFUNCTION("COUNTIF(ARRAYFORMULA(HLOOKUP($B35, IMPORTRANGE('Prelim Rankings Unsorted'!$B$40, CONCAT(VLOOKUP($C35, 'Match Names'!$A$1:$D$22, 2, FALSE), ""!C3:R29"")), ROW($A$1:$A$24), FALSE)), ""=-4"") + COUNTIF(ARRAYFORMULA(HLOOKUP($B35, IMPORTRANGE('Prelim Rankings "&amp;"Unsorted'!$B$41, CONCAT(VLOOKUP($C35, 'Match Names'!$A$1:$D$22, 3, FALSE), ""!C3:R29"")), ROW($A$1:$A$24), FALSE)), ""=-4"") + COUNTIF(ARRAYFORMULA(HLOOKUP($B35, IMPORTRANGE('Prelim Rankings Unsorted'!$B$42, CONCAT(VLOOKUP($C35, 'Match Names'!$A$1:$D$22, "&amp;"4, FALSE), ""!C3:R29"")), ROW($A$1:$A$24), FALSE)), ""=-4"") + COUNTIF(ARRAYFORMULA(HLOOKUP($B35, IMPORTRANGE('Match Names'!$E$23, CONCAT(VLOOKUP($C35, 'Match Names'!$1:$22, 5, FALSE), ""!C3:R29"")), ROW($A$1:$A$24), FALSE)), ""=-4"") + COUNTIF(ARRAYFORMU"&amp;"LA(HLOOKUP($B35, IMPORTRANGE('Match Names'!$F$23, CONCAT(VLOOKUP($C35, 'Match Names'!$1:$22, 6, FALSE), ""!C3:R29"")), ROW($A$1:$A$24), FALSE)), ""=-4"") + COUNTIF(ARRAYFORMULA(HLOOKUP($B35, IMPORTRANGE('Match Names'!$G$23, CONCAT(VLOOKUP($C35, 'Match Nam"&amp;"es'!$1:$22, 7, FALSE), ""!C3:R29"")), ROW($A$1:$A$24), FALSE)), ""=-4"") + COUNTIF(ARRAYFORMULA(HLOOKUP($B35, IMPORTRANGE('Match Names'!$H$23, CONCAT(VLOOKUP($C35, 'Match Names'!$1:$22, 8, FALSE), ""!C3:R29"")), ROW($A$1:$A$24), FALSE)), ""=-4"")"),0.0)</f>
        <v>0</v>
      </c>
      <c r="H35" s="4">
        <f t="shared" si="1"/>
        <v>0</v>
      </c>
    </row>
    <row r="36">
      <c r="A36" s="7" t="s">
        <v>126</v>
      </c>
      <c r="B36" s="7" t="str">
        <f>VLOOKUP(CONCAT(A36, C36), 'Discord Username to Real Name'!C:D, 2, FALSE)</f>
        <v>MR_67#1546</v>
      </c>
      <c r="C36" s="7" t="s">
        <v>20</v>
      </c>
      <c r="D36" s="11">
        <f>IFERROR(__xludf.DUMMYFUNCTION("(23 - COUNTIF(IFERROR(ARRAYFORMULA(HLOOKUP($B36, IMPORTRANGE('Prelim Rankings Unsorted'!$B$40, CONCAT(VLOOKUP($C36, 'Match Names'!$A$1:$D$22, 2, FALSE), ""!C3:R29"")), ROW($A$1:$A$24), FALSE)), $AA$9:$AA$31), ""=X"")) + (23 - COUNTIF(IFERROR(ARRAYFORMULA("&amp;"HLOOKUP($B36, IMPORTRANGE('Prelim Rankings Unsorted'!$B$41, CONCAT(VLOOKUP($C36, 'Match Names'!$A$1:$D$22, 3, FALSE), ""!C3:R29"")), ROW($A$1:$A$24), FALSE)), $AA$9:$AA$31), ""=X"")) + (23 - COUNTIF(IFERROR(ARRAYFORMULA(HLOOKUP($B36, IMPORTRANGE('Prelim R"&amp;"ankings Unsorted'!$B$42, CONCAT(VLOOKUP($C36, 'Match Names'!$A$1:$D$22, 4, FALSE), ""!C3:R29"")), ROW($A$1:$A$24), FALSE)), $AA$9:$AA$31), ""=X"")) + (23 - COUNTIF(IFERROR(ARRAYFORMULA(HLOOKUP($B36, IMPORTRANGE('Match Names'!$E$23, CONCAT(VLOOKUP($C36, 'M"&amp;"atch Names'!$1:$22, 5, FALSE), ""!C3:R29"")), ROW($A$1:$A$24), FALSE)), $AA$9:$AA$31), ""=X"")) + (23 - COUNTIF(IFERROR(ARRAYFORMULA(HLOOKUP($B36, IMPORTRANGE('Match Names'!$F$23, CONCAT(VLOOKUP($C36, 'Match Names'!$1:$22, 6, FALSE), ""!C3:R29"")), ROW($A"&amp;"$1:$A$24), FALSE)), $AA$9:$AA$31), ""=X"")) + (23 - COUNTIF(IFERROR(ARRAYFORMULA(HLOOKUP($B36, IMPORTRANGE('Match Names'!$G$23, CONCAT(VLOOKUP($C36, 'Match Names'!$1:$22, 7, FALSE), ""!C3:R29"")), ROW($A$1:$A$24), FALSE)), $AA$9:$AA$31), ""=X"")) + (23 - "&amp;"COUNTIF(IFERROR(ARRAYFORMULA(HLOOKUP($B36, IMPORTRANGE('Match Names'!$H$23, CONCAT(VLOOKUP($C36, 'Match Names'!$1:$22, 8, FALSE), ""!C3:R29"")), ROW($A$1:$A$24), FALSE)), $AA$9:$AA$31), ""=X""))"),115.0)</f>
        <v>115</v>
      </c>
      <c r="E36" s="4">
        <f>IFERROR(__xludf.DUMMYFUNCTION("COUNTIF(ARRAYFORMULA(HLOOKUP($B36, IMPORTRANGE('Prelim Rankings Unsorted'!$B$40, CONCAT(VLOOKUP($C36, 'Match Names'!$A$1:$D$22, 2, FALSE), ""!C3:R29"")), ROW($A$1:$A$24), FALSE)), ""=4"") + COUNTIF(ARRAYFORMULA(HLOOKUP($B36, IMPORTRANGE('Prelim Rankings U"&amp;"nsorted'!$B$41, CONCAT(VLOOKUP($C36, 'Match Names'!$A$1:$D$22, 3, FALSE), ""!C3:R29"")), ROW($A$1:$A$24), FALSE)), ""=4"") + COUNTIF(ARRAYFORMULA(HLOOKUP($B36, IMPORTRANGE('Prelim Rankings Unsorted'!$B$42, CONCAT(VLOOKUP($C36, 'Match Names'!$A$1:$D$22, 4,"&amp;" FALSE), ""!C3:R29"")), ROW($A$1:$A$24), FALSE)), ""=4"") + COUNTIF(ARRAYFORMULA(HLOOKUP($B36, IMPORTRANGE('Match Names'!$E$23, CONCAT(VLOOKUP($C36, 'Match Names'!$1:$22, 5, FALSE), ""!C3:R29"")), ROW($A$1:$A$24), FALSE)), ""=4"") + COUNTIF(ARRAYFORMULA(H"&amp;"LOOKUP($B36, IMPORTRANGE('Match Names'!$F$23, CONCAT(VLOOKUP($C36, 'Match Names'!$1:$22, 6, FALSE), ""!C3:R29"")), ROW($A$1:$A$24), FALSE)), ""=4"") + COUNTIF(ARRAYFORMULA(HLOOKUP($B36, IMPORTRANGE('Match Names'!$G$23, CONCAT(VLOOKUP($C36, 'Match Names'!$"&amp;"1:$22, 7, FALSE), ""!C3:R29"")), ROW($A$1:$A$24), FALSE)), ""=4"") + COUNTIF(ARRAYFORMULA(HLOOKUP($B36, IMPORTRANGE('Match Names'!$H$23, CONCAT(VLOOKUP($C36, 'Match Names'!$1:$22, 8, FALSE), ""!C3:R29"")), ROW($A$1:$A$24), FALSE)), ""=4"")"),7.0)</f>
        <v>7</v>
      </c>
      <c r="F36" s="4">
        <f>IFERROR(__xludf.DUMMYFUNCTION("COUNTIF(ARRAYFORMULA(HLOOKUP($B36, IMPORTRANGE('Prelim Rankings Unsorted'!$B$40, CONCAT(VLOOKUP($C36, 'Match Names'!$A$1:$D$22, 2, FALSE), ""!C3:R29"")), ROW($A$1:$A$24), FALSE)), ""=0"") + COUNTIF(ARRAYFORMULA(HLOOKUP($B36, IMPORTRANGE('Prelim Rankings U"&amp;"nsorted'!$B$41, CONCAT(VLOOKUP($C36, 'Match Names'!$A$1:$D$22, 3, FALSE), ""!C3:R29"")), ROW($A$1:$A$24), FALSE)), ""=0"") + COUNTIF(ARRAYFORMULA(HLOOKUP($B36, IMPORTRANGE('Prelim Rankings Unsorted'!$B$42, CONCAT(VLOOKUP($C36, 'Match Names'!$A$1:$D$22, 4,"&amp;" FALSE), ""!C3:R29"")), ROW($A$1:$A$24), FALSE)), ""=0"") + COUNTIF(ARRAYFORMULA(HLOOKUP($B36, IMPORTRANGE('Match Names'!$E$23, CONCAT(VLOOKUP($C36, 'Match Names'!$1:$22, 5, FALSE), ""!C3:R29"")), ROW($A$1:$A$24), FALSE)), ""=0"") + COUNTIF(ARRAYFORMULA(H"&amp;"LOOKUP($B36, IMPORTRANGE('Match Names'!$F$23, CONCAT(VLOOKUP($C36, 'Match Names'!$1:$22, 6, FALSE), ""!C3:R29"")), ROW($A$1:$A$24), FALSE)), ""=0"") + COUNTIF(ARRAYFORMULA(HLOOKUP($B36, IMPORTRANGE('Match Names'!$G$23, CONCAT(VLOOKUP($C36, 'Match Names'!$"&amp;"1:$22, 7, FALSE), ""!C3:R29"")), ROW($A$1:$A$24), FALSE)), ""=0"") + COUNTIF(ARRAYFORMULA(HLOOKUP($B36, IMPORTRANGE('Match Names'!$H$23, CONCAT(VLOOKUP($C36, 'Match Names'!$1:$22, 8, FALSE), ""!C3:R29"")), ROW($A$1:$A$24), FALSE)), ""=0"")"),1.0)</f>
        <v>1</v>
      </c>
      <c r="G36" s="4">
        <f>IFERROR(__xludf.DUMMYFUNCTION("COUNTIF(ARRAYFORMULA(HLOOKUP($B36, IMPORTRANGE('Prelim Rankings Unsorted'!$B$40, CONCAT(VLOOKUP($C36, 'Match Names'!$A$1:$D$22, 2, FALSE), ""!C3:R29"")), ROW($A$1:$A$24), FALSE)), ""=-4"") + COUNTIF(ARRAYFORMULA(HLOOKUP($B36, IMPORTRANGE('Prelim Rankings "&amp;"Unsorted'!$B$41, CONCAT(VLOOKUP($C36, 'Match Names'!$A$1:$D$22, 3, FALSE), ""!C3:R29"")), ROW($A$1:$A$24), FALSE)), ""=-4"") + COUNTIF(ARRAYFORMULA(HLOOKUP($B36, IMPORTRANGE('Prelim Rankings Unsorted'!$B$42, CONCAT(VLOOKUP($C36, 'Match Names'!$A$1:$D$22, "&amp;"4, FALSE), ""!C3:R29"")), ROW($A$1:$A$24), FALSE)), ""=-4"") + COUNTIF(ARRAYFORMULA(HLOOKUP($B36, IMPORTRANGE('Match Names'!$E$23, CONCAT(VLOOKUP($C36, 'Match Names'!$1:$22, 5, FALSE), ""!C3:R29"")), ROW($A$1:$A$24), FALSE)), ""=-4"") + COUNTIF(ARRAYFORMU"&amp;"LA(HLOOKUP($B36, IMPORTRANGE('Match Names'!$F$23, CONCAT(VLOOKUP($C36, 'Match Names'!$1:$22, 6, FALSE), ""!C3:R29"")), ROW($A$1:$A$24), FALSE)), ""=-4"") + COUNTIF(ARRAYFORMULA(HLOOKUP($B36, IMPORTRANGE('Match Names'!$G$23, CONCAT(VLOOKUP($C36, 'Match Nam"&amp;"es'!$1:$22, 7, FALSE), ""!C3:R29"")), ROW($A$1:$A$24), FALSE)), ""=-4"") + COUNTIF(ARRAYFORMULA(HLOOKUP($B36, IMPORTRANGE('Match Names'!$H$23, CONCAT(VLOOKUP($C36, 'Match Names'!$1:$22, 8, FALSE), ""!C3:R29"")), ROW($A$1:$A$24), FALSE)), ""=-4"")"),0.0)</f>
        <v>0</v>
      </c>
      <c r="H36" s="4">
        <f t="shared" si="1"/>
        <v>5.6</v>
      </c>
    </row>
    <row r="37">
      <c r="A37" s="7" t="s">
        <v>115</v>
      </c>
      <c r="B37" s="7" t="str">
        <f>VLOOKUP(CONCAT(A37, C37), 'Discord Username to Real Name'!C:D, 2, FALSE)</f>
        <v>choiboi#3455</v>
      </c>
      <c r="C37" s="7" t="s">
        <v>20</v>
      </c>
      <c r="D37" s="11">
        <f>IFERROR(__xludf.DUMMYFUNCTION("(23 - COUNTIF(IFERROR(ARRAYFORMULA(HLOOKUP($B37, IMPORTRANGE('Prelim Rankings Unsorted'!$B$40, CONCAT(VLOOKUP($C37, 'Match Names'!$A$1:$D$22, 2, FALSE), ""!C3:R29"")), ROW($A$1:$A$24), FALSE)), $AA$9:$AA$31), ""=X"")) + (23 - COUNTIF(IFERROR(ARRAYFORMULA("&amp;"HLOOKUP($B37, IMPORTRANGE('Prelim Rankings Unsorted'!$B$41, CONCAT(VLOOKUP($C37, 'Match Names'!$A$1:$D$22, 3, FALSE), ""!C3:R29"")), ROW($A$1:$A$24), FALSE)), $AA$9:$AA$31), ""=X"")) + (23 - COUNTIF(IFERROR(ARRAYFORMULA(HLOOKUP($B37, IMPORTRANGE('Prelim R"&amp;"ankings Unsorted'!$B$42, CONCAT(VLOOKUP($C37, 'Match Names'!$A$1:$D$22, 4, FALSE), ""!C3:R29"")), ROW($A$1:$A$24), FALSE)), $AA$9:$AA$31), ""=X"")) + (23 - COUNTIF(IFERROR(ARRAYFORMULA(HLOOKUP($B37, IMPORTRANGE('Match Names'!$E$23, CONCAT(VLOOKUP($C37, 'M"&amp;"atch Names'!$1:$22, 5, FALSE), ""!C3:R29"")), ROW($A$1:$A$24), FALSE)), $AA$9:$AA$31), ""=X"")) + (23 - COUNTIF(IFERROR(ARRAYFORMULA(HLOOKUP($B37, IMPORTRANGE('Match Names'!$F$23, CONCAT(VLOOKUP($C37, 'Match Names'!$1:$22, 6, FALSE), ""!C3:R29"")), ROW($A"&amp;"$1:$A$24), FALSE)), $AA$9:$AA$31), ""=X"")) + (23 - COUNTIF(IFERROR(ARRAYFORMULA(HLOOKUP($B37, IMPORTRANGE('Match Names'!$G$23, CONCAT(VLOOKUP($C37, 'Match Names'!$1:$22, 7, FALSE), ""!C3:R29"")), ROW($A$1:$A$24), FALSE)), $AA$9:$AA$31), ""=X"")) + (23 - "&amp;"COUNTIF(IFERROR(ARRAYFORMULA(HLOOKUP($B37, IMPORTRANGE('Match Names'!$H$23, CONCAT(VLOOKUP($C37, 'Match Names'!$1:$22, 8, FALSE), ""!C3:R29"")), ROW($A$1:$A$24), FALSE)), $AA$9:$AA$31), ""=X""))"),92.0)</f>
        <v>92</v>
      </c>
      <c r="E37" s="4">
        <f>IFERROR(__xludf.DUMMYFUNCTION("COUNTIF(ARRAYFORMULA(HLOOKUP($B37, IMPORTRANGE('Prelim Rankings Unsorted'!$B$40, CONCAT(VLOOKUP($C37, 'Match Names'!$A$1:$D$22, 2, FALSE), ""!C3:R29"")), ROW($A$1:$A$24), FALSE)), ""=4"") + COUNTIF(ARRAYFORMULA(HLOOKUP($B37, IMPORTRANGE('Prelim Rankings U"&amp;"nsorted'!$B$41, CONCAT(VLOOKUP($C37, 'Match Names'!$A$1:$D$22, 3, FALSE), ""!C3:R29"")), ROW($A$1:$A$24), FALSE)), ""=4"") + COUNTIF(ARRAYFORMULA(HLOOKUP($B37, IMPORTRANGE('Prelim Rankings Unsorted'!$B$42, CONCAT(VLOOKUP($C37, 'Match Names'!$A$1:$D$22, 4,"&amp;" FALSE), ""!C3:R29"")), ROW($A$1:$A$24), FALSE)), ""=4"") + COUNTIF(ARRAYFORMULA(HLOOKUP($B37, IMPORTRANGE('Match Names'!$E$23, CONCAT(VLOOKUP($C37, 'Match Names'!$1:$22, 5, FALSE), ""!C3:R29"")), ROW($A$1:$A$24), FALSE)), ""=4"") + COUNTIF(ARRAYFORMULA(H"&amp;"LOOKUP($B37, IMPORTRANGE('Match Names'!$F$23, CONCAT(VLOOKUP($C37, 'Match Names'!$1:$22, 6, FALSE), ""!C3:R29"")), ROW($A$1:$A$24), FALSE)), ""=4"") + COUNTIF(ARRAYFORMULA(HLOOKUP($B37, IMPORTRANGE('Match Names'!$G$23, CONCAT(VLOOKUP($C37, 'Match Names'!$"&amp;"1:$22, 7, FALSE), ""!C3:R29"")), ROW($A$1:$A$24), FALSE)), ""=4"") + COUNTIF(ARRAYFORMULA(HLOOKUP($B37, IMPORTRANGE('Match Names'!$H$23, CONCAT(VLOOKUP($C37, 'Match Names'!$1:$22, 8, FALSE), ""!C3:R29"")), ROW($A$1:$A$24), FALSE)), ""=4"")"),1.0)</f>
        <v>1</v>
      </c>
      <c r="F37" s="4">
        <f>IFERROR(__xludf.DUMMYFUNCTION("COUNTIF(ARRAYFORMULA(HLOOKUP($B37, IMPORTRANGE('Prelim Rankings Unsorted'!$B$40, CONCAT(VLOOKUP($C37, 'Match Names'!$A$1:$D$22, 2, FALSE), ""!C3:R29"")), ROW($A$1:$A$24), FALSE)), ""=0"") + COUNTIF(ARRAYFORMULA(HLOOKUP($B37, IMPORTRANGE('Prelim Rankings U"&amp;"nsorted'!$B$41, CONCAT(VLOOKUP($C37, 'Match Names'!$A$1:$D$22, 3, FALSE), ""!C3:R29"")), ROW($A$1:$A$24), FALSE)), ""=0"") + COUNTIF(ARRAYFORMULA(HLOOKUP($B37, IMPORTRANGE('Prelim Rankings Unsorted'!$B$42, CONCAT(VLOOKUP($C37, 'Match Names'!$A$1:$D$22, 4,"&amp;" FALSE), ""!C3:R29"")), ROW($A$1:$A$24), FALSE)), ""=0"") + COUNTIF(ARRAYFORMULA(HLOOKUP($B37, IMPORTRANGE('Match Names'!$E$23, CONCAT(VLOOKUP($C37, 'Match Names'!$1:$22, 5, FALSE), ""!C3:R29"")), ROW($A$1:$A$24), FALSE)), ""=0"") + COUNTIF(ARRAYFORMULA(H"&amp;"LOOKUP($B37, IMPORTRANGE('Match Names'!$F$23, CONCAT(VLOOKUP($C37, 'Match Names'!$1:$22, 6, FALSE), ""!C3:R29"")), ROW($A$1:$A$24), FALSE)), ""=0"") + COUNTIF(ARRAYFORMULA(HLOOKUP($B37, IMPORTRANGE('Match Names'!$G$23, CONCAT(VLOOKUP($C37, 'Match Names'!$"&amp;"1:$22, 7, FALSE), ""!C3:R29"")), ROW($A$1:$A$24), FALSE)), ""=0"") + COUNTIF(ARRAYFORMULA(HLOOKUP($B37, IMPORTRANGE('Match Names'!$H$23, CONCAT(VLOOKUP($C37, 'Match Names'!$1:$22, 8, FALSE), ""!C3:R29"")), ROW($A$1:$A$24), FALSE)), ""=0"")"),1.0)</f>
        <v>1</v>
      </c>
      <c r="G37" s="4">
        <f>IFERROR(__xludf.DUMMYFUNCTION("COUNTIF(ARRAYFORMULA(HLOOKUP($B37, IMPORTRANGE('Prelim Rankings Unsorted'!$B$40, CONCAT(VLOOKUP($C37, 'Match Names'!$A$1:$D$22, 2, FALSE), ""!C3:R29"")), ROW($A$1:$A$24), FALSE)), ""=-4"") + COUNTIF(ARRAYFORMULA(HLOOKUP($B37, IMPORTRANGE('Prelim Rankings "&amp;"Unsorted'!$B$41, CONCAT(VLOOKUP($C37, 'Match Names'!$A$1:$D$22, 3, FALSE), ""!C3:R29"")), ROW($A$1:$A$24), FALSE)), ""=-4"") + COUNTIF(ARRAYFORMULA(HLOOKUP($B37, IMPORTRANGE('Prelim Rankings Unsorted'!$B$42, CONCAT(VLOOKUP($C37, 'Match Names'!$A$1:$D$22, "&amp;"4, FALSE), ""!C3:R29"")), ROW($A$1:$A$24), FALSE)), ""=-4"") + COUNTIF(ARRAYFORMULA(HLOOKUP($B37, IMPORTRANGE('Match Names'!$E$23, CONCAT(VLOOKUP($C37, 'Match Names'!$1:$22, 5, FALSE), ""!C3:R29"")), ROW($A$1:$A$24), FALSE)), ""=-4"") + COUNTIF(ARRAYFORMU"&amp;"LA(HLOOKUP($B37, IMPORTRANGE('Match Names'!$F$23, CONCAT(VLOOKUP($C37, 'Match Names'!$1:$22, 6, FALSE), ""!C3:R29"")), ROW($A$1:$A$24), FALSE)), ""=-4"") + COUNTIF(ARRAYFORMULA(HLOOKUP($B37, IMPORTRANGE('Match Names'!$G$23, CONCAT(VLOOKUP($C37, 'Match Nam"&amp;"es'!$1:$22, 7, FALSE), ""!C3:R29"")), ROW($A$1:$A$24), FALSE)), ""=-4"") + COUNTIF(ARRAYFORMULA(HLOOKUP($B37, IMPORTRANGE('Match Names'!$H$23, CONCAT(VLOOKUP($C37, 'Match Names'!$1:$22, 8, FALSE), ""!C3:R29"")), ROW($A$1:$A$24), FALSE)), ""=-4"")"),0.0)</f>
        <v>0</v>
      </c>
      <c r="H37" s="4">
        <f t="shared" si="1"/>
        <v>1</v>
      </c>
    </row>
    <row r="38">
      <c r="A38" s="7" t="s">
        <v>58</v>
      </c>
      <c r="B38" s="7" t="str">
        <f>VLOOKUP(CONCAT(A38, C38), 'Discord Username to Real Name'!C:D, 2, FALSE)</f>
        <v>nshapiro#4660</v>
      </c>
      <c r="C38" s="7" t="s">
        <v>16</v>
      </c>
      <c r="D38" s="11">
        <f>IFERROR(__xludf.DUMMYFUNCTION("(23 - COUNTIF(IFERROR(ARRAYFORMULA(HLOOKUP($B38, IMPORTRANGE('Prelim Rankings Unsorted'!$B$40, CONCAT(VLOOKUP($C38, 'Match Names'!$A$1:$D$22, 2, FALSE), ""!C3:R29"")), ROW($A$1:$A$24), FALSE)), $AA$9:$AA$31), ""=X"")) + (23 - COUNTIF(IFERROR(ARRAYFORMULA("&amp;"HLOOKUP($B38, IMPORTRANGE('Prelim Rankings Unsorted'!$B$41, CONCAT(VLOOKUP($C38, 'Match Names'!$A$1:$D$22, 3, FALSE), ""!C3:R29"")), ROW($A$1:$A$24), FALSE)), $AA$9:$AA$31), ""=X"")) + (23 - COUNTIF(IFERROR(ARRAYFORMULA(HLOOKUP($B38, IMPORTRANGE('Prelim R"&amp;"ankings Unsorted'!$B$42, CONCAT(VLOOKUP($C38, 'Match Names'!$A$1:$D$22, 4, FALSE), ""!C3:R29"")), ROW($A$1:$A$24), FALSE)), $AA$9:$AA$31), ""=X"")) + (23 - COUNTIF(IFERROR(ARRAYFORMULA(HLOOKUP($B38, IMPORTRANGE('Match Names'!$E$23, CONCAT(VLOOKUP($C38, 'M"&amp;"atch Names'!$1:$22, 5, FALSE), ""!C3:R29"")), ROW($A$1:$A$24), FALSE)), $AA$9:$AA$31), ""=X"")) + (23 - COUNTIF(IFERROR(ARRAYFORMULA(HLOOKUP($B38, IMPORTRANGE('Match Names'!$F$23, CONCAT(VLOOKUP($C38, 'Match Names'!$1:$22, 6, FALSE), ""!C3:R29"")), ROW($A"&amp;"$1:$A$24), FALSE)), $AA$9:$AA$31), ""=X"")) + (23 - COUNTIF(IFERROR(ARRAYFORMULA(HLOOKUP($B38, IMPORTRANGE('Match Names'!$G$23, CONCAT(VLOOKUP($C38, 'Match Names'!$1:$22, 7, FALSE), ""!C3:R29"")), ROW($A$1:$A$24), FALSE)), $AA$9:$AA$31), ""=X"")) + (23 - "&amp;"COUNTIF(IFERROR(ARRAYFORMULA(HLOOKUP($B38, IMPORTRANGE('Match Names'!$H$23, CONCAT(VLOOKUP($C38, 'Match Names'!$1:$22, 8, FALSE), ""!C3:R29"")), ROW($A$1:$A$24), FALSE)), $AA$9:$AA$31), ""=X""))"),92.0)</f>
        <v>92</v>
      </c>
      <c r="E38" s="4">
        <f>IFERROR(__xludf.DUMMYFUNCTION("COUNTIF(ARRAYFORMULA(HLOOKUP($B38, IMPORTRANGE('Prelim Rankings Unsorted'!$B$40, CONCAT(VLOOKUP($C38, 'Match Names'!$A$1:$D$22, 2, FALSE), ""!C3:R29"")), ROW($A$1:$A$24), FALSE)), ""=4"") + COUNTIF(ARRAYFORMULA(HLOOKUP($B38, IMPORTRANGE('Prelim Rankings U"&amp;"nsorted'!$B$41, CONCAT(VLOOKUP($C38, 'Match Names'!$A$1:$D$22, 3, FALSE), ""!C3:R29"")), ROW($A$1:$A$24), FALSE)), ""=4"") + COUNTIF(ARRAYFORMULA(HLOOKUP($B38, IMPORTRANGE('Prelim Rankings Unsorted'!$B$42, CONCAT(VLOOKUP($C38, 'Match Names'!$A$1:$D$22, 4,"&amp;" FALSE), ""!C3:R29"")), ROW($A$1:$A$24), FALSE)), ""=4"") + COUNTIF(ARRAYFORMULA(HLOOKUP($B38, IMPORTRANGE('Match Names'!$E$23, CONCAT(VLOOKUP($C38, 'Match Names'!$1:$22, 5, FALSE), ""!C3:R29"")), ROW($A$1:$A$24), FALSE)), ""=4"") + COUNTIF(ARRAYFORMULA(H"&amp;"LOOKUP($B38, IMPORTRANGE('Match Names'!$F$23, CONCAT(VLOOKUP($C38, 'Match Names'!$1:$22, 6, FALSE), ""!C3:R29"")), ROW($A$1:$A$24), FALSE)), ""=4"") + COUNTIF(ARRAYFORMULA(HLOOKUP($B38, IMPORTRANGE('Match Names'!$G$23, CONCAT(VLOOKUP($C38, 'Match Names'!$"&amp;"1:$22, 7, FALSE), ""!C3:R29"")), ROW($A$1:$A$24), FALSE)), ""=4"") + COUNTIF(ARRAYFORMULA(HLOOKUP($B38, IMPORTRANGE('Match Names'!$H$23, CONCAT(VLOOKUP($C38, 'Match Names'!$1:$22, 8, FALSE), ""!C3:R29"")), ROW($A$1:$A$24), FALSE)), ""=4"")"),17.0)</f>
        <v>17</v>
      </c>
      <c r="F38" s="4">
        <f>IFERROR(__xludf.DUMMYFUNCTION("COUNTIF(ARRAYFORMULA(HLOOKUP($B38, IMPORTRANGE('Prelim Rankings Unsorted'!$B$40, CONCAT(VLOOKUP($C38, 'Match Names'!$A$1:$D$22, 2, FALSE), ""!C3:R29"")), ROW($A$1:$A$24), FALSE)), ""=0"") + COUNTIF(ARRAYFORMULA(HLOOKUP($B38, IMPORTRANGE('Prelim Rankings U"&amp;"nsorted'!$B$41, CONCAT(VLOOKUP($C38, 'Match Names'!$A$1:$D$22, 3, FALSE), ""!C3:R29"")), ROW($A$1:$A$24), FALSE)), ""=0"") + COUNTIF(ARRAYFORMULA(HLOOKUP($B38, IMPORTRANGE('Prelim Rankings Unsorted'!$B$42, CONCAT(VLOOKUP($C38, 'Match Names'!$A$1:$D$22, 4,"&amp;" FALSE), ""!C3:R29"")), ROW($A$1:$A$24), FALSE)), ""=0"") + COUNTIF(ARRAYFORMULA(HLOOKUP($B38, IMPORTRANGE('Match Names'!$E$23, CONCAT(VLOOKUP($C38, 'Match Names'!$1:$22, 5, FALSE), ""!C3:R29"")), ROW($A$1:$A$24), FALSE)), ""=0"") + COUNTIF(ARRAYFORMULA(H"&amp;"LOOKUP($B38, IMPORTRANGE('Match Names'!$F$23, CONCAT(VLOOKUP($C38, 'Match Names'!$1:$22, 6, FALSE), ""!C3:R29"")), ROW($A$1:$A$24), FALSE)), ""=0"") + COUNTIF(ARRAYFORMULA(HLOOKUP($B38, IMPORTRANGE('Match Names'!$G$23, CONCAT(VLOOKUP($C38, 'Match Names'!$"&amp;"1:$22, 7, FALSE), ""!C3:R29"")), ROW($A$1:$A$24), FALSE)), ""=0"") + COUNTIF(ARRAYFORMULA(HLOOKUP($B38, IMPORTRANGE('Match Names'!$H$23, CONCAT(VLOOKUP($C38, 'Match Names'!$1:$22, 8, FALSE), ""!C3:R29"")), ROW($A$1:$A$24), FALSE)), ""=0"")"),15.0)</f>
        <v>15</v>
      </c>
      <c r="G38" s="4">
        <f>IFERROR(__xludf.DUMMYFUNCTION("COUNTIF(ARRAYFORMULA(HLOOKUP($B38, IMPORTRANGE('Prelim Rankings Unsorted'!$B$40, CONCAT(VLOOKUP($C38, 'Match Names'!$A$1:$D$22, 2, FALSE), ""!C3:R29"")), ROW($A$1:$A$24), FALSE)), ""=-4"") + COUNTIF(ARRAYFORMULA(HLOOKUP($B38, IMPORTRANGE('Prelim Rankings "&amp;"Unsorted'!$B$41, CONCAT(VLOOKUP($C38, 'Match Names'!$A$1:$D$22, 3, FALSE), ""!C3:R29"")), ROW($A$1:$A$24), FALSE)), ""=-4"") + COUNTIF(ARRAYFORMULA(HLOOKUP($B38, IMPORTRANGE('Prelim Rankings Unsorted'!$B$42, CONCAT(VLOOKUP($C38, 'Match Names'!$A$1:$D$22, "&amp;"4, FALSE), ""!C3:R29"")), ROW($A$1:$A$24), FALSE)), ""=-4"") + COUNTIF(ARRAYFORMULA(HLOOKUP($B38, IMPORTRANGE('Match Names'!$E$23, CONCAT(VLOOKUP($C38, 'Match Names'!$1:$22, 5, FALSE), ""!C3:R29"")), ROW($A$1:$A$24), FALSE)), ""=-4"") + COUNTIF(ARRAYFORMU"&amp;"LA(HLOOKUP($B38, IMPORTRANGE('Match Names'!$F$23, CONCAT(VLOOKUP($C38, 'Match Names'!$1:$22, 6, FALSE), ""!C3:R29"")), ROW($A$1:$A$24), FALSE)), ""=-4"") + COUNTIF(ARRAYFORMULA(HLOOKUP($B38, IMPORTRANGE('Match Names'!$G$23, CONCAT(VLOOKUP($C38, 'Match Nam"&amp;"es'!$1:$22, 7, FALSE), ""!C3:R29"")), ROW($A$1:$A$24), FALSE)), ""=-4"") + COUNTIF(ARRAYFORMULA(HLOOKUP($B38, IMPORTRANGE('Match Names'!$H$23, CONCAT(VLOOKUP($C38, 'Match Names'!$1:$22, 8, FALSE), ""!C3:R29"")), ROW($A$1:$A$24), FALSE)), ""=-4"")"),3.0)</f>
        <v>3</v>
      </c>
      <c r="H38" s="4">
        <f t="shared" si="1"/>
        <v>14</v>
      </c>
    </row>
    <row r="39">
      <c r="A39" s="7" t="s">
        <v>86</v>
      </c>
      <c r="B39" s="7" t="str">
        <f>VLOOKUP(CONCAT(A39, C39), 'Discord Username to Real Name'!C:D, 2, FALSE)</f>
        <v>Henryb#9686</v>
      </c>
      <c r="C39" s="7" t="s">
        <v>16</v>
      </c>
      <c r="D39" s="11">
        <f>IFERROR(__xludf.DUMMYFUNCTION("(23 - COUNTIF(IFERROR(ARRAYFORMULA(HLOOKUP($B39, IMPORTRANGE('Prelim Rankings Unsorted'!$B$40, CONCAT(VLOOKUP($C39, 'Match Names'!$A$1:$D$22, 2, FALSE), ""!C3:R29"")), ROW($A$1:$A$24), FALSE)), $AA$9:$AA$31), ""=X"")) + (23 - COUNTIF(IFERROR(ARRAYFORMULA("&amp;"HLOOKUP($B39, IMPORTRANGE('Prelim Rankings Unsorted'!$B$41, CONCAT(VLOOKUP($C39, 'Match Names'!$A$1:$D$22, 3, FALSE), ""!C3:R29"")), ROW($A$1:$A$24), FALSE)), $AA$9:$AA$31), ""=X"")) + (23 - COUNTIF(IFERROR(ARRAYFORMULA(HLOOKUP($B39, IMPORTRANGE('Prelim R"&amp;"ankings Unsorted'!$B$42, CONCAT(VLOOKUP($C39, 'Match Names'!$A$1:$D$22, 4, FALSE), ""!C3:R29"")), ROW($A$1:$A$24), FALSE)), $AA$9:$AA$31), ""=X"")) + (23 - COUNTIF(IFERROR(ARRAYFORMULA(HLOOKUP($B39, IMPORTRANGE('Match Names'!$E$23, CONCAT(VLOOKUP($C39, 'M"&amp;"atch Names'!$1:$22, 5, FALSE), ""!C3:R29"")), ROW($A$1:$A$24), FALSE)), $AA$9:$AA$31), ""=X"")) + (23 - COUNTIF(IFERROR(ARRAYFORMULA(HLOOKUP($B39, IMPORTRANGE('Match Names'!$F$23, CONCAT(VLOOKUP($C39, 'Match Names'!$1:$22, 6, FALSE), ""!C3:R29"")), ROW($A"&amp;"$1:$A$24), FALSE)), $AA$9:$AA$31), ""=X"")) + (23 - COUNTIF(IFERROR(ARRAYFORMULA(HLOOKUP($B39, IMPORTRANGE('Match Names'!$G$23, CONCAT(VLOOKUP($C39, 'Match Names'!$1:$22, 7, FALSE), ""!C3:R29"")), ROW($A$1:$A$24), FALSE)), $AA$9:$AA$31), ""=X"")) + (23 - "&amp;"COUNTIF(IFERROR(ARRAYFORMULA(HLOOKUP($B39, IMPORTRANGE('Match Names'!$H$23, CONCAT(VLOOKUP($C39, 'Match Names'!$1:$22, 8, FALSE), ""!C3:R29"")), ROW($A$1:$A$24), FALSE)), $AA$9:$AA$31), ""=X""))"),115.0)</f>
        <v>115</v>
      </c>
      <c r="E39" s="4">
        <f>IFERROR(__xludf.DUMMYFUNCTION("COUNTIF(ARRAYFORMULA(HLOOKUP($B39, IMPORTRANGE('Prelim Rankings Unsorted'!$B$40, CONCAT(VLOOKUP($C39, 'Match Names'!$A$1:$D$22, 2, FALSE), ""!C3:R29"")), ROW($A$1:$A$24), FALSE)), ""=4"") + COUNTIF(ARRAYFORMULA(HLOOKUP($B39, IMPORTRANGE('Prelim Rankings U"&amp;"nsorted'!$B$41, CONCAT(VLOOKUP($C39, 'Match Names'!$A$1:$D$22, 3, FALSE), ""!C3:R29"")), ROW($A$1:$A$24), FALSE)), ""=4"") + COUNTIF(ARRAYFORMULA(HLOOKUP($B39, IMPORTRANGE('Prelim Rankings Unsorted'!$B$42, CONCAT(VLOOKUP($C39, 'Match Names'!$A$1:$D$22, 4,"&amp;" FALSE), ""!C3:R29"")), ROW($A$1:$A$24), FALSE)), ""=4"") + COUNTIF(ARRAYFORMULA(HLOOKUP($B39, IMPORTRANGE('Match Names'!$E$23, CONCAT(VLOOKUP($C39, 'Match Names'!$1:$22, 5, FALSE), ""!C3:R29"")), ROW($A$1:$A$24), FALSE)), ""=4"") + COUNTIF(ARRAYFORMULA(H"&amp;"LOOKUP($B39, IMPORTRANGE('Match Names'!$F$23, CONCAT(VLOOKUP($C39, 'Match Names'!$1:$22, 6, FALSE), ""!C3:R29"")), ROW($A$1:$A$24), FALSE)), ""=4"") + COUNTIF(ARRAYFORMULA(HLOOKUP($B39, IMPORTRANGE('Match Names'!$G$23, CONCAT(VLOOKUP($C39, 'Match Names'!$"&amp;"1:$22, 7, FALSE), ""!C3:R29"")), ROW($A$1:$A$24), FALSE)), ""=4"") + COUNTIF(ARRAYFORMULA(HLOOKUP($B39, IMPORTRANGE('Match Names'!$H$23, CONCAT(VLOOKUP($C39, 'Match Names'!$1:$22, 8, FALSE), ""!C3:R29"")), ROW($A$1:$A$24), FALSE)), ""=4"")"),15.0)</f>
        <v>15</v>
      </c>
      <c r="F39" s="4">
        <f>IFERROR(__xludf.DUMMYFUNCTION("COUNTIF(ARRAYFORMULA(HLOOKUP($B39, IMPORTRANGE('Prelim Rankings Unsorted'!$B$40, CONCAT(VLOOKUP($C39, 'Match Names'!$A$1:$D$22, 2, FALSE), ""!C3:R29"")), ROW($A$1:$A$24), FALSE)), ""=0"") + COUNTIF(ARRAYFORMULA(HLOOKUP($B39, IMPORTRANGE('Prelim Rankings U"&amp;"nsorted'!$B$41, CONCAT(VLOOKUP($C39, 'Match Names'!$A$1:$D$22, 3, FALSE), ""!C3:R29"")), ROW($A$1:$A$24), FALSE)), ""=0"") + COUNTIF(ARRAYFORMULA(HLOOKUP($B39, IMPORTRANGE('Prelim Rankings Unsorted'!$B$42, CONCAT(VLOOKUP($C39, 'Match Names'!$A$1:$D$22, 4,"&amp;" FALSE), ""!C3:R29"")), ROW($A$1:$A$24), FALSE)), ""=0"") + COUNTIF(ARRAYFORMULA(HLOOKUP($B39, IMPORTRANGE('Match Names'!$E$23, CONCAT(VLOOKUP($C39, 'Match Names'!$1:$22, 5, FALSE), ""!C3:R29"")), ROW($A$1:$A$24), FALSE)), ""=0"") + COUNTIF(ARRAYFORMULA(H"&amp;"LOOKUP($B39, IMPORTRANGE('Match Names'!$F$23, CONCAT(VLOOKUP($C39, 'Match Names'!$1:$22, 6, FALSE), ""!C3:R29"")), ROW($A$1:$A$24), FALSE)), ""=0"") + COUNTIF(ARRAYFORMULA(HLOOKUP($B39, IMPORTRANGE('Match Names'!$G$23, CONCAT(VLOOKUP($C39, 'Match Names'!$"&amp;"1:$22, 7, FALSE), ""!C3:R29"")), ROW($A$1:$A$24), FALSE)), ""=0"") + COUNTIF(ARRAYFORMULA(HLOOKUP($B39, IMPORTRANGE('Match Names'!$H$23, CONCAT(VLOOKUP($C39, 'Match Names'!$1:$22, 8, FALSE), ""!C3:R29"")), ROW($A$1:$A$24), FALSE)), ""=0"")"),19.0)</f>
        <v>19</v>
      </c>
      <c r="G39" s="4">
        <f>IFERROR(__xludf.DUMMYFUNCTION("COUNTIF(ARRAYFORMULA(HLOOKUP($B39, IMPORTRANGE('Prelim Rankings Unsorted'!$B$40, CONCAT(VLOOKUP($C39, 'Match Names'!$A$1:$D$22, 2, FALSE), ""!C3:R29"")), ROW($A$1:$A$24), FALSE)), ""=-4"") + COUNTIF(ARRAYFORMULA(HLOOKUP($B39, IMPORTRANGE('Prelim Rankings "&amp;"Unsorted'!$B$41, CONCAT(VLOOKUP($C39, 'Match Names'!$A$1:$D$22, 3, FALSE), ""!C3:R29"")), ROW($A$1:$A$24), FALSE)), ""=-4"") + COUNTIF(ARRAYFORMULA(HLOOKUP($B39, IMPORTRANGE('Prelim Rankings Unsorted'!$B$42, CONCAT(VLOOKUP($C39, 'Match Names'!$A$1:$D$22, "&amp;"4, FALSE), ""!C3:R29"")), ROW($A$1:$A$24), FALSE)), ""=-4"") + COUNTIF(ARRAYFORMULA(HLOOKUP($B39, IMPORTRANGE('Match Names'!$E$23, CONCAT(VLOOKUP($C39, 'Match Names'!$1:$22, 5, FALSE), ""!C3:R29"")), ROW($A$1:$A$24), FALSE)), ""=-4"") + COUNTIF(ARRAYFORMU"&amp;"LA(HLOOKUP($B39, IMPORTRANGE('Match Names'!$F$23, CONCAT(VLOOKUP($C39, 'Match Names'!$1:$22, 6, FALSE), ""!C3:R29"")), ROW($A$1:$A$24), FALSE)), ""=-4"") + COUNTIF(ARRAYFORMULA(HLOOKUP($B39, IMPORTRANGE('Match Names'!$G$23, CONCAT(VLOOKUP($C39, 'Match Nam"&amp;"es'!$1:$22, 7, FALSE), ""!C3:R29"")), ROW($A$1:$A$24), FALSE)), ""=-4"") + COUNTIF(ARRAYFORMULA(HLOOKUP($B39, IMPORTRANGE('Match Names'!$H$23, CONCAT(VLOOKUP($C39, 'Match Names'!$1:$22, 8, FALSE), ""!C3:R29"")), ROW($A$1:$A$24), FALSE)), ""=-4"")"),1.0)</f>
        <v>1</v>
      </c>
      <c r="H39" s="4">
        <f t="shared" si="1"/>
        <v>11.2</v>
      </c>
    </row>
    <row r="40">
      <c r="A40" s="7" t="s">
        <v>164</v>
      </c>
      <c r="B40" s="7" t="str">
        <f>VLOOKUP(CONCAT(A40, C40), 'Discord Username to Real Name'!C:D, 2, FALSE)</f>
        <v>Teji11#5265</v>
      </c>
      <c r="C40" s="7" t="s">
        <v>16</v>
      </c>
      <c r="D40" s="11">
        <f>IFERROR(__xludf.DUMMYFUNCTION("(23 - COUNTIF(IFERROR(ARRAYFORMULA(HLOOKUP($B40, IMPORTRANGE('Prelim Rankings Unsorted'!$B$40, CONCAT(VLOOKUP($C40, 'Match Names'!$A$1:$D$22, 2, FALSE), ""!C3:R29"")), ROW($A$1:$A$24), FALSE)), $AA$9:$AA$31), ""=X"")) + (23 - COUNTIF(IFERROR(ARRAYFORMULA("&amp;"HLOOKUP($B40, IMPORTRANGE('Prelim Rankings Unsorted'!$B$41, CONCAT(VLOOKUP($C40, 'Match Names'!$A$1:$D$22, 3, FALSE), ""!C3:R29"")), ROW($A$1:$A$24), FALSE)), $AA$9:$AA$31), ""=X"")) + (23 - COUNTIF(IFERROR(ARRAYFORMULA(HLOOKUP($B40, IMPORTRANGE('Prelim R"&amp;"ankings Unsorted'!$B$42, CONCAT(VLOOKUP($C40, 'Match Names'!$A$1:$D$22, 4, FALSE), ""!C3:R29"")), ROW($A$1:$A$24), FALSE)), $AA$9:$AA$31), ""=X"")) + (23 - COUNTIF(IFERROR(ARRAYFORMULA(HLOOKUP($B40, IMPORTRANGE('Match Names'!$E$23, CONCAT(VLOOKUP($C40, 'M"&amp;"atch Names'!$1:$22, 5, FALSE), ""!C3:R29"")), ROW($A$1:$A$24), FALSE)), $AA$9:$AA$31), ""=X"")) + (23 - COUNTIF(IFERROR(ARRAYFORMULA(HLOOKUP($B40, IMPORTRANGE('Match Names'!$F$23, CONCAT(VLOOKUP($C40, 'Match Names'!$1:$22, 6, FALSE), ""!C3:R29"")), ROW($A"&amp;"$1:$A$24), FALSE)), $AA$9:$AA$31), ""=X"")) + (23 - COUNTIF(IFERROR(ARRAYFORMULA(HLOOKUP($B40, IMPORTRANGE('Match Names'!$G$23, CONCAT(VLOOKUP($C40, 'Match Names'!$1:$22, 7, FALSE), ""!C3:R29"")), ROW($A$1:$A$24), FALSE)), $AA$9:$AA$31), ""=X"")) + (23 - "&amp;"COUNTIF(IFERROR(ARRAYFORMULA(HLOOKUP($B40, IMPORTRANGE('Match Names'!$H$23, CONCAT(VLOOKUP($C40, 'Match Names'!$1:$22, 8, FALSE), ""!C3:R29"")), ROW($A$1:$A$24), FALSE)), $AA$9:$AA$31), ""=X""))"),92.0)</f>
        <v>92</v>
      </c>
      <c r="E40" s="4">
        <f>IFERROR(__xludf.DUMMYFUNCTION("COUNTIF(ARRAYFORMULA(HLOOKUP($B40, IMPORTRANGE('Prelim Rankings Unsorted'!$B$40, CONCAT(VLOOKUP($C40, 'Match Names'!$A$1:$D$22, 2, FALSE), ""!C3:R29"")), ROW($A$1:$A$24), FALSE)), ""=4"") + COUNTIF(ARRAYFORMULA(HLOOKUP($B40, IMPORTRANGE('Prelim Rankings U"&amp;"nsorted'!$B$41, CONCAT(VLOOKUP($C40, 'Match Names'!$A$1:$D$22, 3, FALSE), ""!C3:R29"")), ROW($A$1:$A$24), FALSE)), ""=4"") + COUNTIF(ARRAYFORMULA(HLOOKUP($B40, IMPORTRANGE('Prelim Rankings Unsorted'!$B$42, CONCAT(VLOOKUP($C40, 'Match Names'!$A$1:$D$22, 4,"&amp;" FALSE), ""!C3:R29"")), ROW($A$1:$A$24), FALSE)), ""=4"") + COUNTIF(ARRAYFORMULA(HLOOKUP($B40, IMPORTRANGE('Match Names'!$E$23, CONCAT(VLOOKUP($C40, 'Match Names'!$1:$22, 5, FALSE), ""!C3:R29"")), ROW($A$1:$A$24), FALSE)), ""=4"") + COUNTIF(ARRAYFORMULA(H"&amp;"LOOKUP($B40, IMPORTRANGE('Match Names'!$F$23, CONCAT(VLOOKUP($C40, 'Match Names'!$1:$22, 6, FALSE), ""!C3:R29"")), ROW($A$1:$A$24), FALSE)), ""=4"") + COUNTIF(ARRAYFORMULA(HLOOKUP($B40, IMPORTRANGE('Match Names'!$G$23, CONCAT(VLOOKUP($C40, 'Match Names'!$"&amp;"1:$22, 7, FALSE), ""!C3:R29"")), ROW($A$1:$A$24), FALSE)), ""=4"") + COUNTIF(ARRAYFORMULA(HLOOKUP($B40, IMPORTRANGE('Match Names'!$H$23, CONCAT(VLOOKUP($C40, 'Match Names'!$1:$22, 8, FALSE), ""!C3:R29"")), ROW($A$1:$A$24), FALSE)), ""=4"")"),0.0)</f>
        <v>0</v>
      </c>
      <c r="F40" s="4">
        <f>IFERROR(__xludf.DUMMYFUNCTION("COUNTIF(ARRAYFORMULA(HLOOKUP($B40, IMPORTRANGE('Prelim Rankings Unsorted'!$B$40, CONCAT(VLOOKUP($C40, 'Match Names'!$A$1:$D$22, 2, FALSE), ""!C3:R29"")), ROW($A$1:$A$24), FALSE)), ""=0"") + COUNTIF(ARRAYFORMULA(HLOOKUP($B40, IMPORTRANGE('Prelim Rankings U"&amp;"nsorted'!$B$41, CONCAT(VLOOKUP($C40, 'Match Names'!$A$1:$D$22, 3, FALSE), ""!C3:R29"")), ROW($A$1:$A$24), FALSE)), ""=0"") + COUNTIF(ARRAYFORMULA(HLOOKUP($B40, IMPORTRANGE('Prelim Rankings Unsorted'!$B$42, CONCAT(VLOOKUP($C40, 'Match Names'!$A$1:$D$22, 4,"&amp;" FALSE), ""!C3:R29"")), ROW($A$1:$A$24), FALSE)), ""=0"") + COUNTIF(ARRAYFORMULA(HLOOKUP($B40, IMPORTRANGE('Match Names'!$E$23, CONCAT(VLOOKUP($C40, 'Match Names'!$1:$22, 5, FALSE), ""!C3:R29"")), ROW($A$1:$A$24), FALSE)), ""=0"") + COUNTIF(ARRAYFORMULA(H"&amp;"LOOKUP($B40, IMPORTRANGE('Match Names'!$F$23, CONCAT(VLOOKUP($C40, 'Match Names'!$1:$22, 6, FALSE), ""!C3:R29"")), ROW($A$1:$A$24), FALSE)), ""=0"") + COUNTIF(ARRAYFORMULA(HLOOKUP($B40, IMPORTRANGE('Match Names'!$G$23, CONCAT(VLOOKUP($C40, 'Match Names'!$"&amp;"1:$22, 7, FALSE), ""!C3:R29"")), ROW($A$1:$A$24), FALSE)), ""=0"") + COUNTIF(ARRAYFORMULA(HLOOKUP($B40, IMPORTRANGE('Match Names'!$H$23, CONCAT(VLOOKUP($C40, 'Match Names'!$1:$22, 8, FALSE), ""!C3:R29"")), ROW($A$1:$A$24), FALSE)), ""=0"")"),1.0)</f>
        <v>1</v>
      </c>
      <c r="G40" s="4">
        <f>IFERROR(__xludf.DUMMYFUNCTION("COUNTIF(ARRAYFORMULA(HLOOKUP($B40, IMPORTRANGE('Prelim Rankings Unsorted'!$B$40, CONCAT(VLOOKUP($C40, 'Match Names'!$A$1:$D$22, 2, FALSE), ""!C3:R29"")), ROW($A$1:$A$24), FALSE)), ""=-4"") + COUNTIF(ARRAYFORMULA(HLOOKUP($B40, IMPORTRANGE('Prelim Rankings "&amp;"Unsorted'!$B$41, CONCAT(VLOOKUP($C40, 'Match Names'!$A$1:$D$22, 3, FALSE), ""!C3:R29"")), ROW($A$1:$A$24), FALSE)), ""=-4"") + COUNTIF(ARRAYFORMULA(HLOOKUP($B40, IMPORTRANGE('Prelim Rankings Unsorted'!$B$42, CONCAT(VLOOKUP($C40, 'Match Names'!$A$1:$D$22, "&amp;"4, FALSE), ""!C3:R29"")), ROW($A$1:$A$24), FALSE)), ""=-4"") + COUNTIF(ARRAYFORMULA(HLOOKUP($B40, IMPORTRANGE('Match Names'!$E$23, CONCAT(VLOOKUP($C40, 'Match Names'!$1:$22, 5, FALSE), ""!C3:R29"")), ROW($A$1:$A$24), FALSE)), ""=-4"") + COUNTIF(ARRAYFORMU"&amp;"LA(HLOOKUP($B40, IMPORTRANGE('Match Names'!$F$23, CONCAT(VLOOKUP($C40, 'Match Names'!$1:$22, 6, FALSE), ""!C3:R29"")), ROW($A$1:$A$24), FALSE)), ""=-4"") + COUNTIF(ARRAYFORMULA(HLOOKUP($B40, IMPORTRANGE('Match Names'!$G$23, CONCAT(VLOOKUP($C40, 'Match Nam"&amp;"es'!$1:$22, 7, FALSE), ""!C3:R29"")), ROW($A$1:$A$24), FALSE)), ""=-4"") + COUNTIF(ARRAYFORMULA(HLOOKUP($B40, IMPORTRANGE('Match Names'!$H$23, CONCAT(VLOOKUP($C40, 'Match Names'!$1:$22, 8, FALSE), ""!C3:R29"")), ROW($A$1:$A$24), FALSE)), ""=-4"")"),1.0)</f>
        <v>1</v>
      </c>
      <c r="H40" s="4">
        <f t="shared" si="1"/>
        <v>-1</v>
      </c>
    </row>
    <row r="41">
      <c r="A41" s="7" t="s">
        <v>162</v>
      </c>
      <c r="B41" s="7" t="str">
        <f>VLOOKUP(CONCAT(A41, C41), 'Discord Username to Real Name'!C:D, 2, FALSE)</f>
        <v>Ajay G.#0147</v>
      </c>
      <c r="C41" s="7" t="s">
        <v>16</v>
      </c>
      <c r="D41" s="11">
        <f>IFERROR(__xludf.DUMMYFUNCTION("(23 - COUNTIF(IFERROR(ARRAYFORMULA(HLOOKUP($B41, IMPORTRANGE('Prelim Rankings Unsorted'!$B$40, CONCAT(VLOOKUP($C41, 'Match Names'!$A$1:$D$22, 2, FALSE), ""!C3:R29"")), ROW($A$1:$A$24), FALSE)), $AA$9:$AA$31), ""=X"")) + (23 - COUNTIF(IFERROR(ARRAYFORMULA("&amp;"HLOOKUP($B41, IMPORTRANGE('Prelim Rankings Unsorted'!$B$41, CONCAT(VLOOKUP($C41, 'Match Names'!$A$1:$D$22, 3, FALSE), ""!C3:R29"")), ROW($A$1:$A$24), FALSE)), $AA$9:$AA$31), ""=X"")) + (23 - COUNTIF(IFERROR(ARRAYFORMULA(HLOOKUP($B41, IMPORTRANGE('Prelim R"&amp;"ankings Unsorted'!$B$42, CONCAT(VLOOKUP($C41, 'Match Names'!$A$1:$D$22, 4, FALSE), ""!C3:R29"")), ROW($A$1:$A$24), FALSE)), $AA$9:$AA$31), ""=X"")) + (23 - COUNTIF(IFERROR(ARRAYFORMULA(HLOOKUP($B41, IMPORTRANGE('Match Names'!$E$23, CONCAT(VLOOKUP($C41, 'M"&amp;"atch Names'!$1:$22, 5, FALSE), ""!C3:R29"")), ROW($A$1:$A$24), FALSE)), $AA$9:$AA$31), ""=X"")) + (23 - COUNTIF(IFERROR(ARRAYFORMULA(HLOOKUP($B41, IMPORTRANGE('Match Names'!$F$23, CONCAT(VLOOKUP($C41, 'Match Names'!$1:$22, 6, FALSE), ""!C3:R29"")), ROW($A"&amp;"$1:$A$24), FALSE)), $AA$9:$AA$31), ""=X"")) + (23 - COUNTIF(IFERROR(ARRAYFORMULA(HLOOKUP($B41, IMPORTRANGE('Match Names'!$G$23, CONCAT(VLOOKUP($C41, 'Match Names'!$1:$22, 7, FALSE), ""!C3:R29"")), ROW($A$1:$A$24), FALSE)), $AA$9:$AA$31), ""=X"")) + (23 - "&amp;"COUNTIF(IFERROR(ARRAYFORMULA(HLOOKUP($B41, IMPORTRANGE('Match Names'!$H$23, CONCAT(VLOOKUP($C41, 'Match Names'!$1:$22, 8, FALSE), ""!C3:R29"")), ROW($A$1:$A$24), FALSE)), $AA$9:$AA$31), ""=X""))"),92.0)</f>
        <v>92</v>
      </c>
      <c r="E41" s="4">
        <f>IFERROR(__xludf.DUMMYFUNCTION("COUNTIF(ARRAYFORMULA(HLOOKUP($B41, IMPORTRANGE('Prelim Rankings Unsorted'!$B$40, CONCAT(VLOOKUP($C41, 'Match Names'!$A$1:$D$22, 2, FALSE), ""!C3:R29"")), ROW($A$1:$A$24), FALSE)), ""=4"") + COUNTIF(ARRAYFORMULA(HLOOKUP($B41, IMPORTRANGE('Prelim Rankings U"&amp;"nsorted'!$B$41, CONCAT(VLOOKUP($C41, 'Match Names'!$A$1:$D$22, 3, FALSE), ""!C3:R29"")), ROW($A$1:$A$24), FALSE)), ""=4"") + COUNTIF(ARRAYFORMULA(HLOOKUP($B41, IMPORTRANGE('Prelim Rankings Unsorted'!$B$42, CONCAT(VLOOKUP($C41, 'Match Names'!$A$1:$D$22, 4,"&amp;" FALSE), ""!C3:R29"")), ROW($A$1:$A$24), FALSE)), ""=4"") + COUNTIF(ARRAYFORMULA(HLOOKUP($B41, IMPORTRANGE('Match Names'!$E$23, CONCAT(VLOOKUP($C41, 'Match Names'!$1:$22, 5, FALSE), ""!C3:R29"")), ROW($A$1:$A$24), FALSE)), ""=4"") + COUNTIF(ARRAYFORMULA(H"&amp;"LOOKUP($B41, IMPORTRANGE('Match Names'!$F$23, CONCAT(VLOOKUP($C41, 'Match Names'!$1:$22, 6, FALSE), ""!C3:R29"")), ROW($A$1:$A$24), FALSE)), ""=4"") + COUNTIF(ARRAYFORMULA(HLOOKUP($B41, IMPORTRANGE('Match Names'!$G$23, CONCAT(VLOOKUP($C41, 'Match Names'!$"&amp;"1:$22, 7, FALSE), ""!C3:R29"")), ROW($A$1:$A$24), FALSE)), ""=4"") + COUNTIF(ARRAYFORMULA(HLOOKUP($B41, IMPORTRANGE('Match Names'!$H$23, CONCAT(VLOOKUP($C41, 'Match Names'!$1:$22, 8, FALSE), ""!C3:R29"")), ROW($A$1:$A$24), FALSE)), ""=4"")"),0.0)</f>
        <v>0</v>
      </c>
      <c r="F41" s="4">
        <f>IFERROR(__xludf.DUMMYFUNCTION("COUNTIF(ARRAYFORMULA(HLOOKUP($B41, IMPORTRANGE('Prelim Rankings Unsorted'!$B$40, CONCAT(VLOOKUP($C41, 'Match Names'!$A$1:$D$22, 2, FALSE), ""!C3:R29"")), ROW($A$1:$A$24), FALSE)), ""=0"") + COUNTIF(ARRAYFORMULA(HLOOKUP($B41, IMPORTRANGE('Prelim Rankings U"&amp;"nsorted'!$B$41, CONCAT(VLOOKUP($C41, 'Match Names'!$A$1:$D$22, 3, FALSE), ""!C3:R29"")), ROW($A$1:$A$24), FALSE)), ""=0"") + COUNTIF(ARRAYFORMULA(HLOOKUP($B41, IMPORTRANGE('Prelim Rankings Unsorted'!$B$42, CONCAT(VLOOKUP($C41, 'Match Names'!$A$1:$D$22, 4,"&amp;" FALSE), ""!C3:R29"")), ROW($A$1:$A$24), FALSE)), ""=0"") + COUNTIF(ARRAYFORMULA(HLOOKUP($B41, IMPORTRANGE('Match Names'!$E$23, CONCAT(VLOOKUP($C41, 'Match Names'!$1:$22, 5, FALSE), ""!C3:R29"")), ROW($A$1:$A$24), FALSE)), ""=0"") + COUNTIF(ARRAYFORMULA(H"&amp;"LOOKUP($B41, IMPORTRANGE('Match Names'!$F$23, CONCAT(VLOOKUP($C41, 'Match Names'!$1:$22, 6, FALSE), ""!C3:R29"")), ROW($A$1:$A$24), FALSE)), ""=0"") + COUNTIF(ARRAYFORMULA(HLOOKUP($B41, IMPORTRANGE('Match Names'!$G$23, CONCAT(VLOOKUP($C41, 'Match Names'!$"&amp;"1:$22, 7, FALSE), ""!C3:R29"")), ROW($A$1:$A$24), FALSE)), ""=0"") + COUNTIF(ARRAYFORMULA(HLOOKUP($B41, IMPORTRANGE('Match Names'!$H$23, CONCAT(VLOOKUP($C41, 'Match Names'!$1:$22, 8, FALSE), ""!C3:R29"")), ROW($A$1:$A$24), FALSE)), ""=0"")"),1.0)</f>
        <v>1</v>
      </c>
      <c r="G41" s="4">
        <f>IFERROR(__xludf.DUMMYFUNCTION("COUNTIF(ARRAYFORMULA(HLOOKUP($B41, IMPORTRANGE('Prelim Rankings Unsorted'!$B$40, CONCAT(VLOOKUP($C41, 'Match Names'!$A$1:$D$22, 2, FALSE), ""!C3:R29"")), ROW($A$1:$A$24), FALSE)), ""=-4"") + COUNTIF(ARRAYFORMULA(HLOOKUP($B41, IMPORTRANGE('Prelim Rankings "&amp;"Unsorted'!$B$41, CONCAT(VLOOKUP($C41, 'Match Names'!$A$1:$D$22, 3, FALSE), ""!C3:R29"")), ROW($A$1:$A$24), FALSE)), ""=-4"") + COUNTIF(ARRAYFORMULA(HLOOKUP($B41, IMPORTRANGE('Prelim Rankings Unsorted'!$B$42, CONCAT(VLOOKUP($C41, 'Match Names'!$A$1:$D$22, "&amp;"4, FALSE), ""!C3:R29"")), ROW($A$1:$A$24), FALSE)), ""=-4"") + COUNTIF(ARRAYFORMULA(HLOOKUP($B41, IMPORTRANGE('Match Names'!$E$23, CONCAT(VLOOKUP($C41, 'Match Names'!$1:$22, 5, FALSE), ""!C3:R29"")), ROW($A$1:$A$24), FALSE)), ""=-4"") + COUNTIF(ARRAYFORMU"&amp;"LA(HLOOKUP($B41, IMPORTRANGE('Match Names'!$F$23, CONCAT(VLOOKUP($C41, 'Match Names'!$1:$22, 6, FALSE), ""!C3:R29"")), ROW($A$1:$A$24), FALSE)), ""=-4"") + COUNTIF(ARRAYFORMULA(HLOOKUP($B41, IMPORTRANGE('Match Names'!$G$23, CONCAT(VLOOKUP($C41, 'Match Nam"&amp;"es'!$1:$22, 7, FALSE), ""!C3:R29"")), ROW($A$1:$A$24), FALSE)), ""=-4"") + COUNTIF(ARRAYFORMULA(HLOOKUP($B41, IMPORTRANGE('Match Names'!$H$23, CONCAT(VLOOKUP($C41, 'Match Names'!$1:$22, 8, FALSE), ""!C3:R29"")), ROW($A$1:$A$24), FALSE)), ""=-4"")"),0.0)</f>
        <v>0</v>
      </c>
      <c r="H41" s="4">
        <f t="shared" si="1"/>
        <v>0</v>
      </c>
    </row>
    <row r="42">
      <c r="A42" s="7" t="s">
        <v>171</v>
      </c>
      <c r="B42" s="7" t="str">
        <f>VLOOKUP(CONCAT(A42, C42), 'Discord Username to Real Name'!C:D, 2, FALSE)</f>
        <v>Tencor7144#2297</v>
      </c>
      <c r="C42" s="7" t="s">
        <v>16</v>
      </c>
      <c r="D42" s="11">
        <f>IFERROR(__xludf.DUMMYFUNCTION("(23 - COUNTIF(IFERROR(ARRAYFORMULA(HLOOKUP($B42, IMPORTRANGE('Prelim Rankings Unsorted'!$B$40, CONCAT(VLOOKUP($C42, 'Match Names'!$A$1:$D$22, 2, FALSE), ""!C3:R29"")), ROW($A$1:$A$24), FALSE)), $AA$9:$AA$31), ""=X"")) + (23 - COUNTIF(IFERROR(ARRAYFORMULA("&amp;"HLOOKUP($B42, IMPORTRANGE('Prelim Rankings Unsorted'!$B$41, CONCAT(VLOOKUP($C42, 'Match Names'!$A$1:$D$22, 3, FALSE), ""!C3:R29"")), ROW($A$1:$A$24), FALSE)), $AA$9:$AA$31), ""=X"")) + (23 - COUNTIF(IFERROR(ARRAYFORMULA(HLOOKUP($B42, IMPORTRANGE('Prelim R"&amp;"ankings Unsorted'!$B$42, CONCAT(VLOOKUP($C42, 'Match Names'!$A$1:$D$22, 4, FALSE), ""!C3:R29"")), ROW($A$1:$A$24), FALSE)), $AA$9:$AA$31), ""=X"")) + (23 - COUNTIF(IFERROR(ARRAYFORMULA(HLOOKUP($B42, IMPORTRANGE('Match Names'!$E$23, CONCAT(VLOOKUP($C42, 'M"&amp;"atch Names'!$1:$22, 5, FALSE), ""!C3:R29"")), ROW($A$1:$A$24), FALSE)), $AA$9:$AA$31), ""=X"")) + (23 - COUNTIF(IFERROR(ARRAYFORMULA(HLOOKUP($B42, IMPORTRANGE('Match Names'!$F$23, CONCAT(VLOOKUP($C42, 'Match Names'!$1:$22, 6, FALSE), ""!C3:R29"")), ROW($A"&amp;"$1:$A$24), FALSE)), $AA$9:$AA$31), ""=X"")) + (23 - COUNTIF(IFERROR(ARRAYFORMULA(HLOOKUP($B42, IMPORTRANGE('Match Names'!$G$23, CONCAT(VLOOKUP($C42, 'Match Names'!$1:$22, 7, FALSE), ""!C3:R29"")), ROW($A$1:$A$24), FALSE)), $AA$9:$AA$31), ""=X"")) + (23 - "&amp;"COUNTIF(IFERROR(ARRAYFORMULA(HLOOKUP($B42, IMPORTRANGE('Match Names'!$H$23, CONCAT(VLOOKUP($C42, 'Match Names'!$1:$22, 8, FALSE), ""!C3:R29"")), ROW($A$1:$A$24), FALSE)), $AA$9:$AA$31), ""=X""))"),46.0)</f>
        <v>46</v>
      </c>
      <c r="E42" s="4">
        <f>IFERROR(__xludf.DUMMYFUNCTION("COUNTIF(ARRAYFORMULA(HLOOKUP($B42, IMPORTRANGE('Prelim Rankings Unsorted'!$B$40, CONCAT(VLOOKUP($C42, 'Match Names'!$A$1:$D$22, 2, FALSE), ""!C3:R29"")), ROW($A$1:$A$24), FALSE)), ""=4"") + COUNTIF(ARRAYFORMULA(HLOOKUP($B42, IMPORTRANGE('Prelim Rankings U"&amp;"nsorted'!$B$41, CONCAT(VLOOKUP($C42, 'Match Names'!$A$1:$D$22, 3, FALSE), ""!C3:R29"")), ROW($A$1:$A$24), FALSE)), ""=4"") + COUNTIF(ARRAYFORMULA(HLOOKUP($B42, IMPORTRANGE('Prelim Rankings Unsorted'!$B$42, CONCAT(VLOOKUP($C42, 'Match Names'!$A$1:$D$22, 4,"&amp;" FALSE), ""!C3:R29"")), ROW($A$1:$A$24), FALSE)), ""=4"") + COUNTIF(ARRAYFORMULA(HLOOKUP($B42, IMPORTRANGE('Match Names'!$E$23, CONCAT(VLOOKUP($C42, 'Match Names'!$1:$22, 5, FALSE), ""!C3:R29"")), ROW($A$1:$A$24), FALSE)), ""=4"") + COUNTIF(ARRAYFORMULA(H"&amp;"LOOKUP($B42, IMPORTRANGE('Match Names'!$F$23, CONCAT(VLOOKUP($C42, 'Match Names'!$1:$22, 6, FALSE), ""!C3:R29"")), ROW($A$1:$A$24), FALSE)), ""=4"") + COUNTIF(ARRAYFORMULA(HLOOKUP($B42, IMPORTRANGE('Match Names'!$G$23, CONCAT(VLOOKUP($C42, 'Match Names'!$"&amp;"1:$22, 7, FALSE), ""!C3:R29"")), ROW($A$1:$A$24), FALSE)), ""=4"") + COUNTIF(ARRAYFORMULA(HLOOKUP($B42, IMPORTRANGE('Match Names'!$H$23, CONCAT(VLOOKUP($C42, 'Match Names'!$1:$22, 8, FALSE), ""!C3:R29"")), ROW($A$1:$A$24), FALSE)), ""=4"")"),1.0)</f>
        <v>1</v>
      </c>
      <c r="F42" s="4">
        <f>IFERROR(__xludf.DUMMYFUNCTION("COUNTIF(ARRAYFORMULA(HLOOKUP($B42, IMPORTRANGE('Prelim Rankings Unsorted'!$B$40, CONCAT(VLOOKUP($C42, 'Match Names'!$A$1:$D$22, 2, FALSE), ""!C3:R29"")), ROW($A$1:$A$24), FALSE)), ""=0"") + COUNTIF(ARRAYFORMULA(HLOOKUP($B42, IMPORTRANGE('Prelim Rankings U"&amp;"nsorted'!$B$41, CONCAT(VLOOKUP($C42, 'Match Names'!$A$1:$D$22, 3, FALSE), ""!C3:R29"")), ROW($A$1:$A$24), FALSE)), ""=0"") + COUNTIF(ARRAYFORMULA(HLOOKUP($B42, IMPORTRANGE('Prelim Rankings Unsorted'!$B$42, CONCAT(VLOOKUP($C42, 'Match Names'!$A$1:$D$22, 4,"&amp;" FALSE), ""!C3:R29"")), ROW($A$1:$A$24), FALSE)), ""=0"") + COUNTIF(ARRAYFORMULA(HLOOKUP($B42, IMPORTRANGE('Match Names'!$E$23, CONCAT(VLOOKUP($C42, 'Match Names'!$1:$22, 5, FALSE), ""!C3:R29"")), ROW($A$1:$A$24), FALSE)), ""=0"") + COUNTIF(ARRAYFORMULA(H"&amp;"LOOKUP($B42, IMPORTRANGE('Match Names'!$F$23, CONCAT(VLOOKUP($C42, 'Match Names'!$1:$22, 6, FALSE), ""!C3:R29"")), ROW($A$1:$A$24), FALSE)), ""=0"") + COUNTIF(ARRAYFORMULA(HLOOKUP($B42, IMPORTRANGE('Match Names'!$G$23, CONCAT(VLOOKUP($C42, 'Match Names'!$"&amp;"1:$22, 7, FALSE), ""!C3:R29"")), ROW($A$1:$A$24), FALSE)), ""=0"") + COUNTIF(ARRAYFORMULA(HLOOKUP($B42, IMPORTRANGE('Match Names'!$H$23, CONCAT(VLOOKUP($C42, 'Match Names'!$1:$22, 8, FALSE), ""!C3:R29"")), ROW($A$1:$A$24), FALSE)), ""=0"")"),1.0)</f>
        <v>1</v>
      </c>
      <c r="G42" s="4">
        <f>IFERROR(__xludf.DUMMYFUNCTION("COUNTIF(ARRAYFORMULA(HLOOKUP($B42, IMPORTRANGE('Prelim Rankings Unsorted'!$B$40, CONCAT(VLOOKUP($C42, 'Match Names'!$A$1:$D$22, 2, FALSE), ""!C3:R29"")), ROW($A$1:$A$24), FALSE)), ""=-4"") + COUNTIF(ARRAYFORMULA(HLOOKUP($B42, IMPORTRANGE('Prelim Rankings "&amp;"Unsorted'!$B$41, CONCAT(VLOOKUP($C42, 'Match Names'!$A$1:$D$22, 3, FALSE), ""!C3:R29"")), ROW($A$1:$A$24), FALSE)), ""=-4"") + COUNTIF(ARRAYFORMULA(HLOOKUP($B42, IMPORTRANGE('Prelim Rankings Unsorted'!$B$42, CONCAT(VLOOKUP($C42, 'Match Names'!$A$1:$D$22, "&amp;"4, FALSE), ""!C3:R29"")), ROW($A$1:$A$24), FALSE)), ""=-4"") + COUNTIF(ARRAYFORMULA(HLOOKUP($B42, IMPORTRANGE('Match Names'!$E$23, CONCAT(VLOOKUP($C42, 'Match Names'!$1:$22, 5, FALSE), ""!C3:R29"")), ROW($A$1:$A$24), FALSE)), ""=-4"") + COUNTIF(ARRAYFORMU"&amp;"LA(HLOOKUP($B42, IMPORTRANGE('Match Names'!$F$23, CONCAT(VLOOKUP($C42, 'Match Names'!$1:$22, 6, FALSE), ""!C3:R29"")), ROW($A$1:$A$24), FALSE)), ""=-4"") + COUNTIF(ARRAYFORMULA(HLOOKUP($B42, IMPORTRANGE('Match Names'!$G$23, CONCAT(VLOOKUP($C42, 'Match Nam"&amp;"es'!$1:$22, 7, FALSE), ""!C3:R29"")), ROW($A$1:$A$24), FALSE)), ""=-4"") + COUNTIF(ARRAYFORMULA(HLOOKUP($B42, IMPORTRANGE('Match Names'!$H$23, CONCAT(VLOOKUP($C42, 'Match Names'!$1:$22, 8, FALSE), ""!C3:R29"")), ROW($A$1:$A$24), FALSE)), ""=-4"")"),0.0)</f>
        <v>0</v>
      </c>
      <c r="H42" s="4">
        <f t="shared" si="1"/>
        <v>2</v>
      </c>
    </row>
    <row r="43">
      <c r="A43" s="7" t="s">
        <v>73</v>
      </c>
      <c r="B43" s="7" t="str">
        <f>VLOOKUP(CONCAT(A43, C43), 'Discord Username to Real Name'!C:D, 2, FALSE)</f>
        <v>oof7373#7373</v>
      </c>
      <c r="C43" s="7" t="s">
        <v>15</v>
      </c>
      <c r="D43" s="11">
        <f>IFERROR(__xludf.DUMMYFUNCTION("(23 - COUNTIF(IFERROR(ARRAYFORMULA(HLOOKUP($B43, IMPORTRANGE('Prelim Rankings Unsorted'!$B$40, CONCAT(VLOOKUP($C43, 'Match Names'!$A$1:$D$22, 2, FALSE), ""!C3:R29"")), ROW($A$1:$A$24), FALSE)), $AA$9:$AA$31), ""=X"")) + (23 - COUNTIF(IFERROR(ARRAYFORMULA("&amp;"HLOOKUP($B43, IMPORTRANGE('Prelim Rankings Unsorted'!$B$41, CONCAT(VLOOKUP($C43, 'Match Names'!$A$1:$D$22, 3, FALSE), ""!C3:R29"")), ROW($A$1:$A$24), FALSE)), $AA$9:$AA$31), ""=X"")) + (23 - COUNTIF(IFERROR(ARRAYFORMULA(HLOOKUP($B43, IMPORTRANGE('Prelim R"&amp;"ankings Unsorted'!$B$42, CONCAT(VLOOKUP($C43, 'Match Names'!$A$1:$D$22, 4, FALSE), ""!C3:R29"")), ROW($A$1:$A$24), FALSE)), $AA$9:$AA$31), ""=X"")) + (23 - COUNTIF(IFERROR(ARRAYFORMULA(HLOOKUP($B43, IMPORTRANGE('Match Names'!$E$23, CONCAT(VLOOKUP($C43, 'M"&amp;"atch Names'!$1:$22, 5, FALSE), ""!C3:R29"")), ROW($A$1:$A$24), FALSE)), $AA$9:$AA$31), ""=X"")) + (23 - COUNTIF(IFERROR(ARRAYFORMULA(HLOOKUP($B43, IMPORTRANGE('Match Names'!$F$23, CONCAT(VLOOKUP($C43, 'Match Names'!$1:$22, 6, FALSE), ""!C3:R29"")), ROW($A"&amp;"$1:$A$24), FALSE)), $AA$9:$AA$31), ""=X"")) + (23 - COUNTIF(IFERROR(ARRAYFORMULA(HLOOKUP($B43, IMPORTRANGE('Match Names'!$G$23, CONCAT(VLOOKUP($C43, 'Match Names'!$1:$22, 7, FALSE), ""!C3:R29"")), ROW($A$1:$A$24), FALSE)), $AA$9:$AA$31), ""=X"")) + (23 - "&amp;"COUNTIF(IFERROR(ARRAYFORMULA(HLOOKUP($B43, IMPORTRANGE('Match Names'!$H$23, CONCAT(VLOOKUP($C43, 'Match Names'!$1:$22, 8, FALSE), ""!C3:R29"")), ROW($A$1:$A$24), FALSE)), $AA$9:$AA$31), ""=X""))"),138.0)</f>
        <v>138</v>
      </c>
      <c r="E43" s="4">
        <f>IFERROR(__xludf.DUMMYFUNCTION("COUNTIF(ARRAYFORMULA(HLOOKUP($B43, IMPORTRANGE('Prelim Rankings Unsorted'!$B$40, CONCAT(VLOOKUP($C43, 'Match Names'!$A$1:$D$22, 2, FALSE), ""!C3:R29"")), ROW($A$1:$A$24), FALSE)), ""=4"") + COUNTIF(ARRAYFORMULA(HLOOKUP($B43, IMPORTRANGE('Prelim Rankings U"&amp;"nsorted'!$B$41, CONCAT(VLOOKUP($C43, 'Match Names'!$A$1:$D$22, 3, FALSE), ""!C3:R29"")), ROW($A$1:$A$24), FALSE)), ""=4"") + COUNTIF(ARRAYFORMULA(HLOOKUP($B43, IMPORTRANGE('Prelim Rankings Unsorted'!$B$42, CONCAT(VLOOKUP($C43, 'Match Names'!$A$1:$D$22, 4,"&amp;" FALSE), ""!C3:R29"")), ROW($A$1:$A$24), FALSE)), ""=4"") + COUNTIF(ARRAYFORMULA(HLOOKUP($B43, IMPORTRANGE('Match Names'!$E$23, CONCAT(VLOOKUP($C43, 'Match Names'!$1:$22, 5, FALSE), ""!C3:R29"")), ROW($A$1:$A$24), FALSE)), ""=4"") + COUNTIF(ARRAYFORMULA(H"&amp;"LOOKUP($B43, IMPORTRANGE('Match Names'!$F$23, CONCAT(VLOOKUP($C43, 'Match Names'!$1:$22, 6, FALSE), ""!C3:R29"")), ROW($A$1:$A$24), FALSE)), ""=4"") + COUNTIF(ARRAYFORMULA(HLOOKUP($B43, IMPORTRANGE('Match Names'!$G$23, CONCAT(VLOOKUP($C43, 'Match Names'!$"&amp;"1:$22, 7, FALSE), ""!C3:R29"")), ROW($A$1:$A$24), FALSE)), ""=4"") + COUNTIF(ARRAYFORMULA(HLOOKUP($B43, IMPORTRANGE('Match Names'!$H$23, CONCAT(VLOOKUP($C43, 'Match Names'!$1:$22, 8, FALSE), ""!C3:R29"")), ROW($A$1:$A$24), FALSE)), ""=4"")"),51.0)</f>
        <v>51</v>
      </c>
      <c r="F43" s="4">
        <f>IFERROR(__xludf.DUMMYFUNCTION("COUNTIF(ARRAYFORMULA(HLOOKUP($B43, IMPORTRANGE('Prelim Rankings Unsorted'!$B$40, CONCAT(VLOOKUP($C43, 'Match Names'!$A$1:$D$22, 2, FALSE), ""!C3:R29"")), ROW($A$1:$A$24), FALSE)), ""=0"") + COUNTIF(ARRAYFORMULA(HLOOKUP($B43, IMPORTRANGE('Prelim Rankings U"&amp;"nsorted'!$B$41, CONCAT(VLOOKUP($C43, 'Match Names'!$A$1:$D$22, 3, FALSE), ""!C3:R29"")), ROW($A$1:$A$24), FALSE)), ""=0"") + COUNTIF(ARRAYFORMULA(HLOOKUP($B43, IMPORTRANGE('Prelim Rankings Unsorted'!$B$42, CONCAT(VLOOKUP($C43, 'Match Names'!$A$1:$D$22, 4,"&amp;" FALSE), ""!C3:R29"")), ROW($A$1:$A$24), FALSE)), ""=0"") + COUNTIF(ARRAYFORMULA(HLOOKUP($B43, IMPORTRANGE('Match Names'!$E$23, CONCAT(VLOOKUP($C43, 'Match Names'!$1:$22, 5, FALSE), ""!C3:R29"")), ROW($A$1:$A$24), FALSE)), ""=0"") + COUNTIF(ARRAYFORMULA(H"&amp;"LOOKUP($B43, IMPORTRANGE('Match Names'!$F$23, CONCAT(VLOOKUP($C43, 'Match Names'!$1:$22, 6, FALSE), ""!C3:R29"")), ROW($A$1:$A$24), FALSE)), ""=0"") + COUNTIF(ARRAYFORMULA(HLOOKUP($B43, IMPORTRANGE('Match Names'!$G$23, CONCAT(VLOOKUP($C43, 'Match Names'!$"&amp;"1:$22, 7, FALSE), ""!C3:R29"")), ROW($A$1:$A$24), FALSE)), ""=0"") + COUNTIF(ARRAYFORMULA(HLOOKUP($B43, IMPORTRANGE('Match Names'!$H$23, CONCAT(VLOOKUP($C43, 'Match Names'!$1:$22, 8, FALSE), ""!C3:R29"")), ROW($A$1:$A$24), FALSE)), ""=0"")"),22.0)</f>
        <v>22</v>
      </c>
      <c r="G43" s="4">
        <f>IFERROR(__xludf.DUMMYFUNCTION("COUNTIF(ARRAYFORMULA(HLOOKUP($B43, IMPORTRANGE('Prelim Rankings Unsorted'!$B$40, CONCAT(VLOOKUP($C43, 'Match Names'!$A$1:$D$22, 2, FALSE), ""!C3:R29"")), ROW($A$1:$A$24), FALSE)), ""=-4"") + COUNTIF(ARRAYFORMULA(HLOOKUP($B43, IMPORTRANGE('Prelim Rankings "&amp;"Unsorted'!$B$41, CONCAT(VLOOKUP($C43, 'Match Names'!$A$1:$D$22, 3, FALSE), ""!C3:R29"")), ROW($A$1:$A$24), FALSE)), ""=-4"") + COUNTIF(ARRAYFORMULA(HLOOKUP($B43, IMPORTRANGE('Prelim Rankings Unsorted'!$B$42, CONCAT(VLOOKUP($C43, 'Match Names'!$A$1:$D$22, "&amp;"4, FALSE), ""!C3:R29"")), ROW($A$1:$A$24), FALSE)), ""=-4"") + COUNTIF(ARRAYFORMULA(HLOOKUP($B43, IMPORTRANGE('Match Names'!$E$23, CONCAT(VLOOKUP($C43, 'Match Names'!$1:$22, 5, FALSE), ""!C3:R29"")), ROW($A$1:$A$24), FALSE)), ""=-4"") + COUNTIF(ARRAYFORMU"&amp;"LA(HLOOKUP($B43, IMPORTRANGE('Match Names'!$F$23, CONCAT(VLOOKUP($C43, 'Match Names'!$1:$22, 6, FALSE), ""!C3:R29"")), ROW($A$1:$A$24), FALSE)), ""=-4"") + COUNTIF(ARRAYFORMULA(HLOOKUP($B43, IMPORTRANGE('Match Names'!$G$23, CONCAT(VLOOKUP($C43, 'Match Nam"&amp;"es'!$1:$22, 7, FALSE), ""!C3:R29"")), ROW($A$1:$A$24), FALSE)), ""=-4"") + COUNTIF(ARRAYFORMULA(HLOOKUP($B43, IMPORTRANGE('Match Names'!$H$23, CONCAT(VLOOKUP($C43, 'Match Names'!$1:$22, 8, FALSE), ""!C3:R29"")), ROW($A$1:$A$24), FALSE)), ""=-4"")"),3.0)</f>
        <v>3</v>
      </c>
      <c r="H43" s="4">
        <f t="shared" si="1"/>
        <v>32</v>
      </c>
      <c r="J43" s="11"/>
      <c r="K43" s="11"/>
    </row>
    <row r="44">
      <c r="A44" s="7" t="s">
        <v>63</v>
      </c>
      <c r="B44" s="7" t="str">
        <f>VLOOKUP(CONCAT(A44, C44), 'Discord Username to Real Name'!C:D, 2, FALSE)</f>
        <v>effervescence#3904</v>
      </c>
      <c r="C44" s="7" t="s">
        <v>15</v>
      </c>
      <c r="D44" s="11">
        <f>IFERROR(__xludf.DUMMYFUNCTION("(23 - COUNTIF(IFERROR(ARRAYFORMULA(HLOOKUP($B44, IMPORTRANGE('Prelim Rankings Unsorted'!$B$40, CONCAT(VLOOKUP($C44, 'Match Names'!$A$1:$D$22, 2, FALSE), ""!C3:R29"")), ROW($A$1:$A$24), FALSE)), $AA$9:$AA$31), ""=X"")) + (23 - COUNTIF(IFERROR(ARRAYFORMULA("&amp;"HLOOKUP($B44, IMPORTRANGE('Prelim Rankings Unsorted'!$B$41, CONCAT(VLOOKUP($C44, 'Match Names'!$A$1:$D$22, 3, FALSE), ""!C3:R29"")), ROW($A$1:$A$24), FALSE)), $AA$9:$AA$31), ""=X"")) + (23 - COUNTIF(IFERROR(ARRAYFORMULA(HLOOKUP($B44, IMPORTRANGE('Prelim R"&amp;"ankings Unsorted'!$B$42, CONCAT(VLOOKUP($C44, 'Match Names'!$A$1:$D$22, 4, FALSE), ""!C3:R29"")), ROW($A$1:$A$24), FALSE)), $AA$9:$AA$31), ""=X"")) + (23 - COUNTIF(IFERROR(ARRAYFORMULA(HLOOKUP($B44, IMPORTRANGE('Match Names'!$E$23, CONCAT(VLOOKUP($C44, 'M"&amp;"atch Names'!$1:$22, 5, FALSE), ""!C3:R29"")), ROW($A$1:$A$24), FALSE)), $AA$9:$AA$31), ""=X"")) + (23 - COUNTIF(IFERROR(ARRAYFORMULA(HLOOKUP($B44, IMPORTRANGE('Match Names'!$F$23, CONCAT(VLOOKUP($C44, 'Match Names'!$1:$22, 6, FALSE), ""!C3:R29"")), ROW($A"&amp;"$1:$A$24), FALSE)), $AA$9:$AA$31), ""=X"")) + (23 - COUNTIF(IFERROR(ARRAYFORMULA(HLOOKUP($B44, IMPORTRANGE('Match Names'!$G$23, CONCAT(VLOOKUP($C44, 'Match Names'!$1:$22, 7, FALSE), ""!C3:R29"")), ROW($A$1:$A$24), FALSE)), $AA$9:$AA$31), ""=X"")) + (23 - "&amp;"COUNTIF(IFERROR(ARRAYFORMULA(HLOOKUP($B44, IMPORTRANGE('Match Names'!$H$23, CONCAT(VLOOKUP($C44, 'Match Names'!$1:$22, 8, FALSE), ""!C3:R29"")), ROW($A$1:$A$24), FALSE)), $AA$9:$AA$31), ""=X""))"),115.0)</f>
        <v>115</v>
      </c>
      <c r="E44" s="4">
        <f>IFERROR(__xludf.DUMMYFUNCTION("COUNTIF(ARRAYFORMULA(HLOOKUP($B44, IMPORTRANGE('Prelim Rankings Unsorted'!$B$40, CONCAT(VLOOKUP($C44, 'Match Names'!$A$1:$D$22, 2, FALSE), ""!C3:R29"")), ROW($A$1:$A$24), FALSE)), ""=4"") + COUNTIF(ARRAYFORMULA(HLOOKUP($B44, IMPORTRANGE('Prelim Rankings U"&amp;"nsorted'!$B$41, CONCAT(VLOOKUP($C44, 'Match Names'!$A$1:$D$22, 3, FALSE), ""!C3:R29"")), ROW($A$1:$A$24), FALSE)), ""=4"") + COUNTIF(ARRAYFORMULA(HLOOKUP($B44, IMPORTRANGE('Prelim Rankings Unsorted'!$B$42, CONCAT(VLOOKUP($C44, 'Match Names'!$A$1:$D$22, 4,"&amp;" FALSE), ""!C3:R29"")), ROW($A$1:$A$24), FALSE)), ""=4"") + COUNTIF(ARRAYFORMULA(HLOOKUP($B44, IMPORTRANGE('Match Names'!$E$23, CONCAT(VLOOKUP($C44, 'Match Names'!$1:$22, 5, FALSE), ""!C3:R29"")), ROW($A$1:$A$24), FALSE)), ""=4"") + COUNTIF(ARRAYFORMULA(H"&amp;"LOOKUP($B44, IMPORTRANGE('Match Names'!$F$23, CONCAT(VLOOKUP($C44, 'Match Names'!$1:$22, 6, FALSE), ""!C3:R29"")), ROW($A$1:$A$24), FALSE)), ""=4"") + COUNTIF(ARRAYFORMULA(HLOOKUP($B44, IMPORTRANGE('Match Names'!$G$23, CONCAT(VLOOKUP($C44, 'Match Names'!$"&amp;"1:$22, 7, FALSE), ""!C3:R29"")), ROW($A$1:$A$24), FALSE)), ""=4"") + COUNTIF(ARRAYFORMULA(HLOOKUP($B44, IMPORTRANGE('Match Names'!$H$23, CONCAT(VLOOKUP($C44, 'Match Names'!$1:$22, 8, FALSE), ""!C3:R29"")), ROW($A$1:$A$24), FALSE)), ""=4"")"),16.0)</f>
        <v>16</v>
      </c>
      <c r="F44" s="4">
        <f>IFERROR(__xludf.DUMMYFUNCTION("COUNTIF(ARRAYFORMULA(HLOOKUP($B44, IMPORTRANGE('Prelim Rankings Unsorted'!$B$40, CONCAT(VLOOKUP($C44, 'Match Names'!$A$1:$D$22, 2, FALSE), ""!C3:R29"")), ROW($A$1:$A$24), FALSE)), ""=0"") + COUNTIF(ARRAYFORMULA(HLOOKUP($B44, IMPORTRANGE('Prelim Rankings U"&amp;"nsorted'!$B$41, CONCAT(VLOOKUP($C44, 'Match Names'!$A$1:$D$22, 3, FALSE), ""!C3:R29"")), ROW($A$1:$A$24), FALSE)), ""=0"") + COUNTIF(ARRAYFORMULA(HLOOKUP($B44, IMPORTRANGE('Prelim Rankings Unsorted'!$B$42, CONCAT(VLOOKUP($C44, 'Match Names'!$A$1:$D$22, 4,"&amp;" FALSE), ""!C3:R29"")), ROW($A$1:$A$24), FALSE)), ""=0"") + COUNTIF(ARRAYFORMULA(HLOOKUP($B44, IMPORTRANGE('Match Names'!$E$23, CONCAT(VLOOKUP($C44, 'Match Names'!$1:$22, 5, FALSE), ""!C3:R29"")), ROW($A$1:$A$24), FALSE)), ""=0"") + COUNTIF(ARRAYFORMULA(H"&amp;"LOOKUP($B44, IMPORTRANGE('Match Names'!$F$23, CONCAT(VLOOKUP($C44, 'Match Names'!$1:$22, 6, FALSE), ""!C3:R29"")), ROW($A$1:$A$24), FALSE)), ""=0"") + COUNTIF(ARRAYFORMULA(HLOOKUP($B44, IMPORTRANGE('Match Names'!$G$23, CONCAT(VLOOKUP($C44, 'Match Names'!$"&amp;"1:$22, 7, FALSE), ""!C3:R29"")), ROW($A$1:$A$24), FALSE)), ""=0"") + COUNTIF(ARRAYFORMULA(HLOOKUP($B44, IMPORTRANGE('Match Names'!$H$23, CONCAT(VLOOKUP($C44, 'Match Names'!$1:$22, 8, FALSE), ""!C3:R29"")), ROW($A$1:$A$24), FALSE)), ""=0"")"),4.0)</f>
        <v>4</v>
      </c>
      <c r="G44" s="4">
        <f>IFERROR(__xludf.DUMMYFUNCTION("COUNTIF(ARRAYFORMULA(HLOOKUP($B44, IMPORTRANGE('Prelim Rankings Unsorted'!$B$40, CONCAT(VLOOKUP($C44, 'Match Names'!$A$1:$D$22, 2, FALSE), ""!C3:R29"")), ROW($A$1:$A$24), FALSE)), ""=-4"") + COUNTIF(ARRAYFORMULA(HLOOKUP($B44, IMPORTRANGE('Prelim Rankings "&amp;"Unsorted'!$B$41, CONCAT(VLOOKUP($C44, 'Match Names'!$A$1:$D$22, 3, FALSE), ""!C3:R29"")), ROW($A$1:$A$24), FALSE)), ""=-4"") + COUNTIF(ARRAYFORMULA(HLOOKUP($B44, IMPORTRANGE('Prelim Rankings Unsorted'!$B$42, CONCAT(VLOOKUP($C44, 'Match Names'!$A$1:$D$22, "&amp;"4, FALSE), ""!C3:R29"")), ROW($A$1:$A$24), FALSE)), ""=-4"") + COUNTIF(ARRAYFORMULA(HLOOKUP($B44, IMPORTRANGE('Match Names'!$E$23, CONCAT(VLOOKUP($C44, 'Match Names'!$1:$22, 5, FALSE), ""!C3:R29"")), ROW($A$1:$A$24), FALSE)), ""=-4"") + COUNTIF(ARRAYFORMU"&amp;"LA(HLOOKUP($B44, IMPORTRANGE('Match Names'!$F$23, CONCAT(VLOOKUP($C44, 'Match Names'!$1:$22, 6, FALSE), ""!C3:R29"")), ROW($A$1:$A$24), FALSE)), ""=-4"") + COUNTIF(ARRAYFORMULA(HLOOKUP($B44, IMPORTRANGE('Match Names'!$G$23, CONCAT(VLOOKUP($C44, 'Match Nam"&amp;"es'!$1:$22, 7, FALSE), ""!C3:R29"")), ROW($A$1:$A$24), FALSE)), ""=-4"") + COUNTIF(ARRAYFORMULA(HLOOKUP($B44, IMPORTRANGE('Match Names'!$H$23, CONCAT(VLOOKUP($C44, 'Match Names'!$1:$22, 8, FALSE), ""!C3:R29"")), ROW($A$1:$A$24), FALSE)), ""=-4"")"),1.0)</f>
        <v>1</v>
      </c>
      <c r="H44" s="4">
        <f t="shared" si="1"/>
        <v>12</v>
      </c>
      <c r="J44" s="11"/>
    </row>
    <row r="45">
      <c r="A45" s="7" t="s">
        <v>113</v>
      </c>
      <c r="B45" s="7" t="str">
        <f>VLOOKUP(CONCAT(A45, C45), 'Discord Username to Real Name'!C:D, 2, FALSE)</f>
        <v>a5a7#2184</v>
      </c>
      <c r="C45" s="7" t="s">
        <v>15</v>
      </c>
      <c r="D45" s="11">
        <f>IFERROR(__xludf.DUMMYFUNCTION("(23 - COUNTIF(IFERROR(ARRAYFORMULA(HLOOKUP($B45, IMPORTRANGE('Prelim Rankings Unsorted'!$B$40, CONCAT(VLOOKUP($C45, 'Match Names'!$A$1:$D$22, 2, FALSE), ""!C3:R29"")), ROW($A$1:$A$24), FALSE)), $AA$9:$AA$31), ""=X"")) + (23 - COUNTIF(IFERROR(ARRAYFORMULA("&amp;"HLOOKUP($B45, IMPORTRANGE('Prelim Rankings Unsorted'!$B$41, CONCAT(VLOOKUP($C45, 'Match Names'!$A$1:$D$22, 3, FALSE), ""!C3:R29"")), ROW($A$1:$A$24), FALSE)), $AA$9:$AA$31), ""=X"")) + (23 - COUNTIF(IFERROR(ARRAYFORMULA(HLOOKUP($B45, IMPORTRANGE('Prelim R"&amp;"ankings Unsorted'!$B$42, CONCAT(VLOOKUP($C45, 'Match Names'!$A$1:$D$22, 4, FALSE), ""!C3:R29"")), ROW($A$1:$A$24), FALSE)), $AA$9:$AA$31), ""=X"")) + (23 - COUNTIF(IFERROR(ARRAYFORMULA(HLOOKUP($B45, IMPORTRANGE('Match Names'!$E$23, CONCAT(VLOOKUP($C45, 'M"&amp;"atch Names'!$1:$22, 5, FALSE), ""!C3:R29"")), ROW($A$1:$A$24), FALSE)), $AA$9:$AA$31), ""=X"")) + (23 - COUNTIF(IFERROR(ARRAYFORMULA(HLOOKUP($B45, IMPORTRANGE('Match Names'!$F$23, CONCAT(VLOOKUP($C45, 'Match Names'!$1:$22, 6, FALSE), ""!C3:R29"")), ROW($A"&amp;"$1:$A$24), FALSE)), $AA$9:$AA$31), ""=X"")) + (23 - COUNTIF(IFERROR(ARRAYFORMULA(HLOOKUP($B45, IMPORTRANGE('Match Names'!$G$23, CONCAT(VLOOKUP($C45, 'Match Names'!$1:$22, 7, FALSE), ""!C3:R29"")), ROW($A$1:$A$24), FALSE)), $AA$9:$AA$31), ""=X"")) + (23 - "&amp;"COUNTIF(IFERROR(ARRAYFORMULA(HLOOKUP($B45, IMPORTRANGE('Match Names'!$H$23, CONCAT(VLOOKUP($C45, 'Match Names'!$1:$22, 8, FALSE), ""!C3:R29"")), ROW($A$1:$A$24), FALSE)), $AA$9:$AA$31), ""=X""))"),84.0)</f>
        <v>84</v>
      </c>
      <c r="E45" s="4">
        <f>IFERROR(__xludf.DUMMYFUNCTION("COUNTIF(ARRAYFORMULA(HLOOKUP($B45, IMPORTRANGE('Prelim Rankings Unsorted'!$B$40, CONCAT(VLOOKUP($C45, 'Match Names'!$A$1:$D$22, 2, FALSE), ""!C3:R29"")), ROW($A$1:$A$24), FALSE)), ""=4"") + COUNTIF(ARRAYFORMULA(HLOOKUP($B45, IMPORTRANGE('Prelim Rankings U"&amp;"nsorted'!$B$41, CONCAT(VLOOKUP($C45, 'Match Names'!$A$1:$D$22, 3, FALSE), ""!C3:R29"")), ROW($A$1:$A$24), FALSE)), ""=4"") + COUNTIF(ARRAYFORMULA(HLOOKUP($B45, IMPORTRANGE('Prelim Rankings Unsorted'!$B$42, CONCAT(VLOOKUP($C45, 'Match Names'!$A$1:$D$22, 4,"&amp;" FALSE), ""!C3:R29"")), ROW($A$1:$A$24), FALSE)), ""=4"") + COUNTIF(ARRAYFORMULA(HLOOKUP($B45, IMPORTRANGE('Match Names'!$E$23, CONCAT(VLOOKUP($C45, 'Match Names'!$1:$22, 5, FALSE), ""!C3:R29"")), ROW($A$1:$A$24), FALSE)), ""=4"") + COUNTIF(ARRAYFORMULA(H"&amp;"LOOKUP($B45, IMPORTRANGE('Match Names'!$F$23, CONCAT(VLOOKUP($C45, 'Match Names'!$1:$22, 6, FALSE), ""!C3:R29"")), ROW($A$1:$A$24), FALSE)), ""=4"") + COUNTIF(ARRAYFORMULA(HLOOKUP($B45, IMPORTRANGE('Match Names'!$G$23, CONCAT(VLOOKUP($C45, 'Match Names'!$"&amp;"1:$22, 7, FALSE), ""!C3:R29"")), ROW($A$1:$A$24), FALSE)), ""=4"") + COUNTIF(ARRAYFORMULA(HLOOKUP($B45, IMPORTRANGE('Match Names'!$H$23, CONCAT(VLOOKUP($C45, 'Match Names'!$1:$22, 8, FALSE), ""!C3:R29"")), ROW($A$1:$A$24), FALSE)), ""=4"")"),3.0)</f>
        <v>3</v>
      </c>
      <c r="F45" s="4">
        <f>IFERROR(__xludf.DUMMYFUNCTION("COUNTIF(ARRAYFORMULA(HLOOKUP($B45, IMPORTRANGE('Prelim Rankings Unsorted'!$B$40, CONCAT(VLOOKUP($C45, 'Match Names'!$A$1:$D$22, 2, FALSE), ""!C3:R29"")), ROW($A$1:$A$24), FALSE)), ""=0"") + COUNTIF(ARRAYFORMULA(HLOOKUP($B45, IMPORTRANGE('Prelim Rankings U"&amp;"nsorted'!$B$41, CONCAT(VLOOKUP($C45, 'Match Names'!$A$1:$D$22, 3, FALSE), ""!C3:R29"")), ROW($A$1:$A$24), FALSE)), ""=0"") + COUNTIF(ARRAYFORMULA(HLOOKUP($B45, IMPORTRANGE('Prelim Rankings Unsorted'!$B$42, CONCAT(VLOOKUP($C45, 'Match Names'!$A$1:$D$22, 4,"&amp;" FALSE), ""!C3:R29"")), ROW($A$1:$A$24), FALSE)), ""=0"") + COUNTIF(ARRAYFORMULA(HLOOKUP($B45, IMPORTRANGE('Match Names'!$E$23, CONCAT(VLOOKUP($C45, 'Match Names'!$1:$22, 5, FALSE), ""!C3:R29"")), ROW($A$1:$A$24), FALSE)), ""=0"") + COUNTIF(ARRAYFORMULA(H"&amp;"LOOKUP($B45, IMPORTRANGE('Match Names'!$F$23, CONCAT(VLOOKUP($C45, 'Match Names'!$1:$22, 6, FALSE), ""!C3:R29"")), ROW($A$1:$A$24), FALSE)), ""=0"") + COUNTIF(ARRAYFORMULA(HLOOKUP($B45, IMPORTRANGE('Match Names'!$G$23, CONCAT(VLOOKUP($C45, 'Match Names'!$"&amp;"1:$22, 7, FALSE), ""!C3:R29"")), ROW($A$1:$A$24), FALSE)), ""=0"") + COUNTIF(ARRAYFORMULA(HLOOKUP($B45, IMPORTRANGE('Match Names'!$H$23, CONCAT(VLOOKUP($C45, 'Match Names'!$1:$22, 8, FALSE), ""!C3:R29"")), ROW($A$1:$A$24), FALSE)), ""=0"")"),4.0)</f>
        <v>4</v>
      </c>
      <c r="G45" s="4">
        <f>IFERROR(__xludf.DUMMYFUNCTION("COUNTIF(ARRAYFORMULA(HLOOKUP($B45, IMPORTRANGE('Prelim Rankings Unsorted'!$B$40, CONCAT(VLOOKUP($C45, 'Match Names'!$A$1:$D$22, 2, FALSE), ""!C3:R29"")), ROW($A$1:$A$24), FALSE)), ""=-4"") + COUNTIF(ARRAYFORMULA(HLOOKUP($B45, IMPORTRANGE('Prelim Rankings "&amp;"Unsorted'!$B$41, CONCAT(VLOOKUP($C45, 'Match Names'!$A$1:$D$22, 3, FALSE), ""!C3:R29"")), ROW($A$1:$A$24), FALSE)), ""=-4"") + COUNTIF(ARRAYFORMULA(HLOOKUP($B45, IMPORTRANGE('Prelim Rankings Unsorted'!$B$42, CONCAT(VLOOKUP($C45, 'Match Names'!$A$1:$D$22, "&amp;"4, FALSE), ""!C3:R29"")), ROW($A$1:$A$24), FALSE)), ""=-4"") + COUNTIF(ARRAYFORMULA(HLOOKUP($B45, IMPORTRANGE('Match Names'!$E$23, CONCAT(VLOOKUP($C45, 'Match Names'!$1:$22, 5, FALSE), ""!C3:R29"")), ROW($A$1:$A$24), FALSE)), ""=-4"") + COUNTIF(ARRAYFORMU"&amp;"LA(HLOOKUP($B45, IMPORTRANGE('Match Names'!$F$23, CONCAT(VLOOKUP($C45, 'Match Names'!$1:$22, 6, FALSE), ""!C3:R29"")), ROW($A$1:$A$24), FALSE)), ""=-4"") + COUNTIF(ARRAYFORMULA(HLOOKUP($B45, IMPORTRANGE('Match Names'!$G$23, CONCAT(VLOOKUP($C45, 'Match Nam"&amp;"es'!$1:$22, 7, FALSE), ""!C3:R29"")), ROW($A$1:$A$24), FALSE)), ""=-4"") + COUNTIF(ARRAYFORMULA(HLOOKUP($B45, IMPORTRANGE('Match Names'!$H$23, CONCAT(VLOOKUP($C45, 'Match Names'!$1:$22, 8, FALSE), ""!C3:R29"")), ROW($A$1:$A$24), FALSE)), ""=-4"")"),0.0)</f>
        <v>0</v>
      </c>
      <c r="H45" s="4">
        <f t="shared" si="1"/>
        <v>3.29</v>
      </c>
    </row>
    <row r="46">
      <c r="A46" s="7" t="s">
        <v>169</v>
      </c>
      <c r="B46" s="7" t="str">
        <f>VLOOKUP(CONCAT(A46, C46), 'Discord Username to Real Name'!C:D, 2, FALSE)</f>
        <v>Verisimilitude#2169</v>
      </c>
      <c r="C46" s="7" t="s">
        <v>15</v>
      </c>
      <c r="D46" s="11">
        <f>IFERROR(__xludf.DUMMYFUNCTION("(23 - COUNTIF(IFERROR(ARRAYFORMULA(HLOOKUP($B46, IMPORTRANGE('Prelim Rankings Unsorted'!$B$40, CONCAT(VLOOKUP($C46, 'Match Names'!$A$1:$D$22, 2, FALSE), ""!C3:R29"")), ROW($A$1:$A$24), FALSE)), $AA$9:$AA$31), ""=X"")) + (23 - COUNTIF(IFERROR(ARRAYFORMULA("&amp;"HLOOKUP($B46, IMPORTRANGE('Prelim Rankings Unsorted'!$B$41, CONCAT(VLOOKUP($C46, 'Match Names'!$A$1:$D$22, 3, FALSE), ""!C3:R29"")), ROW($A$1:$A$24), FALSE)), $AA$9:$AA$31), ""=X"")) + (23 - COUNTIF(IFERROR(ARRAYFORMULA(HLOOKUP($B46, IMPORTRANGE('Prelim R"&amp;"ankings Unsorted'!$B$42, CONCAT(VLOOKUP($C46, 'Match Names'!$A$1:$D$22, 4, FALSE), ""!C3:R29"")), ROW($A$1:$A$24), FALSE)), $AA$9:$AA$31), ""=X"")) + (23 - COUNTIF(IFERROR(ARRAYFORMULA(HLOOKUP($B46, IMPORTRANGE('Match Names'!$E$23, CONCAT(VLOOKUP($C46, 'M"&amp;"atch Names'!$1:$22, 5, FALSE), ""!C3:R29"")), ROW($A$1:$A$24), FALSE)), $AA$9:$AA$31), ""=X"")) + (23 - COUNTIF(IFERROR(ARRAYFORMULA(HLOOKUP($B46, IMPORTRANGE('Match Names'!$F$23, CONCAT(VLOOKUP($C46, 'Match Names'!$1:$22, 6, FALSE), ""!C3:R29"")), ROW($A"&amp;"$1:$A$24), FALSE)), $AA$9:$AA$31), ""=X"")) + (23 - COUNTIF(IFERROR(ARRAYFORMULA(HLOOKUP($B46, IMPORTRANGE('Match Names'!$G$23, CONCAT(VLOOKUP($C46, 'Match Names'!$1:$22, 7, FALSE), ""!C3:R29"")), ROW($A$1:$A$24), FALSE)), $AA$9:$AA$31), ""=X"")) + (23 - "&amp;"COUNTIF(IFERROR(ARRAYFORMULA(HLOOKUP($B46, IMPORTRANGE('Match Names'!$H$23, CONCAT(VLOOKUP($C46, 'Match Names'!$1:$22, 8, FALSE), ""!C3:R29"")), ROW($A$1:$A$24), FALSE)), $AA$9:$AA$31), ""=X""))"),78.0)</f>
        <v>78</v>
      </c>
      <c r="E46" s="4">
        <f>IFERROR(__xludf.DUMMYFUNCTION("COUNTIF(ARRAYFORMULA(HLOOKUP($B46, IMPORTRANGE('Prelim Rankings Unsorted'!$B$40, CONCAT(VLOOKUP($C46, 'Match Names'!$A$1:$D$22, 2, FALSE), ""!C3:R29"")), ROW($A$1:$A$24), FALSE)), ""=4"") + COUNTIF(ARRAYFORMULA(HLOOKUP($B46, IMPORTRANGE('Prelim Rankings U"&amp;"nsorted'!$B$41, CONCAT(VLOOKUP($C46, 'Match Names'!$A$1:$D$22, 3, FALSE), ""!C3:R29"")), ROW($A$1:$A$24), FALSE)), ""=4"") + COUNTIF(ARRAYFORMULA(HLOOKUP($B46, IMPORTRANGE('Prelim Rankings Unsorted'!$B$42, CONCAT(VLOOKUP($C46, 'Match Names'!$A$1:$D$22, 4,"&amp;" FALSE), ""!C3:R29"")), ROW($A$1:$A$24), FALSE)), ""=4"") + COUNTIF(ARRAYFORMULA(HLOOKUP($B46, IMPORTRANGE('Match Names'!$E$23, CONCAT(VLOOKUP($C46, 'Match Names'!$1:$22, 5, FALSE), ""!C3:R29"")), ROW($A$1:$A$24), FALSE)), ""=4"") + COUNTIF(ARRAYFORMULA(H"&amp;"LOOKUP($B46, IMPORTRANGE('Match Names'!$F$23, CONCAT(VLOOKUP($C46, 'Match Names'!$1:$22, 6, FALSE), ""!C3:R29"")), ROW($A$1:$A$24), FALSE)), ""=4"") + COUNTIF(ARRAYFORMULA(HLOOKUP($B46, IMPORTRANGE('Match Names'!$G$23, CONCAT(VLOOKUP($C46, 'Match Names'!$"&amp;"1:$22, 7, FALSE), ""!C3:R29"")), ROW($A$1:$A$24), FALSE)), ""=4"") + COUNTIF(ARRAYFORMULA(HLOOKUP($B46, IMPORTRANGE('Match Names'!$H$23, CONCAT(VLOOKUP($C46, 'Match Names'!$1:$22, 8, FALSE), ""!C3:R29"")), ROW($A$1:$A$24), FALSE)), ""=4"")"),0.0)</f>
        <v>0</v>
      </c>
      <c r="F46" s="4">
        <f>IFERROR(__xludf.DUMMYFUNCTION("COUNTIF(ARRAYFORMULA(HLOOKUP($B46, IMPORTRANGE('Prelim Rankings Unsorted'!$B$40, CONCAT(VLOOKUP($C46, 'Match Names'!$A$1:$D$22, 2, FALSE), ""!C3:R29"")), ROW($A$1:$A$24), FALSE)), ""=0"") + COUNTIF(ARRAYFORMULA(HLOOKUP($B46, IMPORTRANGE('Prelim Rankings U"&amp;"nsorted'!$B$41, CONCAT(VLOOKUP($C46, 'Match Names'!$A$1:$D$22, 3, FALSE), ""!C3:R29"")), ROW($A$1:$A$24), FALSE)), ""=0"") + COUNTIF(ARRAYFORMULA(HLOOKUP($B46, IMPORTRANGE('Prelim Rankings Unsorted'!$B$42, CONCAT(VLOOKUP($C46, 'Match Names'!$A$1:$D$22, 4,"&amp;" FALSE), ""!C3:R29"")), ROW($A$1:$A$24), FALSE)), ""=0"") + COUNTIF(ARRAYFORMULA(HLOOKUP($B46, IMPORTRANGE('Match Names'!$E$23, CONCAT(VLOOKUP($C46, 'Match Names'!$1:$22, 5, FALSE), ""!C3:R29"")), ROW($A$1:$A$24), FALSE)), ""=0"") + COUNTIF(ARRAYFORMULA(H"&amp;"LOOKUP($B46, IMPORTRANGE('Match Names'!$F$23, CONCAT(VLOOKUP($C46, 'Match Names'!$1:$22, 6, FALSE), ""!C3:R29"")), ROW($A$1:$A$24), FALSE)), ""=0"") + COUNTIF(ARRAYFORMULA(HLOOKUP($B46, IMPORTRANGE('Match Names'!$G$23, CONCAT(VLOOKUP($C46, 'Match Names'!$"&amp;"1:$22, 7, FALSE), ""!C3:R29"")), ROW($A$1:$A$24), FALSE)), ""=0"") + COUNTIF(ARRAYFORMULA(HLOOKUP($B46, IMPORTRANGE('Match Names'!$H$23, CONCAT(VLOOKUP($C46, 'Match Names'!$1:$22, 8, FALSE), ""!C3:R29"")), ROW($A$1:$A$24), FALSE)), ""=0"")"),0.0)</f>
        <v>0</v>
      </c>
      <c r="G46" s="4">
        <f>IFERROR(__xludf.DUMMYFUNCTION("COUNTIF(ARRAYFORMULA(HLOOKUP($B46, IMPORTRANGE('Prelim Rankings Unsorted'!$B$40, CONCAT(VLOOKUP($C46, 'Match Names'!$A$1:$D$22, 2, FALSE), ""!C3:R29"")), ROW($A$1:$A$24), FALSE)), ""=-4"") + COUNTIF(ARRAYFORMULA(HLOOKUP($B46, IMPORTRANGE('Prelim Rankings "&amp;"Unsorted'!$B$41, CONCAT(VLOOKUP($C46, 'Match Names'!$A$1:$D$22, 3, FALSE), ""!C3:R29"")), ROW($A$1:$A$24), FALSE)), ""=-4"") + COUNTIF(ARRAYFORMULA(HLOOKUP($B46, IMPORTRANGE('Prelim Rankings Unsorted'!$B$42, CONCAT(VLOOKUP($C46, 'Match Names'!$A$1:$D$22, "&amp;"4, FALSE), ""!C3:R29"")), ROW($A$1:$A$24), FALSE)), ""=-4"") + COUNTIF(ARRAYFORMULA(HLOOKUP($B46, IMPORTRANGE('Match Names'!$E$23, CONCAT(VLOOKUP($C46, 'Match Names'!$1:$22, 5, FALSE), ""!C3:R29"")), ROW($A$1:$A$24), FALSE)), ""=-4"") + COUNTIF(ARRAYFORMU"&amp;"LA(HLOOKUP($B46, IMPORTRANGE('Match Names'!$F$23, CONCAT(VLOOKUP($C46, 'Match Names'!$1:$22, 6, FALSE), ""!C3:R29"")), ROW($A$1:$A$24), FALSE)), ""=-4"") + COUNTIF(ARRAYFORMULA(HLOOKUP($B46, IMPORTRANGE('Match Names'!$G$23, CONCAT(VLOOKUP($C46, 'Match Nam"&amp;"es'!$1:$22, 7, FALSE), ""!C3:R29"")), ROW($A$1:$A$24), FALSE)), ""=-4"") + COUNTIF(ARRAYFORMULA(HLOOKUP($B46, IMPORTRANGE('Match Names'!$H$23, CONCAT(VLOOKUP($C46, 'Match Names'!$1:$22, 8, FALSE), ""!C3:R29"")), ROW($A$1:$A$24), FALSE)), ""=-4"")"),0.0)</f>
        <v>0</v>
      </c>
      <c r="H46" s="4">
        <f t="shared" si="1"/>
        <v>0</v>
      </c>
    </row>
    <row r="47">
      <c r="A47" s="7" t="s">
        <v>127</v>
      </c>
      <c r="B47" s="7" t="str">
        <f>VLOOKUP(CONCAT(A47, C47), 'Discord Username to Real Name'!C:D, 2, FALSE)</f>
        <v>PerfectPenguin#3133</v>
      </c>
      <c r="C47" s="7" t="s">
        <v>15</v>
      </c>
      <c r="D47" s="11">
        <f>IFERROR(__xludf.DUMMYFUNCTION("(23 - COUNTIF(IFERROR(ARRAYFORMULA(HLOOKUP($B47, IMPORTRANGE('Prelim Rankings Unsorted'!$B$40, CONCAT(VLOOKUP($C47, 'Match Names'!$A$1:$D$22, 2, FALSE), ""!C3:R29"")), ROW($A$1:$A$24), FALSE)), $AA$9:$AA$31), ""=X"")) + (23 - COUNTIF(IFERROR(ARRAYFORMULA("&amp;"HLOOKUP($B47, IMPORTRANGE('Prelim Rankings Unsorted'!$B$41, CONCAT(VLOOKUP($C47, 'Match Names'!$A$1:$D$22, 3, FALSE), ""!C3:R29"")), ROW($A$1:$A$24), FALSE)), $AA$9:$AA$31), ""=X"")) + (23 - COUNTIF(IFERROR(ARRAYFORMULA(HLOOKUP($B47, IMPORTRANGE('Prelim R"&amp;"ankings Unsorted'!$B$42, CONCAT(VLOOKUP($C47, 'Match Names'!$A$1:$D$22, 4, FALSE), ""!C3:R29"")), ROW($A$1:$A$24), FALSE)), $AA$9:$AA$31), ""=X"")) + (23 - COUNTIF(IFERROR(ARRAYFORMULA(HLOOKUP($B47, IMPORTRANGE('Match Names'!$E$23, CONCAT(VLOOKUP($C47, 'M"&amp;"atch Names'!$1:$22, 5, FALSE), ""!C3:R29"")), ROW($A$1:$A$24), FALSE)), $AA$9:$AA$31), ""=X"")) + (23 - COUNTIF(IFERROR(ARRAYFORMULA(HLOOKUP($B47, IMPORTRANGE('Match Names'!$F$23, CONCAT(VLOOKUP($C47, 'Match Names'!$1:$22, 6, FALSE), ""!C3:R29"")), ROW($A"&amp;"$1:$A$24), FALSE)), $AA$9:$AA$31), ""=X"")) + (23 - COUNTIF(IFERROR(ARRAYFORMULA(HLOOKUP($B47, IMPORTRANGE('Match Names'!$G$23, CONCAT(VLOOKUP($C47, 'Match Names'!$1:$22, 7, FALSE), ""!C3:R29"")), ROW($A$1:$A$24), FALSE)), $AA$9:$AA$31), ""=X"")) + (23 - "&amp;"COUNTIF(IFERROR(ARRAYFORMULA(HLOOKUP($B47, IMPORTRANGE('Match Names'!$H$23, CONCAT(VLOOKUP($C47, 'Match Names'!$1:$22, 8, FALSE), ""!C3:R29"")), ROW($A$1:$A$24), FALSE)), $AA$9:$AA$31), ""=X""))"),138.0)</f>
        <v>138</v>
      </c>
      <c r="E47" s="4">
        <f>IFERROR(__xludf.DUMMYFUNCTION("COUNTIF(ARRAYFORMULA(HLOOKUP($B47, IMPORTRANGE('Prelim Rankings Unsorted'!$B$40, CONCAT(VLOOKUP($C47, 'Match Names'!$A$1:$D$22, 2, FALSE), ""!C3:R29"")), ROW($A$1:$A$24), FALSE)), ""=4"") + COUNTIF(ARRAYFORMULA(HLOOKUP($B47, IMPORTRANGE('Prelim Rankings U"&amp;"nsorted'!$B$41, CONCAT(VLOOKUP($C47, 'Match Names'!$A$1:$D$22, 3, FALSE), ""!C3:R29"")), ROW($A$1:$A$24), FALSE)), ""=4"") + COUNTIF(ARRAYFORMULA(HLOOKUP($B47, IMPORTRANGE('Prelim Rankings Unsorted'!$B$42, CONCAT(VLOOKUP($C47, 'Match Names'!$A$1:$D$22, 4,"&amp;" FALSE), ""!C3:R29"")), ROW($A$1:$A$24), FALSE)), ""=4"") + COUNTIF(ARRAYFORMULA(HLOOKUP($B47, IMPORTRANGE('Match Names'!$E$23, CONCAT(VLOOKUP($C47, 'Match Names'!$1:$22, 5, FALSE), ""!C3:R29"")), ROW($A$1:$A$24), FALSE)), ""=4"") + COUNTIF(ARRAYFORMULA(H"&amp;"LOOKUP($B47, IMPORTRANGE('Match Names'!$F$23, CONCAT(VLOOKUP($C47, 'Match Names'!$1:$22, 6, FALSE), ""!C3:R29"")), ROW($A$1:$A$24), FALSE)), ""=4"") + COUNTIF(ARRAYFORMULA(HLOOKUP($B47, IMPORTRANGE('Match Names'!$G$23, CONCAT(VLOOKUP($C47, 'Match Names'!$"&amp;"1:$22, 7, FALSE), ""!C3:R29"")), ROW($A$1:$A$24), FALSE)), ""=4"") + COUNTIF(ARRAYFORMULA(HLOOKUP($B47, IMPORTRANGE('Match Names'!$H$23, CONCAT(VLOOKUP($C47, 'Match Names'!$1:$22, 8, FALSE), ""!C3:R29"")), ROW($A$1:$A$24), FALSE)), ""=4"")"),0.0)</f>
        <v>0</v>
      </c>
      <c r="F47" s="4">
        <f>IFERROR(__xludf.DUMMYFUNCTION("COUNTIF(ARRAYFORMULA(HLOOKUP($B47, IMPORTRANGE('Prelim Rankings Unsorted'!$B$40, CONCAT(VLOOKUP($C47, 'Match Names'!$A$1:$D$22, 2, FALSE), ""!C3:R29"")), ROW($A$1:$A$24), FALSE)), ""=0"") + COUNTIF(ARRAYFORMULA(HLOOKUP($B47, IMPORTRANGE('Prelim Rankings U"&amp;"nsorted'!$B$41, CONCAT(VLOOKUP($C47, 'Match Names'!$A$1:$D$22, 3, FALSE), ""!C3:R29"")), ROW($A$1:$A$24), FALSE)), ""=0"") + COUNTIF(ARRAYFORMULA(HLOOKUP($B47, IMPORTRANGE('Prelim Rankings Unsorted'!$B$42, CONCAT(VLOOKUP($C47, 'Match Names'!$A$1:$D$22, 4,"&amp;" FALSE), ""!C3:R29"")), ROW($A$1:$A$24), FALSE)), ""=0"") + COUNTIF(ARRAYFORMULA(HLOOKUP($B47, IMPORTRANGE('Match Names'!$E$23, CONCAT(VLOOKUP($C47, 'Match Names'!$1:$22, 5, FALSE), ""!C3:R29"")), ROW($A$1:$A$24), FALSE)), ""=0"") + COUNTIF(ARRAYFORMULA(H"&amp;"LOOKUP($B47, IMPORTRANGE('Match Names'!$F$23, CONCAT(VLOOKUP($C47, 'Match Names'!$1:$22, 6, FALSE), ""!C3:R29"")), ROW($A$1:$A$24), FALSE)), ""=0"") + COUNTIF(ARRAYFORMULA(HLOOKUP($B47, IMPORTRANGE('Match Names'!$G$23, CONCAT(VLOOKUP($C47, 'Match Names'!$"&amp;"1:$22, 7, FALSE), ""!C3:R29"")), ROW($A$1:$A$24), FALSE)), ""=0"") + COUNTIF(ARRAYFORMULA(HLOOKUP($B47, IMPORTRANGE('Match Names'!$H$23, CONCAT(VLOOKUP($C47, 'Match Names'!$1:$22, 8, FALSE), ""!C3:R29"")), ROW($A$1:$A$24), FALSE)), ""=0"")"),3.0)</f>
        <v>3</v>
      </c>
      <c r="G47" s="4">
        <f>IFERROR(__xludf.DUMMYFUNCTION("COUNTIF(ARRAYFORMULA(HLOOKUP($B47, IMPORTRANGE('Prelim Rankings Unsorted'!$B$40, CONCAT(VLOOKUP($C47, 'Match Names'!$A$1:$D$22, 2, FALSE), ""!C3:R29"")), ROW($A$1:$A$24), FALSE)), ""=-4"") + COUNTIF(ARRAYFORMULA(HLOOKUP($B47, IMPORTRANGE('Prelim Rankings "&amp;"Unsorted'!$B$41, CONCAT(VLOOKUP($C47, 'Match Names'!$A$1:$D$22, 3, FALSE), ""!C3:R29"")), ROW($A$1:$A$24), FALSE)), ""=-4"") + COUNTIF(ARRAYFORMULA(HLOOKUP($B47, IMPORTRANGE('Prelim Rankings Unsorted'!$B$42, CONCAT(VLOOKUP($C47, 'Match Names'!$A$1:$D$22, "&amp;"4, FALSE), ""!C3:R29"")), ROW($A$1:$A$24), FALSE)), ""=-4"") + COUNTIF(ARRAYFORMULA(HLOOKUP($B47, IMPORTRANGE('Match Names'!$E$23, CONCAT(VLOOKUP($C47, 'Match Names'!$1:$22, 5, FALSE), ""!C3:R29"")), ROW($A$1:$A$24), FALSE)), ""=-4"") + COUNTIF(ARRAYFORMU"&amp;"LA(HLOOKUP($B47, IMPORTRANGE('Match Names'!$F$23, CONCAT(VLOOKUP($C47, 'Match Names'!$1:$22, 6, FALSE), ""!C3:R29"")), ROW($A$1:$A$24), FALSE)), ""=-4"") + COUNTIF(ARRAYFORMULA(HLOOKUP($B47, IMPORTRANGE('Match Names'!$G$23, CONCAT(VLOOKUP($C47, 'Match Nam"&amp;"es'!$1:$22, 7, FALSE), ""!C3:R29"")), ROW($A$1:$A$24), FALSE)), ""=-4"") + COUNTIF(ARRAYFORMULA(HLOOKUP($B47, IMPORTRANGE('Match Names'!$H$23, CONCAT(VLOOKUP($C47, 'Match Names'!$1:$22, 8, FALSE), ""!C3:R29"")), ROW($A$1:$A$24), FALSE)), ""=-4"")"),0.0)</f>
        <v>0</v>
      </c>
      <c r="H47" s="4">
        <f t="shared" si="1"/>
        <v>0</v>
      </c>
    </row>
    <row r="48">
      <c r="A48" s="21" t="s">
        <v>41</v>
      </c>
      <c r="B48" s="7" t="str">
        <f>VLOOKUP(CONCAT(A48, C48), 'Discord Username to Real Name'!C:D, 2, FALSE)</f>
        <v>ClownFrogg𓆏#3571</v>
      </c>
      <c r="C48" s="21" t="s">
        <v>14</v>
      </c>
      <c r="D48" s="11">
        <f>IFERROR(__xludf.DUMMYFUNCTION("(23 - COUNTIF(IFERROR(ARRAYFORMULA(HLOOKUP($B48, IMPORTRANGE('Prelim Rankings Unsorted'!$B$40, CONCAT(VLOOKUP($C48, 'Match Names'!$A$1:$D$22, 2, FALSE), ""!C3:R29"")), ROW($A$1:$A$24), FALSE)), $AA$9:$AA$31), ""=X"")) + (23 - COUNTIF(IFERROR(ARRAYFORMULA("&amp;"HLOOKUP($B48, IMPORTRANGE('Prelim Rankings Unsorted'!$B$41, CONCAT(VLOOKUP($C48, 'Match Names'!$A$1:$D$22, 3, FALSE), ""!C3:R29"")), ROW($A$1:$A$24), FALSE)), $AA$9:$AA$31), ""=X"")) + (23 - COUNTIF(IFERROR(ARRAYFORMULA(HLOOKUP($B48, IMPORTRANGE('Prelim R"&amp;"ankings Unsorted'!$B$42, CONCAT(VLOOKUP($C48, 'Match Names'!$A$1:$D$22, 4, FALSE), ""!C3:R29"")), ROW($A$1:$A$24), FALSE)), $AA$9:$AA$31), ""=X"")) + (23 - COUNTIF(IFERROR(ARRAYFORMULA(HLOOKUP($B48, IMPORTRANGE('Match Names'!$E$23, CONCAT(VLOOKUP($C48, 'M"&amp;"atch Names'!$1:$22, 5, FALSE), ""!C3:R29"")), ROW($A$1:$A$24), FALSE)), $AA$9:$AA$31), ""=X"")) + (23 - COUNTIF(IFERROR(ARRAYFORMULA(HLOOKUP($B48, IMPORTRANGE('Match Names'!$F$23, CONCAT(VLOOKUP($C48, 'Match Names'!$1:$22, 6, FALSE), ""!C3:R29"")), ROW($A"&amp;"$1:$A$24), FALSE)), $AA$9:$AA$31), ""=X"")) + (23 - COUNTIF(IFERROR(ARRAYFORMULA(HLOOKUP($B48, IMPORTRANGE('Match Names'!$G$23, CONCAT(VLOOKUP($C48, 'Match Names'!$1:$22, 7, FALSE), ""!C3:R29"")), ROW($A$1:$A$24), FALSE)), $AA$9:$AA$31), ""=X"")) + (23 - "&amp;"COUNTIF(IFERROR(ARRAYFORMULA(HLOOKUP($B48, IMPORTRANGE('Match Names'!$H$23, CONCAT(VLOOKUP($C48, 'Match Names'!$1:$22, 8, FALSE), ""!C3:R29"")), ROW($A$1:$A$24), FALSE)), $AA$9:$AA$31), ""=X""))"),138.0)</f>
        <v>138</v>
      </c>
      <c r="E48" s="4">
        <f>IFERROR(__xludf.DUMMYFUNCTION("COUNTIF(ARRAYFORMULA(HLOOKUP($B48, IMPORTRANGE('Prelim Rankings Unsorted'!$B$40, CONCAT(VLOOKUP($C48, 'Match Names'!$A$1:$D$22, 2, FALSE), ""!C3:R29"")), ROW($A$1:$A$24), FALSE)), ""=4"") + COUNTIF(ARRAYFORMULA(HLOOKUP($B48, IMPORTRANGE('Prelim Rankings U"&amp;"nsorted'!$B$41, CONCAT(VLOOKUP($C48, 'Match Names'!$A$1:$D$22, 3, FALSE), ""!C3:R29"")), ROW($A$1:$A$24), FALSE)), ""=4"") + COUNTIF(ARRAYFORMULA(HLOOKUP($B48, IMPORTRANGE('Prelim Rankings Unsorted'!$B$42, CONCAT(VLOOKUP($C48, 'Match Names'!$A$1:$D$22, 4,"&amp;" FALSE), ""!C3:R29"")), ROW($A$1:$A$24), FALSE)), ""=4"") + COUNTIF(ARRAYFORMULA(HLOOKUP($B48, IMPORTRANGE('Match Names'!$E$23, CONCAT(VLOOKUP($C48, 'Match Names'!$1:$22, 5, FALSE), ""!C3:R29"")), ROW($A$1:$A$24), FALSE)), ""=4"") + COUNTIF(ARRAYFORMULA(H"&amp;"LOOKUP($B48, IMPORTRANGE('Match Names'!$F$23, CONCAT(VLOOKUP($C48, 'Match Names'!$1:$22, 6, FALSE), ""!C3:R29"")), ROW($A$1:$A$24), FALSE)), ""=4"") + COUNTIF(ARRAYFORMULA(HLOOKUP($B48, IMPORTRANGE('Match Names'!$G$23, CONCAT(VLOOKUP($C48, 'Match Names'!$"&amp;"1:$22, 7, FALSE), ""!C3:R29"")), ROW($A$1:$A$24), FALSE)), ""=4"") + COUNTIF(ARRAYFORMULA(HLOOKUP($B48, IMPORTRANGE('Match Names'!$H$23, CONCAT(VLOOKUP($C48, 'Match Names'!$1:$22, 8, FALSE), ""!C3:R29"")), ROW($A$1:$A$24), FALSE)), ""=4"")"),32.0)</f>
        <v>32</v>
      </c>
      <c r="F48" s="4">
        <f>IFERROR(__xludf.DUMMYFUNCTION("COUNTIF(ARRAYFORMULA(HLOOKUP($B48, IMPORTRANGE('Prelim Rankings Unsorted'!$B$40, CONCAT(VLOOKUP($C48, 'Match Names'!$A$1:$D$22, 2, FALSE), ""!C3:R29"")), ROW($A$1:$A$24), FALSE)), ""=0"") + COUNTIF(ARRAYFORMULA(HLOOKUP($B48, IMPORTRANGE('Prelim Rankings U"&amp;"nsorted'!$B$41, CONCAT(VLOOKUP($C48, 'Match Names'!$A$1:$D$22, 3, FALSE), ""!C3:R29"")), ROW($A$1:$A$24), FALSE)), ""=0"") + COUNTIF(ARRAYFORMULA(HLOOKUP($B48, IMPORTRANGE('Prelim Rankings Unsorted'!$B$42, CONCAT(VLOOKUP($C48, 'Match Names'!$A$1:$D$22, 4,"&amp;" FALSE), ""!C3:R29"")), ROW($A$1:$A$24), FALSE)), ""=0"") + COUNTIF(ARRAYFORMULA(HLOOKUP($B48, IMPORTRANGE('Match Names'!$E$23, CONCAT(VLOOKUP($C48, 'Match Names'!$1:$22, 5, FALSE), ""!C3:R29"")), ROW($A$1:$A$24), FALSE)), ""=0"") + COUNTIF(ARRAYFORMULA(H"&amp;"LOOKUP($B48, IMPORTRANGE('Match Names'!$F$23, CONCAT(VLOOKUP($C48, 'Match Names'!$1:$22, 6, FALSE), ""!C3:R29"")), ROW($A$1:$A$24), FALSE)), ""=0"") + COUNTIF(ARRAYFORMULA(HLOOKUP($B48, IMPORTRANGE('Match Names'!$G$23, CONCAT(VLOOKUP($C48, 'Match Names'!$"&amp;"1:$22, 7, FALSE), ""!C3:R29"")), ROW($A$1:$A$24), FALSE)), ""=0"") + COUNTIF(ARRAYFORMULA(HLOOKUP($B48, IMPORTRANGE('Match Names'!$H$23, CONCAT(VLOOKUP($C48, 'Match Names'!$1:$22, 8, FALSE), ""!C3:R29"")), ROW($A$1:$A$24), FALSE)), ""=0"")"),18.0)</f>
        <v>18</v>
      </c>
      <c r="G48" s="4">
        <f>IFERROR(__xludf.DUMMYFUNCTION("COUNTIF(ARRAYFORMULA(HLOOKUP($B48, IMPORTRANGE('Prelim Rankings Unsorted'!$B$40, CONCAT(VLOOKUP($C48, 'Match Names'!$A$1:$D$22, 2, FALSE), ""!C3:R29"")), ROW($A$1:$A$24), FALSE)), ""=-4"") + COUNTIF(ARRAYFORMULA(HLOOKUP($B48, IMPORTRANGE('Prelim Rankings "&amp;"Unsorted'!$B$41, CONCAT(VLOOKUP($C48, 'Match Names'!$A$1:$D$22, 3, FALSE), ""!C3:R29"")), ROW($A$1:$A$24), FALSE)), ""=-4"") + COUNTIF(ARRAYFORMULA(HLOOKUP($B48, IMPORTRANGE('Prelim Rankings Unsorted'!$B$42, CONCAT(VLOOKUP($C48, 'Match Names'!$A$1:$D$22, "&amp;"4, FALSE), ""!C3:R29"")), ROW($A$1:$A$24), FALSE)), ""=-4"") + COUNTIF(ARRAYFORMULA(HLOOKUP($B48, IMPORTRANGE('Match Names'!$E$23, CONCAT(VLOOKUP($C48, 'Match Names'!$1:$22, 5, FALSE), ""!C3:R29"")), ROW($A$1:$A$24), FALSE)), ""=-4"") + COUNTIF(ARRAYFORMU"&amp;"LA(HLOOKUP($B48, IMPORTRANGE('Match Names'!$F$23, CONCAT(VLOOKUP($C48, 'Match Names'!$1:$22, 6, FALSE), ""!C3:R29"")), ROW($A$1:$A$24), FALSE)), ""=-4"") + COUNTIF(ARRAYFORMULA(HLOOKUP($B48, IMPORTRANGE('Match Names'!$G$23, CONCAT(VLOOKUP($C48, 'Match Nam"&amp;"es'!$1:$22, 7, FALSE), ""!C3:R29"")), ROW($A$1:$A$24), FALSE)), ""=-4"") + COUNTIF(ARRAYFORMULA(HLOOKUP($B48, IMPORTRANGE('Match Names'!$H$23, CONCAT(VLOOKUP($C48, 'Match Names'!$1:$22, 8, FALSE), ""!C3:R29"")), ROW($A$1:$A$24), FALSE)), ""=-4"")"),3.0)</f>
        <v>3</v>
      </c>
      <c r="H48" s="4">
        <f t="shared" si="1"/>
        <v>19.33</v>
      </c>
    </row>
    <row r="49">
      <c r="A49" s="21" t="s">
        <v>56</v>
      </c>
      <c r="B49" s="7" t="str">
        <f>VLOOKUP(CONCAT(A49, C49), 'Discord Username to Real Name'!C:D, 2, FALSE)</f>
        <v>WeisPickle#1350</v>
      </c>
      <c r="C49" s="21" t="s">
        <v>14</v>
      </c>
      <c r="D49" s="11">
        <f>IFERROR(__xludf.DUMMYFUNCTION("(23 - COUNTIF(IFERROR(ARRAYFORMULA(HLOOKUP($B49, IMPORTRANGE('Prelim Rankings Unsorted'!$B$40, CONCAT(VLOOKUP($C49, 'Match Names'!$A$1:$D$22, 2, FALSE), ""!C3:R29"")), ROW($A$1:$A$24), FALSE)), $AA$9:$AA$31), ""=X"")) + (23 - COUNTIF(IFERROR(ARRAYFORMULA("&amp;"HLOOKUP($B49, IMPORTRANGE('Prelim Rankings Unsorted'!$B$41, CONCAT(VLOOKUP($C49, 'Match Names'!$A$1:$D$22, 3, FALSE), ""!C3:R29"")), ROW($A$1:$A$24), FALSE)), $AA$9:$AA$31), ""=X"")) + (23 - COUNTIF(IFERROR(ARRAYFORMULA(HLOOKUP($B49, IMPORTRANGE('Prelim R"&amp;"ankings Unsorted'!$B$42, CONCAT(VLOOKUP($C49, 'Match Names'!$A$1:$D$22, 4, FALSE), ""!C3:R29"")), ROW($A$1:$A$24), FALSE)), $AA$9:$AA$31), ""=X"")) + (23 - COUNTIF(IFERROR(ARRAYFORMULA(HLOOKUP($B49, IMPORTRANGE('Match Names'!$E$23, CONCAT(VLOOKUP($C49, 'M"&amp;"atch Names'!$1:$22, 5, FALSE), ""!C3:R29"")), ROW($A$1:$A$24), FALSE)), $AA$9:$AA$31), ""=X"")) + (23 - COUNTIF(IFERROR(ARRAYFORMULA(HLOOKUP($B49, IMPORTRANGE('Match Names'!$F$23, CONCAT(VLOOKUP($C49, 'Match Names'!$1:$22, 6, FALSE), ""!C3:R29"")), ROW($A"&amp;"$1:$A$24), FALSE)), $AA$9:$AA$31), ""=X"")) + (23 - COUNTIF(IFERROR(ARRAYFORMULA(HLOOKUP($B49, IMPORTRANGE('Match Names'!$G$23, CONCAT(VLOOKUP($C49, 'Match Names'!$1:$22, 7, FALSE), ""!C3:R29"")), ROW($A$1:$A$24), FALSE)), $AA$9:$AA$31), ""=X"")) + (23 - "&amp;"COUNTIF(IFERROR(ARRAYFORMULA(HLOOKUP($B49, IMPORTRANGE('Match Names'!$H$23, CONCAT(VLOOKUP($C49, 'Match Names'!$1:$22, 8, FALSE), ""!C3:R29"")), ROW($A$1:$A$24), FALSE)), $AA$9:$AA$31), ""=X""))"),138.0)</f>
        <v>138</v>
      </c>
      <c r="E49" s="4">
        <f>IFERROR(__xludf.DUMMYFUNCTION("COUNTIF(ARRAYFORMULA(HLOOKUP($B49, IMPORTRANGE('Prelim Rankings Unsorted'!$B$40, CONCAT(VLOOKUP($C49, 'Match Names'!$A$1:$D$22, 2, FALSE), ""!C3:R29"")), ROW($A$1:$A$24), FALSE)), ""=4"") + COUNTIF(ARRAYFORMULA(HLOOKUP($B49, IMPORTRANGE('Prelim Rankings U"&amp;"nsorted'!$B$41, CONCAT(VLOOKUP($C49, 'Match Names'!$A$1:$D$22, 3, FALSE), ""!C3:R29"")), ROW($A$1:$A$24), FALSE)), ""=4"") + COUNTIF(ARRAYFORMULA(HLOOKUP($B49, IMPORTRANGE('Prelim Rankings Unsorted'!$B$42, CONCAT(VLOOKUP($C49, 'Match Names'!$A$1:$D$22, 4,"&amp;" FALSE), ""!C3:R29"")), ROW($A$1:$A$24), FALSE)), ""=4"") + COUNTIF(ARRAYFORMULA(HLOOKUP($B49, IMPORTRANGE('Match Names'!$E$23, CONCAT(VLOOKUP($C49, 'Match Names'!$1:$22, 5, FALSE), ""!C3:R29"")), ROW($A$1:$A$24), FALSE)), ""=4"") + COUNTIF(ARRAYFORMULA(H"&amp;"LOOKUP($B49, IMPORTRANGE('Match Names'!$F$23, CONCAT(VLOOKUP($C49, 'Match Names'!$1:$22, 6, FALSE), ""!C3:R29"")), ROW($A$1:$A$24), FALSE)), ""=4"") + COUNTIF(ARRAYFORMULA(HLOOKUP($B49, IMPORTRANGE('Match Names'!$G$23, CONCAT(VLOOKUP($C49, 'Match Names'!$"&amp;"1:$22, 7, FALSE), ""!C3:R29"")), ROW($A$1:$A$24), FALSE)), ""=4"") + COUNTIF(ARRAYFORMULA(HLOOKUP($B49, IMPORTRANGE('Match Names'!$H$23, CONCAT(VLOOKUP($C49, 'Match Names'!$1:$22, 8, FALSE), ""!C3:R29"")), ROW($A$1:$A$24), FALSE)), ""=4"")"),26.0)</f>
        <v>26</v>
      </c>
      <c r="F49" s="4">
        <f>IFERROR(__xludf.DUMMYFUNCTION("COUNTIF(ARRAYFORMULA(HLOOKUP($B49, IMPORTRANGE('Prelim Rankings Unsorted'!$B$40, CONCAT(VLOOKUP($C49, 'Match Names'!$A$1:$D$22, 2, FALSE), ""!C3:R29"")), ROW($A$1:$A$24), FALSE)), ""=0"") + COUNTIF(ARRAYFORMULA(HLOOKUP($B49, IMPORTRANGE('Prelim Rankings U"&amp;"nsorted'!$B$41, CONCAT(VLOOKUP($C49, 'Match Names'!$A$1:$D$22, 3, FALSE), ""!C3:R29"")), ROW($A$1:$A$24), FALSE)), ""=0"") + COUNTIF(ARRAYFORMULA(HLOOKUP($B49, IMPORTRANGE('Prelim Rankings Unsorted'!$B$42, CONCAT(VLOOKUP($C49, 'Match Names'!$A$1:$D$22, 4,"&amp;" FALSE), ""!C3:R29"")), ROW($A$1:$A$24), FALSE)), ""=0"") + COUNTIF(ARRAYFORMULA(HLOOKUP($B49, IMPORTRANGE('Match Names'!$E$23, CONCAT(VLOOKUP($C49, 'Match Names'!$1:$22, 5, FALSE), ""!C3:R29"")), ROW($A$1:$A$24), FALSE)), ""=0"") + COUNTIF(ARRAYFORMULA(H"&amp;"LOOKUP($B49, IMPORTRANGE('Match Names'!$F$23, CONCAT(VLOOKUP($C49, 'Match Names'!$1:$22, 6, FALSE), ""!C3:R29"")), ROW($A$1:$A$24), FALSE)), ""=0"") + COUNTIF(ARRAYFORMULA(HLOOKUP($B49, IMPORTRANGE('Match Names'!$G$23, CONCAT(VLOOKUP($C49, 'Match Names'!$"&amp;"1:$22, 7, FALSE), ""!C3:R29"")), ROW($A$1:$A$24), FALSE)), ""=0"") + COUNTIF(ARRAYFORMULA(HLOOKUP($B49, IMPORTRANGE('Match Names'!$H$23, CONCAT(VLOOKUP($C49, 'Match Names'!$1:$22, 8, FALSE), ""!C3:R29"")), ROW($A$1:$A$24), FALSE)), ""=0"")"),10.0)</f>
        <v>10</v>
      </c>
      <c r="G49" s="4">
        <f>IFERROR(__xludf.DUMMYFUNCTION("COUNTIF(ARRAYFORMULA(HLOOKUP($B49, IMPORTRANGE('Prelim Rankings Unsorted'!$B$40, CONCAT(VLOOKUP($C49, 'Match Names'!$A$1:$D$22, 2, FALSE), ""!C3:R29"")), ROW($A$1:$A$24), FALSE)), ""=-4"") + COUNTIF(ARRAYFORMULA(HLOOKUP($B49, IMPORTRANGE('Prelim Rankings "&amp;"Unsorted'!$B$41, CONCAT(VLOOKUP($C49, 'Match Names'!$A$1:$D$22, 3, FALSE), ""!C3:R29"")), ROW($A$1:$A$24), FALSE)), ""=-4"") + COUNTIF(ARRAYFORMULA(HLOOKUP($B49, IMPORTRANGE('Prelim Rankings Unsorted'!$B$42, CONCAT(VLOOKUP($C49, 'Match Names'!$A$1:$D$22, "&amp;"4, FALSE), ""!C3:R29"")), ROW($A$1:$A$24), FALSE)), ""=-4"") + COUNTIF(ARRAYFORMULA(HLOOKUP($B49, IMPORTRANGE('Match Names'!$E$23, CONCAT(VLOOKUP($C49, 'Match Names'!$1:$22, 5, FALSE), ""!C3:R29"")), ROW($A$1:$A$24), FALSE)), ""=-4"") + COUNTIF(ARRAYFORMU"&amp;"LA(HLOOKUP($B49, IMPORTRANGE('Match Names'!$F$23, CONCAT(VLOOKUP($C49, 'Match Names'!$1:$22, 6, FALSE), ""!C3:R29"")), ROW($A$1:$A$24), FALSE)), ""=-4"") + COUNTIF(ARRAYFORMULA(HLOOKUP($B49, IMPORTRANGE('Match Names'!$G$23, CONCAT(VLOOKUP($C49, 'Match Nam"&amp;"es'!$1:$22, 7, FALSE), ""!C3:R29"")), ROW($A$1:$A$24), FALSE)), ""=-4"") + COUNTIF(ARRAYFORMULA(HLOOKUP($B49, IMPORTRANGE('Match Names'!$H$23, CONCAT(VLOOKUP($C49, 'Match Names'!$1:$22, 8, FALSE), ""!C3:R29"")), ROW($A$1:$A$24), FALSE)), ""=-4"")"),7.0)</f>
        <v>7</v>
      </c>
      <c r="H49" s="4">
        <f t="shared" si="1"/>
        <v>12.67</v>
      </c>
    </row>
    <row r="50">
      <c r="A50" s="21" t="s">
        <v>132</v>
      </c>
      <c r="B50" s="7" t="str">
        <f>VLOOKUP(CONCAT(A50, C50), 'Discord Username to Real Name'!C:D, 2, FALSE)</f>
        <v>Endoplasmic Rayticulum#6706</v>
      </c>
      <c r="C50" s="21" t="s">
        <v>14</v>
      </c>
      <c r="D50" s="11">
        <f>IFERROR(__xludf.DUMMYFUNCTION("(23 - COUNTIF(IFERROR(ARRAYFORMULA(HLOOKUP($B50, IMPORTRANGE('Prelim Rankings Unsorted'!$B$40, CONCAT(VLOOKUP($C50, 'Match Names'!$A$1:$D$22, 2, FALSE), ""!C3:R29"")), ROW($A$1:$A$24), FALSE)), $AA$9:$AA$31), ""=X"")) + (23 - COUNTIF(IFERROR(ARRAYFORMULA("&amp;"HLOOKUP($B50, IMPORTRANGE('Prelim Rankings Unsorted'!$B$41, CONCAT(VLOOKUP($C50, 'Match Names'!$A$1:$D$22, 3, FALSE), ""!C3:R29"")), ROW($A$1:$A$24), FALSE)), $AA$9:$AA$31), ""=X"")) + (23 - COUNTIF(IFERROR(ARRAYFORMULA(HLOOKUP($B50, IMPORTRANGE('Prelim R"&amp;"ankings Unsorted'!$B$42, CONCAT(VLOOKUP($C50, 'Match Names'!$A$1:$D$22, 4, FALSE), ""!C3:R29"")), ROW($A$1:$A$24), FALSE)), $AA$9:$AA$31), ""=X"")) + (23 - COUNTIF(IFERROR(ARRAYFORMULA(HLOOKUP($B50, IMPORTRANGE('Match Names'!$E$23, CONCAT(VLOOKUP($C50, 'M"&amp;"atch Names'!$1:$22, 5, FALSE), ""!C3:R29"")), ROW($A$1:$A$24), FALSE)), $AA$9:$AA$31), ""=X"")) + (23 - COUNTIF(IFERROR(ARRAYFORMULA(HLOOKUP($B50, IMPORTRANGE('Match Names'!$F$23, CONCAT(VLOOKUP($C50, 'Match Names'!$1:$22, 6, FALSE), ""!C3:R29"")), ROW($A"&amp;"$1:$A$24), FALSE)), $AA$9:$AA$31), ""=X"")) + (23 - COUNTIF(IFERROR(ARRAYFORMULA(HLOOKUP($B50, IMPORTRANGE('Match Names'!$G$23, CONCAT(VLOOKUP($C50, 'Match Names'!$1:$22, 7, FALSE), ""!C3:R29"")), ROW($A$1:$A$24), FALSE)), $AA$9:$AA$31), ""=X"")) + (23 - "&amp;"COUNTIF(IFERROR(ARRAYFORMULA(HLOOKUP($B50, IMPORTRANGE('Match Names'!$H$23, CONCAT(VLOOKUP($C50, 'Match Names'!$1:$22, 8, FALSE), ""!C3:R29"")), ROW($A$1:$A$24), FALSE)), $AA$9:$AA$31), ""=X""))"),138.0)</f>
        <v>138</v>
      </c>
      <c r="E50" s="4">
        <f>IFERROR(__xludf.DUMMYFUNCTION("COUNTIF(ARRAYFORMULA(HLOOKUP($B50, IMPORTRANGE('Prelim Rankings Unsorted'!$B$40, CONCAT(VLOOKUP($C50, 'Match Names'!$A$1:$D$22, 2, FALSE), ""!C3:R29"")), ROW($A$1:$A$24), FALSE)), ""=4"") + COUNTIF(ARRAYFORMULA(HLOOKUP($B50, IMPORTRANGE('Prelim Rankings U"&amp;"nsorted'!$B$41, CONCAT(VLOOKUP($C50, 'Match Names'!$A$1:$D$22, 3, FALSE), ""!C3:R29"")), ROW($A$1:$A$24), FALSE)), ""=4"") + COUNTIF(ARRAYFORMULA(HLOOKUP($B50, IMPORTRANGE('Prelim Rankings Unsorted'!$B$42, CONCAT(VLOOKUP($C50, 'Match Names'!$A$1:$D$22, 4,"&amp;" FALSE), ""!C3:R29"")), ROW($A$1:$A$24), FALSE)), ""=4"") + COUNTIF(ARRAYFORMULA(HLOOKUP($B50, IMPORTRANGE('Match Names'!$E$23, CONCAT(VLOOKUP($C50, 'Match Names'!$1:$22, 5, FALSE), ""!C3:R29"")), ROW($A$1:$A$24), FALSE)), ""=4"") + COUNTIF(ARRAYFORMULA(H"&amp;"LOOKUP($B50, IMPORTRANGE('Match Names'!$F$23, CONCAT(VLOOKUP($C50, 'Match Names'!$1:$22, 6, FALSE), ""!C3:R29"")), ROW($A$1:$A$24), FALSE)), ""=4"") + COUNTIF(ARRAYFORMULA(HLOOKUP($B50, IMPORTRANGE('Match Names'!$G$23, CONCAT(VLOOKUP($C50, 'Match Names'!$"&amp;"1:$22, 7, FALSE), ""!C3:R29"")), ROW($A$1:$A$24), FALSE)), ""=4"") + COUNTIF(ARRAYFORMULA(HLOOKUP($B50, IMPORTRANGE('Match Names'!$H$23, CONCAT(VLOOKUP($C50, 'Match Names'!$1:$22, 8, FALSE), ""!C3:R29"")), ROW($A$1:$A$24), FALSE)), ""=4"")"),9.0)</f>
        <v>9</v>
      </c>
      <c r="F50" s="4">
        <f>IFERROR(__xludf.DUMMYFUNCTION("COUNTIF(ARRAYFORMULA(HLOOKUP($B50, IMPORTRANGE('Prelim Rankings Unsorted'!$B$40, CONCAT(VLOOKUP($C50, 'Match Names'!$A$1:$D$22, 2, FALSE), ""!C3:R29"")), ROW($A$1:$A$24), FALSE)), ""=0"") + COUNTIF(ARRAYFORMULA(HLOOKUP($B50, IMPORTRANGE('Prelim Rankings U"&amp;"nsorted'!$B$41, CONCAT(VLOOKUP($C50, 'Match Names'!$A$1:$D$22, 3, FALSE), ""!C3:R29"")), ROW($A$1:$A$24), FALSE)), ""=0"") + COUNTIF(ARRAYFORMULA(HLOOKUP($B50, IMPORTRANGE('Prelim Rankings Unsorted'!$B$42, CONCAT(VLOOKUP($C50, 'Match Names'!$A$1:$D$22, 4,"&amp;" FALSE), ""!C3:R29"")), ROW($A$1:$A$24), FALSE)), ""=0"") + COUNTIF(ARRAYFORMULA(HLOOKUP($B50, IMPORTRANGE('Match Names'!$E$23, CONCAT(VLOOKUP($C50, 'Match Names'!$1:$22, 5, FALSE), ""!C3:R29"")), ROW($A$1:$A$24), FALSE)), ""=0"") + COUNTIF(ARRAYFORMULA(H"&amp;"LOOKUP($B50, IMPORTRANGE('Match Names'!$F$23, CONCAT(VLOOKUP($C50, 'Match Names'!$1:$22, 6, FALSE), ""!C3:R29"")), ROW($A$1:$A$24), FALSE)), ""=0"") + COUNTIF(ARRAYFORMULA(HLOOKUP($B50, IMPORTRANGE('Match Names'!$G$23, CONCAT(VLOOKUP($C50, 'Match Names'!$"&amp;"1:$22, 7, FALSE), ""!C3:R29"")), ROW($A$1:$A$24), FALSE)), ""=0"") + COUNTIF(ARRAYFORMULA(HLOOKUP($B50, IMPORTRANGE('Match Names'!$H$23, CONCAT(VLOOKUP($C50, 'Match Names'!$1:$22, 8, FALSE), ""!C3:R29"")), ROW($A$1:$A$24), FALSE)), ""=0"")"),2.0)</f>
        <v>2</v>
      </c>
      <c r="G50" s="4">
        <f>IFERROR(__xludf.DUMMYFUNCTION("COUNTIF(ARRAYFORMULA(HLOOKUP($B50, IMPORTRANGE('Prelim Rankings Unsorted'!$B$40, CONCAT(VLOOKUP($C50, 'Match Names'!$A$1:$D$22, 2, FALSE), ""!C3:R29"")), ROW($A$1:$A$24), FALSE)), ""=-4"") + COUNTIF(ARRAYFORMULA(HLOOKUP($B50, IMPORTRANGE('Prelim Rankings "&amp;"Unsorted'!$B$41, CONCAT(VLOOKUP($C50, 'Match Names'!$A$1:$D$22, 3, FALSE), ""!C3:R29"")), ROW($A$1:$A$24), FALSE)), ""=-4"") + COUNTIF(ARRAYFORMULA(HLOOKUP($B50, IMPORTRANGE('Prelim Rankings Unsorted'!$B$42, CONCAT(VLOOKUP($C50, 'Match Names'!$A$1:$D$22, "&amp;"4, FALSE), ""!C3:R29"")), ROW($A$1:$A$24), FALSE)), ""=-4"") + COUNTIF(ARRAYFORMULA(HLOOKUP($B50, IMPORTRANGE('Match Names'!$E$23, CONCAT(VLOOKUP($C50, 'Match Names'!$1:$22, 5, FALSE), ""!C3:R29"")), ROW($A$1:$A$24), FALSE)), ""=-4"") + COUNTIF(ARRAYFORMU"&amp;"LA(HLOOKUP($B50, IMPORTRANGE('Match Names'!$F$23, CONCAT(VLOOKUP($C50, 'Match Names'!$1:$22, 6, FALSE), ""!C3:R29"")), ROW($A$1:$A$24), FALSE)), ""=-4"") + COUNTIF(ARRAYFORMULA(HLOOKUP($B50, IMPORTRANGE('Match Names'!$G$23, CONCAT(VLOOKUP($C50, 'Match Nam"&amp;"es'!$1:$22, 7, FALSE), ""!C3:R29"")), ROW($A$1:$A$24), FALSE)), ""=-4"") + COUNTIF(ARRAYFORMULA(HLOOKUP($B50, IMPORTRANGE('Match Names'!$H$23, CONCAT(VLOOKUP($C50, 'Match Names'!$1:$22, 8, FALSE), ""!C3:R29"")), ROW($A$1:$A$24), FALSE)), ""=-4"")"),3.0)</f>
        <v>3</v>
      </c>
      <c r="H50" s="4">
        <f t="shared" si="1"/>
        <v>4</v>
      </c>
    </row>
    <row r="51">
      <c r="A51" s="21" t="s">
        <v>119</v>
      </c>
      <c r="B51" s="7" t="str">
        <f>VLOOKUP(CONCAT(A51, C51), 'Discord Username to Real Name'!C:D, 2, FALSE)</f>
        <v>saltwater#3722</v>
      </c>
      <c r="C51" s="21" t="s">
        <v>14</v>
      </c>
      <c r="D51" s="11">
        <f>IFERROR(__xludf.DUMMYFUNCTION("(23 - COUNTIF(IFERROR(ARRAYFORMULA(HLOOKUP($B51, IMPORTRANGE('Prelim Rankings Unsorted'!$B$40, CONCAT(VLOOKUP($C51, 'Match Names'!$A$1:$D$22, 2, FALSE), ""!C3:R29"")), ROW($A$1:$A$24), FALSE)), $AA$9:$AA$31), ""=X"")) + (23 - COUNTIF(IFERROR(ARRAYFORMULA("&amp;"HLOOKUP($B51, IMPORTRANGE('Prelim Rankings Unsorted'!$B$41, CONCAT(VLOOKUP($C51, 'Match Names'!$A$1:$D$22, 3, FALSE), ""!C3:R29"")), ROW($A$1:$A$24), FALSE)), $AA$9:$AA$31), ""=X"")) + (23 - COUNTIF(IFERROR(ARRAYFORMULA(HLOOKUP($B51, IMPORTRANGE('Prelim R"&amp;"ankings Unsorted'!$B$42, CONCAT(VLOOKUP($C51, 'Match Names'!$A$1:$D$22, 4, FALSE), ""!C3:R29"")), ROW($A$1:$A$24), FALSE)), $AA$9:$AA$31), ""=X"")) + (23 - COUNTIF(IFERROR(ARRAYFORMULA(HLOOKUP($B51, IMPORTRANGE('Match Names'!$E$23, CONCAT(VLOOKUP($C51, 'M"&amp;"atch Names'!$1:$22, 5, FALSE), ""!C3:R29"")), ROW($A$1:$A$24), FALSE)), $AA$9:$AA$31), ""=X"")) + (23 - COUNTIF(IFERROR(ARRAYFORMULA(HLOOKUP($B51, IMPORTRANGE('Match Names'!$F$23, CONCAT(VLOOKUP($C51, 'Match Names'!$1:$22, 6, FALSE), ""!C3:R29"")), ROW($A"&amp;"$1:$A$24), FALSE)), $AA$9:$AA$31), ""=X"")) + (23 - COUNTIF(IFERROR(ARRAYFORMULA(HLOOKUP($B51, IMPORTRANGE('Match Names'!$G$23, CONCAT(VLOOKUP($C51, 'Match Names'!$1:$22, 7, FALSE), ""!C3:R29"")), ROW($A$1:$A$24), FALSE)), $AA$9:$AA$31), ""=X"")) + (23 - "&amp;"COUNTIF(IFERROR(ARRAYFORMULA(HLOOKUP($B51, IMPORTRANGE('Match Names'!$H$23, CONCAT(VLOOKUP($C51, 'Match Names'!$1:$22, 8, FALSE), ""!C3:R29"")), ROW($A$1:$A$24), FALSE)), $AA$9:$AA$31), ""=X""))"),57.0)</f>
        <v>57</v>
      </c>
      <c r="E51" s="4">
        <f>IFERROR(__xludf.DUMMYFUNCTION("COUNTIF(ARRAYFORMULA(HLOOKUP($B51, IMPORTRANGE('Prelim Rankings Unsorted'!$B$40, CONCAT(VLOOKUP($C51, 'Match Names'!$A$1:$D$22, 2, FALSE), ""!C3:R29"")), ROW($A$1:$A$24), FALSE)), ""=4"") + COUNTIF(ARRAYFORMULA(HLOOKUP($B51, IMPORTRANGE('Prelim Rankings U"&amp;"nsorted'!$B$41, CONCAT(VLOOKUP($C51, 'Match Names'!$A$1:$D$22, 3, FALSE), ""!C3:R29"")), ROW($A$1:$A$24), FALSE)), ""=4"") + COUNTIF(ARRAYFORMULA(HLOOKUP($B51, IMPORTRANGE('Prelim Rankings Unsorted'!$B$42, CONCAT(VLOOKUP($C51, 'Match Names'!$A$1:$D$22, 4,"&amp;" FALSE), ""!C3:R29"")), ROW($A$1:$A$24), FALSE)), ""=4"") + COUNTIF(ARRAYFORMULA(HLOOKUP($B51, IMPORTRANGE('Match Names'!$E$23, CONCAT(VLOOKUP($C51, 'Match Names'!$1:$22, 5, FALSE), ""!C3:R29"")), ROW($A$1:$A$24), FALSE)), ""=4"") + COUNTIF(ARRAYFORMULA(H"&amp;"LOOKUP($B51, IMPORTRANGE('Match Names'!$F$23, CONCAT(VLOOKUP($C51, 'Match Names'!$1:$22, 6, FALSE), ""!C3:R29"")), ROW($A$1:$A$24), FALSE)), ""=4"") + COUNTIF(ARRAYFORMULA(HLOOKUP($B51, IMPORTRANGE('Match Names'!$G$23, CONCAT(VLOOKUP($C51, 'Match Names'!$"&amp;"1:$22, 7, FALSE), ""!C3:R29"")), ROW($A$1:$A$24), FALSE)), ""=4"") + COUNTIF(ARRAYFORMULA(HLOOKUP($B51, IMPORTRANGE('Match Names'!$H$23, CONCAT(VLOOKUP($C51, 'Match Names'!$1:$22, 8, FALSE), ""!C3:R29"")), ROW($A$1:$A$24), FALSE)), ""=4"")"),4.0)</f>
        <v>4</v>
      </c>
      <c r="F51" s="4">
        <f>IFERROR(__xludf.DUMMYFUNCTION("COUNTIF(ARRAYFORMULA(HLOOKUP($B51, IMPORTRANGE('Prelim Rankings Unsorted'!$B$40, CONCAT(VLOOKUP($C51, 'Match Names'!$A$1:$D$22, 2, FALSE), ""!C3:R29"")), ROW($A$1:$A$24), FALSE)), ""=0"") + COUNTIF(ARRAYFORMULA(HLOOKUP($B51, IMPORTRANGE('Prelim Rankings U"&amp;"nsorted'!$B$41, CONCAT(VLOOKUP($C51, 'Match Names'!$A$1:$D$22, 3, FALSE), ""!C3:R29"")), ROW($A$1:$A$24), FALSE)), ""=0"") + COUNTIF(ARRAYFORMULA(HLOOKUP($B51, IMPORTRANGE('Prelim Rankings Unsorted'!$B$42, CONCAT(VLOOKUP($C51, 'Match Names'!$A$1:$D$22, 4,"&amp;" FALSE), ""!C3:R29"")), ROW($A$1:$A$24), FALSE)), ""=0"") + COUNTIF(ARRAYFORMULA(HLOOKUP($B51, IMPORTRANGE('Match Names'!$E$23, CONCAT(VLOOKUP($C51, 'Match Names'!$1:$22, 5, FALSE), ""!C3:R29"")), ROW($A$1:$A$24), FALSE)), ""=0"") + COUNTIF(ARRAYFORMULA(H"&amp;"LOOKUP($B51, IMPORTRANGE('Match Names'!$F$23, CONCAT(VLOOKUP($C51, 'Match Names'!$1:$22, 6, FALSE), ""!C3:R29"")), ROW($A$1:$A$24), FALSE)), ""=0"") + COUNTIF(ARRAYFORMULA(HLOOKUP($B51, IMPORTRANGE('Match Names'!$G$23, CONCAT(VLOOKUP($C51, 'Match Names'!$"&amp;"1:$22, 7, FALSE), ""!C3:R29"")), ROW($A$1:$A$24), FALSE)), ""=0"") + COUNTIF(ARRAYFORMULA(HLOOKUP($B51, IMPORTRANGE('Match Names'!$H$23, CONCAT(VLOOKUP($C51, 'Match Names'!$1:$22, 8, FALSE), ""!C3:R29"")), ROW($A$1:$A$24), FALSE)), ""=0"")"),0.0)</f>
        <v>0</v>
      </c>
      <c r="G51" s="4">
        <f>IFERROR(__xludf.DUMMYFUNCTION("COUNTIF(ARRAYFORMULA(HLOOKUP($B51, IMPORTRANGE('Prelim Rankings Unsorted'!$B$40, CONCAT(VLOOKUP($C51, 'Match Names'!$A$1:$D$22, 2, FALSE), ""!C3:R29"")), ROW($A$1:$A$24), FALSE)), ""=-4"") + COUNTIF(ARRAYFORMULA(HLOOKUP($B51, IMPORTRANGE('Prelim Rankings "&amp;"Unsorted'!$B$41, CONCAT(VLOOKUP($C51, 'Match Names'!$A$1:$D$22, 3, FALSE), ""!C3:R29"")), ROW($A$1:$A$24), FALSE)), ""=-4"") + COUNTIF(ARRAYFORMULA(HLOOKUP($B51, IMPORTRANGE('Prelim Rankings Unsorted'!$B$42, CONCAT(VLOOKUP($C51, 'Match Names'!$A$1:$D$22, "&amp;"4, FALSE), ""!C3:R29"")), ROW($A$1:$A$24), FALSE)), ""=-4"") + COUNTIF(ARRAYFORMULA(HLOOKUP($B51, IMPORTRANGE('Match Names'!$E$23, CONCAT(VLOOKUP($C51, 'Match Names'!$1:$22, 5, FALSE), ""!C3:R29"")), ROW($A$1:$A$24), FALSE)), ""=-4"") + COUNTIF(ARRAYFORMU"&amp;"LA(HLOOKUP($B51, IMPORTRANGE('Match Names'!$F$23, CONCAT(VLOOKUP($C51, 'Match Names'!$1:$22, 6, FALSE), ""!C3:R29"")), ROW($A$1:$A$24), FALSE)), ""=-4"") + COUNTIF(ARRAYFORMULA(HLOOKUP($B51, IMPORTRANGE('Match Names'!$G$23, CONCAT(VLOOKUP($C51, 'Match Nam"&amp;"es'!$1:$22, 7, FALSE), ""!C3:R29"")), ROW($A$1:$A$24), FALSE)), ""=-4"") + COUNTIF(ARRAYFORMULA(HLOOKUP($B51, IMPORTRANGE('Match Names'!$H$23, CONCAT(VLOOKUP($C51, 'Match Names'!$1:$22, 8, FALSE), ""!C3:R29"")), ROW($A$1:$A$24), FALSE)), ""=-4"")"),0.0)</f>
        <v>0</v>
      </c>
      <c r="H51" s="4">
        <f t="shared" si="1"/>
        <v>6.46</v>
      </c>
    </row>
    <row r="52">
      <c r="A52" s="21" t="s">
        <v>67</v>
      </c>
      <c r="B52" s="7" t="str">
        <f>VLOOKUP(CONCAT(A52, C52), 'Discord Username to Real Name'!C:D, 2, FALSE)</f>
        <v>dannyridel#2256</v>
      </c>
      <c r="C52" s="21" t="s">
        <v>29</v>
      </c>
      <c r="D52" s="11">
        <f>IFERROR(__xludf.DUMMYFUNCTION("(23 - COUNTIF(IFERROR(ARRAYFORMULA(HLOOKUP($B52, IMPORTRANGE('Prelim Rankings Unsorted'!$B$40, CONCAT(VLOOKUP($C52, 'Match Names'!$A$1:$D$22, 2, FALSE), ""!C3:R29"")), ROW($A$1:$A$24), FALSE)), $AA$9:$AA$31), ""=X"")) + (23 - COUNTIF(IFERROR(ARRAYFORMULA("&amp;"HLOOKUP($B52, IMPORTRANGE('Prelim Rankings Unsorted'!$B$41, CONCAT(VLOOKUP($C52, 'Match Names'!$A$1:$D$22, 3, FALSE), ""!C3:R29"")), ROW($A$1:$A$24), FALSE)), $AA$9:$AA$31), ""=X"")) + (23 - COUNTIF(IFERROR(ARRAYFORMULA(HLOOKUP($B52, IMPORTRANGE('Prelim R"&amp;"ankings Unsorted'!$B$42, CONCAT(VLOOKUP($C52, 'Match Names'!$A$1:$D$22, 4, FALSE), ""!C3:R29"")), ROW($A$1:$A$24), FALSE)), $AA$9:$AA$31), ""=X"")) + (23 - COUNTIF(IFERROR(ARRAYFORMULA(HLOOKUP($B52, IMPORTRANGE('Match Names'!$E$23, CONCAT(VLOOKUP($C52, 'M"&amp;"atch Names'!$1:$22, 5, FALSE), ""!C3:R29"")), ROW($A$1:$A$24), FALSE)), $AA$9:$AA$31), ""=X"")) + (23 - COUNTIF(IFERROR(ARRAYFORMULA(HLOOKUP($B52, IMPORTRANGE('Match Names'!$F$23, CONCAT(VLOOKUP($C52, 'Match Names'!$1:$22, 6, FALSE), ""!C3:R29"")), ROW($A"&amp;"$1:$A$24), FALSE)), $AA$9:$AA$31), ""=X"")) + (23 - COUNTIF(IFERROR(ARRAYFORMULA(HLOOKUP($B52, IMPORTRANGE('Match Names'!$G$23, CONCAT(VLOOKUP($C52, 'Match Names'!$1:$22, 7, FALSE), ""!C3:R29"")), ROW($A$1:$A$24), FALSE)), $AA$9:$AA$31), ""=X"")) + (23 - "&amp;"COUNTIF(IFERROR(ARRAYFORMULA(HLOOKUP($B52, IMPORTRANGE('Match Names'!$H$23, CONCAT(VLOOKUP($C52, 'Match Names'!$1:$22, 8, FALSE), ""!C3:R29"")), ROW($A$1:$A$24), FALSE)), $AA$9:$AA$31), ""=X""))"),115.0)</f>
        <v>115</v>
      </c>
      <c r="E52" s="4">
        <f>IFERROR(__xludf.DUMMYFUNCTION("COUNTIF(ARRAYFORMULA(HLOOKUP($B52, IMPORTRANGE('Prelim Rankings Unsorted'!$B$40, CONCAT(VLOOKUP($C52, 'Match Names'!$A$1:$D$22, 2, FALSE), ""!C3:R29"")), ROW($A$1:$A$24), FALSE)), ""=4"") + COUNTIF(ARRAYFORMULA(HLOOKUP($B52, IMPORTRANGE('Prelim Rankings U"&amp;"nsorted'!$B$41, CONCAT(VLOOKUP($C52, 'Match Names'!$A$1:$D$22, 3, FALSE), ""!C3:R29"")), ROW($A$1:$A$24), FALSE)), ""=4"") + COUNTIF(ARRAYFORMULA(HLOOKUP($B52, IMPORTRANGE('Prelim Rankings Unsorted'!$B$42, CONCAT(VLOOKUP($C52, 'Match Names'!$A$1:$D$22, 4,"&amp;" FALSE), ""!C3:R29"")), ROW($A$1:$A$24), FALSE)), ""=4"") + COUNTIF(ARRAYFORMULA(HLOOKUP($B52, IMPORTRANGE('Match Names'!$E$23, CONCAT(VLOOKUP($C52, 'Match Names'!$1:$22, 5, FALSE), ""!C3:R29"")), ROW($A$1:$A$24), FALSE)), ""=4"") + COUNTIF(ARRAYFORMULA(H"&amp;"LOOKUP($B52, IMPORTRANGE('Match Names'!$F$23, CONCAT(VLOOKUP($C52, 'Match Names'!$1:$22, 6, FALSE), ""!C3:R29"")), ROW($A$1:$A$24), FALSE)), ""=4"") + COUNTIF(ARRAYFORMULA(HLOOKUP($B52, IMPORTRANGE('Match Names'!$G$23, CONCAT(VLOOKUP($C52, 'Match Names'!$"&amp;"1:$22, 7, FALSE), ""!C3:R29"")), ROW($A$1:$A$24), FALSE)), ""=4"") + COUNTIF(ARRAYFORMULA(HLOOKUP($B52, IMPORTRANGE('Match Names'!$H$23, CONCAT(VLOOKUP($C52, 'Match Names'!$1:$22, 8, FALSE), ""!C3:R29"")), ROW($A$1:$A$24), FALSE)), ""=4"")"),15.0)</f>
        <v>15</v>
      </c>
      <c r="F52" s="4">
        <f>IFERROR(__xludf.DUMMYFUNCTION("COUNTIF(ARRAYFORMULA(HLOOKUP($B52, IMPORTRANGE('Prelim Rankings Unsorted'!$B$40, CONCAT(VLOOKUP($C52, 'Match Names'!$A$1:$D$22, 2, FALSE), ""!C3:R29"")), ROW($A$1:$A$24), FALSE)), ""=0"") + COUNTIF(ARRAYFORMULA(HLOOKUP($B52, IMPORTRANGE('Prelim Rankings U"&amp;"nsorted'!$B$41, CONCAT(VLOOKUP($C52, 'Match Names'!$A$1:$D$22, 3, FALSE), ""!C3:R29"")), ROW($A$1:$A$24), FALSE)), ""=0"") + COUNTIF(ARRAYFORMULA(HLOOKUP($B52, IMPORTRANGE('Prelim Rankings Unsorted'!$B$42, CONCAT(VLOOKUP($C52, 'Match Names'!$A$1:$D$22, 4,"&amp;" FALSE), ""!C3:R29"")), ROW($A$1:$A$24), FALSE)), ""=0"") + COUNTIF(ARRAYFORMULA(HLOOKUP($B52, IMPORTRANGE('Match Names'!$E$23, CONCAT(VLOOKUP($C52, 'Match Names'!$1:$22, 5, FALSE), ""!C3:R29"")), ROW($A$1:$A$24), FALSE)), ""=0"") + COUNTIF(ARRAYFORMULA(H"&amp;"LOOKUP($B52, IMPORTRANGE('Match Names'!$F$23, CONCAT(VLOOKUP($C52, 'Match Names'!$1:$22, 6, FALSE), ""!C3:R29"")), ROW($A$1:$A$24), FALSE)), ""=0"") + COUNTIF(ARRAYFORMULA(HLOOKUP($B52, IMPORTRANGE('Match Names'!$G$23, CONCAT(VLOOKUP($C52, 'Match Names'!$"&amp;"1:$22, 7, FALSE), ""!C3:R29"")), ROW($A$1:$A$24), FALSE)), ""=0"") + COUNTIF(ARRAYFORMULA(HLOOKUP($B52, IMPORTRANGE('Match Names'!$H$23, CONCAT(VLOOKUP($C52, 'Match Names'!$1:$22, 8, FALSE), ""!C3:R29"")), ROW($A$1:$A$24), FALSE)), ""=0"")"),18.0)</f>
        <v>18</v>
      </c>
      <c r="G52" s="4">
        <f>IFERROR(__xludf.DUMMYFUNCTION("COUNTIF(ARRAYFORMULA(HLOOKUP($B52, IMPORTRANGE('Prelim Rankings Unsorted'!$B$40, CONCAT(VLOOKUP($C52, 'Match Names'!$A$1:$D$22, 2, FALSE), ""!C3:R29"")), ROW($A$1:$A$24), FALSE)), ""=-4"") + COUNTIF(ARRAYFORMULA(HLOOKUP($B52, IMPORTRANGE('Prelim Rankings "&amp;"Unsorted'!$B$41, CONCAT(VLOOKUP($C52, 'Match Names'!$A$1:$D$22, 3, FALSE), ""!C3:R29"")), ROW($A$1:$A$24), FALSE)), ""=-4"") + COUNTIF(ARRAYFORMULA(HLOOKUP($B52, IMPORTRANGE('Prelim Rankings Unsorted'!$B$42, CONCAT(VLOOKUP($C52, 'Match Names'!$A$1:$D$22, "&amp;"4, FALSE), ""!C3:R29"")), ROW($A$1:$A$24), FALSE)), ""=-4"") + COUNTIF(ARRAYFORMULA(HLOOKUP($B52, IMPORTRANGE('Match Names'!$E$23, CONCAT(VLOOKUP($C52, 'Match Names'!$1:$22, 5, FALSE), ""!C3:R29"")), ROW($A$1:$A$24), FALSE)), ""=-4"") + COUNTIF(ARRAYFORMU"&amp;"LA(HLOOKUP($B52, IMPORTRANGE('Match Names'!$F$23, CONCAT(VLOOKUP($C52, 'Match Names'!$1:$22, 6, FALSE), ""!C3:R29"")), ROW($A$1:$A$24), FALSE)), ""=-4"") + COUNTIF(ARRAYFORMULA(HLOOKUP($B52, IMPORTRANGE('Match Names'!$G$23, CONCAT(VLOOKUP($C52, 'Match Nam"&amp;"es'!$1:$22, 7, FALSE), ""!C3:R29"")), ROW($A$1:$A$24), FALSE)), ""=-4"") + COUNTIF(ARRAYFORMULA(HLOOKUP($B52, IMPORTRANGE('Match Names'!$H$23, CONCAT(VLOOKUP($C52, 'Match Names'!$1:$22, 8, FALSE), ""!C3:R29"")), ROW($A$1:$A$24), FALSE)), ""=-4"")"),0.0)</f>
        <v>0</v>
      </c>
      <c r="H52" s="4">
        <f t="shared" si="1"/>
        <v>12</v>
      </c>
    </row>
    <row r="53">
      <c r="A53" s="21" t="s">
        <v>188</v>
      </c>
      <c r="B53" s="7" t="str">
        <f>VLOOKUP(CONCAT(A53, C53), 'Discord Username to Real Name'!C:D, 2, FALSE)</f>
        <v>Allusion#0092</v>
      </c>
      <c r="C53" s="21" t="s">
        <v>29</v>
      </c>
      <c r="D53" s="11">
        <f>IFERROR(__xludf.DUMMYFUNCTION("(23 - COUNTIF(IFERROR(ARRAYFORMULA(HLOOKUP($B53, IMPORTRANGE('Prelim Rankings Unsorted'!$B$40, CONCAT(VLOOKUP($C53, 'Match Names'!$A$1:$D$22, 2, FALSE), ""!C3:R29"")), ROW($A$1:$A$24), FALSE)), $AA$9:$AA$31), ""=X"")) + (23 - COUNTIF(IFERROR(ARRAYFORMULA("&amp;"HLOOKUP($B53, IMPORTRANGE('Prelim Rankings Unsorted'!$B$41, CONCAT(VLOOKUP($C53, 'Match Names'!$A$1:$D$22, 3, FALSE), ""!C3:R29"")), ROW($A$1:$A$24), FALSE)), $AA$9:$AA$31), ""=X"")) + (23 - COUNTIF(IFERROR(ARRAYFORMULA(HLOOKUP($B53, IMPORTRANGE('Prelim R"&amp;"ankings Unsorted'!$B$42, CONCAT(VLOOKUP($C53, 'Match Names'!$A$1:$D$22, 4, FALSE), ""!C3:R29"")), ROW($A$1:$A$24), FALSE)), $AA$9:$AA$31), ""=X"")) + (23 - COUNTIF(IFERROR(ARRAYFORMULA(HLOOKUP($B53, IMPORTRANGE('Match Names'!$E$23, CONCAT(VLOOKUP($C53, 'M"&amp;"atch Names'!$1:$22, 5, FALSE), ""!C3:R29"")), ROW($A$1:$A$24), FALSE)), $AA$9:$AA$31), ""=X"")) + (23 - COUNTIF(IFERROR(ARRAYFORMULA(HLOOKUP($B53, IMPORTRANGE('Match Names'!$F$23, CONCAT(VLOOKUP($C53, 'Match Names'!$1:$22, 6, FALSE), ""!C3:R29"")), ROW($A"&amp;"$1:$A$24), FALSE)), $AA$9:$AA$31), ""=X"")) + (23 - COUNTIF(IFERROR(ARRAYFORMULA(HLOOKUP($B53, IMPORTRANGE('Match Names'!$G$23, CONCAT(VLOOKUP($C53, 'Match Names'!$1:$22, 7, FALSE), ""!C3:R29"")), ROW($A$1:$A$24), FALSE)), $AA$9:$AA$31), ""=X"")) + (23 - "&amp;"COUNTIF(IFERROR(ARRAYFORMULA(HLOOKUP($B53, IMPORTRANGE('Match Names'!$H$23, CONCAT(VLOOKUP($C53, 'Match Names'!$1:$22, 8, FALSE), ""!C3:R29"")), ROW($A$1:$A$24), FALSE)), $AA$9:$AA$31), ""=X""))"),23.0)</f>
        <v>23</v>
      </c>
      <c r="E53" s="4">
        <f>IFERROR(__xludf.DUMMYFUNCTION("COUNTIF(ARRAYFORMULA(HLOOKUP($B53, IMPORTRANGE('Prelim Rankings Unsorted'!$B$40, CONCAT(VLOOKUP($C53, 'Match Names'!$A$1:$D$22, 2, FALSE), ""!C3:R29"")), ROW($A$1:$A$24), FALSE)), ""=4"") + COUNTIF(ARRAYFORMULA(HLOOKUP($B53, IMPORTRANGE('Prelim Rankings U"&amp;"nsorted'!$B$41, CONCAT(VLOOKUP($C53, 'Match Names'!$A$1:$D$22, 3, FALSE), ""!C3:R29"")), ROW($A$1:$A$24), FALSE)), ""=4"") + COUNTIF(ARRAYFORMULA(HLOOKUP($B53, IMPORTRANGE('Prelim Rankings Unsorted'!$B$42, CONCAT(VLOOKUP($C53, 'Match Names'!$A$1:$D$22, 4,"&amp;" FALSE), ""!C3:R29"")), ROW($A$1:$A$24), FALSE)), ""=4"") + COUNTIF(ARRAYFORMULA(HLOOKUP($B53, IMPORTRANGE('Match Names'!$E$23, CONCAT(VLOOKUP($C53, 'Match Names'!$1:$22, 5, FALSE), ""!C3:R29"")), ROW($A$1:$A$24), FALSE)), ""=4"") + COUNTIF(ARRAYFORMULA(H"&amp;"LOOKUP($B53, IMPORTRANGE('Match Names'!$F$23, CONCAT(VLOOKUP($C53, 'Match Names'!$1:$22, 6, FALSE), ""!C3:R29"")), ROW($A$1:$A$24), FALSE)), ""=4"") + COUNTIF(ARRAYFORMULA(HLOOKUP($B53, IMPORTRANGE('Match Names'!$G$23, CONCAT(VLOOKUP($C53, 'Match Names'!$"&amp;"1:$22, 7, FALSE), ""!C3:R29"")), ROW($A$1:$A$24), FALSE)), ""=4"") + COUNTIF(ARRAYFORMULA(HLOOKUP($B53, IMPORTRANGE('Match Names'!$H$23, CONCAT(VLOOKUP($C53, 'Match Names'!$1:$22, 8, FALSE), ""!C3:R29"")), ROW($A$1:$A$24), FALSE)), ""=4"")"),0.0)</f>
        <v>0</v>
      </c>
      <c r="F53" s="4">
        <f>IFERROR(__xludf.DUMMYFUNCTION("COUNTIF(ARRAYFORMULA(HLOOKUP($B53, IMPORTRANGE('Prelim Rankings Unsorted'!$B$40, CONCAT(VLOOKUP($C53, 'Match Names'!$A$1:$D$22, 2, FALSE), ""!C3:R29"")), ROW($A$1:$A$24), FALSE)), ""=0"") + COUNTIF(ARRAYFORMULA(HLOOKUP($B53, IMPORTRANGE('Prelim Rankings U"&amp;"nsorted'!$B$41, CONCAT(VLOOKUP($C53, 'Match Names'!$A$1:$D$22, 3, FALSE), ""!C3:R29"")), ROW($A$1:$A$24), FALSE)), ""=0"") + COUNTIF(ARRAYFORMULA(HLOOKUP($B53, IMPORTRANGE('Prelim Rankings Unsorted'!$B$42, CONCAT(VLOOKUP($C53, 'Match Names'!$A$1:$D$22, 4,"&amp;" FALSE), ""!C3:R29"")), ROW($A$1:$A$24), FALSE)), ""=0"") + COUNTIF(ARRAYFORMULA(HLOOKUP($B53, IMPORTRANGE('Match Names'!$E$23, CONCAT(VLOOKUP($C53, 'Match Names'!$1:$22, 5, FALSE), ""!C3:R29"")), ROW($A$1:$A$24), FALSE)), ""=0"") + COUNTIF(ARRAYFORMULA(H"&amp;"LOOKUP($B53, IMPORTRANGE('Match Names'!$F$23, CONCAT(VLOOKUP($C53, 'Match Names'!$1:$22, 6, FALSE), ""!C3:R29"")), ROW($A$1:$A$24), FALSE)), ""=0"") + COUNTIF(ARRAYFORMULA(HLOOKUP($B53, IMPORTRANGE('Match Names'!$G$23, CONCAT(VLOOKUP($C53, 'Match Names'!$"&amp;"1:$22, 7, FALSE), ""!C3:R29"")), ROW($A$1:$A$24), FALSE)), ""=0"") + COUNTIF(ARRAYFORMULA(HLOOKUP($B53, IMPORTRANGE('Match Names'!$H$23, CONCAT(VLOOKUP($C53, 'Match Names'!$1:$22, 8, FALSE), ""!C3:R29"")), ROW($A$1:$A$24), FALSE)), ""=0"")"),0.0)</f>
        <v>0</v>
      </c>
      <c r="G53" s="4">
        <f>IFERROR(__xludf.DUMMYFUNCTION("COUNTIF(ARRAYFORMULA(HLOOKUP($B53, IMPORTRANGE('Prelim Rankings Unsorted'!$B$40, CONCAT(VLOOKUP($C53, 'Match Names'!$A$1:$D$22, 2, FALSE), ""!C3:R29"")), ROW($A$1:$A$24), FALSE)), ""=-4"") + COUNTIF(ARRAYFORMULA(HLOOKUP($B53, IMPORTRANGE('Prelim Rankings "&amp;"Unsorted'!$B$41, CONCAT(VLOOKUP($C53, 'Match Names'!$A$1:$D$22, 3, FALSE), ""!C3:R29"")), ROW($A$1:$A$24), FALSE)), ""=-4"") + COUNTIF(ARRAYFORMULA(HLOOKUP($B53, IMPORTRANGE('Prelim Rankings Unsorted'!$B$42, CONCAT(VLOOKUP($C53, 'Match Names'!$A$1:$D$22, "&amp;"4, FALSE), ""!C3:R29"")), ROW($A$1:$A$24), FALSE)), ""=-4"") + COUNTIF(ARRAYFORMULA(HLOOKUP($B53, IMPORTRANGE('Match Names'!$E$23, CONCAT(VLOOKUP($C53, 'Match Names'!$1:$22, 5, FALSE), ""!C3:R29"")), ROW($A$1:$A$24), FALSE)), ""=-4"") + COUNTIF(ARRAYFORMU"&amp;"LA(HLOOKUP($B53, IMPORTRANGE('Match Names'!$F$23, CONCAT(VLOOKUP($C53, 'Match Names'!$1:$22, 6, FALSE), ""!C3:R29"")), ROW($A$1:$A$24), FALSE)), ""=-4"") + COUNTIF(ARRAYFORMULA(HLOOKUP($B53, IMPORTRANGE('Match Names'!$G$23, CONCAT(VLOOKUP($C53, 'Match Nam"&amp;"es'!$1:$22, 7, FALSE), ""!C3:R29"")), ROW($A$1:$A$24), FALSE)), ""=-4"") + COUNTIF(ARRAYFORMULA(HLOOKUP($B53, IMPORTRANGE('Match Names'!$H$23, CONCAT(VLOOKUP($C53, 'Match Names'!$1:$22, 8, FALSE), ""!C3:R29"")), ROW($A$1:$A$24), FALSE)), ""=-4"")"),0.0)</f>
        <v>0</v>
      </c>
      <c r="H53" s="4">
        <f t="shared" si="1"/>
        <v>0</v>
      </c>
    </row>
    <row r="54">
      <c r="A54" s="21" t="s">
        <v>81</v>
      </c>
      <c r="B54" s="7" t="str">
        <f>VLOOKUP(CONCAT(A54, C54), 'Discord Username to Real Name'!C:D, 2, FALSE)</f>
        <v>grassisgood#9863</v>
      </c>
      <c r="C54" s="21" t="s">
        <v>29</v>
      </c>
      <c r="D54" s="11">
        <f>IFERROR(__xludf.DUMMYFUNCTION("(23 - COUNTIF(IFERROR(ARRAYFORMULA(HLOOKUP($B54, IMPORTRANGE('Prelim Rankings Unsorted'!$B$40, CONCAT(VLOOKUP($C54, 'Match Names'!$A$1:$D$22, 2, FALSE), ""!C3:R29"")), ROW($A$1:$A$24), FALSE)), $AA$9:$AA$31), ""=X"")) + (23 - COUNTIF(IFERROR(ARRAYFORMULA("&amp;"HLOOKUP($B54, IMPORTRANGE('Prelim Rankings Unsorted'!$B$41, CONCAT(VLOOKUP($C54, 'Match Names'!$A$1:$D$22, 3, FALSE), ""!C3:R29"")), ROW($A$1:$A$24), FALSE)), $AA$9:$AA$31), ""=X"")) + (23 - COUNTIF(IFERROR(ARRAYFORMULA(HLOOKUP($B54, IMPORTRANGE('Prelim R"&amp;"ankings Unsorted'!$B$42, CONCAT(VLOOKUP($C54, 'Match Names'!$A$1:$D$22, 4, FALSE), ""!C3:R29"")), ROW($A$1:$A$24), FALSE)), $AA$9:$AA$31), ""=X"")) + (23 - COUNTIF(IFERROR(ARRAYFORMULA(HLOOKUP($B54, IMPORTRANGE('Match Names'!$E$23, CONCAT(VLOOKUP($C54, 'M"&amp;"atch Names'!$1:$22, 5, FALSE), ""!C3:R29"")), ROW($A$1:$A$24), FALSE)), $AA$9:$AA$31), ""=X"")) + (23 - COUNTIF(IFERROR(ARRAYFORMULA(HLOOKUP($B54, IMPORTRANGE('Match Names'!$F$23, CONCAT(VLOOKUP($C54, 'Match Names'!$1:$22, 6, FALSE), ""!C3:R29"")), ROW($A"&amp;"$1:$A$24), FALSE)), $AA$9:$AA$31), ""=X"")) + (23 - COUNTIF(IFERROR(ARRAYFORMULA(HLOOKUP($B54, IMPORTRANGE('Match Names'!$G$23, CONCAT(VLOOKUP($C54, 'Match Names'!$1:$22, 7, FALSE), ""!C3:R29"")), ROW($A$1:$A$24), FALSE)), $AA$9:$AA$31), ""=X"")) + (23 - "&amp;"COUNTIF(IFERROR(ARRAYFORMULA(HLOOKUP($B54, IMPORTRANGE('Match Names'!$H$23, CONCAT(VLOOKUP($C54, 'Match Names'!$1:$22, 8, FALSE), ""!C3:R29"")), ROW($A$1:$A$24), FALSE)), $AA$9:$AA$31), ""=X""))"),115.0)</f>
        <v>115</v>
      </c>
      <c r="E54" s="4">
        <f>IFERROR(__xludf.DUMMYFUNCTION("COUNTIF(ARRAYFORMULA(HLOOKUP($B54, IMPORTRANGE('Prelim Rankings Unsorted'!$B$40, CONCAT(VLOOKUP($C54, 'Match Names'!$A$1:$D$22, 2, FALSE), ""!C3:R29"")), ROW($A$1:$A$24), FALSE)), ""=4"") + COUNTIF(ARRAYFORMULA(HLOOKUP($B54, IMPORTRANGE('Prelim Rankings U"&amp;"nsorted'!$B$41, CONCAT(VLOOKUP($C54, 'Match Names'!$A$1:$D$22, 3, FALSE), ""!C3:R29"")), ROW($A$1:$A$24), FALSE)), ""=4"") + COUNTIF(ARRAYFORMULA(HLOOKUP($B54, IMPORTRANGE('Prelim Rankings Unsorted'!$B$42, CONCAT(VLOOKUP($C54, 'Match Names'!$A$1:$D$22, 4,"&amp;" FALSE), ""!C3:R29"")), ROW($A$1:$A$24), FALSE)), ""=4"") + COUNTIF(ARRAYFORMULA(HLOOKUP($B54, IMPORTRANGE('Match Names'!$E$23, CONCAT(VLOOKUP($C54, 'Match Names'!$1:$22, 5, FALSE), ""!C3:R29"")), ROW($A$1:$A$24), FALSE)), ""=4"") + COUNTIF(ARRAYFORMULA(H"&amp;"LOOKUP($B54, IMPORTRANGE('Match Names'!$F$23, CONCAT(VLOOKUP($C54, 'Match Names'!$1:$22, 6, FALSE), ""!C3:R29"")), ROW($A$1:$A$24), FALSE)), ""=4"") + COUNTIF(ARRAYFORMULA(HLOOKUP($B54, IMPORTRANGE('Match Names'!$G$23, CONCAT(VLOOKUP($C54, 'Match Names'!$"&amp;"1:$22, 7, FALSE), ""!C3:R29"")), ROW($A$1:$A$24), FALSE)), ""=4"") + COUNTIF(ARRAYFORMULA(HLOOKUP($B54, IMPORTRANGE('Match Names'!$H$23, CONCAT(VLOOKUP($C54, 'Match Names'!$1:$22, 8, FALSE), ""!C3:R29"")), ROW($A$1:$A$24), FALSE)), ""=4"")"),14.0)</f>
        <v>14</v>
      </c>
      <c r="F54" s="4">
        <f>IFERROR(__xludf.DUMMYFUNCTION("COUNTIF(ARRAYFORMULA(HLOOKUP($B54, IMPORTRANGE('Prelim Rankings Unsorted'!$B$40, CONCAT(VLOOKUP($C54, 'Match Names'!$A$1:$D$22, 2, FALSE), ""!C3:R29"")), ROW($A$1:$A$24), FALSE)), ""=0"") + COUNTIF(ARRAYFORMULA(HLOOKUP($B54, IMPORTRANGE('Prelim Rankings U"&amp;"nsorted'!$B$41, CONCAT(VLOOKUP($C54, 'Match Names'!$A$1:$D$22, 3, FALSE), ""!C3:R29"")), ROW($A$1:$A$24), FALSE)), ""=0"") + COUNTIF(ARRAYFORMULA(HLOOKUP($B54, IMPORTRANGE('Prelim Rankings Unsorted'!$B$42, CONCAT(VLOOKUP($C54, 'Match Names'!$A$1:$D$22, 4,"&amp;" FALSE), ""!C3:R29"")), ROW($A$1:$A$24), FALSE)), ""=0"") + COUNTIF(ARRAYFORMULA(HLOOKUP($B54, IMPORTRANGE('Match Names'!$E$23, CONCAT(VLOOKUP($C54, 'Match Names'!$1:$22, 5, FALSE), ""!C3:R29"")), ROW($A$1:$A$24), FALSE)), ""=0"") + COUNTIF(ARRAYFORMULA(H"&amp;"LOOKUP($B54, IMPORTRANGE('Match Names'!$F$23, CONCAT(VLOOKUP($C54, 'Match Names'!$1:$22, 6, FALSE), ""!C3:R29"")), ROW($A$1:$A$24), FALSE)), ""=0"") + COUNTIF(ARRAYFORMULA(HLOOKUP($B54, IMPORTRANGE('Match Names'!$G$23, CONCAT(VLOOKUP($C54, 'Match Names'!$"&amp;"1:$22, 7, FALSE), ""!C3:R29"")), ROW($A$1:$A$24), FALSE)), ""=0"") + COUNTIF(ARRAYFORMULA(HLOOKUP($B54, IMPORTRANGE('Match Names'!$H$23, CONCAT(VLOOKUP($C54, 'Match Names'!$1:$22, 8, FALSE), ""!C3:R29"")), ROW($A$1:$A$24), FALSE)), ""=0"")"),3.0)</f>
        <v>3</v>
      </c>
      <c r="G54" s="4">
        <f>IFERROR(__xludf.DUMMYFUNCTION("COUNTIF(ARRAYFORMULA(HLOOKUP($B54, IMPORTRANGE('Prelim Rankings Unsorted'!$B$40, CONCAT(VLOOKUP($C54, 'Match Names'!$A$1:$D$22, 2, FALSE), ""!C3:R29"")), ROW($A$1:$A$24), FALSE)), ""=-4"") + COUNTIF(ARRAYFORMULA(HLOOKUP($B54, IMPORTRANGE('Prelim Rankings "&amp;"Unsorted'!$B$41, CONCAT(VLOOKUP($C54, 'Match Names'!$A$1:$D$22, 3, FALSE), ""!C3:R29"")), ROW($A$1:$A$24), FALSE)), ""=-4"") + COUNTIF(ARRAYFORMULA(HLOOKUP($B54, IMPORTRANGE('Prelim Rankings Unsorted'!$B$42, CONCAT(VLOOKUP($C54, 'Match Names'!$A$1:$D$22, "&amp;"4, FALSE), ""!C3:R29"")), ROW($A$1:$A$24), FALSE)), ""=-4"") + COUNTIF(ARRAYFORMULA(HLOOKUP($B54, IMPORTRANGE('Match Names'!$E$23, CONCAT(VLOOKUP($C54, 'Match Names'!$1:$22, 5, FALSE), ""!C3:R29"")), ROW($A$1:$A$24), FALSE)), ""=-4"") + COUNTIF(ARRAYFORMU"&amp;"LA(HLOOKUP($B54, IMPORTRANGE('Match Names'!$F$23, CONCAT(VLOOKUP($C54, 'Match Names'!$1:$22, 6, FALSE), ""!C3:R29"")), ROW($A$1:$A$24), FALSE)), ""=-4"") + COUNTIF(ARRAYFORMULA(HLOOKUP($B54, IMPORTRANGE('Match Names'!$G$23, CONCAT(VLOOKUP($C54, 'Match Nam"&amp;"es'!$1:$22, 7, FALSE), ""!C3:R29"")), ROW($A$1:$A$24), FALSE)), ""=-4"") + COUNTIF(ARRAYFORMULA(HLOOKUP($B54, IMPORTRANGE('Match Names'!$H$23, CONCAT(VLOOKUP($C54, 'Match Names'!$1:$22, 8, FALSE), ""!C3:R29"")), ROW($A$1:$A$24), FALSE)), ""=-4"")"),0.0)</f>
        <v>0</v>
      </c>
      <c r="H54" s="4">
        <f t="shared" si="1"/>
        <v>11.2</v>
      </c>
    </row>
    <row r="55">
      <c r="A55" s="21" t="s">
        <v>190</v>
      </c>
      <c r="B55" s="7" t="str">
        <f>VLOOKUP(CONCAT(A55, C55), 'Discord Username to Real Name'!C:D, 2, FALSE)</f>
        <v>bread#1582</v>
      </c>
      <c r="C55" s="21" t="s">
        <v>29</v>
      </c>
      <c r="D55" s="11">
        <f>IFERROR(__xludf.DUMMYFUNCTION("(23 - COUNTIF(IFERROR(ARRAYFORMULA(HLOOKUP($B55, IMPORTRANGE('Prelim Rankings Unsorted'!$B$40, CONCAT(VLOOKUP($C55, 'Match Names'!$A$1:$D$22, 2, FALSE), ""!C3:R29"")), ROW($A$1:$A$24), FALSE)), $AA$9:$AA$31), ""=X"")) + (23 - COUNTIF(IFERROR(ARRAYFORMULA("&amp;"HLOOKUP($B55, IMPORTRANGE('Prelim Rankings Unsorted'!$B$41, CONCAT(VLOOKUP($C55, 'Match Names'!$A$1:$D$22, 3, FALSE), ""!C3:R29"")), ROW($A$1:$A$24), FALSE)), $AA$9:$AA$31), ""=X"")) + (23 - COUNTIF(IFERROR(ARRAYFORMULA(HLOOKUP($B55, IMPORTRANGE('Prelim R"&amp;"ankings Unsorted'!$B$42, CONCAT(VLOOKUP($C55, 'Match Names'!$A$1:$D$22, 4, FALSE), ""!C3:R29"")), ROW($A$1:$A$24), FALSE)), $AA$9:$AA$31), ""=X"")) + (23 - COUNTIF(IFERROR(ARRAYFORMULA(HLOOKUP($B55, IMPORTRANGE('Match Names'!$E$23, CONCAT(VLOOKUP($C55, 'M"&amp;"atch Names'!$1:$22, 5, FALSE), ""!C3:R29"")), ROW($A$1:$A$24), FALSE)), $AA$9:$AA$31), ""=X"")) + (23 - COUNTIF(IFERROR(ARRAYFORMULA(HLOOKUP($B55, IMPORTRANGE('Match Names'!$F$23, CONCAT(VLOOKUP($C55, 'Match Names'!$1:$22, 6, FALSE), ""!C3:R29"")), ROW($A"&amp;"$1:$A$24), FALSE)), $AA$9:$AA$31), ""=X"")) + (23 - COUNTIF(IFERROR(ARRAYFORMULA(HLOOKUP($B55, IMPORTRANGE('Match Names'!$G$23, CONCAT(VLOOKUP($C55, 'Match Names'!$1:$22, 7, FALSE), ""!C3:R29"")), ROW($A$1:$A$24), FALSE)), $AA$9:$AA$31), ""=X"")) + (23 - "&amp;"COUNTIF(IFERROR(ARRAYFORMULA(HLOOKUP($B55, IMPORTRANGE('Match Names'!$H$23, CONCAT(VLOOKUP($C55, 'Match Names'!$1:$22, 8, FALSE), ""!C3:R29"")), ROW($A$1:$A$24), FALSE)), $AA$9:$AA$31), ""=X""))"),23.0)</f>
        <v>23</v>
      </c>
      <c r="E55" s="4">
        <f>IFERROR(__xludf.DUMMYFUNCTION("COUNTIF(ARRAYFORMULA(HLOOKUP($B55, IMPORTRANGE('Prelim Rankings Unsorted'!$B$40, CONCAT(VLOOKUP($C55, 'Match Names'!$A$1:$D$22, 2, FALSE), ""!C3:R29"")), ROW($A$1:$A$24), FALSE)), ""=4"") + COUNTIF(ARRAYFORMULA(HLOOKUP($B55, IMPORTRANGE('Prelim Rankings U"&amp;"nsorted'!$B$41, CONCAT(VLOOKUP($C55, 'Match Names'!$A$1:$D$22, 3, FALSE), ""!C3:R29"")), ROW($A$1:$A$24), FALSE)), ""=4"") + COUNTIF(ARRAYFORMULA(HLOOKUP($B55, IMPORTRANGE('Prelim Rankings Unsorted'!$B$42, CONCAT(VLOOKUP($C55, 'Match Names'!$A$1:$D$22, 4,"&amp;" FALSE), ""!C3:R29"")), ROW($A$1:$A$24), FALSE)), ""=4"") + COUNTIF(ARRAYFORMULA(HLOOKUP($B55, IMPORTRANGE('Match Names'!$E$23, CONCAT(VLOOKUP($C55, 'Match Names'!$1:$22, 5, FALSE), ""!C3:R29"")), ROW($A$1:$A$24), FALSE)), ""=4"") + COUNTIF(ARRAYFORMULA(H"&amp;"LOOKUP($B55, IMPORTRANGE('Match Names'!$F$23, CONCAT(VLOOKUP($C55, 'Match Names'!$1:$22, 6, FALSE), ""!C3:R29"")), ROW($A$1:$A$24), FALSE)), ""=4"") + COUNTIF(ARRAYFORMULA(HLOOKUP($B55, IMPORTRANGE('Match Names'!$G$23, CONCAT(VLOOKUP($C55, 'Match Names'!$"&amp;"1:$22, 7, FALSE), ""!C3:R29"")), ROW($A$1:$A$24), FALSE)), ""=4"") + COUNTIF(ARRAYFORMULA(HLOOKUP($B55, IMPORTRANGE('Match Names'!$H$23, CONCAT(VLOOKUP($C55, 'Match Names'!$1:$22, 8, FALSE), ""!C3:R29"")), ROW($A$1:$A$24), FALSE)), ""=4"")"),0.0)</f>
        <v>0</v>
      </c>
      <c r="F55" s="4">
        <f>IFERROR(__xludf.DUMMYFUNCTION("COUNTIF(ARRAYFORMULA(HLOOKUP($B55, IMPORTRANGE('Prelim Rankings Unsorted'!$B$40, CONCAT(VLOOKUP($C55, 'Match Names'!$A$1:$D$22, 2, FALSE), ""!C3:R29"")), ROW($A$1:$A$24), FALSE)), ""=0"") + COUNTIF(ARRAYFORMULA(HLOOKUP($B55, IMPORTRANGE('Prelim Rankings U"&amp;"nsorted'!$B$41, CONCAT(VLOOKUP($C55, 'Match Names'!$A$1:$D$22, 3, FALSE), ""!C3:R29"")), ROW($A$1:$A$24), FALSE)), ""=0"") + COUNTIF(ARRAYFORMULA(HLOOKUP($B55, IMPORTRANGE('Prelim Rankings Unsorted'!$B$42, CONCAT(VLOOKUP($C55, 'Match Names'!$A$1:$D$22, 4,"&amp;" FALSE), ""!C3:R29"")), ROW($A$1:$A$24), FALSE)), ""=0"") + COUNTIF(ARRAYFORMULA(HLOOKUP($B55, IMPORTRANGE('Match Names'!$E$23, CONCAT(VLOOKUP($C55, 'Match Names'!$1:$22, 5, FALSE), ""!C3:R29"")), ROW($A$1:$A$24), FALSE)), ""=0"") + COUNTIF(ARRAYFORMULA(H"&amp;"LOOKUP($B55, IMPORTRANGE('Match Names'!$F$23, CONCAT(VLOOKUP($C55, 'Match Names'!$1:$22, 6, FALSE), ""!C3:R29"")), ROW($A$1:$A$24), FALSE)), ""=0"") + COUNTIF(ARRAYFORMULA(HLOOKUP($B55, IMPORTRANGE('Match Names'!$G$23, CONCAT(VLOOKUP($C55, 'Match Names'!$"&amp;"1:$22, 7, FALSE), ""!C3:R29"")), ROW($A$1:$A$24), FALSE)), ""=0"") + COUNTIF(ARRAYFORMULA(HLOOKUP($B55, IMPORTRANGE('Match Names'!$H$23, CONCAT(VLOOKUP($C55, 'Match Names'!$1:$22, 8, FALSE), ""!C3:R29"")), ROW($A$1:$A$24), FALSE)), ""=0"")"),0.0)</f>
        <v>0</v>
      </c>
      <c r="G55" s="4">
        <f>IFERROR(__xludf.DUMMYFUNCTION("COUNTIF(ARRAYFORMULA(HLOOKUP($B55, IMPORTRANGE('Prelim Rankings Unsorted'!$B$40, CONCAT(VLOOKUP($C55, 'Match Names'!$A$1:$D$22, 2, FALSE), ""!C3:R29"")), ROW($A$1:$A$24), FALSE)), ""=-4"") + COUNTIF(ARRAYFORMULA(HLOOKUP($B55, IMPORTRANGE('Prelim Rankings "&amp;"Unsorted'!$B$41, CONCAT(VLOOKUP($C55, 'Match Names'!$A$1:$D$22, 3, FALSE), ""!C3:R29"")), ROW($A$1:$A$24), FALSE)), ""=-4"") + COUNTIF(ARRAYFORMULA(HLOOKUP($B55, IMPORTRANGE('Prelim Rankings Unsorted'!$B$42, CONCAT(VLOOKUP($C55, 'Match Names'!$A$1:$D$22, "&amp;"4, FALSE), ""!C3:R29"")), ROW($A$1:$A$24), FALSE)), ""=-4"") + COUNTIF(ARRAYFORMULA(HLOOKUP($B55, IMPORTRANGE('Match Names'!$E$23, CONCAT(VLOOKUP($C55, 'Match Names'!$1:$22, 5, FALSE), ""!C3:R29"")), ROW($A$1:$A$24), FALSE)), ""=-4"") + COUNTIF(ARRAYFORMU"&amp;"LA(HLOOKUP($B55, IMPORTRANGE('Match Names'!$F$23, CONCAT(VLOOKUP($C55, 'Match Names'!$1:$22, 6, FALSE), ""!C3:R29"")), ROW($A$1:$A$24), FALSE)), ""=-4"") + COUNTIF(ARRAYFORMULA(HLOOKUP($B55, IMPORTRANGE('Match Names'!$G$23, CONCAT(VLOOKUP($C55, 'Match Nam"&amp;"es'!$1:$22, 7, FALSE), ""!C3:R29"")), ROW($A$1:$A$24), FALSE)), ""=-4"") + COUNTIF(ARRAYFORMULA(HLOOKUP($B55, IMPORTRANGE('Match Names'!$H$23, CONCAT(VLOOKUP($C55, 'Match Names'!$1:$22, 8, FALSE), ""!C3:R29"")), ROW($A$1:$A$24), FALSE)), ""=-4"")"),0.0)</f>
        <v>0</v>
      </c>
      <c r="H55" s="4">
        <f t="shared" si="1"/>
        <v>0</v>
      </c>
    </row>
    <row r="56">
      <c r="A56" s="21" t="s">
        <v>140</v>
      </c>
      <c r="B56" s="7" t="str">
        <f>VLOOKUP(CONCAT(A56, C56), 'Discord Username to Real Name'!C:D, 2, FALSE)</f>
        <v>Jonathan Hu#9386</v>
      </c>
      <c r="C56" s="21" t="s">
        <v>29</v>
      </c>
      <c r="D56" s="11">
        <f>IFERROR(__xludf.DUMMYFUNCTION("(23 - COUNTIF(IFERROR(ARRAYFORMULA(HLOOKUP($B56, IMPORTRANGE('Prelim Rankings Unsorted'!$B$40, CONCAT(VLOOKUP($C56, 'Match Names'!$A$1:$D$22, 2, FALSE), ""!C3:R29"")), ROW($A$1:$A$24), FALSE)), $AA$9:$AA$31), ""=X"")) + (23 - COUNTIF(IFERROR(ARRAYFORMULA("&amp;"HLOOKUP($B56, IMPORTRANGE('Prelim Rankings Unsorted'!$B$41, CONCAT(VLOOKUP($C56, 'Match Names'!$A$1:$D$22, 3, FALSE), ""!C3:R29"")), ROW($A$1:$A$24), FALSE)), $AA$9:$AA$31), ""=X"")) + (23 - COUNTIF(IFERROR(ARRAYFORMULA(HLOOKUP($B56, IMPORTRANGE('Prelim R"&amp;"ankings Unsorted'!$B$42, CONCAT(VLOOKUP($C56, 'Match Names'!$A$1:$D$22, 4, FALSE), ""!C3:R29"")), ROW($A$1:$A$24), FALSE)), $AA$9:$AA$31), ""=X"")) + (23 - COUNTIF(IFERROR(ARRAYFORMULA(HLOOKUP($B56, IMPORTRANGE('Match Names'!$E$23, CONCAT(VLOOKUP($C56, 'M"&amp;"atch Names'!$1:$22, 5, FALSE), ""!C3:R29"")), ROW($A$1:$A$24), FALSE)), $AA$9:$AA$31), ""=X"")) + (23 - COUNTIF(IFERROR(ARRAYFORMULA(HLOOKUP($B56, IMPORTRANGE('Match Names'!$F$23, CONCAT(VLOOKUP($C56, 'Match Names'!$1:$22, 6, FALSE), ""!C3:R29"")), ROW($A"&amp;"$1:$A$24), FALSE)), $AA$9:$AA$31), ""=X"")) + (23 - COUNTIF(IFERROR(ARRAYFORMULA(HLOOKUP($B56, IMPORTRANGE('Match Names'!$G$23, CONCAT(VLOOKUP($C56, 'Match Names'!$1:$22, 7, FALSE), ""!C3:R29"")), ROW($A$1:$A$24), FALSE)), $AA$9:$AA$31), ""=X"")) + (23 - "&amp;"COUNTIF(IFERROR(ARRAYFORMULA(HLOOKUP($B56, IMPORTRANGE('Match Names'!$H$23, CONCAT(VLOOKUP($C56, 'Match Names'!$1:$22, 8, FALSE), ""!C3:R29"")), ROW($A$1:$A$24), FALSE)), $AA$9:$AA$31), ""=X""))"),92.0)</f>
        <v>92</v>
      </c>
      <c r="E56" s="4">
        <f>IFERROR(__xludf.DUMMYFUNCTION("COUNTIF(ARRAYFORMULA(HLOOKUP($B56, IMPORTRANGE('Prelim Rankings Unsorted'!$B$40, CONCAT(VLOOKUP($C56, 'Match Names'!$A$1:$D$22, 2, FALSE), ""!C3:R29"")), ROW($A$1:$A$24), FALSE)), ""=4"") + COUNTIF(ARRAYFORMULA(HLOOKUP($B56, IMPORTRANGE('Prelim Rankings U"&amp;"nsorted'!$B$41, CONCAT(VLOOKUP($C56, 'Match Names'!$A$1:$D$22, 3, FALSE), ""!C3:R29"")), ROW($A$1:$A$24), FALSE)), ""=4"") + COUNTIF(ARRAYFORMULA(HLOOKUP($B56, IMPORTRANGE('Prelim Rankings Unsorted'!$B$42, CONCAT(VLOOKUP($C56, 'Match Names'!$A$1:$D$22, 4,"&amp;" FALSE), ""!C3:R29"")), ROW($A$1:$A$24), FALSE)), ""=4"") + COUNTIF(ARRAYFORMULA(HLOOKUP($B56, IMPORTRANGE('Match Names'!$E$23, CONCAT(VLOOKUP($C56, 'Match Names'!$1:$22, 5, FALSE), ""!C3:R29"")), ROW($A$1:$A$24), FALSE)), ""=4"") + COUNTIF(ARRAYFORMULA(H"&amp;"LOOKUP($B56, IMPORTRANGE('Match Names'!$F$23, CONCAT(VLOOKUP($C56, 'Match Names'!$1:$22, 6, FALSE), ""!C3:R29"")), ROW($A$1:$A$24), FALSE)), ""=4"") + COUNTIF(ARRAYFORMULA(HLOOKUP($B56, IMPORTRANGE('Match Names'!$G$23, CONCAT(VLOOKUP($C56, 'Match Names'!$"&amp;"1:$22, 7, FALSE), ""!C3:R29"")), ROW($A$1:$A$24), FALSE)), ""=4"") + COUNTIF(ARRAYFORMULA(HLOOKUP($B56, IMPORTRANGE('Match Names'!$H$23, CONCAT(VLOOKUP($C56, 'Match Names'!$1:$22, 8, FALSE), ""!C3:R29"")), ROW($A$1:$A$24), FALSE)), ""=4"")"),4.0)</f>
        <v>4</v>
      </c>
      <c r="F56" s="4">
        <f>IFERROR(__xludf.DUMMYFUNCTION("COUNTIF(ARRAYFORMULA(HLOOKUP($B56, IMPORTRANGE('Prelim Rankings Unsorted'!$B$40, CONCAT(VLOOKUP($C56, 'Match Names'!$A$1:$D$22, 2, FALSE), ""!C3:R29"")), ROW($A$1:$A$24), FALSE)), ""=0"") + COUNTIF(ARRAYFORMULA(HLOOKUP($B56, IMPORTRANGE('Prelim Rankings U"&amp;"nsorted'!$B$41, CONCAT(VLOOKUP($C56, 'Match Names'!$A$1:$D$22, 3, FALSE), ""!C3:R29"")), ROW($A$1:$A$24), FALSE)), ""=0"") + COUNTIF(ARRAYFORMULA(HLOOKUP($B56, IMPORTRANGE('Prelim Rankings Unsorted'!$B$42, CONCAT(VLOOKUP($C56, 'Match Names'!$A$1:$D$22, 4,"&amp;" FALSE), ""!C3:R29"")), ROW($A$1:$A$24), FALSE)), ""=0"") + COUNTIF(ARRAYFORMULA(HLOOKUP($B56, IMPORTRANGE('Match Names'!$E$23, CONCAT(VLOOKUP($C56, 'Match Names'!$1:$22, 5, FALSE), ""!C3:R29"")), ROW($A$1:$A$24), FALSE)), ""=0"") + COUNTIF(ARRAYFORMULA(H"&amp;"LOOKUP($B56, IMPORTRANGE('Match Names'!$F$23, CONCAT(VLOOKUP($C56, 'Match Names'!$1:$22, 6, FALSE), ""!C3:R29"")), ROW($A$1:$A$24), FALSE)), ""=0"") + COUNTIF(ARRAYFORMULA(HLOOKUP($B56, IMPORTRANGE('Match Names'!$G$23, CONCAT(VLOOKUP($C56, 'Match Names'!$"&amp;"1:$22, 7, FALSE), ""!C3:R29"")), ROW($A$1:$A$24), FALSE)), ""=0"") + COUNTIF(ARRAYFORMULA(HLOOKUP($B56, IMPORTRANGE('Match Names'!$H$23, CONCAT(VLOOKUP($C56, 'Match Names'!$1:$22, 8, FALSE), ""!C3:R29"")), ROW($A$1:$A$24), FALSE)), ""=0"")"),2.0)</f>
        <v>2</v>
      </c>
      <c r="G56" s="4">
        <f>IFERROR(__xludf.DUMMYFUNCTION("COUNTIF(ARRAYFORMULA(HLOOKUP($B56, IMPORTRANGE('Prelim Rankings Unsorted'!$B$40, CONCAT(VLOOKUP($C56, 'Match Names'!$A$1:$D$22, 2, FALSE), ""!C3:R29"")), ROW($A$1:$A$24), FALSE)), ""=-4"") + COUNTIF(ARRAYFORMULA(HLOOKUP($B56, IMPORTRANGE('Prelim Rankings "&amp;"Unsorted'!$B$41, CONCAT(VLOOKUP($C56, 'Match Names'!$A$1:$D$22, 3, FALSE), ""!C3:R29"")), ROW($A$1:$A$24), FALSE)), ""=-4"") + COUNTIF(ARRAYFORMULA(HLOOKUP($B56, IMPORTRANGE('Prelim Rankings Unsorted'!$B$42, CONCAT(VLOOKUP($C56, 'Match Names'!$A$1:$D$22, "&amp;"4, FALSE), ""!C3:R29"")), ROW($A$1:$A$24), FALSE)), ""=-4"") + COUNTIF(ARRAYFORMULA(HLOOKUP($B56, IMPORTRANGE('Match Names'!$E$23, CONCAT(VLOOKUP($C56, 'Match Names'!$1:$22, 5, FALSE), ""!C3:R29"")), ROW($A$1:$A$24), FALSE)), ""=-4"") + COUNTIF(ARRAYFORMU"&amp;"LA(HLOOKUP($B56, IMPORTRANGE('Match Names'!$F$23, CONCAT(VLOOKUP($C56, 'Match Names'!$1:$22, 6, FALSE), ""!C3:R29"")), ROW($A$1:$A$24), FALSE)), ""=-4"") + COUNTIF(ARRAYFORMULA(HLOOKUP($B56, IMPORTRANGE('Match Names'!$G$23, CONCAT(VLOOKUP($C56, 'Match Nam"&amp;"es'!$1:$22, 7, FALSE), ""!C3:R29"")), ROW($A$1:$A$24), FALSE)), ""=-4"") + COUNTIF(ARRAYFORMULA(HLOOKUP($B56, IMPORTRANGE('Match Names'!$H$23, CONCAT(VLOOKUP($C56, 'Match Names'!$1:$22, 8, FALSE), ""!C3:R29"")), ROW($A$1:$A$24), FALSE)), ""=-4"")"),0.0)</f>
        <v>0</v>
      </c>
      <c r="H56" s="4">
        <f t="shared" si="1"/>
        <v>4</v>
      </c>
    </row>
    <row r="57">
      <c r="A57" s="21" t="s">
        <v>154</v>
      </c>
      <c r="B57" s="7" t="str">
        <f>VLOOKUP(CONCAT(A57, C57), 'Discord Username to Real Name'!C:D, 2, FALSE)</f>
        <v>Shinybro64#1122</v>
      </c>
      <c r="C57" s="21" t="s">
        <v>29</v>
      </c>
      <c r="D57" s="11">
        <f>IFERROR(__xludf.DUMMYFUNCTION("(23 - COUNTIF(IFERROR(ARRAYFORMULA(HLOOKUP($B57, IMPORTRANGE('Prelim Rankings Unsorted'!$B$40, CONCAT(VLOOKUP($C57, 'Match Names'!$A$1:$D$22, 2, FALSE), ""!C3:R29"")), ROW($A$1:$A$24), FALSE)), $AA$9:$AA$31), ""=X"")) + (23 - COUNTIF(IFERROR(ARRAYFORMULA("&amp;"HLOOKUP($B57, IMPORTRANGE('Prelim Rankings Unsorted'!$B$41, CONCAT(VLOOKUP($C57, 'Match Names'!$A$1:$D$22, 3, FALSE), ""!C3:R29"")), ROW($A$1:$A$24), FALSE)), $AA$9:$AA$31), ""=X"")) + (23 - COUNTIF(IFERROR(ARRAYFORMULA(HLOOKUP($B57, IMPORTRANGE('Prelim R"&amp;"ankings Unsorted'!$B$42, CONCAT(VLOOKUP($C57, 'Match Names'!$A$1:$D$22, 4, FALSE), ""!C3:R29"")), ROW($A$1:$A$24), FALSE)), $AA$9:$AA$31), ""=X"")) + (23 - COUNTIF(IFERROR(ARRAYFORMULA(HLOOKUP($B57, IMPORTRANGE('Match Names'!$E$23, CONCAT(VLOOKUP($C57, 'M"&amp;"atch Names'!$1:$22, 5, FALSE), ""!C3:R29"")), ROW($A$1:$A$24), FALSE)), $AA$9:$AA$31), ""=X"")) + (23 - COUNTIF(IFERROR(ARRAYFORMULA(HLOOKUP($B57, IMPORTRANGE('Match Names'!$F$23, CONCAT(VLOOKUP($C57, 'Match Names'!$1:$22, 6, FALSE), ""!C3:R29"")), ROW($A"&amp;"$1:$A$24), FALSE)), $AA$9:$AA$31), ""=X"")) + (23 - COUNTIF(IFERROR(ARRAYFORMULA(HLOOKUP($B57, IMPORTRANGE('Match Names'!$G$23, CONCAT(VLOOKUP($C57, 'Match Names'!$1:$22, 7, FALSE), ""!C3:R29"")), ROW($A$1:$A$24), FALSE)), $AA$9:$AA$31), ""=X"")) + (23 - "&amp;"COUNTIF(IFERROR(ARRAYFORMULA(HLOOKUP($B57, IMPORTRANGE('Match Names'!$H$23, CONCAT(VLOOKUP($C57, 'Match Names'!$1:$22, 8, FALSE), ""!C3:R29"")), ROW($A$1:$A$24), FALSE)), $AA$9:$AA$31), ""=X""))"),92.0)</f>
        <v>92</v>
      </c>
      <c r="E57" s="4">
        <f>IFERROR(__xludf.DUMMYFUNCTION("COUNTIF(ARRAYFORMULA(HLOOKUP($B57, IMPORTRANGE('Prelim Rankings Unsorted'!$B$40, CONCAT(VLOOKUP($C57, 'Match Names'!$A$1:$D$22, 2, FALSE), ""!C3:R29"")), ROW($A$1:$A$24), FALSE)), ""=4"") + COUNTIF(ARRAYFORMULA(HLOOKUP($B57, IMPORTRANGE('Prelim Rankings U"&amp;"nsorted'!$B$41, CONCAT(VLOOKUP($C57, 'Match Names'!$A$1:$D$22, 3, FALSE), ""!C3:R29"")), ROW($A$1:$A$24), FALSE)), ""=4"") + COUNTIF(ARRAYFORMULA(HLOOKUP($B57, IMPORTRANGE('Prelim Rankings Unsorted'!$B$42, CONCAT(VLOOKUP($C57, 'Match Names'!$A$1:$D$22, 4,"&amp;" FALSE), ""!C3:R29"")), ROW($A$1:$A$24), FALSE)), ""=4"") + COUNTIF(ARRAYFORMULA(HLOOKUP($B57, IMPORTRANGE('Match Names'!$E$23, CONCAT(VLOOKUP($C57, 'Match Names'!$1:$22, 5, FALSE), ""!C3:R29"")), ROW($A$1:$A$24), FALSE)), ""=4"") + COUNTIF(ARRAYFORMULA(H"&amp;"LOOKUP($B57, IMPORTRANGE('Match Names'!$F$23, CONCAT(VLOOKUP($C57, 'Match Names'!$1:$22, 6, FALSE), ""!C3:R29"")), ROW($A$1:$A$24), FALSE)), ""=4"") + COUNTIF(ARRAYFORMULA(HLOOKUP($B57, IMPORTRANGE('Match Names'!$G$23, CONCAT(VLOOKUP($C57, 'Match Names'!$"&amp;"1:$22, 7, FALSE), ""!C3:R29"")), ROW($A$1:$A$24), FALSE)), ""=4"") + COUNTIF(ARRAYFORMULA(HLOOKUP($B57, IMPORTRANGE('Match Names'!$H$23, CONCAT(VLOOKUP($C57, 'Match Names'!$1:$22, 8, FALSE), ""!C3:R29"")), ROW($A$1:$A$24), FALSE)), ""=4"")"),2.0)</f>
        <v>2</v>
      </c>
      <c r="F57" s="4">
        <f>IFERROR(__xludf.DUMMYFUNCTION("COUNTIF(ARRAYFORMULA(HLOOKUP($B57, IMPORTRANGE('Prelim Rankings Unsorted'!$B$40, CONCAT(VLOOKUP($C57, 'Match Names'!$A$1:$D$22, 2, FALSE), ""!C3:R29"")), ROW($A$1:$A$24), FALSE)), ""=0"") + COUNTIF(ARRAYFORMULA(HLOOKUP($B57, IMPORTRANGE('Prelim Rankings U"&amp;"nsorted'!$B$41, CONCAT(VLOOKUP($C57, 'Match Names'!$A$1:$D$22, 3, FALSE), ""!C3:R29"")), ROW($A$1:$A$24), FALSE)), ""=0"") + COUNTIF(ARRAYFORMULA(HLOOKUP($B57, IMPORTRANGE('Prelim Rankings Unsorted'!$B$42, CONCAT(VLOOKUP($C57, 'Match Names'!$A$1:$D$22, 4,"&amp;" FALSE), ""!C3:R29"")), ROW($A$1:$A$24), FALSE)), ""=0"") + COUNTIF(ARRAYFORMULA(HLOOKUP($B57, IMPORTRANGE('Match Names'!$E$23, CONCAT(VLOOKUP($C57, 'Match Names'!$1:$22, 5, FALSE), ""!C3:R29"")), ROW($A$1:$A$24), FALSE)), ""=0"") + COUNTIF(ARRAYFORMULA(H"&amp;"LOOKUP($B57, IMPORTRANGE('Match Names'!$F$23, CONCAT(VLOOKUP($C57, 'Match Names'!$1:$22, 6, FALSE), ""!C3:R29"")), ROW($A$1:$A$24), FALSE)), ""=0"") + COUNTIF(ARRAYFORMULA(HLOOKUP($B57, IMPORTRANGE('Match Names'!$G$23, CONCAT(VLOOKUP($C57, 'Match Names'!$"&amp;"1:$22, 7, FALSE), ""!C3:R29"")), ROW($A$1:$A$24), FALSE)), ""=0"") + COUNTIF(ARRAYFORMULA(HLOOKUP($B57, IMPORTRANGE('Match Names'!$H$23, CONCAT(VLOOKUP($C57, 'Match Names'!$1:$22, 8, FALSE), ""!C3:R29"")), ROW($A$1:$A$24), FALSE)), ""=0"")"),7.0)</f>
        <v>7</v>
      </c>
      <c r="G57" s="4">
        <f>IFERROR(__xludf.DUMMYFUNCTION("COUNTIF(ARRAYFORMULA(HLOOKUP($B57, IMPORTRANGE('Prelim Rankings Unsorted'!$B$40, CONCAT(VLOOKUP($C57, 'Match Names'!$A$1:$D$22, 2, FALSE), ""!C3:R29"")), ROW($A$1:$A$24), FALSE)), ""=-4"") + COUNTIF(ARRAYFORMULA(HLOOKUP($B57, IMPORTRANGE('Prelim Rankings "&amp;"Unsorted'!$B$41, CONCAT(VLOOKUP($C57, 'Match Names'!$A$1:$D$22, 3, FALSE), ""!C3:R29"")), ROW($A$1:$A$24), FALSE)), ""=-4"") + COUNTIF(ARRAYFORMULA(HLOOKUP($B57, IMPORTRANGE('Prelim Rankings Unsorted'!$B$42, CONCAT(VLOOKUP($C57, 'Match Names'!$A$1:$D$22, "&amp;"4, FALSE), ""!C3:R29"")), ROW($A$1:$A$24), FALSE)), ""=-4"") + COUNTIF(ARRAYFORMULA(HLOOKUP($B57, IMPORTRANGE('Match Names'!$E$23, CONCAT(VLOOKUP($C57, 'Match Names'!$1:$22, 5, FALSE), ""!C3:R29"")), ROW($A$1:$A$24), FALSE)), ""=-4"") + COUNTIF(ARRAYFORMU"&amp;"LA(HLOOKUP($B57, IMPORTRANGE('Match Names'!$F$23, CONCAT(VLOOKUP($C57, 'Match Names'!$1:$22, 6, FALSE), ""!C3:R29"")), ROW($A$1:$A$24), FALSE)), ""=-4"") + COUNTIF(ARRAYFORMULA(HLOOKUP($B57, IMPORTRANGE('Match Names'!$G$23, CONCAT(VLOOKUP($C57, 'Match Nam"&amp;"es'!$1:$22, 7, FALSE), ""!C3:R29"")), ROW($A$1:$A$24), FALSE)), ""=-4"") + COUNTIF(ARRAYFORMULA(HLOOKUP($B57, IMPORTRANGE('Match Names'!$H$23, CONCAT(VLOOKUP($C57, 'Match Names'!$1:$22, 8, FALSE), ""!C3:R29"")), ROW($A$1:$A$24), FALSE)), ""=-4"")"),0.0)</f>
        <v>0</v>
      </c>
      <c r="H57" s="4">
        <f t="shared" si="1"/>
        <v>2</v>
      </c>
    </row>
    <row r="58">
      <c r="A58" s="21" t="s">
        <v>82</v>
      </c>
      <c r="B58" s="7" t="str">
        <f>VLOOKUP(CONCAT(A58, C58), 'Discord Username to Real Name'!C:D, 2, FALSE)</f>
        <v>Cemo475#3867</v>
      </c>
      <c r="C58" s="21" t="s">
        <v>19</v>
      </c>
      <c r="D58" s="11">
        <f>IFERROR(__xludf.DUMMYFUNCTION("(23 - COUNTIF(IFERROR(ARRAYFORMULA(HLOOKUP($B58, IMPORTRANGE('Prelim Rankings Unsorted'!$B$40, CONCAT(VLOOKUP($C58, 'Match Names'!$A$1:$D$22, 2, FALSE), ""!C3:R29"")), ROW($A$1:$A$24), FALSE)), $AA$9:$AA$31), ""=X"")) + (23 - COUNTIF(IFERROR(ARRAYFORMULA("&amp;"HLOOKUP($B58, IMPORTRANGE('Prelim Rankings Unsorted'!$B$41, CONCAT(VLOOKUP($C58, 'Match Names'!$A$1:$D$22, 3, FALSE), ""!C3:R29"")), ROW($A$1:$A$24), FALSE)), $AA$9:$AA$31), ""=X"")) + (23 - COUNTIF(IFERROR(ARRAYFORMULA(HLOOKUP($B58, IMPORTRANGE('Prelim R"&amp;"ankings Unsorted'!$B$42, CONCAT(VLOOKUP($C58, 'Match Names'!$A$1:$D$22, 4, FALSE), ""!C3:R29"")), ROW($A$1:$A$24), FALSE)), $AA$9:$AA$31), ""=X"")) + (23 - COUNTIF(IFERROR(ARRAYFORMULA(HLOOKUP($B58, IMPORTRANGE('Match Names'!$E$23, CONCAT(VLOOKUP($C58, 'M"&amp;"atch Names'!$1:$22, 5, FALSE), ""!C3:R29"")), ROW($A$1:$A$24), FALSE)), $AA$9:$AA$31), ""=X"")) + (23 - COUNTIF(IFERROR(ARRAYFORMULA(HLOOKUP($B58, IMPORTRANGE('Match Names'!$F$23, CONCAT(VLOOKUP($C58, 'Match Names'!$1:$22, 6, FALSE), ""!C3:R29"")), ROW($A"&amp;"$1:$A$24), FALSE)), $AA$9:$AA$31), ""=X"")) + (23 - COUNTIF(IFERROR(ARRAYFORMULA(HLOOKUP($B58, IMPORTRANGE('Match Names'!$G$23, CONCAT(VLOOKUP($C58, 'Match Names'!$1:$22, 7, FALSE), ""!C3:R29"")), ROW($A$1:$A$24), FALSE)), $AA$9:$AA$31), ""=X"")) + (23 - "&amp;"COUNTIF(IFERROR(ARRAYFORMULA(HLOOKUP($B58, IMPORTRANGE('Match Names'!$H$23, CONCAT(VLOOKUP($C58, 'Match Names'!$1:$22, 8, FALSE), ""!C3:R29"")), ROW($A$1:$A$24), FALSE)), $AA$9:$AA$31), ""=X""))"),69.0)</f>
        <v>69</v>
      </c>
      <c r="E58" s="4">
        <f>IFERROR(__xludf.DUMMYFUNCTION("COUNTIF(ARRAYFORMULA(HLOOKUP($B58, IMPORTRANGE('Prelim Rankings Unsorted'!$B$40, CONCAT(VLOOKUP($C58, 'Match Names'!$A$1:$D$22, 2, FALSE), ""!C3:R29"")), ROW($A$1:$A$24), FALSE)), ""=4"") + COUNTIF(ARRAYFORMULA(HLOOKUP($B58, IMPORTRANGE('Prelim Rankings U"&amp;"nsorted'!$B$41, CONCAT(VLOOKUP($C58, 'Match Names'!$A$1:$D$22, 3, FALSE), ""!C3:R29"")), ROW($A$1:$A$24), FALSE)), ""=4"") + COUNTIF(ARRAYFORMULA(HLOOKUP($B58, IMPORTRANGE('Prelim Rankings Unsorted'!$B$42, CONCAT(VLOOKUP($C58, 'Match Names'!$A$1:$D$22, 4,"&amp;" FALSE), ""!C3:R29"")), ROW($A$1:$A$24), FALSE)), ""=4"") + COUNTIF(ARRAYFORMULA(HLOOKUP($B58, IMPORTRANGE('Match Names'!$E$23, CONCAT(VLOOKUP($C58, 'Match Names'!$1:$22, 5, FALSE), ""!C3:R29"")), ROW($A$1:$A$24), FALSE)), ""=4"") + COUNTIF(ARRAYFORMULA(H"&amp;"LOOKUP($B58, IMPORTRANGE('Match Names'!$F$23, CONCAT(VLOOKUP($C58, 'Match Names'!$1:$22, 6, FALSE), ""!C3:R29"")), ROW($A$1:$A$24), FALSE)), ""=4"") + COUNTIF(ARRAYFORMULA(HLOOKUP($B58, IMPORTRANGE('Match Names'!$G$23, CONCAT(VLOOKUP($C58, 'Match Names'!$"&amp;"1:$22, 7, FALSE), ""!C3:R29"")), ROW($A$1:$A$24), FALSE)), ""=4"") + COUNTIF(ARRAYFORMULA(HLOOKUP($B58, IMPORTRANGE('Match Names'!$H$23, CONCAT(VLOOKUP($C58, 'Match Names'!$1:$22, 8, FALSE), ""!C3:R29"")), ROW($A$1:$A$24), FALSE)), ""=4"")"),8.0)</f>
        <v>8</v>
      </c>
      <c r="F58" s="4">
        <f>IFERROR(__xludf.DUMMYFUNCTION("COUNTIF(ARRAYFORMULA(HLOOKUP($B58, IMPORTRANGE('Prelim Rankings Unsorted'!$B$40, CONCAT(VLOOKUP($C58, 'Match Names'!$A$1:$D$22, 2, FALSE), ""!C3:R29"")), ROW($A$1:$A$24), FALSE)), ""=0"") + COUNTIF(ARRAYFORMULA(HLOOKUP($B58, IMPORTRANGE('Prelim Rankings U"&amp;"nsorted'!$B$41, CONCAT(VLOOKUP($C58, 'Match Names'!$A$1:$D$22, 3, FALSE), ""!C3:R29"")), ROW($A$1:$A$24), FALSE)), ""=0"") + COUNTIF(ARRAYFORMULA(HLOOKUP($B58, IMPORTRANGE('Prelim Rankings Unsorted'!$B$42, CONCAT(VLOOKUP($C58, 'Match Names'!$A$1:$D$22, 4,"&amp;" FALSE), ""!C3:R29"")), ROW($A$1:$A$24), FALSE)), ""=0"") + COUNTIF(ARRAYFORMULA(HLOOKUP($B58, IMPORTRANGE('Match Names'!$E$23, CONCAT(VLOOKUP($C58, 'Match Names'!$1:$22, 5, FALSE), ""!C3:R29"")), ROW($A$1:$A$24), FALSE)), ""=0"") + COUNTIF(ARRAYFORMULA(H"&amp;"LOOKUP($B58, IMPORTRANGE('Match Names'!$F$23, CONCAT(VLOOKUP($C58, 'Match Names'!$1:$22, 6, FALSE), ""!C3:R29"")), ROW($A$1:$A$24), FALSE)), ""=0"") + COUNTIF(ARRAYFORMULA(HLOOKUP($B58, IMPORTRANGE('Match Names'!$G$23, CONCAT(VLOOKUP($C58, 'Match Names'!$"&amp;"1:$22, 7, FALSE), ""!C3:R29"")), ROW($A$1:$A$24), FALSE)), ""=0"") + COUNTIF(ARRAYFORMULA(HLOOKUP($B58, IMPORTRANGE('Match Names'!$H$23, CONCAT(VLOOKUP($C58, 'Match Names'!$1:$22, 8, FALSE), ""!C3:R29"")), ROW($A$1:$A$24), FALSE)), ""=0"")"),2.0)</f>
        <v>2</v>
      </c>
      <c r="G58" s="4">
        <f>IFERROR(__xludf.DUMMYFUNCTION("COUNTIF(ARRAYFORMULA(HLOOKUP($B58, IMPORTRANGE('Prelim Rankings Unsorted'!$B$40, CONCAT(VLOOKUP($C58, 'Match Names'!$A$1:$D$22, 2, FALSE), ""!C3:R29"")), ROW($A$1:$A$24), FALSE)), ""=-4"") + COUNTIF(ARRAYFORMULA(HLOOKUP($B58, IMPORTRANGE('Prelim Rankings "&amp;"Unsorted'!$B$41, CONCAT(VLOOKUP($C58, 'Match Names'!$A$1:$D$22, 3, FALSE), ""!C3:R29"")), ROW($A$1:$A$24), FALSE)), ""=-4"") + COUNTIF(ARRAYFORMULA(HLOOKUP($B58, IMPORTRANGE('Prelim Rankings Unsorted'!$B$42, CONCAT(VLOOKUP($C58, 'Match Names'!$A$1:$D$22, "&amp;"4, FALSE), ""!C3:R29"")), ROW($A$1:$A$24), FALSE)), ""=-4"") + COUNTIF(ARRAYFORMULA(HLOOKUP($B58, IMPORTRANGE('Match Names'!$E$23, CONCAT(VLOOKUP($C58, 'Match Names'!$1:$22, 5, FALSE), ""!C3:R29"")), ROW($A$1:$A$24), FALSE)), ""=-4"") + COUNTIF(ARRAYFORMU"&amp;"LA(HLOOKUP($B58, IMPORTRANGE('Match Names'!$F$23, CONCAT(VLOOKUP($C58, 'Match Names'!$1:$22, 6, FALSE), ""!C3:R29"")), ROW($A$1:$A$24), FALSE)), ""=-4"") + COUNTIF(ARRAYFORMULA(HLOOKUP($B58, IMPORTRANGE('Match Names'!$G$23, CONCAT(VLOOKUP($C58, 'Match Nam"&amp;"es'!$1:$22, 7, FALSE), ""!C3:R29"")), ROW($A$1:$A$24), FALSE)), ""=-4"") + COUNTIF(ARRAYFORMULA(HLOOKUP($B58, IMPORTRANGE('Match Names'!$H$23, CONCAT(VLOOKUP($C58, 'Match Names'!$1:$22, 8, FALSE), ""!C3:R29"")), ROW($A$1:$A$24), FALSE)), ""=-4"")"),2.0)</f>
        <v>2</v>
      </c>
      <c r="H58" s="4">
        <f t="shared" si="1"/>
        <v>8</v>
      </c>
    </row>
    <row r="59">
      <c r="A59" s="21" t="s">
        <v>74</v>
      </c>
      <c r="B59" s="7" t="str">
        <f>VLOOKUP(CONCAT(A59, C59), 'Discord Username to Real Name'!C:D, 2, FALSE)</f>
        <v>Chris Ge#6364</v>
      </c>
      <c r="C59" s="21" t="s">
        <v>19</v>
      </c>
      <c r="D59" s="11">
        <f>IFERROR(__xludf.DUMMYFUNCTION("(23 - COUNTIF(IFERROR(ARRAYFORMULA(HLOOKUP($B59, IMPORTRANGE('Prelim Rankings Unsorted'!$B$40, CONCAT(VLOOKUP($C59, 'Match Names'!$A$1:$D$22, 2, FALSE), ""!C3:R29"")), ROW($A$1:$A$24), FALSE)), $AA$9:$AA$31), ""=X"")) + (23 - COUNTIF(IFERROR(ARRAYFORMULA("&amp;"HLOOKUP($B59, IMPORTRANGE('Prelim Rankings Unsorted'!$B$41, CONCAT(VLOOKUP($C59, 'Match Names'!$A$1:$D$22, 3, FALSE), ""!C3:R29"")), ROW($A$1:$A$24), FALSE)), $AA$9:$AA$31), ""=X"")) + (23 - COUNTIF(IFERROR(ARRAYFORMULA(HLOOKUP($B59, IMPORTRANGE('Prelim R"&amp;"ankings Unsorted'!$B$42, CONCAT(VLOOKUP($C59, 'Match Names'!$A$1:$D$22, 4, FALSE), ""!C3:R29"")), ROW($A$1:$A$24), FALSE)), $AA$9:$AA$31), ""=X"")) + (23 - COUNTIF(IFERROR(ARRAYFORMULA(HLOOKUP($B59, IMPORTRANGE('Match Names'!$E$23, CONCAT(VLOOKUP($C59, 'M"&amp;"atch Names'!$1:$22, 5, FALSE), ""!C3:R29"")), ROW($A$1:$A$24), FALSE)), $AA$9:$AA$31), ""=X"")) + (23 - COUNTIF(IFERROR(ARRAYFORMULA(HLOOKUP($B59, IMPORTRANGE('Match Names'!$F$23, CONCAT(VLOOKUP($C59, 'Match Names'!$1:$22, 6, FALSE), ""!C3:R29"")), ROW($A"&amp;"$1:$A$24), FALSE)), $AA$9:$AA$31), ""=X"")) + (23 - COUNTIF(IFERROR(ARRAYFORMULA(HLOOKUP($B59, IMPORTRANGE('Match Names'!$G$23, CONCAT(VLOOKUP($C59, 'Match Names'!$1:$22, 7, FALSE), ""!C3:R29"")), ROW($A$1:$A$24), FALSE)), $AA$9:$AA$31), ""=X"")) + (23 - "&amp;"COUNTIF(IFERROR(ARRAYFORMULA(HLOOKUP($B59, IMPORTRANGE('Match Names'!$H$23, CONCAT(VLOOKUP($C59, 'Match Names'!$1:$22, 8, FALSE), ""!C3:R29"")), ROW($A$1:$A$24), FALSE)), $AA$9:$AA$31), ""=X""))"),92.0)</f>
        <v>92</v>
      </c>
      <c r="E59" s="4">
        <f>IFERROR(__xludf.DUMMYFUNCTION("COUNTIF(ARRAYFORMULA(HLOOKUP($B59, IMPORTRANGE('Prelim Rankings Unsorted'!$B$40, CONCAT(VLOOKUP($C59, 'Match Names'!$A$1:$D$22, 2, FALSE), ""!C3:R29"")), ROW($A$1:$A$24), FALSE)), ""=4"") + COUNTIF(ARRAYFORMULA(HLOOKUP($B59, IMPORTRANGE('Prelim Rankings U"&amp;"nsorted'!$B$41, CONCAT(VLOOKUP($C59, 'Match Names'!$A$1:$D$22, 3, FALSE), ""!C3:R29"")), ROW($A$1:$A$24), FALSE)), ""=4"") + COUNTIF(ARRAYFORMULA(HLOOKUP($B59, IMPORTRANGE('Prelim Rankings Unsorted'!$B$42, CONCAT(VLOOKUP($C59, 'Match Names'!$A$1:$D$22, 4,"&amp;" FALSE), ""!C3:R29"")), ROW($A$1:$A$24), FALSE)), ""=4"") + COUNTIF(ARRAYFORMULA(HLOOKUP($B59, IMPORTRANGE('Match Names'!$E$23, CONCAT(VLOOKUP($C59, 'Match Names'!$1:$22, 5, FALSE), ""!C3:R29"")), ROW($A$1:$A$24), FALSE)), ""=4"") + COUNTIF(ARRAYFORMULA(H"&amp;"LOOKUP($B59, IMPORTRANGE('Match Names'!$F$23, CONCAT(VLOOKUP($C59, 'Match Names'!$1:$22, 6, FALSE), ""!C3:R29"")), ROW($A$1:$A$24), FALSE)), ""=4"") + COUNTIF(ARRAYFORMULA(HLOOKUP($B59, IMPORTRANGE('Match Names'!$G$23, CONCAT(VLOOKUP($C59, 'Match Names'!$"&amp;"1:$22, 7, FALSE), ""!C3:R29"")), ROW($A$1:$A$24), FALSE)), ""=4"") + COUNTIF(ARRAYFORMULA(HLOOKUP($B59, IMPORTRANGE('Match Names'!$H$23, CONCAT(VLOOKUP($C59, 'Match Names'!$1:$22, 8, FALSE), ""!C3:R29"")), ROW($A$1:$A$24), FALSE)), ""=4"")"),13.0)</f>
        <v>13</v>
      </c>
      <c r="F59" s="4">
        <f>IFERROR(__xludf.DUMMYFUNCTION("COUNTIF(ARRAYFORMULA(HLOOKUP($B59, IMPORTRANGE('Prelim Rankings Unsorted'!$B$40, CONCAT(VLOOKUP($C59, 'Match Names'!$A$1:$D$22, 2, FALSE), ""!C3:R29"")), ROW($A$1:$A$24), FALSE)), ""=0"") + COUNTIF(ARRAYFORMULA(HLOOKUP($B59, IMPORTRANGE('Prelim Rankings U"&amp;"nsorted'!$B$41, CONCAT(VLOOKUP($C59, 'Match Names'!$A$1:$D$22, 3, FALSE), ""!C3:R29"")), ROW($A$1:$A$24), FALSE)), ""=0"") + COUNTIF(ARRAYFORMULA(HLOOKUP($B59, IMPORTRANGE('Prelim Rankings Unsorted'!$B$42, CONCAT(VLOOKUP($C59, 'Match Names'!$A$1:$D$22, 4,"&amp;" FALSE), ""!C3:R29"")), ROW($A$1:$A$24), FALSE)), ""=0"") + COUNTIF(ARRAYFORMULA(HLOOKUP($B59, IMPORTRANGE('Match Names'!$E$23, CONCAT(VLOOKUP($C59, 'Match Names'!$1:$22, 5, FALSE), ""!C3:R29"")), ROW($A$1:$A$24), FALSE)), ""=0"") + COUNTIF(ARRAYFORMULA(H"&amp;"LOOKUP($B59, IMPORTRANGE('Match Names'!$F$23, CONCAT(VLOOKUP($C59, 'Match Names'!$1:$22, 6, FALSE), ""!C3:R29"")), ROW($A$1:$A$24), FALSE)), ""=0"") + COUNTIF(ARRAYFORMULA(HLOOKUP($B59, IMPORTRANGE('Match Names'!$G$23, CONCAT(VLOOKUP($C59, 'Match Names'!$"&amp;"1:$22, 7, FALSE), ""!C3:R29"")), ROW($A$1:$A$24), FALSE)), ""=0"") + COUNTIF(ARRAYFORMULA(HLOOKUP($B59, IMPORTRANGE('Match Names'!$H$23, CONCAT(VLOOKUP($C59, 'Match Names'!$1:$22, 8, FALSE), ""!C3:R29"")), ROW($A$1:$A$24), FALSE)), ""=0"")"),4.0)</f>
        <v>4</v>
      </c>
      <c r="G59" s="4">
        <f>IFERROR(__xludf.DUMMYFUNCTION("COUNTIF(ARRAYFORMULA(HLOOKUP($B59, IMPORTRANGE('Prelim Rankings Unsorted'!$B$40, CONCAT(VLOOKUP($C59, 'Match Names'!$A$1:$D$22, 2, FALSE), ""!C3:R29"")), ROW($A$1:$A$24), FALSE)), ""=-4"") + COUNTIF(ARRAYFORMULA(HLOOKUP($B59, IMPORTRANGE('Prelim Rankings "&amp;"Unsorted'!$B$41, CONCAT(VLOOKUP($C59, 'Match Names'!$A$1:$D$22, 3, FALSE), ""!C3:R29"")), ROW($A$1:$A$24), FALSE)), ""=-4"") + COUNTIF(ARRAYFORMULA(HLOOKUP($B59, IMPORTRANGE('Prelim Rankings Unsorted'!$B$42, CONCAT(VLOOKUP($C59, 'Match Names'!$A$1:$D$22, "&amp;"4, FALSE), ""!C3:R29"")), ROW($A$1:$A$24), FALSE)), ""=-4"") + COUNTIF(ARRAYFORMULA(HLOOKUP($B59, IMPORTRANGE('Match Names'!$E$23, CONCAT(VLOOKUP($C59, 'Match Names'!$1:$22, 5, FALSE), ""!C3:R29"")), ROW($A$1:$A$24), FALSE)), ""=-4"") + COUNTIF(ARRAYFORMU"&amp;"LA(HLOOKUP($B59, IMPORTRANGE('Match Names'!$F$23, CONCAT(VLOOKUP($C59, 'Match Names'!$1:$22, 6, FALSE), ""!C3:R29"")), ROW($A$1:$A$24), FALSE)), ""=-4"") + COUNTIF(ARRAYFORMULA(HLOOKUP($B59, IMPORTRANGE('Match Names'!$G$23, CONCAT(VLOOKUP($C59, 'Match Nam"&amp;"es'!$1:$22, 7, FALSE), ""!C3:R29"")), ROW($A$1:$A$24), FALSE)), ""=-4"") + COUNTIF(ARRAYFORMULA(HLOOKUP($B59, IMPORTRANGE('Match Names'!$H$23, CONCAT(VLOOKUP($C59, 'Match Names'!$1:$22, 8, FALSE), ""!C3:R29"")), ROW($A$1:$A$24), FALSE)), ""=-4"")"),1.0)</f>
        <v>1</v>
      </c>
      <c r="H59" s="4">
        <f t="shared" si="1"/>
        <v>12</v>
      </c>
    </row>
    <row r="60">
      <c r="A60" s="21" t="s">
        <v>61</v>
      </c>
      <c r="B60" s="7" t="str">
        <f>VLOOKUP(CONCAT(A60, C60), 'Discord Username to Real Name'!C:D, 2, FALSE)</f>
        <v>chalk#0845</v>
      </c>
      <c r="C60" s="21" t="s">
        <v>19</v>
      </c>
      <c r="D60" s="11">
        <f>IFERROR(__xludf.DUMMYFUNCTION("(23 - COUNTIF(IFERROR(ARRAYFORMULA(HLOOKUP($B60, IMPORTRANGE('Prelim Rankings Unsorted'!$B$40, CONCAT(VLOOKUP($C60, 'Match Names'!$A$1:$D$22, 2, FALSE), ""!C3:R29"")), ROW($A$1:$A$24), FALSE)), $AA$9:$AA$31), ""=X"")) + (23 - COUNTIF(IFERROR(ARRAYFORMULA("&amp;"HLOOKUP($B60, IMPORTRANGE('Prelim Rankings Unsorted'!$B$41, CONCAT(VLOOKUP($C60, 'Match Names'!$A$1:$D$22, 3, FALSE), ""!C3:R29"")), ROW($A$1:$A$24), FALSE)), $AA$9:$AA$31), ""=X"")) + (23 - COUNTIF(IFERROR(ARRAYFORMULA(HLOOKUP($B60, IMPORTRANGE('Prelim R"&amp;"ankings Unsorted'!$B$42, CONCAT(VLOOKUP($C60, 'Match Names'!$A$1:$D$22, 4, FALSE), ""!C3:R29"")), ROW($A$1:$A$24), FALSE)), $AA$9:$AA$31), ""=X"")) + (23 - COUNTIF(IFERROR(ARRAYFORMULA(HLOOKUP($B60, IMPORTRANGE('Match Names'!$E$23, CONCAT(VLOOKUP($C60, 'M"&amp;"atch Names'!$1:$22, 5, FALSE), ""!C3:R29"")), ROW($A$1:$A$24), FALSE)), $AA$9:$AA$31), ""=X"")) + (23 - COUNTIF(IFERROR(ARRAYFORMULA(HLOOKUP($B60, IMPORTRANGE('Match Names'!$F$23, CONCAT(VLOOKUP($C60, 'Match Names'!$1:$22, 6, FALSE), ""!C3:R29"")), ROW($A"&amp;"$1:$A$24), FALSE)), $AA$9:$AA$31), ""=X"")) + (23 - COUNTIF(IFERROR(ARRAYFORMULA(HLOOKUP($B60, IMPORTRANGE('Match Names'!$G$23, CONCAT(VLOOKUP($C60, 'Match Names'!$1:$22, 7, FALSE), ""!C3:R29"")), ROW($A$1:$A$24), FALSE)), $AA$9:$AA$31), ""=X"")) + (23 - "&amp;"COUNTIF(IFERROR(ARRAYFORMULA(HLOOKUP($B60, IMPORTRANGE('Match Names'!$H$23, CONCAT(VLOOKUP($C60, 'Match Names'!$1:$22, 8, FALSE), ""!C3:R29"")), ROW($A$1:$A$24), FALSE)), $AA$9:$AA$31), ""=X""))"),69.0)</f>
        <v>69</v>
      </c>
      <c r="E60" s="4">
        <f>IFERROR(__xludf.DUMMYFUNCTION("COUNTIF(ARRAYFORMULA(HLOOKUP($B60, IMPORTRANGE('Prelim Rankings Unsorted'!$B$40, CONCAT(VLOOKUP($C60, 'Match Names'!$A$1:$D$22, 2, FALSE), ""!C3:R29"")), ROW($A$1:$A$24), FALSE)), ""=4"") + COUNTIF(ARRAYFORMULA(HLOOKUP($B60, IMPORTRANGE('Prelim Rankings U"&amp;"nsorted'!$B$41, CONCAT(VLOOKUP($C60, 'Match Names'!$A$1:$D$22, 3, FALSE), ""!C3:R29"")), ROW($A$1:$A$24), FALSE)), ""=4"") + COUNTIF(ARRAYFORMULA(HLOOKUP($B60, IMPORTRANGE('Prelim Rankings Unsorted'!$B$42, CONCAT(VLOOKUP($C60, 'Match Names'!$A$1:$D$22, 4,"&amp;" FALSE), ""!C3:R29"")), ROW($A$1:$A$24), FALSE)), ""=4"") + COUNTIF(ARRAYFORMULA(HLOOKUP($B60, IMPORTRANGE('Match Names'!$E$23, CONCAT(VLOOKUP($C60, 'Match Names'!$1:$22, 5, FALSE), ""!C3:R29"")), ROW($A$1:$A$24), FALSE)), ""=4"") + COUNTIF(ARRAYFORMULA(H"&amp;"LOOKUP($B60, IMPORTRANGE('Match Names'!$F$23, CONCAT(VLOOKUP($C60, 'Match Names'!$1:$22, 6, FALSE), ""!C3:R29"")), ROW($A$1:$A$24), FALSE)), ""=4"") + COUNTIF(ARRAYFORMULA(HLOOKUP($B60, IMPORTRANGE('Match Names'!$G$23, CONCAT(VLOOKUP($C60, 'Match Names'!$"&amp;"1:$22, 7, FALSE), ""!C3:R29"")), ROW($A$1:$A$24), FALSE)), ""=4"") + COUNTIF(ARRAYFORMULA(HLOOKUP($B60, IMPORTRANGE('Match Names'!$H$23, CONCAT(VLOOKUP($C60, 'Match Names'!$1:$22, 8, FALSE), ""!C3:R29"")), ROW($A$1:$A$24), FALSE)), ""=4"")"),4.0)</f>
        <v>4</v>
      </c>
      <c r="F60" s="4">
        <f>IFERROR(__xludf.DUMMYFUNCTION("COUNTIF(ARRAYFORMULA(HLOOKUP($B60, IMPORTRANGE('Prelim Rankings Unsorted'!$B$40, CONCAT(VLOOKUP($C60, 'Match Names'!$A$1:$D$22, 2, FALSE), ""!C3:R29"")), ROW($A$1:$A$24), FALSE)), ""=0"") + COUNTIF(ARRAYFORMULA(HLOOKUP($B60, IMPORTRANGE('Prelim Rankings U"&amp;"nsorted'!$B$41, CONCAT(VLOOKUP($C60, 'Match Names'!$A$1:$D$22, 3, FALSE), ""!C3:R29"")), ROW($A$1:$A$24), FALSE)), ""=0"") + COUNTIF(ARRAYFORMULA(HLOOKUP($B60, IMPORTRANGE('Prelim Rankings Unsorted'!$B$42, CONCAT(VLOOKUP($C60, 'Match Names'!$A$1:$D$22, 4,"&amp;" FALSE), ""!C3:R29"")), ROW($A$1:$A$24), FALSE)), ""=0"") + COUNTIF(ARRAYFORMULA(HLOOKUP($B60, IMPORTRANGE('Match Names'!$E$23, CONCAT(VLOOKUP($C60, 'Match Names'!$1:$22, 5, FALSE), ""!C3:R29"")), ROW($A$1:$A$24), FALSE)), ""=0"") + COUNTIF(ARRAYFORMULA(H"&amp;"LOOKUP($B60, IMPORTRANGE('Match Names'!$F$23, CONCAT(VLOOKUP($C60, 'Match Names'!$1:$22, 6, FALSE), ""!C3:R29"")), ROW($A$1:$A$24), FALSE)), ""=0"") + COUNTIF(ARRAYFORMULA(HLOOKUP($B60, IMPORTRANGE('Match Names'!$G$23, CONCAT(VLOOKUP($C60, 'Match Names'!$"&amp;"1:$22, 7, FALSE), ""!C3:R29"")), ROW($A$1:$A$24), FALSE)), ""=0"") + COUNTIF(ARRAYFORMULA(HLOOKUP($B60, IMPORTRANGE('Match Names'!$H$23, CONCAT(VLOOKUP($C60, 'Match Names'!$1:$22, 8, FALSE), ""!C3:R29"")), ROW($A$1:$A$24), FALSE)), ""=0"")"),1.0)</f>
        <v>1</v>
      </c>
      <c r="G60" s="4">
        <f>IFERROR(__xludf.DUMMYFUNCTION("COUNTIF(ARRAYFORMULA(HLOOKUP($B60, IMPORTRANGE('Prelim Rankings Unsorted'!$B$40, CONCAT(VLOOKUP($C60, 'Match Names'!$A$1:$D$22, 2, FALSE), ""!C3:R29"")), ROW($A$1:$A$24), FALSE)), ""=-4"") + COUNTIF(ARRAYFORMULA(HLOOKUP($B60, IMPORTRANGE('Prelim Rankings "&amp;"Unsorted'!$B$41, CONCAT(VLOOKUP($C60, 'Match Names'!$A$1:$D$22, 3, FALSE), ""!C3:R29"")), ROW($A$1:$A$24), FALSE)), ""=-4"") + COUNTIF(ARRAYFORMULA(HLOOKUP($B60, IMPORTRANGE('Prelim Rankings Unsorted'!$B$42, CONCAT(VLOOKUP($C60, 'Match Names'!$A$1:$D$22, "&amp;"4, FALSE), ""!C3:R29"")), ROW($A$1:$A$24), FALSE)), ""=-4"") + COUNTIF(ARRAYFORMULA(HLOOKUP($B60, IMPORTRANGE('Match Names'!$E$23, CONCAT(VLOOKUP($C60, 'Match Names'!$1:$22, 5, FALSE), ""!C3:R29"")), ROW($A$1:$A$24), FALSE)), ""=-4"") + COUNTIF(ARRAYFORMU"&amp;"LA(HLOOKUP($B60, IMPORTRANGE('Match Names'!$F$23, CONCAT(VLOOKUP($C60, 'Match Names'!$1:$22, 6, FALSE), ""!C3:R29"")), ROW($A$1:$A$24), FALSE)), ""=-4"") + COUNTIF(ARRAYFORMULA(HLOOKUP($B60, IMPORTRANGE('Match Names'!$G$23, CONCAT(VLOOKUP($C60, 'Match Nam"&amp;"es'!$1:$22, 7, FALSE), ""!C3:R29"")), ROW($A$1:$A$24), FALSE)), ""=-4"") + COUNTIF(ARRAYFORMULA(HLOOKUP($B60, IMPORTRANGE('Match Names'!$H$23, CONCAT(VLOOKUP($C60, 'Match Names'!$1:$22, 8, FALSE), ""!C3:R29"")), ROW($A$1:$A$24), FALSE)), ""=-4"")"),0.0)</f>
        <v>0</v>
      </c>
      <c r="H60" s="4">
        <f t="shared" si="1"/>
        <v>5.33</v>
      </c>
    </row>
    <row r="61">
      <c r="A61" s="21" t="s">
        <v>106</v>
      </c>
      <c r="B61" s="7" t="str">
        <f>VLOOKUP(CONCAT(A61, C61), 'Discord Username to Real Name'!C:D, 2, FALSE)</f>
        <v>banane#7103</v>
      </c>
      <c r="C61" s="21" t="s">
        <v>19</v>
      </c>
      <c r="D61" s="11">
        <f>IFERROR(__xludf.DUMMYFUNCTION("(23 - COUNTIF(IFERROR(ARRAYFORMULA(HLOOKUP($B61, IMPORTRANGE('Prelim Rankings Unsorted'!$B$40, CONCAT(VLOOKUP($C61, 'Match Names'!$A$1:$D$22, 2, FALSE), ""!C3:R29"")), ROW($A$1:$A$24), FALSE)), $AA$9:$AA$31), ""=X"")) + (23 - COUNTIF(IFERROR(ARRAYFORMULA("&amp;"HLOOKUP($B61, IMPORTRANGE('Prelim Rankings Unsorted'!$B$41, CONCAT(VLOOKUP($C61, 'Match Names'!$A$1:$D$22, 3, FALSE), ""!C3:R29"")), ROW($A$1:$A$24), FALSE)), $AA$9:$AA$31), ""=X"")) + (23 - COUNTIF(IFERROR(ARRAYFORMULA(HLOOKUP($B61, IMPORTRANGE('Prelim R"&amp;"ankings Unsorted'!$B$42, CONCAT(VLOOKUP($C61, 'Match Names'!$A$1:$D$22, 4, FALSE), ""!C3:R29"")), ROW($A$1:$A$24), FALSE)), $AA$9:$AA$31), ""=X"")) + (23 - COUNTIF(IFERROR(ARRAYFORMULA(HLOOKUP($B61, IMPORTRANGE('Match Names'!$E$23, CONCAT(VLOOKUP($C61, 'M"&amp;"atch Names'!$1:$22, 5, FALSE), ""!C3:R29"")), ROW($A$1:$A$24), FALSE)), $AA$9:$AA$31), ""=X"")) + (23 - COUNTIF(IFERROR(ARRAYFORMULA(HLOOKUP($B61, IMPORTRANGE('Match Names'!$F$23, CONCAT(VLOOKUP($C61, 'Match Names'!$1:$22, 6, FALSE), ""!C3:R29"")), ROW($A"&amp;"$1:$A$24), FALSE)), $AA$9:$AA$31), ""=X"")) + (23 - COUNTIF(IFERROR(ARRAYFORMULA(HLOOKUP($B61, IMPORTRANGE('Match Names'!$G$23, CONCAT(VLOOKUP($C61, 'Match Names'!$1:$22, 7, FALSE), ""!C3:R29"")), ROW($A$1:$A$24), FALSE)), $AA$9:$AA$31), ""=X"")) + (23 - "&amp;"COUNTIF(IFERROR(ARRAYFORMULA(HLOOKUP($B61, IMPORTRANGE('Match Names'!$H$23, CONCAT(VLOOKUP($C61, 'Match Names'!$1:$22, 8, FALSE), ""!C3:R29"")), ROW($A$1:$A$24), FALSE)), $AA$9:$AA$31), ""=X""))"),80.0)</f>
        <v>80</v>
      </c>
      <c r="E61" s="4">
        <f>IFERROR(__xludf.DUMMYFUNCTION("COUNTIF(ARRAYFORMULA(HLOOKUP($B61, IMPORTRANGE('Prelim Rankings Unsorted'!$B$40, CONCAT(VLOOKUP($C61, 'Match Names'!$A$1:$D$22, 2, FALSE), ""!C3:R29"")), ROW($A$1:$A$24), FALSE)), ""=4"") + COUNTIF(ARRAYFORMULA(HLOOKUP($B61, IMPORTRANGE('Prelim Rankings U"&amp;"nsorted'!$B$41, CONCAT(VLOOKUP($C61, 'Match Names'!$A$1:$D$22, 3, FALSE), ""!C3:R29"")), ROW($A$1:$A$24), FALSE)), ""=4"") + COUNTIF(ARRAYFORMULA(HLOOKUP($B61, IMPORTRANGE('Prelim Rankings Unsorted'!$B$42, CONCAT(VLOOKUP($C61, 'Match Names'!$A$1:$D$22, 4,"&amp;" FALSE), ""!C3:R29"")), ROW($A$1:$A$24), FALSE)), ""=4"") + COUNTIF(ARRAYFORMULA(HLOOKUP($B61, IMPORTRANGE('Match Names'!$E$23, CONCAT(VLOOKUP($C61, 'Match Names'!$1:$22, 5, FALSE), ""!C3:R29"")), ROW($A$1:$A$24), FALSE)), ""=4"") + COUNTIF(ARRAYFORMULA(H"&amp;"LOOKUP($B61, IMPORTRANGE('Match Names'!$F$23, CONCAT(VLOOKUP($C61, 'Match Names'!$1:$22, 6, FALSE), ""!C3:R29"")), ROW($A$1:$A$24), FALSE)), ""=4"") + COUNTIF(ARRAYFORMULA(HLOOKUP($B61, IMPORTRANGE('Match Names'!$G$23, CONCAT(VLOOKUP($C61, 'Match Names'!$"&amp;"1:$22, 7, FALSE), ""!C3:R29"")), ROW($A$1:$A$24), FALSE)), ""=4"") + COUNTIF(ARRAYFORMULA(HLOOKUP($B61, IMPORTRANGE('Match Names'!$H$23, CONCAT(VLOOKUP($C61, 'Match Names'!$1:$22, 8, FALSE), ""!C3:R29"")), ROW($A$1:$A$24), FALSE)), ""=4"")"),7.0)</f>
        <v>7</v>
      </c>
      <c r="F61" s="4">
        <f>IFERROR(__xludf.DUMMYFUNCTION("COUNTIF(ARRAYFORMULA(HLOOKUP($B61, IMPORTRANGE('Prelim Rankings Unsorted'!$B$40, CONCAT(VLOOKUP($C61, 'Match Names'!$A$1:$D$22, 2, FALSE), ""!C3:R29"")), ROW($A$1:$A$24), FALSE)), ""=0"") + COUNTIF(ARRAYFORMULA(HLOOKUP($B61, IMPORTRANGE('Prelim Rankings U"&amp;"nsorted'!$B$41, CONCAT(VLOOKUP($C61, 'Match Names'!$A$1:$D$22, 3, FALSE), ""!C3:R29"")), ROW($A$1:$A$24), FALSE)), ""=0"") + COUNTIF(ARRAYFORMULA(HLOOKUP($B61, IMPORTRANGE('Prelim Rankings Unsorted'!$B$42, CONCAT(VLOOKUP($C61, 'Match Names'!$A$1:$D$22, 4,"&amp;" FALSE), ""!C3:R29"")), ROW($A$1:$A$24), FALSE)), ""=0"") + COUNTIF(ARRAYFORMULA(HLOOKUP($B61, IMPORTRANGE('Match Names'!$E$23, CONCAT(VLOOKUP($C61, 'Match Names'!$1:$22, 5, FALSE), ""!C3:R29"")), ROW($A$1:$A$24), FALSE)), ""=0"") + COUNTIF(ARRAYFORMULA(H"&amp;"LOOKUP($B61, IMPORTRANGE('Match Names'!$F$23, CONCAT(VLOOKUP($C61, 'Match Names'!$1:$22, 6, FALSE), ""!C3:R29"")), ROW($A$1:$A$24), FALSE)), ""=0"") + COUNTIF(ARRAYFORMULA(HLOOKUP($B61, IMPORTRANGE('Match Names'!$G$23, CONCAT(VLOOKUP($C61, 'Match Names'!$"&amp;"1:$22, 7, FALSE), ""!C3:R29"")), ROW($A$1:$A$24), FALSE)), ""=0"") + COUNTIF(ARRAYFORMULA(HLOOKUP($B61, IMPORTRANGE('Match Names'!$H$23, CONCAT(VLOOKUP($C61, 'Match Names'!$1:$22, 8, FALSE), ""!C3:R29"")), ROW($A$1:$A$24), FALSE)), ""=0"")"),2.0)</f>
        <v>2</v>
      </c>
      <c r="G61" s="4">
        <f>IFERROR(__xludf.DUMMYFUNCTION("COUNTIF(ARRAYFORMULA(HLOOKUP($B61, IMPORTRANGE('Prelim Rankings Unsorted'!$B$40, CONCAT(VLOOKUP($C61, 'Match Names'!$A$1:$D$22, 2, FALSE), ""!C3:R29"")), ROW($A$1:$A$24), FALSE)), ""=-4"") + COUNTIF(ARRAYFORMULA(HLOOKUP($B61, IMPORTRANGE('Prelim Rankings "&amp;"Unsorted'!$B$41, CONCAT(VLOOKUP($C61, 'Match Names'!$A$1:$D$22, 3, FALSE), ""!C3:R29"")), ROW($A$1:$A$24), FALSE)), ""=-4"") + COUNTIF(ARRAYFORMULA(HLOOKUP($B61, IMPORTRANGE('Prelim Rankings Unsorted'!$B$42, CONCAT(VLOOKUP($C61, 'Match Names'!$A$1:$D$22, "&amp;"4, FALSE), ""!C3:R29"")), ROW($A$1:$A$24), FALSE)), ""=-4"") + COUNTIF(ARRAYFORMULA(HLOOKUP($B61, IMPORTRANGE('Match Names'!$E$23, CONCAT(VLOOKUP($C61, 'Match Names'!$1:$22, 5, FALSE), ""!C3:R29"")), ROW($A$1:$A$24), FALSE)), ""=-4"") + COUNTIF(ARRAYFORMU"&amp;"LA(HLOOKUP($B61, IMPORTRANGE('Match Names'!$F$23, CONCAT(VLOOKUP($C61, 'Match Names'!$1:$22, 6, FALSE), ""!C3:R29"")), ROW($A$1:$A$24), FALSE)), ""=-4"") + COUNTIF(ARRAYFORMULA(HLOOKUP($B61, IMPORTRANGE('Match Names'!$G$23, CONCAT(VLOOKUP($C61, 'Match Nam"&amp;"es'!$1:$22, 7, FALSE), ""!C3:R29"")), ROW($A$1:$A$24), FALSE)), ""=-4"") + COUNTIF(ARRAYFORMULA(HLOOKUP($B61, IMPORTRANGE('Match Names'!$H$23, CONCAT(VLOOKUP($C61, 'Match Names'!$1:$22, 8, FALSE), ""!C3:R29"")), ROW($A$1:$A$24), FALSE)), ""=-4"")"),0.0)</f>
        <v>0</v>
      </c>
      <c r="H61" s="4">
        <f t="shared" si="1"/>
        <v>8.05</v>
      </c>
    </row>
    <row r="62">
      <c r="A62" s="21" t="s">
        <v>65</v>
      </c>
      <c r="B62" s="7" t="str">
        <f>VLOOKUP(CONCAT(A62, C62), 'Discord Username to Real Name'!C:D, 2, FALSE)</f>
        <v>Sahas#5704</v>
      </c>
      <c r="C62" s="21" t="s">
        <v>19</v>
      </c>
      <c r="D62" s="11">
        <f>IFERROR(__xludf.DUMMYFUNCTION("(23 - COUNTIF(IFERROR(ARRAYFORMULA(HLOOKUP($B62, IMPORTRANGE('Prelim Rankings Unsorted'!$B$40, CONCAT(VLOOKUP($C62, 'Match Names'!$A$1:$D$22, 2, FALSE), ""!C3:R29"")), ROW($A$1:$A$24), FALSE)), $AA$9:$AA$31), ""=X"")) + (23 - COUNTIF(IFERROR(ARRAYFORMULA("&amp;"HLOOKUP($B62, IMPORTRANGE('Prelim Rankings Unsorted'!$B$41, CONCAT(VLOOKUP($C62, 'Match Names'!$A$1:$D$22, 3, FALSE), ""!C3:R29"")), ROW($A$1:$A$24), FALSE)), $AA$9:$AA$31), ""=X"")) + (23 - COUNTIF(IFERROR(ARRAYFORMULA(HLOOKUP($B62, IMPORTRANGE('Prelim R"&amp;"ankings Unsorted'!$B$42, CONCAT(VLOOKUP($C62, 'Match Names'!$A$1:$D$22, 4, FALSE), ""!C3:R29"")), ROW($A$1:$A$24), FALSE)), $AA$9:$AA$31), ""=X"")) + (23 - COUNTIF(IFERROR(ARRAYFORMULA(HLOOKUP($B62, IMPORTRANGE('Match Names'!$E$23, CONCAT(VLOOKUP($C62, 'M"&amp;"atch Names'!$1:$22, 5, FALSE), ""!C3:R29"")), ROW($A$1:$A$24), FALSE)), $AA$9:$AA$31), ""=X"")) + (23 - COUNTIF(IFERROR(ARRAYFORMULA(HLOOKUP($B62, IMPORTRANGE('Match Names'!$F$23, CONCAT(VLOOKUP($C62, 'Match Names'!$1:$22, 6, FALSE), ""!C3:R29"")), ROW($A"&amp;"$1:$A$24), FALSE)), $AA$9:$AA$31), ""=X"")) + (23 - COUNTIF(IFERROR(ARRAYFORMULA(HLOOKUP($B62, IMPORTRANGE('Match Names'!$G$23, CONCAT(VLOOKUP($C62, 'Match Names'!$1:$22, 7, FALSE), ""!C3:R29"")), ROW($A$1:$A$24), FALSE)), $AA$9:$AA$31), ""=X"")) + (23 - "&amp;"COUNTIF(IFERROR(ARRAYFORMULA(HLOOKUP($B62, IMPORTRANGE('Match Names'!$H$23, CONCAT(VLOOKUP($C62, 'Match Names'!$1:$22, 8, FALSE), ""!C3:R29"")), ROW($A$1:$A$24), FALSE)), $AA$9:$AA$31), ""=X""))"),92.0)</f>
        <v>92</v>
      </c>
      <c r="E62" s="4">
        <f>IFERROR(__xludf.DUMMYFUNCTION("COUNTIF(ARRAYFORMULA(HLOOKUP($B62, IMPORTRANGE('Prelim Rankings Unsorted'!$B$40, CONCAT(VLOOKUP($C62, 'Match Names'!$A$1:$D$22, 2, FALSE), ""!C3:R29"")), ROW($A$1:$A$24), FALSE)), ""=4"") + COUNTIF(ARRAYFORMULA(HLOOKUP($B62, IMPORTRANGE('Prelim Rankings U"&amp;"nsorted'!$B$41, CONCAT(VLOOKUP($C62, 'Match Names'!$A$1:$D$22, 3, FALSE), ""!C3:R29"")), ROW($A$1:$A$24), FALSE)), ""=4"") + COUNTIF(ARRAYFORMULA(HLOOKUP($B62, IMPORTRANGE('Prelim Rankings Unsorted'!$B$42, CONCAT(VLOOKUP($C62, 'Match Names'!$A$1:$D$22, 4,"&amp;" FALSE), ""!C3:R29"")), ROW($A$1:$A$24), FALSE)), ""=4"") + COUNTIF(ARRAYFORMULA(HLOOKUP($B62, IMPORTRANGE('Match Names'!$E$23, CONCAT(VLOOKUP($C62, 'Match Names'!$1:$22, 5, FALSE), ""!C3:R29"")), ROW($A$1:$A$24), FALSE)), ""=4"") + COUNTIF(ARRAYFORMULA(H"&amp;"LOOKUP($B62, IMPORTRANGE('Match Names'!$F$23, CONCAT(VLOOKUP($C62, 'Match Names'!$1:$22, 6, FALSE), ""!C3:R29"")), ROW($A$1:$A$24), FALSE)), ""=4"") + COUNTIF(ARRAYFORMULA(HLOOKUP($B62, IMPORTRANGE('Match Names'!$G$23, CONCAT(VLOOKUP($C62, 'Match Names'!$"&amp;"1:$22, 7, FALSE), ""!C3:R29"")), ROW($A$1:$A$24), FALSE)), ""=4"") + COUNTIF(ARRAYFORMULA(HLOOKUP($B62, IMPORTRANGE('Match Names'!$H$23, CONCAT(VLOOKUP($C62, 'Match Names'!$1:$22, 8, FALSE), ""!C3:R29"")), ROW($A$1:$A$24), FALSE)), ""=4"")"),12.0)</f>
        <v>12</v>
      </c>
      <c r="F62" s="4">
        <f>IFERROR(__xludf.DUMMYFUNCTION("COUNTIF(ARRAYFORMULA(HLOOKUP($B62, IMPORTRANGE('Prelim Rankings Unsorted'!$B$40, CONCAT(VLOOKUP($C62, 'Match Names'!$A$1:$D$22, 2, FALSE), ""!C3:R29"")), ROW($A$1:$A$24), FALSE)), ""=0"") + COUNTIF(ARRAYFORMULA(HLOOKUP($B62, IMPORTRANGE('Prelim Rankings U"&amp;"nsorted'!$B$41, CONCAT(VLOOKUP($C62, 'Match Names'!$A$1:$D$22, 3, FALSE), ""!C3:R29"")), ROW($A$1:$A$24), FALSE)), ""=0"") + COUNTIF(ARRAYFORMULA(HLOOKUP($B62, IMPORTRANGE('Prelim Rankings Unsorted'!$B$42, CONCAT(VLOOKUP($C62, 'Match Names'!$A$1:$D$22, 4,"&amp;" FALSE), ""!C3:R29"")), ROW($A$1:$A$24), FALSE)), ""=0"") + COUNTIF(ARRAYFORMULA(HLOOKUP($B62, IMPORTRANGE('Match Names'!$E$23, CONCAT(VLOOKUP($C62, 'Match Names'!$1:$22, 5, FALSE), ""!C3:R29"")), ROW($A$1:$A$24), FALSE)), ""=0"") + COUNTIF(ARRAYFORMULA(H"&amp;"LOOKUP($B62, IMPORTRANGE('Match Names'!$F$23, CONCAT(VLOOKUP($C62, 'Match Names'!$1:$22, 6, FALSE), ""!C3:R29"")), ROW($A$1:$A$24), FALSE)), ""=0"") + COUNTIF(ARRAYFORMULA(HLOOKUP($B62, IMPORTRANGE('Match Names'!$G$23, CONCAT(VLOOKUP($C62, 'Match Names'!$"&amp;"1:$22, 7, FALSE), ""!C3:R29"")), ROW($A$1:$A$24), FALSE)), ""=0"") + COUNTIF(ARRAYFORMULA(HLOOKUP($B62, IMPORTRANGE('Match Names'!$H$23, CONCAT(VLOOKUP($C62, 'Match Names'!$1:$22, 8, FALSE), ""!C3:R29"")), ROW($A$1:$A$24), FALSE)), ""=0"")"),1.0)</f>
        <v>1</v>
      </c>
      <c r="G62" s="4">
        <f>IFERROR(__xludf.DUMMYFUNCTION("COUNTIF(ARRAYFORMULA(HLOOKUP($B62, IMPORTRANGE('Prelim Rankings Unsorted'!$B$40, CONCAT(VLOOKUP($C62, 'Match Names'!$A$1:$D$22, 2, FALSE), ""!C3:R29"")), ROW($A$1:$A$24), FALSE)), ""=-4"") + COUNTIF(ARRAYFORMULA(HLOOKUP($B62, IMPORTRANGE('Prelim Rankings "&amp;"Unsorted'!$B$41, CONCAT(VLOOKUP($C62, 'Match Names'!$A$1:$D$22, 3, FALSE), ""!C3:R29"")), ROW($A$1:$A$24), FALSE)), ""=-4"") + COUNTIF(ARRAYFORMULA(HLOOKUP($B62, IMPORTRANGE('Prelim Rankings Unsorted'!$B$42, CONCAT(VLOOKUP($C62, 'Match Names'!$A$1:$D$22, "&amp;"4, FALSE), ""!C3:R29"")), ROW($A$1:$A$24), FALSE)), ""=-4"") + COUNTIF(ARRAYFORMULA(HLOOKUP($B62, IMPORTRANGE('Match Names'!$E$23, CONCAT(VLOOKUP($C62, 'Match Names'!$1:$22, 5, FALSE), ""!C3:R29"")), ROW($A$1:$A$24), FALSE)), ""=-4"") + COUNTIF(ARRAYFORMU"&amp;"LA(HLOOKUP($B62, IMPORTRANGE('Match Names'!$F$23, CONCAT(VLOOKUP($C62, 'Match Names'!$1:$22, 6, FALSE), ""!C3:R29"")), ROW($A$1:$A$24), FALSE)), ""=-4"") + COUNTIF(ARRAYFORMULA(HLOOKUP($B62, IMPORTRANGE('Match Names'!$G$23, CONCAT(VLOOKUP($C62, 'Match Nam"&amp;"es'!$1:$22, 7, FALSE), ""!C3:R29"")), ROW($A$1:$A$24), FALSE)), ""=-4"") + COUNTIF(ARRAYFORMULA(HLOOKUP($B62, IMPORTRANGE('Match Names'!$H$23, CONCAT(VLOOKUP($C62, 'Match Names'!$1:$22, 8, FALSE), ""!C3:R29"")), ROW($A$1:$A$24), FALSE)), ""=-4"")"),4.0)</f>
        <v>4</v>
      </c>
      <c r="H62" s="4">
        <f t="shared" si="1"/>
        <v>8</v>
      </c>
    </row>
    <row r="63">
      <c r="A63" s="21" t="s">
        <v>134</v>
      </c>
      <c r="B63" s="7" t="str">
        <f>VLOOKUP(CONCAT(A63, C63), 'Discord Username to Real Name'!C:D, 2, FALSE)</f>
        <v>Jeffrey Li#1694</v>
      </c>
      <c r="C63" s="21" t="s">
        <v>22</v>
      </c>
      <c r="D63" s="11">
        <f>IFERROR(__xludf.DUMMYFUNCTION("(23 - COUNTIF(IFERROR(ARRAYFORMULA(HLOOKUP($B63, IMPORTRANGE('Prelim Rankings Unsorted'!$B$40, CONCAT(VLOOKUP($C63, 'Match Names'!$A$1:$D$22, 2, FALSE), ""!C3:R29"")), ROW($A$1:$A$24), FALSE)), $AA$9:$AA$31), ""=X"")) + (23 - COUNTIF(IFERROR(ARRAYFORMULA("&amp;"HLOOKUP($B63, IMPORTRANGE('Prelim Rankings Unsorted'!$B$41, CONCAT(VLOOKUP($C63, 'Match Names'!$A$1:$D$22, 3, FALSE), ""!C3:R29"")), ROW($A$1:$A$24), FALSE)), $AA$9:$AA$31), ""=X"")) + (23 - COUNTIF(IFERROR(ARRAYFORMULA(HLOOKUP($B63, IMPORTRANGE('Prelim R"&amp;"ankings Unsorted'!$B$42, CONCAT(VLOOKUP($C63, 'Match Names'!$A$1:$D$22, 4, FALSE), ""!C3:R29"")), ROW($A$1:$A$24), FALSE)), $AA$9:$AA$31), ""=X"")) + (23 - COUNTIF(IFERROR(ARRAYFORMULA(HLOOKUP($B63, IMPORTRANGE('Match Names'!$E$23, CONCAT(VLOOKUP($C63, 'M"&amp;"atch Names'!$1:$22, 5, FALSE), ""!C3:R29"")), ROW($A$1:$A$24), FALSE)), $AA$9:$AA$31), ""=X"")) + (23 - COUNTIF(IFERROR(ARRAYFORMULA(HLOOKUP($B63, IMPORTRANGE('Match Names'!$F$23, CONCAT(VLOOKUP($C63, 'Match Names'!$1:$22, 6, FALSE), ""!C3:R29"")), ROW($A"&amp;"$1:$A$24), FALSE)), $AA$9:$AA$31), ""=X"")) + (23 - COUNTIF(IFERROR(ARRAYFORMULA(HLOOKUP($B63, IMPORTRANGE('Match Names'!$G$23, CONCAT(VLOOKUP($C63, 'Match Names'!$1:$22, 7, FALSE), ""!C3:R29"")), ROW($A$1:$A$24), FALSE)), $AA$9:$AA$31), ""=X"")) + (23 - "&amp;"COUNTIF(IFERROR(ARRAYFORMULA(HLOOKUP($B63, IMPORTRANGE('Match Names'!$H$23, CONCAT(VLOOKUP($C63, 'Match Names'!$1:$22, 8, FALSE), ""!C3:R29"")), ROW($A$1:$A$24), FALSE)), $AA$9:$AA$31), ""=X""))"),127.0)</f>
        <v>127</v>
      </c>
      <c r="E63" s="4">
        <f>IFERROR(__xludf.DUMMYFUNCTION("COUNTIF(ARRAYFORMULA(HLOOKUP($B63, IMPORTRANGE('Prelim Rankings Unsorted'!$B$40, CONCAT(VLOOKUP($C63, 'Match Names'!$A$1:$D$22, 2, FALSE), ""!C3:R29"")), ROW($A$1:$A$24), FALSE)), ""=4"") + COUNTIF(ARRAYFORMULA(HLOOKUP($B63, IMPORTRANGE('Prelim Rankings U"&amp;"nsorted'!$B$41, CONCAT(VLOOKUP($C63, 'Match Names'!$A$1:$D$22, 3, FALSE), ""!C3:R29"")), ROW($A$1:$A$24), FALSE)), ""=4"") + COUNTIF(ARRAYFORMULA(HLOOKUP($B63, IMPORTRANGE('Prelim Rankings Unsorted'!$B$42, CONCAT(VLOOKUP($C63, 'Match Names'!$A$1:$D$22, 4,"&amp;" FALSE), ""!C3:R29"")), ROW($A$1:$A$24), FALSE)), ""=4"") + COUNTIF(ARRAYFORMULA(HLOOKUP($B63, IMPORTRANGE('Match Names'!$E$23, CONCAT(VLOOKUP($C63, 'Match Names'!$1:$22, 5, FALSE), ""!C3:R29"")), ROW($A$1:$A$24), FALSE)), ""=4"") + COUNTIF(ARRAYFORMULA(H"&amp;"LOOKUP($B63, IMPORTRANGE('Match Names'!$F$23, CONCAT(VLOOKUP($C63, 'Match Names'!$1:$22, 6, FALSE), ""!C3:R29"")), ROW($A$1:$A$24), FALSE)), ""=4"") + COUNTIF(ARRAYFORMULA(HLOOKUP($B63, IMPORTRANGE('Match Names'!$G$23, CONCAT(VLOOKUP($C63, 'Match Names'!$"&amp;"1:$22, 7, FALSE), ""!C3:R29"")), ROW($A$1:$A$24), FALSE)), ""=4"") + COUNTIF(ARRAYFORMULA(HLOOKUP($B63, IMPORTRANGE('Match Names'!$H$23, CONCAT(VLOOKUP($C63, 'Match Names'!$1:$22, 8, FALSE), ""!C3:R29"")), ROW($A$1:$A$24), FALSE)), ""=4"")"),4.0)</f>
        <v>4</v>
      </c>
      <c r="F63" s="4">
        <f>IFERROR(__xludf.DUMMYFUNCTION("COUNTIF(ARRAYFORMULA(HLOOKUP($B63, IMPORTRANGE('Prelim Rankings Unsorted'!$B$40, CONCAT(VLOOKUP($C63, 'Match Names'!$A$1:$D$22, 2, FALSE), ""!C3:R29"")), ROW($A$1:$A$24), FALSE)), ""=0"") + COUNTIF(ARRAYFORMULA(HLOOKUP($B63, IMPORTRANGE('Prelim Rankings U"&amp;"nsorted'!$B$41, CONCAT(VLOOKUP($C63, 'Match Names'!$A$1:$D$22, 3, FALSE), ""!C3:R29"")), ROW($A$1:$A$24), FALSE)), ""=0"") + COUNTIF(ARRAYFORMULA(HLOOKUP($B63, IMPORTRANGE('Prelim Rankings Unsorted'!$B$42, CONCAT(VLOOKUP($C63, 'Match Names'!$A$1:$D$22, 4,"&amp;" FALSE), ""!C3:R29"")), ROW($A$1:$A$24), FALSE)), ""=0"") + COUNTIF(ARRAYFORMULA(HLOOKUP($B63, IMPORTRANGE('Match Names'!$E$23, CONCAT(VLOOKUP($C63, 'Match Names'!$1:$22, 5, FALSE), ""!C3:R29"")), ROW($A$1:$A$24), FALSE)), ""=0"") + COUNTIF(ARRAYFORMULA(H"&amp;"LOOKUP($B63, IMPORTRANGE('Match Names'!$F$23, CONCAT(VLOOKUP($C63, 'Match Names'!$1:$22, 6, FALSE), ""!C3:R29"")), ROW($A$1:$A$24), FALSE)), ""=0"") + COUNTIF(ARRAYFORMULA(HLOOKUP($B63, IMPORTRANGE('Match Names'!$G$23, CONCAT(VLOOKUP($C63, 'Match Names'!$"&amp;"1:$22, 7, FALSE), ""!C3:R29"")), ROW($A$1:$A$24), FALSE)), ""=0"") + COUNTIF(ARRAYFORMULA(HLOOKUP($B63, IMPORTRANGE('Match Names'!$H$23, CONCAT(VLOOKUP($C63, 'Match Names'!$1:$22, 8, FALSE), ""!C3:R29"")), ROW($A$1:$A$24), FALSE)), ""=0"")"),5.0)</f>
        <v>5</v>
      </c>
      <c r="G63" s="4">
        <f>IFERROR(__xludf.DUMMYFUNCTION("COUNTIF(ARRAYFORMULA(HLOOKUP($B63, IMPORTRANGE('Prelim Rankings Unsorted'!$B$40, CONCAT(VLOOKUP($C63, 'Match Names'!$A$1:$D$22, 2, FALSE), ""!C3:R29"")), ROW($A$1:$A$24), FALSE)), ""=-4"") + COUNTIF(ARRAYFORMULA(HLOOKUP($B63, IMPORTRANGE('Prelim Rankings "&amp;"Unsorted'!$B$41, CONCAT(VLOOKUP($C63, 'Match Names'!$A$1:$D$22, 3, FALSE), ""!C3:R29"")), ROW($A$1:$A$24), FALSE)), ""=-4"") + COUNTIF(ARRAYFORMULA(HLOOKUP($B63, IMPORTRANGE('Prelim Rankings Unsorted'!$B$42, CONCAT(VLOOKUP($C63, 'Match Names'!$A$1:$D$22, "&amp;"4, FALSE), ""!C3:R29"")), ROW($A$1:$A$24), FALSE)), ""=-4"") + COUNTIF(ARRAYFORMULA(HLOOKUP($B63, IMPORTRANGE('Match Names'!$E$23, CONCAT(VLOOKUP($C63, 'Match Names'!$1:$22, 5, FALSE), ""!C3:R29"")), ROW($A$1:$A$24), FALSE)), ""=-4"") + COUNTIF(ARRAYFORMU"&amp;"LA(HLOOKUP($B63, IMPORTRANGE('Match Names'!$F$23, CONCAT(VLOOKUP($C63, 'Match Names'!$1:$22, 6, FALSE), ""!C3:R29"")), ROW($A$1:$A$24), FALSE)), ""=-4"") + COUNTIF(ARRAYFORMULA(HLOOKUP($B63, IMPORTRANGE('Match Names'!$G$23, CONCAT(VLOOKUP($C63, 'Match Nam"&amp;"es'!$1:$22, 7, FALSE), ""!C3:R29"")), ROW($A$1:$A$24), FALSE)), ""=-4"") + COUNTIF(ARRAYFORMULA(HLOOKUP($B63, IMPORTRANGE('Match Names'!$H$23, CONCAT(VLOOKUP($C63, 'Match Names'!$1:$22, 8, FALSE), ""!C3:R29"")), ROW($A$1:$A$24), FALSE)), ""=-4"")"),0.0)</f>
        <v>0</v>
      </c>
      <c r="H63" s="4">
        <f t="shared" si="1"/>
        <v>2.9</v>
      </c>
    </row>
    <row r="64">
      <c r="A64" s="21" t="s">
        <v>13</v>
      </c>
      <c r="B64" s="7" t="str">
        <f>VLOOKUP(CONCAT(A64, C64), 'Discord Username to Real Name'!C:D, 2, FALSE)</f>
        <v>danliu488#6963</v>
      </c>
      <c r="C64" s="21" t="s">
        <v>22</v>
      </c>
      <c r="D64" s="11">
        <f>IFERROR(__xludf.DUMMYFUNCTION("(23 - COUNTIF(IFERROR(ARRAYFORMULA(HLOOKUP($B64, IMPORTRANGE('Prelim Rankings Unsorted'!$B$40, CONCAT(VLOOKUP($C64, 'Match Names'!$A$1:$D$22, 2, FALSE), ""!C3:R29"")), ROW($A$1:$A$24), FALSE)), $AA$9:$AA$31), ""=X"")) + (23 - COUNTIF(IFERROR(ARRAYFORMULA("&amp;"HLOOKUP($B64, IMPORTRANGE('Prelim Rankings Unsorted'!$B$41, CONCAT(VLOOKUP($C64, 'Match Names'!$A$1:$D$22, 3, FALSE), ""!C3:R29"")), ROW($A$1:$A$24), FALSE)), $AA$9:$AA$31), ""=X"")) + (23 - COUNTIF(IFERROR(ARRAYFORMULA(HLOOKUP($B64, IMPORTRANGE('Prelim R"&amp;"ankings Unsorted'!$B$42, CONCAT(VLOOKUP($C64, 'Match Names'!$A$1:$D$22, 4, FALSE), ""!C3:R29"")), ROW($A$1:$A$24), FALSE)), $AA$9:$AA$31), ""=X"")) + (23 - COUNTIF(IFERROR(ARRAYFORMULA(HLOOKUP($B64, IMPORTRANGE('Match Names'!$E$23, CONCAT(VLOOKUP($C64, 'M"&amp;"atch Names'!$1:$22, 5, FALSE), ""!C3:R29"")), ROW($A$1:$A$24), FALSE)), $AA$9:$AA$31), ""=X"")) + (23 - COUNTIF(IFERROR(ARRAYFORMULA(HLOOKUP($B64, IMPORTRANGE('Match Names'!$F$23, CONCAT(VLOOKUP($C64, 'Match Names'!$1:$22, 6, FALSE), ""!C3:R29"")), ROW($A"&amp;"$1:$A$24), FALSE)), $AA$9:$AA$31), ""=X"")) + (23 - COUNTIF(IFERROR(ARRAYFORMULA(HLOOKUP($B64, IMPORTRANGE('Match Names'!$G$23, CONCAT(VLOOKUP($C64, 'Match Names'!$1:$22, 7, FALSE), ""!C3:R29"")), ROW($A$1:$A$24), FALSE)), $AA$9:$AA$31), ""=X"")) + (23 - "&amp;"COUNTIF(IFERROR(ARRAYFORMULA(HLOOKUP($B64, IMPORTRANGE('Match Names'!$H$23, CONCAT(VLOOKUP($C64, 'Match Names'!$1:$22, 8, FALSE), ""!C3:R29"")), ROW($A$1:$A$24), FALSE)), $AA$9:$AA$31), ""=X""))"),138.0)</f>
        <v>138</v>
      </c>
      <c r="E64" s="4">
        <f>IFERROR(__xludf.DUMMYFUNCTION("COUNTIF(ARRAYFORMULA(HLOOKUP($B64, IMPORTRANGE('Prelim Rankings Unsorted'!$B$40, CONCAT(VLOOKUP($C64, 'Match Names'!$A$1:$D$22, 2, FALSE), ""!C3:R29"")), ROW($A$1:$A$24), FALSE)), ""=4"") + COUNTIF(ARRAYFORMULA(HLOOKUP($B64, IMPORTRANGE('Prelim Rankings U"&amp;"nsorted'!$B$41, CONCAT(VLOOKUP($C64, 'Match Names'!$A$1:$D$22, 3, FALSE), ""!C3:R29"")), ROW($A$1:$A$24), FALSE)), ""=4"") + COUNTIF(ARRAYFORMULA(HLOOKUP($B64, IMPORTRANGE('Prelim Rankings Unsorted'!$B$42, CONCAT(VLOOKUP($C64, 'Match Names'!$A$1:$D$22, 4,"&amp;" FALSE), ""!C3:R29"")), ROW($A$1:$A$24), FALSE)), ""=4"") + COUNTIF(ARRAYFORMULA(HLOOKUP($B64, IMPORTRANGE('Match Names'!$E$23, CONCAT(VLOOKUP($C64, 'Match Names'!$1:$22, 5, FALSE), ""!C3:R29"")), ROW($A$1:$A$24), FALSE)), ""=4"") + COUNTIF(ARRAYFORMULA(H"&amp;"LOOKUP($B64, IMPORTRANGE('Match Names'!$F$23, CONCAT(VLOOKUP($C64, 'Match Names'!$1:$22, 6, FALSE), ""!C3:R29"")), ROW($A$1:$A$24), FALSE)), ""=4"") + COUNTIF(ARRAYFORMULA(HLOOKUP($B64, IMPORTRANGE('Match Names'!$G$23, CONCAT(VLOOKUP($C64, 'Match Names'!$"&amp;"1:$22, 7, FALSE), ""!C3:R29"")), ROW($A$1:$A$24), FALSE)), ""=4"") + COUNTIF(ARRAYFORMULA(HLOOKUP($B64, IMPORTRANGE('Match Names'!$H$23, CONCAT(VLOOKUP($C64, 'Match Names'!$1:$22, 8, FALSE), ""!C3:R29"")), ROW($A$1:$A$24), FALSE)), ""=4"")"),16.0)</f>
        <v>16</v>
      </c>
      <c r="F64" s="4">
        <f>IFERROR(__xludf.DUMMYFUNCTION("COUNTIF(ARRAYFORMULA(HLOOKUP($B64, IMPORTRANGE('Prelim Rankings Unsorted'!$B$40, CONCAT(VLOOKUP($C64, 'Match Names'!$A$1:$D$22, 2, FALSE), ""!C3:R29"")), ROW($A$1:$A$24), FALSE)), ""=0"") + COUNTIF(ARRAYFORMULA(HLOOKUP($B64, IMPORTRANGE('Prelim Rankings U"&amp;"nsorted'!$B$41, CONCAT(VLOOKUP($C64, 'Match Names'!$A$1:$D$22, 3, FALSE), ""!C3:R29"")), ROW($A$1:$A$24), FALSE)), ""=0"") + COUNTIF(ARRAYFORMULA(HLOOKUP($B64, IMPORTRANGE('Prelim Rankings Unsorted'!$B$42, CONCAT(VLOOKUP($C64, 'Match Names'!$A$1:$D$22, 4,"&amp;" FALSE), ""!C3:R29"")), ROW($A$1:$A$24), FALSE)), ""=0"") + COUNTIF(ARRAYFORMULA(HLOOKUP($B64, IMPORTRANGE('Match Names'!$E$23, CONCAT(VLOOKUP($C64, 'Match Names'!$1:$22, 5, FALSE), ""!C3:R29"")), ROW($A$1:$A$24), FALSE)), ""=0"") + COUNTIF(ARRAYFORMULA(H"&amp;"LOOKUP($B64, IMPORTRANGE('Match Names'!$F$23, CONCAT(VLOOKUP($C64, 'Match Names'!$1:$22, 6, FALSE), ""!C3:R29"")), ROW($A$1:$A$24), FALSE)), ""=0"") + COUNTIF(ARRAYFORMULA(HLOOKUP($B64, IMPORTRANGE('Match Names'!$G$23, CONCAT(VLOOKUP($C64, 'Match Names'!$"&amp;"1:$22, 7, FALSE), ""!C3:R29"")), ROW($A$1:$A$24), FALSE)), ""=0"") + COUNTIF(ARRAYFORMULA(HLOOKUP($B64, IMPORTRANGE('Match Names'!$H$23, CONCAT(VLOOKUP($C64, 'Match Names'!$1:$22, 8, FALSE), ""!C3:R29"")), ROW($A$1:$A$24), FALSE)), ""=0"")"),3.0)</f>
        <v>3</v>
      </c>
      <c r="G64" s="4">
        <f>IFERROR(__xludf.DUMMYFUNCTION("COUNTIF(ARRAYFORMULA(HLOOKUP($B64, IMPORTRANGE('Prelim Rankings Unsorted'!$B$40, CONCAT(VLOOKUP($C64, 'Match Names'!$A$1:$D$22, 2, FALSE), ""!C3:R29"")), ROW($A$1:$A$24), FALSE)), ""=-4"") + COUNTIF(ARRAYFORMULA(HLOOKUP($B64, IMPORTRANGE('Prelim Rankings "&amp;"Unsorted'!$B$41, CONCAT(VLOOKUP($C64, 'Match Names'!$A$1:$D$22, 3, FALSE), ""!C3:R29"")), ROW($A$1:$A$24), FALSE)), ""=-4"") + COUNTIF(ARRAYFORMULA(HLOOKUP($B64, IMPORTRANGE('Prelim Rankings Unsorted'!$B$42, CONCAT(VLOOKUP($C64, 'Match Names'!$A$1:$D$22, "&amp;"4, FALSE), ""!C3:R29"")), ROW($A$1:$A$24), FALSE)), ""=-4"") + COUNTIF(ARRAYFORMULA(HLOOKUP($B64, IMPORTRANGE('Match Names'!$E$23, CONCAT(VLOOKUP($C64, 'Match Names'!$1:$22, 5, FALSE), ""!C3:R29"")), ROW($A$1:$A$24), FALSE)), ""=-4"") + COUNTIF(ARRAYFORMU"&amp;"LA(HLOOKUP($B64, IMPORTRANGE('Match Names'!$F$23, CONCAT(VLOOKUP($C64, 'Match Names'!$1:$22, 6, FALSE), ""!C3:R29"")), ROW($A$1:$A$24), FALSE)), ""=-4"") + COUNTIF(ARRAYFORMULA(HLOOKUP($B64, IMPORTRANGE('Match Names'!$G$23, CONCAT(VLOOKUP($C64, 'Match Nam"&amp;"es'!$1:$22, 7, FALSE), ""!C3:R29"")), ROW($A$1:$A$24), FALSE)), ""=-4"") + COUNTIF(ARRAYFORMULA(HLOOKUP($B64, IMPORTRANGE('Match Names'!$H$23, CONCAT(VLOOKUP($C64, 'Match Names'!$1:$22, 8, FALSE), ""!C3:R29"")), ROW($A$1:$A$24), FALSE)), ""=-4"")"),0.0)</f>
        <v>0</v>
      </c>
      <c r="H64" s="4">
        <f t="shared" si="1"/>
        <v>10.67</v>
      </c>
    </row>
    <row r="65">
      <c r="A65" s="21" t="s">
        <v>99</v>
      </c>
      <c r="B65" s="7" t="str">
        <f>VLOOKUP(CONCAT(A65, C65), 'Discord Username to Real Name'!C:D, 2, FALSE)</f>
        <v>prr#4609</v>
      </c>
      <c r="C65" s="21" t="s">
        <v>22</v>
      </c>
      <c r="D65" s="11">
        <f>IFERROR(__xludf.DUMMYFUNCTION("(23 - COUNTIF(IFERROR(ARRAYFORMULA(HLOOKUP($B65, IMPORTRANGE('Prelim Rankings Unsorted'!$B$40, CONCAT(VLOOKUP($C65, 'Match Names'!$A$1:$D$22, 2, FALSE), ""!C3:R29"")), ROW($A$1:$A$24), FALSE)), $AA$9:$AA$31), ""=X"")) + (23 - COUNTIF(IFERROR(ARRAYFORMULA("&amp;"HLOOKUP($B65, IMPORTRANGE('Prelim Rankings Unsorted'!$B$41, CONCAT(VLOOKUP($C65, 'Match Names'!$A$1:$D$22, 3, FALSE), ""!C3:R29"")), ROW($A$1:$A$24), FALSE)), $AA$9:$AA$31), ""=X"")) + (23 - COUNTIF(IFERROR(ARRAYFORMULA(HLOOKUP($B65, IMPORTRANGE('Prelim R"&amp;"ankings Unsorted'!$B$42, CONCAT(VLOOKUP($C65, 'Match Names'!$A$1:$D$22, 4, FALSE), ""!C3:R29"")), ROW($A$1:$A$24), FALSE)), $AA$9:$AA$31), ""=X"")) + (23 - COUNTIF(IFERROR(ARRAYFORMULA(HLOOKUP($B65, IMPORTRANGE('Match Names'!$E$23, CONCAT(VLOOKUP($C65, 'M"&amp;"atch Names'!$1:$22, 5, FALSE), ""!C3:R29"")), ROW($A$1:$A$24), FALSE)), $AA$9:$AA$31), ""=X"")) + (23 - COUNTIF(IFERROR(ARRAYFORMULA(HLOOKUP($B65, IMPORTRANGE('Match Names'!$F$23, CONCAT(VLOOKUP($C65, 'Match Names'!$1:$22, 6, FALSE), ""!C3:R29"")), ROW($A"&amp;"$1:$A$24), FALSE)), $AA$9:$AA$31), ""=X"")) + (23 - COUNTIF(IFERROR(ARRAYFORMULA(HLOOKUP($B65, IMPORTRANGE('Match Names'!$G$23, CONCAT(VLOOKUP($C65, 'Match Names'!$1:$22, 7, FALSE), ""!C3:R29"")), ROW($A$1:$A$24), FALSE)), $AA$9:$AA$31), ""=X"")) + (23 - "&amp;"COUNTIF(IFERROR(ARRAYFORMULA(HLOOKUP($B65, IMPORTRANGE('Match Names'!$H$23, CONCAT(VLOOKUP($C65, 'Match Names'!$1:$22, 8, FALSE), ""!C3:R29"")), ROW($A$1:$A$24), FALSE)), $AA$9:$AA$31), ""=X""))"),104.0)</f>
        <v>104</v>
      </c>
      <c r="E65" s="4">
        <f>IFERROR(__xludf.DUMMYFUNCTION("COUNTIF(ARRAYFORMULA(HLOOKUP($B65, IMPORTRANGE('Prelim Rankings Unsorted'!$B$40, CONCAT(VLOOKUP($C65, 'Match Names'!$A$1:$D$22, 2, FALSE), ""!C3:R29"")), ROW($A$1:$A$24), FALSE)), ""=4"") + COUNTIF(ARRAYFORMULA(HLOOKUP($B65, IMPORTRANGE('Prelim Rankings U"&amp;"nsorted'!$B$41, CONCAT(VLOOKUP($C65, 'Match Names'!$A$1:$D$22, 3, FALSE), ""!C3:R29"")), ROW($A$1:$A$24), FALSE)), ""=4"") + COUNTIF(ARRAYFORMULA(HLOOKUP($B65, IMPORTRANGE('Prelim Rankings Unsorted'!$B$42, CONCAT(VLOOKUP($C65, 'Match Names'!$A$1:$D$22, 4,"&amp;" FALSE), ""!C3:R29"")), ROW($A$1:$A$24), FALSE)), ""=4"") + COUNTIF(ARRAYFORMULA(HLOOKUP($B65, IMPORTRANGE('Match Names'!$E$23, CONCAT(VLOOKUP($C65, 'Match Names'!$1:$22, 5, FALSE), ""!C3:R29"")), ROW($A$1:$A$24), FALSE)), ""=4"") + COUNTIF(ARRAYFORMULA(H"&amp;"LOOKUP($B65, IMPORTRANGE('Match Names'!$F$23, CONCAT(VLOOKUP($C65, 'Match Names'!$1:$22, 6, FALSE), ""!C3:R29"")), ROW($A$1:$A$24), FALSE)), ""=4"") + COUNTIF(ARRAYFORMULA(HLOOKUP($B65, IMPORTRANGE('Match Names'!$G$23, CONCAT(VLOOKUP($C65, 'Match Names'!$"&amp;"1:$22, 7, FALSE), ""!C3:R29"")), ROW($A$1:$A$24), FALSE)), ""=4"") + COUNTIF(ARRAYFORMULA(HLOOKUP($B65, IMPORTRANGE('Match Names'!$H$23, CONCAT(VLOOKUP($C65, 'Match Names'!$1:$22, 8, FALSE), ""!C3:R29"")), ROW($A$1:$A$24), FALSE)), ""=4"")"),12.0)</f>
        <v>12</v>
      </c>
      <c r="F65" s="4">
        <f>IFERROR(__xludf.DUMMYFUNCTION("COUNTIF(ARRAYFORMULA(HLOOKUP($B65, IMPORTRANGE('Prelim Rankings Unsorted'!$B$40, CONCAT(VLOOKUP($C65, 'Match Names'!$A$1:$D$22, 2, FALSE), ""!C3:R29"")), ROW($A$1:$A$24), FALSE)), ""=0"") + COUNTIF(ARRAYFORMULA(HLOOKUP($B65, IMPORTRANGE('Prelim Rankings U"&amp;"nsorted'!$B$41, CONCAT(VLOOKUP($C65, 'Match Names'!$A$1:$D$22, 3, FALSE), ""!C3:R29"")), ROW($A$1:$A$24), FALSE)), ""=0"") + COUNTIF(ARRAYFORMULA(HLOOKUP($B65, IMPORTRANGE('Prelim Rankings Unsorted'!$B$42, CONCAT(VLOOKUP($C65, 'Match Names'!$A$1:$D$22, 4,"&amp;" FALSE), ""!C3:R29"")), ROW($A$1:$A$24), FALSE)), ""=0"") + COUNTIF(ARRAYFORMULA(HLOOKUP($B65, IMPORTRANGE('Match Names'!$E$23, CONCAT(VLOOKUP($C65, 'Match Names'!$1:$22, 5, FALSE), ""!C3:R29"")), ROW($A$1:$A$24), FALSE)), ""=0"") + COUNTIF(ARRAYFORMULA(H"&amp;"LOOKUP($B65, IMPORTRANGE('Match Names'!$F$23, CONCAT(VLOOKUP($C65, 'Match Names'!$1:$22, 6, FALSE), ""!C3:R29"")), ROW($A$1:$A$24), FALSE)), ""=0"") + COUNTIF(ARRAYFORMULA(HLOOKUP($B65, IMPORTRANGE('Match Names'!$G$23, CONCAT(VLOOKUP($C65, 'Match Names'!$"&amp;"1:$22, 7, FALSE), ""!C3:R29"")), ROW($A$1:$A$24), FALSE)), ""=0"") + COUNTIF(ARRAYFORMULA(HLOOKUP($B65, IMPORTRANGE('Match Names'!$H$23, CONCAT(VLOOKUP($C65, 'Match Names'!$1:$22, 8, FALSE), ""!C3:R29"")), ROW($A$1:$A$24), FALSE)), ""=0"")"),12.0)</f>
        <v>12</v>
      </c>
      <c r="G65" s="4">
        <f>IFERROR(__xludf.DUMMYFUNCTION("COUNTIF(ARRAYFORMULA(HLOOKUP($B65, IMPORTRANGE('Prelim Rankings Unsorted'!$B$40, CONCAT(VLOOKUP($C65, 'Match Names'!$A$1:$D$22, 2, FALSE), ""!C3:R29"")), ROW($A$1:$A$24), FALSE)), ""=-4"") + COUNTIF(ARRAYFORMULA(HLOOKUP($B65, IMPORTRANGE('Prelim Rankings "&amp;"Unsorted'!$B$41, CONCAT(VLOOKUP($C65, 'Match Names'!$A$1:$D$22, 3, FALSE), ""!C3:R29"")), ROW($A$1:$A$24), FALSE)), ""=-4"") + COUNTIF(ARRAYFORMULA(HLOOKUP($B65, IMPORTRANGE('Prelim Rankings Unsorted'!$B$42, CONCAT(VLOOKUP($C65, 'Match Names'!$A$1:$D$22, "&amp;"4, FALSE), ""!C3:R29"")), ROW($A$1:$A$24), FALSE)), ""=-4"") + COUNTIF(ARRAYFORMULA(HLOOKUP($B65, IMPORTRANGE('Match Names'!$E$23, CONCAT(VLOOKUP($C65, 'Match Names'!$1:$22, 5, FALSE), ""!C3:R29"")), ROW($A$1:$A$24), FALSE)), ""=-4"") + COUNTIF(ARRAYFORMU"&amp;"LA(HLOOKUP($B65, IMPORTRANGE('Match Names'!$F$23, CONCAT(VLOOKUP($C65, 'Match Names'!$1:$22, 6, FALSE), ""!C3:R29"")), ROW($A$1:$A$24), FALSE)), ""=-4"") + COUNTIF(ARRAYFORMULA(HLOOKUP($B65, IMPORTRANGE('Match Names'!$G$23, CONCAT(VLOOKUP($C65, 'Match Nam"&amp;"es'!$1:$22, 7, FALSE), ""!C3:R29"")), ROW($A$1:$A$24), FALSE)), ""=-4"") + COUNTIF(ARRAYFORMULA(HLOOKUP($B65, IMPORTRANGE('Match Names'!$H$23, CONCAT(VLOOKUP($C65, 'Match Names'!$1:$22, 8, FALSE), ""!C3:R29"")), ROW($A$1:$A$24), FALSE)), ""=-4"")"),1.0)</f>
        <v>1</v>
      </c>
      <c r="H65" s="4">
        <f t="shared" si="1"/>
        <v>9.73</v>
      </c>
    </row>
    <row r="66">
      <c r="A66" s="21" t="s">
        <v>174</v>
      </c>
      <c r="B66" s="7" t="str">
        <f>VLOOKUP(CONCAT(A66, C66), 'Discord Username to Real Name'!C:D, 2, FALSE)</f>
        <v>Static#2349</v>
      </c>
      <c r="C66" s="21" t="s">
        <v>22</v>
      </c>
      <c r="D66" s="11">
        <f>IFERROR(__xludf.DUMMYFUNCTION("(23 - COUNTIF(IFERROR(ARRAYFORMULA(HLOOKUP($B66, IMPORTRANGE('Prelim Rankings Unsorted'!$B$40, CONCAT(VLOOKUP($C66, 'Match Names'!$A$1:$D$22, 2, FALSE), ""!C3:R29"")), ROW($A$1:$A$24), FALSE)), $AA$9:$AA$31), ""=X"")) + (23 - COUNTIF(IFERROR(ARRAYFORMULA("&amp;"HLOOKUP($B66, IMPORTRANGE('Prelim Rankings Unsorted'!$B$41, CONCAT(VLOOKUP($C66, 'Match Names'!$A$1:$D$22, 3, FALSE), ""!C3:R29"")), ROW($A$1:$A$24), FALSE)), $AA$9:$AA$31), ""=X"")) + (23 - COUNTIF(IFERROR(ARRAYFORMULA(HLOOKUP($B66, IMPORTRANGE('Prelim R"&amp;"ankings Unsorted'!$B$42, CONCAT(VLOOKUP($C66, 'Match Names'!$A$1:$D$22, 4, FALSE), ""!C3:R29"")), ROW($A$1:$A$24), FALSE)), $AA$9:$AA$31), ""=X"")) + (23 - COUNTIF(IFERROR(ARRAYFORMULA(HLOOKUP($B66, IMPORTRANGE('Match Names'!$E$23, CONCAT(VLOOKUP($C66, 'M"&amp;"atch Names'!$1:$22, 5, FALSE), ""!C3:R29"")), ROW($A$1:$A$24), FALSE)), $AA$9:$AA$31), ""=X"")) + (23 - COUNTIF(IFERROR(ARRAYFORMULA(HLOOKUP($B66, IMPORTRANGE('Match Names'!$F$23, CONCAT(VLOOKUP($C66, 'Match Names'!$1:$22, 6, FALSE), ""!C3:R29"")), ROW($A"&amp;"$1:$A$24), FALSE)), $AA$9:$AA$31), ""=X"")) + (23 - COUNTIF(IFERROR(ARRAYFORMULA(HLOOKUP($B66, IMPORTRANGE('Match Names'!$G$23, CONCAT(VLOOKUP($C66, 'Match Names'!$1:$22, 7, FALSE), ""!C3:R29"")), ROW($A$1:$A$24), FALSE)), $AA$9:$AA$31), ""=X"")) + (23 - "&amp;"COUNTIF(IFERROR(ARRAYFORMULA(HLOOKUP($B66, IMPORTRANGE('Match Names'!$H$23, CONCAT(VLOOKUP($C66, 'Match Names'!$1:$22, 8, FALSE), ""!C3:R29"")), ROW($A$1:$A$24), FALSE)), $AA$9:$AA$31), ""=X""))"),91.0)</f>
        <v>91</v>
      </c>
      <c r="E66" s="4">
        <f>IFERROR(__xludf.DUMMYFUNCTION("COUNTIF(ARRAYFORMULA(HLOOKUP($B66, IMPORTRANGE('Prelim Rankings Unsorted'!$B$40, CONCAT(VLOOKUP($C66, 'Match Names'!$A$1:$D$22, 2, FALSE), ""!C3:R29"")), ROW($A$1:$A$24), FALSE)), ""=4"") + COUNTIF(ARRAYFORMULA(HLOOKUP($B66, IMPORTRANGE('Prelim Rankings U"&amp;"nsorted'!$B$41, CONCAT(VLOOKUP($C66, 'Match Names'!$A$1:$D$22, 3, FALSE), ""!C3:R29"")), ROW($A$1:$A$24), FALSE)), ""=4"") + COUNTIF(ARRAYFORMULA(HLOOKUP($B66, IMPORTRANGE('Prelim Rankings Unsorted'!$B$42, CONCAT(VLOOKUP($C66, 'Match Names'!$A$1:$D$22, 4,"&amp;" FALSE), ""!C3:R29"")), ROW($A$1:$A$24), FALSE)), ""=4"") + COUNTIF(ARRAYFORMULA(HLOOKUP($B66, IMPORTRANGE('Match Names'!$E$23, CONCAT(VLOOKUP($C66, 'Match Names'!$1:$22, 5, FALSE), ""!C3:R29"")), ROW($A$1:$A$24), FALSE)), ""=4"") + COUNTIF(ARRAYFORMULA(H"&amp;"LOOKUP($B66, IMPORTRANGE('Match Names'!$F$23, CONCAT(VLOOKUP($C66, 'Match Names'!$1:$22, 6, FALSE), ""!C3:R29"")), ROW($A$1:$A$24), FALSE)), ""=4"") + COUNTIF(ARRAYFORMULA(HLOOKUP($B66, IMPORTRANGE('Match Names'!$G$23, CONCAT(VLOOKUP($C66, 'Match Names'!$"&amp;"1:$22, 7, FALSE), ""!C3:R29"")), ROW($A$1:$A$24), FALSE)), ""=4"") + COUNTIF(ARRAYFORMULA(HLOOKUP($B66, IMPORTRANGE('Match Names'!$H$23, CONCAT(VLOOKUP($C66, 'Match Names'!$1:$22, 8, FALSE), ""!C3:R29"")), ROW($A$1:$A$24), FALSE)), ""=4"")"),2.0)</f>
        <v>2</v>
      </c>
      <c r="F66" s="4">
        <f>IFERROR(__xludf.DUMMYFUNCTION("COUNTIF(ARRAYFORMULA(HLOOKUP($B66, IMPORTRANGE('Prelim Rankings Unsorted'!$B$40, CONCAT(VLOOKUP($C66, 'Match Names'!$A$1:$D$22, 2, FALSE), ""!C3:R29"")), ROW($A$1:$A$24), FALSE)), ""=0"") + COUNTIF(ARRAYFORMULA(HLOOKUP($B66, IMPORTRANGE('Prelim Rankings U"&amp;"nsorted'!$B$41, CONCAT(VLOOKUP($C66, 'Match Names'!$A$1:$D$22, 3, FALSE), ""!C3:R29"")), ROW($A$1:$A$24), FALSE)), ""=0"") + COUNTIF(ARRAYFORMULA(HLOOKUP($B66, IMPORTRANGE('Prelim Rankings Unsorted'!$B$42, CONCAT(VLOOKUP($C66, 'Match Names'!$A$1:$D$22, 4,"&amp;" FALSE), ""!C3:R29"")), ROW($A$1:$A$24), FALSE)), ""=0"") + COUNTIF(ARRAYFORMULA(HLOOKUP($B66, IMPORTRANGE('Match Names'!$E$23, CONCAT(VLOOKUP($C66, 'Match Names'!$1:$22, 5, FALSE), ""!C3:R29"")), ROW($A$1:$A$24), FALSE)), ""=0"") + COUNTIF(ARRAYFORMULA(H"&amp;"LOOKUP($B66, IMPORTRANGE('Match Names'!$F$23, CONCAT(VLOOKUP($C66, 'Match Names'!$1:$22, 6, FALSE), ""!C3:R29"")), ROW($A$1:$A$24), FALSE)), ""=0"") + COUNTIF(ARRAYFORMULA(HLOOKUP($B66, IMPORTRANGE('Match Names'!$G$23, CONCAT(VLOOKUP($C66, 'Match Names'!$"&amp;"1:$22, 7, FALSE), ""!C3:R29"")), ROW($A$1:$A$24), FALSE)), ""=0"") + COUNTIF(ARRAYFORMULA(HLOOKUP($B66, IMPORTRANGE('Match Names'!$H$23, CONCAT(VLOOKUP($C66, 'Match Names'!$1:$22, 8, FALSE), ""!C3:R29"")), ROW($A$1:$A$24), FALSE)), ""=0"")"),0.0)</f>
        <v>0</v>
      </c>
      <c r="G66" s="4">
        <f>IFERROR(__xludf.DUMMYFUNCTION("COUNTIF(ARRAYFORMULA(HLOOKUP($B66, IMPORTRANGE('Prelim Rankings Unsorted'!$B$40, CONCAT(VLOOKUP($C66, 'Match Names'!$A$1:$D$22, 2, FALSE), ""!C3:R29"")), ROW($A$1:$A$24), FALSE)), ""=-4"") + COUNTIF(ARRAYFORMULA(HLOOKUP($B66, IMPORTRANGE('Prelim Rankings "&amp;"Unsorted'!$B$41, CONCAT(VLOOKUP($C66, 'Match Names'!$A$1:$D$22, 3, FALSE), ""!C3:R29"")), ROW($A$1:$A$24), FALSE)), ""=-4"") + COUNTIF(ARRAYFORMULA(HLOOKUP($B66, IMPORTRANGE('Prelim Rankings Unsorted'!$B$42, CONCAT(VLOOKUP($C66, 'Match Names'!$A$1:$D$22, "&amp;"4, FALSE), ""!C3:R29"")), ROW($A$1:$A$24), FALSE)), ""=-4"") + COUNTIF(ARRAYFORMULA(HLOOKUP($B66, IMPORTRANGE('Match Names'!$E$23, CONCAT(VLOOKUP($C66, 'Match Names'!$1:$22, 5, FALSE), ""!C3:R29"")), ROW($A$1:$A$24), FALSE)), ""=-4"") + COUNTIF(ARRAYFORMU"&amp;"LA(HLOOKUP($B66, IMPORTRANGE('Match Names'!$F$23, CONCAT(VLOOKUP($C66, 'Match Names'!$1:$22, 6, FALSE), ""!C3:R29"")), ROW($A$1:$A$24), FALSE)), ""=-4"") + COUNTIF(ARRAYFORMULA(HLOOKUP($B66, IMPORTRANGE('Match Names'!$G$23, CONCAT(VLOOKUP($C66, 'Match Nam"&amp;"es'!$1:$22, 7, FALSE), ""!C3:R29"")), ROW($A$1:$A$24), FALSE)), ""=-4"") + COUNTIF(ARRAYFORMULA(HLOOKUP($B66, IMPORTRANGE('Match Names'!$H$23, CONCAT(VLOOKUP($C66, 'Match Names'!$1:$22, 8, FALSE), ""!C3:R29"")), ROW($A$1:$A$24), FALSE)), ""=-4"")"),1.0)</f>
        <v>1</v>
      </c>
      <c r="H66" s="4">
        <f t="shared" si="1"/>
        <v>1.01</v>
      </c>
    </row>
    <row r="67">
      <c r="A67" s="21" t="s">
        <v>79</v>
      </c>
      <c r="B67" s="7" t="str">
        <f>VLOOKUP(CONCAT(A67, C67), 'Discord Username to Real Name'!C:D, 2, FALSE)</f>
        <v>Serferducter#1979</v>
      </c>
      <c r="C67" s="21" t="s">
        <v>22</v>
      </c>
      <c r="D67" s="11">
        <f>IFERROR(__xludf.DUMMYFUNCTION("(23 - COUNTIF(IFERROR(ARRAYFORMULA(HLOOKUP($B67, IMPORTRANGE('Prelim Rankings Unsorted'!$B$40, CONCAT(VLOOKUP($C67, 'Match Names'!$A$1:$D$22, 2, FALSE), ""!C3:R29"")), ROW($A$1:$A$24), FALSE)), $AA$9:$AA$31), ""=X"")) + (23 - COUNTIF(IFERROR(ARRAYFORMULA("&amp;"HLOOKUP($B67, IMPORTRANGE('Prelim Rankings Unsorted'!$B$41, CONCAT(VLOOKUP($C67, 'Match Names'!$A$1:$D$22, 3, FALSE), ""!C3:R29"")), ROW($A$1:$A$24), FALSE)), $AA$9:$AA$31), ""=X"")) + (23 - COUNTIF(IFERROR(ARRAYFORMULA(HLOOKUP($B67, IMPORTRANGE('Prelim R"&amp;"ankings Unsorted'!$B$42, CONCAT(VLOOKUP($C67, 'Match Names'!$A$1:$D$22, 4, FALSE), ""!C3:R29"")), ROW($A$1:$A$24), FALSE)), $AA$9:$AA$31), ""=X"")) + (23 - COUNTIF(IFERROR(ARRAYFORMULA(HLOOKUP($B67, IMPORTRANGE('Match Names'!$E$23, CONCAT(VLOOKUP($C67, 'M"&amp;"atch Names'!$1:$22, 5, FALSE), ""!C3:R29"")), ROW($A$1:$A$24), FALSE)), $AA$9:$AA$31), ""=X"")) + (23 - COUNTIF(IFERROR(ARRAYFORMULA(HLOOKUP($B67, IMPORTRANGE('Match Names'!$F$23, CONCAT(VLOOKUP($C67, 'Match Names'!$1:$22, 6, FALSE), ""!C3:R29"")), ROW($A"&amp;"$1:$A$24), FALSE)), $AA$9:$AA$31), ""=X"")) + (23 - COUNTIF(IFERROR(ARRAYFORMULA(HLOOKUP($B67, IMPORTRANGE('Match Names'!$G$23, CONCAT(VLOOKUP($C67, 'Match Names'!$1:$22, 7, FALSE), ""!C3:R29"")), ROW($A$1:$A$24), FALSE)), $AA$9:$AA$31), ""=X"")) + (23 - "&amp;"COUNTIF(IFERROR(ARRAYFORMULA(HLOOKUP($B67, IMPORTRANGE('Match Names'!$H$23, CONCAT(VLOOKUP($C67, 'Match Names'!$1:$22, 8, FALSE), ""!C3:R29"")), ROW($A$1:$A$24), FALSE)), $AA$9:$AA$31), ""=X""))"),126.0)</f>
        <v>126</v>
      </c>
      <c r="E67" s="4">
        <f>IFERROR(__xludf.DUMMYFUNCTION("COUNTIF(ARRAYFORMULA(HLOOKUP($B67, IMPORTRANGE('Prelim Rankings Unsorted'!$B$40, CONCAT(VLOOKUP($C67, 'Match Names'!$A$1:$D$22, 2, FALSE), ""!C3:R29"")), ROW($A$1:$A$24), FALSE)), ""=4"") + COUNTIF(ARRAYFORMULA(HLOOKUP($B67, IMPORTRANGE('Prelim Rankings U"&amp;"nsorted'!$B$41, CONCAT(VLOOKUP($C67, 'Match Names'!$A$1:$D$22, 3, FALSE), ""!C3:R29"")), ROW($A$1:$A$24), FALSE)), ""=4"") + COUNTIF(ARRAYFORMULA(HLOOKUP($B67, IMPORTRANGE('Prelim Rankings Unsorted'!$B$42, CONCAT(VLOOKUP($C67, 'Match Names'!$A$1:$D$22, 4,"&amp;" FALSE), ""!C3:R29"")), ROW($A$1:$A$24), FALSE)), ""=4"") + COUNTIF(ARRAYFORMULA(HLOOKUP($B67, IMPORTRANGE('Match Names'!$E$23, CONCAT(VLOOKUP($C67, 'Match Names'!$1:$22, 5, FALSE), ""!C3:R29"")), ROW($A$1:$A$24), FALSE)), ""=4"") + COUNTIF(ARRAYFORMULA(H"&amp;"LOOKUP($B67, IMPORTRANGE('Match Names'!$F$23, CONCAT(VLOOKUP($C67, 'Match Names'!$1:$22, 6, FALSE), ""!C3:R29"")), ROW($A$1:$A$24), FALSE)), ""=4"") + COUNTIF(ARRAYFORMULA(HLOOKUP($B67, IMPORTRANGE('Match Names'!$G$23, CONCAT(VLOOKUP($C67, 'Match Names'!$"&amp;"1:$22, 7, FALSE), ""!C3:R29"")), ROW($A$1:$A$24), FALSE)), ""=4"") + COUNTIF(ARRAYFORMULA(HLOOKUP($B67, IMPORTRANGE('Match Names'!$H$23, CONCAT(VLOOKUP($C67, 'Match Names'!$1:$22, 8, FALSE), ""!C3:R29"")), ROW($A$1:$A$24), FALSE)), ""=4"")"),21.0)</f>
        <v>21</v>
      </c>
      <c r="F67" s="4">
        <f>IFERROR(__xludf.DUMMYFUNCTION("COUNTIF(ARRAYFORMULA(HLOOKUP($B67, IMPORTRANGE('Prelim Rankings Unsorted'!$B$40, CONCAT(VLOOKUP($C67, 'Match Names'!$A$1:$D$22, 2, FALSE), ""!C3:R29"")), ROW($A$1:$A$24), FALSE)), ""=0"") + COUNTIF(ARRAYFORMULA(HLOOKUP($B67, IMPORTRANGE('Prelim Rankings U"&amp;"nsorted'!$B$41, CONCAT(VLOOKUP($C67, 'Match Names'!$A$1:$D$22, 3, FALSE), ""!C3:R29"")), ROW($A$1:$A$24), FALSE)), ""=0"") + COUNTIF(ARRAYFORMULA(HLOOKUP($B67, IMPORTRANGE('Prelim Rankings Unsorted'!$B$42, CONCAT(VLOOKUP($C67, 'Match Names'!$A$1:$D$22, 4,"&amp;" FALSE), ""!C3:R29"")), ROW($A$1:$A$24), FALSE)), ""=0"") + COUNTIF(ARRAYFORMULA(HLOOKUP($B67, IMPORTRANGE('Match Names'!$E$23, CONCAT(VLOOKUP($C67, 'Match Names'!$1:$22, 5, FALSE), ""!C3:R29"")), ROW($A$1:$A$24), FALSE)), ""=0"") + COUNTIF(ARRAYFORMULA(H"&amp;"LOOKUP($B67, IMPORTRANGE('Match Names'!$F$23, CONCAT(VLOOKUP($C67, 'Match Names'!$1:$22, 6, FALSE), ""!C3:R29"")), ROW($A$1:$A$24), FALSE)), ""=0"") + COUNTIF(ARRAYFORMULA(HLOOKUP($B67, IMPORTRANGE('Match Names'!$G$23, CONCAT(VLOOKUP($C67, 'Match Names'!$"&amp;"1:$22, 7, FALSE), ""!C3:R29"")), ROW($A$1:$A$24), FALSE)), ""=0"") + COUNTIF(ARRAYFORMULA(HLOOKUP($B67, IMPORTRANGE('Match Names'!$H$23, CONCAT(VLOOKUP($C67, 'Match Names'!$1:$22, 8, FALSE), ""!C3:R29"")), ROW($A$1:$A$24), FALSE)), ""=0"")"),23.0)</f>
        <v>23</v>
      </c>
      <c r="G67" s="4">
        <f>IFERROR(__xludf.DUMMYFUNCTION("COUNTIF(ARRAYFORMULA(HLOOKUP($B67, IMPORTRANGE('Prelim Rankings Unsorted'!$B$40, CONCAT(VLOOKUP($C67, 'Match Names'!$A$1:$D$22, 2, FALSE), ""!C3:R29"")), ROW($A$1:$A$24), FALSE)), ""=-4"") + COUNTIF(ARRAYFORMULA(HLOOKUP($B67, IMPORTRANGE('Prelim Rankings "&amp;"Unsorted'!$B$41, CONCAT(VLOOKUP($C67, 'Match Names'!$A$1:$D$22, 3, FALSE), ""!C3:R29"")), ROW($A$1:$A$24), FALSE)), ""=-4"") + COUNTIF(ARRAYFORMULA(HLOOKUP($B67, IMPORTRANGE('Prelim Rankings Unsorted'!$B$42, CONCAT(VLOOKUP($C67, 'Match Names'!$A$1:$D$22, "&amp;"4, FALSE), ""!C3:R29"")), ROW($A$1:$A$24), FALSE)), ""=-4"") + COUNTIF(ARRAYFORMULA(HLOOKUP($B67, IMPORTRANGE('Match Names'!$E$23, CONCAT(VLOOKUP($C67, 'Match Names'!$1:$22, 5, FALSE), ""!C3:R29"")), ROW($A$1:$A$24), FALSE)), ""=-4"") + COUNTIF(ARRAYFORMU"&amp;"LA(HLOOKUP($B67, IMPORTRANGE('Match Names'!$F$23, CONCAT(VLOOKUP($C67, 'Match Names'!$1:$22, 6, FALSE), ""!C3:R29"")), ROW($A$1:$A$24), FALSE)), ""=-4"") + COUNTIF(ARRAYFORMULA(HLOOKUP($B67, IMPORTRANGE('Match Names'!$G$23, CONCAT(VLOOKUP($C67, 'Match Nam"&amp;"es'!$1:$22, 7, FALSE), ""!C3:R29"")), ROW($A$1:$A$24), FALSE)), ""=-4"") + COUNTIF(ARRAYFORMULA(HLOOKUP($B67, IMPORTRANGE('Match Names'!$H$23, CONCAT(VLOOKUP($C67, 'Match Names'!$1:$22, 8, FALSE), ""!C3:R29"")), ROW($A$1:$A$24), FALSE)), ""=-4"")"),5.0)</f>
        <v>5</v>
      </c>
      <c r="H67" s="4">
        <f t="shared" si="1"/>
        <v>11.68</v>
      </c>
    </row>
    <row r="68">
      <c r="A68" s="21" t="s">
        <v>93</v>
      </c>
      <c r="B68" s="7" t="str">
        <f>VLOOKUP(CONCAT(A68, C68), 'Discord Username to Real Name'!C:D, 2, FALSE)</f>
        <v>Hyperion#5422</v>
      </c>
      <c r="C68" s="21" t="s">
        <v>30</v>
      </c>
      <c r="D68" s="11">
        <f>IFERROR(__xludf.DUMMYFUNCTION("(23 - COUNTIF(IFERROR(ARRAYFORMULA(HLOOKUP($B68, IMPORTRANGE('Prelim Rankings Unsorted'!$B$40, CONCAT(VLOOKUP($C68, 'Match Names'!$A$1:$D$22, 2, FALSE), ""!C3:R29"")), ROW($A$1:$A$24), FALSE)), $AA$9:$AA$31), ""=X"")) + (23 - COUNTIF(IFERROR(ARRAYFORMULA("&amp;"HLOOKUP($B68, IMPORTRANGE('Prelim Rankings Unsorted'!$B$41, CONCAT(VLOOKUP($C68, 'Match Names'!$A$1:$D$22, 3, FALSE), ""!C3:R29"")), ROW($A$1:$A$24), FALSE)), $AA$9:$AA$31), ""=X"")) + (23 - COUNTIF(IFERROR(ARRAYFORMULA(HLOOKUP($B68, IMPORTRANGE('Prelim R"&amp;"ankings Unsorted'!$B$42, CONCAT(VLOOKUP($C68, 'Match Names'!$A$1:$D$22, 4, FALSE), ""!C3:R29"")), ROW($A$1:$A$24), FALSE)), $AA$9:$AA$31), ""=X"")) + (23 - COUNTIF(IFERROR(ARRAYFORMULA(HLOOKUP($B68, IMPORTRANGE('Match Names'!$E$23, CONCAT(VLOOKUP($C68, 'M"&amp;"atch Names'!$1:$22, 5, FALSE), ""!C3:R29"")), ROW($A$1:$A$24), FALSE)), $AA$9:$AA$31), ""=X"")) + (23 - COUNTIF(IFERROR(ARRAYFORMULA(HLOOKUP($B68, IMPORTRANGE('Match Names'!$F$23, CONCAT(VLOOKUP($C68, 'Match Names'!$1:$22, 6, FALSE), ""!C3:R29"")), ROW($A"&amp;"$1:$A$24), FALSE)), $AA$9:$AA$31), ""=X"")) + (23 - COUNTIF(IFERROR(ARRAYFORMULA(HLOOKUP($B68, IMPORTRANGE('Match Names'!$G$23, CONCAT(VLOOKUP($C68, 'Match Names'!$1:$22, 7, FALSE), ""!C3:R29"")), ROW($A$1:$A$24), FALSE)), $AA$9:$AA$31), ""=X"")) + (23 - "&amp;"COUNTIF(IFERROR(ARRAYFORMULA(HLOOKUP($B68, IMPORTRANGE('Match Names'!$H$23, CONCAT(VLOOKUP($C68, 'Match Names'!$1:$22, 8, FALSE), ""!C3:R29"")), ROW($A$1:$A$24), FALSE)), $AA$9:$AA$31), ""=X""))"),92.0)</f>
        <v>92</v>
      </c>
      <c r="E68" s="4">
        <f>IFERROR(__xludf.DUMMYFUNCTION("COUNTIF(ARRAYFORMULA(HLOOKUP($B68, IMPORTRANGE('Prelim Rankings Unsorted'!$B$40, CONCAT(VLOOKUP($C68, 'Match Names'!$A$1:$D$22, 2, FALSE), ""!C3:R29"")), ROW($A$1:$A$24), FALSE)), ""=4"") + COUNTIF(ARRAYFORMULA(HLOOKUP($B68, IMPORTRANGE('Prelim Rankings U"&amp;"nsorted'!$B$41, CONCAT(VLOOKUP($C68, 'Match Names'!$A$1:$D$22, 3, FALSE), ""!C3:R29"")), ROW($A$1:$A$24), FALSE)), ""=4"") + COUNTIF(ARRAYFORMULA(HLOOKUP($B68, IMPORTRANGE('Prelim Rankings Unsorted'!$B$42, CONCAT(VLOOKUP($C68, 'Match Names'!$A$1:$D$22, 4,"&amp;" FALSE), ""!C3:R29"")), ROW($A$1:$A$24), FALSE)), ""=4"") + COUNTIF(ARRAYFORMULA(HLOOKUP($B68, IMPORTRANGE('Match Names'!$E$23, CONCAT(VLOOKUP($C68, 'Match Names'!$1:$22, 5, FALSE), ""!C3:R29"")), ROW($A$1:$A$24), FALSE)), ""=4"") + COUNTIF(ARRAYFORMULA(H"&amp;"LOOKUP($B68, IMPORTRANGE('Match Names'!$F$23, CONCAT(VLOOKUP($C68, 'Match Names'!$1:$22, 6, FALSE), ""!C3:R29"")), ROW($A$1:$A$24), FALSE)), ""=4"") + COUNTIF(ARRAYFORMULA(HLOOKUP($B68, IMPORTRANGE('Match Names'!$G$23, CONCAT(VLOOKUP($C68, 'Match Names'!$"&amp;"1:$22, 7, FALSE), ""!C3:R29"")), ROW($A$1:$A$24), FALSE)), ""=4"") + COUNTIF(ARRAYFORMULA(HLOOKUP($B68, IMPORTRANGE('Match Names'!$H$23, CONCAT(VLOOKUP($C68, 'Match Names'!$1:$22, 8, FALSE), ""!C3:R29"")), ROW($A$1:$A$24), FALSE)), ""=4"")"),4.0)</f>
        <v>4</v>
      </c>
      <c r="F68" s="4">
        <f>IFERROR(__xludf.DUMMYFUNCTION("COUNTIF(ARRAYFORMULA(HLOOKUP($B68, IMPORTRANGE('Prelim Rankings Unsorted'!$B$40, CONCAT(VLOOKUP($C68, 'Match Names'!$A$1:$D$22, 2, FALSE), ""!C3:R29"")), ROW($A$1:$A$24), FALSE)), ""=0"") + COUNTIF(ARRAYFORMULA(HLOOKUP($B68, IMPORTRANGE('Prelim Rankings U"&amp;"nsorted'!$B$41, CONCAT(VLOOKUP($C68, 'Match Names'!$A$1:$D$22, 3, FALSE), ""!C3:R29"")), ROW($A$1:$A$24), FALSE)), ""=0"") + COUNTIF(ARRAYFORMULA(HLOOKUP($B68, IMPORTRANGE('Prelim Rankings Unsorted'!$B$42, CONCAT(VLOOKUP($C68, 'Match Names'!$A$1:$D$22, 4,"&amp;" FALSE), ""!C3:R29"")), ROW($A$1:$A$24), FALSE)), ""=0"") + COUNTIF(ARRAYFORMULA(HLOOKUP($B68, IMPORTRANGE('Match Names'!$E$23, CONCAT(VLOOKUP($C68, 'Match Names'!$1:$22, 5, FALSE), ""!C3:R29"")), ROW($A$1:$A$24), FALSE)), ""=0"") + COUNTIF(ARRAYFORMULA(H"&amp;"LOOKUP($B68, IMPORTRANGE('Match Names'!$F$23, CONCAT(VLOOKUP($C68, 'Match Names'!$1:$22, 6, FALSE), ""!C3:R29"")), ROW($A$1:$A$24), FALSE)), ""=0"") + COUNTIF(ARRAYFORMULA(HLOOKUP($B68, IMPORTRANGE('Match Names'!$G$23, CONCAT(VLOOKUP($C68, 'Match Names'!$"&amp;"1:$22, 7, FALSE), ""!C3:R29"")), ROW($A$1:$A$24), FALSE)), ""=0"") + COUNTIF(ARRAYFORMULA(HLOOKUP($B68, IMPORTRANGE('Match Names'!$H$23, CONCAT(VLOOKUP($C68, 'Match Names'!$1:$22, 8, FALSE), ""!C3:R29"")), ROW($A$1:$A$24), FALSE)), ""=0"")"),14.0)</f>
        <v>14</v>
      </c>
      <c r="G68" s="4">
        <f>IFERROR(__xludf.DUMMYFUNCTION("COUNTIF(ARRAYFORMULA(HLOOKUP($B68, IMPORTRANGE('Prelim Rankings Unsorted'!$B$40, CONCAT(VLOOKUP($C68, 'Match Names'!$A$1:$D$22, 2, FALSE), ""!C3:R29"")), ROW($A$1:$A$24), FALSE)), ""=-4"") + COUNTIF(ARRAYFORMULA(HLOOKUP($B68, IMPORTRANGE('Prelim Rankings "&amp;"Unsorted'!$B$41, CONCAT(VLOOKUP($C68, 'Match Names'!$A$1:$D$22, 3, FALSE), ""!C3:R29"")), ROW($A$1:$A$24), FALSE)), ""=-4"") + COUNTIF(ARRAYFORMULA(HLOOKUP($B68, IMPORTRANGE('Prelim Rankings Unsorted'!$B$42, CONCAT(VLOOKUP($C68, 'Match Names'!$A$1:$D$22, "&amp;"4, FALSE), ""!C3:R29"")), ROW($A$1:$A$24), FALSE)), ""=-4"") + COUNTIF(ARRAYFORMULA(HLOOKUP($B68, IMPORTRANGE('Match Names'!$E$23, CONCAT(VLOOKUP($C68, 'Match Names'!$1:$22, 5, FALSE), ""!C3:R29"")), ROW($A$1:$A$24), FALSE)), ""=-4"") + COUNTIF(ARRAYFORMU"&amp;"LA(HLOOKUP($B68, IMPORTRANGE('Match Names'!$F$23, CONCAT(VLOOKUP($C68, 'Match Names'!$1:$22, 6, FALSE), ""!C3:R29"")), ROW($A$1:$A$24), FALSE)), ""=-4"") + COUNTIF(ARRAYFORMULA(HLOOKUP($B68, IMPORTRANGE('Match Names'!$G$23, CONCAT(VLOOKUP($C68, 'Match Nam"&amp;"es'!$1:$22, 7, FALSE), ""!C3:R29"")), ROW($A$1:$A$24), FALSE)), ""=-4"") + COUNTIF(ARRAYFORMULA(HLOOKUP($B68, IMPORTRANGE('Match Names'!$H$23, CONCAT(VLOOKUP($C68, 'Match Names'!$1:$22, 8, FALSE), ""!C3:R29"")), ROW($A$1:$A$24), FALSE)), ""=-4"")"),3.0)</f>
        <v>3</v>
      </c>
      <c r="H68" s="4">
        <f t="shared" si="1"/>
        <v>1</v>
      </c>
    </row>
    <row r="69">
      <c r="A69" s="21" t="s">
        <v>160</v>
      </c>
      <c r="B69" s="7" t="str">
        <f>VLOOKUP(CONCAT(A69, C69), 'Discord Username to Real Name'!C:D, 2, FALSE)</f>
        <v>luczha003#3376</v>
      </c>
      <c r="C69" s="21" t="s">
        <v>30</v>
      </c>
      <c r="D69" s="11">
        <f>IFERROR(__xludf.DUMMYFUNCTION("(23 - COUNTIF(IFERROR(ARRAYFORMULA(HLOOKUP($B69, IMPORTRANGE('Prelim Rankings Unsorted'!$B$40, CONCAT(VLOOKUP($C69, 'Match Names'!$A$1:$D$22, 2, FALSE), ""!C3:R29"")), ROW($A$1:$A$24), FALSE)), $AA$9:$AA$31), ""=X"")) + (23 - COUNTIF(IFERROR(ARRAYFORMULA("&amp;"HLOOKUP($B69, IMPORTRANGE('Prelim Rankings Unsorted'!$B$41, CONCAT(VLOOKUP($C69, 'Match Names'!$A$1:$D$22, 3, FALSE), ""!C3:R29"")), ROW($A$1:$A$24), FALSE)), $AA$9:$AA$31), ""=X"")) + (23 - COUNTIF(IFERROR(ARRAYFORMULA(HLOOKUP($B69, IMPORTRANGE('Prelim R"&amp;"ankings Unsorted'!$B$42, CONCAT(VLOOKUP($C69, 'Match Names'!$A$1:$D$22, 4, FALSE), ""!C3:R29"")), ROW($A$1:$A$24), FALSE)), $AA$9:$AA$31), ""=X"")) + (23 - COUNTIF(IFERROR(ARRAYFORMULA(HLOOKUP($B69, IMPORTRANGE('Match Names'!$E$23, CONCAT(VLOOKUP($C69, 'M"&amp;"atch Names'!$1:$22, 5, FALSE), ""!C3:R29"")), ROW($A$1:$A$24), FALSE)), $AA$9:$AA$31), ""=X"")) + (23 - COUNTIF(IFERROR(ARRAYFORMULA(HLOOKUP($B69, IMPORTRANGE('Match Names'!$F$23, CONCAT(VLOOKUP($C69, 'Match Names'!$1:$22, 6, FALSE), ""!C3:R29"")), ROW($A"&amp;"$1:$A$24), FALSE)), $AA$9:$AA$31), ""=X"")) + (23 - COUNTIF(IFERROR(ARRAYFORMULA(HLOOKUP($B69, IMPORTRANGE('Match Names'!$G$23, CONCAT(VLOOKUP($C69, 'Match Names'!$1:$22, 7, FALSE), ""!C3:R29"")), ROW($A$1:$A$24), FALSE)), $AA$9:$AA$31), ""=X"")) + (23 - "&amp;"COUNTIF(IFERROR(ARRAYFORMULA(HLOOKUP($B69, IMPORTRANGE('Match Names'!$H$23, CONCAT(VLOOKUP($C69, 'Match Names'!$1:$22, 8, FALSE), ""!C3:R29"")), ROW($A$1:$A$24), FALSE)), $AA$9:$AA$31), ""=X""))"),69.0)</f>
        <v>69</v>
      </c>
      <c r="E69" s="4">
        <f>IFERROR(__xludf.DUMMYFUNCTION("COUNTIF(ARRAYFORMULA(HLOOKUP($B69, IMPORTRANGE('Prelim Rankings Unsorted'!$B$40, CONCAT(VLOOKUP($C69, 'Match Names'!$A$1:$D$22, 2, FALSE), ""!C3:R29"")), ROW($A$1:$A$24), FALSE)), ""=4"") + COUNTIF(ARRAYFORMULA(HLOOKUP($B69, IMPORTRANGE('Prelim Rankings U"&amp;"nsorted'!$B$41, CONCAT(VLOOKUP($C69, 'Match Names'!$A$1:$D$22, 3, FALSE), ""!C3:R29"")), ROW($A$1:$A$24), FALSE)), ""=4"") + COUNTIF(ARRAYFORMULA(HLOOKUP($B69, IMPORTRANGE('Prelim Rankings Unsorted'!$B$42, CONCAT(VLOOKUP($C69, 'Match Names'!$A$1:$D$22, 4,"&amp;" FALSE), ""!C3:R29"")), ROW($A$1:$A$24), FALSE)), ""=4"") + COUNTIF(ARRAYFORMULA(HLOOKUP($B69, IMPORTRANGE('Match Names'!$E$23, CONCAT(VLOOKUP($C69, 'Match Names'!$1:$22, 5, FALSE), ""!C3:R29"")), ROW($A$1:$A$24), FALSE)), ""=4"") + COUNTIF(ARRAYFORMULA(H"&amp;"LOOKUP($B69, IMPORTRANGE('Match Names'!$F$23, CONCAT(VLOOKUP($C69, 'Match Names'!$1:$22, 6, FALSE), ""!C3:R29"")), ROW($A$1:$A$24), FALSE)), ""=4"") + COUNTIF(ARRAYFORMULA(HLOOKUP($B69, IMPORTRANGE('Match Names'!$G$23, CONCAT(VLOOKUP($C69, 'Match Names'!$"&amp;"1:$22, 7, FALSE), ""!C3:R29"")), ROW($A$1:$A$24), FALSE)), ""=4"") + COUNTIF(ARRAYFORMULA(HLOOKUP($B69, IMPORTRANGE('Match Names'!$H$23, CONCAT(VLOOKUP($C69, 'Match Names'!$1:$22, 8, FALSE), ""!C3:R29"")), ROW($A$1:$A$24), FALSE)), ""=4"")"),4.0)</f>
        <v>4</v>
      </c>
      <c r="F69" s="4">
        <f>IFERROR(__xludf.DUMMYFUNCTION("COUNTIF(ARRAYFORMULA(HLOOKUP($B69, IMPORTRANGE('Prelim Rankings Unsorted'!$B$40, CONCAT(VLOOKUP($C69, 'Match Names'!$A$1:$D$22, 2, FALSE), ""!C3:R29"")), ROW($A$1:$A$24), FALSE)), ""=0"") + COUNTIF(ARRAYFORMULA(HLOOKUP($B69, IMPORTRANGE('Prelim Rankings U"&amp;"nsorted'!$B$41, CONCAT(VLOOKUP($C69, 'Match Names'!$A$1:$D$22, 3, FALSE), ""!C3:R29"")), ROW($A$1:$A$24), FALSE)), ""=0"") + COUNTIF(ARRAYFORMULA(HLOOKUP($B69, IMPORTRANGE('Prelim Rankings Unsorted'!$B$42, CONCAT(VLOOKUP($C69, 'Match Names'!$A$1:$D$22, 4,"&amp;" FALSE), ""!C3:R29"")), ROW($A$1:$A$24), FALSE)), ""=0"") + COUNTIF(ARRAYFORMULA(HLOOKUP($B69, IMPORTRANGE('Match Names'!$E$23, CONCAT(VLOOKUP($C69, 'Match Names'!$1:$22, 5, FALSE), ""!C3:R29"")), ROW($A$1:$A$24), FALSE)), ""=0"") + COUNTIF(ARRAYFORMULA(H"&amp;"LOOKUP($B69, IMPORTRANGE('Match Names'!$F$23, CONCAT(VLOOKUP($C69, 'Match Names'!$1:$22, 6, FALSE), ""!C3:R29"")), ROW($A$1:$A$24), FALSE)), ""=0"") + COUNTIF(ARRAYFORMULA(HLOOKUP($B69, IMPORTRANGE('Match Names'!$G$23, CONCAT(VLOOKUP($C69, 'Match Names'!$"&amp;"1:$22, 7, FALSE), ""!C3:R29"")), ROW($A$1:$A$24), FALSE)), ""=0"") + COUNTIF(ARRAYFORMULA(HLOOKUP($B69, IMPORTRANGE('Match Names'!$H$23, CONCAT(VLOOKUP($C69, 'Match Names'!$1:$22, 8, FALSE), ""!C3:R29"")), ROW($A$1:$A$24), FALSE)), ""=0"")"),7.0)</f>
        <v>7</v>
      </c>
      <c r="G69" s="4">
        <f>IFERROR(__xludf.DUMMYFUNCTION("COUNTIF(ARRAYFORMULA(HLOOKUP($B69, IMPORTRANGE('Prelim Rankings Unsorted'!$B$40, CONCAT(VLOOKUP($C69, 'Match Names'!$A$1:$D$22, 2, FALSE), ""!C3:R29"")), ROW($A$1:$A$24), FALSE)), ""=-4"") + COUNTIF(ARRAYFORMULA(HLOOKUP($B69, IMPORTRANGE('Prelim Rankings "&amp;"Unsorted'!$B$41, CONCAT(VLOOKUP($C69, 'Match Names'!$A$1:$D$22, 3, FALSE), ""!C3:R29"")), ROW($A$1:$A$24), FALSE)), ""=-4"") + COUNTIF(ARRAYFORMULA(HLOOKUP($B69, IMPORTRANGE('Prelim Rankings Unsorted'!$B$42, CONCAT(VLOOKUP($C69, 'Match Names'!$A$1:$D$22, "&amp;"4, FALSE), ""!C3:R29"")), ROW($A$1:$A$24), FALSE)), ""=-4"") + COUNTIF(ARRAYFORMULA(HLOOKUP($B69, IMPORTRANGE('Match Names'!$E$23, CONCAT(VLOOKUP($C69, 'Match Names'!$1:$22, 5, FALSE), ""!C3:R29"")), ROW($A$1:$A$24), FALSE)), ""=-4"") + COUNTIF(ARRAYFORMU"&amp;"LA(HLOOKUP($B69, IMPORTRANGE('Match Names'!$F$23, CONCAT(VLOOKUP($C69, 'Match Names'!$1:$22, 6, FALSE), ""!C3:R29"")), ROW($A$1:$A$24), FALSE)), ""=-4"") + COUNTIF(ARRAYFORMULA(HLOOKUP($B69, IMPORTRANGE('Match Names'!$G$23, CONCAT(VLOOKUP($C69, 'Match Nam"&amp;"es'!$1:$22, 7, FALSE), ""!C3:R29"")), ROW($A$1:$A$24), FALSE)), ""=-4"") + COUNTIF(ARRAYFORMULA(HLOOKUP($B69, IMPORTRANGE('Match Names'!$H$23, CONCAT(VLOOKUP($C69, 'Match Names'!$1:$22, 8, FALSE), ""!C3:R29"")), ROW($A$1:$A$24), FALSE)), ""=-4"")"),2.0)</f>
        <v>2</v>
      </c>
      <c r="H69" s="4">
        <f t="shared" si="1"/>
        <v>2.67</v>
      </c>
    </row>
    <row r="70">
      <c r="A70" s="21" t="s">
        <v>202</v>
      </c>
      <c r="B70" s="7" t="str">
        <f>VLOOKUP(CONCAT(A70, C70), 'Discord Username to Real Name'!C:D, 2, FALSE)</f>
        <v>Ritz#0792</v>
      </c>
      <c r="C70" s="21" t="s">
        <v>30</v>
      </c>
      <c r="D70" s="11">
        <f>IFERROR(__xludf.DUMMYFUNCTION("(23 - COUNTIF(IFERROR(ARRAYFORMULA(HLOOKUP($B70, IMPORTRANGE('Prelim Rankings Unsorted'!$B$40, CONCAT(VLOOKUP($C70, 'Match Names'!$A$1:$D$22, 2, FALSE), ""!C3:R29"")), ROW($A$1:$A$24), FALSE)), $AA$9:$AA$31), ""=X"")) + (23 - COUNTIF(IFERROR(ARRAYFORMULA("&amp;"HLOOKUP($B70, IMPORTRANGE('Prelim Rankings Unsorted'!$B$41, CONCAT(VLOOKUP($C70, 'Match Names'!$A$1:$D$22, 3, FALSE), ""!C3:R29"")), ROW($A$1:$A$24), FALSE)), $AA$9:$AA$31), ""=X"")) + (23 - COUNTIF(IFERROR(ARRAYFORMULA(HLOOKUP($B70, IMPORTRANGE('Prelim R"&amp;"ankings Unsorted'!$B$42, CONCAT(VLOOKUP($C70, 'Match Names'!$A$1:$D$22, 4, FALSE), ""!C3:R29"")), ROW($A$1:$A$24), FALSE)), $AA$9:$AA$31), ""=X"")) + (23 - COUNTIF(IFERROR(ARRAYFORMULA(HLOOKUP($B70, IMPORTRANGE('Match Names'!$E$23, CONCAT(VLOOKUP($C70, 'M"&amp;"atch Names'!$1:$22, 5, FALSE), ""!C3:R29"")), ROW($A$1:$A$24), FALSE)), $AA$9:$AA$31), ""=X"")) + (23 - COUNTIF(IFERROR(ARRAYFORMULA(HLOOKUP($B70, IMPORTRANGE('Match Names'!$F$23, CONCAT(VLOOKUP($C70, 'Match Names'!$1:$22, 6, FALSE), ""!C3:R29"")), ROW($A"&amp;"$1:$A$24), FALSE)), $AA$9:$AA$31), ""=X"")) + (23 - COUNTIF(IFERROR(ARRAYFORMULA(HLOOKUP($B70, IMPORTRANGE('Match Names'!$G$23, CONCAT(VLOOKUP($C70, 'Match Names'!$1:$22, 7, FALSE), ""!C3:R29"")), ROW($A$1:$A$24), FALSE)), $AA$9:$AA$31), ""=X"")) + (23 - "&amp;"COUNTIF(IFERROR(ARRAYFORMULA(HLOOKUP($B70, IMPORTRANGE('Match Names'!$H$23, CONCAT(VLOOKUP($C70, 'Match Names'!$1:$22, 8, FALSE), ""!C3:R29"")), ROW($A$1:$A$24), FALSE)), $AA$9:$AA$31), ""=X""))"),0.0)</f>
        <v>0</v>
      </c>
      <c r="E70" s="4">
        <f>IFERROR(__xludf.DUMMYFUNCTION("COUNTIF(ARRAYFORMULA(HLOOKUP($B70, IMPORTRANGE('Prelim Rankings Unsorted'!$B$40, CONCAT(VLOOKUP($C70, 'Match Names'!$A$1:$D$22, 2, FALSE), ""!C3:R29"")), ROW($A$1:$A$24), FALSE)), ""=4"") + COUNTIF(ARRAYFORMULA(HLOOKUP($B70, IMPORTRANGE('Prelim Rankings U"&amp;"nsorted'!$B$41, CONCAT(VLOOKUP($C70, 'Match Names'!$A$1:$D$22, 3, FALSE), ""!C3:R29"")), ROW($A$1:$A$24), FALSE)), ""=4"") + COUNTIF(ARRAYFORMULA(HLOOKUP($B70, IMPORTRANGE('Prelim Rankings Unsorted'!$B$42, CONCAT(VLOOKUP($C70, 'Match Names'!$A$1:$D$22, 4,"&amp;" FALSE), ""!C3:R29"")), ROW($A$1:$A$24), FALSE)), ""=4"") + COUNTIF(ARRAYFORMULA(HLOOKUP($B70, IMPORTRANGE('Match Names'!$E$23, CONCAT(VLOOKUP($C70, 'Match Names'!$1:$22, 5, FALSE), ""!C3:R29"")), ROW($A$1:$A$24), FALSE)), ""=4"") + COUNTIF(ARRAYFORMULA(H"&amp;"LOOKUP($B70, IMPORTRANGE('Match Names'!$F$23, CONCAT(VLOOKUP($C70, 'Match Names'!$1:$22, 6, FALSE), ""!C3:R29"")), ROW($A$1:$A$24), FALSE)), ""=4"") + COUNTIF(ARRAYFORMULA(HLOOKUP($B70, IMPORTRANGE('Match Names'!$G$23, CONCAT(VLOOKUP($C70, 'Match Names'!$"&amp;"1:$22, 7, FALSE), ""!C3:R29"")), ROW($A$1:$A$24), FALSE)), ""=4"") + COUNTIF(ARRAYFORMULA(HLOOKUP($B70, IMPORTRANGE('Match Names'!$H$23, CONCAT(VLOOKUP($C70, 'Match Names'!$1:$22, 8, FALSE), ""!C3:R29"")), ROW($A$1:$A$24), FALSE)), ""=4"")"),0.0)</f>
        <v>0</v>
      </c>
      <c r="F70" s="4">
        <f>IFERROR(__xludf.DUMMYFUNCTION("COUNTIF(ARRAYFORMULA(HLOOKUP($B70, IMPORTRANGE('Prelim Rankings Unsorted'!$B$40, CONCAT(VLOOKUP($C70, 'Match Names'!$A$1:$D$22, 2, FALSE), ""!C3:R29"")), ROW($A$1:$A$24), FALSE)), ""=0"") + COUNTIF(ARRAYFORMULA(HLOOKUP($B70, IMPORTRANGE('Prelim Rankings U"&amp;"nsorted'!$B$41, CONCAT(VLOOKUP($C70, 'Match Names'!$A$1:$D$22, 3, FALSE), ""!C3:R29"")), ROW($A$1:$A$24), FALSE)), ""=0"") + COUNTIF(ARRAYFORMULA(HLOOKUP($B70, IMPORTRANGE('Prelim Rankings Unsorted'!$B$42, CONCAT(VLOOKUP($C70, 'Match Names'!$A$1:$D$22, 4,"&amp;" FALSE), ""!C3:R29"")), ROW($A$1:$A$24), FALSE)), ""=0"") + COUNTIF(ARRAYFORMULA(HLOOKUP($B70, IMPORTRANGE('Match Names'!$E$23, CONCAT(VLOOKUP($C70, 'Match Names'!$1:$22, 5, FALSE), ""!C3:R29"")), ROW($A$1:$A$24), FALSE)), ""=0"") + COUNTIF(ARRAYFORMULA(H"&amp;"LOOKUP($B70, IMPORTRANGE('Match Names'!$F$23, CONCAT(VLOOKUP($C70, 'Match Names'!$1:$22, 6, FALSE), ""!C3:R29"")), ROW($A$1:$A$24), FALSE)), ""=0"") + COUNTIF(ARRAYFORMULA(HLOOKUP($B70, IMPORTRANGE('Match Names'!$G$23, CONCAT(VLOOKUP($C70, 'Match Names'!$"&amp;"1:$22, 7, FALSE), ""!C3:R29"")), ROW($A$1:$A$24), FALSE)), ""=0"") + COUNTIF(ARRAYFORMULA(HLOOKUP($B70, IMPORTRANGE('Match Names'!$H$23, CONCAT(VLOOKUP($C70, 'Match Names'!$1:$22, 8, FALSE), ""!C3:R29"")), ROW($A$1:$A$24), FALSE)), ""=0"")"),0.0)</f>
        <v>0</v>
      </c>
      <c r="G70" s="4">
        <f>IFERROR(__xludf.DUMMYFUNCTION("COUNTIF(ARRAYFORMULA(HLOOKUP($B70, IMPORTRANGE('Prelim Rankings Unsorted'!$B$40, CONCAT(VLOOKUP($C70, 'Match Names'!$A$1:$D$22, 2, FALSE), ""!C3:R29"")), ROW($A$1:$A$24), FALSE)), ""=-4"") + COUNTIF(ARRAYFORMULA(HLOOKUP($B70, IMPORTRANGE('Prelim Rankings "&amp;"Unsorted'!$B$41, CONCAT(VLOOKUP($C70, 'Match Names'!$A$1:$D$22, 3, FALSE), ""!C3:R29"")), ROW($A$1:$A$24), FALSE)), ""=-4"") + COUNTIF(ARRAYFORMULA(HLOOKUP($B70, IMPORTRANGE('Prelim Rankings Unsorted'!$B$42, CONCAT(VLOOKUP($C70, 'Match Names'!$A$1:$D$22, "&amp;"4, FALSE), ""!C3:R29"")), ROW($A$1:$A$24), FALSE)), ""=-4"") + COUNTIF(ARRAYFORMULA(HLOOKUP($B70, IMPORTRANGE('Match Names'!$E$23, CONCAT(VLOOKUP($C70, 'Match Names'!$1:$22, 5, FALSE), ""!C3:R29"")), ROW($A$1:$A$24), FALSE)), ""=-4"") + COUNTIF(ARRAYFORMU"&amp;"LA(HLOOKUP($B70, IMPORTRANGE('Match Names'!$F$23, CONCAT(VLOOKUP($C70, 'Match Names'!$1:$22, 6, FALSE), ""!C3:R29"")), ROW($A$1:$A$24), FALSE)), ""=-4"") + COUNTIF(ARRAYFORMULA(HLOOKUP($B70, IMPORTRANGE('Match Names'!$G$23, CONCAT(VLOOKUP($C70, 'Match Nam"&amp;"es'!$1:$22, 7, FALSE), ""!C3:R29"")), ROW($A$1:$A$24), FALSE)), ""=-4"") + COUNTIF(ARRAYFORMULA(HLOOKUP($B70, IMPORTRANGE('Match Names'!$H$23, CONCAT(VLOOKUP($C70, 'Match Names'!$1:$22, 8, FALSE), ""!C3:R29"")), ROW($A$1:$A$24), FALSE)), ""=-4"")"),0.0)</f>
        <v>0</v>
      </c>
      <c r="H70" s="4">
        <f t="shared" si="1"/>
        <v>0</v>
      </c>
    </row>
    <row r="71">
      <c r="A71" s="21" t="s">
        <v>148</v>
      </c>
      <c r="B71" s="7" t="str">
        <f>VLOOKUP(CONCAT(A71, C71), 'Discord Username to Real Name'!C:D, 2, FALSE)</f>
        <v>RR#5337</v>
      </c>
      <c r="C71" s="21" t="s">
        <v>30</v>
      </c>
      <c r="D71" s="11">
        <f>IFERROR(__xludf.DUMMYFUNCTION("(23 - COUNTIF(IFERROR(ARRAYFORMULA(HLOOKUP($B71, IMPORTRANGE('Prelim Rankings Unsorted'!$B$40, CONCAT(VLOOKUP($C71, 'Match Names'!$A$1:$D$22, 2, FALSE), ""!C3:R29"")), ROW($A$1:$A$24), FALSE)), $AA$9:$AA$31), ""=X"")) + (23 - COUNTIF(IFERROR(ARRAYFORMULA("&amp;"HLOOKUP($B71, IMPORTRANGE('Prelim Rankings Unsorted'!$B$41, CONCAT(VLOOKUP($C71, 'Match Names'!$A$1:$D$22, 3, FALSE), ""!C3:R29"")), ROW($A$1:$A$24), FALSE)), $AA$9:$AA$31), ""=X"")) + (23 - COUNTIF(IFERROR(ARRAYFORMULA(HLOOKUP($B71, IMPORTRANGE('Prelim R"&amp;"ankings Unsorted'!$B$42, CONCAT(VLOOKUP($C71, 'Match Names'!$A$1:$D$22, 4, FALSE), ""!C3:R29"")), ROW($A$1:$A$24), FALSE)), $AA$9:$AA$31), ""=X"")) + (23 - COUNTIF(IFERROR(ARRAYFORMULA(HLOOKUP($B71, IMPORTRANGE('Match Names'!$E$23, CONCAT(VLOOKUP($C71, 'M"&amp;"atch Names'!$1:$22, 5, FALSE), ""!C3:R29"")), ROW($A$1:$A$24), FALSE)), $AA$9:$AA$31), ""=X"")) + (23 - COUNTIF(IFERROR(ARRAYFORMULA(HLOOKUP($B71, IMPORTRANGE('Match Names'!$F$23, CONCAT(VLOOKUP($C71, 'Match Names'!$1:$22, 6, FALSE), ""!C3:R29"")), ROW($A"&amp;"$1:$A$24), FALSE)), $AA$9:$AA$31), ""=X"")) + (23 - COUNTIF(IFERROR(ARRAYFORMULA(HLOOKUP($B71, IMPORTRANGE('Match Names'!$G$23, CONCAT(VLOOKUP($C71, 'Match Names'!$1:$22, 7, FALSE), ""!C3:R29"")), ROW($A$1:$A$24), FALSE)), $AA$9:$AA$31), ""=X"")) + (23 - "&amp;"COUNTIF(IFERROR(ARRAYFORMULA(HLOOKUP($B71, IMPORTRANGE('Match Names'!$H$23, CONCAT(VLOOKUP($C71, 'Match Names'!$1:$22, 8, FALSE), ""!C3:R29"")), ROW($A$1:$A$24), FALSE)), $AA$9:$AA$31), ""=X""))"),69.0)</f>
        <v>69</v>
      </c>
      <c r="E71" s="4">
        <f>IFERROR(__xludf.DUMMYFUNCTION("COUNTIF(ARRAYFORMULA(HLOOKUP($B71, IMPORTRANGE('Prelim Rankings Unsorted'!$B$40, CONCAT(VLOOKUP($C71, 'Match Names'!$A$1:$D$22, 2, FALSE), ""!C3:R29"")), ROW($A$1:$A$24), FALSE)), ""=4"") + COUNTIF(ARRAYFORMULA(HLOOKUP($B71, IMPORTRANGE('Prelim Rankings U"&amp;"nsorted'!$B$41, CONCAT(VLOOKUP($C71, 'Match Names'!$A$1:$D$22, 3, FALSE), ""!C3:R29"")), ROW($A$1:$A$24), FALSE)), ""=4"") + COUNTIF(ARRAYFORMULA(HLOOKUP($B71, IMPORTRANGE('Prelim Rankings Unsorted'!$B$42, CONCAT(VLOOKUP($C71, 'Match Names'!$A$1:$D$22, 4,"&amp;" FALSE), ""!C3:R29"")), ROW($A$1:$A$24), FALSE)), ""=4"") + COUNTIF(ARRAYFORMULA(HLOOKUP($B71, IMPORTRANGE('Match Names'!$E$23, CONCAT(VLOOKUP($C71, 'Match Names'!$1:$22, 5, FALSE), ""!C3:R29"")), ROW($A$1:$A$24), FALSE)), ""=4"") + COUNTIF(ARRAYFORMULA(H"&amp;"LOOKUP($B71, IMPORTRANGE('Match Names'!$F$23, CONCAT(VLOOKUP($C71, 'Match Names'!$1:$22, 6, FALSE), ""!C3:R29"")), ROW($A$1:$A$24), FALSE)), ""=4"") + COUNTIF(ARRAYFORMULA(HLOOKUP($B71, IMPORTRANGE('Match Names'!$G$23, CONCAT(VLOOKUP($C71, 'Match Names'!$"&amp;"1:$22, 7, FALSE), ""!C3:R29"")), ROW($A$1:$A$24), FALSE)), ""=4"") + COUNTIF(ARRAYFORMULA(HLOOKUP($B71, IMPORTRANGE('Match Names'!$H$23, CONCAT(VLOOKUP($C71, 'Match Names'!$1:$22, 8, FALSE), ""!C3:R29"")), ROW($A$1:$A$24), FALSE)), ""=4"")"),3.0)</f>
        <v>3</v>
      </c>
      <c r="F71" s="4">
        <f>IFERROR(__xludf.DUMMYFUNCTION("COUNTIF(ARRAYFORMULA(HLOOKUP($B71, IMPORTRANGE('Prelim Rankings Unsorted'!$B$40, CONCAT(VLOOKUP($C71, 'Match Names'!$A$1:$D$22, 2, FALSE), ""!C3:R29"")), ROW($A$1:$A$24), FALSE)), ""=0"") + COUNTIF(ARRAYFORMULA(HLOOKUP($B71, IMPORTRANGE('Prelim Rankings U"&amp;"nsorted'!$B$41, CONCAT(VLOOKUP($C71, 'Match Names'!$A$1:$D$22, 3, FALSE), ""!C3:R29"")), ROW($A$1:$A$24), FALSE)), ""=0"") + COUNTIF(ARRAYFORMULA(HLOOKUP($B71, IMPORTRANGE('Prelim Rankings Unsorted'!$B$42, CONCAT(VLOOKUP($C71, 'Match Names'!$A$1:$D$22, 4,"&amp;" FALSE), ""!C3:R29"")), ROW($A$1:$A$24), FALSE)), ""=0"") + COUNTIF(ARRAYFORMULA(HLOOKUP($B71, IMPORTRANGE('Match Names'!$E$23, CONCAT(VLOOKUP($C71, 'Match Names'!$1:$22, 5, FALSE), ""!C3:R29"")), ROW($A$1:$A$24), FALSE)), ""=0"") + COUNTIF(ARRAYFORMULA(H"&amp;"LOOKUP($B71, IMPORTRANGE('Match Names'!$F$23, CONCAT(VLOOKUP($C71, 'Match Names'!$1:$22, 6, FALSE), ""!C3:R29"")), ROW($A$1:$A$24), FALSE)), ""=0"") + COUNTIF(ARRAYFORMULA(HLOOKUP($B71, IMPORTRANGE('Match Names'!$G$23, CONCAT(VLOOKUP($C71, 'Match Names'!$"&amp;"1:$22, 7, FALSE), ""!C3:R29"")), ROW($A$1:$A$24), FALSE)), ""=0"") + COUNTIF(ARRAYFORMULA(HLOOKUP($B71, IMPORTRANGE('Match Names'!$H$23, CONCAT(VLOOKUP($C71, 'Match Names'!$1:$22, 8, FALSE), ""!C3:R29"")), ROW($A$1:$A$24), FALSE)), ""=0"")"),1.0)</f>
        <v>1</v>
      </c>
      <c r="G71" s="4">
        <f>IFERROR(__xludf.DUMMYFUNCTION("COUNTIF(ARRAYFORMULA(HLOOKUP($B71, IMPORTRANGE('Prelim Rankings Unsorted'!$B$40, CONCAT(VLOOKUP($C71, 'Match Names'!$A$1:$D$22, 2, FALSE), ""!C3:R29"")), ROW($A$1:$A$24), FALSE)), ""=-4"") + COUNTIF(ARRAYFORMULA(HLOOKUP($B71, IMPORTRANGE('Prelim Rankings "&amp;"Unsorted'!$B$41, CONCAT(VLOOKUP($C71, 'Match Names'!$A$1:$D$22, 3, FALSE), ""!C3:R29"")), ROW($A$1:$A$24), FALSE)), ""=-4"") + COUNTIF(ARRAYFORMULA(HLOOKUP($B71, IMPORTRANGE('Prelim Rankings Unsorted'!$B$42, CONCAT(VLOOKUP($C71, 'Match Names'!$A$1:$D$22, "&amp;"4, FALSE), ""!C3:R29"")), ROW($A$1:$A$24), FALSE)), ""=-4"") + COUNTIF(ARRAYFORMULA(HLOOKUP($B71, IMPORTRANGE('Match Names'!$E$23, CONCAT(VLOOKUP($C71, 'Match Names'!$1:$22, 5, FALSE), ""!C3:R29"")), ROW($A$1:$A$24), FALSE)), ""=-4"") + COUNTIF(ARRAYFORMU"&amp;"LA(HLOOKUP($B71, IMPORTRANGE('Match Names'!$F$23, CONCAT(VLOOKUP($C71, 'Match Names'!$1:$22, 6, FALSE), ""!C3:R29"")), ROW($A$1:$A$24), FALSE)), ""=-4"") + COUNTIF(ARRAYFORMULA(HLOOKUP($B71, IMPORTRANGE('Match Names'!$G$23, CONCAT(VLOOKUP($C71, 'Match Nam"&amp;"es'!$1:$22, 7, FALSE), ""!C3:R29"")), ROW($A$1:$A$24), FALSE)), ""=-4"") + COUNTIF(ARRAYFORMULA(HLOOKUP($B71, IMPORTRANGE('Match Names'!$H$23, CONCAT(VLOOKUP($C71, 'Match Names'!$1:$22, 8, FALSE), ""!C3:R29"")), ROW($A$1:$A$24), FALSE)), ""=-4"")"),0.0)</f>
        <v>0</v>
      </c>
      <c r="H71" s="4">
        <f t="shared" si="1"/>
        <v>4</v>
      </c>
    </row>
    <row r="72">
      <c r="A72" s="21" t="s">
        <v>130</v>
      </c>
      <c r="B72" s="7" t="str">
        <f>VLOOKUP(CONCAT(A72, C72), 'Discord Username to Real Name'!C:D, 2, FALSE)</f>
        <v>crebz#4622</v>
      </c>
      <c r="C72" s="21" t="s">
        <v>30</v>
      </c>
      <c r="D72" s="11">
        <f>IFERROR(__xludf.DUMMYFUNCTION("(23 - COUNTIF(IFERROR(ARRAYFORMULA(HLOOKUP($B72, IMPORTRANGE('Prelim Rankings Unsorted'!$B$40, CONCAT(VLOOKUP($C72, 'Match Names'!$A$1:$D$22, 2, FALSE), ""!C3:R29"")), ROW($A$1:$A$24), FALSE)), $AA$9:$AA$31), ""=X"")) + (23 - COUNTIF(IFERROR(ARRAYFORMULA("&amp;"HLOOKUP($B72, IMPORTRANGE('Prelim Rankings Unsorted'!$B$41, CONCAT(VLOOKUP($C72, 'Match Names'!$A$1:$D$22, 3, FALSE), ""!C3:R29"")), ROW($A$1:$A$24), FALSE)), $AA$9:$AA$31), ""=X"")) + (23 - COUNTIF(IFERROR(ARRAYFORMULA(HLOOKUP($B72, IMPORTRANGE('Prelim R"&amp;"ankings Unsorted'!$B$42, CONCAT(VLOOKUP($C72, 'Match Names'!$A$1:$D$22, 4, FALSE), ""!C3:R29"")), ROW($A$1:$A$24), FALSE)), $AA$9:$AA$31), ""=X"")) + (23 - COUNTIF(IFERROR(ARRAYFORMULA(HLOOKUP($B72, IMPORTRANGE('Match Names'!$E$23, CONCAT(VLOOKUP($C72, 'M"&amp;"atch Names'!$1:$22, 5, FALSE), ""!C3:R29"")), ROW($A$1:$A$24), FALSE)), $AA$9:$AA$31), ""=X"")) + (23 - COUNTIF(IFERROR(ARRAYFORMULA(HLOOKUP($B72, IMPORTRANGE('Match Names'!$F$23, CONCAT(VLOOKUP($C72, 'Match Names'!$1:$22, 6, FALSE), ""!C3:R29"")), ROW($A"&amp;"$1:$A$24), FALSE)), $AA$9:$AA$31), ""=X"")) + (23 - COUNTIF(IFERROR(ARRAYFORMULA(HLOOKUP($B72, IMPORTRANGE('Match Names'!$G$23, CONCAT(VLOOKUP($C72, 'Match Names'!$1:$22, 7, FALSE), ""!C3:R29"")), ROW($A$1:$A$24), FALSE)), $AA$9:$AA$31), ""=X"")) + (23 - "&amp;"COUNTIF(IFERROR(ARRAYFORMULA(HLOOKUP($B72, IMPORTRANGE('Match Names'!$H$23, CONCAT(VLOOKUP($C72, 'Match Names'!$1:$22, 8, FALSE), ""!C3:R29"")), ROW($A$1:$A$24), FALSE)), $AA$9:$AA$31), ""=X""))"),69.0)</f>
        <v>69</v>
      </c>
      <c r="E72" s="4">
        <f>IFERROR(__xludf.DUMMYFUNCTION("COUNTIF(ARRAYFORMULA(HLOOKUP($B72, IMPORTRANGE('Prelim Rankings Unsorted'!$B$40, CONCAT(VLOOKUP($C72, 'Match Names'!$A$1:$D$22, 2, FALSE), ""!C3:R29"")), ROW($A$1:$A$24), FALSE)), ""=4"") + COUNTIF(ARRAYFORMULA(HLOOKUP($B72, IMPORTRANGE('Prelim Rankings U"&amp;"nsorted'!$B$41, CONCAT(VLOOKUP($C72, 'Match Names'!$A$1:$D$22, 3, FALSE), ""!C3:R29"")), ROW($A$1:$A$24), FALSE)), ""=4"") + COUNTIF(ARRAYFORMULA(HLOOKUP($B72, IMPORTRANGE('Prelim Rankings Unsorted'!$B$42, CONCAT(VLOOKUP($C72, 'Match Names'!$A$1:$D$22, 4,"&amp;" FALSE), ""!C3:R29"")), ROW($A$1:$A$24), FALSE)), ""=4"") + COUNTIF(ARRAYFORMULA(HLOOKUP($B72, IMPORTRANGE('Match Names'!$E$23, CONCAT(VLOOKUP($C72, 'Match Names'!$1:$22, 5, FALSE), ""!C3:R29"")), ROW($A$1:$A$24), FALSE)), ""=4"") + COUNTIF(ARRAYFORMULA(H"&amp;"LOOKUP($B72, IMPORTRANGE('Match Names'!$F$23, CONCAT(VLOOKUP($C72, 'Match Names'!$1:$22, 6, FALSE), ""!C3:R29"")), ROW($A$1:$A$24), FALSE)), ""=4"") + COUNTIF(ARRAYFORMULA(HLOOKUP($B72, IMPORTRANGE('Match Names'!$G$23, CONCAT(VLOOKUP($C72, 'Match Names'!$"&amp;"1:$22, 7, FALSE), ""!C3:R29"")), ROW($A$1:$A$24), FALSE)), ""=4"") + COUNTIF(ARRAYFORMULA(HLOOKUP($B72, IMPORTRANGE('Match Names'!$H$23, CONCAT(VLOOKUP($C72, 'Match Names'!$1:$22, 8, FALSE), ""!C3:R29"")), ROW($A$1:$A$24), FALSE)), ""=4"")"),5.0)</f>
        <v>5</v>
      </c>
      <c r="F72" s="4">
        <f>IFERROR(__xludf.DUMMYFUNCTION("COUNTIF(ARRAYFORMULA(HLOOKUP($B72, IMPORTRANGE('Prelim Rankings Unsorted'!$B$40, CONCAT(VLOOKUP($C72, 'Match Names'!$A$1:$D$22, 2, FALSE), ""!C3:R29"")), ROW($A$1:$A$24), FALSE)), ""=0"") + COUNTIF(ARRAYFORMULA(HLOOKUP($B72, IMPORTRANGE('Prelim Rankings U"&amp;"nsorted'!$B$41, CONCAT(VLOOKUP($C72, 'Match Names'!$A$1:$D$22, 3, FALSE), ""!C3:R29"")), ROW($A$1:$A$24), FALSE)), ""=0"") + COUNTIF(ARRAYFORMULA(HLOOKUP($B72, IMPORTRANGE('Prelim Rankings Unsorted'!$B$42, CONCAT(VLOOKUP($C72, 'Match Names'!$A$1:$D$22, 4,"&amp;" FALSE), ""!C3:R29"")), ROW($A$1:$A$24), FALSE)), ""=0"") + COUNTIF(ARRAYFORMULA(HLOOKUP($B72, IMPORTRANGE('Match Names'!$E$23, CONCAT(VLOOKUP($C72, 'Match Names'!$1:$22, 5, FALSE), ""!C3:R29"")), ROW($A$1:$A$24), FALSE)), ""=0"") + COUNTIF(ARRAYFORMULA(H"&amp;"LOOKUP($B72, IMPORTRANGE('Match Names'!$F$23, CONCAT(VLOOKUP($C72, 'Match Names'!$1:$22, 6, FALSE), ""!C3:R29"")), ROW($A$1:$A$24), FALSE)), ""=0"") + COUNTIF(ARRAYFORMULA(HLOOKUP($B72, IMPORTRANGE('Match Names'!$G$23, CONCAT(VLOOKUP($C72, 'Match Names'!$"&amp;"1:$22, 7, FALSE), ""!C3:R29"")), ROW($A$1:$A$24), FALSE)), ""=0"") + COUNTIF(ARRAYFORMULA(HLOOKUP($B72, IMPORTRANGE('Match Names'!$H$23, CONCAT(VLOOKUP($C72, 'Match Names'!$1:$22, 8, FALSE), ""!C3:R29"")), ROW($A$1:$A$24), FALSE)), ""=0"")"),4.0)</f>
        <v>4</v>
      </c>
      <c r="G72" s="4">
        <f>IFERROR(__xludf.DUMMYFUNCTION("COUNTIF(ARRAYFORMULA(HLOOKUP($B72, IMPORTRANGE('Prelim Rankings Unsorted'!$B$40, CONCAT(VLOOKUP($C72, 'Match Names'!$A$1:$D$22, 2, FALSE), ""!C3:R29"")), ROW($A$1:$A$24), FALSE)), ""=-4"") + COUNTIF(ARRAYFORMULA(HLOOKUP($B72, IMPORTRANGE('Prelim Rankings "&amp;"Unsorted'!$B$41, CONCAT(VLOOKUP($C72, 'Match Names'!$A$1:$D$22, 3, FALSE), ""!C3:R29"")), ROW($A$1:$A$24), FALSE)), ""=-4"") + COUNTIF(ARRAYFORMULA(HLOOKUP($B72, IMPORTRANGE('Prelim Rankings Unsorted'!$B$42, CONCAT(VLOOKUP($C72, 'Match Names'!$A$1:$D$22, "&amp;"4, FALSE), ""!C3:R29"")), ROW($A$1:$A$24), FALSE)), ""=-4"") + COUNTIF(ARRAYFORMULA(HLOOKUP($B72, IMPORTRANGE('Match Names'!$E$23, CONCAT(VLOOKUP($C72, 'Match Names'!$1:$22, 5, FALSE), ""!C3:R29"")), ROW($A$1:$A$24), FALSE)), ""=-4"") + COUNTIF(ARRAYFORMU"&amp;"LA(HLOOKUP($B72, IMPORTRANGE('Match Names'!$F$23, CONCAT(VLOOKUP($C72, 'Match Names'!$1:$22, 6, FALSE), ""!C3:R29"")), ROW($A$1:$A$24), FALSE)), ""=-4"") + COUNTIF(ARRAYFORMULA(HLOOKUP($B72, IMPORTRANGE('Match Names'!$G$23, CONCAT(VLOOKUP($C72, 'Match Nam"&amp;"es'!$1:$22, 7, FALSE), ""!C3:R29"")), ROW($A$1:$A$24), FALSE)), ""=-4"") + COUNTIF(ARRAYFORMULA(HLOOKUP($B72, IMPORTRANGE('Match Names'!$H$23, CONCAT(VLOOKUP($C72, 'Match Names'!$1:$22, 8, FALSE), ""!C3:R29"")), ROW($A$1:$A$24), FALSE)), ""=-4"")"),1.0)</f>
        <v>1</v>
      </c>
      <c r="H72" s="4">
        <f t="shared" si="1"/>
        <v>5.33</v>
      </c>
    </row>
    <row r="73">
      <c r="A73" s="21" t="s">
        <v>53</v>
      </c>
      <c r="B73" s="7" t="str">
        <f>VLOOKUP(CONCAT(A73, C73), 'Discord Username to Real Name'!C:D, 2, FALSE)</f>
        <v>brandon.chang#3043</v>
      </c>
      <c r="C73" s="21" t="s">
        <v>24</v>
      </c>
      <c r="D73" s="11">
        <f>IFERROR(__xludf.DUMMYFUNCTION("(23 - COUNTIF(IFERROR(ARRAYFORMULA(HLOOKUP($B73, IMPORTRANGE('Prelim Rankings Unsorted'!$B$40, CONCAT(VLOOKUP($C73, 'Match Names'!$A$1:$D$22, 2, FALSE), ""!C3:R29"")), ROW($A$1:$A$24), FALSE)), $AA$9:$AA$31), ""=X"")) + (23 - COUNTIF(IFERROR(ARRAYFORMULA("&amp;"HLOOKUP($B73, IMPORTRANGE('Prelim Rankings Unsorted'!$B$41, CONCAT(VLOOKUP($C73, 'Match Names'!$A$1:$D$22, 3, FALSE), ""!C3:R29"")), ROW($A$1:$A$24), FALSE)), $AA$9:$AA$31), ""=X"")) + (23 - COUNTIF(IFERROR(ARRAYFORMULA(HLOOKUP($B73, IMPORTRANGE('Prelim R"&amp;"ankings Unsorted'!$B$42, CONCAT(VLOOKUP($C73, 'Match Names'!$A$1:$D$22, 4, FALSE), ""!C3:R29"")), ROW($A$1:$A$24), FALSE)), $AA$9:$AA$31), ""=X"")) + (23 - COUNTIF(IFERROR(ARRAYFORMULA(HLOOKUP($B73, IMPORTRANGE('Match Names'!$E$23, CONCAT(VLOOKUP($C73, 'M"&amp;"atch Names'!$1:$22, 5, FALSE), ""!C3:R29"")), ROW($A$1:$A$24), FALSE)), $AA$9:$AA$31), ""=X"")) + (23 - COUNTIF(IFERROR(ARRAYFORMULA(HLOOKUP($B73, IMPORTRANGE('Match Names'!$F$23, CONCAT(VLOOKUP($C73, 'Match Names'!$1:$22, 6, FALSE), ""!C3:R29"")), ROW($A"&amp;"$1:$A$24), FALSE)), $AA$9:$AA$31), ""=X"")) + (23 - COUNTIF(IFERROR(ARRAYFORMULA(HLOOKUP($B73, IMPORTRANGE('Match Names'!$G$23, CONCAT(VLOOKUP($C73, 'Match Names'!$1:$22, 7, FALSE), ""!C3:R29"")), ROW($A$1:$A$24), FALSE)), $AA$9:$AA$31), ""=X"")) + (23 - "&amp;"COUNTIF(IFERROR(ARRAYFORMULA(HLOOKUP($B73, IMPORTRANGE('Match Names'!$H$23, CONCAT(VLOOKUP($C73, 'Match Names'!$1:$22, 8, FALSE), ""!C3:R29"")), ROW($A$1:$A$24), FALSE)), $AA$9:$AA$31), ""=X""))"),103.0)</f>
        <v>103</v>
      </c>
      <c r="E73" s="4">
        <f>IFERROR(__xludf.DUMMYFUNCTION("COUNTIF(ARRAYFORMULA(HLOOKUP($B73, IMPORTRANGE('Prelim Rankings Unsorted'!$B$40, CONCAT(VLOOKUP($C73, 'Match Names'!$A$1:$D$22, 2, FALSE), ""!C3:R29"")), ROW($A$1:$A$24), FALSE)), ""=4"") + COUNTIF(ARRAYFORMULA(HLOOKUP($B73, IMPORTRANGE('Prelim Rankings U"&amp;"nsorted'!$B$41, CONCAT(VLOOKUP($C73, 'Match Names'!$A$1:$D$22, 3, FALSE), ""!C3:R29"")), ROW($A$1:$A$24), FALSE)), ""=4"") + COUNTIF(ARRAYFORMULA(HLOOKUP($B73, IMPORTRANGE('Prelim Rankings Unsorted'!$B$42, CONCAT(VLOOKUP($C73, 'Match Names'!$A$1:$D$22, 4,"&amp;" FALSE), ""!C3:R29"")), ROW($A$1:$A$24), FALSE)), ""=4"") + COUNTIF(ARRAYFORMULA(HLOOKUP($B73, IMPORTRANGE('Match Names'!$E$23, CONCAT(VLOOKUP($C73, 'Match Names'!$1:$22, 5, FALSE), ""!C3:R29"")), ROW($A$1:$A$24), FALSE)), ""=4"") + COUNTIF(ARRAYFORMULA(H"&amp;"LOOKUP($B73, IMPORTRANGE('Match Names'!$F$23, CONCAT(VLOOKUP($C73, 'Match Names'!$1:$22, 6, FALSE), ""!C3:R29"")), ROW($A$1:$A$24), FALSE)), ""=4"") + COUNTIF(ARRAYFORMULA(HLOOKUP($B73, IMPORTRANGE('Match Names'!$G$23, CONCAT(VLOOKUP($C73, 'Match Names'!$"&amp;"1:$22, 7, FALSE), ""!C3:R29"")), ROW($A$1:$A$24), FALSE)), ""=4"") + COUNTIF(ARRAYFORMULA(HLOOKUP($B73, IMPORTRANGE('Match Names'!$H$23, CONCAT(VLOOKUP($C73, 'Match Names'!$1:$22, 8, FALSE), ""!C3:R29"")), ROW($A$1:$A$24), FALSE)), ""=4"")"),18.0)</f>
        <v>18</v>
      </c>
      <c r="F73" s="4">
        <f>IFERROR(__xludf.DUMMYFUNCTION("COUNTIF(ARRAYFORMULA(HLOOKUP($B73, IMPORTRANGE('Prelim Rankings Unsorted'!$B$40, CONCAT(VLOOKUP($C73, 'Match Names'!$A$1:$D$22, 2, FALSE), ""!C3:R29"")), ROW($A$1:$A$24), FALSE)), ""=0"") + COUNTIF(ARRAYFORMULA(HLOOKUP($B73, IMPORTRANGE('Prelim Rankings U"&amp;"nsorted'!$B$41, CONCAT(VLOOKUP($C73, 'Match Names'!$A$1:$D$22, 3, FALSE), ""!C3:R29"")), ROW($A$1:$A$24), FALSE)), ""=0"") + COUNTIF(ARRAYFORMULA(HLOOKUP($B73, IMPORTRANGE('Prelim Rankings Unsorted'!$B$42, CONCAT(VLOOKUP($C73, 'Match Names'!$A$1:$D$22, 4,"&amp;" FALSE), ""!C3:R29"")), ROW($A$1:$A$24), FALSE)), ""=0"") + COUNTIF(ARRAYFORMULA(HLOOKUP($B73, IMPORTRANGE('Match Names'!$E$23, CONCAT(VLOOKUP($C73, 'Match Names'!$1:$22, 5, FALSE), ""!C3:R29"")), ROW($A$1:$A$24), FALSE)), ""=0"") + COUNTIF(ARRAYFORMULA(H"&amp;"LOOKUP($B73, IMPORTRANGE('Match Names'!$F$23, CONCAT(VLOOKUP($C73, 'Match Names'!$1:$22, 6, FALSE), ""!C3:R29"")), ROW($A$1:$A$24), FALSE)), ""=0"") + COUNTIF(ARRAYFORMULA(HLOOKUP($B73, IMPORTRANGE('Match Names'!$G$23, CONCAT(VLOOKUP($C73, 'Match Names'!$"&amp;"1:$22, 7, FALSE), ""!C3:R29"")), ROW($A$1:$A$24), FALSE)), ""=0"") + COUNTIF(ARRAYFORMULA(HLOOKUP($B73, IMPORTRANGE('Match Names'!$H$23, CONCAT(VLOOKUP($C73, 'Match Names'!$1:$22, 8, FALSE), ""!C3:R29"")), ROW($A$1:$A$24), FALSE)), ""=0"")"),14.0)</f>
        <v>14</v>
      </c>
      <c r="G73" s="4">
        <f>IFERROR(__xludf.DUMMYFUNCTION("COUNTIF(ARRAYFORMULA(HLOOKUP($B73, IMPORTRANGE('Prelim Rankings Unsorted'!$B$40, CONCAT(VLOOKUP($C73, 'Match Names'!$A$1:$D$22, 2, FALSE), ""!C3:R29"")), ROW($A$1:$A$24), FALSE)), ""=-4"") + COUNTIF(ARRAYFORMULA(HLOOKUP($B73, IMPORTRANGE('Prelim Rankings "&amp;"Unsorted'!$B$41, CONCAT(VLOOKUP($C73, 'Match Names'!$A$1:$D$22, 3, FALSE), ""!C3:R29"")), ROW($A$1:$A$24), FALSE)), ""=-4"") + COUNTIF(ARRAYFORMULA(HLOOKUP($B73, IMPORTRANGE('Prelim Rankings Unsorted'!$B$42, CONCAT(VLOOKUP($C73, 'Match Names'!$A$1:$D$22, "&amp;"4, FALSE), ""!C3:R29"")), ROW($A$1:$A$24), FALSE)), ""=-4"") + COUNTIF(ARRAYFORMULA(HLOOKUP($B73, IMPORTRANGE('Match Names'!$E$23, CONCAT(VLOOKUP($C73, 'Match Names'!$1:$22, 5, FALSE), ""!C3:R29"")), ROW($A$1:$A$24), FALSE)), ""=-4"") + COUNTIF(ARRAYFORMU"&amp;"LA(HLOOKUP($B73, IMPORTRANGE('Match Names'!$F$23, CONCAT(VLOOKUP($C73, 'Match Names'!$1:$22, 6, FALSE), ""!C3:R29"")), ROW($A$1:$A$24), FALSE)), ""=-4"") + COUNTIF(ARRAYFORMULA(HLOOKUP($B73, IMPORTRANGE('Match Names'!$G$23, CONCAT(VLOOKUP($C73, 'Match Nam"&amp;"es'!$1:$22, 7, FALSE), ""!C3:R29"")), ROW($A$1:$A$24), FALSE)), ""=-4"") + COUNTIF(ARRAYFORMULA(HLOOKUP($B73, IMPORTRANGE('Match Names'!$H$23, CONCAT(VLOOKUP($C73, 'Match Names'!$1:$22, 8, FALSE), ""!C3:R29"")), ROW($A$1:$A$24), FALSE)), ""=-4"")"),0.0)</f>
        <v>0</v>
      </c>
      <c r="H73" s="4">
        <f t="shared" si="1"/>
        <v>16.08</v>
      </c>
    </row>
    <row r="74">
      <c r="A74" s="21" t="s">
        <v>136</v>
      </c>
      <c r="B74" s="7" t="str">
        <f>VLOOKUP(CONCAT(A74, C74), 'Discord Username to Real Name'!C:D, 2, FALSE)</f>
        <v>capriisun#3255</v>
      </c>
      <c r="C74" s="21" t="s">
        <v>24</v>
      </c>
      <c r="D74" s="11">
        <f>IFERROR(__xludf.DUMMYFUNCTION("(23 - COUNTIF(IFERROR(ARRAYFORMULA(HLOOKUP($B74, IMPORTRANGE('Prelim Rankings Unsorted'!$B$40, CONCAT(VLOOKUP($C74, 'Match Names'!$A$1:$D$22, 2, FALSE), ""!C3:R29"")), ROW($A$1:$A$24), FALSE)), $AA$9:$AA$31), ""=X"")) + (23 - COUNTIF(IFERROR(ARRAYFORMULA("&amp;"HLOOKUP($B74, IMPORTRANGE('Prelim Rankings Unsorted'!$B$41, CONCAT(VLOOKUP($C74, 'Match Names'!$A$1:$D$22, 3, FALSE), ""!C3:R29"")), ROW($A$1:$A$24), FALSE)), $AA$9:$AA$31), ""=X"")) + (23 - COUNTIF(IFERROR(ARRAYFORMULA(HLOOKUP($B74, IMPORTRANGE('Prelim R"&amp;"ankings Unsorted'!$B$42, CONCAT(VLOOKUP($C74, 'Match Names'!$A$1:$D$22, 4, FALSE), ""!C3:R29"")), ROW($A$1:$A$24), FALSE)), $AA$9:$AA$31), ""=X"")) + (23 - COUNTIF(IFERROR(ARRAYFORMULA(HLOOKUP($B74, IMPORTRANGE('Match Names'!$E$23, CONCAT(VLOOKUP($C74, 'M"&amp;"atch Names'!$1:$22, 5, FALSE), ""!C3:R29"")), ROW($A$1:$A$24), FALSE)), $AA$9:$AA$31), ""=X"")) + (23 - COUNTIF(IFERROR(ARRAYFORMULA(HLOOKUP($B74, IMPORTRANGE('Match Names'!$F$23, CONCAT(VLOOKUP($C74, 'Match Names'!$1:$22, 6, FALSE), ""!C3:R29"")), ROW($A"&amp;"$1:$A$24), FALSE)), $AA$9:$AA$31), ""=X"")) + (23 - COUNTIF(IFERROR(ARRAYFORMULA(HLOOKUP($B74, IMPORTRANGE('Match Names'!$G$23, CONCAT(VLOOKUP($C74, 'Match Names'!$1:$22, 7, FALSE), ""!C3:R29"")), ROW($A$1:$A$24), FALSE)), $AA$9:$AA$31), ""=X"")) + (23 - "&amp;"COUNTIF(IFERROR(ARRAYFORMULA(HLOOKUP($B74, IMPORTRANGE('Match Names'!$H$23, CONCAT(VLOOKUP($C74, 'Match Names'!$1:$22, 8, FALSE), ""!C3:R29"")), ROW($A$1:$A$24), FALSE)), $AA$9:$AA$31), ""=X""))"),81.0)</f>
        <v>81</v>
      </c>
      <c r="E74" s="4">
        <f>IFERROR(__xludf.DUMMYFUNCTION("COUNTIF(ARRAYFORMULA(HLOOKUP($B74, IMPORTRANGE('Prelim Rankings Unsorted'!$B$40, CONCAT(VLOOKUP($C74, 'Match Names'!$A$1:$D$22, 2, FALSE), ""!C3:R29"")), ROW($A$1:$A$24), FALSE)), ""=4"") + COUNTIF(ARRAYFORMULA(HLOOKUP($B74, IMPORTRANGE('Prelim Rankings U"&amp;"nsorted'!$B$41, CONCAT(VLOOKUP($C74, 'Match Names'!$A$1:$D$22, 3, FALSE), ""!C3:R29"")), ROW($A$1:$A$24), FALSE)), ""=4"") + COUNTIF(ARRAYFORMULA(HLOOKUP($B74, IMPORTRANGE('Prelim Rankings Unsorted'!$B$42, CONCAT(VLOOKUP($C74, 'Match Names'!$A$1:$D$22, 4,"&amp;" FALSE), ""!C3:R29"")), ROW($A$1:$A$24), FALSE)), ""=4"") + COUNTIF(ARRAYFORMULA(HLOOKUP($B74, IMPORTRANGE('Match Names'!$E$23, CONCAT(VLOOKUP($C74, 'Match Names'!$1:$22, 5, FALSE), ""!C3:R29"")), ROW($A$1:$A$24), FALSE)), ""=4"") + COUNTIF(ARRAYFORMULA(H"&amp;"LOOKUP($B74, IMPORTRANGE('Match Names'!$F$23, CONCAT(VLOOKUP($C74, 'Match Names'!$1:$22, 6, FALSE), ""!C3:R29"")), ROW($A$1:$A$24), FALSE)), ""=4"") + COUNTIF(ARRAYFORMULA(HLOOKUP($B74, IMPORTRANGE('Match Names'!$G$23, CONCAT(VLOOKUP($C74, 'Match Names'!$"&amp;"1:$22, 7, FALSE), ""!C3:R29"")), ROW($A$1:$A$24), FALSE)), ""=4"") + COUNTIF(ARRAYFORMULA(HLOOKUP($B74, IMPORTRANGE('Match Names'!$H$23, CONCAT(VLOOKUP($C74, 'Match Names'!$1:$22, 8, FALSE), ""!C3:R29"")), ROW($A$1:$A$24), FALSE)), ""=4"")"),5.0)</f>
        <v>5</v>
      </c>
      <c r="F74" s="4">
        <f>IFERROR(__xludf.DUMMYFUNCTION("COUNTIF(ARRAYFORMULA(HLOOKUP($B74, IMPORTRANGE('Prelim Rankings Unsorted'!$B$40, CONCAT(VLOOKUP($C74, 'Match Names'!$A$1:$D$22, 2, FALSE), ""!C3:R29"")), ROW($A$1:$A$24), FALSE)), ""=0"") + COUNTIF(ARRAYFORMULA(HLOOKUP($B74, IMPORTRANGE('Prelim Rankings U"&amp;"nsorted'!$B$41, CONCAT(VLOOKUP($C74, 'Match Names'!$A$1:$D$22, 3, FALSE), ""!C3:R29"")), ROW($A$1:$A$24), FALSE)), ""=0"") + COUNTIF(ARRAYFORMULA(HLOOKUP($B74, IMPORTRANGE('Prelim Rankings Unsorted'!$B$42, CONCAT(VLOOKUP($C74, 'Match Names'!$A$1:$D$22, 4,"&amp;" FALSE), ""!C3:R29"")), ROW($A$1:$A$24), FALSE)), ""=0"") + COUNTIF(ARRAYFORMULA(HLOOKUP($B74, IMPORTRANGE('Match Names'!$E$23, CONCAT(VLOOKUP($C74, 'Match Names'!$1:$22, 5, FALSE), ""!C3:R29"")), ROW($A$1:$A$24), FALSE)), ""=0"") + COUNTIF(ARRAYFORMULA(H"&amp;"LOOKUP($B74, IMPORTRANGE('Match Names'!$F$23, CONCAT(VLOOKUP($C74, 'Match Names'!$1:$22, 6, FALSE), ""!C3:R29"")), ROW($A$1:$A$24), FALSE)), ""=0"") + COUNTIF(ARRAYFORMULA(HLOOKUP($B74, IMPORTRANGE('Match Names'!$G$23, CONCAT(VLOOKUP($C74, 'Match Names'!$"&amp;"1:$22, 7, FALSE), ""!C3:R29"")), ROW($A$1:$A$24), FALSE)), ""=0"") + COUNTIF(ARRAYFORMULA(HLOOKUP($B74, IMPORTRANGE('Match Names'!$H$23, CONCAT(VLOOKUP($C74, 'Match Names'!$1:$22, 8, FALSE), ""!C3:R29"")), ROW($A$1:$A$24), FALSE)), ""=0"")"),10.0)</f>
        <v>10</v>
      </c>
      <c r="G74" s="4">
        <f>IFERROR(__xludf.DUMMYFUNCTION("COUNTIF(ARRAYFORMULA(HLOOKUP($B74, IMPORTRANGE('Prelim Rankings Unsorted'!$B$40, CONCAT(VLOOKUP($C74, 'Match Names'!$A$1:$D$22, 2, FALSE), ""!C3:R29"")), ROW($A$1:$A$24), FALSE)), ""=-4"") + COUNTIF(ARRAYFORMULA(HLOOKUP($B74, IMPORTRANGE('Prelim Rankings "&amp;"Unsorted'!$B$41, CONCAT(VLOOKUP($C74, 'Match Names'!$A$1:$D$22, 3, FALSE), ""!C3:R29"")), ROW($A$1:$A$24), FALSE)), ""=-4"") + COUNTIF(ARRAYFORMULA(HLOOKUP($B74, IMPORTRANGE('Prelim Rankings Unsorted'!$B$42, CONCAT(VLOOKUP($C74, 'Match Names'!$A$1:$D$22, "&amp;"4, FALSE), ""!C3:R29"")), ROW($A$1:$A$24), FALSE)), ""=-4"") + COUNTIF(ARRAYFORMULA(HLOOKUP($B74, IMPORTRANGE('Match Names'!$E$23, CONCAT(VLOOKUP($C74, 'Match Names'!$1:$22, 5, FALSE), ""!C3:R29"")), ROW($A$1:$A$24), FALSE)), ""=-4"") + COUNTIF(ARRAYFORMU"&amp;"LA(HLOOKUP($B74, IMPORTRANGE('Match Names'!$F$23, CONCAT(VLOOKUP($C74, 'Match Names'!$1:$22, 6, FALSE), ""!C3:R29"")), ROW($A$1:$A$24), FALSE)), ""=-4"") + COUNTIF(ARRAYFORMULA(HLOOKUP($B74, IMPORTRANGE('Match Names'!$G$23, CONCAT(VLOOKUP($C74, 'Match Nam"&amp;"es'!$1:$22, 7, FALSE), ""!C3:R29"")), ROW($A$1:$A$24), FALSE)), ""=-4"") + COUNTIF(ARRAYFORMULA(HLOOKUP($B74, IMPORTRANGE('Match Names'!$H$23, CONCAT(VLOOKUP($C74, 'Match Names'!$1:$22, 8, FALSE), ""!C3:R29"")), ROW($A$1:$A$24), FALSE)), ""=-4"")"),1.0)</f>
        <v>1</v>
      </c>
      <c r="H74" s="4">
        <f t="shared" si="1"/>
        <v>4.54</v>
      </c>
    </row>
    <row r="75">
      <c r="A75" s="21" t="s">
        <v>52</v>
      </c>
      <c r="B75" s="7" t="str">
        <f>VLOOKUP(CONCAT(A75, C75), 'Discord Username to Real Name'!C:D, 2, FALSE)</f>
        <v>cindyhlu#0060</v>
      </c>
      <c r="C75" s="21" t="s">
        <v>24</v>
      </c>
      <c r="D75" s="11">
        <f>IFERROR(__xludf.DUMMYFUNCTION("(23 - COUNTIF(IFERROR(ARRAYFORMULA(HLOOKUP($B75, IMPORTRANGE('Prelim Rankings Unsorted'!$B$40, CONCAT(VLOOKUP($C75, 'Match Names'!$A$1:$D$22, 2, FALSE), ""!C3:R29"")), ROW($A$1:$A$24), FALSE)), $AA$9:$AA$31), ""=X"")) + (23 - COUNTIF(IFERROR(ARRAYFORMULA("&amp;"HLOOKUP($B75, IMPORTRANGE('Prelim Rankings Unsorted'!$B$41, CONCAT(VLOOKUP($C75, 'Match Names'!$A$1:$D$22, 3, FALSE), ""!C3:R29"")), ROW($A$1:$A$24), FALSE)), $AA$9:$AA$31), ""=X"")) + (23 - COUNTIF(IFERROR(ARRAYFORMULA(HLOOKUP($B75, IMPORTRANGE('Prelim R"&amp;"ankings Unsorted'!$B$42, CONCAT(VLOOKUP($C75, 'Match Names'!$A$1:$D$22, 4, FALSE), ""!C3:R29"")), ROW($A$1:$A$24), FALSE)), $AA$9:$AA$31), ""=X"")) + (23 - COUNTIF(IFERROR(ARRAYFORMULA(HLOOKUP($B75, IMPORTRANGE('Match Names'!$E$23, CONCAT(VLOOKUP($C75, 'M"&amp;"atch Names'!$1:$22, 5, FALSE), ""!C3:R29"")), ROW($A$1:$A$24), FALSE)), $AA$9:$AA$31), ""=X"")) + (23 - COUNTIF(IFERROR(ARRAYFORMULA(HLOOKUP($B75, IMPORTRANGE('Match Names'!$F$23, CONCAT(VLOOKUP($C75, 'Match Names'!$1:$22, 6, FALSE), ""!C3:R29"")), ROW($A"&amp;"$1:$A$24), FALSE)), $AA$9:$AA$31), ""=X"")) + (23 - COUNTIF(IFERROR(ARRAYFORMULA(HLOOKUP($B75, IMPORTRANGE('Match Names'!$G$23, CONCAT(VLOOKUP($C75, 'Match Names'!$1:$22, 7, FALSE), ""!C3:R29"")), ROW($A$1:$A$24), FALSE)), $AA$9:$AA$31), ""=X"")) + (23 - "&amp;"COUNTIF(IFERROR(ARRAYFORMULA(HLOOKUP($B75, IMPORTRANGE('Match Names'!$H$23, CONCAT(VLOOKUP($C75, 'Match Names'!$1:$22, 8, FALSE), ""!C3:R29"")), ROW($A$1:$A$24), FALSE)), $AA$9:$AA$31), ""=X""))"),80.0)</f>
        <v>80</v>
      </c>
      <c r="E75" s="4">
        <f>IFERROR(__xludf.DUMMYFUNCTION("COUNTIF(ARRAYFORMULA(HLOOKUP($B75, IMPORTRANGE('Prelim Rankings Unsorted'!$B$40, CONCAT(VLOOKUP($C75, 'Match Names'!$A$1:$D$22, 2, FALSE), ""!C3:R29"")), ROW($A$1:$A$24), FALSE)), ""=4"") + COUNTIF(ARRAYFORMULA(HLOOKUP($B75, IMPORTRANGE('Prelim Rankings U"&amp;"nsorted'!$B$41, CONCAT(VLOOKUP($C75, 'Match Names'!$A$1:$D$22, 3, FALSE), ""!C3:R29"")), ROW($A$1:$A$24), FALSE)), ""=4"") + COUNTIF(ARRAYFORMULA(HLOOKUP($B75, IMPORTRANGE('Prelim Rankings Unsorted'!$B$42, CONCAT(VLOOKUP($C75, 'Match Names'!$A$1:$D$22, 4,"&amp;" FALSE), ""!C3:R29"")), ROW($A$1:$A$24), FALSE)), ""=4"") + COUNTIF(ARRAYFORMULA(HLOOKUP($B75, IMPORTRANGE('Match Names'!$E$23, CONCAT(VLOOKUP($C75, 'Match Names'!$1:$22, 5, FALSE), ""!C3:R29"")), ROW($A$1:$A$24), FALSE)), ""=4"") + COUNTIF(ARRAYFORMULA(H"&amp;"LOOKUP($B75, IMPORTRANGE('Match Names'!$F$23, CONCAT(VLOOKUP($C75, 'Match Names'!$1:$22, 6, FALSE), ""!C3:R29"")), ROW($A$1:$A$24), FALSE)), ""=4"") + COUNTIF(ARRAYFORMULA(HLOOKUP($B75, IMPORTRANGE('Match Names'!$G$23, CONCAT(VLOOKUP($C75, 'Match Names'!$"&amp;"1:$22, 7, FALSE), ""!C3:R29"")), ROW($A$1:$A$24), FALSE)), ""=4"") + COUNTIF(ARRAYFORMULA(HLOOKUP($B75, IMPORTRANGE('Match Names'!$H$23, CONCAT(VLOOKUP($C75, 'Match Names'!$1:$22, 8, FALSE), ""!C3:R29"")), ROW($A$1:$A$24), FALSE)), ""=4"")"),10.0)</f>
        <v>10</v>
      </c>
      <c r="F75" s="4">
        <f>IFERROR(__xludf.DUMMYFUNCTION("COUNTIF(ARRAYFORMULA(HLOOKUP($B75, IMPORTRANGE('Prelim Rankings Unsorted'!$B$40, CONCAT(VLOOKUP($C75, 'Match Names'!$A$1:$D$22, 2, FALSE), ""!C3:R29"")), ROW($A$1:$A$24), FALSE)), ""=0"") + COUNTIF(ARRAYFORMULA(HLOOKUP($B75, IMPORTRANGE('Prelim Rankings U"&amp;"nsorted'!$B$41, CONCAT(VLOOKUP($C75, 'Match Names'!$A$1:$D$22, 3, FALSE), ""!C3:R29"")), ROW($A$1:$A$24), FALSE)), ""=0"") + COUNTIF(ARRAYFORMULA(HLOOKUP($B75, IMPORTRANGE('Prelim Rankings Unsorted'!$B$42, CONCAT(VLOOKUP($C75, 'Match Names'!$A$1:$D$22, 4,"&amp;" FALSE), ""!C3:R29"")), ROW($A$1:$A$24), FALSE)), ""=0"") + COUNTIF(ARRAYFORMULA(HLOOKUP($B75, IMPORTRANGE('Match Names'!$E$23, CONCAT(VLOOKUP($C75, 'Match Names'!$1:$22, 5, FALSE), ""!C3:R29"")), ROW($A$1:$A$24), FALSE)), ""=0"") + COUNTIF(ARRAYFORMULA(H"&amp;"LOOKUP($B75, IMPORTRANGE('Match Names'!$F$23, CONCAT(VLOOKUP($C75, 'Match Names'!$1:$22, 6, FALSE), ""!C3:R29"")), ROW($A$1:$A$24), FALSE)), ""=0"") + COUNTIF(ARRAYFORMULA(HLOOKUP($B75, IMPORTRANGE('Match Names'!$G$23, CONCAT(VLOOKUP($C75, 'Match Names'!$"&amp;"1:$22, 7, FALSE), ""!C3:R29"")), ROW($A$1:$A$24), FALSE)), ""=0"") + COUNTIF(ARRAYFORMULA(HLOOKUP($B75, IMPORTRANGE('Match Names'!$H$23, CONCAT(VLOOKUP($C75, 'Match Names'!$1:$22, 8, FALSE), ""!C3:R29"")), ROW($A$1:$A$24), FALSE)), ""=0"")"),4.0)</f>
        <v>4</v>
      </c>
      <c r="G75" s="4">
        <f>IFERROR(__xludf.DUMMYFUNCTION("COUNTIF(ARRAYFORMULA(HLOOKUP($B75, IMPORTRANGE('Prelim Rankings Unsorted'!$B$40, CONCAT(VLOOKUP($C75, 'Match Names'!$A$1:$D$22, 2, FALSE), ""!C3:R29"")), ROW($A$1:$A$24), FALSE)), ""=-4"") + COUNTIF(ARRAYFORMULA(HLOOKUP($B75, IMPORTRANGE('Prelim Rankings "&amp;"Unsorted'!$B$41, CONCAT(VLOOKUP($C75, 'Match Names'!$A$1:$D$22, 3, FALSE), ""!C3:R29"")), ROW($A$1:$A$24), FALSE)), ""=-4"") + COUNTIF(ARRAYFORMULA(HLOOKUP($B75, IMPORTRANGE('Prelim Rankings Unsorted'!$B$42, CONCAT(VLOOKUP($C75, 'Match Names'!$A$1:$D$22, "&amp;"4, FALSE), ""!C3:R29"")), ROW($A$1:$A$24), FALSE)), ""=-4"") + COUNTIF(ARRAYFORMULA(HLOOKUP($B75, IMPORTRANGE('Match Names'!$E$23, CONCAT(VLOOKUP($C75, 'Match Names'!$1:$22, 5, FALSE), ""!C3:R29"")), ROW($A$1:$A$24), FALSE)), ""=-4"") + COUNTIF(ARRAYFORMU"&amp;"LA(HLOOKUP($B75, IMPORTRANGE('Match Names'!$F$23, CONCAT(VLOOKUP($C75, 'Match Names'!$1:$22, 6, FALSE), ""!C3:R29"")), ROW($A$1:$A$24), FALSE)), ""=-4"") + COUNTIF(ARRAYFORMULA(HLOOKUP($B75, IMPORTRANGE('Match Names'!$G$23, CONCAT(VLOOKUP($C75, 'Match Nam"&amp;"es'!$1:$22, 7, FALSE), ""!C3:R29"")), ROW($A$1:$A$24), FALSE)), ""=-4"") + COUNTIF(ARRAYFORMULA(HLOOKUP($B75, IMPORTRANGE('Match Names'!$H$23, CONCAT(VLOOKUP($C75, 'Match Names'!$1:$22, 8, FALSE), ""!C3:R29"")), ROW($A$1:$A$24), FALSE)), ""=-4"")"),1.0)</f>
        <v>1</v>
      </c>
      <c r="H75" s="4">
        <f t="shared" si="1"/>
        <v>10.35</v>
      </c>
    </row>
    <row r="76">
      <c r="A76" s="21" t="s">
        <v>13</v>
      </c>
      <c r="B76" s="7" t="str">
        <f>VLOOKUP(CONCAT(A76, C76), 'Discord Username to Real Name'!C:D, 2, FALSE)</f>
        <v>alienated#7505</v>
      </c>
      <c r="C76" s="21" t="s">
        <v>24</v>
      </c>
      <c r="D76" s="11">
        <f>IFERROR(__xludf.DUMMYFUNCTION("(23 - COUNTIF(IFERROR(ARRAYFORMULA(HLOOKUP($B76, IMPORTRANGE('Prelim Rankings Unsorted'!$B$40, CONCAT(VLOOKUP($C76, 'Match Names'!$A$1:$D$22, 2, FALSE), ""!C3:R29"")), ROW($A$1:$A$24), FALSE)), $AA$9:$AA$31), ""=X"")) + (23 - COUNTIF(IFERROR(ARRAYFORMULA("&amp;"HLOOKUP($B76, IMPORTRANGE('Prelim Rankings Unsorted'!$B$41, CONCAT(VLOOKUP($C76, 'Match Names'!$A$1:$D$22, 3, FALSE), ""!C3:R29"")), ROW($A$1:$A$24), FALSE)), $AA$9:$AA$31), ""=X"")) + (23 - COUNTIF(IFERROR(ARRAYFORMULA(HLOOKUP($B76, IMPORTRANGE('Prelim R"&amp;"ankings Unsorted'!$B$42, CONCAT(VLOOKUP($C76, 'Match Names'!$A$1:$D$22, 4, FALSE), ""!C3:R29"")), ROW($A$1:$A$24), FALSE)), $AA$9:$AA$31), ""=X"")) + (23 - COUNTIF(IFERROR(ARRAYFORMULA(HLOOKUP($B76, IMPORTRANGE('Match Names'!$E$23, CONCAT(VLOOKUP($C76, 'M"&amp;"atch Names'!$1:$22, 5, FALSE), ""!C3:R29"")), ROW($A$1:$A$24), FALSE)), $AA$9:$AA$31), ""=X"")) + (23 - COUNTIF(IFERROR(ARRAYFORMULA(HLOOKUP($B76, IMPORTRANGE('Match Names'!$F$23, CONCAT(VLOOKUP($C76, 'Match Names'!$1:$22, 6, FALSE), ""!C3:R29"")), ROW($A"&amp;"$1:$A$24), FALSE)), $AA$9:$AA$31), ""=X"")) + (23 - COUNTIF(IFERROR(ARRAYFORMULA(HLOOKUP($B76, IMPORTRANGE('Match Names'!$G$23, CONCAT(VLOOKUP($C76, 'Match Names'!$1:$22, 7, FALSE), ""!C3:R29"")), ROW($A$1:$A$24), FALSE)), $AA$9:$AA$31), ""=X"")) + (23 - "&amp;"COUNTIF(IFERROR(ARRAYFORMULA(HLOOKUP($B76, IMPORTRANGE('Match Names'!$H$23, CONCAT(VLOOKUP($C76, 'Match Names'!$1:$22, 8, FALSE), ""!C3:R29"")), ROW($A$1:$A$24), FALSE)), $AA$9:$AA$31), ""=X""))"),92.0)</f>
        <v>92</v>
      </c>
      <c r="E76" s="4">
        <f>IFERROR(__xludf.DUMMYFUNCTION("COUNTIF(ARRAYFORMULA(HLOOKUP($B76, IMPORTRANGE('Prelim Rankings Unsorted'!$B$40, CONCAT(VLOOKUP($C76, 'Match Names'!$A$1:$D$22, 2, FALSE), ""!C3:R29"")), ROW($A$1:$A$24), FALSE)), ""=4"") + COUNTIF(ARRAYFORMULA(HLOOKUP($B76, IMPORTRANGE('Prelim Rankings U"&amp;"nsorted'!$B$41, CONCAT(VLOOKUP($C76, 'Match Names'!$A$1:$D$22, 3, FALSE), ""!C3:R29"")), ROW($A$1:$A$24), FALSE)), ""=4"") + COUNTIF(ARRAYFORMULA(HLOOKUP($B76, IMPORTRANGE('Prelim Rankings Unsorted'!$B$42, CONCAT(VLOOKUP($C76, 'Match Names'!$A$1:$D$22, 4,"&amp;" FALSE), ""!C3:R29"")), ROW($A$1:$A$24), FALSE)), ""=4"") + COUNTIF(ARRAYFORMULA(HLOOKUP($B76, IMPORTRANGE('Match Names'!$E$23, CONCAT(VLOOKUP($C76, 'Match Names'!$1:$22, 5, FALSE), ""!C3:R29"")), ROW($A$1:$A$24), FALSE)), ""=4"") + COUNTIF(ARRAYFORMULA(H"&amp;"LOOKUP($B76, IMPORTRANGE('Match Names'!$F$23, CONCAT(VLOOKUP($C76, 'Match Names'!$1:$22, 6, FALSE), ""!C3:R29"")), ROW($A$1:$A$24), FALSE)), ""=4"") + COUNTIF(ARRAYFORMULA(HLOOKUP($B76, IMPORTRANGE('Match Names'!$G$23, CONCAT(VLOOKUP($C76, 'Match Names'!$"&amp;"1:$22, 7, FALSE), ""!C3:R29"")), ROW($A$1:$A$24), FALSE)), ""=4"") + COUNTIF(ARRAYFORMULA(HLOOKUP($B76, IMPORTRANGE('Match Names'!$H$23, CONCAT(VLOOKUP($C76, 'Match Names'!$1:$22, 8, FALSE), ""!C3:R29"")), ROW($A$1:$A$24), FALSE)), ""=4"")"),7.0)</f>
        <v>7</v>
      </c>
      <c r="F76" s="4">
        <f>IFERROR(__xludf.DUMMYFUNCTION("COUNTIF(ARRAYFORMULA(HLOOKUP($B76, IMPORTRANGE('Prelim Rankings Unsorted'!$B$40, CONCAT(VLOOKUP($C76, 'Match Names'!$A$1:$D$22, 2, FALSE), ""!C3:R29"")), ROW($A$1:$A$24), FALSE)), ""=0"") + COUNTIF(ARRAYFORMULA(HLOOKUP($B76, IMPORTRANGE('Prelim Rankings U"&amp;"nsorted'!$B$41, CONCAT(VLOOKUP($C76, 'Match Names'!$A$1:$D$22, 3, FALSE), ""!C3:R29"")), ROW($A$1:$A$24), FALSE)), ""=0"") + COUNTIF(ARRAYFORMULA(HLOOKUP($B76, IMPORTRANGE('Prelim Rankings Unsorted'!$B$42, CONCAT(VLOOKUP($C76, 'Match Names'!$A$1:$D$22, 4,"&amp;" FALSE), ""!C3:R29"")), ROW($A$1:$A$24), FALSE)), ""=0"") + COUNTIF(ARRAYFORMULA(HLOOKUP($B76, IMPORTRANGE('Match Names'!$E$23, CONCAT(VLOOKUP($C76, 'Match Names'!$1:$22, 5, FALSE), ""!C3:R29"")), ROW($A$1:$A$24), FALSE)), ""=0"") + COUNTIF(ARRAYFORMULA(H"&amp;"LOOKUP($B76, IMPORTRANGE('Match Names'!$F$23, CONCAT(VLOOKUP($C76, 'Match Names'!$1:$22, 6, FALSE), ""!C3:R29"")), ROW($A$1:$A$24), FALSE)), ""=0"") + COUNTIF(ARRAYFORMULA(HLOOKUP($B76, IMPORTRANGE('Match Names'!$G$23, CONCAT(VLOOKUP($C76, 'Match Names'!$"&amp;"1:$22, 7, FALSE), ""!C3:R29"")), ROW($A$1:$A$24), FALSE)), ""=0"") + COUNTIF(ARRAYFORMULA(HLOOKUP($B76, IMPORTRANGE('Match Names'!$H$23, CONCAT(VLOOKUP($C76, 'Match Names'!$1:$22, 8, FALSE), ""!C3:R29"")), ROW($A$1:$A$24), FALSE)), ""=0"")"),1.0)</f>
        <v>1</v>
      </c>
      <c r="G76" s="4">
        <f>IFERROR(__xludf.DUMMYFUNCTION("COUNTIF(ARRAYFORMULA(HLOOKUP($B76, IMPORTRANGE('Prelim Rankings Unsorted'!$B$40, CONCAT(VLOOKUP($C76, 'Match Names'!$A$1:$D$22, 2, FALSE), ""!C3:R29"")), ROW($A$1:$A$24), FALSE)), ""=-4"") + COUNTIF(ARRAYFORMULA(HLOOKUP($B76, IMPORTRANGE('Prelim Rankings "&amp;"Unsorted'!$B$41, CONCAT(VLOOKUP($C76, 'Match Names'!$A$1:$D$22, 3, FALSE), ""!C3:R29"")), ROW($A$1:$A$24), FALSE)), ""=-4"") + COUNTIF(ARRAYFORMULA(HLOOKUP($B76, IMPORTRANGE('Prelim Rankings Unsorted'!$B$42, CONCAT(VLOOKUP($C76, 'Match Names'!$A$1:$D$22, "&amp;"4, FALSE), ""!C3:R29"")), ROW($A$1:$A$24), FALSE)), ""=-4"") + COUNTIF(ARRAYFORMULA(HLOOKUP($B76, IMPORTRANGE('Match Names'!$E$23, CONCAT(VLOOKUP($C76, 'Match Names'!$1:$22, 5, FALSE), ""!C3:R29"")), ROW($A$1:$A$24), FALSE)), ""=-4"") + COUNTIF(ARRAYFORMU"&amp;"LA(HLOOKUP($B76, IMPORTRANGE('Match Names'!$F$23, CONCAT(VLOOKUP($C76, 'Match Names'!$1:$22, 6, FALSE), ""!C3:R29"")), ROW($A$1:$A$24), FALSE)), ""=-4"") + COUNTIF(ARRAYFORMULA(HLOOKUP($B76, IMPORTRANGE('Match Names'!$G$23, CONCAT(VLOOKUP($C76, 'Match Nam"&amp;"es'!$1:$22, 7, FALSE), ""!C3:R29"")), ROW($A$1:$A$24), FALSE)), ""=-4"") + COUNTIF(ARRAYFORMULA(HLOOKUP($B76, IMPORTRANGE('Match Names'!$H$23, CONCAT(VLOOKUP($C76, 'Match Names'!$1:$22, 8, FALSE), ""!C3:R29"")), ROW($A$1:$A$24), FALSE)), ""=-4"")"),1.0)</f>
        <v>1</v>
      </c>
      <c r="H76" s="4">
        <f t="shared" si="1"/>
        <v>6</v>
      </c>
    </row>
    <row r="77">
      <c r="A77" s="21" t="s">
        <v>155</v>
      </c>
      <c r="B77" s="7" t="str">
        <f>VLOOKUP(CONCAT(A77, C77), 'Discord Username to Real Name'!C:D, 2, FALSE)</f>
        <v>xplt#4416</v>
      </c>
      <c r="C77" s="21" t="s">
        <v>24</v>
      </c>
      <c r="D77" s="11">
        <f>IFERROR(__xludf.DUMMYFUNCTION("(23 - COUNTIF(IFERROR(ARRAYFORMULA(HLOOKUP($B77, IMPORTRANGE('Prelim Rankings Unsorted'!$B$40, CONCAT(VLOOKUP($C77, 'Match Names'!$A$1:$D$22, 2, FALSE), ""!C3:R29"")), ROW($A$1:$A$24), FALSE)), $AA$9:$AA$31), ""=X"")) + (23 - COUNTIF(IFERROR(ARRAYFORMULA("&amp;"HLOOKUP($B77, IMPORTRANGE('Prelim Rankings Unsorted'!$B$41, CONCAT(VLOOKUP($C77, 'Match Names'!$A$1:$D$22, 3, FALSE), ""!C3:R29"")), ROW($A$1:$A$24), FALSE)), $AA$9:$AA$31), ""=X"")) + (23 - COUNTIF(IFERROR(ARRAYFORMULA(HLOOKUP($B77, IMPORTRANGE('Prelim R"&amp;"ankings Unsorted'!$B$42, CONCAT(VLOOKUP($C77, 'Match Names'!$A$1:$D$22, 4, FALSE), ""!C3:R29"")), ROW($A$1:$A$24), FALSE)), $AA$9:$AA$31), ""=X"")) + (23 - COUNTIF(IFERROR(ARRAYFORMULA(HLOOKUP($B77, IMPORTRANGE('Match Names'!$E$23, CONCAT(VLOOKUP($C77, 'M"&amp;"atch Names'!$1:$22, 5, FALSE), ""!C3:R29"")), ROW($A$1:$A$24), FALSE)), $AA$9:$AA$31), ""=X"")) + (23 - COUNTIF(IFERROR(ARRAYFORMULA(HLOOKUP($B77, IMPORTRANGE('Match Names'!$F$23, CONCAT(VLOOKUP($C77, 'Match Names'!$1:$22, 6, FALSE), ""!C3:R29"")), ROW($A"&amp;"$1:$A$24), FALSE)), $AA$9:$AA$31), ""=X"")) + (23 - COUNTIF(IFERROR(ARRAYFORMULA(HLOOKUP($B77, IMPORTRANGE('Match Names'!$G$23, CONCAT(VLOOKUP($C77, 'Match Names'!$1:$22, 7, FALSE), ""!C3:R29"")), ROW($A$1:$A$24), FALSE)), $AA$9:$AA$31), ""=X"")) + (23 - "&amp;"COUNTIF(IFERROR(ARRAYFORMULA(HLOOKUP($B77, IMPORTRANGE('Match Names'!$H$23, CONCAT(VLOOKUP($C77, 'Match Names'!$1:$22, 8, FALSE), ""!C3:R29"")), ROW($A$1:$A$24), FALSE)), $AA$9:$AA$31), ""=X""))"),93.0)</f>
        <v>93</v>
      </c>
      <c r="E77" s="4">
        <f>IFERROR(__xludf.DUMMYFUNCTION("COUNTIF(ARRAYFORMULA(HLOOKUP($B77, IMPORTRANGE('Prelim Rankings Unsorted'!$B$40, CONCAT(VLOOKUP($C77, 'Match Names'!$A$1:$D$22, 2, FALSE), ""!C3:R29"")), ROW($A$1:$A$24), FALSE)), ""=4"") + COUNTIF(ARRAYFORMULA(HLOOKUP($B77, IMPORTRANGE('Prelim Rankings U"&amp;"nsorted'!$B$41, CONCAT(VLOOKUP($C77, 'Match Names'!$A$1:$D$22, 3, FALSE), ""!C3:R29"")), ROW($A$1:$A$24), FALSE)), ""=4"") + COUNTIF(ARRAYFORMULA(HLOOKUP($B77, IMPORTRANGE('Prelim Rankings Unsorted'!$B$42, CONCAT(VLOOKUP($C77, 'Match Names'!$A$1:$D$22, 4,"&amp;" FALSE), ""!C3:R29"")), ROW($A$1:$A$24), FALSE)), ""=4"") + COUNTIF(ARRAYFORMULA(HLOOKUP($B77, IMPORTRANGE('Match Names'!$E$23, CONCAT(VLOOKUP($C77, 'Match Names'!$1:$22, 5, FALSE), ""!C3:R29"")), ROW($A$1:$A$24), FALSE)), ""=4"") + COUNTIF(ARRAYFORMULA(H"&amp;"LOOKUP($B77, IMPORTRANGE('Match Names'!$F$23, CONCAT(VLOOKUP($C77, 'Match Names'!$1:$22, 6, FALSE), ""!C3:R29"")), ROW($A$1:$A$24), FALSE)), ""=4"") + COUNTIF(ARRAYFORMULA(HLOOKUP($B77, IMPORTRANGE('Match Names'!$G$23, CONCAT(VLOOKUP($C77, 'Match Names'!$"&amp;"1:$22, 7, FALSE), ""!C3:R29"")), ROW($A$1:$A$24), FALSE)), ""=4"") + COUNTIF(ARRAYFORMULA(HLOOKUP($B77, IMPORTRANGE('Match Names'!$H$23, CONCAT(VLOOKUP($C77, 'Match Names'!$1:$22, 8, FALSE), ""!C3:R29"")), ROW($A$1:$A$24), FALSE)), ""=4"")"),3.0)</f>
        <v>3</v>
      </c>
      <c r="F77" s="4">
        <f>IFERROR(__xludf.DUMMYFUNCTION("COUNTIF(ARRAYFORMULA(HLOOKUP($B77, IMPORTRANGE('Prelim Rankings Unsorted'!$B$40, CONCAT(VLOOKUP($C77, 'Match Names'!$A$1:$D$22, 2, FALSE), ""!C3:R29"")), ROW($A$1:$A$24), FALSE)), ""=0"") + COUNTIF(ARRAYFORMULA(HLOOKUP($B77, IMPORTRANGE('Prelim Rankings U"&amp;"nsorted'!$B$41, CONCAT(VLOOKUP($C77, 'Match Names'!$A$1:$D$22, 3, FALSE), ""!C3:R29"")), ROW($A$1:$A$24), FALSE)), ""=0"") + COUNTIF(ARRAYFORMULA(HLOOKUP($B77, IMPORTRANGE('Prelim Rankings Unsorted'!$B$42, CONCAT(VLOOKUP($C77, 'Match Names'!$A$1:$D$22, 4,"&amp;" FALSE), ""!C3:R29"")), ROW($A$1:$A$24), FALSE)), ""=0"") + COUNTIF(ARRAYFORMULA(HLOOKUP($B77, IMPORTRANGE('Match Names'!$E$23, CONCAT(VLOOKUP($C77, 'Match Names'!$1:$22, 5, FALSE), ""!C3:R29"")), ROW($A$1:$A$24), FALSE)), ""=0"") + COUNTIF(ARRAYFORMULA(H"&amp;"LOOKUP($B77, IMPORTRANGE('Match Names'!$F$23, CONCAT(VLOOKUP($C77, 'Match Names'!$1:$22, 6, FALSE), ""!C3:R29"")), ROW($A$1:$A$24), FALSE)), ""=0"") + COUNTIF(ARRAYFORMULA(HLOOKUP($B77, IMPORTRANGE('Match Names'!$G$23, CONCAT(VLOOKUP($C77, 'Match Names'!$"&amp;"1:$22, 7, FALSE), ""!C3:R29"")), ROW($A$1:$A$24), FALSE)), ""=0"") + COUNTIF(ARRAYFORMULA(HLOOKUP($B77, IMPORTRANGE('Match Names'!$H$23, CONCAT(VLOOKUP($C77, 'Match Names'!$1:$22, 8, FALSE), ""!C3:R29"")), ROW($A$1:$A$24), FALSE)), ""=0"")"),1.0)</f>
        <v>1</v>
      </c>
      <c r="G77" s="4">
        <f>IFERROR(__xludf.DUMMYFUNCTION("COUNTIF(ARRAYFORMULA(HLOOKUP($B77, IMPORTRANGE('Prelim Rankings Unsorted'!$B$40, CONCAT(VLOOKUP($C77, 'Match Names'!$A$1:$D$22, 2, FALSE), ""!C3:R29"")), ROW($A$1:$A$24), FALSE)), ""=-4"") + COUNTIF(ARRAYFORMULA(HLOOKUP($B77, IMPORTRANGE('Prelim Rankings "&amp;"Unsorted'!$B$41, CONCAT(VLOOKUP($C77, 'Match Names'!$A$1:$D$22, 3, FALSE), ""!C3:R29"")), ROW($A$1:$A$24), FALSE)), ""=-4"") + COUNTIF(ARRAYFORMULA(HLOOKUP($B77, IMPORTRANGE('Prelim Rankings Unsorted'!$B$42, CONCAT(VLOOKUP($C77, 'Match Names'!$A$1:$D$22, "&amp;"4, FALSE), ""!C3:R29"")), ROW($A$1:$A$24), FALSE)), ""=-4"") + COUNTIF(ARRAYFORMULA(HLOOKUP($B77, IMPORTRANGE('Match Names'!$E$23, CONCAT(VLOOKUP($C77, 'Match Names'!$1:$22, 5, FALSE), ""!C3:R29"")), ROW($A$1:$A$24), FALSE)), ""=-4"") + COUNTIF(ARRAYFORMU"&amp;"LA(HLOOKUP($B77, IMPORTRANGE('Match Names'!$F$23, CONCAT(VLOOKUP($C77, 'Match Names'!$1:$22, 6, FALSE), ""!C3:R29"")), ROW($A$1:$A$24), FALSE)), ""=-4"") + COUNTIF(ARRAYFORMULA(HLOOKUP($B77, IMPORTRANGE('Match Names'!$G$23, CONCAT(VLOOKUP($C77, 'Match Nam"&amp;"es'!$1:$22, 7, FALSE), ""!C3:R29"")), ROW($A$1:$A$24), FALSE)), ""=-4"") + COUNTIF(ARRAYFORMULA(HLOOKUP($B77, IMPORTRANGE('Match Names'!$H$23, CONCAT(VLOOKUP($C77, 'Match Names'!$1:$22, 8, FALSE), ""!C3:R29"")), ROW($A$1:$A$24), FALSE)), ""=-4"")"),0.0)</f>
        <v>0</v>
      </c>
      <c r="H77" s="4">
        <f t="shared" si="1"/>
        <v>2.97</v>
      </c>
    </row>
    <row r="78">
      <c r="A78" s="21" t="s">
        <v>150</v>
      </c>
      <c r="B78" s="7" t="str">
        <f>VLOOKUP(CONCAT(A78, C78), 'Discord Username to Real Name'!C:D, 2, FALSE)</f>
        <v>aaron0109#6251</v>
      </c>
      <c r="C78" s="21" t="s">
        <v>23</v>
      </c>
      <c r="D78" s="11">
        <f>IFERROR(__xludf.DUMMYFUNCTION("(23 - COUNTIF(IFERROR(ARRAYFORMULA(HLOOKUP($B78, IMPORTRANGE('Prelim Rankings Unsorted'!$B$40, CONCAT(VLOOKUP($C78, 'Match Names'!$A$1:$D$22, 2, FALSE), ""!C3:R29"")), ROW($A$1:$A$24), FALSE)), $AA$9:$AA$31), ""=X"")) + (23 - COUNTIF(IFERROR(ARRAYFORMULA("&amp;"HLOOKUP($B78, IMPORTRANGE('Prelim Rankings Unsorted'!$B$41, CONCAT(VLOOKUP($C78, 'Match Names'!$A$1:$D$22, 3, FALSE), ""!C3:R29"")), ROW($A$1:$A$24), FALSE)), $AA$9:$AA$31), ""=X"")) + (23 - COUNTIF(IFERROR(ARRAYFORMULA(HLOOKUP($B78, IMPORTRANGE('Prelim R"&amp;"ankings Unsorted'!$B$42, CONCAT(VLOOKUP($C78, 'Match Names'!$A$1:$D$22, 4, FALSE), ""!C3:R29"")), ROW($A$1:$A$24), FALSE)), $AA$9:$AA$31), ""=X"")) + (23 - COUNTIF(IFERROR(ARRAYFORMULA(HLOOKUP($B78, IMPORTRANGE('Match Names'!$E$23, CONCAT(VLOOKUP($C78, 'M"&amp;"atch Names'!$1:$22, 5, FALSE), ""!C3:R29"")), ROW($A$1:$A$24), FALSE)), $AA$9:$AA$31), ""=X"")) + (23 - COUNTIF(IFERROR(ARRAYFORMULA(HLOOKUP($B78, IMPORTRANGE('Match Names'!$F$23, CONCAT(VLOOKUP($C78, 'Match Names'!$1:$22, 6, FALSE), ""!C3:R29"")), ROW($A"&amp;"$1:$A$24), FALSE)), $AA$9:$AA$31), ""=X"")) + (23 - COUNTIF(IFERROR(ARRAYFORMULA(HLOOKUP($B78, IMPORTRANGE('Match Names'!$G$23, CONCAT(VLOOKUP($C78, 'Match Names'!$1:$22, 7, FALSE), ""!C3:R29"")), ROW($A$1:$A$24), FALSE)), $AA$9:$AA$31), ""=X"")) + (23 - "&amp;"COUNTIF(IFERROR(ARRAYFORMULA(HLOOKUP($B78, IMPORTRANGE('Match Names'!$H$23, CONCAT(VLOOKUP($C78, 'Match Names'!$1:$22, 8, FALSE), ""!C3:R29"")), ROW($A$1:$A$24), FALSE)), $AA$9:$AA$31), ""=X""))"),46.0)</f>
        <v>46</v>
      </c>
      <c r="E78" s="4">
        <f>IFERROR(__xludf.DUMMYFUNCTION("COUNTIF(ARRAYFORMULA(HLOOKUP($B78, IMPORTRANGE('Prelim Rankings Unsorted'!$B$40, CONCAT(VLOOKUP($C78, 'Match Names'!$A$1:$D$22, 2, FALSE), ""!C3:R29"")), ROW($A$1:$A$24), FALSE)), ""=4"") + COUNTIF(ARRAYFORMULA(HLOOKUP($B78, IMPORTRANGE('Prelim Rankings U"&amp;"nsorted'!$B$41, CONCAT(VLOOKUP($C78, 'Match Names'!$A$1:$D$22, 3, FALSE), ""!C3:R29"")), ROW($A$1:$A$24), FALSE)), ""=4"") + COUNTIF(ARRAYFORMULA(HLOOKUP($B78, IMPORTRANGE('Prelim Rankings Unsorted'!$B$42, CONCAT(VLOOKUP($C78, 'Match Names'!$A$1:$D$22, 4,"&amp;" FALSE), ""!C3:R29"")), ROW($A$1:$A$24), FALSE)), ""=4"") + COUNTIF(ARRAYFORMULA(HLOOKUP($B78, IMPORTRANGE('Match Names'!$E$23, CONCAT(VLOOKUP($C78, 'Match Names'!$1:$22, 5, FALSE), ""!C3:R29"")), ROW($A$1:$A$24), FALSE)), ""=4"") + COUNTIF(ARRAYFORMULA(H"&amp;"LOOKUP($B78, IMPORTRANGE('Match Names'!$F$23, CONCAT(VLOOKUP($C78, 'Match Names'!$1:$22, 6, FALSE), ""!C3:R29"")), ROW($A$1:$A$24), FALSE)), ""=4"") + COUNTIF(ARRAYFORMULA(HLOOKUP($B78, IMPORTRANGE('Match Names'!$G$23, CONCAT(VLOOKUP($C78, 'Match Names'!$"&amp;"1:$22, 7, FALSE), ""!C3:R29"")), ROW($A$1:$A$24), FALSE)), ""=4"") + COUNTIF(ARRAYFORMULA(HLOOKUP($B78, IMPORTRANGE('Match Names'!$H$23, CONCAT(VLOOKUP($C78, 'Match Names'!$1:$22, 8, FALSE), ""!C3:R29"")), ROW($A$1:$A$24), FALSE)), ""=4"")"),2.0)</f>
        <v>2</v>
      </c>
      <c r="F78" s="4">
        <f>IFERROR(__xludf.DUMMYFUNCTION("COUNTIF(ARRAYFORMULA(HLOOKUP($B78, IMPORTRANGE('Prelim Rankings Unsorted'!$B$40, CONCAT(VLOOKUP($C78, 'Match Names'!$A$1:$D$22, 2, FALSE), ""!C3:R29"")), ROW($A$1:$A$24), FALSE)), ""=0"") + COUNTIF(ARRAYFORMULA(HLOOKUP($B78, IMPORTRANGE('Prelim Rankings U"&amp;"nsorted'!$B$41, CONCAT(VLOOKUP($C78, 'Match Names'!$A$1:$D$22, 3, FALSE), ""!C3:R29"")), ROW($A$1:$A$24), FALSE)), ""=0"") + COUNTIF(ARRAYFORMULA(HLOOKUP($B78, IMPORTRANGE('Prelim Rankings Unsorted'!$B$42, CONCAT(VLOOKUP($C78, 'Match Names'!$A$1:$D$22, 4,"&amp;" FALSE), ""!C3:R29"")), ROW($A$1:$A$24), FALSE)), ""=0"") + COUNTIF(ARRAYFORMULA(HLOOKUP($B78, IMPORTRANGE('Match Names'!$E$23, CONCAT(VLOOKUP($C78, 'Match Names'!$1:$22, 5, FALSE), ""!C3:R29"")), ROW($A$1:$A$24), FALSE)), ""=0"") + COUNTIF(ARRAYFORMULA(H"&amp;"LOOKUP($B78, IMPORTRANGE('Match Names'!$F$23, CONCAT(VLOOKUP($C78, 'Match Names'!$1:$22, 6, FALSE), ""!C3:R29"")), ROW($A$1:$A$24), FALSE)), ""=0"") + COUNTIF(ARRAYFORMULA(HLOOKUP($B78, IMPORTRANGE('Match Names'!$G$23, CONCAT(VLOOKUP($C78, 'Match Names'!$"&amp;"1:$22, 7, FALSE), ""!C3:R29"")), ROW($A$1:$A$24), FALSE)), ""=0"") + COUNTIF(ARRAYFORMULA(HLOOKUP($B78, IMPORTRANGE('Match Names'!$H$23, CONCAT(VLOOKUP($C78, 'Match Names'!$1:$22, 8, FALSE), ""!C3:R29"")), ROW($A$1:$A$24), FALSE)), ""=0"")"),1.0)</f>
        <v>1</v>
      </c>
      <c r="G78" s="4">
        <f>IFERROR(__xludf.DUMMYFUNCTION("COUNTIF(ARRAYFORMULA(HLOOKUP($B78, IMPORTRANGE('Prelim Rankings Unsorted'!$B$40, CONCAT(VLOOKUP($C78, 'Match Names'!$A$1:$D$22, 2, FALSE), ""!C3:R29"")), ROW($A$1:$A$24), FALSE)), ""=-4"") + COUNTIF(ARRAYFORMULA(HLOOKUP($B78, IMPORTRANGE('Prelim Rankings "&amp;"Unsorted'!$B$41, CONCAT(VLOOKUP($C78, 'Match Names'!$A$1:$D$22, 3, FALSE), ""!C3:R29"")), ROW($A$1:$A$24), FALSE)), ""=-4"") + COUNTIF(ARRAYFORMULA(HLOOKUP($B78, IMPORTRANGE('Prelim Rankings Unsorted'!$B$42, CONCAT(VLOOKUP($C78, 'Match Names'!$A$1:$D$22, "&amp;"4, FALSE), ""!C3:R29"")), ROW($A$1:$A$24), FALSE)), ""=-4"") + COUNTIF(ARRAYFORMULA(HLOOKUP($B78, IMPORTRANGE('Match Names'!$E$23, CONCAT(VLOOKUP($C78, 'Match Names'!$1:$22, 5, FALSE), ""!C3:R29"")), ROW($A$1:$A$24), FALSE)), ""=-4"") + COUNTIF(ARRAYFORMU"&amp;"LA(HLOOKUP($B78, IMPORTRANGE('Match Names'!$F$23, CONCAT(VLOOKUP($C78, 'Match Names'!$1:$22, 6, FALSE), ""!C3:R29"")), ROW($A$1:$A$24), FALSE)), ""=-4"") + COUNTIF(ARRAYFORMULA(HLOOKUP($B78, IMPORTRANGE('Match Names'!$G$23, CONCAT(VLOOKUP($C78, 'Match Nam"&amp;"es'!$1:$22, 7, FALSE), ""!C3:R29"")), ROW($A$1:$A$24), FALSE)), ""=-4"") + COUNTIF(ARRAYFORMULA(HLOOKUP($B78, IMPORTRANGE('Match Names'!$H$23, CONCAT(VLOOKUP($C78, 'Match Names'!$1:$22, 8, FALSE), ""!C3:R29"")), ROW($A$1:$A$24), FALSE)), ""=-4"")"),0.0)</f>
        <v>0</v>
      </c>
      <c r="H78" s="4">
        <f t="shared" si="1"/>
        <v>4</v>
      </c>
    </row>
    <row r="79">
      <c r="A79" s="21" t="s">
        <v>49</v>
      </c>
      <c r="B79" s="7" t="str">
        <f>VLOOKUP(CONCAT(A79, C79), 'Discord Username to Real Name'!C:D, 2, FALSE)</f>
        <v>avani#8445</v>
      </c>
      <c r="C79" s="21" t="s">
        <v>23</v>
      </c>
      <c r="D79" s="11">
        <f>IFERROR(__xludf.DUMMYFUNCTION("(23 - COUNTIF(IFERROR(ARRAYFORMULA(HLOOKUP($B79, IMPORTRANGE('Prelim Rankings Unsorted'!$B$40, CONCAT(VLOOKUP($C79, 'Match Names'!$A$1:$D$22, 2, FALSE), ""!C3:R29"")), ROW($A$1:$A$24), FALSE)), $AA$9:$AA$31), ""=X"")) + (23 - COUNTIF(IFERROR(ARRAYFORMULA("&amp;"HLOOKUP($B79, IMPORTRANGE('Prelim Rankings Unsorted'!$B$41, CONCAT(VLOOKUP($C79, 'Match Names'!$A$1:$D$22, 3, FALSE), ""!C3:R29"")), ROW($A$1:$A$24), FALSE)), $AA$9:$AA$31), ""=X"")) + (23 - COUNTIF(IFERROR(ARRAYFORMULA(HLOOKUP($B79, IMPORTRANGE('Prelim R"&amp;"ankings Unsorted'!$B$42, CONCAT(VLOOKUP($C79, 'Match Names'!$A$1:$D$22, 4, FALSE), ""!C3:R29"")), ROW($A$1:$A$24), FALSE)), $AA$9:$AA$31), ""=X"")) + (23 - COUNTIF(IFERROR(ARRAYFORMULA(HLOOKUP($B79, IMPORTRANGE('Match Names'!$E$23, CONCAT(VLOOKUP($C79, 'M"&amp;"atch Names'!$1:$22, 5, FALSE), ""!C3:R29"")), ROW($A$1:$A$24), FALSE)), $AA$9:$AA$31), ""=X"")) + (23 - COUNTIF(IFERROR(ARRAYFORMULA(HLOOKUP($B79, IMPORTRANGE('Match Names'!$F$23, CONCAT(VLOOKUP($C79, 'Match Names'!$1:$22, 6, FALSE), ""!C3:R29"")), ROW($A"&amp;"$1:$A$24), FALSE)), $AA$9:$AA$31), ""=X"")) + (23 - COUNTIF(IFERROR(ARRAYFORMULA(HLOOKUP($B79, IMPORTRANGE('Match Names'!$G$23, CONCAT(VLOOKUP($C79, 'Match Names'!$1:$22, 7, FALSE), ""!C3:R29"")), ROW($A$1:$A$24), FALSE)), $AA$9:$AA$31), ""=X"")) + (23 - "&amp;"COUNTIF(IFERROR(ARRAYFORMULA(HLOOKUP($B79, IMPORTRANGE('Match Names'!$H$23, CONCAT(VLOOKUP($C79, 'Match Names'!$1:$22, 8, FALSE), ""!C3:R29"")), ROW($A$1:$A$24), FALSE)), $AA$9:$AA$31), ""=X""))"),115.0)</f>
        <v>115</v>
      </c>
      <c r="E79" s="4">
        <f>IFERROR(__xludf.DUMMYFUNCTION("COUNTIF(ARRAYFORMULA(HLOOKUP($B79, IMPORTRANGE('Prelim Rankings Unsorted'!$B$40, CONCAT(VLOOKUP($C79, 'Match Names'!$A$1:$D$22, 2, FALSE), ""!C3:R29"")), ROW($A$1:$A$24), FALSE)), ""=4"") + COUNTIF(ARRAYFORMULA(HLOOKUP($B79, IMPORTRANGE('Prelim Rankings U"&amp;"nsorted'!$B$41, CONCAT(VLOOKUP($C79, 'Match Names'!$A$1:$D$22, 3, FALSE), ""!C3:R29"")), ROW($A$1:$A$24), FALSE)), ""=4"") + COUNTIF(ARRAYFORMULA(HLOOKUP($B79, IMPORTRANGE('Prelim Rankings Unsorted'!$B$42, CONCAT(VLOOKUP($C79, 'Match Names'!$A$1:$D$22, 4,"&amp;" FALSE), ""!C3:R29"")), ROW($A$1:$A$24), FALSE)), ""=4"") + COUNTIF(ARRAYFORMULA(HLOOKUP($B79, IMPORTRANGE('Match Names'!$E$23, CONCAT(VLOOKUP($C79, 'Match Names'!$1:$22, 5, FALSE), ""!C3:R29"")), ROW($A$1:$A$24), FALSE)), ""=4"") + COUNTIF(ARRAYFORMULA(H"&amp;"LOOKUP($B79, IMPORTRANGE('Match Names'!$F$23, CONCAT(VLOOKUP($C79, 'Match Names'!$1:$22, 6, FALSE), ""!C3:R29"")), ROW($A$1:$A$24), FALSE)), ""=4"") + COUNTIF(ARRAYFORMULA(HLOOKUP($B79, IMPORTRANGE('Match Names'!$G$23, CONCAT(VLOOKUP($C79, 'Match Names'!$"&amp;"1:$22, 7, FALSE), ""!C3:R29"")), ROW($A$1:$A$24), FALSE)), ""=4"") + COUNTIF(ARRAYFORMULA(HLOOKUP($B79, IMPORTRANGE('Match Names'!$H$23, CONCAT(VLOOKUP($C79, 'Match Names'!$1:$22, 8, FALSE), ""!C3:R29"")), ROW($A$1:$A$24), FALSE)), ""=4"")"),14.0)</f>
        <v>14</v>
      </c>
      <c r="F79" s="4">
        <f>IFERROR(__xludf.DUMMYFUNCTION("COUNTIF(ARRAYFORMULA(HLOOKUP($B79, IMPORTRANGE('Prelim Rankings Unsorted'!$B$40, CONCAT(VLOOKUP($C79, 'Match Names'!$A$1:$D$22, 2, FALSE), ""!C3:R29"")), ROW($A$1:$A$24), FALSE)), ""=0"") + COUNTIF(ARRAYFORMULA(HLOOKUP($B79, IMPORTRANGE('Prelim Rankings U"&amp;"nsorted'!$B$41, CONCAT(VLOOKUP($C79, 'Match Names'!$A$1:$D$22, 3, FALSE), ""!C3:R29"")), ROW($A$1:$A$24), FALSE)), ""=0"") + COUNTIF(ARRAYFORMULA(HLOOKUP($B79, IMPORTRANGE('Prelim Rankings Unsorted'!$B$42, CONCAT(VLOOKUP($C79, 'Match Names'!$A$1:$D$22, 4,"&amp;" FALSE), ""!C3:R29"")), ROW($A$1:$A$24), FALSE)), ""=0"") + COUNTIF(ARRAYFORMULA(HLOOKUP($B79, IMPORTRANGE('Match Names'!$E$23, CONCAT(VLOOKUP($C79, 'Match Names'!$1:$22, 5, FALSE), ""!C3:R29"")), ROW($A$1:$A$24), FALSE)), ""=0"") + COUNTIF(ARRAYFORMULA(H"&amp;"LOOKUP($B79, IMPORTRANGE('Match Names'!$F$23, CONCAT(VLOOKUP($C79, 'Match Names'!$1:$22, 6, FALSE), ""!C3:R29"")), ROW($A$1:$A$24), FALSE)), ""=0"") + COUNTIF(ARRAYFORMULA(HLOOKUP($B79, IMPORTRANGE('Match Names'!$G$23, CONCAT(VLOOKUP($C79, 'Match Names'!$"&amp;"1:$22, 7, FALSE), ""!C3:R29"")), ROW($A$1:$A$24), FALSE)), ""=0"") + COUNTIF(ARRAYFORMULA(HLOOKUP($B79, IMPORTRANGE('Match Names'!$H$23, CONCAT(VLOOKUP($C79, 'Match Names'!$1:$22, 8, FALSE), ""!C3:R29"")), ROW($A$1:$A$24), FALSE)), ""=0"")"),8.0)</f>
        <v>8</v>
      </c>
      <c r="G79" s="4">
        <f>IFERROR(__xludf.DUMMYFUNCTION("COUNTIF(ARRAYFORMULA(HLOOKUP($B79, IMPORTRANGE('Prelim Rankings Unsorted'!$B$40, CONCAT(VLOOKUP($C79, 'Match Names'!$A$1:$D$22, 2, FALSE), ""!C3:R29"")), ROW($A$1:$A$24), FALSE)), ""=-4"") + COUNTIF(ARRAYFORMULA(HLOOKUP($B79, IMPORTRANGE('Prelim Rankings "&amp;"Unsorted'!$B$41, CONCAT(VLOOKUP($C79, 'Match Names'!$A$1:$D$22, 3, FALSE), ""!C3:R29"")), ROW($A$1:$A$24), FALSE)), ""=-4"") + COUNTIF(ARRAYFORMULA(HLOOKUP($B79, IMPORTRANGE('Prelim Rankings Unsorted'!$B$42, CONCAT(VLOOKUP($C79, 'Match Names'!$A$1:$D$22, "&amp;"4, FALSE), ""!C3:R29"")), ROW($A$1:$A$24), FALSE)), ""=-4"") + COUNTIF(ARRAYFORMULA(HLOOKUP($B79, IMPORTRANGE('Match Names'!$E$23, CONCAT(VLOOKUP($C79, 'Match Names'!$1:$22, 5, FALSE), ""!C3:R29"")), ROW($A$1:$A$24), FALSE)), ""=-4"") + COUNTIF(ARRAYFORMU"&amp;"LA(HLOOKUP($B79, IMPORTRANGE('Match Names'!$F$23, CONCAT(VLOOKUP($C79, 'Match Names'!$1:$22, 6, FALSE), ""!C3:R29"")), ROW($A$1:$A$24), FALSE)), ""=-4"") + COUNTIF(ARRAYFORMULA(HLOOKUP($B79, IMPORTRANGE('Match Names'!$G$23, CONCAT(VLOOKUP($C79, 'Match Nam"&amp;"es'!$1:$22, 7, FALSE), ""!C3:R29"")), ROW($A$1:$A$24), FALSE)), ""=-4"") + COUNTIF(ARRAYFORMULA(HLOOKUP($B79, IMPORTRANGE('Match Names'!$H$23, CONCAT(VLOOKUP($C79, 'Match Names'!$1:$22, 8, FALSE), ""!C3:R29"")), ROW($A$1:$A$24), FALSE)), ""=-4"")"),0.0)</f>
        <v>0</v>
      </c>
      <c r="H79" s="4">
        <f t="shared" si="1"/>
        <v>11.2</v>
      </c>
    </row>
    <row r="80">
      <c r="A80" s="21" t="s">
        <v>142</v>
      </c>
      <c r="B80" s="7" t="str">
        <f>VLOOKUP(CONCAT(A80, C80), 'Discord Username to Real Name'!C:D, 2, FALSE)</f>
        <v>Char#5513</v>
      </c>
      <c r="C80" s="21" t="s">
        <v>23</v>
      </c>
      <c r="D80" s="11">
        <f>IFERROR(__xludf.DUMMYFUNCTION("(23 - COUNTIF(IFERROR(ARRAYFORMULA(HLOOKUP($B80, IMPORTRANGE('Prelim Rankings Unsorted'!$B$40, CONCAT(VLOOKUP($C80, 'Match Names'!$A$1:$D$22, 2, FALSE), ""!C3:R29"")), ROW($A$1:$A$24), FALSE)), $AA$9:$AA$31), ""=X"")) + (23 - COUNTIF(IFERROR(ARRAYFORMULA("&amp;"HLOOKUP($B80, IMPORTRANGE('Prelim Rankings Unsorted'!$B$41, CONCAT(VLOOKUP($C80, 'Match Names'!$A$1:$D$22, 3, FALSE), ""!C3:R29"")), ROW($A$1:$A$24), FALSE)), $AA$9:$AA$31), ""=X"")) + (23 - COUNTIF(IFERROR(ARRAYFORMULA(HLOOKUP($B80, IMPORTRANGE('Prelim R"&amp;"ankings Unsorted'!$B$42, CONCAT(VLOOKUP($C80, 'Match Names'!$A$1:$D$22, 4, FALSE), ""!C3:R29"")), ROW($A$1:$A$24), FALSE)), $AA$9:$AA$31), ""=X"")) + (23 - COUNTIF(IFERROR(ARRAYFORMULA(HLOOKUP($B80, IMPORTRANGE('Match Names'!$E$23, CONCAT(VLOOKUP($C80, 'M"&amp;"atch Names'!$1:$22, 5, FALSE), ""!C3:R29"")), ROW($A$1:$A$24), FALSE)), $AA$9:$AA$31), ""=X"")) + (23 - COUNTIF(IFERROR(ARRAYFORMULA(HLOOKUP($B80, IMPORTRANGE('Match Names'!$F$23, CONCAT(VLOOKUP($C80, 'Match Names'!$1:$22, 6, FALSE), ""!C3:R29"")), ROW($A"&amp;"$1:$A$24), FALSE)), $AA$9:$AA$31), ""=X"")) + (23 - COUNTIF(IFERROR(ARRAYFORMULA(HLOOKUP($B80, IMPORTRANGE('Match Names'!$G$23, CONCAT(VLOOKUP($C80, 'Match Names'!$1:$22, 7, FALSE), ""!C3:R29"")), ROW($A$1:$A$24), FALSE)), $AA$9:$AA$31), ""=X"")) + (23 - "&amp;"COUNTIF(IFERROR(ARRAYFORMULA(HLOOKUP($B80, IMPORTRANGE('Match Names'!$H$23, CONCAT(VLOOKUP($C80, 'Match Names'!$1:$22, 8, FALSE), ""!C3:R29"")), ROW($A$1:$A$24), FALSE)), $AA$9:$AA$31), ""=X""))"),92.0)</f>
        <v>92</v>
      </c>
      <c r="E80" s="4">
        <f>IFERROR(__xludf.DUMMYFUNCTION("COUNTIF(ARRAYFORMULA(HLOOKUP($B80, IMPORTRANGE('Prelim Rankings Unsorted'!$B$40, CONCAT(VLOOKUP($C80, 'Match Names'!$A$1:$D$22, 2, FALSE), ""!C3:R29"")), ROW($A$1:$A$24), FALSE)), ""=4"") + COUNTIF(ARRAYFORMULA(HLOOKUP($B80, IMPORTRANGE('Prelim Rankings U"&amp;"nsorted'!$B$41, CONCAT(VLOOKUP($C80, 'Match Names'!$A$1:$D$22, 3, FALSE), ""!C3:R29"")), ROW($A$1:$A$24), FALSE)), ""=4"") + COUNTIF(ARRAYFORMULA(HLOOKUP($B80, IMPORTRANGE('Prelim Rankings Unsorted'!$B$42, CONCAT(VLOOKUP($C80, 'Match Names'!$A$1:$D$22, 4,"&amp;" FALSE), ""!C3:R29"")), ROW($A$1:$A$24), FALSE)), ""=4"") + COUNTIF(ARRAYFORMULA(HLOOKUP($B80, IMPORTRANGE('Match Names'!$E$23, CONCAT(VLOOKUP($C80, 'Match Names'!$1:$22, 5, FALSE), ""!C3:R29"")), ROW($A$1:$A$24), FALSE)), ""=4"") + COUNTIF(ARRAYFORMULA(H"&amp;"LOOKUP($B80, IMPORTRANGE('Match Names'!$F$23, CONCAT(VLOOKUP($C80, 'Match Names'!$1:$22, 6, FALSE), ""!C3:R29"")), ROW($A$1:$A$24), FALSE)), ""=4"") + COUNTIF(ARRAYFORMULA(HLOOKUP($B80, IMPORTRANGE('Match Names'!$G$23, CONCAT(VLOOKUP($C80, 'Match Names'!$"&amp;"1:$22, 7, FALSE), ""!C3:R29"")), ROW($A$1:$A$24), FALSE)), ""=4"") + COUNTIF(ARRAYFORMULA(HLOOKUP($B80, IMPORTRANGE('Match Names'!$H$23, CONCAT(VLOOKUP($C80, 'Match Names'!$1:$22, 8, FALSE), ""!C3:R29"")), ROW($A$1:$A$24), FALSE)), ""=4"")"),4.0)</f>
        <v>4</v>
      </c>
      <c r="F80" s="4">
        <f>IFERROR(__xludf.DUMMYFUNCTION("COUNTIF(ARRAYFORMULA(HLOOKUP($B80, IMPORTRANGE('Prelim Rankings Unsorted'!$B$40, CONCAT(VLOOKUP($C80, 'Match Names'!$A$1:$D$22, 2, FALSE), ""!C3:R29"")), ROW($A$1:$A$24), FALSE)), ""=0"") + COUNTIF(ARRAYFORMULA(HLOOKUP($B80, IMPORTRANGE('Prelim Rankings U"&amp;"nsorted'!$B$41, CONCAT(VLOOKUP($C80, 'Match Names'!$A$1:$D$22, 3, FALSE), ""!C3:R29"")), ROW($A$1:$A$24), FALSE)), ""=0"") + COUNTIF(ARRAYFORMULA(HLOOKUP($B80, IMPORTRANGE('Prelim Rankings Unsorted'!$B$42, CONCAT(VLOOKUP($C80, 'Match Names'!$A$1:$D$22, 4,"&amp;" FALSE), ""!C3:R29"")), ROW($A$1:$A$24), FALSE)), ""=0"") + COUNTIF(ARRAYFORMULA(HLOOKUP($B80, IMPORTRANGE('Match Names'!$E$23, CONCAT(VLOOKUP($C80, 'Match Names'!$1:$22, 5, FALSE), ""!C3:R29"")), ROW($A$1:$A$24), FALSE)), ""=0"") + COUNTIF(ARRAYFORMULA(H"&amp;"LOOKUP($B80, IMPORTRANGE('Match Names'!$F$23, CONCAT(VLOOKUP($C80, 'Match Names'!$1:$22, 6, FALSE), ""!C3:R29"")), ROW($A$1:$A$24), FALSE)), ""=0"") + COUNTIF(ARRAYFORMULA(HLOOKUP($B80, IMPORTRANGE('Match Names'!$G$23, CONCAT(VLOOKUP($C80, 'Match Names'!$"&amp;"1:$22, 7, FALSE), ""!C3:R29"")), ROW($A$1:$A$24), FALSE)), ""=0"") + COUNTIF(ARRAYFORMULA(HLOOKUP($B80, IMPORTRANGE('Match Names'!$H$23, CONCAT(VLOOKUP($C80, 'Match Names'!$1:$22, 8, FALSE), ""!C3:R29"")), ROW($A$1:$A$24), FALSE)), ""=0"")"),2.0)</f>
        <v>2</v>
      </c>
      <c r="G80" s="4">
        <f>IFERROR(__xludf.DUMMYFUNCTION("COUNTIF(ARRAYFORMULA(HLOOKUP($B80, IMPORTRANGE('Prelim Rankings Unsorted'!$B$40, CONCAT(VLOOKUP($C80, 'Match Names'!$A$1:$D$22, 2, FALSE), ""!C3:R29"")), ROW($A$1:$A$24), FALSE)), ""=-4"") + COUNTIF(ARRAYFORMULA(HLOOKUP($B80, IMPORTRANGE('Prelim Rankings "&amp;"Unsorted'!$B$41, CONCAT(VLOOKUP($C80, 'Match Names'!$A$1:$D$22, 3, FALSE), ""!C3:R29"")), ROW($A$1:$A$24), FALSE)), ""=-4"") + COUNTIF(ARRAYFORMULA(HLOOKUP($B80, IMPORTRANGE('Prelim Rankings Unsorted'!$B$42, CONCAT(VLOOKUP($C80, 'Match Names'!$A$1:$D$22, "&amp;"4, FALSE), ""!C3:R29"")), ROW($A$1:$A$24), FALSE)), ""=-4"") + COUNTIF(ARRAYFORMULA(HLOOKUP($B80, IMPORTRANGE('Match Names'!$E$23, CONCAT(VLOOKUP($C80, 'Match Names'!$1:$22, 5, FALSE), ""!C3:R29"")), ROW($A$1:$A$24), FALSE)), ""=-4"") + COUNTIF(ARRAYFORMU"&amp;"LA(HLOOKUP($B80, IMPORTRANGE('Match Names'!$F$23, CONCAT(VLOOKUP($C80, 'Match Names'!$1:$22, 6, FALSE), ""!C3:R29"")), ROW($A$1:$A$24), FALSE)), ""=-4"") + COUNTIF(ARRAYFORMULA(HLOOKUP($B80, IMPORTRANGE('Match Names'!$G$23, CONCAT(VLOOKUP($C80, 'Match Nam"&amp;"es'!$1:$22, 7, FALSE), ""!C3:R29"")), ROW($A$1:$A$24), FALSE)), ""=-4"") + COUNTIF(ARRAYFORMULA(HLOOKUP($B80, IMPORTRANGE('Match Names'!$H$23, CONCAT(VLOOKUP($C80, 'Match Names'!$1:$22, 8, FALSE), ""!C3:R29"")), ROW($A$1:$A$24), FALSE)), ""=-4"")"),0.0)</f>
        <v>0</v>
      </c>
      <c r="H80" s="4">
        <f t="shared" si="1"/>
        <v>4</v>
      </c>
    </row>
    <row r="81">
      <c r="A81" s="21" t="s">
        <v>102</v>
      </c>
      <c r="B81" s="7" t="str">
        <f>VLOOKUP(CONCAT(A81, C81), 'Discord Username to Real Name'!C:D, 2, FALSE)</f>
        <v>Weber_Lin#5389</v>
      </c>
      <c r="C81" s="21" t="s">
        <v>23</v>
      </c>
      <c r="D81" s="11">
        <f>IFERROR(__xludf.DUMMYFUNCTION("(23 - COUNTIF(IFERROR(ARRAYFORMULA(HLOOKUP($B81, IMPORTRANGE('Prelim Rankings Unsorted'!$B$40, CONCAT(VLOOKUP($C81, 'Match Names'!$A$1:$D$22, 2, FALSE), ""!C3:R29"")), ROW($A$1:$A$24), FALSE)), $AA$9:$AA$31), ""=X"")) + (23 - COUNTIF(IFERROR(ARRAYFORMULA("&amp;"HLOOKUP($B81, IMPORTRANGE('Prelim Rankings Unsorted'!$B$41, CONCAT(VLOOKUP($C81, 'Match Names'!$A$1:$D$22, 3, FALSE), ""!C3:R29"")), ROW($A$1:$A$24), FALSE)), $AA$9:$AA$31), ""=X"")) + (23 - COUNTIF(IFERROR(ARRAYFORMULA(HLOOKUP($B81, IMPORTRANGE('Prelim R"&amp;"ankings Unsorted'!$B$42, CONCAT(VLOOKUP($C81, 'Match Names'!$A$1:$D$22, 4, FALSE), ""!C3:R29"")), ROW($A$1:$A$24), FALSE)), $AA$9:$AA$31), ""=X"")) + (23 - COUNTIF(IFERROR(ARRAYFORMULA(HLOOKUP($B81, IMPORTRANGE('Match Names'!$E$23, CONCAT(VLOOKUP($C81, 'M"&amp;"atch Names'!$1:$22, 5, FALSE), ""!C3:R29"")), ROW($A$1:$A$24), FALSE)), $AA$9:$AA$31), ""=X"")) + (23 - COUNTIF(IFERROR(ARRAYFORMULA(HLOOKUP($B81, IMPORTRANGE('Match Names'!$F$23, CONCAT(VLOOKUP($C81, 'Match Names'!$1:$22, 6, FALSE), ""!C3:R29"")), ROW($A"&amp;"$1:$A$24), FALSE)), $AA$9:$AA$31), ""=X"")) + (23 - COUNTIF(IFERROR(ARRAYFORMULA(HLOOKUP($B81, IMPORTRANGE('Match Names'!$G$23, CONCAT(VLOOKUP($C81, 'Match Names'!$1:$22, 7, FALSE), ""!C3:R29"")), ROW($A$1:$A$24), FALSE)), $AA$9:$AA$31), ""=X"")) + (23 - "&amp;"COUNTIF(IFERROR(ARRAYFORMULA(HLOOKUP($B81, IMPORTRANGE('Match Names'!$H$23, CONCAT(VLOOKUP($C81, 'Match Names'!$1:$22, 8, FALSE), ""!C3:R29"")), ROW($A$1:$A$24), FALSE)), $AA$9:$AA$31), ""=X""))"),115.0)</f>
        <v>115</v>
      </c>
      <c r="E81" s="4">
        <f>IFERROR(__xludf.DUMMYFUNCTION("COUNTIF(ARRAYFORMULA(HLOOKUP($B81, IMPORTRANGE('Prelim Rankings Unsorted'!$B$40, CONCAT(VLOOKUP($C81, 'Match Names'!$A$1:$D$22, 2, FALSE), ""!C3:R29"")), ROW($A$1:$A$24), FALSE)), ""=4"") + COUNTIF(ARRAYFORMULA(HLOOKUP($B81, IMPORTRANGE('Prelim Rankings U"&amp;"nsorted'!$B$41, CONCAT(VLOOKUP($C81, 'Match Names'!$A$1:$D$22, 3, FALSE), ""!C3:R29"")), ROW($A$1:$A$24), FALSE)), ""=4"") + COUNTIF(ARRAYFORMULA(HLOOKUP($B81, IMPORTRANGE('Prelim Rankings Unsorted'!$B$42, CONCAT(VLOOKUP($C81, 'Match Names'!$A$1:$D$22, 4,"&amp;" FALSE), ""!C3:R29"")), ROW($A$1:$A$24), FALSE)), ""=4"") + COUNTIF(ARRAYFORMULA(HLOOKUP($B81, IMPORTRANGE('Match Names'!$E$23, CONCAT(VLOOKUP($C81, 'Match Names'!$1:$22, 5, FALSE), ""!C3:R29"")), ROW($A$1:$A$24), FALSE)), ""=4"") + COUNTIF(ARRAYFORMULA(H"&amp;"LOOKUP($B81, IMPORTRANGE('Match Names'!$F$23, CONCAT(VLOOKUP($C81, 'Match Names'!$1:$22, 6, FALSE), ""!C3:R29"")), ROW($A$1:$A$24), FALSE)), ""=4"") + COUNTIF(ARRAYFORMULA(HLOOKUP($B81, IMPORTRANGE('Match Names'!$G$23, CONCAT(VLOOKUP($C81, 'Match Names'!$"&amp;"1:$22, 7, FALSE), ""!C3:R29"")), ROW($A$1:$A$24), FALSE)), ""=4"") + COUNTIF(ARRAYFORMULA(HLOOKUP($B81, IMPORTRANGE('Match Names'!$H$23, CONCAT(VLOOKUP($C81, 'Match Names'!$1:$22, 8, FALSE), ""!C3:R29"")), ROW($A$1:$A$24), FALSE)), ""=4"")"),6.0)</f>
        <v>6</v>
      </c>
      <c r="F81" s="4">
        <f>IFERROR(__xludf.DUMMYFUNCTION("COUNTIF(ARRAYFORMULA(HLOOKUP($B81, IMPORTRANGE('Prelim Rankings Unsorted'!$B$40, CONCAT(VLOOKUP($C81, 'Match Names'!$A$1:$D$22, 2, FALSE), ""!C3:R29"")), ROW($A$1:$A$24), FALSE)), ""=0"") + COUNTIF(ARRAYFORMULA(HLOOKUP($B81, IMPORTRANGE('Prelim Rankings U"&amp;"nsorted'!$B$41, CONCAT(VLOOKUP($C81, 'Match Names'!$A$1:$D$22, 3, FALSE), ""!C3:R29"")), ROW($A$1:$A$24), FALSE)), ""=0"") + COUNTIF(ARRAYFORMULA(HLOOKUP($B81, IMPORTRANGE('Prelim Rankings Unsorted'!$B$42, CONCAT(VLOOKUP($C81, 'Match Names'!$A$1:$D$22, 4,"&amp;" FALSE), ""!C3:R29"")), ROW($A$1:$A$24), FALSE)), ""=0"") + COUNTIF(ARRAYFORMULA(HLOOKUP($B81, IMPORTRANGE('Match Names'!$E$23, CONCAT(VLOOKUP($C81, 'Match Names'!$1:$22, 5, FALSE), ""!C3:R29"")), ROW($A$1:$A$24), FALSE)), ""=0"") + COUNTIF(ARRAYFORMULA(H"&amp;"LOOKUP($B81, IMPORTRANGE('Match Names'!$F$23, CONCAT(VLOOKUP($C81, 'Match Names'!$1:$22, 6, FALSE), ""!C3:R29"")), ROW($A$1:$A$24), FALSE)), ""=0"") + COUNTIF(ARRAYFORMULA(HLOOKUP($B81, IMPORTRANGE('Match Names'!$G$23, CONCAT(VLOOKUP($C81, 'Match Names'!$"&amp;"1:$22, 7, FALSE), ""!C3:R29"")), ROW($A$1:$A$24), FALSE)), ""=0"") + COUNTIF(ARRAYFORMULA(HLOOKUP($B81, IMPORTRANGE('Match Names'!$H$23, CONCAT(VLOOKUP($C81, 'Match Names'!$1:$22, 8, FALSE), ""!C3:R29"")), ROW($A$1:$A$24), FALSE)), ""=0"")"),6.0)</f>
        <v>6</v>
      </c>
      <c r="G81" s="4">
        <f>IFERROR(__xludf.DUMMYFUNCTION("COUNTIF(ARRAYFORMULA(HLOOKUP($B81, IMPORTRANGE('Prelim Rankings Unsorted'!$B$40, CONCAT(VLOOKUP($C81, 'Match Names'!$A$1:$D$22, 2, FALSE), ""!C3:R29"")), ROW($A$1:$A$24), FALSE)), ""=-4"") + COUNTIF(ARRAYFORMULA(HLOOKUP($B81, IMPORTRANGE('Prelim Rankings "&amp;"Unsorted'!$B$41, CONCAT(VLOOKUP($C81, 'Match Names'!$A$1:$D$22, 3, FALSE), ""!C3:R29"")), ROW($A$1:$A$24), FALSE)), ""=-4"") + COUNTIF(ARRAYFORMULA(HLOOKUP($B81, IMPORTRANGE('Prelim Rankings Unsorted'!$B$42, CONCAT(VLOOKUP($C81, 'Match Names'!$A$1:$D$22, "&amp;"4, FALSE), ""!C3:R29"")), ROW($A$1:$A$24), FALSE)), ""=-4"") + COUNTIF(ARRAYFORMULA(HLOOKUP($B81, IMPORTRANGE('Match Names'!$E$23, CONCAT(VLOOKUP($C81, 'Match Names'!$1:$22, 5, FALSE), ""!C3:R29"")), ROW($A$1:$A$24), FALSE)), ""=-4"") + COUNTIF(ARRAYFORMU"&amp;"LA(HLOOKUP($B81, IMPORTRANGE('Match Names'!$F$23, CONCAT(VLOOKUP($C81, 'Match Names'!$1:$22, 6, FALSE), ""!C3:R29"")), ROW($A$1:$A$24), FALSE)), ""=-4"") + COUNTIF(ARRAYFORMULA(HLOOKUP($B81, IMPORTRANGE('Match Names'!$G$23, CONCAT(VLOOKUP($C81, 'Match Nam"&amp;"es'!$1:$22, 7, FALSE), ""!C3:R29"")), ROW($A$1:$A$24), FALSE)), ""=-4"") + COUNTIF(ARRAYFORMULA(HLOOKUP($B81, IMPORTRANGE('Match Names'!$H$23, CONCAT(VLOOKUP($C81, 'Match Names'!$1:$22, 8, FALSE), ""!C3:R29"")), ROW($A$1:$A$24), FALSE)), ""=-4"")"),0.0)</f>
        <v>0</v>
      </c>
      <c r="H81" s="4">
        <f t="shared" si="1"/>
        <v>4.8</v>
      </c>
    </row>
    <row r="82">
      <c r="A82" s="21" t="s">
        <v>43</v>
      </c>
      <c r="B82" s="7" t="str">
        <f>VLOOKUP(CONCAT(A82, C82), 'Discord Username to Real Name'!C:D, 2, FALSE)</f>
        <v>Xing#7270</v>
      </c>
      <c r="C82" s="21" t="s">
        <v>23</v>
      </c>
      <c r="D82" s="11">
        <f>IFERROR(__xludf.DUMMYFUNCTION("(23 - COUNTIF(IFERROR(ARRAYFORMULA(HLOOKUP($B82, IMPORTRANGE('Prelim Rankings Unsorted'!$B$40, CONCAT(VLOOKUP($C82, 'Match Names'!$A$1:$D$22, 2, FALSE), ""!C3:R29"")), ROW($A$1:$A$24), FALSE)), $AA$9:$AA$31), ""=X"")) + (23 - COUNTIF(IFERROR(ARRAYFORMULA("&amp;"HLOOKUP($B82, IMPORTRANGE('Prelim Rankings Unsorted'!$B$41, CONCAT(VLOOKUP($C82, 'Match Names'!$A$1:$D$22, 3, FALSE), ""!C3:R29"")), ROW($A$1:$A$24), FALSE)), $AA$9:$AA$31), ""=X"")) + (23 - COUNTIF(IFERROR(ARRAYFORMULA(HLOOKUP($B82, IMPORTRANGE('Prelim R"&amp;"ankings Unsorted'!$B$42, CONCAT(VLOOKUP($C82, 'Match Names'!$A$1:$D$22, 4, FALSE), ""!C3:R29"")), ROW($A$1:$A$24), FALSE)), $AA$9:$AA$31), ""=X"")) + (23 - COUNTIF(IFERROR(ARRAYFORMULA(HLOOKUP($B82, IMPORTRANGE('Match Names'!$E$23, CONCAT(VLOOKUP($C82, 'M"&amp;"atch Names'!$1:$22, 5, FALSE), ""!C3:R29"")), ROW($A$1:$A$24), FALSE)), $AA$9:$AA$31), ""=X"")) + (23 - COUNTIF(IFERROR(ARRAYFORMULA(HLOOKUP($B82, IMPORTRANGE('Match Names'!$F$23, CONCAT(VLOOKUP($C82, 'Match Names'!$1:$22, 6, FALSE), ""!C3:R29"")), ROW($A"&amp;"$1:$A$24), FALSE)), $AA$9:$AA$31), ""=X"")) + (23 - COUNTIF(IFERROR(ARRAYFORMULA(HLOOKUP($B82, IMPORTRANGE('Match Names'!$G$23, CONCAT(VLOOKUP($C82, 'Match Names'!$1:$22, 7, FALSE), ""!C3:R29"")), ROW($A$1:$A$24), FALSE)), $AA$9:$AA$31), ""=X"")) + (23 - "&amp;"COUNTIF(IFERROR(ARRAYFORMULA(HLOOKUP($B82, IMPORTRANGE('Match Names'!$H$23, CONCAT(VLOOKUP($C82, 'Match Names'!$1:$22, 8, FALSE), ""!C3:R29"")), ROW($A$1:$A$24), FALSE)), $AA$9:$AA$31), ""=X""))"),115.0)</f>
        <v>115</v>
      </c>
      <c r="E82" s="4">
        <f>IFERROR(__xludf.DUMMYFUNCTION("COUNTIF(ARRAYFORMULA(HLOOKUP($B82, IMPORTRANGE('Prelim Rankings Unsorted'!$B$40, CONCAT(VLOOKUP($C82, 'Match Names'!$A$1:$D$22, 2, FALSE), ""!C3:R29"")), ROW($A$1:$A$24), FALSE)), ""=4"") + COUNTIF(ARRAYFORMULA(HLOOKUP($B82, IMPORTRANGE('Prelim Rankings U"&amp;"nsorted'!$B$41, CONCAT(VLOOKUP($C82, 'Match Names'!$A$1:$D$22, 3, FALSE), ""!C3:R29"")), ROW($A$1:$A$24), FALSE)), ""=4"") + COUNTIF(ARRAYFORMULA(HLOOKUP($B82, IMPORTRANGE('Prelim Rankings Unsorted'!$B$42, CONCAT(VLOOKUP($C82, 'Match Names'!$A$1:$D$22, 4,"&amp;" FALSE), ""!C3:R29"")), ROW($A$1:$A$24), FALSE)), ""=4"") + COUNTIF(ARRAYFORMULA(HLOOKUP($B82, IMPORTRANGE('Match Names'!$E$23, CONCAT(VLOOKUP($C82, 'Match Names'!$1:$22, 5, FALSE), ""!C3:R29"")), ROW($A$1:$A$24), FALSE)), ""=4"") + COUNTIF(ARRAYFORMULA(H"&amp;"LOOKUP($B82, IMPORTRANGE('Match Names'!$F$23, CONCAT(VLOOKUP($C82, 'Match Names'!$1:$22, 6, FALSE), ""!C3:R29"")), ROW($A$1:$A$24), FALSE)), ""=4"") + COUNTIF(ARRAYFORMULA(HLOOKUP($B82, IMPORTRANGE('Match Names'!$G$23, CONCAT(VLOOKUP($C82, 'Match Names'!$"&amp;"1:$22, 7, FALSE), ""!C3:R29"")), ROW($A$1:$A$24), FALSE)), ""=4"") + COUNTIF(ARRAYFORMULA(HLOOKUP($B82, IMPORTRANGE('Match Names'!$H$23, CONCAT(VLOOKUP($C82, 'Match Names'!$1:$22, 8, FALSE), ""!C3:R29"")), ROW($A$1:$A$24), FALSE)), ""=4"")"),26.0)</f>
        <v>26</v>
      </c>
      <c r="F82" s="4">
        <f>IFERROR(__xludf.DUMMYFUNCTION("COUNTIF(ARRAYFORMULA(HLOOKUP($B82, IMPORTRANGE('Prelim Rankings Unsorted'!$B$40, CONCAT(VLOOKUP($C82, 'Match Names'!$A$1:$D$22, 2, FALSE), ""!C3:R29"")), ROW($A$1:$A$24), FALSE)), ""=0"") + COUNTIF(ARRAYFORMULA(HLOOKUP($B82, IMPORTRANGE('Prelim Rankings U"&amp;"nsorted'!$B$41, CONCAT(VLOOKUP($C82, 'Match Names'!$A$1:$D$22, 3, FALSE), ""!C3:R29"")), ROW($A$1:$A$24), FALSE)), ""=0"") + COUNTIF(ARRAYFORMULA(HLOOKUP($B82, IMPORTRANGE('Prelim Rankings Unsorted'!$B$42, CONCAT(VLOOKUP($C82, 'Match Names'!$A$1:$D$22, 4,"&amp;" FALSE), ""!C3:R29"")), ROW($A$1:$A$24), FALSE)), ""=0"") + COUNTIF(ARRAYFORMULA(HLOOKUP($B82, IMPORTRANGE('Match Names'!$E$23, CONCAT(VLOOKUP($C82, 'Match Names'!$1:$22, 5, FALSE), ""!C3:R29"")), ROW($A$1:$A$24), FALSE)), ""=0"") + COUNTIF(ARRAYFORMULA(H"&amp;"LOOKUP($B82, IMPORTRANGE('Match Names'!$F$23, CONCAT(VLOOKUP($C82, 'Match Names'!$1:$22, 6, FALSE), ""!C3:R29"")), ROW($A$1:$A$24), FALSE)), ""=0"") + COUNTIF(ARRAYFORMULA(HLOOKUP($B82, IMPORTRANGE('Match Names'!$G$23, CONCAT(VLOOKUP($C82, 'Match Names'!$"&amp;"1:$22, 7, FALSE), ""!C3:R29"")), ROW($A$1:$A$24), FALSE)), ""=0"") + COUNTIF(ARRAYFORMULA(HLOOKUP($B82, IMPORTRANGE('Match Names'!$H$23, CONCAT(VLOOKUP($C82, 'Match Names'!$1:$22, 8, FALSE), ""!C3:R29"")), ROW($A$1:$A$24), FALSE)), ""=0"")"),25.0)</f>
        <v>25</v>
      </c>
      <c r="G82" s="4">
        <f>IFERROR(__xludf.DUMMYFUNCTION("COUNTIF(ARRAYFORMULA(HLOOKUP($B82, IMPORTRANGE('Prelim Rankings Unsorted'!$B$40, CONCAT(VLOOKUP($C82, 'Match Names'!$A$1:$D$22, 2, FALSE), ""!C3:R29"")), ROW($A$1:$A$24), FALSE)), ""=-4"") + COUNTIF(ARRAYFORMULA(HLOOKUP($B82, IMPORTRANGE('Prelim Rankings "&amp;"Unsorted'!$B$41, CONCAT(VLOOKUP($C82, 'Match Names'!$A$1:$D$22, 3, FALSE), ""!C3:R29"")), ROW($A$1:$A$24), FALSE)), ""=-4"") + COUNTIF(ARRAYFORMULA(HLOOKUP($B82, IMPORTRANGE('Prelim Rankings Unsorted'!$B$42, CONCAT(VLOOKUP($C82, 'Match Names'!$A$1:$D$22, "&amp;"4, FALSE), ""!C3:R29"")), ROW($A$1:$A$24), FALSE)), ""=-4"") + COUNTIF(ARRAYFORMULA(HLOOKUP($B82, IMPORTRANGE('Match Names'!$E$23, CONCAT(VLOOKUP($C82, 'Match Names'!$1:$22, 5, FALSE), ""!C3:R29"")), ROW($A$1:$A$24), FALSE)), ""=-4"") + COUNTIF(ARRAYFORMU"&amp;"LA(HLOOKUP($B82, IMPORTRANGE('Match Names'!$F$23, CONCAT(VLOOKUP($C82, 'Match Names'!$1:$22, 6, FALSE), ""!C3:R29"")), ROW($A$1:$A$24), FALSE)), ""=-4"") + COUNTIF(ARRAYFORMULA(HLOOKUP($B82, IMPORTRANGE('Match Names'!$G$23, CONCAT(VLOOKUP($C82, 'Match Nam"&amp;"es'!$1:$22, 7, FALSE), ""!C3:R29"")), ROW($A$1:$A$24), FALSE)), ""=-4"") + COUNTIF(ARRAYFORMULA(HLOOKUP($B82, IMPORTRANGE('Match Names'!$H$23, CONCAT(VLOOKUP($C82, 'Match Names'!$1:$22, 8, FALSE), ""!C3:R29"")), ROW($A$1:$A$24), FALSE)), ""=-4"")"),4.0)</f>
        <v>4</v>
      </c>
      <c r="H82" s="4">
        <f t="shared" si="1"/>
        <v>17.6</v>
      </c>
    </row>
    <row r="83">
      <c r="A83" s="21" t="s">
        <v>76</v>
      </c>
      <c r="B83" s="7" t="str">
        <f>VLOOKUP(CONCAT(A83, C83), 'Discord Username to Real Name'!C:D, 2, FALSE)</f>
        <v>Dr. Jess#0829</v>
      </c>
      <c r="C83" s="21" t="s">
        <v>26</v>
      </c>
      <c r="D83" s="11">
        <f>IFERROR(__xludf.DUMMYFUNCTION("(23 - COUNTIF(IFERROR(ARRAYFORMULA(HLOOKUP($B83, IMPORTRANGE('Prelim Rankings Unsorted'!$B$40, CONCAT(VLOOKUP($C83, 'Match Names'!$A$1:$D$22, 2, FALSE), ""!C3:R29"")), ROW($A$1:$A$24), FALSE)), $AA$9:$AA$31), ""=X"")) + (23 - COUNTIF(IFERROR(ARRAYFORMULA("&amp;"HLOOKUP($B83, IMPORTRANGE('Prelim Rankings Unsorted'!$B$41, CONCAT(VLOOKUP($C83, 'Match Names'!$A$1:$D$22, 3, FALSE), ""!C3:R29"")), ROW($A$1:$A$24), FALSE)), $AA$9:$AA$31), ""=X"")) + (23 - COUNTIF(IFERROR(ARRAYFORMULA(HLOOKUP($B83, IMPORTRANGE('Prelim R"&amp;"ankings Unsorted'!$B$42, CONCAT(VLOOKUP($C83, 'Match Names'!$A$1:$D$22, 4, FALSE), ""!C3:R29"")), ROW($A$1:$A$24), FALSE)), $AA$9:$AA$31), ""=X"")) + (23 - COUNTIF(IFERROR(ARRAYFORMULA(HLOOKUP($B83, IMPORTRANGE('Match Names'!$E$23, CONCAT(VLOOKUP($C83, 'M"&amp;"atch Names'!$1:$22, 5, FALSE), ""!C3:R29"")), ROW($A$1:$A$24), FALSE)), $AA$9:$AA$31), ""=X"")) + (23 - COUNTIF(IFERROR(ARRAYFORMULA(HLOOKUP($B83, IMPORTRANGE('Match Names'!$F$23, CONCAT(VLOOKUP($C83, 'Match Names'!$1:$22, 6, FALSE), ""!C3:R29"")), ROW($A"&amp;"$1:$A$24), FALSE)), $AA$9:$AA$31), ""=X"")) + (23 - COUNTIF(IFERROR(ARRAYFORMULA(HLOOKUP($B83, IMPORTRANGE('Match Names'!$G$23, CONCAT(VLOOKUP($C83, 'Match Names'!$1:$22, 7, FALSE), ""!C3:R29"")), ROW($A$1:$A$24), FALSE)), $AA$9:$AA$31), ""=X"")) + (23 - "&amp;"COUNTIF(IFERROR(ARRAYFORMULA(HLOOKUP($B83, IMPORTRANGE('Match Names'!$H$23, CONCAT(VLOOKUP($C83, 'Match Names'!$1:$22, 8, FALSE), ""!C3:R29"")), ROW($A$1:$A$24), FALSE)), $AA$9:$AA$31), ""=X""))"),69.0)</f>
        <v>69</v>
      </c>
      <c r="E83" s="4">
        <f>IFERROR(__xludf.DUMMYFUNCTION("COUNTIF(ARRAYFORMULA(HLOOKUP($B83, IMPORTRANGE('Prelim Rankings Unsorted'!$B$40, CONCAT(VLOOKUP($C83, 'Match Names'!$A$1:$D$22, 2, FALSE), ""!C3:R29"")), ROW($A$1:$A$24), FALSE)), ""=4"") + COUNTIF(ARRAYFORMULA(HLOOKUP($B83, IMPORTRANGE('Prelim Rankings U"&amp;"nsorted'!$B$41, CONCAT(VLOOKUP($C83, 'Match Names'!$A$1:$D$22, 3, FALSE), ""!C3:R29"")), ROW($A$1:$A$24), FALSE)), ""=4"") + COUNTIF(ARRAYFORMULA(HLOOKUP($B83, IMPORTRANGE('Prelim Rankings Unsorted'!$B$42, CONCAT(VLOOKUP($C83, 'Match Names'!$A$1:$D$22, 4,"&amp;" FALSE), ""!C3:R29"")), ROW($A$1:$A$24), FALSE)), ""=4"") + COUNTIF(ARRAYFORMULA(HLOOKUP($B83, IMPORTRANGE('Match Names'!$E$23, CONCAT(VLOOKUP($C83, 'Match Names'!$1:$22, 5, FALSE), ""!C3:R29"")), ROW($A$1:$A$24), FALSE)), ""=4"") + COUNTIF(ARRAYFORMULA(H"&amp;"LOOKUP($B83, IMPORTRANGE('Match Names'!$F$23, CONCAT(VLOOKUP($C83, 'Match Names'!$1:$22, 6, FALSE), ""!C3:R29"")), ROW($A$1:$A$24), FALSE)), ""=4"") + COUNTIF(ARRAYFORMULA(HLOOKUP($B83, IMPORTRANGE('Match Names'!$G$23, CONCAT(VLOOKUP($C83, 'Match Names'!$"&amp;"1:$22, 7, FALSE), ""!C3:R29"")), ROW($A$1:$A$24), FALSE)), ""=4"") + COUNTIF(ARRAYFORMULA(HLOOKUP($B83, IMPORTRANGE('Match Names'!$H$23, CONCAT(VLOOKUP($C83, 'Match Names'!$1:$22, 8, FALSE), ""!C3:R29"")), ROW($A$1:$A$24), FALSE)), ""=4"")"),9.0)</f>
        <v>9</v>
      </c>
      <c r="F83" s="4">
        <f>IFERROR(__xludf.DUMMYFUNCTION("COUNTIF(ARRAYFORMULA(HLOOKUP($B83, IMPORTRANGE('Prelim Rankings Unsorted'!$B$40, CONCAT(VLOOKUP($C83, 'Match Names'!$A$1:$D$22, 2, FALSE), ""!C3:R29"")), ROW($A$1:$A$24), FALSE)), ""=0"") + COUNTIF(ARRAYFORMULA(HLOOKUP($B83, IMPORTRANGE('Prelim Rankings U"&amp;"nsorted'!$B$41, CONCAT(VLOOKUP($C83, 'Match Names'!$A$1:$D$22, 3, FALSE), ""!C3:R29"")), ROW($A$1:$A$24), FALSE)), ""=0"") + COUNTIF(ARRAYFORMULA(HLOOKUP($B83, IMPORTRANGE('Prelim Rankings Unsorted'!$B$42, CONCAT(VLOOKUP($C83, 'Match Names'!$A$1:$D$22, 4,"&amp;" FALSE), ""!C3:R29"")), ROW($A$1:$A$24), FALSE)), ""=0"") + COUNTIF(ARRAYFORMULA(HLOOKUP($B83, IMPORTRANGE('Match Names'!$E$23, CONCAT(VLOOKUP($C83, 'Match Names'!$1:$22, 5, FALSE), ""!C3:R29"")), ROW($A$1:$A$24), FALSE)), ""=0"") + COUNTIF(ARRAYFORMULA(H"&amp;"LOOKUP($B83, IMPORTRANGE('Match Names'!$F$23, CONCAT(VLOOKUP($C83, 'Match Names'!$1:$22, 6, FALSE), ""!C3:R29"")), ROW($A$1:$A$24), FALSE)), ""=0"") + COUNTIF(ARRAYFORMULA(HLOOKUP($B83, IMPORTRANGE('Match Names'!$G$23, CONCAT(VLOOKUP($C83, 'Match Names'!$"&amp;"1:$22, 7, FALSE), ""!C3:R29"")), ROW($A$1:$A$24), FALSE)), ""=0"") + COUNTIF(ARRAYFORMULA(HLOOKUP($B83, IMPORTRANGE('Match Names'!$H$23, CONCAT(VLOOKUP($C83, 'Match Names'!$1:$22, 8, FALSE), ""!C3:R29"")), ROW($A$1:$A$24), FALSE)), ""=0"")"),12.0)</f>
        <v>12</v>
      </c>
      <c r="G83" s="4">
        <f>IFERROR(__xludf.DUMMYFUNCTION("COUNTIF(ARRAYFORMULA(HLOOKUP($B83, IMPORTRANGE('Prelim Rankings Unsorted'!$B$40, CONCAT(VLOOKUP($C83, 'Match Names'!$A$1:$D$22, 2, FALSE), ""!C3:R29"")), ROW($A$1:$A$24), FALSE)), ""=-4"") + COUNTIF(ARRAYFORMULA(HLOOKUP($B83, IMPORTRANGE('Prelim Rankings "&amp;"Unsorted'!$B$41, CONCAT(VLOOKUP($C83, 'Match Names'!$A$1:$D$22, 3, FALSE), ""!C3:R29"")), ROW($A$1:$A$24), FALSE)), ""=-4"") + COUNTIF(ARRAYFORMULA(HLOOKUP($B83, IMPORTRANGE('Prelim Rankings Unsorted'!$B$42, CONCAT(VLOOKUP($C83, 'Match Names'!$A$1:$D$22, "&amp;"4, FALSE), ""!C3:R29"")), ROW($A$1:$A$24), FALSE)), ""=-4"") + COUNTIF(ARRAYFORMULA(HLOOKUP($B83, IMPORTRANGE('Match Names'!$E$23, CONCAT(VLOOKUP($C83, 'Match Names'!$1:$22, 5, FALSE), ""!C3:R29"")), ROW($A$1:$A$24), FALSE)), ""=-4"") + COUNTIF(ARRAYFORMU"&amp;"LA(HLOOKUP($B83, IMPORTRANGE('Match Names'!$F$23, CONCAT(VLOOKUP($C83, 'Match Names'!$1:$22, 6, FALSE), ""!C3:R29"")), ROW($A$1:$A$24), FALSE)), ""=-4"") + COUNTIF(ARRAYFORMULA(HLOOKUP($B83, IMPORTRANGE('Match Names'!$G$23, CONCAT(VLOOKUP($C83, 'Match Nam"&amp;"es'!$1:$22, 7, FALSE), ""!C3:R29"")), ROW($A$1:$A$24), FALSE)), ""=-4"") + COUNTIF(ARRAYFORMULA(HLOOKUP($B83, IMPORTRANGE('Match Names'!$H$23, CONCAT(VLOOKUP($C83, 'Match Names'!$1:$22, 8, FALSE), ""!C3:R29"")), ROW($A$1:$A$24), FALSE)), ""=-4"")"),0.0)</f>
        <v>0</v>
      </c>
      <c r="H83" s="4">
        <f t="shared" si="1"/>
        <v>12</v>
      </c>
    </row>
    <row r="84">
      <c r="A84" s="21" t="s">
        <v>181</v>
      </c>
      <c r="B84" s="7" t="str">
        <f>VLOOKUP(CONCAT(A84, C84), 'Discord Username to Real Name'!C:D, 2, FALSE)</f>
        <v>ronster#8561</v>
      </c>
      <c r="C84" s="21" t="s">
        <v>26</v>
      </c>
      <c r="D84" s="11">
        <f>IFERROR(__xludf.DUMMYFUNCTION("(23 - COUNTIF(IFERROR(ARRAYFORMULA(HLOOKUP($B84, IMPORTRANGE('Prelim Rankings Unsorted'!$B$40, CONCAT(VLOOKUP($C84, 'Match Names'!$A$1:$D$22, 2, FALSE), ""!C3:R29"")), ROW($A$1:$A$24), FALSE)), $AA$9:$AA$31), ""=X"")) + (23 - COUNTIF(IFERROR(ARRAYFORMULA("&amp;"HLOOKUP($B84, IMPORTRANGE('Prelim Rankings Unsorted'!$B$41, CONCAT(VLOOKUP($C84, 'Match Names'!$A$1:$D$22, 3, FALSE), ""!C3:R29"")), ROW($A$1:$A$24), FALSE)), $AA$9:$AA$31), ""=X"")) + (23 - COUNTIF(IFERROR(ARRAYFORMULA(HLOOKUP($B84, IMPORTRANGE('Prelim R"&amp;"ankings Unsorted'!$B$42, CONCAT(VLOOKUP($C84, 'Match Names'!$A$1:$D$22, 4, FALSE), ""!C3:R29"")), ROW($A$1:$A$24), FALSE)), $AA$9:$AA$31), ""=X"")) + (23 - COUNTIF(IFERROR(ARRAYFORMULA(HLOOKUP($B84, IMPORTRANGE('Match Names'!$E$23, CONCAT(VLOOKUP($C84, 'M"&amp;"atch Names'!$1:$22, 5, FALSE), ""!C3:R29"")), ROW($A$1:$A$24), FALSE)), $AA$9:$AA$31), ""=X"")) + (23 - COUNTIF(IFERROR(ARRAYFORMULA(HLOOKUP($B84, IMPORTRANGE('Match Names'!$F$23, CONCAT(VLOOKUP($C84, 'Match Names'!$1:$22, 6, FALSE), ""!C3:R29"")), ROW($A"&amp;"$1:$A$24), FALSE)), $AA$9:$AA$31), ""=X"")) + (23 - COUNTIF(IFERROR(ARRAYFORMULA(HLOOKUP($B84, IMPORTRANGE('Match Names'!$G$23, CONCAT(VLOOKUP($C84, 'Match Names'!$1:$22, 7, FALSE), ""!C3:R29"")), ROW($A$1:$A$24), FALSE)), $AA$9:$AA$31), ""=X"")) + (23 - "&amp;"COUNTIF(IFERROR(ARRAYFORMULA(HLOOKUP($B84, IMPORTRANGE('Match Names'!$H$23, CONCAT(VLOOKUP($C84, 'Match Names'!$1:$22, 8, FALSE), ""!C3:R29"")), ROW($A$1:$A$24), FALSE)), $AA$9:$AA$31), ""=X""))"),46.0)</f>
        <v>46</v>
      </c>
      <c r="E84" s="4">
        <f>IFERROR(__xludf.DUMMYFUNCTION("COUNTIF(ARRAYFORMULA(HLOOKUP($B84, IMPORTRANGE('Prelim Rankings Unsorted'!$B$40, CONCAT(VLOOKUP($C84, 'Match Names'!$A$1:$D$22, 2, FALSE), ""!C3:R29"")), ROW($A$1:$A$24), FALSE)), ""=4"") + COUNTIF(ARRAYFORMULA(HLOOKUP($B84, IMPORTRANGE('Prelim Rankings U"&amp;"nsorted'!$B$41, CONCAT(VLOOKUP($C84, 'Match Names'!$A$1:$D$22, 3, FALSE), ""!C3:R29"")), ROW($A$1:$A$24), FALSE)), ""=4"") + COUNTIF(ARRAYFORMULA(HLOOKUP($B84, IMPORTRANGE('Prelim Rankings Unsorted'!$B$42, CONCAT(VLOOKUP($C84, 'Match Names'!$A$1:$D$22, 4,"&amp;" FALSE), ""!C3:R29"")), ROW($A$1:$A$24), FALSE)), ""=4"") + COUNTIF(ARRAYFORMULA(HLOOKUP($B84, IMPORTRANGE('Match Names'!$E$23, CONCAT(VLOOKUP($C84, 'Match Names'!$1:$22, 5, FALSE), ""!C3:R29"")), ROW($A$1:$A$24), FALSE)), ""=4"") + COUNTIF(ARRAYFORMULA(H"&amp;"LOOKUP($B84, IMPORTRANGE('Match Names'!$F$23, CONCAT(VLOOKUP($C84, 'Match Names'!$1:$22, 6, FALSE), ""!C3:R29"")), ROW($A$1:$A$24), FALSE)), ""=4"") + COUNTIF(ARRAYFORMULA(HLOOKUP($B84, IMPORTRANGE('Match Names'!$G$23, CONCAT(VLOOKUP($C84, 'Match Names'!$"&amp;"1:$22, 7, FALSE), ""!C3:R29"")), ROW($A$1:$A$24), FALSE)), ""=4"") + COUNTIF(ARRAYFORMULA(HLOOKUP($B84, IMPORTRANGE('Match Names'!$H$23, CONCAT(VLOOKUP($C84, 'Match Names'!$1:$22, 8, FALSE), ""!C3:R29"")), ROW($A$1:$A$24), FALSE)), ""=4"")"),0.0)</f>
        <v>0</v>
      </c>
      <c r="F84" s="4">
        <f>IFERROR(__xludf.DUMMYFUNCTION("COUNTIF(ARRAYFORMULA(HLOOKUP($B84, IMPORTRANGE('Prelim Rankings Unsorted'!$B$40, CONCAT(VLOOKUP($C84, 'Match Names'!$A$1:$D$22, 2, FALSE), ""!C3:R29"")), ROW($A$1:$A$24), FALSE)), ""=0"") + COUNTIF(ARRAYFORMULA(HLOOKUP($B84, IMPORTRANGE('Prelim Rankings U"&amp;"nsorted'!$B$41, CONCAT(VLOOKUP($C84, 'Match Names'!$A$1:$D$22, 3, FALSE), ""!C3:R29"")), ROW($A$1:$A$24), FALSE)), ""=0"") + COUNTIF(ARRAYFORMULA(HLOOKUP($B84, IMPORTRANGE('Prelim Rankings Unsorted'!$B$42, CONCAT(VLOOKUP($C84, 'Match Names'!$A$1:$D$22, 4,"&amp;" FALSE), ""!C3:R29"")), ROW($A$1:$A$24), FALSE)), ""=0"") + COUNTIF(ARRAYFORMULA(HLOOKUP($B84, IMPORTRANGE('Match Names'!$E$23, CONCAT(VLOOKUP($C84, 'Match Names'!$1:$22, 5, FALSE), ""!C3:R29"")), ROW($A$1:$A$24), FALSE)), ""=0"") + COUNTIF(ARRAYFORMULA(H"&amp;"LOOKUP($B84, IMPORTRANGE('Match Names'!$F$23, CONCAT(VLOOKUP($C84, 'Match Names'!$1:$22, 6, FALSE), ""!C3:R29"")), ROW($A$1:$A$24), FALSE)), ""=0"") + COUNTIF(ARRAYFORMULA(HLOOKUP($B84, IMPORTRANGE('Match Names'!$G$23, CONCAT(VLOOKUP($C84, 'Match Names'!$"&amp;"1:$22, 7, FALSE), ""!C3:R29"")), ROW($A$1:$A$24), FALSE)), ""=0"") + COUNTIF(ARRAYFORMULA(HLOOKUP($B84, IMPORTRANGE('Match Names'!$H$23, CONCAT(VLOOKUP($C84, 'Match Names'!$1:$22, 8, FALSE), ""!C3:R29"")), ROW($A$1:$A$24), FALSE)), ""=0"")"),2.0)</f>
        <v>2</v>
      </c>
      <c r="G84" s="4">
        <f>IFERROR(__xludf.DUMMYFUNCTION("COUNTIF(ARRAYFORMULA(HLOOKUP($B84, IMPORTRANGE('Prelim Rankings Unsorted'!$B$40, CONCAT(VLOOKUP($C84, 'Match Names'!$A$1:$D$22, 2, FALSE), ""!C3:R29"")), ROW($A$1:$A$24), FALSE)), ""=-4"") + COUNTIF(ARRAYFORMULA(HLOOKUP($B84, IMPORTRANGE('Prelim Rankings "&amp;"Unsorted'!$B$41, CONCAT(VLOOKUP($C84, 'Match Names'!$A$1:$D$22, 3, FALSE), ""!C3:R29"")), ROW($A$1:$A$24), FALSE)), ""=-4"") + COUNTIF(ARRAYFORMULA(HLOOKUP($B84, IMPORTRANGE('Prelim Rankings Unsorted'!$B$42, CONCAT(VLOOKUP($C84, 'Match Names'!$A$1:$D$22, "&amp;"4, FALSE), ""!C3:R29"")), ROW($A$1:$A$24), FALSE)), ""=-4"") + COUNTIF(ARRAYFORMULA(HLOOKUP($B84, IMPORTRANGE('Match Names'!$E$23, CONCAT(VLOOKUP($C84, 'Match Names'!$1:$22, 5, FALSE), ""!C3:R29"")), ROW($A$1:$A$24), FALSE)), ""=-4"") + COUNTIF(ARRAYFORMU"&amp;"LA(HLOOKUP($B84, IMPORTRANGE('Match Names'!$F$23, CONCAT(VLOOKUP($C84, 'Match Names'!$1:$22, 6, FALSE), ""!C3:R29"")), ROW($A$1:$A$24), FALSE)), ""=-4"") + COUNTIF(ARRAYFORMULA(HLOOKUP($B84, IMPORTRANGE('Match Names'!$G$23, CONCAT(VLOOKUP($C84, 'Match Nam"&amp;"es'!$1:$22, 7, FALSE), ""!C3:R29"")), ROW($A$1:$A$24), FALSE)), ""=-4"") + COUNTIF(ARRAYFORMULA(HLOOKUP($B84, IMPORTRANGE('Match Names'!$H$23, CONCAT(VLOOKUP($C84, 'Match Names'!$1:$22, 8, FALSE), ""!C3:R29"")), ROW($A$1:$A$24), FALSE)), ""=-4"")"),0.0)</f>
        <v>0</v>
      </c>
      <c r="H84" s="4">
        <f t="shared" si="1"/>
        <v>0</v>
      </c>
    </row>
    <row r="85">
      <c r="A85" s="21" t="s">
        <v>192</v>
      </c>
      <c r="B85" s="7" t="str">
        <f>VLOOKUP(CONCAT(A85, C85), 'Discord Username to Real Name'!C:D, 2, FALSE)</f>
        <v>aditi#0716</v>
      </c>
      <c r="C85" s="21" t="s">
        <v>26</v>
      </c>
      <c r="D85" s="11">
        <f>IFERROR(__xludf.DUMMYFUNCTION("(23 - COUNTIF(IFERROR(ARRAYFORMULA(HLOOKUP($B85, IMPORTRANGE('Prelim Rankings Unsorted'!$B$40, CONCAT(VLOOKUP($C85, 'Match Names'!$A$1:$D$22, 2, FALSE), ""!C3:R29"")), ROW($A$1:$A$24), FALSE)), $AA$9:$AA$31), ""=X"")) + (23 - COUNTIF(IFERROR(ARRAYFORMULA("&amp;"HLOOKUP($B85, IMPORTRANGE('Prelim Rankings Unsorted'!$B$41, CONCAT(VLOOKUP($C85, 'Match Names'!$A$1:$D$22, 3, FALSE), ""!C3:R29"")), ROW($A$1:$A$24), FALSE)), $AA$9:$AA$31), ""=X"")) + (23 - COUNTIF(IFERROR(ARRAYFORMULA(HLOOKUP($B85, IMPORTRANGE('Prelim R"&amp;"ankings Unsorted'!$B$42, CONCAT(VLOOKUP($C85, 'Match Names'!$A$1:$D$22, 4, FALSE), ""!C3:R29"")), ROW($A$1:$A$24), FALSE)), $AA$9:$AA$31), ""=X"")) + (23 - COUNTIF(IFERROR(ARRAYFORMULA(HLOOKUP($B85, IMPORTRANGE('Match Names'!$E$23, CONCAT(VLOOKUP($C85, 'M"&amp;"atch Names'!$1:$22, 5, FALSE), ""!C3:R29"")), ROW($A$1:$A$24), FALSE)), $AA$9:$AA$31), ""=X"")) + (23 - COUNTIF(IFERROR(ARRAYFORMULA(HLOOKUP($B85, IMPORTRANGE('Match Names'!$F$23, CONCAT(VLOOKUP($C85, 'Match Names'!$1:$22, 6, FALSE), ""!C3:R29"")), ROW($A"&amp;"$1:$A$24), FALSE)), $AA$9:$AA$31), ""=X"")) + (23 - COUNTIF(IFERROR(ARRAYFORMULA(HLOOKUP($B85, IMPORTRANGE('Match Names'!$G$23, CONCAT(VLOOKUP($C85, 'Match Names'!$1:$22, 7, FALSE), ""!C3:R29"")), ROW($A$1:$A$24), FALSE)), $AA$9:$AA$31), ""=X"")) + (23 - "&amp;"COUNTIF(IFERROR(ARRAYFORMULA(HLOOKUP($B85, IMPORTRANGE('Match Names'!$H$23, CONCAT(VLOOKUP($C85, 'Match Names'!$1:$22, 8, FALSE), ""!C3:R29"")), ROW($A$1:$A$24), FALSE)), $AA$9:$AA$31), ""=X""))"),23.0)</f>
        <v>23</v>
      </c>
      <c r="E85" s="4">
        <f>IFERROR(__xludf.DUMMYFUNCTION("COUNTIF(ARRAYFORMULA(HLOOKUP($B85, IMPORTRANGE('Prelim Rankings Unsorted'!$B$40, CONCAT(VLOOKUP($C85, 'Match Names'!$A$1:$D$22, 2, FALSE), ""!C3:R29"")), ROW($A$1:$A$24), FALSE)), ""=4"") + COUNTIF(ARRAYFORMULA(HLOOKUP($B85, IMPORTRANGE('Prelim Rankings U"&amp;"nsorted'!$B$41, CONCAT(VLOOKUP($C85, 'Match Names'!$A$1:$D$22, 3, FALSE), ""!C3:R29"")), ROW($A$1:$A$24), FALSE)), ""=4"") + COUNTIF(ARRAYFORMULA(HLOOKUP($B85, IMPORTRANGE('Prelim Rankings Unsorted'!$B$42, CONCAT(VLOOKUP($C85, 'Match Names'!$A$1:$D$22, 4,"&amp;" FALSE), ""!C3:R29"")), ROW($A$1:$A$24), FALSE)), ""=4"") + COUNTIF(ARRAYFORMULA(HLOOKUP($B85, IMPORTRANGE('Match Names'!$E$23, CONCAT(VLOOKUP($C85, 'Match Names'!$1:$22, 5, FALSE), ""!C3:R29"")), ROW($A$1:$A$24), FALSE)), ""=4"") + COUNTIF(ARRAYFORMULA(H"&amp;"LOOKUP($B85, IMPORTRANGE('Match Names'!$F$23, CONCAT(VLOOKUP($C85, 'Match Names'!$1:$22, 6, FALSE), ""!C3:R29"")), ROW($A$1:$A$24), FALSE)), ""=4"") + COUNTIF(ARRAYFORMULA(HLOOKUP($B85, IMPORTRANGE('Match Names'!$G$23, CONCAT(VLOOKUP($C85, 'Match Names'!$"&amp;"1:$22, 7, FALSE), ""!C3:R29"")), ROW($A$1:$A$24), FALSE)), ""=4"") + COUNTIF(ARRAYFORMULA(HLOOKUP($B85, IMPORTRANGE('Match Names'!$H$23, CONCAT(VLOOKUP($C85, 'Match Names'!$1:$22, 8, FALSE), ""!C3:R29"")), ROW($A$1:$A$24), FALSE)), ""=4"")"),0.0)</f>
        <v>0</v>
      </c>
      <c r="F85" s="4">
        <f>IFERROR(__xludf.DUMMYFUNCTION("COUNTIF(ARRAYFORMULA(HLOOKUP($B85, IMPORTRANGE('Prelim Rankings Unsorted'!$B$40, CONCAT(VLOOKUP($C85, 'Match Names'!$A$1:$D$22, 2, FALSE), ""!C3:R29"")), ROW($A$1:$A$24), FALSE)), ""=0"") + COUNTIF(ARRAYFORMULA(HLOOKUP($B85, IMPORTRANGE('Prelim Rankings U"&amp;"nsorted'!$B$41, CONCAT(VLOOKUP($C85, 'Match Names'!$A$1:$D$22, 3, FALSE), ""!C3:R29"")), ROW($A$1:$A$24), FALSE)), ""=0"") + COUNTIF(ARRAYFORMULA(HLOOKUP($B85, IMPORTRANGE('Prelim Rankings Unsorted'!$B$42, CONCAT(VLOOKUP($C85, 'Match Names'!$A$1:$D$22, 4,"&amp;" FALSE), ""!C3:R29"")), ROW($A$1:$A$24), FALSE)), ""=0"") + COUNTIF(ARRAYFORMULA(HLOOKUP($B85, IMPORTRANGE('Match Names'!$E$23, CONCAT(VLOOKUP($C85, 'Match Names'!$1:$22, 5, FALSE), ""!C3:R29"")), ROW($A$1:$A$24), FALSE)), ""=0"") + COUNTIF(ARRAYFORMULA(H"&amp;"LOOKUP($B85, IMPORTRANGE('Match Names'!$F$23, CONCAT(VLOOKUP($C85, 'Match Names'!$1:$22, 6, FALSE), ""!C3:R29"")), ROW($A$1:$A$24), FALSE)), ""=0"") + COUNTIF(ARRAYFORMULA(HLOOKUP($B85, IMPORTRANGE('Match Names'!$G$23, CONCAT(VLOOKUP($C85, 'Match Names'!$"&amp;"1:$22, 7, FALSE), ""!C3:R29"")), ROW($A$1:$A$24), FALSE)), ""=0"") + COUNTIF(ARRAYFORMULA(HLOOKUP($B85, IMPORTRANGE('Match Names'!$H$23, CONCAT(VLOOKUP($C85, 'Match Names'!$1:$22, 8, FALSE), ""!C3:R29"")), ROW($A$1:$A$24), FALSE)), ""=0"")"),0.0)</f>
        <v>0</v>
      </c>
      <c r="G85" s="4">
        <f>IFERROR(__xludf.DUMMYFUNCTION("COUNTIF(ARRAYFORMULA(HLOOKUP($B85, IMPORTRANGE('Prelim Rankings Unsorted'!$B$40, CONCAT(VLOOKUP($C85, 'Match Names'!$A$1:$D$22, 2, FALSE), ""!C3:R29"")), ROW($A$1:$A$24), FALSE)), ""=-4"") + COUNTIF(ARRAYFORMULA(HLOOKUP($B85, IMPORTRANGE('Prelim Rankings "&amp;"Unsorted'!$B$41, CONCAT(VLOOKUP($C85, 'Match Names'!$A$1:$D$22, 3, FALSE), ""!C3:R29"")), ROW($A$1:$A$24), FALSE)), ""=-4"") + COUNTIF(ARRAYFORMULA(HLOOKUP($B85, IMPORTRANGE('Prelim Rankings Unsorted'!$B$42, CONCAT(VLOOKUP($C85, 'Match Names'!$A$1:$D$22, "&amp;"4, FALSE), ""!C3:R29"")), ROW($A$1:$A$24), FALSE)), ""=-4"") + COUNTIF(ARRAYFORMULA(HLOOKUP($B85, IMPORTRANGE('Match Names'!$E$23, CONCAT(VLOOKUP($C85, 'Match Names'!$1:$22, 5, FALSE), ""!C3:R29"")), ROW($A$1:$A$24), FALSE)), ""=-4"") + COUNTIF(ARRAYFORMU"&amp;"LA(HLOOKUP($B85, IMPORTRANGE('Match Names'!$F$23, CONCAT(VLOOKUP($C85, 'Match Names'!$1:$22, 6, FALSE), ""!C3:R29"")), ROW($A$1:$A$24), FALSE)), ""=-4"") + COUNTIF(ARRAYFORMULA(HLOOKUP($B85, IMPORTRANGE('Match Names'!$G$23, CONCAT(VLOOKUP($C85, 'Match Nam"&amp;"es'!$1:$22, 7, FALSE), ""!C3:R29"")), ROW($A$1:$A$24), FALSE)), ""=-4"") + COUNTIF(ARRAYFORMULA(HLOOKUP($B85, IMPORTRANGE('Match Names'!$H$23, CONCAT(VLOOKUP($C85, 'Match Names'!$1:$22, 8, FALSE), ""!C3:R29"")), ROW($A$1:$A$24), FALSE)), ""=-4"")"),0.0)</f>
        <v>0</v>
      </c>
      <c r="H85" s="4">
        <f t="shared" si="1"/>
        <v>0</v>
      </c>
    </row>
    <row r="86">
      <c r="A86" s="21" t="s">
        <v>37</v>
      </c>
      <c r="B86" s="7" t="str">
        <f>VLOOKUP(CONCAT(A86, C86), 'Discord Username to Real Name'!C:D, 2, FALSE)</f>
        <v>aurum#9391</v>
      </c>
      <c r="C86" s="21" t="s">
        <v>18</v>
      </c>
      <c r="D86" s="11">
        <f>IFERROR(__xludf.DUMMYFUNCTION("(23 - COUNTIF(IFERROR(ARRAYFORMULA(HLOOKUP($B86, IMPORTRANGE('Prelim Rankings Unsorted'!$B$40, CONCAT(VLOOKUP($C86, 'Match Names'!$A$1:$D$22, 2, FALSE), ""!C3:R29"")), ROW($A$1:$A$24), FALSE)), $AA$9:$AA$31), ""=X"")) + (23 - COUNTIF(IFERROR(ARRAYFORMULA("&amp;"HLOOKUP($B86, IMPORTRANGE('Prelim Rankings Unsorted'!$B$41, CONCAT(VLOOKUP($C86, 'Match Names'!$A$1:$D$22, 3, FALSE), ""!C3:R29"")), ROW($A$1:$A$24), FALSE)), $AA$9:$AA$31), ""=X"")) + (23 - COUNTIF(IFERROR(ARRAYFORMULA(HLOOKUP($B86, IMPORTRANGE('Prelim R"&amp;"ankings Unsorted'!$B$42, CONCAT(VLOOKUP($C86, 'Match Names'!$A$1:$D$22, 4, FALSE), ""!C3:R29"")), ROW($A$1:$A$24), FALSE)), $AA$9:$AA$31), ""=X"")) + (23 - COUNTIF(IFERROR(ARRAYFORMULA(HLOOKUP($B86, IMPORTRANGE('Match Names'!$E$23, CONCAT(VLOOKUP($C86, 'M"&amp;"atch Names'!$1:$22, 5, FALSE), ""!C3:R29"")), ROW($A$1:$A$24), FALSE)), $AA$9:$AA$31), ""=X"")) + (23 - COUNTIF(IFERROR(ARRAYFORMULA(HLOOKUP($B86, IMPORTRANGE('Match Names'!$F$23, CONCAT(VLOOKUP($C86, 'Match Names'!$1:$22, 6, FALSE), ""!C3:R29"")), ROW($A"&amp;"$1:$A$24), FALSE)), $AA$9:$AA$31), ""=X"")) + (23 - COUNTIF(IFERROR(ARRAYFORMULA(HLOOKUP($B86, IMPORTRANGE('Match Names'!$G$23, CONCAT(VLOOKUP($C86, 'Match Names'!$1:$22, 7, FALSE), ""!C3:R29"")), ROW($A$1:$A$24), FALSE)), $AA$9:$AA$31), ""=X"")) + (23 - "&amp;"COUNTIF(IFERROR(ARRAYFORMULA(HLOOKUP($B86, IMPORTRANGE('Match Names'!$H$23, CONCAT(VLOOKUP($C86, 'Match Names'!$1:$22, 8, FALSE), ""!C3:R29"")), ROW($A$1:$A$24), FALSE)), $AA$9:$AA$31), ""=X""))"),115.0)</f>
        <v>115</v>
      </c>
      <c r="E86" s="4">
        <f>IFERROR(__xludf.DUMMYFUNCTION("COUNTIF(ARRAYFORMULA(HLOOKUP($B86, IMPORTRANGE('Prelim Rankings Unsorted'!$B$40, CONCAT(VLOOKUP($C86, 'Match Names'!$A$1:$D$22, 2, FALSE), ""!C3:R29"")), ROW($A$1:$A$24), FALSE)), ""=4"") + COUNTIF(ARRAYFORMULA(HLOOKUP($B86, IMPORTRANGE('Prelim Rankings U"&amp;"nsorted'!$B$41, CONCAT(VLOOKUP($C86, 'Match Names'!$A$1:$D$22, 3, FALSE), ""!C3:R29"")), ROW($A$1:$A$24), FALSE)), ""=4"") + COUNTIF(ARRAYFORMULA(HLOOKUP($B86, IMPORTRANGE('Prelim Rankings Unsorted'!$B$42, CONCAT(VLOOKUP($C86, 'Match Names'!$A$1:$D$22, 4,"&amp;" FALSE), ""!C3:R29"")), ROW($A$1:$A$24), FALSE)), ""=4"") + COUNTIF(ARRAYFORMULA(HLOOKUP($B86, IMPORTRANGE('Match Names'!$E$23, CONCAT(VLOOKUP($C86, 'Match Names'!$1:$22, 5, FALSE), ""!C3:R29"")), ROW($A$1:$A$24), FALSE)), ""=4"") + COUNTIF(ARRAYFORMULA(H"&amp;"LOOKUP($B86, IMPORTRANGE('Match Names'!$F$23, CONCAT(VLOOKUP($C86, 'Match Names'!$1:$22, 6, FALSE), ""!C3:R29"")), ROW($A$1:$A$24), FALSE)), ""=4"") + COUNTIF(ARRAYFORMULA(HLOOKUP($B86, IMPORTRANGE('Match Names'!$G$23, CONCAT(VLOOKUP($C86, 'Match Names'!$"&amp;"1:$22, 7, FALSE), ""!C3:R29"")), ROW($A$1:$A$24), FALSE)), ""=4"") + COUNTIF(ARRAYFORMULA(HLOOKUP($B86, IMPORTRANGE('Match Names'!$H$23, CONCAT(VLOOKUP($C86, 'Match Names'!$1:$22, 8, FALSE), ""!C3:R29"")), ROW($A$1:$A$24), FALSE)), ""=4"")"),37.0)</f>
        <v>37</v>
      </c>
      <c r="F86" s="4">
        <f>IFERROR(__xludf.DUMMYFUNCTION("COUNTIF(ARRAYFORMULA(HLOOKUP($B86, IMPORTRANGE('Prelim Rankings Unsorted'!$B$40, CONCAT(VLOOKUP($C86, 'Match Names'!$A$1:$D$22, 2, FALSE), ""!C3:R29"")), ROW($A$1:$A$24), FALSE)), ""=0"") + COUNTIF(ARRAYFORMULA(HLOOKUP($B86, IMPORTRANGE('Prelim Rankings U"&amp;"nsorted'!$B$41, CONCAT(VLOOKUP($C86, 'Match Names'!$A$1:$D$22, 3, FALSE), ""!C3:R29"")), ROW($A$1:$A$24), FALSE)), ""=0"") + COUNTIF(ARRAYFORMULA(HLOOKUP($B86, IMPORTRANGE('Prelim Rankings Unsorted'!$B$42, CONCAT(VLOOKUP($C86, 'Match Names'!$A$1:$D$22, 4,"&amp;" FALSE), ""!C3:R29"")), ROW($A$1:$A$24), FALSE)), ""=0"") + COUNTIF(ARRAYFORMULA(HLOOKUP($B86, IMPORTRANGE('Match Names'!$E$23, CONCAT(VLOOKUP($C86, 'Match Names'!$1:$22, 5, FALSE), ""!C3:R29"")), ROW($A$1:$A$24), FALSE)), ""=0"") + COUNTIF(ARRAYFORMULA(H"&amp;"LOOKUP($B86, IMPORTRANGE('Match Names'!$F$23, CONCAT(VLOOKUP($C86, 'Match Names'!$1:$22, 6, FALSE), ""!C3:R29"")), ROW($A$1:$A$24), FALSE)), ""=0"") + COUNTIF(ARRAYFORMULA(HLOOKUP($B86, IMPORTRANGE('Match Names'!$G$23, CONCAT(VLOOKUP($C86, 'Match Names'!$"&amp;"1:$22, 7, FALSE), ""!C3:R29"")), ROW($A$1:$A$24), FALSE)), ""=0"") + COUNTIF(ARRAYFORMULA(HLOOKUP($B86, IMPORTRANGE('Match Names'!$H$23, CONCAT(VLOOKUP($C86, 'Match Names'!$1:$22, 8, FALSE), ""!C3:R29"")), ROW($A$1:$A$24), FALSE)), ""=0"")"),26.0)</f>
        <v>26</v>
      </c>
      <c r="G86" s="4">
        <f>IFERROR(__xludf.DUMMYFUNCTION("COUNTIF(ARRAYFORMULA(HLOOKUP($B86, IMPORTRANGE('Prelim Rankings Unsorted'!$B$40, CONCAT(VLOOKUP($C86, 'Match Names'!$A$1:$D$22, 2, FALSE), ""!C3:R29"")), ROW($A$1:$A$24), FALSE)), ""=-4"") + COUNTIF(ARRAYFORMULA(HLOOKUP($B86, IMPORTRANGE('Prelim Rankings "&amp;"Unsorted'!$B$41, CONCAT(VLOOKUP($C86, 'Match Names'!$A$1:$D$22, 3, FALSE), ""!C3:R29"")), ROW($A$1:$A$24), FALSE)), ""=-4"") + COUNTIF(ARRAYFORMULA(HLOOKUP($B86, IMPORTRANGE('Prelim Rankings Unsorted'!$B$42, CONCAT(VLOOKUP($C86, 'Match Names'!$A$1:$D$22, "&amp;"4, FALSE), ""!C3:R29"")), ROW($A$1:$A$24), FALSE)), ""=-4"") + COUNTIF(ARRAYFORMULA(HLOOKUP($B86, IMPORTRANGE('Match Names'!$E$23, CONCAT(VLOOKUP($C86, 'Match Names'!$1:$22, 5, FALSE), ""!C3:R29"")), ROW($A$1:$A$24), FALSE)), ""=-4"") + COUNTIF(ARRAYFORMU"&amp;"LA(HLOOKUP($B86, IMPORTRANGE('Match Names'!$F$23, CONCAT(VLOOKUP($C86, 'Match Names'!$1:$22, 6, FALSE), ""!C3:R29"")), ROW($A$1:$A$24), FALSE)), ""=-4"") + COUNTIF(ARRAYFORMULA(HLOOKUP($B86, IMPORTRANGE('Match Names'!$G$23, CONCAT(VLOOKUP($C86, 'Match Nam"&amp;"es'!$1:$22, 7, FALSE), ""!C3:R29"")), ROW($A$1:$A$24), FALSE)), ""=-4"") + COUNTIF(ARRAYFORMULA(HLOOKUP($B86, IMPORTRANGE('Match Names'!$H$23, CONCAT(VLOOKUP($C86, 'Match Names'!$1:$22, 8, FALSE), ""!C3:R29"")), ROW($A$1:$A$24), FALSE)), ""=-4"")"),4.0)</f>
        <v>4</v>
      </c>
      <c r="H86" s="4">
        <f t="shared" si="1"/>
        <v>26.4</v>
      </c>
    </row>
    <row r="87">
      <c r="A87" s="21" t="s">
        <v>45</v>
      </c>
      <c r="B87" s="7" t="str">
        <f>VLOOKUP(CONCAT(A87, C87), 'Discord Username to Real Name'!C:D, 2, FALSE)</f>
        <v>Rosin#8074</v>
      </c>
      <c r="C87" s="21" t="s">
        <v>18</v>
      </c>
      <c r="D87" s="11">
        <f>IFERROR(__xludf.DUMMYFUNCTION("(23 - COUNTIF(IFERROR(ARRAYFORMULA(HLOOKUP($B87, IMPORTRANGE('Prelim Rankings Unsorted'!$B$40, CONCAT(VLOOKUP($C87, 'Match Names'!$A$1:$D$22, 2, FALSE), ""!C3:R29"")), ROW($A$1:$A$24), FALSE)), $AA$9:$AA$31), ""=X"")) + (23 - COUNTIF(IFERROR(ARRAYFORMULA("&amp;"HLOOKUP($B87, IMPORTRANGE('Prelim Rankings Unsorted'!$B$41, CONCAT(VLOOKUP($C87, 'Match Names'!$A$1:$D$22, 3, FALSE), ""!C3:R29"")), ROW($A$1:$A$24), FALSE)), $AA$9:$AA$31), ""=X"")) + (23 - COUNTIF(IFERROR(ARRAYFORMULA(HLOOKUP($B87, IMPORTRANGE('Prelim R"&amp;"ankings Unsorted'!$B$42, CONCAT(VLOOKUP($C87, 'Match Names'!$A$1:$D$22, 4, FALSE), ""!C3:R29"")), ROW($A$1:$A$24), FALSE)), $AA$9:$AA$31), ""=X"")) + (23 - COUNTIF(IFERROR(ARRAYFORMULA(HLOOKUP($B87, IMPORTRANGE('Match Names'!$E$23, CONCAT(VLOOKUP($C87, 'M"&amp;"atch Names'!$1:$22, 5, FALSE), ""!C3:R29"")), ROW($A$1:$A$24), FALSE)), $AA$9:$AA$31), ""=X"")) + (23 - COUNTIF(IFERROR(ARRAYFORMULA(HLOOKUP($B87, IMPORTRANGE('Match Names'!$F$23, CONCAT(VLOOKUP($C87, 'Match Names'!$1:$22, 6, FALSE), ""!C3:R29"")), ROW($A"&amp;"$1:$A$24), FALSE)), $AA$9:$AA$31), ""=X"")) + (23 - COUNTIF(IFERROR(ARRAYFORMULA(HLOOKUP($B87, IMPORTRANGE('Match Names'!$G$23, CONCAT(VLOOKUP($C87, 'Match Names'!$1:$22, 7, FALSE), ""!C3:R29"")), ROW($A$1:$A$24), FALSE)), $AA$9:$AA$31), ""=X"")) + (23 - "&amp;"COUNTIF(IFERROR(ARRAYFORMULA(HLOOKUP($B87, IMPORTRANGE('Match Names'!$H$23, CONCAT(VLOOKUP($C87, 'Match Names'!$1:$22, 8, FALSE), ""!C3:R29"")), ROW($A$1:$A$24), FALSE)), $AA$9:$AA$31), ""=X""))"),46.0)</f>
        <v>46</v>
      </c>
      <c r="E87" s="4">
        <f>IFERROR(__xludf.DUMMYFUNCTION("COUNTIF(ARRAYFORMULA(HLOOKUP($B87, IMPORTRANGE('Prelim Rankings Unsorted'!$B$40, CONCAT(VLOOKUP($C87, 'Match Names'!$A$1:$D$22, 2, FALSE), ""!C3:R29"")), ROW($A$1:$A$24), FALSE)), ""=4"") + COUNTIF(ARRAYFORMULA(HLOOKUP($B87, IMPORTRANGE('Prelim Rankings U"&amp;"nsorted'!$B$41, CONCAT(VLOOKUP($C87, 'Match Names'!$A$1:$D$22, 3, FALSE), ""!C3:R29"")), ROW($A$1:$A$24), FALSE)), ""=4"") + COUNTIF(ARRAYFORMULA(HLOOKUP($B87, IMPORTRANGE('Prelim Rankings Unsorted'!$B$42, CONCAT(VLOOKUP($C87, 'Match Names'!$A$1:$D$22, 4,"&amp;" FALSE), ""!C3:R29"")), ROW($A$1:$A$24), FALSE)), ""=4"") + COUNTIF(ARRAYFORMULA(HLOOKUP($B87, IMPORTRANGE('Match Names'!$E$23, CONCAT(VLOOKUP($C87, 'Match Names'!$1:$22, 5, FALSE), ""!C3:R29"")), ROW($A$1:$A$24), FALSE)), ""=4"") + COUNTIF(ARRAYFORMULA(H"&amp;"LOOKUP($B87, IMPORTRANGE('Match Names'!$F$23, CONCAT(VLOOKUP($C87, 'Match Names'!$1:$22, 6, FALSE), ""!C3:R29"")), ROW($A$1:$A$24), FALSE)), ""=4"") + COUNTIF(ARRAYFORMULA(HLOOKUP($B87, IMPORTRANGE('Match Names'!$G$23, CONCAT(VLOOKUP($C87, 'Match Names'!$"&amp;"1:$22, 7, FALSE), ""!C3:R29"")), ROW($A$1:$A$24), FALSE)), ""=4"") + COUNTIF(ARRAYFORMULA(HLOOKUP($B87, IMPORTRANGE('Match Names'!$H$23, CONCAT(VLOOKUP($C87, 'Match Names'!$1:$22, 8, FALSE), ""!C3:R29"")), ROW($A$1:$A$24), FALSE)), ""=4"")"),1.0)</f>
        <v>1</v>
      </c>
      <c r="F87" s="4">
        <f>IFERROR(__xludf.DUMMYFUNCTION("COUNTIF(ARRAYFORMULA(HLOOKUP($B87, IMPORTRANGE('Prelim Rankings Unsorted'!$B$40, CONCAT(VLOOKUP($C87, 'Match Names'!$A$1:$D$22, 2, FALSE), ""!C3:R29"")), ROW($A$1:$A$24), FALSE)), ""=0"") + COUNTIF(ARRAYFORMULA(HLOOKUP($B87, IMPORTRANGE('Prelim Rankings U"&amp;"nsorted'!$B$41, CONCAT(VLOOKUP($C87, 'Match Names'!$A$1:$D$22, 3, FALSE), ""!C3:R29"")), ROW($A$1:$A$24), FALSE)), ""=0"") + COUNTIF(ARRAYFORMULA(HLOOKUP($B87, IMPORTRANGE('Prelim Rankings Unsorted'!$B$42, CONCAT(VLOOKUP($C87, 'Match Names'!$A$1:$D$22, 4,"&amp;" FALSE), ""!C3:R29"")), ROW($A$1:$A$24), FALSE)), ""=0"") + COUNTIF(ARRAYFORMULA(HLOOKUP($B87, IMPORTRANGE('Match Names'!$E$23, CONCAT(VLOOKUP($C87, 'Match Names'!$1:$22, 5, FALSE), ""!C3:R29"")), ROW($A$1:$A$24), FALSE)), ""=0"") + COUNTIF(ARRAYFORMULA(H"&amp;"LOOKUP($B87, IMPORTRANGE('Match Names'!$F$23, CONCAT(VLOOKUP($C87, 'Match Names'!$1:$22, 6, FALSE), ""!C3:R29"")), ROW($A$1:$A$24), FALSE)), ""=0"") + COUNTIF(ARRAYFORMULA(HLOOKUP($B87, IMPORTRANGE('Match Names'!$G$23, CONCAT(VLOOKUP($C87, 'Match Names'!$"&amp;"1:$22, 7, FALSE), ""!C3:R29"")), ROW($A$1:$A$24), FALSE)), ""=0"") + COUNTIF(ARRAYFORMULA(HLOOKUP($B87, IMPORTRANGE('Match Names'!$H$23, CONCAT(VLOOKUP($C87, 'Match Names'!$1:$22, 8, FALSE), ""!C3:R29"")), ROW($A$1:$A$24), FALSE)), ""=0"")"),1.0)</f>
        <v>1</v>
      </c>
      <c r="G87" s="4">
        <f>IFERROR(__xludf.DUMMYFUNCTION("COUNTIF(ARRAYFORMULA(HLOOKUP($B87, IMPORTRANGE('Prelim Rankings Unsorted'!$B$40, CONCAT(VLOOKUP($C87, 'Match Names'!$A$1:$D$22, 2, FALSE), ""!C3:R29"")), ROW($A$1:$A$24), FALSE)), ""=-4"") + COUNTIF(ARRAYFORMULA(HLOOKUP($B87, IMPORTRANGE('Prelim Rankings "&amp;"Unsorted'!$B$41, CONCAT(VLOOKUP($C87, 'Match Names'!$A$1:$D$22, 3, FALSE), ""!C3:R29"")), ROW($A$1:$A$24), FALSE)), ""=-4"") + COUNTIF(ARRAYFORMULA(HLOOKUP($B87, IMPORTRANGE('Prelim Rankings Unsorted'!$B$42, CONCAT(VLOOKUP($C87, 'Match Names'!$A$1:$D$22, "&amp;"4, FALSE), ""!C3:R29"")), ROW($A$1:$A$24), FALSE)), ""=-4"") + COUNTIF(ARRAYFORMULA(HLOOKUP($B87, IMPORTRANGE('Match Names'!$E$23, CONCAT(VLOOKUP($C87, 'Match Names'!$1:$22, 5, FALSE), ""!C3:R29"")), ROW($A$1:$A$24), FALSE)), ""=-4"") + COUNTIF(ARRAYFORMU"&amp;"LA(HLOOKUP($B87, IMPORTRANGE('Match Names'!$F$23, CONCAT(VLOOKUP($C87, 'Match Names'!$1:$22, 6, FALSE), ""!C3:R29"")), ROW($A$1:$A$24), FALSE)), ""=-4"") + COUNTIF(ARRAYFORMULA(HLOOKUP($B87, IMPORTRANGE('Match Names'!$G$23, CONCAT(VLOOKUP($C87, 'Match Nam"&amp;"es'!$1:$22, 7, FALSE), ""!C3:R29"")), ROW($A$1:$A$24), FALSE)), ""=-4"") + COUNTIF(ARRAYFORMULA(HLOOKUP($B87, IMPORTRANGE('Match Names'!$H$23, CONCAT(VLOOKUP($C87, 'Match Names'!$1:$22, 8, FALSE), ""!C3:R29"")), ROW($A$1:$A$24), FALSE)), ""=-4"")"),0.0)</f>
        <v>0</v>
      </c>
      <c r="H87" s="4">
        <f t="shared" si="1"/>
        <v>2</v>
      </c>
    </row>
    <row r="88">
      <c r="A88" s="23" t="s">
        <v>204</v>
      </c>
      <c r="B88" s="7" t="str">
        <f>VLOOKUP(CONCAT(A88, C88), 'Discord Username to Real Name'!C:D, 2, FALSE)</f>
        <v/>
      </c>
      <c r="C88" s="23" t="s">
        <v>18</v>
      </c>
      <c r="D88" s="11">
        <f>IFERROR(__xludf.DUMMYFUNCTION("(23 - COUNTIF(IFERROR(ARRAYFORMULA(HLOOKUP($B88, IMPORTRANGE('Prelim Rankings Unsorted'!$B$40, CONCAT(VLOOKUP($C88, 'Match Names'!$A$1:$D$22, 2, FALSE), ""!C3:R29"")), ROW($A$1:$A$24), FALSE)), $AA$9:$AA$31), ""=X"")) + (23 - COUNTIF(IFERROR(ARRAYFORMULA("&amp;"HLOOKUP($B88, IMPORTRANGE('Prelim Rankings Unsorted'!$B$41, CONCAT(VLOOKUP($C88, 'Match Names'!$A$1:$D$22, 3, FALSE), ""!C3:R29"")), ROW($A$1:$A$24), FALSE)), $AA$9:$AA$31), ""=X"")) + (23 - COUNTIF(IFERROR(ARRAYFORMULA(HLOOKUP($B88, IMPORTRANGE('Prelim R"&amp;"ankings Unsorted'!$B$42, CONCAT(VLOOKUP($C88, 'Match Names'!$A$1:$D$22, 4, FALSE), ""!C3:R29"")), ROW($A$1:$A$24), FALSE)), $AA$9:$AA$31), ""=X"")) + (23 - COUNTIF(IFERROR(ARRAYFORMULA(HLOOKUP($B88, IMPORTRANGE('Match Names'!$E$23, CONCAT(VLOOKUP($C88, 'M"&amp;"atch Names'!$1:$22, 5, FALSE), ""!C3:R29"")), ROW($A$1:$A$24), FALSE)), $AA$9:$AA$31), ""=X"")) + (23 - COUNTIF(IFERROR(ARRAYFORMULA(HLOOKUP($B88, IMPORTRANGE('Match Names'!$F$23, CONCAT(VLOOKUP($C88, 'Match Names'!$1:$22, 6, FALSE), ""!C3:R29"")), ROW($A"&amp;"$1:$A$24), FALSE)), $AA$9:$AA$31), ""=X"")) + (23 - COUNTIF(IFERROR(ARRAYFORMULA(HLOOKUP($B88, IMPORTRANGE('Match Names'!$G$23, CONCAT(VLOOKUP($C88, 'Match Names'!$1:$22, 7, FALSE), ""!C3:R29"")), ROW($A$1:$A$24), FALSE)), $AA$9:$AA$31), ""=X"")) + (23 - "&amp;"COUNTIF(IFERROR(ARRAYFORMULA(HLOOKUP($B88, IMPORTRANGE('Match Names'!$H$23, CONCAT(VLOOKUP($C88, 'Match Names'!$1:$22, 8, FALSE), ""!C3:R29"")), ROW($A$1:$A$24), FALSE)), $AA$9:$AA$31), ""=X""))"),0.0)</f>
        <v>0</v>
      </c>
      <c r="E88" s="4">
        <f>IFERROR(__xludf.DUMMYFUNCTION("COUNTIF(ARRAYFORMULA(HLOOKUP($B88, IMPORTRANGE('Prelim Rankings Unsorted'!$B$40, CONCAT(VLOOKUP($C88, 'Match Names'!$A$1:$D$22, 2, FALSE), ""!C3:R29"")), ROW($A$1:$A$24), FALSE)), ""=4"") + COUNTIF(ARRAYFORMULA(HLOOKUP($B88, IMPORTRANGE('Prelim Rankings U"&amp;"nsorted'!$B$41, CONCAT(VLOOKUP($C88, 'Match Names'!$A$1:$D$22, 3, FALSE), ""!C3:R29"")), ROW($A$1:$A$24), FALSE)), ""=4"") + COUNTIF(ARRAYFORMULA(HLOOKUP($B88, IMPORTRANGE('Prelim Rankings Unsorted'!$B$42, CONCAT(VLOOKUP($C88, 'Match Names'!$A$1:$D$22, 4,"&amp;" FALSE), ""!C3:R29"")), ROW($A$1:$A$24), FALSE)), ""=4"") + COUNTIF(ARRAYFORMULA(HLOOKUP($B88, IMPORTRANGE('Match Names'!$E$23, CONCAT(VLOOKUP($C88, 'Match Names'!$1:$22, 5, FALSE), ""!C3:R29"")), ROW($A$1:$A$24), FALSE)), ""=4"") + COUNTIF(ARRAYFORMULA(H"&amp;"LOOKUP($B88, IMPORTRANGE('Match Names'!$F$23, CONCAT(VLOOKUP($C88, 'Match Names'!$1:$22, 6, FALSE), ""!C3:R29"")), ROW($A$1:$A$24), FALSE)), ""=4"") + COUNTIF(ARRAYFORMULA(HLOOKUP($B88, IMPORTRANGE('Match Names'!$G$23, CONCAT(VLOOKUP($C88, 'Match Names'!$"&amp;"1:$22, 7, FALSE), ""!C3:R29"")), ROW($A$1:$A$24), FALSE)), ""=4"") + COUNTIF(ARRAYFORMULA(HLOOKUP($B88, IMPORTRANGE('Match Names'!$H$23, CONCAT(VLOOKUP($C88, 'Match Names'!$1:$22, 8, FALSE), ""!C3:R29"")), ROW($A$1:$A$24), FALSE)), ""=4"")"),0.0)</f>
        <v>0</v>
      </c>
      <c r="F88" s="4">
        <f>IFERROR(__xludf.DUMMYFUNCTION("COUNTIF(ARRAYFORMULA(HLOOKUP($B88, IMPORTRANGE('Prelim Rankings Unsorted'!$B$40, CONCAT(VLOOKUP($C88, 'Match Names'!$A$1:$D$22, 2, FALSE), ""!C3:R29"")), ROW($A$1:$A$24), FALSE)), ""=0"") + COUNTIF(ARRAYFORMULA(HLOOKUP($B88, IMPORTRANGE('Prelim Rankings U"&amp;"nsorted'!$B$41, CONCAT(VLOOKUP($C88, 'Match Names'!$A$1:$D$22, 3, FALSE), ""!C3:R29"")), ROW($A$1:$A$24), FALSE)), ""=0"") + COUNTIF(ARRAYFORMULA(HLOOKUP($B88, IMPORTRANGE('Prelim Rankings Unsorted'!$B$42, CONCAT(VLOOKUP($C88, 'Match Names'!$A$1:$D$22, 4,"&amp;" FALSE), ""!C3:R29"")), ROW($A$1:$A$24), FALSE)), ""=0"") + COUNTIF(ARRAYFORMULA(HLOOKUP($B88, IMPORTRANGE('Match Names'!$E$23, CONCAT(VLOOKUP($C88, 'Match Names'!$1:$22, 5, FALSE), ""!C3:R29"")), ROW($A$1:$A$24), FALSE)), ""=0"") + COUNTIF(ARRAYFORMULA(H"&amp;"LOOKUP($B88, IMPORTRANGE('Match Names'!$F$23, CONCAT(VLOOKUP($C88, 'Match Names'!$1:$22, 6, FALSE), ""!C3:R29"")), ROW($A$1:$A$24), FALSE)), ""=0"") + COUNTIF(ARRAYFORMULA(HLOOKUP($B88, IMPORTRANGE('Match Names'!$G$23, CONCAT(VLOOKUP($C88, 'Match Names'!$"&amp;"1:$22, 7, FALSE), ""!C3:R29"")), ROW($A$1:$A$24), FALSE)), ""=0"") + COUNTIF(ARRAYFORMULA(HLOOKUP($B88, IMPORTRANGE('Match Names'!$H$23, CONCAT(VLOOKUP($C88, 'Match Names'!$1:$22, 8, FALSE), ""!C3:R29"")), ROW($A$1:$A$24), FALSE)), ""=0"")"),0.0)</f>
        <v>0</v>
      </c>
      <c r="G88" s="4">
        <f>IFERROR(__xludf.DUMMYFUNCTION("COUNTIF(ARRAYFORMULA(HLOOKUP($B88, IMPORTRANGE('Prelim Rankings Unsorted'!$B$40, CONCAT(VLOOKUP($C88, 'Match Names'!$A$1:$D$22, 2, FALSE), ""!C3:R29"")), ROW($A$1:$A$24), FALSE)), ""=-4"") + COUNTIF(ARRAYFORMULA(HLOOKUP($B88, IMPORTRANGE('Prelim Rankings "&amp;"Unsorted'!$B$41, CONCAT(VLOOKUP($C88, 'Match Names'!$A$1:$D$22, 3, FALSE), ""!C3:R29"")), ROW($A$1:$A$24), FALSE)), ""=-4"") + COUNTIF(ARRAYFORMULA(HLOOKUP($B88, IMPORTRANGE('Prelim Rankings Unsorted'!$B$42, CONCAT(VLOOKUP($C88, 'Match Names'!$A$1:$D$22, "&amp;"4, FALSE), ""!C3:R29"")), ROW($A$1:$A$24), FALSE)), ""=-4"") + COUNTIF(ARRAYFORMULA(HLOOKUP($B88, IMPORTRANGE('Match Names'!$E$23, CONCAT(VLOOKUP($C88, 'Match Names'!$1:$22, 5, FALSE), ""!C3:R29"")), ROW($A$1:$A$24), FALSE)), ""=-4"") + COUNTIF(ARRAYFORMU"&amp;"LA(HLOOKUP($B88, IMPORTRANGE('Match Names'!$F$23, CONCAT(VLOOKUP($C88, 'Match Names'!$1:$22, 6, FALSE), ""!C3:R29"")), ROW($A$1:$A$24), FALSE)), ""=-4"") + COUNTIF(ARRAYFORMULA(HLOOKUP($B88, IMPORTRANGE('Match Names'!$G$23, CONCAT(VLOOKUP($C88, 'Match Nam"&amp;"es'!$1:$22, 7, FALSE), ""!C3:R29"")), ROW($A$1:$A$24), FALSE)), ""=-4"") + COUNTIF(ARRAYFORMULA(HLOOKUP($B88, IMPORTRANGE('Match Names'!$H$23, CONCAT(VLOOKUP($C88, 'Match Names'!$1:$22, 8, FALSE), ""!C3:R29"")), ROW($A$1:$A$24), FALSE)), ""=-4"")"),0.0)</f>
        <v>0</v>
      </c>
      <c r="H88" s="4">
        <f t="shared" si="1"/>
        <v>0</v>
      </c>
    </row>
    <row r="89">
      <c r="A89" s="21" t="s">
        <v>117</v>
      </c>
      <c r="B89" s="7" t="str">
        <f>VLOOKUP(CONCAT(A89, C89), 'Discord Username to Real Name'!C:D, 2, FALSE)</f>
        <v>the-wraith#2013</v>
      </c>
      <c r="C89" s="21" t="s">
        <v>18</v>
      </c>
      <c r="D89" s="11">
        <f>IFERROR(__xludf.DUMMYFUNCTION("(23 - COUNTIF(IFERROR(ARRAYFORMULA(HLOOKUP($B89, IMPORTRANGE('Prelim Rankings Unsorted'!$B$40, CONCAT(VLOOKUP($C89, 'Match Names'!$A$1:$D$22, 2, FALSE), ""!C3:R29"")), ROW($A$1:$A$24), FALSE)), $AA$9:$AA$31), ""=X"")) + (23 - COUNTIF(IFERROR(ARRAYFORMULA("&amp;"HLOOKUP($B89, IMPORTRANGE('Prelim Rankings Unsorted'!$B$41, CONCAT(VLOOKUP($C89, 'Match Names'!$A$1:$D$22, 3, FALSE), ""!C3:R29"")), ROW($A$1:$A$24), FALSE)), $AA$9:$AA$31), ""=X"")) + (23 - COUNTIF(IFERROR(ARRAYFORMULA(HLOOKUP($B89, IMPORTRANGE('Prelim R"&amp;"ankings Unsorted'!$B$42, CONCAT(VLOOKUP($C89, 'Match Names'!$A$1:$D$22, 4, FALSE), ""!C3:R29"")), ROW($A$1:$A$24), FALSE)), $AA$9:$AA$31), ""=X"")) + (23 - COUNTIF(IFERROR(ARRAYFORMULA(HLOOKUP($B89, IMPORTRANGE('Match Names'!$E$23, CONCAT(VLOOKUP($C89, 'M"&amp;"atch Names'!$1:$22, 5, FALSE), ""!C3:R29"")), ROW($A$1:$A$24), FALSE)), $AA$9:$AA$31), ""=X"")) + (23 - COUNTIF(IFERROR(ARRAYFORMULA(HLOOKUP($B89, IMPORTRANGE('Match Names'!$F$23, CONCAT(VLOOKUP($C89, 'Match Names'!$1:$22, 6, FALSE), ""!C3:R29"")), ROW($A"&amp;"$1:$A$24), FALSE)), $AA$9:$AA$31), ""=X"")) + (23 - COUNTIF(IFERROR(ARRAYFORMULA(HLOOKUP($B89, IMPORTRANGE('Match Names'!$G$23, CONCAT(VLOOKUP($C89, 'Match Names'!$1:$22, 7, FALSE), ""!C3:R29"")), ROW($A$1:$A$24), FALSE)), $AA$9:$AA$31), ""=X"")) + (23 - "&amp;"COUNTIF(IFERROR(ARRAYFORMULA(HLOOKUP($B89, IMPORTRANGE('Match Names'!$H$23, CONCAT(VLOOKUP($C89, 'Match Names'!$1:$22, 8, FALSE), ""!C3:R29"")), ROW($A$1:$A$24), FALSE)), $AA$9:$AA$31), ""=X""))"),115.0)</f>
        <v>115</v>
      </c>
      <c r="E89" s="4">
        <f>IFERROR(__xludf.DUMMYFUNCTION("COUNTIF(ARRAYFORMULA(HLOOKUP($B89, IMPORTRANGE('Prelim Rankings Unsorted'!$B$40, CONCAT(VLOOKUP($C89, 'Match Names'!$A$1:$D$22, 2, FALSE), ""!C3:R29"")), ROW($A$1:$A$24), FALSE)), ""=4"") + COUNTIF(ARRAYFORMULA(HLOOKUP($B89, IMPORTRANGE('Prelim Rankings U"&amp;"nsorted'!$B$41, CONCAT(VLOOKUP($C89, 'Match Names'!$A$1:$D$22, 3, FALSE), ""!C3:R29"")), ROW($A$1:$A$24), FALSE)), ""=4"") + COUNTIF(ARRAYFORMULA(HLOOKUP($B89, IMPORTRANGE('Prelim Rankings Unsorted'!$B$42, CONCAT(VLOOKUP($C89, 'Match Names'!$A$1:$D$22, 4,"&amp;" FALSE), ""!C3:R29"")), ROW($A$1:$A$24), FALSE)), ""=4"") + COUNTIF(ARRAYFORMULA(HLOOKUP($B89, IMPORTRANGE('Match Names'!$E$23, CONCAT(VLOOKUP($C89, 'Match Names'!$1:$22, 5, FALSE), ""!C3:R29"")), ROW($A$1:$A$24), FALSE)), ""=4"") + COUNTIF(ARRAYFORMULA(H"&amp;"LOOKUP($B89, IMPORTRANGE('Match Names'!$F$23, CONCAT(VLOOKUP($C89, 'Match Names'!$1:$22, 6, FALSE), ""!C3:R29"")), ROW($A$1:$A$24), FALSE)), ""=4"") + COUNTIF(ARRAYFORMULA(HLOOKUP($B89, IMPORTRANGE('Match Names'!$G$23, CONCAT(VLOOKUP($C89, 'Match Names'!$"&amp;"1:$22, 7, FALSE), ""!C3:R29"")), ROW($A$1:$A$24), FALSE)), ""=4"") + COUNTIF(ARRAYFORMULA(HLOOKUP($B89, IMPORTRANGE('Match Names'!$H$23, CONCAT(VLOOKUP($C89, 'Match Names'!$1:$22, 8, FALSE), ""!C3:R29"")), ROW($A$1:$A$24), FALSE)), ""=4"")"),9.0)</f>
        <v>9</v>
      </c>
      <c r="F89" s="4">
        <f>IFERROR(__xludf.DUMMYFUNCTION("COUNTIF(ARRAYFORMULA(HLOOKUP($B89, IMPORTRANGE('Prelim Rankings Unsorted'!$B$40, CONCAT(VLOOKUP($C89, 'Match Names'!$A$1:$D$22, 2, FALSE), ""!C3:R29"")), ROW($A$1:$A$24), FALSE)), ""=0"") + COUNTIF(ARRAYFORMULA(HLOOKUP($B89, IMPORTRANGE('Prelim Rankings U"&amp;"nsorted'!$B$41, CONCAT(VLOOKUP($C89, 'Match Names'!$A$1:$D$22, 3, FALSE), ""!C3:R29"")), ROW($A$1:$A$24), FALSE)), ""=0"") + COUNTIF(ARRAYFORMULA(HLOOKUP($B89, IMPORTRANGE('Prelim Rankings Unsorted'!$B$42, CONCAT(VLOOKUP($C89, 'Match Names'!$A$1:$D$22, 4,"&amp;" FALSE), ""!C3:R29"")), ROW($A$1:$A$24), FALSE)), ""=0"") + COUNTIF(ARRAYFORMULA(HLOOKUP($B89, IMPORTRANGE('Match Names'!$E$23, CONCAT(VLOOKUP($C89, 'Match Names'!$1:$22, 5, FALSE), ""!C3:R29"")), ROW($A$1:$A$24), FALSE)), ""=0"") + COUNTIF(ARRAYFORMULA(H"&amp;"LOOKUP($B89, IMPORTRANGE('Match Names'!$F$23, CONCAT(VLOOKUP($C89, 'Match Names'!$1:$22, 6, FALSE), ""!C3:R29"")), ROW($A$1:$A$24), FALSE)), ""=0"") + COUNTIF(ARRAYFORMULA(HLOOKUP($B89, IMPORTRANGE('Match Names'!$G$23, CONCAT(VLOOKUP($C89, 'Match Names'!$"&amp;"1:$22, 7, FALSE), ""!C3:R29"")), ROW($A$1:$A$24), FALSE)), ""=0"") + COUNTIF(ARRAYFORMULA(HLOOKUP($B89, IMPORTRANGE('Match Names'!$H$23, CONCAT(VLOOKUP($C89, 'Match Names'!$1:$22, 8, FALSE), ""!C3:R29"")), ROW($A$1:$A$24), FALSE)), ""=0"")"),6.0)</f>
        <v>6</v>
      </c>
      <c r="G89" s="4">
        <f>IFERROR(__xludf.DUMMYFUNCTION("COUNTIF(ARRAYFORMULA(HLOOKUP($B89, IMPORTRANGE('Prelim Rankings Unsorted'!$B$40, CONCAT(VLOOKUP($C89, 'Match Names'!$A$1:$D$22, 2, FALSE), ""!C3:R29"")), ROW($A$1:$A$24), FALSE)), ""=-4"") + COUNTIF(ARRAYFORMULA(HLOOKUP($B89, IMPORTRANGE('Prelim Rankings "&amp;"Unsorted'!$B$41, CONCAT(VLOOKUP($C89, 'Match Names'!$A$1:$D$22, 3, FALSE), ""!C3:R29"")), ROW($A$1:$A$24), FALSE)), ""=-4"") + COUNTIF(ARRAYFORMULA(HLOOKUP($B89, IMPORTRANGE('Prelim Rankings Unsorted'!$B$42, CONCAT(VLOOKUP($C89, 'Match Names'!$A$1:$D$22, "&amp;"4, FALSE), ""!C3:R29"")), ROW($A$1:$A$24), FALSE)), ""=-4"") + COUNTIF(ARRAYFORMULA(HLOOKUP($B89, IMPORTRANGE('Match Names'!$E$23, CONCAT(VLOOKUP($C89, 'Match Names'!$1:$22, 5, FALSE), ""!C3:R29"")), ROW($A$1:$A$24), FALSE)), ""=-4"") + COUNTIF(ARRAYFORMU"&amp;"LA(HLOOKUP($B89, IMPORTRANGE('Match Names'!$F$23, CONCAT(VLOOKUP($C89, 'Match Names'!$1:$22, 6, FALSE), ""!C3:R29"")), ROW($A$1:$A$24), FALSE)), ""=-4"") + COUNTIF(ARRAYFORMULA(HLOOKUP($B89, IMPORTRANGE('Match Names'!$G$23, CONCAT(VLOOKUP($C89, 'Match Nam"&amp;"es'!$1:$22, 7, FALSE), ""!C3:R29"")), ROW($A$1:$A$24), FALSE)), ""=-4"") + COUNTIF(ARRAYFORMULA(HLOOKUP($B89, IMPORTRANGE('Match Names'!$H$23, CONCAT(VLOOKUP($C89, 'Match Names'!$1:$22, 8, FALSE), ""!C3:R29"")), ROW($A$1:$A$24), FALSE)), ""=-4"")"),0.0)</f>
        <v>0</v>
      </c>
      <c r="H89" s="4">
        <f t="shared" si="1"/>
        <v>7.2</v>
      </c>
    </row>
    <row r="90">
      <c r="A90" s="21" t="s">
        <v>78</v>
      </c>
      <c r="B90" s="7" t="str">
        <f>VLOOKUP(CONCAT(A90, C90), 'Discord Username to Real Name'!C:D, 2, FALSE)</f>
        <v>avaebe#2714</v>
      </c>
      <c r="C90" s="21" t="s">
        <v>18</v>
      </c>
      <c r="D90" s="11">
        <f>IFERROR(__xludf.DUMMYFUNCTION("(23 - COUNTIF(IFERROR(ARRAYFORMULA(HLOOKUP($B90, IMPORTRANGE('Prelim Rankings Unsorted'!$B$40, CONCAT(VLOOKUP($C90, 'Match Names'!$A$1:$D$22, 2, FALSE), ""!C3:R29"")), ROW($A$1:$A$24), FALSE)), $AA$9:$AA$31), ""=X"")) + (23 - COUNTIF(IFERROR(ARRAYFORMULA("&amp;"HLOOKUP($B90, IMPORTRANGE('Prelim Rankings Unsorted'!$B$41, CONCAT(VLOOKUP($C90, 'Match Names'!$A$1:$D$22, 3, FALSE), ""!C3:R29"")), ROW($A$1:$A$24), FALSE)), $AA$9:$AA$31), ""=X"")) + (23 - COUNTIF(IFERROR(ARRAYFORMULA(HLOOKUP($B90, IMPORTRANGE('Prelim R"&amp;"ankings Unsorted'!$B$42, CONCAT(VLOOKUP($C90, 'Match Names'!$A$1:$D$22, 4, FALSE), ""!C3:R29"")), ROW($A$1:$A$24), FALSE)), $AA$9:$AA$31), ""=X"")) + (23 - COUNTIF(IFERROR(ARRAYFORMULA(HLOOKUP($B90, IMPORTRANGE('Match Names'!$E$23, CONCAT(VLOOKUP($C90, 'M"&amp;"atch Names'!$1:$22, 5, FALSE), ""!C3:R29"")), ROW($A$1:$A$24), FALSE)), $AA$9:$AA$31), ""=X"")) + (23 - COUNTIF(IFERROR(ARRAYFORMULA(HLOOKUP($B90, IMPORTRANGE('Match Names'!$F$23, CONCAT(VLOOKUP($C90, 'Match Names'!$1:$22, 6, FALSE), ""!C3:R29"")), ROW($A"&amp;"$1:$A$24), FALSE)), $AA$9:$AA$31), ""=X"")) + (23 - COUNTIF(IFERROR(ARRAYFORMULA(HLOOKUP($B90, IMPORTRANGE('Match Names'!$G$23, CONCAT(VLOOKUP($C90, 'Match Names'!$1:$22, 7, FALSE), ""!C3:R29"")), ROW($A$1:$A$24), FALSE)), $AA$9:$AA$31), ""=X"")) + (23 - "&amp;"COUNTIF(IFERROR(ARRAYFORMULA(HLOOKUP($B90, IMPORTRANGE('Match Names'!$H$23, CONCAT(VLOOKUP($C90, 'Match Names'!$1:$22, 8, FALSE), ""!C3:R29"")), ROW($A$1:$A$24), FALSE)), $AA$9:$AA$31), ""=X""))"),69.0)</f>
        <v>69</v>
      </c>
      <c r="E90" s="4">
        <f>IFERROR(__xludf.DUMMYFUNCTION("COUNTIF(ARRAYFORMULA(HLOOKUP($B90, IMPORTRANGE('Prelim Rankings Unsorted'!$B$40, CONCAT(VLOOKUP($C90, 'Match Names'!$A$1:$D$22, 2, FALSE), ""!C3:R29"")), ROW($A$1:$A$24), FALSE)), ""=4"") + COUNTIF(ARRAYFORMULA(HLOOKUP($B90, IMPORTRANGE('Prelim Rankings U"&amp;"nsorted'!$B$41, CONCAT(VLOOKUP($C90, 'Match Names'!$A$1:$D$22, 3, FALSE), ""!C3:R29"")), ROW($A$1:$A$24), FALSE)), ""=4"") + COUNTIF(ARRAYFORMULA(HLOOKUP($B90, IMPORTRANGE('Prelim Rankings Unsorted'!$B$42, CONCAT(VLOOKUP($C90, 'Match Names'!$A$1:$D$22, 4,"&amp;" FALSE), ""!C3:R29"")), ROW($A$1:$A$24), FALSE)), ""=4"") + COUNTIF(ARRAYFORMULA(HLOOKUP($B90, IMPORTRANGE('Match Names'!$E$23, CONCAT(VLOOKUP($C90, 'Match Names'!$1:$22, 5, FALSE), ""!C3:R29"")), ROW($A$1:$A$24), FALSE)), ""=4"") + COUNTIF(ARRAYFORMULA(H"&amp;"LOOKUP($B90, IMPORTRANGE('Match Names'!$F$23, CONCAT(VLOOKUP($C90, 'Match Names'!$1:$22, 6, FALSE), ""!C3:R29"")), ROW($A$1:$A$24), FALSE)), ""=4"") + COUNTIF(ARRAYFORMULA(HLOOKUP($B90, IMPORTRANGE('Match Names'!$G$23, CONCAT(VLOOKUP($C90, 'Match Names'!$"&amp;"1:$22, 7, FALSE), ""!C3:R29"")), ROW($A$1:$A$24), FALSE)), ""=4"") + COUNTIF(ARRAYFORMULA(HLOOKUP($B90, IMPORTRANGE('Match Names'!$H$23, CONCAT(VLOOKUP($C90, 'Match Names'!$1:$22, 8, FALSE), ""!C3:R29"")), ROW($A$1:$A$24), FALSE)), ""=4"")"),0.0)</f>
        <v>0</v>
      </c>
      <c r="F90" s="4">
        <f>IFERROR(__xludf.DUMMYFUNCTION("COUNTIF(ARRAYFORMULA(HLOOKUP($B90, IMPORTRANGE('Prelim Rankings Unsorted'!$B$40, CONCAT(VLOOKUP($C90, 'Match Names'!$A$1:$D$22, 2, FALSE), ""!C3:R29"")), ROW($A$1:$A$24), FALSE)), ""=0"") + COUNTIF(ARRAYFORMULA(HLOOKUP($B90, IMPORTRANGE('Prelim Rankings U"&amp;"nsorted'!$B$41, CONCAT(VLOOKUP($C90, 'Match Names'!$A$1:$D$22, 3, FALSE), ""!C3:R29"")), ROW($A$1:$A$24), FALSE)), ""=0"") + COUNTIF(ARRAYFORMULA(HLOOKUP($B90, IMPORTRANGE('Prelim Rankings Unsorted'!$B$42, CONCAT(VLOOKUP($C90, 'Match Names'!$A$1:$D$22, 4,"&amp;" FALSE), ""!C3:R29"")), ROW($A$1:$A$24), FALSE)), ""=0"") + COUNTIF(ARRAYFORMULA(HLOOKUP($B90, IMPORTRANGE('Match Names'!$E$23, CONCAT(VLOOKUP($C90, 'Match Names'!$1:$22, 5, FALSE), ""!C3:R29"")), ROW($A$1:$A$24), FALSE)), ""=0"") + COUNTIF(ARRAYFORMULA(H"&amp;"LOOKUP($B90, IMPORTRANGE('Match Names'!$F$23, CONCAT(VLOOKUP($C90, 'Match Names'!$1:$22, 6, FALSE), ""!C3:R29"")), ROW($A$1:$A$24), FALSE)), ""=0"") + COUNTIF(ARRAYFORMULA(HLOOKUP($B90, IMPORTRANGE('Match Names'!$G$23, CONCAT(VLOOKUP($C90, 'Match Names'!$"&amp;"1:$22, 7, FALSE), ""!C3:R29"")), ROW($A$1:$A$24), FALSE)), ""=0"") + COUNTIF(ARRAYFORMULA(HLOOKUP($B90, IMPORTRANGE('Match Names'!$H$23, CONCAT(VLOOKUP($C90, 'Match Names'!$1:$22, 8, FALSE), ""!C3:R29"")), ROW($A$1:$A$24), FALSE)), ""=0"")"),0.0)</f>
        <v>0</v>
      </c>
      <c r="G90" s="4">
        <f>IFERROR(__xludf.DUMMYFUNCTION("COUNTIF(ARRAYFORMULA(HLOOKUP($B90, IMPORTRANGE('Prelim Rankings Unsorted'!$B$40, CONCAT(VLOOKUP($C90, 'Match Names'!$A$1:$D$22, 2, FALSE), ""!C3:R29"")), ROW($A$1:$A$24), FALSE)), ""=-4"") + COUNTIF(ARRAYFORMULA(HLOOKUP($B90, IMPORTRANGE('Prelim Rankings "&amp;"Unsorted'!$B$41, CONCAT(VLOOKUP($C90, 'Match Names'!$A$1:$D$22, 3, FALSE), ""!C3:R29"")), ROW($A$1:$A$24), FALSE)), ""=-4"") + COUNTIF(ARRAYFORMULA(HLOOKUP($B90, IMPORTRANGE('Prelim Rankings Unsorted'!$B$42, CONCAT(VLOOKUP($C90, 'Match Names'!$A$1:$D$22, "&amp;"4, FALSE), ""!C3:R29"")), ROW($A$1:$A$24), FALSE)), ""=-4"") + COUNTIF(ARRAYFORMULA(HLOOKUP($B90, IMPORTRANGE('Match Names'!$E$23, CONCAT(VLOOKUP($C90, 'Match Names'!$1:$22, 5, FALSE), ""!C3:R29"")), ROW($A$1:$A$24), FALSE)), ""=-4"") + COUNTIF(ARRAYFORMU"&amp;"LA(HLOOKUP($B90, IMPORTRANGE('Match Names'!$F$23, CONCAT(VLOOKUP($C90, 'Match Names'!$1:$22, 6, FALSE), ""!C3:R29"")), ROW($A$1:$A$24), FALSE)), ""=-4"") + COUNTIF(ARRAYFORMULA(HLOOKUP($B90, IMPORTRANGE('Match Names'!$G$23, CONCAT(VLOOKUP($C90, 'Match Nam"&amp;"es'!$1:$22, 7, FALSE), ""!C3:R29"")), ROW($A$1:$A$24), FALSE)), ""=-4"") + COUNTIF(ARRAYFORMULA(HLOOKUP($B90, IMPORTRANGE('Match Names'!$H$23, CONCAT(VLOOKUP($C90, 'Match Names'!$1:$22, 8, FALSE), ""!C3:R29"")), ROW($A$1:$A$24), FALSE)), ""=-4"")"),0.0)</f>
        <v>0</v>
      </c>
      <c r="H90" s="4">
        <f t="shared" si="1"/>
        <v>0</v>
      </c>
    </row>
    <row r="91">
      <c r="A91" s="21" t="s">
        <v>70</v>
      </c>
      <c r="B91" s="7" t="str">
        <f>VLOOKUP(CONCAT(A91, C91), 'Discord Username to Real Name'!C:D, 2, FALSE)</f>
        <v>aloevera42#2760</v>
      </c>
      <c r="C91" s="21" t="s">
        <v>28</v>
      </c>
      <c r="D91" s="11">
        <f>IFERROR(__xludf.DUMMYFUNCTION("(23 - COUNTIF(IFERROR(ARRAYFORMULA(HLOOKUP($B91, IMPORTRANGE('Prelim Rankings Unsorted'!$B$40, CONCAT(VLOOKUP($C91, 'Match Names'!$A$1:$D$22, 2, FALSE), ""!C3:R29"")), ROW($A$1:$A$24), FALSE)), $AA$9:$AA$31), ""=X"")) + (23 - COUNTIF(IFERROR(ARRAYFORMULA("&amp;"HLOOKUP($B91, IMPORTRANGE('Prelim Rankings Unsorted'!$B$41, CONCAT(VLOOKUP($C91, 'Match Names'!$A$1:$D$22, 3, FALSE), ""!C3:R29"")), ROW($A$1:$A$24), FALSE)), $AA$9:$AA$31), ""=X"")) + (23 - COUNTIF(IFERROR(ARRAYFORMULA(HLOOKUP($B91, IMPORTRANGE('Prelim R"&amp;"ankings Unsorted'!$B$42, CONCAT(VLOOKUP($C91, 'Match Names'!$A$1:$D$22, 4, FALSE), ""!C3:R29"")), ROW($A$1:$A$24), FALSE)), $AA$9:$AA$31), ""=X"")) + (23 - COUNTIF(IFERROR(ARRAYFORMULA(HLOOKUP($B91, IMPORTRANGE('Match Names'!$E$23, CONCAT(VLOOKUP($C91, 'M"&amp;"atch Names'!$1:$22, 5, FALSE), ""!C3:R29"")), ROW($A$1:$A$24), FALSE)), $AA$9:$AA$31), ""=X"")) + (23 - COUNTIF(IFERROR(ARRAYFORMULA(HLOOKUP($B91, IMPORTRANGE('Match Names'!$F$23, CONCAT(VLOOKUP($C91, 'Match Names'!$1:$22, 6, FALSE), ""!C3:R29"")), ROW($A"&amp;"$1:$A$24), FALSE)), $AA$9:$AA$31), ""=X"")) + (23 - COUNTIF(IFERROR(ARRAYFORMULA(HLOOKUP($B91, IMPORTRANGE('Match Names'!$G$23, CONCAT(VLOOKUP($C91, 'Match Names'!$1:$22, 7, FALSE), ""!C3:R29"")), ROW($A$1:$A$24), FALSE)), $AA$9:$AA$31), ""=X"")) + (23 - "&amp;"COUNTIF(IFERROR(ARRAYFORMULA(HLOOKUP($B91, IMPORTRANGE('Match Names'!$H$23, CONCAT(VLOOKUP($C91, 'Match Names'!$1:$22, 8, FALSE), ""!C3:R29"")), ROW($A$1:$A$24), FALSE)), $AA$9:$AA$31), ""=X""))"),92.0)</f>
        <v>92</v>
      </c>
      <c r="E91" s="4">
        <f>IFERROR(__xludf.DUMMYFUNCTION("COUNTIF(ARRAYFORMULA(HLOOKUP($B91, IMPORTRANGE('Prelim Rankings Unsorted'!$B$40, CONCAT(VLOOKUP($C91, 'Match Names'!$A$1:$D$22, 2, FALSE), ""!C3:R29"")), ROW($A$1:$A$24), FALSE)), ""=4"") + COUNTIF(ARRAYFORMULA(HLOOKUP($B91, IMPORTRANGE('Prelim Rankings U"&amp;"nsorted'!$B$41, CONCAT(VLOOKUP($C91, 'Match Names'!$A$1:$D$22, 3, FALSE), ""!C3:R29"")), ROW($A$1:$A$24), FALSE)), ""=4"") + COUNTIF(ARRAYFORMULA(HLOOKUP($B91, IMPORTRANGE('Prelim Rankings Unsorted'!$B$42, CONCAT(VLOOKUP($C91, 'Match Names'!$A$1:$D$22, 4,"&amp;" FALSE), ""!C3:R29"")), ROW($A$1:$A$24), FALSE)), ""=4"") + COUNTIF(ARRAYFORMULA(HLOOKUP($B91, IMPORTRANGE('Match Names'!$E$23, CONCAT(VLOOKUP($C91, 'Match Names'!$1:$22, 5, FALSE), ""!C3:R29"")), ROW($A$1:$A$24), FALSE)), ""=4"") + COUNTIF(ARRAYFORMULA(H"&amp;"LOOKUP($B91, IMPORTRANGE('Match Names'!$F$23, CONCAT(VLOOKUP($C91, 'Match Names'!$1:$22, 6, FALSE), ""!C3:R29"")), ROW($A$1:$A$24), FALSE)), ""=4"") + COUNTIF(ARRAYFORMULA(HLOOKUP($B91, IMPORTRANGE('Match Names'!$G$23, CONCAT(VLOOKUP($C91, 'Match Names'!$"&amp;"1:$22, 7, FALSE), ""!C3:R29"")), ROW($A$1:$A$24), FALSE)), ""=4"") + COUNTIF(ARRAYFORMULA(HLOOKUP($B91, IMPORTRANGE('Match Names'!$H$23, CONCAT(VLOOKUP($C91, 'Match Names'!$1:$22, 8, FALSE), ""!C3:R29"")), ROW($A$1:$A$24), FALSE)), ""=4"")"),13.0)</f>
        <v>13</v>
      </c>
      <c r="F91" s="4">
        <f>IFERROR(__xludf.DUMMYFUNCTION("COUNTIF(ARRAYFORMULA(HLOOKUP($B91, IMPORTRANGE('Prelim Rankings Unsorted'!$B$40, CONCAT(VLOOKUP($C91, 'Match Names'!$A$1:$D$22, 2, FALSE), ""!C3:R29"")), ROW($A$1:$A$24), FALSE)), ""=0"") + COUNTIF(ARRAYFORMULA(HLOOKUP($B91, IMPORTRANGE('Prelim Rankings U"&amp;"nsorted'!$B$41, CONCAT(VLOOKUP($C91, 'Match Names'!$A$1:$D$22, 3, FALSE), ""!C3:R29"")), ROW($A$1:$A$24), FALSE)), ""=0"") + COUNTIF(ARRAYFORMULA(HLOOKUP($B91, IMPORTRANGE('Prelim Rankings Unsorted'!$B$42, CONCAT(VLOOKUP($C91, 'Match Names'!$A$1:$D$22, 4,"&amp;" FALSE), ""!C3:R29"")), ROW($A$1:$A$24), FALSE)), ""=0"") + COUNTIF(ARRAYFORMULA(HLOOKUP($B91, IMPORTRANGE('Match Names'!$E$23, CONCAT(VLOOKUP($C91, 'Match Names'!$1:$22, 5, FALSE), ""!C3:R29"")), ROW($A$1:$A$24), FALSE)), ""=0"") + COUNTIF(ARRAYFORMULA(H"&amp;"LOOKUP($B91, IMPORTRANGE('Match Names'!$F$23, CONCAT(VLOOKUP($C91, 'Match Names'!$1:$22, 6, FALSE), ""!C3:R29"")), ROW($A$1:$A$24), FALSE)), ""=0"") + COUNTIF(ARRAYFORMULA(HLOOKUP($B91, IMPORTRANGE('Match Names'!$G$23, CONCAT(VLOOKUP($C91, 'Match Names'!$"&amp;"1:$22, 7, FALSE), ""!C3:R29"")), ROW($A$1:$A$24), FALSE)), ""=0"") + COUNTIF(ARRAYFORMULA(HLOOKUP($B91, IMPORTRANGE('Match Names'!$H$23, CONCAT(VLOOKUP($C91, 'Match Names'!$1:$22, 8, FALSE), ""!C3:R29"")), ROW($A$1:$A$24), FALSE)), ""=0"")"),9.0)</f>
        <v>9</v>
      </c>
      <c r="G91" s="4">
        <f>IFERROR(__xludf.DUMMYFUNCTION("COUNTIF(ARRAYFORMULA(HLOOKUP($B91, IMPORTRANGE('Prelim Rankings Unsorted'!$B$40, CONCAT(VLOOKUP($C91, 'Match Names'!$A$1:$D$22, 2, FALSE), ""!C3:R29"")), ROW($A$1:$A$24), FALSE)), ""=-4"") + COUNTIF(ARRAYFORMULA(HLOOKUP($B91, IMPORTRANGE('Prelim Rankings "&amp;"Unsorted'!$B$41, CONCAT(VLOOKUP($C91, 'Match Names'!$A$1:$D$22, 3, FALSE), ""!C3:R29"")), ROW($A$1:$A$24), FALSE)), ""=-4"") + COUNTIF(ARRAYFORMULA(HLOOKUP($B91, IMPORTRANGE('Prelim Rankings Unsorted'!$B$42, CONCAT(VLOOKUP($C91, 'Match Names'!$A$1:$D$22, "&amp;"4, FALSE), ""!C3:R29"")), ROW($A$1:$A$24), FALSE)), ""=-4"") + COUNTIF(ARRAYFORMULA(HLOOKUP($B91, IMPORTRANGE('Match Names'!$E$23, CONCAT(VLOOKUP($C91, 'Match Names'!$1:$22, 5, FALSE), ""!C3:R29"")), ROW($A$1:$A$24), FALSE)), ""=-4"") + COUNTIF(ARRAYFORMU"&amp;"LA(HLOOKUP($B91, IMPORTRANGE('Match Names'!$F$23, CONCAT(VLOOKUP($C91, 'Match Names'!$1:$22, 6, FALSE), ""!C3:R29"")), ROW($A$1:$A$24), FALSE)), ""=-4"") + COUNTIF(ARRAYFORMULA(HLOOKUP($B91, IMPORTRANGE('Match Names'!$G$23, CONCAT(VLOOKUP($C91, 'Match Nam"&amp;"es'!$1:$22, 7, FALSE), ""!C3:R29"")), ROW($A$1:$A$24), FALSE)), ""=-4"") + COUNTIF(ARRAYFORMULA(HLOOKUP($B91, IMPORTRANGE('Match Names'!$H$23, CONCAT(VLOOKUP($C91, 'Match Names'!$1:$22, 8, FALSE), ""!C3:R29"")), ROW($A$1:$A$24), FALSE)), ""=-4"")"),1.0)</f>
        <v>1</v>
      </c>
      <c r="H91" s="4">
        <f t="shared" si="1"/>
        <v>12</v>
      </c>
    </row>
    <row r="92">
      <c r="A92" s="21" t="s">
        <v>69</v>
      </c>
      <c r="B92" s="7" t="str">
        <f>VLOOKUP(CONCAT(A92, C92), 'Discord Username to Real Name'!C:D, 2, FALSE)</f>
        <v>Cows#0460</v>
      </c>
      <c r="C92" s="21" t="s">
        <v>28</v>
      </c>
      <c r="D92" s="11">
        <f>IFERROR(__xludf.DUMMYFUNCTION("(23 - COUNTIF(IFERROR(ARRAYFORMULA(HLOOKUP($B92, IMPORTRANGE('Prelim Rankings Unsorted'!$B$40, CONCAT(VLOOKUP($C92, 'Match Names'!$A$1:$D$22, 2, FALSE), ""!C3:R29"")), ROW($A$1:$A$24), FALSE)), $AA$9:$AA$31), ""=X"")) + (23 - COUNTIF(IFERROR(ARRAYFORMULA("&amp;"HLOOKUP($B92, IMPORTRANGE('Prelim Rankings Unsorted'!$B$41, CONCAT(VLOOKUP($C92, 'Match Names'!$A$1:$D$22, 3, FALSE), ""!C3:R29"")), ROW($A$1:$A$24), FALSE)), $AA$9:$AA$31), ""=X"")) + (23 - COUNTIF(IFERROR(ARRAYFORMULA(HLOOKUP($B92, IMPORTRANGE('Prelim R"&amp;"ankings Unsorted'!$B$42, CONCAT(VLOOKUP($C92, 'Match Names'!$A$1:$D$22, 4, FALSE), ""!C3:R29"")), ROW($A$1:$A$24), FALSE)), $AA$9:$AA$31), ""=X"")) + (23 - COUNTIF(IFERROR(ARRAYFORMULA(HLOOKUP($B92, IMPORTRANGE('Match Names'!$E$23, CONCAT(VLOOKUP($C92, 'M"&amp;"atch Names'!$1:$22, 5, FALSE), ""!C3:R29"")), ROW($A$1:$A$24), FALSE)), $AA$9:$AA$31), ""=X"")) + (23 - COUNTIF(IFERROR(ARRAYFORMULA(HLOOKUP($B92, IMPORTRANGE('Match Names'!$F$23, CONCAT(VLOOKUP($C92, 'Match Names'!$1:$22, 6, FALSE), ""!C3:R29"")), ROW($A"&amp;"$1:$A$24), FALSE)), $AA$9:$AA$31), ""=X"")) + (23 - COUNTIF(IFERROR(ARRAYFORMULA(HLOOKUP($B92, IMPORTRANGE('Match Names'!$G$23, CONCAT(VLOOKUP($C92, 'Match Names'!$1:$22, 7, FALSE), ""!C3:R29"")), ROW($A$1:$A$24), FALSE)), $AA$9:$AA$31), ""=X"")) + (23 - "&amp;"COUNTIF(IFERROR(ARRAYFORMULA(HLOOKUP($B92, IMPORTRANGE('Match Names'!$H$23, CONCAT(VLOOKUP($C92, 'Match Names'!$1:$22, 8, FALSE), ""!C3:R29"")), ROW($A$1:$A$24), FALSE)), $AA$9:$AA$31), ""=X""))"),92.0)</f>
        <v>92</v>
      </c>
      <c r="E92" s="4">
        <f>IFERROR(__xludf.DUMMYFUNCTION("COUNTIF(ARRAYFORMULA(HLOOKUP($B92, IMPORTRANGE('Prelim Rankings Unsorted'!$B$40, CONCAT(VLOOKUP($C92, 'Match Names'!$A$1:$D$22, 2, FALSE), ""!C3:R29"")), ROW($A$1:$A$24), FALSE)), ""=4"") + COUNTIF(ARRAYFORMULA(HLOOKUP($B92, IMPORTRANGE('Prelim Rankings U"&amp;"nsorted'!$B$41, CONCAT(VLOOKUP($C92, 'Match Names'!$A$1:$D$22, 3, FALSE), ""!C3:R29"")), ROW($A$1:$A$24), FALSE)), ""=4"") + COUNTIF(ARRAYFORMULA(HLOOKUP($B92, IMPORTRANGE('Prelim Rankings Unsorted'!$B$42, CONCAT(VLOOKUP($C92, 'Match Names'!$A$1:$D$22, 4,"&amp;" FALSE), ""!C3:R29"")), ROW($A$1:$A$24), FALSE)), ""=4"") + COUNTIF(ARRAYFORMULA(HLOOKUP($B92, IMPORTRANGE('Match Names'!$E$23, CONCAT(VLOOKUP($C92, 'Match Names'!$1:$22, 5, FALSE), ""!C3:R29"")), ROW($A$1:$A$24), FALSE)), ""=4"") + COUNTIF(ARRAYFORMULA(H"&amp;"LOOKUP($B92, IMPORTRANGE('Match Names'!$F$23, CONCAT(VLOOKUP($C92, 'Match Names'!$1:$22, 6, FALSE), ""!C3:R29"")), ROW($A$1:$A$24), FALSE)), ""=4"") + COUNTIF(ARRAYFORMULA(HLOOKUP($B92, IMPORTRANGE('Match Names'!$G$23, CONCAT(VLOOKUP($C92, 'Match Names'!$"&amp;"1:$22, 7, FALSE), ""!C3:R29"")), ROW($A$1:$A$24), FALSE)), ""=4"") + COUNTIF(ARRAYFORMULA(HLOOKUP($B92, IMPORTRANGE('Match Names'!$H$23, CONCAT(VLOOKUP($C92, 'Match Names'!$1:$22, 8, FALSE), ""!C3:R29"")), ROW($A$1:$A$24), FALSE)), ""=4"")"),13.0)</f>
        <v>13</v>
      </c>
      <c r="F92" s="4">
        <f>IFERROR(__xludf.DUMMYFUNCTION("COUNTIF(ARRAYFORMULA(HLOOKUP($B92, IMPORTRANGE('Prelim Rankings Unsorted'!$B$40, CONCAT(VLOOKUP($C92, 'Match Names'!$A$1:$D$22, 2, FALSE), ""!C3:R29"")), ROW($A$1:$A$24), FALSE)), ""=0"") + COUNTIF(ARRAYFORMULA(HLOOKUP($B92, IMPORTRANGE('Prelim Rankings U"&amp;"nsorted'!$B$41, CONCAT(VLOOKUP($C92, 'Match Names'!$A$1:$D$22, 3, FALSE), ""!C3:R29"")), ROW($A$1:$A$24), FALSE)), ""=0"") + COUNTIF(ARRAYFORMULA(HLOOKUP($B92, IMPORTRANGE('Prelim Rankings Unsorted'!$B$42, CONCAT(VLOOKUP($C92, 'Match Names'!$A$1:$D$22, 4,"&amp;" FALSE), ""!C3:R29"")), ROW($A$1:$A$24), FALSE)), ""=0"") + COUNTIF(ARRAYFORMULA(HLOOKUP($B92, IMPORTRANGE('Match Names'!$E$23, CONCAT(VLOOKUP($C92, 'Match Names'!$1:$22, 5, FALSE), ""!C3:R29"")), ROW($A$1:$A$24), FALSE)), ""=0"") + COUNTIF(ARRAYFORMULA(H"&amp;"LOOKUP($B92, IMPORTRANGE('Match Names'!$F$23, CONCAT(VLOOKUP($C92, 'Match Names'!$1:$22, 6, FALSE), ""!C3:R29"")), ROW($A$1:$A$24), FALSE)), ""=0"") + COUNTIF(ARRAYFORMULA(HLOOKUP($B92, IMPORTRANGE('Match Names'!$G$23, CONCAT(VLOOKUP($C92, 'Match Names'!$"&amp;"1:$22, 7, FALSE), ""!C3:R29"")), ROW($A$1:$A$24), FALSE)), ""=0"") + COUNTIF(ARRAYFORMULA(HLOOKUP($B92, IMPORTRANGE('Match Names'!$H$23, CONCAT(VLOOKUP($C92, 'Match Names'!$1:$22, 8, FALSE), ""!C3:R29"")), ROW($A$1:$A$24), FALSE)), ""=0"")"),6.0)</f>
        <v>6</v>
      </c>
      <c r="G92" s="4">
        <f>IFERROR(__xludf.DUMMYFUNCTION("COUNTIF(ARRAYFORMULA(HLOOKUP($B92, IMPORTRANGE('Prelim Rankings Unsorted'!$B$40, CONCAT(VLOOKUP($C92, 'Match Names'!$A$1:$D$22, 2, FALSE), ""!C3:R29"")), ROW($A$1:$A$24), FALSE)), ""=-4"") + COUNTIF(ARRAYFORMULA(HLOOKUP($B92, IMPORTRANGE('Prelim Rankings "&amp;"Unsorted'!$B$41, CONCAT(VLOOKUP($C92, 'Match Names'!$A$1:$D$22, 3, FALSE), ""!C3:R29"")), ROW($A$1:$A$24), FALSE)), ""=-4"") + COUNTIF(ARRAYFORMULA(HLOOKUP($B92, IMPORTRANGE('Prelim Rankings Unsorted'!$B$42, CONCAT(VLOOKUP($C92, 'Match Names'!$A$1:$D$22, "&amp;"4, FALSE), ""!C3:R29"")), ROW($A$1:$A$24), FALSE)), ""=-4"") + COUNTIF(ARRAYFORMULA(HLOOKUP($B92, IMPORTRANGE('Match Names'!$E$23, CONCAT(VLOOKUP($C92, 'Match Names'!$1:$22, 5, FALSE), ""!C3:R29"")), ROW($A$1:$A$24), FALSE)), ""=-4"") + COUNTIF(ARRAYFORMU"&amp;"LA(HLOOKUP($B92, IMPORTRANGE('Match Names'!$F$23, CONCAT(VLOOKUP($C92, 'Match Names'!$1:$22, 6, FALSE), ""!C3:R29"")), ROW($A$1:$A$24), FALSE)), ""=-4"") + COUNTIF(ARRAYFORMULA(HLOOKUP($B92, IMPORTRANGE('Match Names'!$G$23, CONCAT(VLOOKUP($C92, 'Match Nam"&amp;"es'!$1:$22, 7, FALSE), ""!C3:R29"")), ROW($A$1:$A$24), FALSE)), ""=-4"") + COUNTIF(ARRAYFORMULA(HLOOKUP($B92, IMPORTRANGE('Match Names'!$H$23, CONCAT(VLOOKUP($C92, 'Match Names'!$1:$22, 8, FALSE), ""!C3:R29"")), ROW($A$1:$A$24), FALSE)), ""=-4"")"),4.0)</f>
        <v>4</v>
      </c>
      <c r="H92" s="4">
        <f t="shared" si="1"/>
        <v>9</v>
      </c>
    </row>
    <row r="93">
      <c r="A93" s="21" t="s">
        <v>176</v>
      </c>
      <c r="B93" s="7" t="str">
        <f>VLOOKUP(CONCAT(A93, C93), 'Discord Username to Real Name'!C:D, 2, FALSE)</f>
        <v>aryc702#7517</v>
      </c>
      <c r="C93" s="21" t="s">
        <v>28</v>
      </c>
      <c r="D93" s="11">
        <f>IFERROR(__xludf.DUMMYFUNCTION("(23 - COUNTIF(IFERROR(ARRAYFORMULA(HLOOKUP($B93, IMPORTRANGE('Prelim Rankings Unsorted'!$B$40, CONCAT(VLOOKUP($C93, 'Match Names'!$A$1:$D$22, 2, FALSE), ""!C3:R29"")), ROW($A$1:$A$24), FALSE)), $AA$9:$AA$31), ""=X"")) + (23 - COUNTIF(IFERROR(ARRAYFORMULA("&amp;"HLOOKUP($B93, IMPORTRANGE('Prelim Rankings Unsorted'!$B$41, CONCAT(VLOOKUP($C93, 'Match Names'!$A$1:$D$22, 3, FALSE), ""!C3:R29"")), ROW($A$1:$A$24), FALSE)), $AA$9:$AA$31), ""=X"")) + (23 - COUNTIF(IFERROR(ARRAYFORMULA(HLOOKUP($B93, IMPORTRANGE('Prelim R"&amp;"ankings Unsorted'!$B$42, CONCAT(VLOOKUP($C93, 'Match Names'!$A$1:$D$22, 4, FALSE), ""!C3:R29"")), ROW($A$1:$A$24), FALSE)), $AA$9:$AA$31), ""=X"")) + (23 - COUNTIF(IFERROR(ARRAYFORMULA(HLOOKUP($B93, IMPORTRANGE('Match Names'!$E$23, CONCAT(VLOOKUP($C93, 'M"&amp;"atch Names'!$1:$22, 5, FALSE), ""!C3:R29"")), ROW($A$1:$A$24), FALSE)), $AA$9:$AA$31), ""=X"")) + (23 - COUNTIF(IFERROR(ARRAYFORMULA(HLOOKUP($B93, IMPORTRANGE('Match Names'!$F$23, CONCAT(VLOOKUP($C93, 'Match Names'!$1:$22, 6, FALSE), ""!C3:R29"")), ROW($A"&amp;"$1:$A$24), FALSE)), $AA$9:$AA$31), ""=X"")) + (23 - COUNTIF(IFERROR(ARRAYFORMULA(HLOOKUP($B93, IMPORTRANGE('Match Names'!$G$23, CONCAT(VLOOKUP($C93, 'Match Names'!$1:$22, 7, FALSE), ""!C3:R29"")), ROW($A$1:$A$24), FALSE)), $AA$9:$AA$31), ""=X"")) + (23 - "&amp;"COUNTIF(IFERROR(ARRAYFORMULA(HLOOKUP($B93, IMPORTRANGE('Match Names'!$H$23, CONCAT(VLOOKUP($C93, 'Match Names'!$1:$22, 8, FALSE), ""!C3:R29"")), ROW($A$1:$A$24), FALSE)), $AA$9:$AA$31), ""=X""))"),69.0)</f>
        <v>69</v>
      </c>
      <c r="E93" s="4">
        <f>IFERROR(__xludf.DUMMYFUNCTION("COUNTIF(ARRAYFORMULA(HLOOKUP($B93, IMPORTRANGE('Prelim Rankings Unsorted'!$B$40, CONCAT(VLOOKUP($C93, 'Match Names'!$A$1:$D$22, 2, FALSE), ""!C3:R29"")), ROW($A$1:$A$24), FALSE)), ""=4"") + COUNTIF(ARRAYFORMULA(HLOOKUP($B93, IMPORTRANGE('Prelim Rankings U"&amp;"nsorted'!$B$41, CONCAT(VLOOKUP($C93, 'Match Names'!$A$1:$D$22, 3, FALSE), ""!C3:R29"")), ROW($A$1:$A$24), FALSE)), ""=4"") + COUNTIF(ARRAYFORMULA(HLOOKUP($B93, IMPORTRANGE('Prelim Rankings Unsorted'!$B$42, CONCAT(VLOOKUP($C93, 'Match Names'!$A$1:$D$22, 4,"&amp;" FALSE), ""!C3:R29"")), ROW($A$1:$A$24), FALSE)), ""=4"") + COUNTIF(ARRAYFORMULA(HLOOKUP($B93, IMPORTRANGE('Match Names'!$E$23, CONCAT(VLOOKUP($C93, 'Match Names'!$1:$22, 5, FALSE), ""!C3:R29"")), ROW($A$1:$A$24), FALSE)), ""=4"") + COUNTIF(ARRAYFORMULA(H"&amp;"LOOKUP($B93, IMPORTRANGE('Match Names'!$F$23, CONCAT(VLOOKUP($C93, 'Match Names'!$1:$22, 6, FALSE), ""!C3:R29"")), ROW($A$1:$A$24), FALSE)), ""=4"") + COUNTIF(ARRAYFORMULA(HLOOKUP($B93, IMPORTRANGE('Match Names'!$G$23, CONCAT(VLOOKUP($C93, 'Match Names'!$"&amp;"1:$22, 7, FALSE), ""!C3:R29"")), ROW($A$1:$A$24), FALSE)), ""=4"") + COUNTIF(ARRAYFORMULA(HLOOKUP($B93, IMPORTRANGE('Match Names'!$H$23, CONCAT(VLOOKUP($C93, 'Match Names'!$1:$22, 8, FALSE), ""!C3:R29"")), ROW($A$1:$A$24), FALSE)), ""=4"")"),0.0)</f>
        <v>0</v>
      </c>
      <c r="F93" s="4">
        <f>IFERROR(__xludf.DUMMYFUNCTION("COUNTIF(ARRAYFORMULA(HLOOKUP($B93, IMPORTRANGE('Prelim Rankings Unsorted'!$B$40, CONCAT(VLOOKUP($C93, 'Match Names'!$A$1:$D$22, 2, FALSE), ""!C3:R29"")), ROW($A$1:$A$24), FALSE)), ""=0"") + COUNTIF(ARRAYFORMULA(HLOOKUP($B93, IMPORTRANGE('Prelim Rankings U"&amp;"nsorted'!$B$41, CONCAT(VLOOKUP($C93, 'Match Names'!$A$1:$D$22, 3, FALSE), ""!C3:R29"")), ROW($A$1:$A$24), FALSE)), ""=0"") + COUNTIF(ARRAYFORMULA(HLOOKUP($B93, IMPORTRANGE('Prelim Rankings Unsorted'!$B$42, CONCAT(VLOOKUP($C93, 'Match Names'!$A$1:$D$22, 4,"&amp;" FALSE), ""!C3:R29"")), ROW($A$1:$A$24), FALSE)), ""=0"") + COUNTIF(ARRAYFORMULA(HLOOKUP($B93, IMPORTRANGE('Match Names'!$E$23, CONCAT(VLOOKUP($C93, 'Match Names'!$1:$22, 5, FALSE), ""!C3:R29"")), ROW($A$1:$A$24), FALSE)), ""=0"") + COUNTIF(ARRAYFORMULA(H"&amp;"LOOKUP($B93, IMPORTRANGE('Match Names'!$F$23, CONCAT(VLOOKUP($C93, 'Match Names'!$1:$22, 6, FALSE), ""!C3:R29"")), ROW($A$1:$A$24), FALSE)), ""=0"") + COUNTIF(ARRAYFORMULA(HLOOKUP($B93, IMPORTRANGE('Match Names'!$G$23, CONCAT(VLOOKUP($C93, 'Match Names'!$"&amp;"1:$22, 7, FALSE), ""!C3:R29"")), ROW($A$1:$A$24), FALSE)), ""=0"") + COUNTIF(ARRAYFORMULA(HLOOKUP($B93, IMPORTRANGE('Match Names'!$H$23, CONCAT(VLOOKUP($C93, 'Match Names'!$1:$22, 8, FALSE), ""!C3:R29"")), ROW($A$1:$A$24), FALSE)), ""=0"")"),0.0)</f>
        <v>0</v>
      </c>
      <c r="G93" s="4">
        <f>IFERROR(__xludf.DUMMYFUNCTION("COUNTIF(ARRAYFORMULA(HLOOKUP($B93, IMPORTRANGE('Prelim Rankings Unsorted'!$B$40, CONCAT(VLOOKUP($C93, 'Match Names'!$A$1:$D$22, 2, FALSE), ""!C3:R29"")), ROW($A$1:$A$24), FALSE)), ""=-4"") + COUNTIF(ARRAYFORMULA(HLOOKUP($B93, IMPORTRANGE('Prelim Rankings "&amp;"Unsorted'!$B$41, CONCAT(VLOOKUP($C93, 'Match Names'!$A$1:$D$22, 3, FALSE), ""!C3:R29"")), ROW($A$1:$A$24), FALSE)), ""=-4"") + COUNTIF(ARRAYFORMULA(HLOOKUP($B93, IMPORTRANGE('Prelim Rankings Unsorted'!$B$42, CONCAT(VLOOKUP($C93, 'Match Names'!$A$1:$D$22, "&amp;"4, FALSE), ""!C3:R29"")), ROW($A$1:$A$24), FALSE)), ""=-4"") + COUNTIF(ARRAYFORMULA(HLOOKUP($B93, IMPORTRANGE('Match Names'!$E$23, CONCAT(VLOOKUP($C93, 'Match Names'!$1:$22, 5, FALSE), ""!C3:R29"")), ROW($A$1:$A$24), FALSE)), ""=-4"") + COUNTIF(ARRAYFORMU"&amp;"LA(HLOOKUP($B93, IMPORTRANGE('Match Names'!$F$23, CONCAT(VLOOKUP($C93, 'Match Names'!$1:$22, 6, FALSE), ""!C3:R29"")), ROW($A$1:$A$24), FALSE)), ""=-4"") + COUNTIF(ARRAYFORMULA(HLOOKUP($B93, IMPORTRANGE('Match Names'!$G$23, CONCAT(VLOOKUP($C93, 'Match Nam"&amp;"es'!$1:$22, 7, FALSE), ""!C3:R29"")), ROW($A$1:$A$24), FALSE)), ""=-4"") + COUNTIF(ARRAYFORMULA(HLOOKUP($B93, IMPORTRANGE('Match Names'!$H$23, CONCAT(VLOOKUP($C93, 'Match Names'!$1:$22, 8, FALSE), ""!C3:R29"")), ROW($A$1:$A$24), FALSE)), ""=-4"")"),0.0)</f>
        <v>0</v>
      </c>
      <c r="H93" s="4">
        <f t="shared" si="1"/>
        <v>0</v>
      </c>
    </row>
    <row r="94">
      <c r="A94" s="21" t="s">
        <v>97</v>
      </c>
      <c r="B94" s="7" t="str">
        <f>VLOOKUP(CONCAT(A94, C94), 'Discord Username to Real Name'!C:D, 2, FALSE)</f>
        <v>very_creative_name#1358</v>
      </c>
      <c r="C94" s="21" t="s">
        <v>28</v>
      </c>
      <c r="D94" s="11">
        <f>IFERROR(__xludf.DUMMYFUNCTION("(23 - COUNTIF(IFERROR(ARRAYFORMULA(HLOOKUP($B94, IMPORTRANGE('Prelim Rankings Unsorted'!$B$40, CONCAT(VLOOKUP($C94, 'Match Names'!$A$1:$D$22, 2, FALSE), ""!C3:R29"")), ROW($A$1:$A$24), FALSE)), $AA$9:$AA$31), ""=X"")) + (23 - COUNTIF(IFERROR(ARRAYFORMULA("&amp;"HLOOKUP($B94, IMPORTRANGE('Prelim Rankings Unsorted'!$B$41, CONCAT(VLOOKUP($C94, 'Match Names'!$A$1:$D$22, 3, FALSE), ""!C3:R29"")), ROW($A$1:$A$24), FALSE)), $AA$9:$AA$31), ""=X"")) + (23 - COUNTIF(IFERROR(ARRAYFORMULA(HLOOKUP($B94, IMPORTRANGE('Prelim R"&amp;"ankings Unsorted'!$B$42, CONCAT(VLOOKUP($C94, 'Match Names'!$A$1:$D$22, 4, FALSE), ""!C3:R29"")), ROW($A$1:$A$24), FALSE)), $AA$9:$AA$31), ""=X"")) + (23 - COUNTIF(IFERROR(ARRAYFORMULA(HLOOKUP($B94, IMPORTRANGE('Match Names'!$E$23, CONCAT(VLOOKUP($C94, 'M"&amp;"atch Names'!$1:$22, 5, FALSE), ""!C3:R29"")), ROW($A$1:$A$24), FALSE)), $AA$9:$AA$31), ""=X"")) + (23 - COUNTIF(IFERROR(ARRAYFORMULA(HLOOKUP($B94, IMPORTRANGE('Match Names'!$F$23, CONCAT(VLOOKUP($C94, 'Match Names'!$1:$22, 6, FALSE), ""!C3:R29"")), ROW($A"&amp;"$1:$A$24), FALSE)), $AA$9:$AA$31), ""=X"")) + (23 - COUNTIF(IFERROR(ARRAYFORMULA(HLOOKUP($B94, IMPORTRANGE('Match Names'!$G$23, CONCAT(VLOOKUP($C94, 'Match Names'!$1:$22, 7, FALSE), ""!C3:R29"")), ROW($A$1:$A$24), FALSE)), $AA$9:$AA$31), ""=X"")) + (23 - "&amp;"COUNTIF(IFERROR(ARRAYFORMULA(HLOOKUP($B94, IMPORTRANGE('Match Names'!$H$23, CONCAT(VLOOKUP($C94, 'Match Names'!$1:$22, 8, FALSE), ""!C3:R29"")), ROW($A$1:$A$24), FALSE)), $AA$9:$AA$31), ""=X""))"),46.0)</f>
        <v>46</v>
      </c>
      <c r="E94" s="4">
        <f>IFERROR(__xludf.DUMMYFUNCTION("COUNTIF(ARRAYFORMULA(HLOOKUP($B94, IMPORTRANGE('Prelim Rankings Unsorted'!$B$40, CONCAT(VLOOKUP($C94, 'Match Names'!$A$1:$D$22, 2, FALSE), ""!C3:R29"")), ROW($A$1:$A$24), FALSE)), ""=4"") + COUNTIF(ARRAYFORMULA(HLOOKUP($B94, IMPORTRANGE('Prelim Rankings U"&amp;"nsorted'!$B$41, CONCAT(VLOOKUP($C94, 'Match Names'!$A$1:$D$22, 3, FALSE), ""!C3:R29"")), ROW($A$1:$A$24), FALSE)), ""=4"") + COUNTIF(ARRAYFORMULA(HLOOKUP($B94, IMPORTRANGE('Prelim Rankings Unsorted'!$B$42, CONCAT(VLOOKUP($C94, 'Match Names'!$A$1:$D$22, 4,"&amp;" FALSE), ""!C3:R29"")), ROW($A$1:$A$24), FALSE)), ""=4"") + COUNTIF(ARRAYFORMULA(HLOOKUP($B94, IMPORTRANGE('Match Names'!$E$23, CONCAT(VLOOKUP($C94, 'Match Names'!$1:$22, 5, FALSE), ""!C3:R29"")), ROW($A$1:$A$24), FALSE)), ""=4"") + COUNTIF(ARRAYFORMULA(H"&amp;"LOOKUP($B94, IMPORTRANGE('Match Names'!$F$23, CONCAT(VLOOKUP($C94, 'Match Names'!$1:$22, 6, FALSE), ""!C3:R29"")), ROW($A$1:$A$24), FALSE)), ""=4"") + COUNTIF(ARRAYFORMULA(HLOOKUP($B94, IMPORTRANGE('Match Names'!$G$23, CONCAT(VLOOKUP($C94, 'Match Names'!$"&amp;"1:$22, 7, FALSE), ""!C3:R29"")), ROW($A$1:$A$24), FALSE)), ""=4"") + COUNTIF(ARRAYFORMULA(HLOOKUP($B94, IMPORTRANGE('Match Names'!$H$23, CONCAT(VLOOKUP($C94, 'Match Names'!$1:$22, 8, FALSE), ""!C3:R29"")), ROW($A$1:$A$24), FALSE)), ""=4"")"),3.0)</f>
        <v>3</v>
      </c>
      <c r="F94" s="4">
        <f>IFERROR(__xludf.DUMMYFUNCTION("COUNTIF(ARRAYFORMULA(HLOOKUP($B94, IMPORTRANGE('Prelim Rankings Unsorted'!$B$40, CONCAT(VLOOKUP($C94, 'Match Names'!$A$1:$D$22, 2, FALSE), ""!C3:R29"")), ROW($A$1:$A$24), FALSE)), ""=0"") + COUNTIF(ARRAYFORMULA(HLOOKUP($B94, IMPORTRANGE('Prelim Rankings U"&amp;"nsorted'!$B$41, CONCAT(VLOOKUP($C94, 'Match Names'!$A$1:$D$22, 3, FALSE), ""!C3:R29"")), ROW($A$1:$A$24), FALSE)), ""=0"") + COUNTIF(ARRAYFORMULA(HLOOKUP($B94, IMPORTRANGE('Prelim Rankings Unsorted'!$B$42, CONCAT(VLOOKUP($C94, 'Match Names'!$A$1:$D$22, 4,"&amp;" FALSE), ""!C3:R29"")), ROW($A$1:$A$24), FALSE)), ""=0"") + COUNTIF(ARRAYFORMULA(HLOOKUP($B94, IMPORTRANGE('Match Names'!$E$23, CONCAT(VLOOKUP($C94, 'Match Names'!$1:$22, 5, FALSE), ""!C3:R29"")), ROW($A$1:$A$24), FALSE)), ""=0"") + COUNTIF(ARRAYFORMULA(H"&amp;"LOOKUP($B94, IMPORTRANGE('Match Names'!$F$23, CONCAT(VLOOKUP($C94, 'Match Names'!$1:$22, 6, FALSE), ""!C3:R29"")), ROW($A$1:$A$24), FALSE)), ""=0"") + COUNTIF(ARRAYFORMULA(HLOOKUP($B94, IMPORTRANGE('Match Names'!$G$23, CONCAT(VLOOKUP($C94, 'Match Names'!$"&amp;"1:$22, 7, FALSE), ""!C3:R29"")), ROW($A$1:$A$24), FALSE)), ""=0"") + COUNTIF(ARRAYFORMULA(HLOOKUP($B94, IMPORTRANGE('Match Names'!$H$23, CONCAT(VLOOKUP($C94, 'Match Names'!$1:$22, 8, FALSE), ""!C3:R29"")), ROW($A$1:$A$24), FALSE)), ""=0"")"),2.0)</f>
        <v>2</v>
      </c>
      <c r="G94" s="4">
        <f>IFERROR(__xludf.DUMMYFUNCTION("COUNTIF(ARRAYFORMULA(HLOOKUP($B94, IMPORTRANGE('Prelim Rankings Unsorted'!$B$40, CONCAT(VLOOKUP($C94, 'Match Names'!$A$1:$D$22, 2, FALSE), ""!C3:R29"")), ROW($A$1:$A$24), FALSE)), ""=-4"") + COUNTIF(ARRAYFORMULA(HLOOKUP($B94, IMPORTRANGE('Prelim Rankings "&amp;"Unsorted'!$B$41, CONCAT(VLOOKUP($C94, 'Match Names'!$A$1:$D$22, 3, FALSE), ""!C3:R29"")), ROW($A$1:$A$24), FALSE)), ""=-4"") + COUNTIF(ARRAYFORMULA(HLOOKUP($B94, IMPORTRANGE('Prelim Rankings Unsorted'!$B$42, CONCAT(VLOOKUP($C94, 'Match Names'!$A$1:$D$22, "&amp;"4, FALSE), ""!C3:R29"")), ROW($A$1:$A$24), FALSE)), ""=-4"") + COUNTIF(ARRAYFORMULA(HLOOKUP($B94, IMPORTRANGE('Match Names'!$E$23, CONCAT(VLOOKUP($C94, 'Match Names'!$1:$22, 5, FALSE), ""!C3:R29"")), ROW($A$1:$A$24), FALSE)), ""=-4"") + COUNTIF(ARRAYFORMU"&amp;"LA(HLOOKUP($B94, IMPORTRANGE('Match Names'!$F$23, CONCAT(VLOOKUP($C94, 'Match Names'!$1:$22, 6, FALSE), ""!C3:R29"")), ROW($A$1:$A$24), FALSE)), ""=-4"") + COUNTIF(ARRAYFORMULA(HLOOKUP($B94, IMPORTRANGE('Match Names'!$G$23, CONCAT(VLOOKUP($C94, 'Match Nam"&amp;"es'!$1:$22, 7, FALSE), ""!C3:R29"")), ROW($A$1:$A$24), FALSE)), ""=-4"") + COUNTIF(ARRAYFORMULA(HLOOKUP($B94, IMPORTRANGE('Match Names'!$H$23, CONCAT(VLOOKUP($C94, 'Match Names'!$1:$22, 8, FALSE), ""!C3:R29"")), ROW($A$1:$A$24), FALSE)), ""=-4"")"),0.0)</f>
        <v>0</v>
      </c>
      <c r="H94" s="4">
        <f t="shared" si="1"/>
        <v>6</v>
      </c>
    </row>
    <row r="95">
      <c r="A95" s="21" t="s">
        <v>111</v>
      </c>
      <c r="B95" s="7" t="str">
        <f>VLOOKUP(CONCAT(A95, C95), 'Discord Username to Real Name'!C:D, 2, FALSE)</f>
        <v>margaret#3477</v>
      </c>
      <c r="C95" s="21" t="s">
        <v>28</v>
      </c>
      <c r="D95" s="11">
        <f>IFERROR(__xludf.DUMMYFUNCTION("(23 - COUNTIF(IFERROR(ARRAYFORMULA(HLOOKUP($B95, IMPORTRANGE('Prelim Rankings Unsorted'!$B$40, CONCAT(VLOOKUP($C95, 'Match Names'!$A$1:$D$22, 2, FALSE), ""!C3:R29"")), ROW($A$1:$A$24), FALSE)), $AA$9:$AA$31), ""=X"")) + (23 - COUNTIF(IFERROR(ARRAYFORMULA("&amp;"HLOOKUP($B95, IMPORTRANGE('Prelim Rankings Unsorted'!$B$41, CONCAT(VLOOKUP($C95, 'Match Names'!$A$1:$D$22, 3, FALSE), ""!C3:R29"")), ROW($A$1:$A$24), FALSE)), $AA$9:$AA$31), ""=X"")) + (23 - COUNTIF(IFERROR(ARRAYFORMULA(HLOOKUP($B95, IMPORTRANGE('Prelim R"&amp;"ankings Unsorted'!$B$42, CONCAT(VLOOKUP($C95, 'Match Names'!$A$1:$D$22, 4, FALSE), ""!C3:R29"")), ROW($A$1:$A$24), FALSE)), $AA$9:$AA$31), ""=X"")) + (23 - COUNTIF(IFERROR(ARRAYFORMULA(HLOOKUP($B95, IMPORTRANGE('Match Names'!$E$23, CONCAT(VLOOKUP($C95, 'M"&amp;"atch Names'!$1:$22, 5, FALSE), ""!C3:R29"")), ROW($A$1:$A$24), FALSE)), $AA$9:$AA$31), ""=X"")) + (23 - COUNTIF(IFERROR(ARRAYFORMULA(HLOOKUP($B95, IMPORTRANGE('Match Names'!$F$23, CONCAT(VLOOKUP($C95, 'Match Names'!$1:$22, 6, FALSE), ""!C3:R29"")), ROW($A"&amp;"$1:$A$24), FALSE)), $AA$9:$AA$31), ""=X"")) + (23 - COUNTIF(IFERROR(ARRAYFORMULA(HLOOKUP($B95, IMPORTRANGE('Match Names'!$G$23, CONCAT(VLOOKUP($C95, 'Match Names'!$1:$22, 7, FALSE), ""!C3:R29"")), ROW($A$1:$A$24), FALSE)), $AA$9:$AA$31), ""=X"")) + (23 - "&amp;"COUNTIF(IFERROR(ARRAYFORMULA(HLOOKUP($B95, IMPORTRANGE('Match Names'!$H$23, CONCAT(VLOOKUP($C95, 'Match Names'!$1:$22, 8, FALSE), ""!C3:R29"")), ROW($A$1:$A$24), FALSE)), $AA$9:$AA$31), ""=X""))"),69.0)</f>
        <v>69</v>
      </c>
      <c r="E95" s="4">
        <f>IFERROR(__xludf.DUMMYFUNCTION("COUNTIF(ARRAYFORMULA(HLOOKUP($B95, IMPORTRANGE('Prelim Rankings Unsorted'!$B$40, CONCAT(VLOOKUP($C95, 'Match Names'!$A$1:$D$22, 2, FALSE), ""!C3:R29"")), ROW($A$1:$A$24), FALSE)), ""=4"") + COUNTIF(ARRAYFORMULA(HLOOKUP($B95, IMPORTRANGE('Prelim Rankings U"&amp;"nsorted'!$B$41, CONCAT(VLOOKUP($C95, 'Match Names'!$A$1:$D$22, 3, FALSE), ""!C3:R29"")), ROW($A$1:$A$24), FALSE)), ""=4"") + COUNTIF(ARRAYFORMULA(HLOOKUP($B95, IMPORTRANGE('Prelim Rankings Unsorted'!$B$42, CONCAT(VLOOKUP($C95, 'Match Names'!$A$1:$D$22, 4,"&amp;" FALSE), ""!C3:R29"")), ROW($A$1:$A$24), FALSE)), ""=4"") + COUNTIF(ARRAYFORMULA(HLOOKUP($B95, IMPORTRANGE('Match Names'!$E$23, CONCAT(VLOOKUP($C95, 'Match Names'!$1:$22, 5, FALSE), ""!C3:R29"")), ROW($A$1:$A$24), FALSE)), ""=4"") + COUNTIF(ARRAYFORMULA(H"&amp;"LOOKUP($B95, IMPORTRANGE('Match Names'!$F$23, CONCAT(VLOOKUP($C95, 'Match Names'!$1:$22, 6, FALSE), ""!C3:R29"")), ROW($A$1:$A$24), FALSE)), ""=4"") + COUNTIF(ARRAYFORMULA(HLOOKUP($B95, IMPORTRANGE('Match Names'!$G$23, CONCAT(VLOOKUP($C95, 'Match Names'!$"&amp;"1:$22, 7, FALSE), ""!C3:R29"")), ROW($A$1:$A$24), FALSE)), ""=4"") + COUNTIF(ARRAYFORMULA(HLOOKUP($B95, IMPORTRANGE('Match Names'!$H$23, CONCAT(VLOOKUP($C95, 'Match Names'!$1:$22, 8, FALSE), ""!C3:R29"")), ROW($A$1:$A$24), FALSE)), ""=4"")"),1.0)</f>
        <v>1</v>
      </c>
      <c r="F95" s="4">
        <f>IFERROR(__xludf.DUMMYFUNCTION("COUNTIF(ARRAYFORMULA(HLOOKUP($B95, IMPORTRANGE('Prelim Rankings Unsorted'!$B$40, CONCAT(VLOOKUP($C95, 'Match Names'!$A$1:$D$22, 2, FALSE), ""!C3:R29"")), ROW($A$1:$A$24), FALSE)), ""=0"") + COUNTIF(ARRAYFORMULA(HLOOKUP($B95, IMPORTRANGE('Prelim Rankings U"&amp;"nsorted'!$B$41, CONCAT(VLOOKUP($C95, 'Match Names'!$A$1:$D$22, 3, FALSE), ""!C3:R29"")), ROW($A$1:$A$24), FALSE)), ""=0"") + COUNTIF(ARRAYFORMULA(HLOOKUP($B95, IMPORTRANGE('Prelim Rankings Unsorted'!$B$42, CONCAT(VLOOKUP($C95, 'Match Names'!$A$1:$D$22, 4,"&amp;" FALSE), ""!C3:R29"")), ROW($A$1:$A$24), FALSE)), ""=0"") + COUNTIF(ARRAYFORMULA(HLOOKUP($B95, IMPORTRANGE('Match Names'!$E$23, CONCAT(VLOOKUP($C95, 'Match Names'!$1:$22, 5, FALSE), ""!C3:R29"")), ROW($A$1:$A$24), FALSE)), ""=0"") + COUNTIF(ARRAYFORMULA(H"&amp;"LOOKUP($B95, IMPORTRANGE('Match Names'!$F$23, CONCAT(VLOOKUP($C95, 'Match Names'!$1:$22, 6, FALSE), ""!C3:R29"")), ROW($A$1:$A$24), FALSE)), ""=0"") + COUNTIF(ARRAYFORMULA(HLOOKUP($B95, IMPORTRANGE('Match Names'!$G$23, CONCAT(VLOOKUP($C95, 'Match Names'!$"&amp;"1:$22, 7, FALSE), ""!C3:R29"")), ROW($A$1:$A$24), FALSE)), ""=0"") + COUNTIF(ARRAYFORMULA(HLOOKUP($B95, IMPORTRANGE('Match Names'!$H$23, CONCAT(VLOOKUP($C95, 'Match Names'!$1:$22, 8, FALSE), ""!C3:R29"")), ROW($A$1:$A$24), FALSE)), ""=0"")"),0.0)</f>
        <v>0</v>
      </c>
      <c r="G95" s="4">
        <f>IFERROR(__xludf.DUMMYFUNCTION("COUNTIF(ARRAYFORMULA(HLOOKUP($B95, IMPORTRANGE('Prelim Rankings Unsorted'!$B$40, CONCAT(VLOOKUP($C95, 'Match Names'!$A$1:$D$22, 2, FALSE), ""!C3:R29"")), ROW($A$1:$A$24), FALSE)), ""=-4"") + COUNTIF(ARRAYFORMULA(HLOOKUP($B95, IMPORTRANGE('Prelim Rankings "&amp;"Unsorted'!$B$41, CONCAT(VLOOKUP($C95, 'Match Names'!$A$1:$D$22, 3, FALSE), ""!C3:R29"")), ROW($A$1:$A$24), FALSE)), ""=-4"") + COUNTIF(ARRAYFORMULA(HLOOKUP($B95, IMPORTRANGE('Prelim Rankings Unsorted'!$B$42, CONCAT(VLOOKUP($C95, 'Match Names'!$A$1:$D$22, "&amp;"4, FALSE), ""!C3:R29"")), ROW($A$1:$A$24), FALSE)), ""=-4"") + COUNTIF(ARRAYFORMULA(HLOOKUP($B95, IMPORTRANGE('Match Names'!$E$23, CONCAT(VLOOKUP($C95, 'Match Names'!$1:$22, 5, FALSE), ""!C3:R29"")), ROW($A$1:$A$24), FALSE)), ""=-4"") + COUNTIF(ARRAYFORMU"&amp;"LA(HLOOKUP($B95, IMPORTRANGE('Match Names'!$F$23, CONCAT(VLOOKUP($C95, 'Match Names'!$1:$22, 6, FALSE), ""!C3:R29"")), ROW($A$1:$A$24), FALSE)), ""=-4"") + COUNTIF(ARRAYFORMULA(HLOOKUP($B95, IMPORTRANGE('Match Names'!$G$23, CONCAT(VLOOKUP($C95, 'Match Nam"&amp;"es'!$1:$22, 7, FALSE), ""!C3:R29"")), ROW($A$1:$A$24), FALSE)), ""=-4"") + COUNTIF(ARRAYFORMULA(HLOOKUP($B95, IMPORTRANGE('Match Names'!$H$23, CONCAT(VLOOKUP($C95, 'Match Names'!$1:$22, 8, FALSE), ""!C3:R29"")), ROW($A$1:$A$24), FALSE)), ""=-4"")"),1.0)</f>
        <v>1</v>
      </c>
      <c r="H95" s="4">
        <f t="shared" si="1"/>
        <v>0</v>
      </c>
    </row>
    <row r="96">
      <c r="D96" s="11"/>
      <c r="E96" s="4"/>
      <c r="F96" s="4"/>
      <c r="G96" s="4"/>
      <c r="H96" s="4"/>
    </row>
    <row r="97">
      <c r="D97" s="11"/>
      <c r="E97" s="4"/>
      <c r="F97" s="4"/>
      <c r="G97" s="4"/>
      <c r="H97" s="4"/>
    </row>
    <row r="98">
      <c r="D98" s="11"/>
      <c r="E98" s="4"/>
      <c r="F98" s="4"/>
      <c r="G98" s="4"/>
      <c r="H98" s="4"/>
    </row>
    <row r="99">
      <c r="D99" s="11"/>
      <c r="E99" s="4"/>
      <c r="F99" s="4"/>
      <c r="G99" s="4"/>
      <c r="H9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3.88"/>
    <col customWidth="1" min="3" max="3" width="29.38"/>
  </cols>
  <sheetData>
    <row r="1">
      <c r="A1" s="5" t="s">
        <v>1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13" t="s">
        <v>12</v>
      </c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8" t="str">
        <f t="array" ref="A2:H94">SORT('Player Overall Stats Unsorted'!A3:H95, 8, FALSE, 4, FALSE, 3, TRUE, 1, TRUE)</f>
        <v>Vishnu</v>
      </c>
      <c r="B2" s="8" t="s">
        <v>34</v>
      </c>
      <c r="C2" s="8" t="s">
        <v>15</v>
      </c>
      <c r="D2" s="8">
        <v>138.0</v>
      </c>
      <c r="E2" s="8">
        <v>51.0</v>
      </c>
      <c r="F2" s="8">
        <v>22.0</v>
      </c>
      <c r="G2" s="8">
        <v>3.0</v>
      </c>
      <c r="H2" s="14">
        <v>32.0</v>
      </c>
    </row>
    <row r="3">
      <c r="A3" s="8" t="s">
        <v>35</v>
      </c>
      <c r="B3" s="8" t="s">
        <v>36</v>
      </c>
      <c r="C3" s="8" t="s">
        <v>17</v>
      </c>
      <c r="D3" s="8">
        <v>92.0</v>
      </c>
      <c r="E3" s="8">
        <v>28.0</v>
      </c>
      <c r="F3" s="8">
        <v>22.0</v>
      </c>
      <c r="G3" s="8">
        <v>1.0</v>
      </c>
      <c r="H3" s="14">
        <v>27.0</v>
      </c>
    </row>
    <row r="4">
      <c r="A4" s="8" t="s">
        <v>37</v>
      </c>
      <c r="B4" s="8" t="s">
        <v>38</v>
      </c>
      <c r="C4" s="8" t="s">
        <v>18</v>
      </c>
      <c r="D4" s="8">
        <v>115.0</v>
      </c>
      <c r="E4" s="8">
        <v>37.0</v>
      </c>
      <c r="F4" s="8">
        <v>26.0</v>
      </c>
      <c r="G4" s="8">
        <v>4.0</v>
      </c>
      <c r="H4" s="14">
        <v>26.4</v>
      </c>
    </row>
    <row r="5">
      <c r="A5" s="8" t="s">
        <v>39</v>
      </c>
      <c r="B5" s="8" t="s">
        <v>40</v>
      </c>
      <c r="C5" s="8" t="s">
        <v>21</v>
      </c>
      <c r="D5" s="8">
        <v>115.0</v>
      </c>
      <c r="E5" s="8">
        <v>35.0</v>
      </c>
      <c r="F5" s="8">
        <v>26.0</v>
      </c>
      <c r="G5" s="8">
        <v>3.0</v>
      </c>
      <c r="H5" s="14">
        <v>25.6</v>
      </c>
    </row>
    <row r="6">
      <c r="A6" s="8" t="s">
        <v>41</v>
      </c>
      <c r="B6" s="8" t="s">
        <v>42</v>
      </c>
      <c r="C6" s="8" t="s">
        <v>14</v>
      </c>
      <c r="D6" s="8">
        <v>138.0</v>
      </c>
      <c r="E6" s="8">
        <v>32.0</v>
      </c>
      <c r="F6" s="8">
        <v>18.0</v>
      </c>
      <c r="G6" s="8">
        <v>3.0</v>
      </c>
      <c r="H6" s="14">
        <v>19.33</v>
      </c>
    </row>
    <row r="7">
      <c r="A7" s="8" t="s">
        <v>43</v>
      </c>
      <c r="B7" s="8" t="s">
        <v>44</v>
      </c>
      <c r="C7" s="8" t="s">
        <v>23</v>
      </c>
      <c r="D7" s="8">
        <v>115.0</v>
      </c>
      <c r="E7" s="8">
        <v>26.0</v>
      </c>
      <c r="F7" s="8">
        <v>25.0</v>
      </c>
      <c r="G7" s="8">
        <v>4.0</v>
      </c>
      <c r="H7" s="14">
        <v>17.6</v>
      </c>
    </row>
    <row r="8">
      <c r="A8" s="8" t="s">
        <v>45</v>
      </c>
      <c r="B8" s="8" t="s">
        <v>46</v>
      </c>
      <c r="C8" s="8" t="s">
        <v>20</v>
      </c>
      <c r="D8" s="8">
        <v>138.0</v>
      </c>
      <c r="E8" s="8">
        <v>26.0</v>
      </c>
      <c r="F8" s="8">
        <v>31.0</v>
      </c>
      <c r="G8" s="8">
        <v>0.0</v>
      </c>
      <c r="H8" s="14">
        <v>17.33</v>
      </c>
    </row>
    <row r="9">
      <c r="A9" s="8" t="s">
        <v>48</v>
      </c>
      <c r="B9" s="8" t="s">
        <v>50</v>
      </c>
      <c r="C9" s="8" t="s">
        <v>27</v>
      </c>
      <c r="D9" s="8">
        <v>138.0</v>
      </c>
      <c r="E9" s="8">
        <v>27.0</v>
      </c>
      <c r="F9" s="8">
        <v>14.0</v>
      </c>
      <c r="G9" s="8">
        <v>1.0</v>
      </c>
      <c r="H9" s="14">
        <v>17.33</v>
      </c>
    </row>
    <row r="10">
      <c r="A10" s="8" t="s">
        <v>53</v>
      </c>
      <c r="B10" s="8" t="s">
        <v>55</v>
      </c>
      <c r="C10" s="8" t="s">
        <v>24</v>
      </c>
      <c r="D10" s="8">
        <v>103.0</v>
      </c>
      <c r="E10" s="8">
        <v>18.0</v>
      </c>
      <c r="F10" s="8">
        <v>14.0</v>
      </c>
      <c r="G10" s="8">
        <v>0.0</v>
      </c>
      <c r="H10" s="14">
        <v>16.08</v>
      </c>
    </row>
    <row r="11">
      <c r="A11" s="8" t="s">
        <v>58</v>
      </c>
      <c r="B11" s="8" t="s">
        <v>59</v>
      </c>
      <c r="C11" s="8" t="s">
        <v>16</v>
      </c>
      <c r="D11" s="8">
        <v>92.0</v>
      </c>
      <c r="E11" s="8">
        <v>17.0</v>
      </c>
      <c r="F11" s="8">
        <v>15.0</v>
      </c>
      <c r="G11" s="8">
        <v>3.0</v>
      </c>
      <c r="H11" s="14">
        <v>14.0</v>
      </c>
    </row>
    <row r="12">
      <c r="A12" s="8" t="s">
        <v>56</v>
      </c>
      <c r="B12" s="8" t="s">
        <v>57</v>
      </c>
      <c r="C12" s="8" t="s">
        <v>14</v>
      </c>
      <c r="D12" s="8">
        <v>138.0</v>
      </c>
      <c r="E12" s="8">
        <v>26.0</v>
      </c>
      <c r="F12" s="8">
        <v>10.0</v>
      </c>
      <c r="G12" s="8">
        <v>7.0</v>
      </c>
      <c r="H12" s="14">
        <v>12.67</v>
      </c>
    </row>
    <row r="13">
      <c r="A13" s="8" t="s">
        <v>63</v>
      </c>
      <c r="B13" s="8" t="s">
        <v>64</v>
      </c>
      <c r="C13" s="8" t="s">
        <v>15</v>
      </c>
      <c r="D13" s="8">
        <v>115.0</v>
      </c>
      <c r="E13" s="8">
        <v>16.0</v>
      </c>
      <c r="F13" s="8">
        <v>4.0</v>
      </c>
      <c r="G13" s="8">
        <v>1.0</v>
      </c>
      <c r="H13" s="14">
        <v>12.0</v>
      </c>
    </row>
    <row r="14">
      <c r="A14" s="8" t="s">
        <v>67</v>
      </c>
      <c r="B14" s="8" t="s">
        <v>68</v>
      </c>
      <c r="C14" s="8" t="s">
        <v>29</v>
      </c>
      <c r="D14" s="8">
        <v>115.0</v>
      </c>
      <c r="E14" s="8">
        <v>15.0</v>
      </c>
      <c r="F14" s="8">
        <v>18.0</v>
      </c>
      <c r="G14" s="8">
        <v>0.0</v>
      </c>
      <c r="H14" s="14">
        <v>12.0</v>
      </c>
    </row>
    <row r="15">
      <c r="A15" s="8" t="s">
        <v>70</v>
      </c>
      <c r="B15" s="8" t="s">
        <v>72</v>
      </c>
      <c r="C15" s="8" t="s">
        <v>28</v>
      </c>
      <c r="D15" s="8">
        <v>92.0</v>
      </c>
      <c r="E15" s="8">
        <v>13.0</v>
      </c>
      <c r="F15" s="8">
        <v>9.0</v>
      </c>
      <c r="G15" s="8">
        <v>1.0</v>
      </c>
      <c r="H15" s="14">
        <v>12.0</v>
      </c>
    </row>
    <row r="16">
      <c r="A16" s="8" t="s">
        <v>74</v>
      </c>
      <c r="B16" s="8" t="s">
        <v>75</v>
      </c>
      <c r="C16" s="8" t="s">
        <v>19</v>
      </c>
      <c r="D16" s="8">
        <v>92.0</v>
      </c>
      <c r="E16" s="8">
        <v>13.0</v>
      </c>
      <c r="F16" s="8">
        <v>4.0</v>
      </c>
      <c r="G16" s="8">
        <v>1.0</v>
      </c>
      <c r="H16" s="14">
        <v>12.0</v>
      </c>
    </row>
    <row r="17">
      <c r="A17" s="8" t="s">
        <v>76</v>
      </c>
      <c r="B17" s="8" t="s">
        <v>77</v>
      </c>
      <c r="C17" s="8" t="s">
        <v>26</v>
      </c>
      <c r="D17" s="8">
        <v>69.0</v>
      </c>
      <c r="E17" s="8">
        <v>9.0</v>
      </c>
      <c r="F17" s="8">
        <v>12.0</v>
      </c>
      <c r="G17" s="8">
        <v>0.0</v>
      </c>
      <c r="H17" s="14">
        <v>12.0</v>
      </c>
    </row>
    <row r="18">
      <c r="A18" s="8" t="s">
        <v>79</v>
      </c>
      <c r="B18" s="8" t="s">
        <v>80</v>
      </c>
      <c r="C18" s="8" t="s">
        <v>22</v>
      </c>
      <c r="D18" s="8">
        <v>126.0</v>
      </c>
      <c r="E18" s="8">
        <v>21.0</v>
      </c>
      <c r="F18" s="8">
        <v>23.0</v>
      </c>
      <c r="G18" s="8">
        <v>5.0</v>
      </c>
      <c r="H18" s="14">
        <v>11.68</v>
      </c>
    </row>
    <row r="19">
      <c r="A19" s="8" t="s">
        <v>81</v>
      </c>
      <c r="B19" s="8" t="s">
        <v>47</v>
      </c>
      <c r="C19" s="8" t="s">
        <v>29</v>
      </c>
      <c r="D19" s="8">
        <v>115.0</v>
      </c>
      <c r="E19" s="8">
        <v>14.0</v>
      </c>
      <c r="F19" s="8">
        <v>3.0</v>
      </c>
      <c r="G19" s="8">
        <v>0.0</v>
      </c>
      <c r="H19" s="14">
        <v>11.2</v>
      </c>
    </row>
    <row r="20">
      <c r="A20" s="8" t="s">
        <v>49</v>
      </c>
      <c r="B20" s="8" t="s">
        <v>51</v>
      </c>
      <c r="C20" s="8" t="s">
        <v>23</v>
      </c>
      <c r="D20" s="8">
        <v>115.0</v>
      </c>
      <c r="E20" s="8">
        <v>14.0</v>
      </c>
      <c r="F20" s="8">
        <v>8.0</v>
      </c>
      <c r="G20" s="8">
        <v>0.0</v>
      </c>
      <c r="H20" s="14">
        <v>11.2</v>
      </c>
    </row>
    <row r="21">
      <c r="A21" s="8" t="s">
        <v>86</v>
      </c>
      <c r="B21" s="8" t="s">
        <v>87</v>
      </c>
      <c r="C21" s="8" t="s">
        <v>16</v>
      </c>
      <c r="D21" s="8">
        <v>115.0</v>
      </c>
      <c r="E21" s="8">
        <v>15.0</v>
      </c>
      <c r="F21" s="8">
        <v>19.0</v>
      </c>
      <c r="G21" s="8">
        <v>1.0</v>
      </c>
      <c r="H21" s="14">
        <v>11.2</v>
      </c>
    </row>
    <row r="22">
      <c r="A22" s="8" t="s">
        <v>88</v>
      </c>
      <c r="B22" s="8" t="s">
        <v>89</v>
      </c>
      <c r="C22" s="8" t="s">
        <v>31</v>
      </c>
      <c r="D22" s="8">
        <v>92.0</v>
      </c>
      <c r="E22" s="8">
        <v>12.0</v>
      </c>
      <c r="F22" s="8">
        <v>15.0</v>
      </c>
      <c r="G22" s="8">
        <v>1.0</v>
      </c>
      <c r="H22" s="14">
        <v>11.0</v>
      </c>
    </row>
    <row r="23">
      <c r="A23" s="8" t="s">
        <v>13</v>
      </c>
      <c r="B23" s="8" t="s">
        <v>60</v>
      </c>
      <c r="C23" s="8" t="s">
        <v>22</v>
      </c>
      <c r="D23" s="8">
        <v>138.0</v>
      </c>
      <c r="E23" s="8">
        <v>16.0</v>
      </c>
      <c r="F23" s="8">
        <v>3.0</v>
      </c>
      <c r="G23" s="8">
        <v>0.0</v>
      </c>
      <c r="H23" s="14">
        <v>10.67</v>
      </c>
    </row>
    <row r="24">
      <c r="A24" s="8" t="s">
        <v>13</v>
      </c>
      <c r="B24" s="8" t="s">
        <v>92</v>
      </c>
      <c r="C24" s="8" t="s">
        <v>25</v>
      </c>
      <c r="D24" s="8">
        <v>138.0</v>
      </c>
      <c r="E24" s="8">
        <v>19.0</v>
      </c>
      <c r="F24" s="8">
        <v>11.0</v>
      </c>
      <c r="G24" s="8">
        <v>3.0</v>
      </c>
      <c r="H24" s="14">
        <v>10.67</v>
      </c>
    </row>
    <row r="25">
      <c r="A25" s="8" t="s">
        <v>52</v>
      </c>
      <c r="B25" s="8" t="s">
        <v>54</v>
      </c>
      <c r="C25" s="8" t="s">
        <v>24</v>
      </c>
      <c r="D25" s="8">
        <v>80.0</v>
      </c>
      <c r="E25" s="8">
        <v>10.0</v>
      </c>
      <c r="F25" s="8">
        <v>4.0</v>
      </c>
      <c r="G25" s="8">
        <v>1.0</v>
      </c>
      <c r="H25" s="14">
        <v>10.35</v>
      </c>
    </row>
    <row r="26">
      <c r="A26" s="8" t="s">
        <v>95</v>
      </c>
      <c r="B26" s="8" t="s">
        <v>96</v>
      </c>
      <c r="C26" s="8" t="s">
        <v>25</v>
      </c>
      <c r="D26" s="8">
        <v>138.0</v>
      </c>
      <c r="E26" s="8">
        <v>15.0</v>
      </c>
      <c r="F26" s="8">
        <v>7.0</v>
      </c>
      <c r="G26" s="8">
        <v>0.0</v>
      </c>
      <c r="H26" s="14">
        <v>10.0</v>
      </c>
    </row>
    <row r="27">
      <c r="A27" s="8" t="s">
        <v>99</v>
      </c>
      <c r="B27" s="8" t="s">
        <v>101</v>
      </c>
      <c r="C27" s="8" t="s">
        <v>22</v>
      </c>
      <c r="D27" s="8">
        <v>104.0</v>
      </c>
      <c r="E27" s="8">
        <v>12.0</v>
      </c>
      <c r="F27" s="8">
        <v>12.0</v>
      </c>
      <c r="G27" s="8">
        <v>1.0</v>
      </c>
      <c r="H27" s="14">
        <v>9.73</v>
      </c>
    </row>
    <row r="28">
      <c r="A28" s="8" t="s">
        <v>84</v>
      </c>
      <c r="B28" s="8" t="s">
        <v>85</v>
      </c>
      <c r="C28" s="8" t="s">
        <v>31</v>
      </c>
      <c r="D28" s="8">
        <v>69.0</v>
      </c>
      <c r="E28" s="8">
        <v>7.0</v>
      </c>
      <c r="F28" s="8">
        <v>5.0</v>
      </c>
      <c r="G28" s="8">
        <v>0.0</v>
      </c>
      <c r="H28" s="14">
        <v>9.33</v>
      </c>
    </row>
    <row r="29">
      <c r="A29" s="8" t="s">
        <v>69</v>
      </c>
      <c r="B29" s="8" t="s">
        <v>71</v>
      </c>
      <c r="C29" s="8" t="s">
        <v>28</v>
      </c>
      <c r="D29" s="8">
        <v>92.0</v>
      </c>
      <c r="E29" s="8">
        <v>13.0</v>
      </c>
      <c r="F29" s="8">
        <v>6.0</v>
      </c>
      <c r="G29" s="8">
        <v>4.0</v>
      </c>
      <c r="H29" s="14">
        <v>9.0</v>
      </c>
    </row>
    <row r="30">
      <c r="A30" s="8" t="s">
        <v>106</v>
      </c>
      <c r="B30" s="8" t="s">
        <v>107</v>
      </c>
      <c r="C30" s="8" t="s">
        <v>19</v>
      </c>
      <c r="D30" s="8">
        <v>80.0</v>
      </c>
      <c r="E30" s="8">
        <v>7.0</v>
      </c>
      <c r="F30" s="8">
        <v>2.0</v>
      </c>
      <c r="G30" s="8">
        <v>0.0</v>
      </c>
      <c r="H30" s="14">
        <v>8.05</v>
      </c>
    </row>
    <row r="31">
      <c r="A31" s="8" t="s">
        <v>108</v>
      </c>
      <c r="B31" s="8" t="s">
        <v>109</v>
      </c>
      <c r="C31" s="8" t="s">
        <v>20</v>
      </c>
      <c r="D31" s="8">
        <v>138.0</v>
      </c>
      <c r="E31" s="8">
        <v>14.0</v>
      </c>
      <c r="F31" s="8">
        <v>4.0</v>
      </c>
      <c r="G31" s="8">
        <v>2.0</v>
      </c>
      <c r="H31" s="14">
        <v>8.0</v>
      </c>
    </row>
    <row r="32">
      <c r="A32" s="8" t="s">
        <v>65</v>
      </c>
      <c r="B32" s="8" t="s">
        <v>66</v>
      </c>
      <c r="C32" s="8" t="s">
        <v>19</v>
      </c>
      <c r="D32" s="8">
        <v>92.0</v>
      </c>
      <c r="E32" s="8">
        <v>12.0</v>
      </c>
      <c r="F32" s="8">
        <v>1.0</v>
      </c>
      <c r="G32" s="8">
        <v>4.0</v>
      </c>
      <c r="H32" s="14">
        <v>8.0</v>
      </c>
    </row>
    <row r="33">
      <c r="A33" s="8" t="s">
        <v>82</v>
      </c>
      <c r="B33" s="8" t="s">
        <v>83</v>
      </c>
      <c r="C33" s="8" t="s">
        <v>19</v>
      </c>
      <c r="D33" s="8">
        <v>69.0</v>
      </c>
      <c r="E33" s="8">
        <v>8.0</v>
      </c>
      <c r="F33" s="8">
        <v>2.0</v>
      </c>
      <c r="G33" s="8">
        <v>2.0</v>
      </c>
      <c r="H33" s="14">
        <v>8.0</v>
      </c>
    </row>
    <row r="34">
      <c r="A34" s="8" t="s">
        <v>117</v>
      </c>
      <c r="B34" s="8" t="s">
        <v>118</v>
      </c>
      <c r="C34" s="8" t="s">
        <v>18</v>
      </c>
      <c r="D34" s="8">
        <v>115.0</v>
      </c>
      <c r="E34" s="8">
        <v>9.0</v>
      </c>
      <c r="F34" s="8">
        <v>6.0</v>
      </c>
      <c r="G34" s="8">
        <v>0.0</v>
      </c>
      <c r="H34" s="14">
        <v>7.2</v>
      </c>
    </row>
    <row r="35">
      <c r="A35" s="8" t="s">
        <v>119</v>
      </c>
      <c r="B35" s="8" t="s">
        <v>120</v>
      </c>
      <c r="C35" s="8" t="s">
        <v>14</v>
      </c>
      <c r="D35" s="8">
        <v>57.0</v>
      </c>
      <c r="E35" s="8">
        <v>4.0</v>
      </c>
      <c r="F35" s="8">
        <v>0.0</v>
      </c>
      <c r="G35" s="8">
        <v>0.0</v>
      </c>
      <c r="H35" s="14">
        <v>6.46</v>
      </c>
    </row>
    <row r="36">
      <c r="A36" s="8" t="s">
        <v>13</v>
      </c>
      <c r="B36" s="8" t="s">
        <v>121</v>
      </c>
      <c r="C36" s="8" t="s">
        <v>24</v>
      </c>
      <c r="D36" s="8">
        <v>92.0</v>
      </c>
      <c r="E36" s="8">
        <v>7.0</v>
      </c>
      <c r="F36" s="8">
        <v>1.0</v>
      </c>
      <c r="G36" s="8">
        <v>1.0</v>
      </c>
      <c r="H36" s="14">
        <v>6.0</v>
      </c>
    </row>
    <row r="37">
      <c r="A37" s="8" t="s">
        <v>97</v>
      </c>
      <c r="B37" s="8" t="s">
        <v>98</v>
      </c>
      <c r="C37" s="8" t="s">
        <v>28</v>
      </c>
      <c r="D37" s="8">
        <v>46.0</v>
      </c>
      <c r="E37" s="8">
        <v>3.0</v>
      </c>
      <c r="F37" s="8">
        <v>2.0</v>
      </c>
      <c r="G37" s="8">
        <v>0.0</v>
      </c>
      <c r="H37" s="14">
        <v>6.0</v>
      </c>
    </row>
    <row r="38">
      <c r="A38" s="8" t="s">
        <v>124</v>
      </c>
      <c r="B38" s="8" t="s">
        <v>125</v>
      </c>
      <c r="C38" s="8" t="s">
        <v>25</v>
      </c>
      <c r="D38" s="8">
        <v>127.0</v>
      </c>
      <c r="E38" s="8">
        <v>9.0</v>
      </c>
      <c r="F38" s="8">
        <v>4.0</v>
      </c>
      <c r="G38" s="8">
        <v>1.0</v>
      </c>
      <c r="H38" s="14">
        <v>5.8</v>
      </c>
    </row>
    <row r="39">
      <c r="A39" s="8" t="s">
        <v>104</v>
      </c>
      <c r="B39" s="8" t="s">
        <v>105</v>
      </c>
      <c r="C39" s="8" t="s">
        <v>27</v>
      </c>
      <c r="D39" s="8">
        <v>127.0</v>
      </c>
      <c r="E39" s="8">
        <v>10.0</v>
      </c>
      <c r="F39" s="8">
        <v>11.0</v>
      </c>
      <c r="G39" s="8">
        <v>2.0</v>
      </c>
      <c r="H39" s="14">
        <v>5.8</v>
      </c>
    </row>
    <row r="40">
      <c r="A40" s="8" t="s">
        <v>90</v>
      </c>
      <c r="B40" s="8" t="s">
        <v>91</v>
      </c>
      <c r="C40" s="8" t="s">
        <v>25</v>
      </c>
      <c r="D40" s="8">
        <v>80.0</v>
      </c>
      <c r="E40" s="8">
        <v>5.0</v>
      </c>
      <c r="F40" s="8">
        <v>0.0</v>
      </c>
      <c r="G40" s="8">
        <v>0.0</v>
      </c>
      <c r="H40" s="14">
        <v>5.75</v>
      </c>
    </row>
    <row r="41">
      <c r="A41" s="8" t="s">
        <v>126</v>
      </c>
      <c r="B41" s="8" t="s">
        <v>128</v>
      </c>
      <c r="C41" s="8" t="s">
        <v>20</v>
      </c>
      <c r="D41" s="8">
        <v>115.0</v>
      </c>
      <c r="E41" s="8">
        <v>7.0</v>
      </c>
      <c r="F41" s="8">
        <v>1.0</v>
      </c>
      <c r="G41" s="8">
        <v>0.0</v>
      </c>
      <c r="H41" s="14">
        <v>5.6</v>
      </c>
    </row>
    <row r="42">
      <c r="A42" s="8" t="s">
        <v>130</v>
      </c>
      <c r="B42" s="8" t="s">
        <v>131</v>
      </c>
      <c r="C42" s="8" t="s">
        <v>30</v>
      </c>
      <c r="D42" s="8">
        <v>69.0</v>
      </c>
      <c r="E42" s="8">
        <v>5.0</v>
      </c>
      <c r="F42" s="8">
        <v>4.0</v>
      </c>
      <c r="G42" s="8">
        <v>1.0</v>
      </c>
      <c r="H42" s="14">
        <v>5.33</v>
      </c>
    </row>
    <row r="43">
      <c r="A43" s="8" t="s">
        <v>61</v>
      </c>
      <c r="B43" s="8" t="s">
        <v>62</v>
      </c>
      <c r="C43" s="8" t="s">
        <v>19</v>
      </c>
      <c r="D43" s="8">
        <v>69.0</v>
      </c>
      <c r="E43" s="8">
        <v>4.0</v>
      </c>
      <c r="F43" s="8">
        <v>1.0</v>
      </c>
      <c r="G43" s="8">
        <v>0.0</v>
      </c>
      <c r="H43" s="14">
        <v>5.33</v>
      </c>
    </row>
    <row r="44">
      <c r="A44" s="8" t="s">
        <v>102</v>
      </c>
      <c r="B44" s="8" t="s">
        <v>103</v>
      </c>
      <c r="C44" s="8" t="s">
        <v>23</v>
      </c>
      <c r="D44" s="8">
        <v>115.0</v>
      </c>
      <c r="E44" s="8">
        <v>6.0</v>
      </c>
      <c r="F44" s="8">
        <v>6.0</v>
      </c>
      <c r="G44" s="8">
        <v>0.0</v>
      </c>
      <c r="H44" s="14">
        <v>4.8</v>
      </c>
    </row>
    <row r="45">
      <c r="A45" s="8" t="s">
        <v>136</v>
      </c>
      <c r="B45" s="8" t="s">
        <v>137</v>
      </c>
      <c r="C45" s="8" t="s">
        <v>24</v>
      </c>
      <c r="D45" s="8">
        <v>81.0</v>
      </c>
      <c r="E45" s="8">
        <v>5.0</v>
      </c>
      <c r="F45" s="8">
        <v>10.0</v>
      </c>
      <c r="G45" s="8">
        <v>1.0</v>
      </c>
      <c r="H45" s="14">
        <v>4.54</v>
      </c>
    </row>
    <row r="46">
      <c r="A46" s="8" t="s">
        <v>132</v>
      </c>
      <c r="B46" s="8" t="s">
        <v>133</v>
      </c>
      <c r="C46" s="8" t="s">
        <v>14</v>
      </c>
      <c r="D46" s="8">
        <v>138.0</v>
      </c>
      <c r="E46" s="8">
        <v>9.0</v>
      </c>
      <c r="F46" s="8">
        <v>2.0</v>
      </c>
      <c r="G46" s="8">
        <v>3.0</v>
      </c>
      <c r="H46" s="14">
        <v>4.0</v>
      </c>
    </row>
    <row r="47">
      <c r="A47" s="8" t="s">
        <v>140</v>
      </c>
      <c r="B47" s="8" t="s">
        <v>141</v>
      </c>
      <c r="C47" s="8" t="s">
        <v>29</v>
      </c>
      <c r="D47" s="8">
        <v>92.0</v>
      </c>
      <c r="E47" s="8">
        <v>4.0</v>
      </c>
      <c r="F47" s="8">
        <v>2.0</v>
      </c>
      <c r="G47" s="8">
        <v>0.0</v>
      </c>
      <c r="H47" s="14">
        <v>4.0</v>
      </c>
    </row>
    <row r="48">
      <c r="A48" s="8" t="s">
        <v>142</v>
      </c>
      <c r="B48" s="8" t="s">
        <v>144</v>
      </c>
      <c r="C48" s="8" t="s">
        <v>23</v>
      </c>
      <c r="D48" s="8">
        <v>92.0</v>
      </c>
      <c r="E48" s="8">
        <v>4.0</v>
      </c>
      <c r="F48" s="8">
        <v>2.0</v>
      </c>
      <c r="G48" s="8">
        <v>0.0</v>
      </c>
      <c r="H48" s="14">
        <v>4.0</v>
      </c>
    </row>
    <row r="49">
      <c r="A49" s="8" t="s">
        <v>146</v>
      </c>
      <c r="B49" s="8" t="s">
        <v>147</v>
      </c>
      <c r="C49" s="8" t="s">
        <v>5</v>
      </c>
      <c r="D49" s="8">
        <v>69.0</v>
      </c>
      <c r="E49" s="8">
        <v>3.0</v>
      </c>
      <c r="F49" s="8">
        <v>1.0</v>
      </c>
      <c r="G49" s="8">
        <v>0.0</v>
      </c>
      <c r="H49" s="14">
        <v>4.0</v>
      </c>
    </row>
    <row r="50">
      <c r="A50" s="8" t="s">
        <v>148</v>
      </c>
      <c r="B50" s="8" t="s">
        <v>149</v>
      </c>
      <c r="C50" s="8" t="s">
        <v>30</v>
      </c>
      <c r="D50" s="8">
        <v>69.0</v>
      </c>
      <c r="E50" s="8">
        <v>3.0</v>
      </c>
      <c r="F50" s="8">
        <v>1.0</v>
      </c>
      <c r="G50" s="8">
        <v>0.0</v>
      </c>
      <c r="H50" s="14">
        <v>4.0</v>
      </c>
    </row>
    <row r="51">
      <c r="A51" s="8" t="s">
        <v>150</v>
      </c>
      <c r="B51" s="8" t="s">
        <v>151</v>
      </c>
      <c r="C51" s="8" t="s">
        <v>23</v>
      </c>
      <c r="D51" s="8">
        <v>46.0</v>
      </c>
      <c r="E51" s="8">
        <v>2.0</v>
      </c>
      <c r="F51" s="8">
        <v>1.0</v>
      </c>
      <c r="G51" s="8">
        <v>0.0</v>
      </c>
      <c r="H51" s="14">
        <v>4.0</v>
      </c>
    </row>
    <row r="52">
      <c r="A52" s="8" t="s">
        <v>113</v>
      </c>
      <c r="B52" s="8" t="s">
        <v>114</v>
      </c>
      <c r="C52" s="8" t="s">
        <v>15</v>
      </c>
      <c r="D52" s="8">
        <v>84.0</v>
      </c>
      <c r="E52" s="8">
        <v>3.0</v>
      </c>
      <c r="F52" s="8">
        <v>4.0</v>
      </c>
      <c r="G52" s="8">
        <v>0.0</v>
      </c>
      <c r="H52" s="14">
        <v>3.29</v>
      </c>
    </row>
    <row r="53">
      <c r="A53" s="8" t="s">
        <v>155</v>
      </c>
      <c r="B53" s="8" t="s">
        <v>157</v>
      </c>
      <c r="C53" s="8" t="s">
        <v>24</v>
      </c>
      <c r="D53" s="8">
        <v>93.0</v>
      </c>
      <c r="E53" s="8">
        <v>3.0</v>
      </c>
      <c r="F53" s="8">
        <v>1.0</v>
      </c>
      <c r="G53" s="8">
        <v>0.0</v>
      </c>
      <c r="H53" s="14">
        <v>2.97</v>
      </c>
    </row>
    <row r="54">
      <c r="A54" s="8" t="s">
        <v>134</v>
      </c>
      <c r="B54" s="8" t="s">
        <v>135</v>
      </c>
      <c r="C54" s="8" t="s">
        <v>22</v>
      </c>
      <c r="D54" s="8">
        <v>127.0</v>
      </c>
      <c r="E54" s="8">
        <v>4.0</v>
      </c>
      <c r="F54" s="8">
        <v>5.0</v>
      </c>
      <c r="G54" s="8">
        <v>0.0</v>
      </c>
      <c r="H54" s="14">
        <v>2.9</v>
      </c>
    </row>
    <row r="55">
      <c r="A55" s="8" t="s">
        <v>152</v>
      </c>
      <c r="B55" s="8" t="s">
        <v>153</v>
      </c>
      <c r="C55" s="8" t="s">
        <v>21</v>
      </c>
      <c r="D55" s="8">
        <v>103.0</v>
      </c>
      <c r="E55" s="8">
        <v>3.0</v>
      </c>
      <c r="F55" s="8">
        <v>4.0</v>
      </c>
      <c r="G55" s="8">
        <v>0.0</v>
      </c>
      <c r="H55" s="14">
        <v>2.68</v>
      </c>
    </row>
    <row r="56">
      <c r="A56" s="8" t="s">
        <v>160</v>
      </c>
      <c r="B56" s="8" t="s">
        <v>161</v>
      </c>
      <c r="C56" s="8" t="s">
        <v>30</v>
      </c>
      <c r="D56" s="8">
        <v>69.0</v>
      </c>
      <c r="E56" s="8">
        <v>4.0</v>
      </c>
      <c r="F56" s="8">
        <v>7.0</v>
      </c>
      <c r="G56" s="8">
        <v>2.0</v>
      </c>
      <c r="H56" s="14">
        <v>2.67</v>
      </c>
    </row>
    <row r="57">
      <c r="A57" s="8" t="s">
        <v>138</v>
      </c>
      <c r="B57" s="8" t="s">
        <v>139</v>
      </c>
      <c r="C57" s="8" t="s">
        <v>27</v>
      </c>
      <c r="D57" s="8">
        <v>126.0</v>
      </c>
      <c r="E57" s="8">
        <v>3.0</v>
      </c>
      <c r="F57" s="8">
        <v>2.0</v>
      </c>
      <c r="G57" s="8">
        <v>0.0</v>
      </c>
      <c r="H57" s="14">
        <v>2.19</v>
      </c>
    </row>
    <row r="58">
      <c r="A58" s="8" t="s">
        <v>78</v>
      </c>
      <c r="B58" s="8" t="s">
        <v>166</v>
      </c>
      <c r="C58" s="8" t="s">
        <v>5</v>
      </c>
      <c r="D58" s="8">
        <v>44.0</v>
      </c>
      <c r="E58" s="8">
        <v>1.0</v>
      </c>
      <c r="F58" s="8">
        <v>1.0</v>
      </c>
      <c r="G58" s="8">
        <v>0.0</v>
      </c>
      <c r="H58" s="14">
        <v>2.09</v>
      </c>
    </row>
    <row r="59">
      <c r="A59" s="8" t="s">
        <v>154</v>
      </c>
      <c r="B59" s="8" t="s">
        <v>156</v>
      </c>
      <c r="C59" s="8" t="s">
        <v>29</v>
      </c>
      <c r="D59" s="8">
        <v>92.0</v>
      </c>
      <c r="E59" s="8">
        <v>2.0</v>
      </c>
      <c r="F59" s="8">
        <v>7.0</v>
      </c>
      <c r="G59" s="8">
        <v>0.0</v>
      </c>
      <c r="H59" s="14">
        <v>2.0</v>
      </c>
    </row>
    <row r="60">
      <c r="A60" s="8" t="s">
        <v>171</v>
      </c>
      <c r="B60" s="8" t="s">
        <v>172</v>
      </c>
      <c r="C60" s="8" t="s">
        <v>16</v>
      </c>
      <c r="D60" s="8">
        <v>46.0</v>
      </c>
      <c r="E60" s="8">
        <v>1.0</v>
      </c>
      <c r="F60" s="8">
        <v>1.0</v>
      </c>
      <c r="G60" s="8">
        <v>0.0</v>
      </c>
      <c r="H60" s="14">
        <v>2.0</v>
      </c>
    </row>
    <row r="61">
      <c r="A61" s="8" t="s">
        <v>45</v>
      </c>
      <c r="B61" s="8" t="s">
        <v>173</v>
      </c>
      <c r="C61" s="8" t="s">
        <v>18</v>
      </c>
      <c r="D61" s="8">
        <v>46.0</v>
      </c>
      <c r="E61" s="8">
        <v>1.0</v>
      </c>
      <c r="F61" s="8">
        <v>1.0</v>
      </c>
      <c r="G61" s="8">
        <v>0.0</v>
      </c>
      <c r="H61" s="14">
        <v>2.0</v>
      </c>
    </row>
    <row r="62">
      <c r="A62" s="8" t="s">
        <v>100</v>
      </c>
      <c r="B62" s="8" t="s">
        <v>100</v>
      </c>
      <c r="C62" s="8" t="s">
        <v>31</v>
      </c>
      <c r="D62" s="8">
        <v>46.0</v>
      </c>
      <c r="E62" s="8">
        <v>1.0</v>
      </c>
      <c r="F62" s="8">
        <v>0.0</v>
      </c>
      <c r="G62" s="8">
        <v>0.0</v>
      </c>
      <c r="H62" s="14">
        <v>2.0</v>
      </c>
    </row>
    <row r="63">
      <c r="A63" s="8" t="s">
        <v>122</v>
      </c>
      <c r="B63" s="8" t="s">
        <v>123</v>
      </c>
      <c r="C63" s="8" t="s">
        <v>27</v>
      </c>
      <c r="D63" s="8">
        <v>115.0</v>
      </c>
      <c r="E63" s="8">
        <v>2.0</v>
      </c>
      <c r="F63" s="8">
        <v>3.0</v>
      </c>
      <c r="G63" s="8">
        <v>0.0</v>
      </c>
      <c r="H63" s="14">
        <v>1.6</v>
      </c>
    </row>
    <row r="64">
      <c r="A64" s="8" t="s">
        <v>82</v>
      </c>
      <c r="B64" s="8" t="s">
        <v>110</v>
      </c>
      <c r="C64" s="8" t="s">
        <v>5</v>
      </c>
      <c r="D64" s="8">
        <v>69.0</v>
      </c>
      <c r="E64" s="8">
        <v>1.0</v>
      </c>
      <c r="F64" s="8">
        <v>6.0</v>
      </c>
      <c r="G64" s="8">
        <v>0.0</v>
      </c>
      <c r="H64" s="14">
        <v>1.33</v>
      </c>
    </row>
    <row r="65">
      <c r="A65" s="8" t="s">
        <v>174</v>
      </c>
      <c r="B65" s="8" t="s">
        <v>175</v>
      </c>
      <c r="C65" s="8" t="s">
        <v>22</v>
      </c>
      <c r="D65" s="8">
        <v>91.0</v>
      </c>
      <c r="E65" s="8">
        <v>2.0</v>
      </c>
      <c r="F65" s="8">
        <v>0.0</v>
      </c>
      <c r="G65" s="8">
        <v>1.0</v>
      </c>
      <c r="H65" s="14">
        <v>1.01</v>
      </c>
    </row>
    <row r="66">
      <c r="A66" s="8" t="s">
        <v>158</v>
      </c>
      <c r="B66" s="8" t="s">
        <v>159</v>
      </c>
      <c r="C66" s="8" t="s">
        <v>17</v>
      </c>
      <c r="D66" s="8">
        <v>92.0</v>
      </c>
      <c r="E66" s="8">
        <v>1.0</v>
      </c>
      <c r="F66" s="8">
        <v>1.0</v>
      </c>
      <c r="G66" s="8">
        <v>0.0</v>
      </c>
      <c r="H66" s="14">
        <v>1.0</v>
      </c>
    </row>
    <row r="67">
      <c r="A67" s="8" t="s">
        <v>115</v>
      </c>
      <c r="B67" s="8" t="s">
        <v>116</v>
      </c>
      <c r="C67" s="8" t="s">
        <v>20</v>
      </c>
      <c r="D67" s="8">
        <v>92.0</v>
      </c>
      <c r="E67" s="8">
        <v>1.0</v>
      </c>
      <c r="F67" s="8">
        <v>1.0</v>
      </c>
      <c r="G67" s="8">
        <v>0.0</v>
      </c>
      <c r="H67" s="14">
        <v>1.0</v>
      </c>
    </row>
    <row r="68">
      <c r="A68" s="8" t="s">
        <v>93</v>
      </c>
      <c r="B68" s="8" t="s">
        <v>94</v>
      </c>
      <c r="C68" s="8" t="s">
        <v>30</v>
      </c>
      <c r="D68" s="8">
        <v>92.0</v>
      </c>
      <c r="E68" s="8">
        <v>4.0</v>
      </c>
      <c r="F68" s="8">
        <v>14.0</v>
      </c>
      <c r="G68" s="8">
        <v>3.0</v>
      </c>
      <c r="H68" s="14">
        <v>1.0</v>
      </c>
    </row>
    <row r="69">
      <c r="A69" s="8" t="s">
        <v>143</v>
      </c>
      <c r="B69" s="8" t="s">
        <v>145</v>
      </c>
      <c r="C69" s="8" t="s">
        <v>21</v>
      </c>
      <c r="D69" s="8">
        <v>115.0</v>
      </c>
      <c r="E69" s="8">
        <v>1.0</v>
      </c>
      <c r="F69" s="8">
        <v>4.0</v>
      </c>
      <c r="G69" s="8">
        <v>0.0</v>
      </c>
      <c r="H69" s="14">
        <v>0.8</v>
      </c>
    </row>
    <row r="70">
      <c r="A70" s="8" t="s">
        <v>127</v>
      </c>
      <c r="B70" s="8" t="s">
        <v>129</v>
      </c>
      <c r="C70" s="8" t="s">
        <v>15</v>
      </c>
      <c r="D70" s="8">
        <v>138.0</v>
      </c>
      <c r="E70" s="8">
        <v>0.0</v>
      </c>
      <c r="F70" s="8">
        <v>3.0</v>
      </c>
      <c r="G70" s="8">
        <v>0.0</v>
      </c>
      <c r="H70" s="14">
        <v>0.0</v>
      </c>
    </row>
    <row r="71">
      <c r="A71" s="8" t="s">
        <v>162</v>
      </c>
      <c r="B71" s="8" t="s">
        <v>163</v>
      </c>
      <c r="C71" s="8" t="s">
        <v>16</v>
      </c>
      <c r="D71" s="8">
        <v>92.0</v>
      </c>
      <c r="E71" s="8">
        <v>0.0</v>
      </c>
      <c r="F71" s="8">
        <v>1.0</v>
      </c>
      <c r="G71" s="8">
        <v>0.0</v>
      </c>
      <c r="H71" s="14">
        <v>0.0</v>
      </c>
    </row>
    <row r="72">
      <c r="A72" s="8" t="s">
        <v>167</v>
      </c>
      <c r="B72" s="8" t="s">
        <v>168</v>
      </c>
      <c r="C72" s="8" t="s">
        <v>31</v>
      </c>
      <c r="D72" s="8">
        <v>92.0</v>
      </c>
      <c r="E72" s="8">
        <v>0.0</v>
      </c>
      <c r="F72" s="8">
        <v>2.0</v>
      </c>
      <c r="G72" s="8">
        <v>0.0</v>
      </c>
      <c r="H72" s="14">
        <v>0.0</v>
      </c>
    </row>
    <row r="73">
      <c r="A73" s="8" t="s">
        <v>169</v>
      </c>
      <c r="B73" s="8" t="s">
        <v>170</v>
      </c>
      <c r="C73" s="8" t="s">
        <v>15</v>
      </c>
      <c r="D73" s="8">
        <v>78.0</v>
      </c>
      <c r="E73" s="8">
        <v>0.0</v>
      </c>
      <c r="F73" s="8">
        <v>0.0</v>
      </c>
      <c r="G73" s="8">
        <v>0.0</v>
      </c>
      <c r="H73" s="14">
        <v>0.0</v>
      </c>
    </row>
    <row r="74">
      <c r="A74" s="8" t="s">
        <v>176</v>
      </c>
      <c r="B74" s="8" t="s">
        <v>177</v>
      </c>
      <c r="C74" s="8" t="s">
        <v>28</v>
      </c>
      <c r="D74" s="8">
        <v>69.0</v>
      </c>
      <c r="E74" s="8">
        <v>0.0</v>
      </c>
      <c r="F74" s="8">
        <v>0.0</v>
      </c>
      <c r="G74" s="8">
        <v>0.0</v>
      </c>
      <c r="H74" s="14">
        <v>0.0</v>
      </c>
    </row>
    <row r="75">
      <c r="A75" s="8" t="s">
        <v>111</v>
      </c>
      <c r="B75" s="8" t="s">
        <v>112</v>
      </c>
      <c r="C75" s="8" t="s">
        <v>28</v>
      </c>
      <c r="D75" s="8">
        <v>69.0</v>
      </c>
      <c r="E75" s="8">
        <v>1.0</v>
      </c>
      <c r="F75" s="8">
        <v>0.0</v>
      </c>
      <c r="G75" s="8">
        <v>1.0</v>
      </c>
      <c r="H75" s="14">
        <v>0.0</v>
      </c>
    </row>
    <row r="76">
      <c r="A76" s="8" t="s">
        <v>78</v>
      </c>
      <c r="B76" s="8" t="s">
        <v>178</v>
      </c>
      <c r="C76" s="8" t="s">
        <v>18</v>
      </c>
      <c r="D76" s="8">
        <v>69.0</v>
      </c>
      <c r="E76" s="8">
        <v>0.0</v>
      </c>
      <c r="F76" s="8">
        <v>0.0</v>
      </c>
      <c r="G76" s="8">
        <v>0.0</v>
      </c>
      <c r="H76" s="14">
        <v>0.0</v>
      </c>
    </row>
    <row r="77">
      <c r="A77" s="8" t="s">
        <v>179</v>
      </c>
      <c r="B77" s="8" t="s">
        <v>180</v>
      </c>
      <c r="C77" s="8" t="s">
        <v>25</v>
      </c>
      <c r="D77" s="8">
        <v>69.0</v>
      </c>
      <c r="E77" s="8">
        <v>0.0</v>
      </c>
      <c r="F77" s="8">
        <v>0.0</v>
      </c>
      <c r="G77" s="8">
        <v>0.0</v>
      </c>
      <c r="H77" s="14">
        <v>0.0</v>
      </c>
    </row>
    <row r="78">
      <c r="A78" s="8" t="s">
        <v>181</v>
      </c>
      <c r="B78" s="8" t="s">
        <v>182</v>
      </c>
      <c r="C78" s="8" t="s">
        <v>26</v>
      </c>
      <c r="D78" s="8">
        <v>46.0</v>
      </c>
      <c r="E78" s="8">
        <v>0.0</v>
      </c>
      <c r="F78" s="8">
        <v>2.0</v>
      </c>
      <c r="G78" s="8">
        <v>0.0</v>
      </c>
      <c r="H78" s="14">
        <v>0.0</v>
      </c>
    </row>
    <row r="79">
      <c r="A79" s="8" t="s">
        <v>183</v>
      </c>
      <c r="B79" s="8" t="s">
        <v>184</v>
      </c>
      <c r="C79" s="8" t="s">
        <v>20</v>
      </c>
      <c r="D79" s="8">
        <v>46.0</v>
      </c>
      <c r="E79" s="8">
        <v>0.0</v>
      </c>
      <c r="F79" s="8">
        <v>0.0</v>
      </c>
      <c r="G79" s="8">
        <v>0.0</v>
      </c>
      <c r="H79" s="14">
        <v>0.0</v>
      </c>
    </row>
    <row r="80">
      <c r="A80" s="8" t="s">
        <v>13</v>
      </c>
      <c r="B80" s="8" t="s">
        <v>185</v>
      </c>
      <c r="C80" s="8" t="s">
        <v>5</v>
      </c>
      <c r="D80" s="8">
        <v>46.0</v>
      </c>
      <c r="E80" s="8">
        <v>1.0</v>
      </c>
      <c r="F80" s="8">
        <v>2.0</v>
      </c>
      <c r="G80" s="8">
        <v>1.0</v>
      </c>
      <c r="H80" s="14">
        <v>0.0</v>
      </c>
    </row>
    <row r="81">
      <c r="A81" s="8" t="s">
        <v>186</v>
      </c>
      <c r="B81" s="8" t="s">
        <v>187</v>
      </c>
      <c r="C81" s="8" t="s">
        <v>27</v>
      </c>
      <c r="D81" s="8">
        <v>34.0</v>
      </c>
      <c r="E81" s="8">
        <v>0.0</v>
      </c>
      <c r="F81" s="8">
        <v>1.0</v>
      </c>
      <c r="G81" s="8">
        <v>0.0</v>
      </c>
      <c r="H81" s="14">
        <v>0.0</v>
      </c>
    </row>
    <row r="82">
      <c r="A82" s="8" t="s">
        <v>188</v>
      </c>
      <c r="B82" s="8" t="s">
        <v>189</v>
      </c>
      <c r="C82" s="8" t="s">
        <v>29</v>
      </c>
      <c r="D82" s="8">
        <v>23.0</v>
      </c>
      <c r="E82" s="8">
        <v>0.0</v>
      </c>
      <c r="F82" s="8">
        <v>0.0</v>
      </c>
      <c r="G82" s="8">
        <v>0.0</v>
      </c>
      <c r="H82" s="14">
        <v>0.0</v>
      </c>
    </row>
    <row r="83">
      <c r="A83" s="8" t="s">
        <v>190</v>
      </c>
      <c r="B83" s="8" t="s">
        <v>191</v>
      </c>
      <c r="C83" s="8" t="s">
        <v>29</v>
      </c>
      <c r="D83" s="8">
        <v>23.0</v>
      </c>
      <c r="E83" s="8">
        <v>0.0</v>
      </c>
      <c r="F83" s="8">
        <v>0.0</v>
      </c>
      <c r="G83" s="8">
        <v>0.0</v>
      </c>
      <c r="H83" s="14">
        <v>0.0</v>
      </c>
    </row>
    <row r="84">
      <c r="A84" s="8" t="s">
        <v>192</v>
      </c>
      <c r="B84" s="8" t="s">
        <v>193</v>
      </c>
      <c r="C84" s="8" t="s">
        <v>26</v>
      </c>
      <c r="D84" s="8">
        <v>23.0</v>
      </c>
      <c r="E84" s="8">
        <v>0.0</v>
      </c>
      <c r="F84" s="8">
        <v>0.0</v>
      </c>
      <c r="G84" s="8">
        <v>0.0</v>
      </c>
      <c r="H84" s="14">
        <v>0.0</v>
      </c>
    </row>
    <row r="85">
      <c r="A85" s="8" t="s">
        <v>194</v>
      </c>
      <c r="B85" s="8" t="s">
        <v>195</v>
      </c>
      <c r="C85" s="8" t="s">
        <v>17</v>
      </c>
      <c r="D85" s="8">
        <v>0.0</v>
      </c>
      <c r="E85" s="8">
        <v>0.0</v>
      </c>
      <c r="F85" s="8">
        <v>0.0</v>
      </c>
      <c r="G85" s="8">
        <v>0.0</v>
      </c>
      <c r="H85" s="14">
        <v>0.0</v>
      </c>
    </row>
    <row r="86">
      <c r="A86" s="8" t="s">
        <v>196</v>
      </c>
      <c r="B86" s="8" t="s">
        <v>197</v>
      </c>
      <c r="C86" s="8" t="s">
        <v>17</v>
      </c>
      <c r="D86" s="8">
        <v>0.0</v>
      </c>
      <c r="E86" s="8">
        <v>0.0</v>
      </c>
      <c r="F86" s="8">
        <v>0.0</v>
      </c>
      <c r="G86" s="8">
        <v>0.0</v>
      </c>
      <c r="H86" s="14">
        <v>0.0</v>
      </c>
    </row>
    <row r="87">
      <c r="A87" s="8" t="s">
        <v>198</v>
      </c>
      <c r="B87" s="8"/>
      <c r="C87" s="8" t="s">
        <v>5</v>
      </c>
      <c r="D87" s="8">
        <v>0.0</v>
      </c>
      <c r="E87" s="8">
        <v>0.0</v>
      </c>
      <c r="F87" s="8">
        <v>0.0</v>
      </c>
      <c r="G87" s="8">
        <v>0.0</v>
      </c>
      <c r="H87" s="14">
        <v>0.0</v>
      </c>
    </row>
    <row r="88">
      <c r="A88" s="8" t="s">
        <v>33</v>
      </c>
      <c r="B88" s="8" t="s">
        <v>199</v>
      </c>
      <c r="C88" s="8" t="s">
        <v>5</v>
      </c>
      <c r="D88" s="8">
        <v>0.0</v>
      </c>
      <c r="E88" s="8">
        <v>0.0</v>
      </c>
      <c r="F88" s="8">
        <v>0.0</v>
      </c>
      <c r="G88" s="8">
        <v>0.0</v>
      </c>
      <c r="H88" s="14">
        <v>0.0</v>
      </c>
    </row>
    <row r="89">
      <c r="A89" s="8" t="s">
        <v>200</v>
      </c>
      <c r="B89" s="8" t="s">
        <v>201</v>
      </c>
      <c r="C89" s="8" t="s">
        <v>5</v>
      </c>
      <c r="D89" s="8">
        <v>0.0</v>
      </c>
      <c r="E89" s="8">
        <v>0.0</v>
      </c>
      <c r="F89" s="8">
        <v>0.0</v>
      </c>
      <c r="G89" s="8">
        <v>0.0</v>
      </c>
      <c r="H89" s="14">
        <v>0.0</v>
      </c>
    </row>
    <row r="90">
      <c r="A90" s="8" t="s">
        <v>202</v>
      </c>
      <c r="B90" s="8" t="s">
        <v>203</v>
      </c>
      <c r="C90" s="8" t="s">
        <v>30</v>
      </c>
      <c r="D90" s="8">
        <v>0.0</v>
      </c>
      <c r="E90" s="8">
        <v>0.0</v>
      </c>
      <c r="F90" s="8">
        <v>0.0</v>
      </c>
      <c r="G90" s="8">
        <v>0.0</v>
      </c>
      <c r="H90" s="14">
        <v>0.0</v>
      </c>
    </row>
    <row r="91">
      <c r="A91" s="8" t="s">
        <v>204</v>
      </c>
      <c r="B91" s="8"/>
      <c r="C91" s="8" t="s">
        <v>18</v>
      </c>
      <c r="D91" s="8">
        <v>0.0</v>
      </c>
      <c r="E91" s="8">
        <v>0.0</v>
      </c>
      <c r="F91" s="8">
        <v>0.0</v>
      </c>
      <c r="G91" s="8">
        <v>0.0</v>
      </c>
      <c r="H91" s="14">
        <v>0.0</v>
      </c>
    </row>
    <row r="92">
      <c r="A92" s="8" t="s">
        <v>205</v>
      </c>
      <c r="B92" s="8" t="s">
        <v>205</v>
      </c>
      <c r="C92" s="8" t="s">
        <v>31</v>
      </c>
      <c r="D92" s="8">
        <v>0.0</v>
      </c>
      <c r="E92" s="8">
        <v>0.0</v>
      </c>
      <c r="F92" s="8">
        <v>0.0</v>
      </c>
      <c r="G92" s="8">
        <v>0.0</v>
      </c>
      <c r="H92" s="14">
        <v>0.0</v>
      </c>
    </row>
    <row r="93">
      <c r="A93" s="8" t="s">
        <v>206</v>
      </c>
      <c r="B93" s="8" t="s">
        <v>207</v>
      </c>
      <c r="C93" s="8" t="s">
        <v>31</v>
      </c>
      <c r="D93" s="8">
        <v>0.0</v>
      </c>
      <c r="E93" s="8">
        <v>0.0</v>
      </c>
      <c r="F93" s="8">
        <v>0.0</v>
      </c>
      <c r="G93" s="8">
        <v>0.0</v>
      </c>
      <c r="H93" s="14">
        <v>0.0</v>
      </c>
    </row>
    <row r="94">
      <c r="A94" s="8" t="s">
        <v>164</v>
      </c>
      <c r="B94" s="8" t="s">
        <v>165</v>
      </c>
      <c r="C94" s="8" t="s">
        <v>16</v>
      </c>
      <c r="D94" s="8">
        <v>92.0</v>
      </c>
      <c r="E94" s="8">
        <v>0.0</v>
      </c>
      <c r="F94" s="8">
        <v>1.0</v>
      </c>
      <c r="G94" s="8">
        <v>1.0</v>
      </c>
      <c r="H94" s="14">
        <v>-1.0</v>
      </c>
    </row>
    <row r="95">
      <c r="H95" s="14"/>
    </row>
    <row r="96">
      <c r="H96" s="14"/>
    </row>
    <row r="97">
      <c r="H97" s="14"/>
    </row>
    <row r="98">
      <c r="H98" s="14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3.88"/>
    <col customWidth="1" min="3" max="3" width="29.38"/>
  </cols>
  <sheetData>
    <row r="1">
      <c r="A1" s="15" t="s">
        <v>1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6" t="s">
        <v>12</v>
      </c>
    </row>
    <row r="2">
      <c r="A2" s="8" t="str">
        <f t="array" ref="A2:H94">SORT('Biology Unsorted'!A3:H95, 8, FALSE, 4, FALSE, 3, TRUE, 1, TRUE)</f>
        <v>Grace</v>
      </c>
      <c r="B2" s="8" t="s">
        <v>47</v>
      </c>
      <c r="C2" s="8" t="s">
        <v>29</v>
      </c>
      <c r="D2" s="8">
        <v>20.0</v>
      </c>
      <c r="E2" s="8">
        <v>11.0</v>
      </c>
      <c r="F2" s="8">
        <v>3.0</v>
      </c>
      <c r="G2" s="8">
        <v>0.0</v>
      </c>
      <c r="H2" s="14">
        <v>8.8</v>
      </c>
    </row>
    <row r="3">
      <c r="A3" s="8" t="s">
        <v>49</v>
      </c>
      <c r="B3" s="8" t="s">
        <v>51</v>
      </c>
      <c r="C3" s="8" t="s">
        <v>23</v>
      </c>
      <c r="D3" s="8">
        <v>20.0</v>
      </c>
      <c r="E3" s="8">
        <v>10.0</v>
      </c>
      <c r="F3" s="8">
        <v>5.0</v>
      </c>
      <c r="G3" s="8">
        <v>0.0</v>
      </c>
      <c r="H3" s="14">
        <v>8.0</v>
      </c>
    </row>
    <row r="4">
      <c r="A4" s="8" t="s">
        <v>52</v>
      </c>
      <c r="B4" s="8" t="s">
        <v>54</v>
      </c>
      <c r="C4" s="8" t="s">
        <v>24</v>
      </c>
      <c r="D4" s="8">
        <v>13.0</v>
      </c>
      <c r="E4" s="8">
        <v>7.0</v>
      </c>
      <c r="F4" s="8">
        <v>4.0</v>
      </c>
      <c r="G4" s="8">
        <v>1.0</v>
      </c>
      <c r="H4" s="14">
        <v>7.38</v>
      </c>
    </row>
    <row r="5">
      <c r="A5" s="8" t="s">
        <v>56</v>
      </c>
      <c r="B5" s="8" t="s">
        <v>57</v>
      </c>
      <c r="C5" s="8" t="s">
        <v>14</v>
      </c>
      <c r="D5" s="8">
        <v>24.0</v>
      </c>
      <c r="E5" s="8">
        <v>15.0</v>
      </c>
      <c r="F5" s="8">
        <v>2.0</v>
      </c>
      <c r="G5" s="8">
        <v>4.0</v>
      </c>
      <c r="H5" s="14">
        <v>7.33</v>
      </c>
    </row>
    <row r="6">
      <c r="A6" s="8" t="s">
        <v>13</v>
      </c>
      <c r="B6" s="8" t="s">
        <v>60</v>
      </c>
      <c r="C6" s="8" t="s">
        <v>22</v>
      </c>
      <c r="D6" s="8">
        <v>24.0</v>
      </c>
      <c r="E6" s="8">
        <v>9.0</v>
      </c>
      <c r="F6" s="8">
        <v>0.0</v>
      </c>
      <c r="G6" s="8">
        <v>0.0</v>
      </c>
      <c r="H6" s="14">
        <v>6.0</v>
      </c>
    </row>
    <row r="7">
      <c r="A7" s="8" t="s">
        <v>61</v>
      </c>
      <c r="B7" s="8" t="s">
        <v>62</v>
      </c>
      <c r="C7" s="8" t="s">
        <v>19</v>
      </c>
      <c r="D7" s="8">
        <v>12.0</v>
      </c>
      <c r="E7" s="8">
        <v>4.0</v>
      </c>
      <c r="F7" s="8">
        <v>1.0</v>
      </c>
      <c r="G7" s="8">
        <v>0.0</v>
      </c>
      <c r="H7" s="14">
        <v>5.33</v>
      </c>
    </row>
    <row r="8">
      <c r="A8" s="8" t="s">
        <v>65</v>
      </c>
      <c r="B8" s="8" t="s">
        <v>66</v>
      </c>
      <c r="C8" s="8" t="s">
        <v>19</v>
      </c>
      <c r="D8" s="8">
        <v>16.0</v>
      </c>
      <c r="E8" s="8">
        <v>4.0</v>
      </c>
      <c r="F8" s="8">
        <v>0.0</v>
      </c>
      <c r="G8" s="8">
        <v>0.0</v>
      </c>
      <c r="H8" s="14">
        <v>4.0</v>
      </c>
    </row>
    <row r="9">
      <c r="A9" s="8" t="s">
        <v>37</v>
      </c>
      <c r="B9" s="8" t="s">
        <v>38</v>
      </c>
      <c r="C9" s="8" t="s">
        <v>18</v>
      </c>
      <c r="D9" s="8">
        <v>20.0</v>
      </c>
      <c r="E9" s="8">
        <v>4.0</v>
      </c>
      <c r="F9" s="8">
        <v>5.0</v>
      </c>
      <c r="G9" s="8">
        <v>0.0</v>
      </c>
      <c r="H9" s="14">
        <v>3.2</v>
      </c>
    </row>
    <row r="10">
      <c r="A10" s="8" t="s">
        <v>69</v>
      </c>
      <c r="B10" s="8" t="s">
        <v>71</v>
      </c>
      <c r="C10" s="8" t="s">
        <v>28</v>
      </c>
      <c r="D10" s="8">
        <v>16.0</v>
      </c>
      <c r="E10" s="8">
        <v>3.0</v>
      </c>
      <c r="F10" s="8">
        <v>2.0</v>
      </c>
      <c r="G10" s="8">
        <v>0.0</v>
      </c>
      <c r="H10" s="14">
        <v>3.0</v>
      </c>
    </row>
    <row r="11">
      <c r="A11" s="8" t="s">
        <v>73</v>
      </c>
      <c r="B11" s="8" t="s">
        <v>34</v>
      </c>
      <c r="C11" s="8" t="s">
        <v>15</v>
      </c>
      <c r="D11" s="8">
        <v>24.0</v>
      </c>
      <c r="E11" s="8">
        <v>6.0</v>
      </c>
      <c r="F11" s="8">
        <v>5.0</v>
      </c>
      <c r="G11" s="8">
        <v>2.0</v>
      </c>
      <c r="H11" s="14">
        <v>2.67</v>
      </c>
    </row>
    <row r="12">
      <c r="A12" s="8" t="s">
        <v>45</v>
      </c>
      <c r="B12" s="8" t="s">
        <v>46</v>
      </c>
      <c r="C12" s="8" t="s">
        <v>20</v>
      </c>
      <c r="D12" s="8">
        <v>24.0</v>
      </c>
      <c r="E12" s="8">
        <v>4.0</v>
      </c>
      <c r="F12" s="8">
        <v>8.0</v>
      </c>
      <c r="G12" s="8">
        <v>0.0</v>
      </c>
      <c r="H12" s="14">
        <v>2.67</v>
      </c>
    </row>
    <row r="13">
      <c r="A13" s="8" t="s">
        <v>53</v>
      </c>
      <c r="B13" s="8" t="s">
        <v>55</v>
      </c>
      <c r="C13" s="8" t="s">
        <v>24</v>
      </c>
      <c r="D13" s="8">
        <v>18.0</v>
      </c>
      <c r="E13" s="8">
        <v>3.0</v>
      </c>
      <c r="F13" s="8">
        <v>2.0</v>
      </c>
      <c r="G13" s="8">
        <v>0.0</v>
      </c>
      <c r="H13" s="14">
        <v>2.67</v>
      </c>
    </row>
    <row r="14">
      <c r="A14" s="8" t="s">
        <v>82</v>
      </c>
      <c r="B14" s="8" t="s">
        <v>83</v>
      </c>
      <c r="C14" s="8" t="s">
        <v>19</v>
      </c>
      <c r="D14" s="8">
        <v>12.0</v>
      </c>
      <c r="E14" s="8">
        <v>2.0</v>
      </c>
      <c r="F14" s="8">
        <v>0.0</v>
      </c>
      <c r="G14" s="8">
        <v>0.0</v>
      </c>
      <c r="H14" s="14">
        <v>2.67</v>
      </c>
    </row>
    <row r="15">
      <c r="A15" s="8" t="s">
        <v>84</v>
      </c>
      <c r="B15" s="8" t="s">
        <v>85</v>
      </c>
      <c r="C15" s="8" t="s">
        <v>31</v>
      </c>
      <c r="D15" s="8">
        <v>12.0</v>
      </c>
      <c r="E15" s="8">
        <v>2.0</v>
      </c>
      <c r="F15" s="8">
        <v>1.0</v>
      </c>
      <c r="G15" s="8">
        <v>0.0</v>
      </c>
      <c r="H15" s="14">
        <v>2.67</v>
      </c>
    </row>
    <row r="16">
      <c r="A16" s="8" t="s">
        <v>39</v>
      </c>
      <c r="B16" s="8" t="s">
        <v>40</v>
      </c>
      <c r="C16" s="8" t="s">
        <v>21</v>
      </c>
      <c r="D16" s="8">
        <v>20.0</v>
      </c>
      <c r="E16" s="8">
        <v>3.0</v>
      </c>
      <c r="F16" s="8">
        <v>7.0</v>
      </c>
      <c r="G16" s="8">
        <v>0.0</v>
      </c>
      <c r="H16" s="14">
        <v>2.4</v>
      </c>
    </row>
    <row r="17">
      <c r="A17" s="8" t="s">
        <v>90</v>
      </c>
      <c r="B17" s="8" t="s">
        <v>91</v>
      </c>
      <c r="C17" s="8" t="s">
        <v>25</v>
      </c>
      <c r="D17" s="8">
        <v>14.0</v>
      </c>
      <c r="E17" s="8">
        <v>2.0</v>
      </c>
      <c r="F17" s="8">
        <v>0.0</v>
      </c>
      <c r="G17" s="8">
        <v>0.0</v>
      </c>
      <c r="H17" s="14">
        <v>2.29</v>
      </c>
    </row>
    <row r="18">
      <c r="A18" s="8" t="s">
        <v>93</v>
      </c>
      <c r="B18" s="8" t="s">
        <v>94</v>
      </c>
      <c r="C18" s="8" t="s">
        <v>30</v>
      </c>
      <c r="D18" s="8">
        <v>16.0</v>
      </c>
      <c r="E18" s="8">
        <v>2.0</v>
      </c>
      <c r="F18" s="8">
        <v>5.0</v>
      </c>
      <c r="G18" s="8">
        <v>0.0</v>
      </c>
      <c r="H18" s="14">
        <v>2.0</v>
      </c>
    </row>
    <row r="19">
      <c r="A19" s="8" t="s">
        <v>70</v>
      </c>
      <c r="B19" s="8" t="s">
        <v>72</v>
      </c>
      <c r="C19" s="8" t="s">
        <v>28</v>
      </c>
      <c r="D19" s="8">
        <v>16.0</v>
      </c>
      <c r="E19" s="8">
        <v>2.0</v>
      </c>
      <c r="F19" s="8">
        <v>0.0</v>
      </c>
      <c r="G19" s="8">
        <v>0.0</v>
      </c>
      <c r="H19" s="14">
        <v>2.0</v>
      </c>
    </row>
    <row r="20">
      <c r="A20" s="8" t="s">
        <v>97</v>
      </c>
      <c r="B20" s="8" t="s">
        <v>98</v>
      </c>
      <c r="C20" s="8" t="s">
        <v>28</v>
      </c>
      <c r="D20" s="8">
        <v>8.0</v>
      </c>
      <c r="E20" s="8">
        <v>1.0</v>
      </c>
      <c r="F20" s="8">
        <v>2.0</v>
      </c>
      <c r="G20" s="8">
        <v>0.0</v>
      </c>
      <c r="H20" s="14">
        <v>2.0</v>
      </c>
    </row>
    <row r="21">
      <c r="A21" s="8" t="s">
        <v>100</v>
      </c>
      <c r="B21" s="8" t="s">
        <v>100</v>
      </c>
      <c r="C21" s="8" t="s">
        <v>31</v>
      </c>
      <c r="D21" s="8">
        <v>8.0</v>
      </c>
      <c r="E21" s="8">
        <v>1.0</v>
      </c>
      <c r="F21" s="8">
        <v>0.0</v>
      </c>
      <c r="G21" s="8">
        <v>0.0</v>
      </c>
      <c r="H21" s="14">
        <v>2.0</v>
      </c>
    </row>
    <row r="22">
      <c r="A22" s="8" t="s">
        <v>102</v>
      </c>
      <c r="B22" s="8" t="s">
        <v>103</v>
      </c>
      <c r="C22" s="8" t="s">
        <v>23</v>
      </c>
      <c r="D22" s="8">
        <v>20.0</v>
      </c>
      <c r="E22" s="8">
        <v>2.0</v>
      </c>
      <c r="F22" s="8">
        <v>0.0</v>
      </c>
      <c r="G22" s="8">
        <v>0.0</v>
      </c>
      <c r="H22" s="14">
        <v>1.6</v>
      </c>
    </row>
    <row r="23">
      <c r="A23" s="8" t="s">
        <v>79</v>
      </c>
      <c r="B23" s="8" t="s">
        <v>80</v>
      </c>
      <c r="C23" s="8" t="s">
        <v>22</v>
      </c>
      <c r="D23" s="8">
        <v>22.0</v>
      </c>
      <c r="E23" s="8">
        <v>3.0</v>
      </c>
      <c r="F23" s="8">
        <v>1.0</v>
      </c>
      <c r="G23" s="8">
        <v>1.0</v>
      </c>
      <c r="H23" s="14">
        <v>1.45</v>
      </c>
    </row>
    <row r="24">
      <c r="A24" s="8" t="s">
        <v>104</v>
      </c>
      <c r="B24" s="8" t="s">
        <v>105</v>
      </c>
      <c r="C24" s="8" t="s">
        <v>27</v>
      </c>
      <c r="D24" s="8">
        <v>23.0</v>
      </c>
      <c r="E24" s="8">
        <v>4.0</v>
      </c>
      <c r="F24" s="8">
        <v>4.0</v>
      </c>
      <c r="G24" s="8">
        <v>2.0</v>
      </c>
      <c r="H24" s="14">
        <v>1.39</v>
      </c>
    </row>
    <row r="25">
      <c r="A25" s="8" t="s">
        <v>13</v>
      </c>
      <c r="B25" s="8" t="s">
        <v>92</v>
      </c>
      <c r="C25" s="8" t="s">
        <v>25</v>
      </c>
      <c r="D25" s="8">
        <v>24.0</v>
      </c>
      <c r="E25" s="8">
        <v>3.0</v>
      </c>
      <c r="F25" s="8">
        <v>3.0</v>
      </c>
      <c r="G25" s="8">
        <v>1.0</v>
      </c>
      <c r="H25" s="14">
        <v>1.33</v>
      </c>
    </row>
    <row r="26">
      <c r="A26" s="8" t="s">
        <v>76</v>
      </c>
      <c r="B26" s="8" t="s">
        <v>77</v>
      </c>
      <c r="C26" s="8" t="s">
        <v>26</v>
      </c>
      <c r="D26" s="8">
        <v>12.0</v>
      </c>
      <c r="E26" s="8">
        <v>1.0</v>
      </c>
      <c r="F26" s="8">
        <v>1.0</v>
      </c>
      <c r="G26" s="8">
        <v>0.0</v>
      </c>
      <c r="H26" s="14">
        <v>1.33</v>
      </c>
    </row>
    <row r="27">
      <c r="A27" s="8" t="s">
        <v>82</v>
      </c>
      <c r="B27" s="8" t="s">
        <v>110</v>
      </c>
      <c r="C27" s="8" t="s">
        <v>5</v>
      </c>
      <c r="D27" s="8">
        <v>12.0</v>
      </c>
      <c r="E27" s="8">
        <v>1.0</v>
      </c>
      <c r="F27" s="8">
        <v>1.0</v>
      </c>
      <c r="G27" s="8">
        <v>0.0</v>
      </c>
      <c r="H27" s="14">
        <v>1.33</v>
      </c>
    </row>
    <row r="28">
      <c r="A28" s="8" t="s">
        <v>111</v>
      </c>
      <c r="B28" s="8" t="s">
        <v>112</v>
      </c>
      <c r="C28" s="8" t="s">
        <v>28</v>
      </c>
      <c r="D28" s="8">
        <v>12.0</v>
      </c>
      <c r="E28" s="8">
        <v>1.0</v>
      </c>
      <c r="F28" s="8">
        <v>0.0</v>
      </c>
      <c r="G28" s="8">
        <v>0.0</v>
      </c>
      <c r="H28" s="14">
        <v>1.33</v>
      </c>
    </row>
    <row r="29">
      <c r="A29" s="8" t="s">
        <v>113</v>
      </c>
      <c r="B29" s="8" t="s">
        <v>114</v>
      </c>
      <c r="C29" s="8" t="s">
        <v>15</v>
      </c>
      <c r="D29" s="8">
        <v>13.0</v>
      </c>
      <c r="E29" s="8">
        <v>1.0</v>
      </c>
      <c r="F29" s="8">
        <v>0.0</v>
      </c>
      <c r="G29" s="8">
        <v>0.0</v>
      </c>
      <c r="H29" s="14">
        <v>1.23</v>
      </c>
    </row>
    <row r="30">
      <c r="A30" s="8" t="s">
        <v>115</v>
      </c>
      <c r="B30" s="8" t="s">
        <v>116</v>
      </c>
      <c r="C30" s="8" t="s">
        <v>20</v>
      </c>
      <c r="D30" s="8">
        <v>16.0</v>
      </c>
      <c r="E30" s="8">
        <v>1.0</v>
      </c>
      <c r="F30" s="8">
        <v>1.0</v>
      </c>
      <c r="G30" s="8">
        <v>0.0</v>
      </c>
      <c r="H30" s="14">
        <v>1.0</v>
      </c>
    </row>
    <row r="31">
      <c r="A31" s="8" t="s">
        <v>58</v>
      </c>
      <c r="B31" s="8" t="s">
        <v>59</v>
      </c>
      <c r="C31" s="8" t="s">
        <v>16</v>
      </c>
      <c r="D31" s="8">
        <v>16.0</v>
      </c>
      <c r="E31" s="8">
        <v>1.0</v>
      </c>
      <c r="F31" s="8">
        <v>3.0</v>
      </c>
      <c r="G31" s="8">
        <v>0.0</v>
      </c>
      <c r="H31" s="14">
        <v>1.0</v>
      </c>
    </row>
    <row r="32">
      <c r="A32" s="8" t="s">
        <v>88</v>
      </c>
      <c r="B32" s="8" t="s">
        <v>89</v>
      </c>
      <c r="C32" s="8" t="s">
        <v>31</v>
      </c>
      <c r="D32" s="8">
        <v>16.0</v>
      </c>
      <c r="E32" s="8">
        <v>1.0</v>
      </c>
      <c r="F32" s="8">
        <v>4.0</v>
      </c>
      <c r="G32" s="8">
        <v>0.0</v>
      </c>
      <c r="H32" s="14">
        <v>1.0</v>
      </c>
    </row>
    <row r="33">
      <c r="A33" s="8" t="s">
        <v>99</v>
      </c>
      <c r="B33" s="8" t="s">
        <v>101</v>
      </c>
      <c r="C33" s="8" t="s">
        <v>22</v>
      </c>
      <c r="D33" s="8">
        <v>17.0</v>
      </c>
      <c r="E33" s="8">
        <v>2.0</v>
      </c>
      <c r="F33" s="8">
        <v>3.0</v>
      </c>
      <c r="G33" s="8">
        <v>1.0</v>
      </c>
      <c r="H33" s="14">
        <v>0.94</v>
      </c>
    </row>
    <row r="34">
      <c r="A34" s="8" t="s">
        <v>86</v>
      </c>
      <c r="B34" s="8" t="s">
        <v>87</v>
      </c>
      <c r="C34" s="8" t="s">
        <v>16</v>
      </c>
      <c r="D34" s="8">
        <v>20.0</v>
      </c>
      <c r="E34" s="8">
        <v>2.0</v>
      </c>
      <c r="F34" s="8">
        <v>6.0</v>
      </c>
      <c r="G34" s="8">
        <v>1.0</v>
      </c>
      <c r="H34" s="14">
        <v>0.8</v>
      </c>
    </row>
    <row r="35">
      <c r="A35" s="8" t="s">
        <v>122</v>
      </c>
      <c r="B35" s="8" t="s">
        <v>123</v>
      </c>
      <c r="C35" s="8" t="s">
        <v>27</v>
      </c>
      <c r="D35" s="8">
        <v>20.0</v>
      </c>
      <c r="E35" s="8">
        <v>1.0</v>
      </c>
      <c r="F35" s="8">
        <v>2.0</v>
      </c>
      <c r="G35" s="8">
        <v>0.0</v>
      </c>
      <c r="H35" s="14">
        <v>0.8</v>
      </c>
    </row>
    <row r="36">
      <c r="A36" s="8" t="s">
        <v>124</v>
      </c>
      <c r="B36" s="8" t="s">
        <v>125</v>
      </c>
      <c r="C36" s="8" t="s">
        <v>25</v>
      </c>
      <c r="D36" s="8">
        <v>22.0</v>
      </c>
      <c r="E36" s="8">
        <v>1.0</v>
      </c>
      <c r="F36" s="8">
        <v>1.0</v>
      </c>
      <c r="G36" s="8">
        <v>0.0</v>
      </c>
      <c r="H36" s="14">
        <v>0.73</v>
      </c>
    </row>
    <row r="37">
      <c r="A37" s="8" t="s">
        <v>95</v>
      </c>
      <c r="B37" s="8" t="s">
        <v>96</v>
      </c>
      <c r="C37" s="8" t="s">
        <v>25</v>
      </c>
      <c r="D37" s="8">
        <v>24.0</v>
      </c>
      <c r="E37" s="8">
        <v>1.0</v>
      </c>
      <c r="F37" s="8">
        <v>0.0</v>
      </c>
      <c r="G37" s="8">
        <v>0.0</v>
      </c>
      <c r="H37" s="14">
        <v>0.67</v>
      </c>
    </row>
    <row r="38">
      <c r="A38" s="8" t="s">
        <v>41</v>
      </c>
      <c r="B38" s="8" t="s">
        <v>42</v>
      </c>
      <c r="C38" s="8" t="s">
        <v>14</v>
      </c>
      <c r="D38" s="8">
        <v>24.0</v>
      </c>
      <c r="E38" s="8">
        <v>1.0</v>
      </c>
      <c r="F38" s="8">
        <v>0.0</v>
      </c>
      <c r="G38" s="8">
        <v>0.0</v>
      </c>
      <c r="H38" s="14">
        <v>0.67</v>
      </c>
    </row>
    <row r="39">
      <c r="A39" s="8" t="s">
        <v>127</v>
      </c>
      <c r="B39" s="8" t="s">
        <v>129</v>
      </c>
      <c r="C39" s="8" t="s">
        <v>15</v>
      </c>
      <c r="D39" s="8">
        <v>24.0</v>
      </c>
      <c r="E39" s="8">
        <v>0.0</v>
      </c>
      <c r="F39" s="8">
        <v>1.0</v>
      </c>
      <c r="G39" s="8">
        <v>0.0</v>
      </c>
      <c r="H39" s="14">
        <v>0.0</v>
      </c>
    </row>
    <row r="40">
      <c r="A40" s="8" t="s">
        <v>108</v>
      </c>
      <c r="B40" s="8" t="s">
        <v>109</v>
      </c>
      <c r="C40" s="8" t="s">
        <v>20</v>
      </c>
      <c r="D40" s="8">
        <v>24.0</v>
      </c>
      <c r="E40" s="8">
        <v>0.0</v>
      </c>
      <c r="F40" s="8">
        <v>0.0</v>
      </c>
      <c r="G40" s="8">
        <v>0.0</v>
      </c>
      <c r="H40" s="14">
        <v>0.0</v>
      </c>
    </row>
    <row r="41">
      <c r="A41" s="8" t="s">
        <v>132</v>
      </c>
      <c r="B41" s="8" t="s">
        <v>133</v>
      </c>
      <c r="C41" s="8" t="s">
        <v>14</v>
      </c>
      <c r="D41" s="8">
        <v>24.0</v>
      </c>
      <c r="E41" s="8">
        <v>0.0</v>
      </c>
      <c r="F41" s="8">
        <v>0.0</v>
      </c>
      <c r="G41" s="8">
        <v>0.0</v>
      </c>
      <c r="H41" s="14">
        <v>0.0</v>
      </c>
    </row>
    <row r="42">
      <c r="A42" s="8" t="s">
        <v>48</v>
      </c>
      <c r="B42" s="8" t="s">
        <v>50</v>
      </c>
      <c r="C42" s="8" t="s">
        <v>27</v>
      </c>
      <c r="D42" s="8">
        <v>24.0</v>
      </c>
      <c r="E42" s="8">
        <v>0.0</v>
      </c>
      <c r="F42" s="8">
        <v>0.0</v>
      </c>
      <c r="G42" s="8">
        <v>0.0</v>
      </c>
      <c r="H42" s="14">
        <v>0.0</v>
      </c>
    </row>
    <row r="43">
      <c r="A43" s="8" t="s">
        <v>134</v>
      </c>
      <c r="B43" s="8" t="s">
        <v>135</v>
      </c>
      <c r="C43" s="8" t="s">
        <v>22</v>
      </c>
      <c r="D43" s="8">
        <v>23.0</v>
      </c>
      <c r="E43" s="8">
        <v>0.0</v>
      </c>
      <c r="F43" s="8">
        <v>0.0</v>
      </c>
      <c r="G43" s="8">
        <v>0.0</v>
      </c>
      <c r="H43" s="14">
        <v>0.0</v>
      </c>
    </row>
    <row r="44">
      <c r="A44" s="8" t="s">
        <v>138</v>
      </c>
      <c r="B44" s="8" t="s">
        <v>139</v>
      </c>
      <c r="C44" s="8" t="s">
        <v>27</v>
      </c>
      <c r="D44" s="8">
        <v>22.0</v>
      </c>
      <c r="E44" s="8">
        <v>0.0</v>
      </c>
      <c r="F44" s="8">
        <v>0.0</v>
      </c>
      <c r="G44" s="8">
        <v>0.0</v>
      </c>
      <c r="H44" s="14">
        <v>0.0</v>
      </c>
    </row>
    <row r="45">
      <c r="A45" s="8" t="s">
        <v>63</v>
      </c>
      <c r="B45" s="8" t="s">
        <v>64</v>
      </c>
      <c r="C45" s="8" t="s">
        <v>15</v>
      </c>
      <c r="D45" s="8">
        <v>20.0</v>
      </c>
      <c r="E45" s="8">
        <v>0.0</v>
      </c>
      <c r="F45" s="8">
        <v>0.0</v>
      </c>
      <c r="G45" s="8">
        <v>0.0</v>
      </c>
      <c r="H45" s="14">
        <v>0.0</v>
      </c>
    </row>
    <row r="46">
      <c r="A46" s="8" t="s">
        <v>67</v>
      </c>
      <c r="B46" s="8" t="s">
        <v>68</v>
      </c>
      <c r="C46" s="8" t="s">
        <v>29</v>
      </c>
      <c r="D46" s="8">
        <v>20.0</v>
      </c>
      <c r="E46" s="8">
        <v>0.0</v>
      </c>
      <c r="F46" s="8">
        <v>1.0</v>
      </c>
      <c r="G46" s="8">
        <v>0.0</v>
      </c>
      <c r="H46" s="14">
        <v>0.0</v>
      </c>
    </row>
    <row r="47">
      <c r="A47" s="8" t="s">
        <v>143</v>
      </c>
      <c r="B47" s="8" t="s">
        <v>145</v>
      </c>
      <c r="C47" s="8" t="s">
        <v>21</v>
      </c>
      <c r="D47" s="8">
        <v>20.0</v>
      </c>
      <c r="E47" s="8">
        <v>0.0</v>
      </c>
      <c r="F47" s="8">
        <v>3.0</v>
      </c>
      <c r="G47" s="8">
        <v>0.0</v>
      </c>
      <c r="H47" s="14">
        <v>0.0</v>
      </c>
    </row>
    <row r="48">
      <c r="A48" s="8" t="s">
        <v>43</v>
      </c>
      <c r="B48" s="8" t="s">
        <v>44</v>
      </c>
      <c r="C48" s="8" t="s">
        <v>23</v>
      </c>
      <c r="D48" s="8">
        <v>20.0</v>
      </c>
      <c r="E48" s="8">
        <v>0.0</v>
      </c>
      <c r="F48" s="8">
        <v>3.0</v>
      </c>
      <c r="G48" s="8">
        <v>0.0</v>
      </c>
      <c r="H48" s="14">
        <v>0.0</v>
      </c>
    </row>
    <row r="49">
      <c r="A49" s="8" t="s">
        <v>126</v>
      </c>
      <c r="B49" s="8" t="s">
        <v>128</v>
      </c>
      <c r="C49" s="8" t="s">
        <v>20</v>
      </c>
      <c r="D49" s="8">
        <v>20.0</v>
      </c>
      <c r="E49" s="8">
        <v>0.0</v>
      </c>
      <c r="F49" s="8">
        <v>0.0</v>
      </c>
      <c r="G49" s="8">
        <v>0.0</v>
      </c>
      <c r="H49" s="14">
        <v>0.0</v>
      </c>
    </row>
    <row r="50">
      <c r="A50" s="8" t="s">
        <v>117</v>
      </c>
      <c r="B50" s="8" t="s">
        <v>118</v>
      </c>
      <c r="C50" s="8" t="s">
        <v>18</v>
      </c>
      <c r="D50" s="8">
        <v>20.0</v>
      </c>
      <c r="E50" s="8">
        <v>0.0</v>
      </c>
      <c r="F50" s="8">
        <v>0.0</v>
      </c>
      <c r="G50" s="8">
        <v>0.0</v>
      </c>
      <c r="H50" s="14">
        <v>0.0</v>
      </c>
    </row>
    <row r="51">
      <c r="A51" s="8" t="s">
        <v>152</v>
      </c>
      <c r="B51" s="8" t="s">
        <v>153</v>
      </c>
      <c r="C51" s="8" t="s">
        <v>21</v>
      </c>
      <c r="D51" s="8">
        <v>18.0</v>
      </c>
      <c r="E51" s="8">
        <v>0.0</v>
      </c>
      <c r="F51" s="8">
        <v>0.0</v>
      </c>
      <c r="G51" s="8">
        <v>0.0</v>
      </c>
      <c r="H51" s="14">
        <v>0.0</v>
      </c>
    </row>
    <row r="52">
      <c r="A52" s="8" t="s">
        <v>140</v>
      </c>
      <c r="B52" s="8" t="s">
        <v>141</v>
      </c>
      <c r="C52" s="8" t="s">
        <v>29</v>
      </c>
      <c r="D52" s="8">
        <v>16.0</v>
      </c>
      <c r="E52" s="8">
        <v>0.0</v>
      </c>
      <c r="F52" s="8">
        <v>0.0</v>
      </c>
      <c r="G52" s="8">
        <v>0.0</v>
      </c>
      <c r="H52" s="14">
        <v>0.0</v>
      </c>
    </row>
    <row r="53">
      <c r="A53" s="8" t="s">
        <v>154</v>
      </c>
      <c r="B53" s="8" t="s">
        <v>156</v>
      </c>
      <c r="C53" s="8" t="s">
        <v>29</v>
      </c>
      <c r="D53" s="8">
        <v>16.0</v>
      </c>
      <c r="E53" s="8">
        <v>0.0</v>
      </c>
      <c r="F53" s="8">
        <v>0.0</v>
      </c>
      <c r="G53" s="8">
        <v>0.0</v>
      </c>
      <c r="H53" s="14">
        <v>0.0</v>
      </c>
    </row>
    <row r="54">
      <c r="A54" s="8" t="s">
        <v>35</v>
      </c>
      <c r="B54" s="8" t="s">
        <v>36</v>
      </c>
      <c r="C54" s="8" t="s">
        <v>17</v>
      </c>
      <c r="D54" s="8">
        <v>16.0</v>
      </c>
      <c r="E54" s="8">
        <v>0.0</v>
      </c>
      <c r="F54" s="8">
        <v>3.0</v>
      </c>
      <c r="G54" s="8">
        <v>0.0</v>
      </c>
      <c r="H54" s="14">
        <v>0.0</v>
      </c>
    </row>
    <row r="55">
      <c r="A55" s="8" t="s">
        <v>158</v>
      </c>
      <c r="B55" s="8" t="s">
        <v>159</v>
      </c>
      <c r="C55" s="8" t="s">
        <v>17</v>
      </c>
      <c r="D55" s="8">
        <v>16.0</v>
      </c>
      <c r="E55" s="8">
        <v>0.0</v>
      </c>
      <c r="F55" s="8">
        <v>1.0</v>
      </c>
      <c r="G55" s="8">
        <v>0.0</v>
      </c>
      <c r="H55" s="14">
        <v>0.0</v>
      </c>
    </row>
    <row r="56">
      <c r="A56" s="8" t="s">
        <v>142</v>
      </c>
      <c r="B56" s="8" t="s">
        <v>144</v>
      </c>
      <c r="C56" s="8" t="s">
        <v>23</v>
      </c>
      <c r="D56" s="8">
        <v>16.0</v>
      </c>
      <c r="E56" s="8">
        <v>0.0</v>
      </c>
      <c r="F56" s="8">
        <v>0.0</v>
      </c>
      <c r="G56" s="8">
        <v>0.0</v>
      </c>
      <c r="H56" s="14">
        <v>0.0</v>
      </c>
    </row>
    <row r="57">
      <c r="A57" s="8" t="s">
        <v>162</v>
      </c>
      <c r="B57" s="8" t="s">
        <v>163</v>
      </c>
      <c r="C57" s="8" t="s">
        <v>16</v>
      </c>
      <c r="D57" s="8">
        <v>16.0</v>
      </c>
      <c r="E57" s="8">
        <v>0.0</v>
      </c>
      <c r="F57" s="8">
        <v>0.0</v>
      </c>
      <c r="G57" s="8">
        <v>0.0</v>
      </c>
      <c r="H57" s="14">
        <v>0.0</v>
      </c>
    </row>
    <row r="58">
      <c r="A58" s="8" t="s">
        <v>164</v>
      </c>
      <c r="B58" s="8" t="s">
        <v>165</v>
      </c>
      <c r="C58" s="8" t="s">
        <v>16</v>
      </c>
      <c r="D58" s="8">
        <v>16.0</v>
      </c>
      <c r="E58" s="8">
        <v>0.0</v>
      </c>
      <c r="F58" s="8">
        <v>0.0</v>
      </c>
      <c r="G58" s="8">
        <v>0.0</v>
      </c>
      <c r="H58" s="14">
        <v>0.0</v>
      </c>
    </row>
    <row r="59">
      <c r="A59" s="8" t="s">
        <v>155</v>
      </c>
      <c r="B59" s="8" t="s">
        <v>157</v>
      </c>
      <c r="C59" s="8" t="s">
        <v>24</v>
      </c>
      <c r="D59" s="8">
        <v>16.0</v>
      </c>
      <c r="E59" s="8">
        <v>0.0</v>
      </c>
      <c r="F59" s="8">
        <v>0.0</v>
      </c>
      <c r="G59" s="8">
        <v>0.0</v>
      </c>
      <c r="H59" s="14">
        <v>0.0</v>
      </c>
    </row>
    <row r="60">
      <c r="A60" s="8" t="s">
        <v>74</v>
      </c>
      <c r="B60" s="8" t="s">
        <v>75</v>
      </c>
      <c r="C60" s="8" t="s">
        <v>19</v>
      </c>
      <c r="D60" s="8">
        <v>16.0</v>
      </c>
      <c r="E60" s="8">
        <v>0.0</v>
      </c>
      <c r="F60" s="8">
        <v>0.0</v>
      </c>
      <c r="G60" s="8">
        <v>0.0</v>
      </c>
      <c r="H60" s="14">
        <v>0.0</v>
      </c>
    </row>
    <row r="61">
      <c r="A61" s="8" t="s">
        <v>167</v>
      </c>
      <c r="B61" s="8" t="s">
        <v>168</v>
      </c>
      <c r="C61" s="8" t="s">
        <v>31</v>
      </c>
      <c r="D61" s="8">
        <v>16.0</v>
      </c>
      <c r="E61" s="8">
        <v>0.0</v>
      </c>
      <c r="F61" s="8">
        <v>0.0</v>
      </c>
      <c r="G61" s="8">
        <v>0.0</v>
      </c>
      <c r="H61" s="14">
        <v>0.0</v>
      </c>
    </row>
    <row r="62">
      <c r="A62" s="8" t="s">
        <v>169</v>
      </c>
      <c r="B62" s="8" t="s">
        <v>170</v>
      </c>
      <c r="C62" s="8" t="s">
        <v>15</v>
      </c>
      <c r="D62" s="8">
        <v>15.0</v>
      </c>
      <c r="E62" s="8">
        <v>0.0</v>
      </c>
      <c r="F62" s="8">
        <v>0.0</v>
      </c>
      <c r="G62" s="8">
        <v>0.0</v>
      </c>
      <c r="H62" s="14">
        <v>0.0</v>
      </c>
    </row>
    <row r="63">
      <c r="A63" s="8" t="s">
        <v>136</v>
      </c>
      <c r="B63" s="8" t="s">
        <v>137</v>
      </c>
      <c r="C63" s="8" t="s">
        <v>24</v>
      </c>
      <c r="D63" s="8">
        <v>15.0</v>
      </c>
      <c r="E63" s="8">
        <v>0.0</v>
      </c>
      <c r="F63" s="8">
        <v>0.0</v>
      </c>
      <c r="G63" s="8">
        <v>0.0</v>
      </c>
      <c r="H63" s="14">
        <v>0.0</v>
      </c>
    </row>
    <row r="64">
      <c r="A64" s="8" t="s">
        <v>13</v>
      </c>
      <c r="B64" s="8" t="s">
        <v>121</v>
      </c>
      <c r="C64" s="8" t="s">
        <v>24</v>
      </c>
      <c r="D64" s="8">
        <v>15.0</v>
      </c>
      <c r="E64" s="8">
        <v>0.0</v>
      </c>
      <c r="F64" s="8">
        <v>0.0</v>
      </c>
      <c r="G64" s="8">
        <v>0.0</v>
      </c>
      <c r="H64" s="14">
        <v>0.0</v>
      </c>
    </row>
    <row r="65">
      <c r="A65" s="8" t="s">
        <v>106</v>
      </c>
      <c r="B65" s="8" t="s">
        <v>107</v>
      </c>
      <c r="C65" s="8" t="s">
        <v>19</v>
      </c>
      <c r="D65" s="8">
        <v>14.0</v>
      </c>
      <c r="E65" s="8">
        <v>0.0</v>
      </c>
      <c r="F65" s="8">
        <v>0.0</v>
      </c>
      <c r="G65" s="8">
        <v>0.0</v>
      </c>
      <c r="H65" s="14">
        <v>0.0</v>
      </c>
    </row>
    <row r="66">
      <c r="A66" s="8" t="s">
        <v>146</v>
      </c>
      <c r="B66" s="8" t="s">
        <v>147</v>
      </c>
      <c r="C66" s="8" t="s">
        <v>5</v>
      </c>
      <c r="D66" s="8">
        <v>12.0</v>
      </c>
      <c r="E66" s="8">
        <v>0.0</v>
      </c>
      <c r="F66" s="8">
        <v>0.0</v>
      </c>
      <c r="G66" s="8">
        <v>0.0</v>
      </c>
      <c r="H66" s="14">
        <v>0.0</v>
      </c>
    </row>
    <row r="67">
      <c r="A67" s="8" t="s">
        <v>130</v>
      </c>
      <c r="B67" s="8" t="s">
        <v>131</v>
      </c>
      <c r="C67" s="8" t="s">
        <v>30</v>
      </c>
      <c r="D67" s="8">
        <v>12.0</v>
      </c>
      <c r="E67" s="8">
        <v>0.0</v>
      </c>
      <c r="F67" s="8">
        <v>0.0</v>
      </c>
      <c r="G67" s="8">
        <v>0.0</v>
      </c>
      <c r="H67" s="14">
        <v>0.0</v>
      </c>
    </row>
    <row r="68">
      <c r="A68" s="8" t="s">
        <v>160</v>
      </c>
      <c r="B68" s="8" t="s">
        <v>161</v>
      </c>
      <c r="C68" s="8" t="s">
        <v>30</v>
      </c>
      <c r="D68" s="8">
        <v>12.0</v>
      </c>
      <c r="E68" s="8">
        <v>0.0</v>
      </c>
      <c r="F68" s="8">
        <v>1.0</v>
      </c>
      <c r="G68" s="8">
        <v>0.0</v>
      </c>
      <c r="H68" s="14">
        <v>0.0</v>
      </c>
    </row>
    <row r="69">
      <c r="A69" s="8" t="s">
        <v>148</v>
      </c>
      <c r="B69" s="8" t="s">
        <v>149</v>
      </c>
      <c r="C69" s="8" t="s">
        <v>30</v>
      </c>
      <c r="D69" s="8">
        <v>12.0</v>
      </c>
      <c r="E69" s="8">
        <v>0.0</v>
      </c>
      <c r="F69" s="8">
        <v>0.0</v>
      </c>
      <c r="G69" s="8">
        <v>0.0</v>
      </c>
      <c r="H69" s="14">
        <v>0.0</v>
      </c>
    </row>
    <row r="70">
      <c r="A70" s="8" t="s">
        <v>176</v>
      </c>
      <c r="B70" s="8" t="s">
        <v>177</v>
      </c>
      <c r="C70" s="8" t="s">
        <v>28</v>
      </c>
      <c r="D70" s="8">
        <v>12.0</v>
      </c>
      <c r="E70" s="8">
        <v>0.0</v>
      </c>
      <c r="F70" s="8">
        <v>0.0</v>
      </c>
      <c r="G70" s="8">
        <v>0.0</v>
      </c>
      <c r="H70" s="14">
        <v>0.0</v>
      </c>
    </row>
    <row r="71">
      <c r="A71" s="8" t="s">
        <v>78</v>
      </c>
      <c r="B71" s="8" t="s">
        <v>178</v>
      </c>
      <c r="C71" s="8" t="s">
        <v>18</v>
      </c>
      <c r="D71" s="8">
        <v>12.0</v>
      </c>
      <c r="E71" s="8">
        <v>0.0</v>
      </c>
      <c r="F71" s="8">
        <v>0.0</v>
      </c>
      <c r="G71" s="8">
        <v>0.0</v>
      </c>
      <c r="H71" s="14">
        <v>0.0</v>
      </c>
    </row>
    <row r="72">
      <c r="A72" s="8" t="s">
        <v>179</v>
      </c>
      <c r="B72" s="8" t="s">
        <v>180</v>
      </c>
      <c r="C72" s="8" t="s">
        <v>25</v>
      </c>
      <c r="D72" s="8">
        <v>12.0</v>
      </c>
      <c r="E72" s="8">
        <v>0.0</v>
      </c>
      <c r="F72" s="8">
        <v>0.0</v>
      </c>
      <c r="G72" s="8">
        <v>0.0</v>
      </c>
      <c r="H72" s="14">
        <v>0.0</v>
      </c>
    </row>
    <row r="73">
      <c r="A73" s="8" t="s">
        <v>119</v>
      </c>
      <c r="B73" s="8" t="s">
        <v>120</v>
      </c>
      <c r="C73" s="8" t="s">
        <v>14</v>
      </c>
      <c r="D73" s="8">
        <v>11.0</v>
      </c>
      <c r="E73" s="8">
        <v>0.0</v>
      </c>
      <c r="F73" s="8">
        <v>0.0</v>
      </c>
      <c r="G73" s="8">
        <v>0.0</v>
      </c>
      <c r="H73" s="14">
        <v>0.0</v>
      </c>
    </row>
    <row r="74">
      <c r="A74" s="8" t="s">
        <v>181</v>
      </c>
      <c r="B74" s="8" t="s">
        <v>182</v>
      </c>
      <c r="C74" s="8" t="s">
        <v>26</v>
      </c>
      <c r="D74" s="8">
        <v>8.0</v>
      </c>
      <c r="E74" s="8">
        <v>0.0</v>
      </c>
      <c r="F74" s="8">
        <v>0.0</v>
      </c>
      <c r="G74" s="8">
        <v>0.0</v>
      </c>
      <c r="H74" s="14">
        <v>0.0</v>
      </c>
    </row>
    <row r="75">
      <c r="A75" s="8" t="s">
        <v>150</v>
      </c>
      <c r="B75" s="8" t="s">
        <v>151</v>
      </c>
      <c r="C75" s="8" t="s">
        <v>23</v>
      </c>
      <c r="D75" s="8">
        <v>8.0</v>
      </c>
      <c r="E75" s="8">
        <v>0.0</v>
      </c>
      <c r="F75" s="8">
        <v>0.0</v>
      </c>
      <c r="G75" s="8">
        <v>0.0</v>
      </c>
      <c r="H75" s="14">
        <v>0.0</v>
      </c>
    </row>
    <row r="76">
      <c r="A76" s="8" t="s">
        <v>183</v>
      </c>
      <c r="B76" s="8" t="s">
        <v>184</v>
      </c>
      <c r="C76" s="8" t="s">
        <v>20</v>
      </c>
      <c r="D76" s="8">
        <v>8.0</v>
      </c>
      <c r="E76" s="8">
        <v>0.0</v>
      </c>
      <c r="F76" s="8">
        <v>0.0</v>
      </c>
      <c r="G76" s="8">
        <v>0.0</v>
      </c>
      <c r="H76" s="14">
        <v>0.0</v>
      </c>
    </row>
    <row r="77">
      <c r="A77" s="8" t="s">
        <v>78</v>
      </c>
      <c r="B77" s="8" t="s">
        <v>166</v>
      </c>
      <c r="C77" s="8" t="s">
        <v>5</v>
      </c>
      <c r="D77" s="8">
        <v>8.0</v>
      </c>
      <c r="E77" s="8">
        <v>0.0</v>
      </c>
      <c r="F77" s="8">
        <v>0.0</v>
      </c>
      <c r="G77" s="8">
        <v>0.0</v>
      </c>
      <c r="H77" s="14">
        <v>0.0</v>
      </c>
    </row>
    <row r="78">
      <c r="A78" s="8" t="s">
        <v>13</v>
      </c>
      <c r="B78" s="8" t="s">
        <v>185</v>
      </c>
      <c r="C78" s="8" t="s">
        <v>5</v>
      </c>
      <c r="D78" s="8">
        <v>8.0</v>
      </c>
      <c r="E78" s="8">
        <v>0.0</v>
      </c>
      <c r="F78" s="8">
        <v>0.0</v>
      </c>
      <c r="G78" s="8">
        <v>0.0</v>
      </c>
      <c r="H78" s="14">
        <v>0.0</v>
      </c>
    </row>
    <row r="79">
      <c r="A79" s="8" t="s">
        <v>171</v>
      </c>
      <c r="B79" s="8" t="s">
        <v>172</v>
      </c>
      <c r="C79" s="8" t="s">
        <v>16</v>
      </c>
      <c r="D79" s="8">
        <v>8.0</v>
      </c>
      <c r="E79" s="8">
        <v>0.0</v>
      </c>
      <c r="F79" s="8">
        <v>0.0</v>
      </c>
      <c r="G79" s="8">
        <v>0.0</v>
      </c>
      <c r="H79" s="14">
        <v>0.0</v>
      </c>
    </row>
    <row r="80">
      <c r="A80" s="8" t="s">
        <v>45</v>
      </c>
      <c r="B80" s="8" t="s">
        <v>173</v>
      </c>
      <c r="C80" s="8" t="s">
        <v>18</v>
      </c>
      <c r="D80" s="8">
        <v>8.0</v>
      </c>
      <c r="E80" s="8">
        <v>0.0</v>
      </c>
      <c r="F80" s="8">
        <v>1.0</v>
      </c>
      <c r="G80" s="8">
        <v>0.0</v>
      </c>
      <c r="H80" s="14">
        <v>0.0</v>
      </c>
    </row>
    <row r="81">
      <c r="A81" s="8" t="s">
        <v>186</v>
      </c>
      <c r="B81" s="8" t="s">
        <v>187</v>
      </c>
      <c r="C81" s="8" t="s">
        <v>27</v>
      </c>
      <c r="D81" s="8">
        <v>5.0</v>
      </c>
      <c r="E81" s="8">
        <v>0.0</v>
      </c>
      <c r="F81" s="8">
        <v>1.0</v>
      </c>
      <c r="G81" s="8">
        <v>0.0</v>
      </c>
      <c r="H81" s="14">
        <v>0.0</v>
      </c>
    </row>
    <row r="82">
      <c r="A82" s="8" t="s">
        <v>188</v>
      </c>
      <c r="B82" s="8" t="s">
        <v>189</v>
      </c>
      <c r="C82" s="8" t="s">
        <v>29</v>
      </c>
      <c r="D82" s="8">
        <v>4.0</v>
      </c>
      <c r="E82" s="8">
        <v>0.0</v>
      </c>
      <c r="F82" s="8">
        <v>0.0</v>
      </c>
      <c r="G82" s="8">
        <v>0.0</v>
      </c>
      <c r="H82" s="14">
        <v>0.0</v>
      </c>
    </row>
    <row r="83">
      <c r="A83" s="8" t="s">
        <v>190</v>
      </c>
      <c r="B83" s="8" t="s">
        <v>191</v>
      </c>
      <c r="C83" s="8" t="s">
        <v>29</v>
      </c>
      <c r="D83" s="8">
        <v>4.0</v>
      </c>
      <c r="E83" s="8">
        <v>0.0</v>
      </c>
      <c r="F83" s="8">
        <v>0.0</v>
      </c>
      <c r="G83" s="8">
        <v>0.0</v>
      </c>
      <c r="H83" s="14">
        <v>0.0</v>
      </c>
    </row>
    <row r="84">
      <c r="A84" s="8" t="s">
        <v>192</v>
      </c>
      <c r="B84" s="8" t="s">
        <v>193</v>
      </c>
      <c r="C84" s="8" t="s">
        <v>26</v>
      </c>
      <c r="D84" s="8">
        <v>4.0</v>
      </c>
      <c r="E84" s="8">
        <v>0.0</v>
      </c>
      <c r="F84" s="8">
        <v>0.0</v>
      </c>
      <c r="G84" s="8">
        <v>0.0</v>
      </c>
      <c r="H84" s="14">
        <v>0.0</v>
      </c>
    </row>
    <row r="85">
      <c r="A85" s="8" t="s">
        <v>194</v>
      </c>
      <c r="B85" s="8" t="s">
        <v>195</v>
      </c>
      <c r="C85" s="8" t="s">
        <v>17</v>
      </c>
      <c r="D85" s="8">
        <v>0.0</v>
      </c>
      <c r="E85" s="8">
        <v>0.0</v>
      </c>
      <c r="F85" s="8">
        <v>0.0</v>
      </c>
      <c r="G85" s="8">
        <v>0.0</v>
      </c>
      <c r="H85" s="14">
        <v>0.0</v>
      </c>
    </row>
    <row r="86">
      <c r="A86" s="8" t="s">
        <v>196</v>
      </c>
      <c r="B86" s="8" t="s">
        <v>197</v>
      </c>
      <c r="C86" s="8" t="s">
        <v>17</v>
      </c>
      <c r="D86" s="8">
        <v>0.0</v>
      </c>
      <c r="E86" s="8">
        <v>0.0</v>
      </c>
      <c r="F86" s="8">
        <v>0.0</v>
      </c>
      <c r="G86" s="8">
        <v>0.0</v>
      </c>
      <c r="H86" s="14">
        <v>0.0</v>
      </c>
    </row>
    <row r="87">
      <c r="A87" s="8" t="s">
        <v>198</v>
      </c>
      <c r="B87" s="8"/>
      <c r="C87" s="8" t="s">
        <v>5</v>
      </c>
      <c r="D87" s="8">
        <v>0.0</v>
      </c>
      <c r="E87" s="8">
        <v>0.0</v>
      </c>
      <c r="F87" s="8">
        <v>0.0</v>
      </c>
      <c r="G87" s="8">
        <v>0.0</v>
      </c>
      <c r="H87" s="14">
        <v>0.0</v>
      </c>
    </row>
    <row r="88">
      <c r="A88" s="8" t="s">
        <v>33</v>
      </c>
      <c r="B88" s="8" t="s">
        <v>199</v>
      </c>
      <c r="C88" s="8" t="s">
        <v>5</v>
      </c>
      <c r="D88" s="8">
        <v>0.0</v>
      </c>
      <c r="E88" s="8">
        <v>0.0</v>
      </c>
      <c r="F88" s="8">
        <v>0.0</v>
      </c>
      <c r="G88" s="8">
        <v>0.0</v>
      </c>
      <c r="H88" s="14">
        <v>0.0</v>
      </c>
    </row>
    <row r="89">
      <c r="A89" s="8" t="s">
        <v>200</v>
      </c>
      <c r="B89" s="8" t="s">
        <v>201</v>
      </c>
      <c r="C89" s="8" t="s">
        <v>5</v>
      </c>
      <c r="D89" s="8">
        <v>0.0</v>
      </c>
      <c r="E89" s="8">
        <v>0.0</v>
      </c>
      <c r="F89" s="8">
        <v>0.0</v>
      </c>
      <c r="G89" s="8">
        <v>0.0</v>
      </c>
      <c r="H89" s="14">
        <v>0.0</v>
      </c>
    </row>
    <row r="90">
      <c r="A90" s="8" t="s">
        <v>202</v>
      </c>
      <c r="B90" s="8" t="s">
        <v>203</v>
      </c>
      <c r="C90" s="8" t="s">
        <v>30</v>
      </c>
      <c r="D90" s="8">
        <v>0.0</v>
      </c>
      <c r="E90" s="8">
        <v>0.0</v>
      </c>
      <c r="F90" s="8">
        <v>0.0</v>
      </c>
      <c r="G90" s="8">
        <v>0.0</v>
      </c>
      <c r="H90" s="14">
        <v>0.0</v>
      </c>
    </row>
    <row r="91">
      <c r="A91" s="8" t="s">
        <v>204</v>
      </c>
      <c r="B91" s="8"/>
      <c r="C91" s="8" t="s">
        <v>18</v>
      </c>
      <c r="D91" s="8">
        <v>0.0</v>
      </c>
      <c r="E91" s="8">
        <v>0.0</v>
      </c>
      <c r="F91" s="8">
        <v>0.0</v>
      </c>
      <c r="G91" s="8">
        <v>0.0</v>
      </c>
      <c r="H91" s="14">
        <v>0.0</v>
      </c>
    </row>
    <row r="92">
      <c r="A92" s="8" t="s">
        <v>205</v>
      </c>
      <c r="B92" s="8" t="s">
        <v>205</v>
      </c>
      <c r="C92" s="8" t="s">
        <v>31</v>
      </c>
      <c r="D92" s="8">
        <v>0.0</v>
      </c>
      <c r="E92" s="8">
        <v>0.0</v>
      </c>
      <c r="F92" s="8">
        <v>0.0</v>
      </c>
      <c r="G92" s="8">
        <v>0.0</v>
      </c>
      <c r="H92" s="14">
        <v>0.0</v>
      </c>
    </row>
    <row r="93">
      <c r="A93" s="8" t="s">
        <v>206</v>
      </c>
      <c r="B93" s="8" t="s">
        <v>207</v>
      </c>
      <c r="C93" s="8" t="s">
        <v>31</v>
      </c>
      <c r="D93" s="8">
        <v>0.0</v>
      </c>
      <c r="E93" s="8">
        <v>0.0</v>
      </c>
      <c r="F93" s="8">
        <v>0.0</v>
      </c>
      <c r="G93" s="8">
        <v>0.0</v>
      </c>
      <c r="H93" s="14">
        <v>0.0</v>
      </c>
    </row>
    <row r="94">
      <c r="A94" s="8" t="s">
        <v>174</v>
      </c>
      <c r="B94" s="8" t="s">
        <v>175</v>
      </c>
      <c r="C94" s="8" t="s">
        <v>22</v>
      </c>
      <c r="D94" s="8">
        <v>16.0</v>
      </c>
      <c r="E94" s="8">
        <v>0.0</v>
      </c>
      <c r="F94" s="8">
        <v>0.0</v>
      </c>
      <c r="G94" s="8">
        <v>1.0</v>
      </c>
      <c r="H94" s="14">
        <v>-1.0</v>
      </c>
    </row>
    <row r="95">
      <c r="H95" s="14"/>
    </row>
    <row r="96">
      <c r="H96" s="14"/>
    </row>
    <row r="97">
      <c r="H97" s="14"/>
    </row>
    <row r="98">
      <c r="H98" s="14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9.38"/>
    <col customWidth="1" min="3" max="3" width="38.13"/>
    <col customWidth="1" min="4" max="4" width="21.5"/>
  </cols>
  <sheetData>
    <row r="1">
      <c r="A1" s="5" t="s">
        <v>215</v>
      </c>
      <c r="B1" s="5" t="s">
        <v>7</v>
      </c>
      <c r="C1" s="5" t="s">
        <v>216</v>
      </c>
      <c r="D1" s="5" t="s">
        <v>217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13</v>
      </c>
      <c r="B2" s="7" t="s">
        <v>5</v>
      </c>
      <c r="C2" s="21" t="str">
        <f t="shared" ref="C2:C103" si="1">CONCAT(A2, B2)</f>
        <v>DanielGrammar Kids</v>
      </c>
      <c r="D2" s="21" t="s">
        <v>185</v>
      </c>
    </row>
    <row r="3">
      <c r="A3" s="4" t="s">
        <v>33</v>
      </c>
      <c r="B3" s="7" t="s">
        <v>5</v>
      </c>
      <c r="C3" s="21" t="str">
        <f t="shared" si="1"/>
        <v>Running RuninGrammar Kids</v>
      </c>
      <c r="D3" s="21" t="s">
        <v>199</v>
      </c>
    </row>
    <row r="4">
      <c r="A4" s="7" t="s">
        <v>78</v>
      </c>
      <c r="B4" s="7" t="s">
        <v>5</v>
      </c>
      <c r="C4" s="21" t="str">
        <f t="shared" si="1"/>
        <v>AvaGrammar Kids</v>
      </c>
      <c r="D4" s="21" t="s">
        <v>166</v>
      </c>
    </row>
    <row r="5">
      <c r="A5" s="7" t="s">
        <v>146</v>
      </c>
      <c r="B5" s="7" t="s">
        <v>5</v>
      </c>
      <c r="C5" s="21" t="str">
        <f t="shared" si="1"/>
        <v>KevinGrammar Kids</v>
      </c>
      <c r="D5" s="21" t="s">
        <v>147</v>
      </c>
    </row>
    <row r="6">
      <c r="A6" s="17" t="s">
        <v>198</v>
      </c>
      <c r="B6" s="19" t="s">
        <v>5</v>
      </c>
      <c r="C6" s="21" t="str">
        <f t="shared" si="1"/>
        <v>BulalaGrammar Kids</v>
      </c>
    </row>
    <row r="7">
      <c r="A7" s="7" t="s">
        <v>200</v>
      </c>
      <c r="B7" s="7" t="s">
        <v>5</v>
      </c>
      <c r="C7" s="21" t="str">
        <f t="shared" si="1"/>
        <v>VictoriaGrammar Kids</v>
      </c>
      <c r="D7" s="21" t="s">
        <v>201</v>
      </c>
    </row>
    <row r="8">
      <c r="A8" s="7" t="s">
        <v>82</v>
      </c>
      <c r="B8" s="7" t="s">
        <v>5</v>
      </c>
      <c r="C8" s="21" t="str">
        <f t="shared" si="1"/>
        <v>JerryGrammar Kids</v>
      </c>
      <c r="D8" s="21" t="s">
        <v>110</v>
      </c>
    </row>
    <row r="9">
      <c r="A9" s="7" t="s">
        <v>196</v>
      </c>
      <c r="B9" s="21" t="s">
        <v>17</v>
      </c>
      <c r="C9" s="21" t="str">
        <f t="shared" si="1"/>
        <v>haybalesDeer Feeled</v>
      </c>
      <c r="D9" s="21" t="s">
        <v>197</v>
      </c>
    </row>
    <row r="10">
      <c r="A10" s="7" t="s">
        <v>194</v>
      </c>
      <c r="B10" s="21" t="s">
        <v>17</v>
      </c>
      <c r="C10" s="21" t="str">
        <f t="shared" si="1"/>
        <v>ezDeer Feeled</v>
      </c>
      <c r="D10" s="21" t="s">
        <v>195</v>
      </c>
    </row>
    <row r="11">
      <c r="A11" s="7" t="s">
        <v>35</v>
      </c>
      <c r="B11" s="21" t="s">
        <v>17</v>
      </c>
      <c r="C11" s="21" t="str">
        <f t="shared" si="1"/>
        <v>DavidDeer Feeled</v>
      </c>
      <c r="D11" s="21" t="s">
        <v>36</v>
      </c>
    </row>
    <row r="12">
      <c r="A12" s="7" t="s">
        <v>158</v>
      </c>
      <c r="B12" s="21" t="s">
        <v>17</v>
      </c>
      <c r="C12" s="21" t="str">
        <f t="shared" si="1"/>
        <v>GregoryDeer Feeled</v>
      </c>
      <c r="D12" s="21" t="s">
        <v>159</v>
      </c>
    </row>
    <row r="13">
      <c r="A13" s="7" t="s">
        <v>39</v>
      </c>
      <c r="B13" s="7" t="s">
        <v>21</v>
      </c>
      <c r="C13" s="21" t="str">
        <f t="shared" si="1"/>
        <v>HenrydDear Field</v>
      </c>
      <c r="D13" s="21" t="s">
        <v>40</v>
      </c>
    </row>
    <row r="14">
      <c r="A14" s="7" t="s">
        <v>152</v>
      </c>
      <c r="B14" s="7" t="s">
        <v>21</v>
      </c>
      <c r="C14" s="21" t="str">
        <f t="shared" si="1"/>
        <v>DylanDear Field</v>
      </c>
      <c r="D14" s="21" t="s">
        <v>153</v>
      </c>
    </row>
    <row r="15">
      <c r="A15" s="7" t="s">
        <v>143</v>
      </c>
      <c r="B15" s="7" t="s">
        <v>21</v>
      </c>
      <c r="C15" s="21" t="str">
        <f t="shared" si="1"/>
        <v>AnalyDear Field</v>
      </c>
      <c r="D15" s="21" t="s">
        <v>145</v>
      </c>
    </row>
    <row r="16">
      <c r="A16" s="4" t="s">
        <v>88</v>
      </c>
      <c r="B16" s="7" t="s">
        <v>31</v>
      </c>
      <c r="C16" s="21" t="str">
        <f t="shared" si="1"/>
        <v>s0arbeaconWilliam Mason</v>
      </c>
      <c r="D16" s="21" t="s">
        <v>89</v>
      </c>
    </row>
    <row r="17">
      <c r="A17" s="17" t="s">
        <v>206</v>
      </c>
      <c r="B17" s="19" t="s">
        <v>31</v>
      </c>
      <c r="C17" s="21" t="str">
        <f t="shared" si="1"/>
        <v>penguinWilliam Mason</v>
      </c>
      <c r="D17" s="21" t="s">
        <v>207</v>
      </c>
    </row>
    <row r="18">
      <c r="A18" s="4" t="s">
        <v>84</v>
      </c>
      <c r="B18" s="7" t="s">
        <v>31</v>
      </c>
      <c r="C18" s="21" t="str">
        <f t="shared" si="1"/>
        <v>spongebobWilliam Mason</v>
      </c>
      <c r="D18" s="21" t="s">
        <v>85</v>
      </c>
    </row>
    <row r="19">
      <c r="A19" s="17" t="s">
        <v>100</v>
      </c>
      <c r="B19" s="19" t="s">
        <v>31</v>
      </c>
      <c r="C19" s="21" t="str">
        <f t="shared" si="1"/>
        <v>Izwerzx#2598William Mason</v>
      </c>
      <c r="D19" s="21" t="s">
        <v>100</v>
      </c>
    </row>
    <row r="20">
      <c r="A20" s="7" t="s">
        <v>205</v>
      </c>
      <c r="B20" s="7" t="s">
        <v>31</v>
      </c>
      <c r="C20" s="21" t="str">
        <f t="shared" si="1"/>
        <v>Einglass#1845William Mason</v>
      </c>
      <c r="D20" s="21" t="s">
        <v>205</v>
      </c>
    </row>
    <row r="21">
      <c r="A21" s="7" t="s">
        <v>167</v>
      </c>
      <c r="B21" s="7" t="s">
        <v>31</v>
      </c>
      <c r="C21" s="21" t="str">
        <f t="shared" si="1"/>
        <v>KOZlegendWilliam Mason</v>
      </c>
      <c r="D21" s="21" t="s">
        <v>168</v>
      </c>
    </row>
    <row r="22">
      <c r="A22" s="7" t="s">
        <v>90</v>
      </c>
      <c r="B22" s="7" t="s">
        <v>25</v>
      </c>
      <c r="C22" s="21" t="str">
        <f t="shared" si="1"/>
        <v>HridayScrubby Teletubbies</v>
      </c>
      <c r="D22" s="21" t="s">
        <v>91</v>
      </c>
    </row>
    <row r="23">
      <c r="A23" s="7" t="s">
        <v>95</v>
      </c>
      <c r="B23" s="7" t="s">
        <v>25</v>
      </c>
      <c r="C23" s="21" t="str">
        <f t="shared" si="1"/>
        <v>NathanScrubby Teletubbies</v>
      </c>
      <c r="D23" s="21" t="s">
        <v>96</v>
      </c>
    </row>
    <row r="24">
      <c r="A24" s="7" t="s">
        <v>124</v>
      </c>
      <c r="B24" s="7" t="s">
        <v>25</v>
      </c>
      <c r="C24" s="21" t="str">
        <f t="shared" si="1"/>
        <v>ConnorScrubby Teletubbies</v>
      </c>
      <c r="D24" s="21" t="s">
        <v>125</v>
      </c>
    </row>
    <row r="25">
      <c r="A25" s="7" t="s">
        <v>13</v>
      </c>
      <c r="B25" s="7" t="s">
        <v>25</v>
      </c>
      <c r="C25" s="21" t="str">
        <f t="shared" si="1"/>
        <v>DanielScrubby Teletubbies</v>
      </c>
      <c r="D25" s="21" t="s">
        <v>92</v>
      </c>
    </row>
    <row r="26">
      <c r="A26" s="7" t="s">
        <v>179</v>
      </c>
      <c r="B26" s="7" t="s">
        <v>25</v>
      </c>
      <c r="C26" s="21" t="str">
        <f t="shared" si="1"/>
        <v>JoshuaScrubby Teletubbies</v>
      </c>
      <c r="D26" s="21" t="s">
        <v>180</v>
      </c>
    </row>
    <row r="27">
      <c r="A27" s="7" t="s">
        <v>48</v>
      </c>
      <c r="B27" s="21" t="s">
        <v>27</v>
      </c>
      <c r="C27" s="21" t="str">
        <f t="shared" si="1"/>
        <v>AllisonU-235 Soup</v>
      </c>
      <c r="D27" s="21" t="s">
        <v>50</v>
      </c>
    </row>
    <row r="28">
      <c r="A28" s="7" t="s">
        <v>122</v>
      </c>
      <c r="B28" s="21" t="s">
        <v>27</v>
      </c>
      <c r="C28" s="21" t="str">
        <f t="shared" si="1"/>
        <v>EmiU-235 Soup</v>
      </c>
      <c r="D28" s="21" t="s">
        <v>123</v>
      </c>
    </row>
    <row r="29">
      <c r="A29" s="7" t="s">
        <v>138</v>
      </c>
      <c r="B29" s="21" t="s">
        <v>27</v>
      </c>
      <c r="C29" s="21" t="str">
        <f t="shared" si="1"/>
        <v>ChloeU-235 Soup</v>
      </c>
      <c r="D29" s="21" t="s">
        <v>139</v>
      </c>
    </row>
    <row r="30">
      <c r="A30" s="7" t="s">
        <v>186</v>
      </c>
      <c r="B30" s="21" t="s">
        <v>27</v>
      </c>
      <c r="C30" s="21" t="str">
        <f t="shared" si="1"/>
        <v>AudreyU-235 Soup</v>
      </c>
      <c r="D30" s="21" t="s">
        <v>187</v>
      </c>
    </row>
    <row r="31">
      <c r="A31" s="7" t="s">
        <v>104</v>
      </c>
      <c r="B31" s="21" t="s">
        <v>27</v>
      </c>
      <c r="C31" s="21" t="str">
        <f t="shared" si="1"/>
        <v>LoganU-235 Soup</v>
      </c>
      <c r="D31" s="21" t="s">
        <v>105</v>
      </c>
    </row>
    <row r="32">
      <c r="A32" s="7" t="s">
        <v>45</v>
      </c>
      <c r="B32" s="7" t="s">
        <v>20</v>
      </c>
      <c r="C32" s="21" t="str">
        <f t="shared" si="1"/>
        <v>RyanGalena Popsicles</v>
      </c>
      <c r="D32" s="21" t="s">
        <v>46</v>
      </c>
    </row>
    <row r="33">
      <c r="A33" s="7" t="s">
        <v>108</v>
      </c>
      <c r="B33" s="7" t="s">
        <v>20</v>
      </c>
      <c r="C33" s="21" t="str">
        <f t="shared" si="1"/>
        <v>AdamGalena Popsicles</v>
      </c>
      <c r="D33" s="21" t="s">
        <v>109</v>
      </c>
    </row>
    <row r="34">
      <c r="A34" s="7" t="s">
        <v>183</v>
      </c>
      <c r="B34" s="7" t="s">
        <v>20</v>
      </c>
      <c r="C34" s="21" t="str">
        <f t="shared" si="1"/>
        <v>AriGalena Popsicles</v>
      </c>
      <c r="D34" s="21" t="s">
        <v>184</v>
      </c>
    </row>
    <row r="35">
      <c r="A35" s="7" t="s">
        <v>126</v>
      </c>
      <c r="B35" s="7" t="s">
        <v>20</v>
      </c>
      <c r="C35" s="21" t="str">
        <f t="shared" si="1"/>
        <v>KeisukeGalena Popsicles</v>
      </c>
      <c r="D35" s="21" t="s">
        <v>128</v>
      </c>
    </row>
    <row r="36">
      <c r="A36" s="7" t="s">
        <v>115</v>
      </c>
      <c r="B36" s="7" t="s">
        <v>20</v>
      </c>
      <c r="C36" s="21" t="str">
        <f t="shared" si="1"/>
        <v>JeremyGalena Popsicles</v>
      </c>
      <c r="D36" s="21" t="s">
        <v>116</v>
      </c>
    </row>
    <row r="37">
      <c r="A37" s="7" t="s">
        <v>58</v>
      </c>
      <c r="B37" s="7" t="s">
        <v>16</v>
      </c>
      <c r="C37" s="21" t="str">
        <f t="shared" si="1"/>
        <v>NoahIDIOM</v>
      </c>
      <c r="D37" s="21" t="s">
        <v>59</v>
      </c>
    </row>
    <row r="38">
      <c r="A38" s="7" t="s">
        <v>86</v>
      </c>
      <c r="B38" s="7" t="s">
        <v>16</v>
      </c>
      <c r="C38" s="21" t="str">
        <f t="shared" si="1"/>
        <v>HenryIDIOM</v>
      </c>
      <c r="D38" s="21" t="s">
        <v>87</v>
      </c>
    </row>
    <row r="39">
      <c r="A39" s="7" t="s">
        <v>164</v>
      </c>
      <c r="B39" s="7" t="s">
        <v>16</v>
      </c>
      <c r="C39" s="21" t="str">
        <f t="shared" si="1"/>
        <v>TejasviIDIOM</v>
      </c>
      <c r="D39" s="21" t="s">
        <v>165</v>
      </c>
    </row>
    <row r="40">
      <c r="A40" s="7" t="s">
        <v>162</v>
      </c>
      <c r="B40" s="7" t="s">
        <v>16</v>
      </c>
      <c r="C40" s="21" t="str">
        <f t="shared" si="1"/>
        <v>AjayIDIOM</v>
      </c>
      <c r="D40" s="21" t="s">
        <v>163</v>
      </c>
    </row>
    <row r="41">
      <c r="A41" s="7" t="s">
        <v>171</v>
      </c>
      <c r="B41" s="7" t="s">
        <v>16</v>
      </c>
      <c r="C41" s="21" t="str">
        <f t="shared" si="1"/>
        <v>ElliotIDIOM</v>
      </c>
      <c r="D41" s="21" t="s">
        <v>172</v>
      </c>
    </row>
    <row r="42">
      <c r="A42" s="7" t="s">
        <v>219</v>
      </c>
      <c r="B42" s="7" t="s">
        <v>220</v>
      </c>
      <c r="C42" s="21" t="str">
        <f t="shared" si="1"/>
        <v>jmarshBlue Valley North</v>
      </c>
      <c r="D42" s="21" t="s">
        <v>221</v>
      </c>
    </row>
    <row r="43">
      <c r="A43" s="7" t="s">
        <v>222</v>
      </c>
      <c r="B43" s="7" t="s">
        <v>220</v>
      </c>
      <c r="C43" s="21" t="str">
        <f t="shared" si="1"/>
        <v>eddmuBlue Valley North</v>
      </c>
      <c r="D43" s="21" t="s">
        <v>223</v>
      </c>
    </row>
    <row r="44">
      <c r="A44" s="7" t="s">
        <v>224</v>
      </c>
      <c r="B44" s="7" t="s">
        <v>220</v>
      </c>
      <c r="C44" s="21" t="str">
        <f t="shared" si="1"/>
        <v>eddybertranBlue Valley North</v>
      </c>
      <c r="D44" s="21" t="s">
        <v>225</v>
      </c>
    </row>
    <row r="45">
      <c r="A45" s="7" t="s">
        <v>226</v>
      </c>
      <c r="B45" s="7" t="s">
        <v>220</v>
      </c>
      <c r="C45" s="21" t="str">
        <f t="shared" si="1"/>
        <v>ling laraBlue Valley North</v>
      </c>
      <c r="D45" s="21" t="s">
        <v>227</v>
      </c>
    </row>
    <row r="46">
      <c r="A46" s="7" t="s">
        <v>73</v>
      </c>
      <c r="B46" s="7" t="s">
        <v>15</v>
      </c>
      <c r="C46" s="21" t="str">
        <f t="shared" si="1"/>
        <v>VishnuBanana Corp</v>
      </c>
      <c r="D46" s="21" t="s">
        <v>34</v>
      </c>
    </row>
    <row r="47">
      <c r="A47" s="7" t="s">
        <v>63</v>
      </c>
      <c r="B47" s="7" t="s">
        <v>15</v>
      </c>
      <c r="C47" s="21" t="str">
        <f t="shared" si="1"/>
        <v>RishabhBanana Corp</v>
      </c>
      <c r="D47" s="21" t="s">
        <v>64</v>
      </c>
    </row>
    <row r="48">
      <c r="A48" s="7" t="s">
        <v>113</v>
      </c>
      <c r="B48" s="7" t="s">
        <v>15</v>
      </c>
      <c r="C48" s="21" t="str">
        <f t="shared" si="1"/>
        <v>a5a7Banana Corp</v>
      </c>
      <c r="D48" s="21" t="s">
        <v>114</v>
      </c>
    </row>
    <row r="49">
      <c r="A49" s="7" t="s">
        <v>169</v>
      </c>
      <c r="B49" s="7" t="s">
        <v>15</v>
      </c>
      <c r="C49" s="21" t="str">
        <f t="shared" si="1"/>
        <v>VerisimilitudeBanana Corp</v>
      </c>
      <c r="D49" s="21" t="s">
        <v>170</v>
      </c>
    </row>
    <row r="50">
      <c r="A50" s="7" t="s">
        <v>127</v>
      </c>
      <c r="B50" s="7" t="s">
        <v>15</v>
      </c>
      <c r="C50" s="21" t="str">
        <f t="shared" si="1"/>
        <v>AishwaryaBanana Corp</v>
      </c>
      <c r="D50" s="21" t="s">
        <v>129</v>
      </c>
    </row>
    <row r="51">
      <c r="A51" s="21" t="s">
        <v>41</v>
      </c>
      <c r="B51" s="21" t="s">
        <v>14</v>
      </c>
      <c r="C51" s="21" t="str">
        <f t="shared" si="1"/>
        <v>ClownfrogThe Catecholomines</v>
      </c>
      <c r="D51" s="21" t="s">
        <v>42</v>
      </c>
    </row>
    <row r="52">
      <c r="A52" s="21" t="s">
        <v>56</v>
      </c>
      <c r="B52" s="21" t="s">
        <v>14</v>
      </c>
      <c r="C52" s="21" t="str">
        <f t="shared" si="1"/>
        <v>OwenThe Catecholomines</v>
      </c>
      <c r="D52" s="21" t="s">
        <v>57</v>
      </c>
    </row>
    <row r="53">
      <c r="A53" s="21" t="s">
        <v>132</v>
      </c>
      <c r="B53" s="21" t="s">
        <v>14</v>
      </c>
      <c r="C53" s="21" t="str">
        <f t="shared" si="1"/>
        <v>RayThe Catecholomines</v>
      </c>
      <c r="D53" s="21" t="s">
        <v>133</v>
      </c>
    </row>
    <row r="54">
      <c r="A54" s="21" t="s">
        <v>119</v>
      </c>
      <c r="B54" s="21" t="s">
        <v>14</v>
      </c>
      <c r="C54" s="21" t="str">
        <f t="shared" si="1"/>
        <v>neyharThe Catecholomines</v>
      </c>
      <c r="D54" s="21" t="s">
        <v>120</v>
      </c>
    </row>
    <row r="55">
      <c r="A55" s="21" t="s">
        <v>67</v>
      </c>
      <c r="B55" s="21" t="s">
        <v>29</v>
      </c>
      <c r="C55" s="21" t="str">
        <f t="shared" si="1"/>
        <v>DannyBe the Block of Bread</v>
      </c>
      <c r="D55" s="21" t="s">
        <v>68</v>
      </c>
    </row>
    <row r="56">
      <c r="A56" s="21" t="s">
        <v>188</v>
      </c>
      <c r="B56" s="21" t="s">
        <v>29</v>
      </c>
      <c r="C56" s="21" t="str">
        <f t="shared" si="1"/>
        <v>AllusionBe the Block of Bread</v>
      </c>
      <c r="D56" s="21" t="s">
        <v>189</v>
      </c>
    </row>
    <row r="57">
      <c r="A57" s="21" t="s">
        <v>81</v>
      </c>
      <c r="B57" s="21" t="s">
        <v>29</v>
      </c>
      <c r="C57" s="21" t="str">
        <f t="shared" si="1"/>
        <v>GraceBe the Block of Bread</v>
      </c>
      <c r="D57" s="21" t="s">
        <v>47</v>
      </c>
    </row>
    <row r="58">
      <c r="A58" s="21" t="s">
        <v>190</v>
      </c>
      <c r="B58" s="21" t="s">
        <v>29</v>
      </c>
      <c r="C58" s="21" t="str">
        <f t="shared" si="1"/>
        <v>breadBe the Block of Bread</v>
      </c>
      <c r="D58" s="21" t="s">
        <v>191</v>
      </c>
    </row>
    <row r="59">
      <c r="A59" s="21" t="s">
        <v>140</v>
      </c>
      <c r="B59" s="21" t="s">
        <v>29</v>
      </c>
      <c r="C59" s="21" t="str">
        <f t="shared" si="1"/>
        <v>JonathanBe the Block of Bread</v>
      </c>
      <c r="D59" s="21" t="s">
        <v>141</v>
      </c>
    </row>
    <row r="60">
      <c r="A60" s="21" t="s">
        <v>154</v>
      </c>
      <c r="B60" s="21" t="s">
        <v>29</v>
      </c>
      <c r="C60" s="21" t="str">
        <f t="shared" si="1"/>
        <v>Shinybro64Be the Block of Bread</v>
      </c>
      <c r="D60" s="8" t="s">
        <v>156</v>
      </c>
    </row>
    <row r="61">
      <c r="A61" s="21" t="s">
        <v>82</v>
      </c>
      <c r="B61" s="21" t="s">
        <v>19</v>
      </c>
      <c r="C61" s="21" t="str">
        <f t="shared" si="1"/>
        <v>JerryThe Mother Doers</v>
      </c>
      <c r="D61" s="21" t="s">
        <v>83</v>
      </c>
    </row>
    <row r="62">
      <c r="A62" s="21" t="s">
        <v>74</v>
      </c>
      <c r="B62" s="21" t="s">
        <v>19</v>
      </c>
      <c r="C62" s="21" t="str">
        <f t="shared" si="1"/>
        <v>ChrisThe Mother Doers</v>
      </c>
      <c r="D62" s="21" t="s">
        <v>75</v>
      </c>
    </row>
    <row r="63">
      <c r="A63" s="21" t="s">
        <v>61</v>
      </c>
      <c r="B63" s="21" t="s">
        <v>19</v>
      </c>
      <c r="C63" s="21" t="str">
        <f t="shared" si="1"/>
        <v>ChahakThe Mother Doers</v>
      </c>
      <c r="D63" s="21" t="s">
        <v>62</v>
      </c>
    </row>
    <row r="64">
      <c r="A64" s="21" t="s">
        <v>106</v>
      </c>
      <c r="B64" s="21" t="s">
        <v>19</v>
      </c>
      <c r="C64" s="21" t="str">
        <f t="shared" si="1"/>
        <v>AnnieThe Mother Doers</v>
      </c>
      <c r="D64" s="21" t="s">
        <v>107</v>
      </c>
    </row>
    <row r="65">
      <c r="A65" s="21" t="s">
        <v>65</v>
      </c>
      <c r="B65" s="21" t="s">
        <v>19</v>
      </c>
      <c r="C65" s="21" t="str">
        <f t="shared" si="1"/>
        <v>SahasThe Mother Doers</v>
      </c>
      <c r="D65" s="21" t="s">
        <v>66</v>
      </c>
    </row>
    <row r="66">
      <c r="A66" s="21" t="s">
        <v>134</v>
      </c>
      <c r="B66" s="21" t="s">
        <v>22</v>
      </c>
      <c r="C66" s="21" t="str">
        <f t="shared" si="1"/>
        <v>Jeffrey LiJerry is a Nerd</v>
      </c>
      <c r="D66" s="21" t="s">
        <v>135</v>
      </c>
    </row>
    <row r="67">
      <c r="A67" s="21" t="s">
        <v>13</v>
      </c>
      <c r="B67" s="21" t="s">
        <v>22</v>
      </c>
      <c r="C67" s="21" t="str">
        <f t="shared" si="1"/>
        <v>DanielJerry is a Nerd</v>
      </c>
      <c r="D67" s="21" t="s">
        <v>60</v>
      </c>
    </row>
    <row r="68">
      <c r="A68" s="21" t="s">
        <v>99</v>
      </c>
      <c r="B68" s="21" t="s">
        <v>22</v>
      </c>
      <c r="C68" s="21" t="str">
        <f t="shared" si="1"/>
        <v>PrajitJerry is a Nerd</v>
      </c>
      <c r="D68" s="21" t="s">
        <v>101</v>
      </c>
    </row>
    <row r="69">
      <c r="A69" s="21" t="s">
        <v>174</v>
      </c>
      <c r="B69" s="21" t="s">
        <v>22</v>
      </c>
      <c r="C69" s="21" t="str">
        <f t="shared" si="1"/>
        <v>AdvaiJerry is a Nerd</v>
      </c>
      <c r="D69" s="21" t="s">
        <v>175</v>
      </c>
    </row>
    <row r="70">
      <c r="A70" s="21" t="s">
        <v>79</v>
      </c>
      <c r="B70" s="21" t="s">
        <v>22</v>
      </c>
      <c r="C70" s="21" t="str">
        <f t="shared" si="1"/>
        <v>JosephJerry is a Nerd</v>
      </c>
      <c r="D70" s="21" t="s">
        <v>80</v>
      </c>
    </row>
    <row r="71">
      <c r="A71" s="21" t="s">
        <v>93</v>
      </c>
      <c r="B71" s="21" t="s">
        <v>30</v>
      </c>
      <c r="C71" s="21" t="str">
        <f t="shared" si="1"/>
        <v>AravindHopkins</v>
      </c>
      <c r="D71" s="21" t="s">
        <v>94</v>
      </c>
    </row>
    <row r="72">
      <c r="A72" s="21" t="s">
        <v>160</v>
      </c>
      <c r="B72" s="21" t="s">
        <v>30</v>
      </c>
      <c r="C72" s="21" t="str">
        <f t="shared" si="1"/>
        <v>LucasHopkins</v>
      </c>
      <c r="D72" s="21" t="s">
        <v>161</v>
      </c>
    </row>
    <row r="73">
      <c r="A73" s="21" t="s">
        <v>202</v>
      </c>
      <c r="B73" s="21" t="s">
        <v>30</v>
      </c>
      <c r="C73" s="21" t="str">
        <f t="shared" si="1"/>
        <v>RitzHopkins</v>
      </c>
      <c r="D73" s="21" t="s">
        <v>203</v>
      </c>
    </row>
    <row r="74">
      <c r="A74" s="21" t="s">
        <v>148</v>
      </c>
      <c r="B74" s="21" t="s">
        <v>30</v>
      </c>
      <c r="C74" s="21" t="str">
        <f t="shared" si="1"/>
        <v>RRHopkins</v>
      </c>
      <c r="D74" s="21" t="s">
        <v>149</v>
      </c>
    </row>
    <row r="75">
      <c r="A75" s="21" t="s">
        <v>130</v>
      </c>
      <c r="B75" s="21" t="s">
        <v>30</v>
      </c>
      <c r="C75" s="21" t="str">
        <f t="shared" si="1"/>
        <v>crebzHopkins</v>
      </c>
      <c r="D75" s="21" t="s">
        <v>131</v>
      </c>
    </row>
    <row r="76">
      <c r="A76" s="21" t="s">
        <v>53</v>
      </c>
      <c r="B76" s="21" t="s">
        <v>24</v>
      </c>
      <c r="C76" s="21" t="str">
        <f t="shared" si="1"/>
        <v>BrandonSquishy Cats</v>
      </c>
      <c r="D76" s="21" t="s">
        <v>55</v>
      </c>
    </row>
    <row r="77">
      <c r="A77" s="21" t="s">
        <v>136</v>
      </c>
      <c r="B77" s="21" t="s">
        <v>24</v>
      </c>
      <c r="C77" s="21" t="str">
        <f t="shared" si="1"/>
        <v>CarolynSquishy Cats</v>
      </c>
      <c r="D77" s="21" t="s">
        <v>137</v>
      </c>
    </row>
    <row r="78">
      <c r="A78" s="21" t="s">
        <v>52</v>
      </c>
      <c r="B78" s="21" t="s">
        <v>24</v>
      </c>
      <c r="C78" s="21" t="str">
        <f t="shared" si="1"/>
        <v>CindySquishy Cats</v>
      </c>
      <c r="D78" s="21" t="s">
        <v>54</v>
      </c>
    </row>
    <row r="79">
      <c r="A79" s="21" t="s">
        <v>13</v>
      </c>
      <c r="B79" s="21" t="s">
        <v>24</v>
      </c>
      <c r="C79" s="21" t="str">
        <f t="shared" si="1"/>
        <v>DanielSquishy Cats</v>
      </c>
      <c r="D79" s="21" t="s">
        <v>121</v>
      </c>
    </row>
    <row r="80">
      <c r="A80" s="21" t="s">
        <v>155</v>
      </c>
      <c r="B80" s="21" t="s">
        <v>24</v>
      </c>
      <c r="C80" s="21" t="str">
        <f t="shared" si="1"/>
        <v>HugoSquishy Cats</v>
      </c>
      <c r="D80" s="21" t="s">
        <v>157</v>
      </c>
    </row>
    <row r="81">
      <c r="A81" s="21" t="s">
        <v>150</v>
      </c>
      <c r="B81" s="21" t="s">
        <v>23</v>
      </c>
      <c r="C81" s="21" t="str">
        <f t="shared" si="1"/>
        <v>AaronDegenerate Matter</v>
      </c>
      <c r="D81" s="21" t="s">
        <v>151</v>
      </c>
    </row>
    <row r="82">
      <c r="A82" s="21" t="s">
        <v>49</v>
      </c>
      <c r="B82" s="21" t="s">
        <v>23</v>
      </c>
      <c r="C82" s="21" t="str">
        <f t="shared" si="1"/>
        <v>AvaniDegenerate Matter</v>
      </c>
      <c r="D82" s="21" t="s">
        <v>51</v>
      </c>
    </row>
    <row r="83">
      <c r="A83" s="21" t="s">
        <v>142</v>
      </c>
      <c r="B83" s="21" t="s">
        <v>23</v>
      </c>
      <c r="C83" s="21" t="str">
        <f t="shared" si="1"/>
        <v>CharDegenerate Matter</v>
      </c>
      <c r="D83" s="21" t="s">
        <v>144</v>
      </c>
    </row>
    <row r="84">
      <c r="A84" s="21" t="s">
        <v>102</v>
      </c>
      <c r="B84" s="21" t="s">
        <v>23</v>
      </c>
      <c r="C84" s="21" t="str">
        <f t="shared" si="1"/>
        <v>WeberDegenerate Matter</v>
      </c>
      <c r="D84" s="21" t="s">
        <v>103</v>
      </c>
    </row>
    <row r="85">
      <c r="A85" s="21" t="s">
        <v>43</v>
      </c>
      <c r="B85" s="21" t="s">
        <v>23</v>
      </c>
      <c r="C85" s="21" t="str">
        <f t="shared" si="1"/>
        <v>XingDegenerate Matter</v>
      </c>
      <c r="D85" s="21" t="s">
        <v>44</v>
      </c>
    </row>
    <row r="86">
      <c r="A86" s="21" t="s">
        <v>76</v>
      </c>
      <c r="B86" s="21" t="s">
        <v>26</v>
      </c>
      <c r="C86" s="21" t="str">
        <f t="shared" si="1"/>
        <v>JesseBio and Chem Players Only Challenge</v>
      </c>
      <c r="D86" s="21" t="s">
        <v>77</v>
      </c>
    </row>
    <row r="87">
      <c r="A87" s="21" t="s">
        <v>228</v>
      </c>
      <c r="B87" s="21" t="s">
        <v>26</v>
      </c>
      <c r="C87" s="21" t="str">
        <f t="shared" si="1"/>
        <v>LiJingWeiBio and Chem Players Only Challenge</v>
      </c>
      <c r="D87" s="21" t="s">
        <v>229</v>
      </c>
    </row>
    <row r="88">
      <c r="A88" s="21" t="s">
        <v>181</v>
      </c>
      <c r="B88" s="21" t="s">
        <v>26</v>
      </c>
      <c r="C88" s="21" t="str">
        <f t="shared" si="1"/>
        <v>RonukBio and Chem Players Only Challenge</v>
      </c>
      <c r="D88" s="21" t="s">
        <v>182</v>
      </c>
    </row>
    <row r="89">
      <c r="A89" s="21" t="s">
        <v>192</v>
      </c>
      <c r="B89" s="21" t="s">
        <v>26</v>
      </c>
      <c r="C89" s="21" t="str">
        <f t="shared" si="1"/>
        <v>AditiBio and Chem Players Only Challenge</v>
      </c>
      <c r="D89" s="21" t="s">
        <v>193</v>
      </c>
    </row>
    <row r="90">
      <c r="A90" s="21" t="s">
        <v>37</v>
      </c>
      <c r="B90" s="21" t="s">
        <v>18</v>
      </c>
      <c r="C90" s="21" t="str">
        <f t="shared" si="1"/>
        <v>SahebSacramento Country Day School</v>
      </c>
      <c r="D90" s="21" t="s">
        <v>38</v>
      </c>
    </row>
    <row r="91">
      <c r="A91" s="21" t="s">
        <v>45</v>
      </c>
      <c r="B91" s="21" t="s">
        <v>18</v>
      </c>
      <c r="C91" s="21" t="str">
        <f t="shared" si="1"/>
        <v>RyanSacramento Country Day School</v>
      </c>
      <c r="D91" s="21" t="s">
        <v>173</v>
      </c>
    </row>
    <row r="92">
      <c r="A92" s="23" t="s">
        <v>204</v>
      </c>
      <c r="B92" s="23" t="s">
        <v>18</v>
      </c>
      <c r="C92" s="21" t="str">
        <f t="shared" si="1"/>
        <v>NightHarassmentSacramento Country Day School</v>
      </c>
    </row>
    <row r="93">
      <c r="A93" s="21" t="s">
        <v>117</v>
      </c>
      <c r="B93" s="21" t="s">
        <v>18</v>
      </c>
      <c r="C93" s="21" t="str">
        <f t="shared" si="1"/>
        <v>SamhitaSacramento Country Day School</v>
      </c>
      <c r="D93" s="21" t="s">
        <v>118</v>
      </c>
    </row>
    <row r="94">
      <c r="A94" s="21" t="s">
        <v>78</v>
      </c>
      <c r="B94" s="21" t="s">
        <v>18</v>
      </c>
      <c r="C94" s="21" t="str">
        <f t="shared" si="1"/>
        <v>AvaSacramento Country Day School</v>
      </c>
      <c r="D94" s="21" t="s">
        <v>178</v>
      </c>
    </row>
    <row r="95">
      <c r="A95" s="21" t="s">
        <v>70</v>
      </c>
      <c r="B95" s="21" t="s">
        <v>28</v>
      </c>
      <c r="C95" s="21" t="str">
        <f t="shared" si="1"/>
        <v>SidhantOrthonormal BASIS</v>
      </c>
      <c r="D95" s="21" t="s">
        <v>72</v>
      </c>
    </row>
    <row r="96">
      <c r="A96" s="21" t="s">
        <v>69</v>
      </c>
      <c r="B96" s="21" t="s">
        <v>28</v>
      </c>
      <c r="C96" s="21" t="str">
        <f t="shared" si="1"/>
        <v>CowsOrthonormal BASIS</v>
      </c>
      <c r="D96" s="21" t="s">
        <v>71</v>
      </c>
    </row>
    <row r="97">
      <c r="A97" s="21" t="s">
        <v>176</v>
      </c>
      <c r="B97" s="21" t="s">
        <v>28</v>
      </c>
      <c r="C97" s="21" t="str">
        <f t="shared" si="1"/>
        <v>ArycOrthonormal BASIS</v>
      </c>
      <c r="D97" s="21" t="s">
        <v>177</v>
      </c>
    </row>
    <row r="98">
      <c r="A98" s="21" t="s">
        <v>97</v>
      </c>
      <c r="B98" s="21" t="s">
        <v>28</v>
      </c>
      <c r="C98" s="21" t="str">
        <f t="shared" si="1"/>
        <v>very_creative_nameOrthonormal BASIS</v>
      </c>
      <c r="D98" s="21" t="s">
        <v>98</v>
      </c>
    </row>
    <row r="99">
      <c r="A99" s="21" t="s">
        <v>111</v>
      </c>
      <c r="B99" s="21" t="s">
        <v>28</v>
      </c>
      <c r="C99" s="21" t="str">
        <f t="shared" si="1"/>
        <v>MargaretOrthonormal BASIS</v>
      </c>
      <c r="D99" s="21" t="s">
        <v>112</v>
      </c>
    </row>
    <row r="100">
      <c r="A100" s="21" t="s">
        <v>230</v>
      </c>
      <c r="B100" s="21" t="s">
        <v>208</v>
      </c>
      <c r="C100" s="21" t="str">
        <f t="shared" si="1"/>
        <v>pizzarzzzzBlue Rhinobeetles</v>
      </c>
      <c r="D100" s="21" t="s">
        <v>231</v>
      </c>
    </row>
    <row r="101">
      <c r="A101" s="23" t="s">
        <v>232</v>
      </c>
      <c r="B101" s="23" t="s">
        <v>208</v>
      </c>
      <c r="C101" s="21" t="str">
        <f t="shared" si="1"/>
        <v>snellslawBlue Rhinobeetles</v>
      </c>
    </row>
    <row r="102">
      <c r="A102" s="21" t="s">
        <v>233</v>
      </c>
      <c r="B102" s="21" t="s">
        <v>208</v>
      </c>
      <c r="C102" s="21" t="str">
        <f t="shared" si="1"/>
        <v>NickBlue Rhinobeetles</v>
      </c>
      <c r="D102" s="21" t="s">
        <v>234</v>
      </c>
    </row>
    <row r="103">
      <c r="A103" s="21" t="s">
        <v>235</v>
      </c>
      <c r="B103" s="21" t="s">
        <v>208</v>
      </c>
      <c r="C103" s="21" t="str">
        <f t="shared" si="1"/>
        <v>The AxolotlBlue Rhinobeetles</v>
      </c>
      <c r="D103" s="21" t="s">
        <v>236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3.88"/>
    <col customWidth="1" min="3" max="3" width="29.38"/>
  </cols>
  <sheetData>
    <row r="1">
      <c r="A1" s="15" t="s">
        <v>1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6" t="s">
        <v>12</v>
      </c>
    </row>
    <row r="2">
      <c r="A2" s="8" t="str">
        <f t="array" ref="A2:H94">SORT('Chemistry Unsorted'!A3:H95, 8, FALSE, 4, FALSE, 3, TRUE, 1, TRUE)</f>
        <v>Brandon</v>
      </c>
      <c r="B2" s="8" t="s">
        <v>55</v>
      </c>
      <c r="C2" s="8" t="s">
        <v>24</v>
      </c>
      <c r="D2" s="8">
        <v>18.0</v>
      </c>
      <c r="E2" s="8">
        <v>10.0</v>
      </c>
      <c r="F2" s="8">
        <v>4.0</v>
      </c>
      <c r="G2" s="8">
        <v>0.0</v>
      </c>
      <c r="H2" s="14">
        <v>8.89</v>
      </c>
    </row>
    <row r="3">
      <c r="A3" s="8" t="s">
        <v>73</v>
      </c>
      <c r="B3" s="8" t="s">
        <v>34</v>
      </c>
      <c r="C3" s="8" t="s">
        <v>15</v>
      </c>
      <c r="D3" s="8">
        <v>24.0</v>
      </c>
      <c r="E3" s="8">
        <v>12.0</v>
      </c>
      <c r="F3" s="8">
        <v>5.0</v>
      </c>
      <c r="G3" s="8">
        <v>0.0</v>
      </c>
      <c r="H3" s="14">
        <v>8.0</v>
      </c>
    </row>
    <row r="4">
      <c r="A4" s="8" t="s">
        <v>13</v>
      </c>
      <c r="B4" s="8" t="s">
        <v>92</v>
      </c>
      <c r="C4" s="8" t="s">
        <v>25</v>
      </c>
      <c r="D4" s="8">
        <v>24.0</v>
      </c>
      <c r="E4" s="8">
        <v>11.0</v>
      </c>
      <c r="F4" s="8">
        <v>1.0</v>
      </c>
      <c r="G4" s="8">
        <v>0.0</v>
      </c>
      <c r="H4" s="14">
        <v>7.33</v>
      </c>
    </row>
    <row r="5">
      <c r="A5" s="8" t="s">
        <v>106</v>
      </c>
      <c r="B5" s="8" t="s">
        <v>107</v>
      </c>
      <c r="C5" s="8" t="s">
        <v>19</v>
      </c>
      <c r="D5" s="8">
        <v>14.0</v>
      </c>
      <c r="E5" s="8">
        <v>6.0</v>
      </c>
      <c r="F5" s="8">
        <v>2.0</v>
      </c>
      <c r="G5" s="8">
        <v>0.0</v>
      </c>
      <c r="H5" s="14">
        <v>6.86</v>
      </c>
    </row>
    <row r="6">
      <c r="A6" s="8" t="s">
        <v>41</v>
      </c>
      <c r="B6" s="8" t="s">
        <v>42</v>
      </c>
      <c r="C6" s="8" t="s">
        <v>14</v>
      </c>
      <c r="D6" s="8">
        <v>24.0</v>
      </c>
      <c r="E6" s="8">
        <v>10.0</v>
      </c>
      <c r="F6" s="8">
        <v>9.0</v>
      </c>
      <c r="G6" s="8">
        <v>1.0</v>
      </c>
      <c r="H6" s="14">
        <v>6.0</v>
      </c>
    </row>
    <row r="7">
      <c r="A7" s="8" t="s">
        <v>39</v>
      </c>
      <c r="B7" s="8" t="s">
        <v>40</v>
      </c>
      <c r="C7" s="8" t="s">
        <v>21</v>
      </c>
      <c r="D7" s="8">
        <v>20.0</v>
      </c>
      <c r="E7" s="8">
        <v>7.0</v>
      </c>
      <c r="F7" s="8">
        <v>7.0</v>
      </c>
      <c r="G7" s="8">
        <v>0.0</v>
      </c>
      <c r="H7" s="14">
        <v>5.6</v>
      </c>
    </row>
    <row r="8">
      <c r="A8" s="8" t="s">
        <v>117</v>
      </c>
      <c r="B8" s="8" t="s">
        <v>118</v>
      </c>
      <c r="C8" s="8" t="s">
        <v>18</v>
      </c>
      <c r="D8" s="8">
        <v>20.0</v>
      </c>
      <c r="E8" s="8">
        <v>7.0</v>
      </c>
      <c r="F8" s="8">
        <v>4.0</v>
      </c>
      <c r="G8" s="8">
        <v>0.0</v>
      </c>
      <c r="H8" s="14">
        <v>5.6</v>
      </c>
    </row>
    <row r="9">
      <c r="A9" s="8" t="s">
        <v>86</v>
      </c>
      <c r="B9" s="8" t="s">
        <v>87</v>
      </c>
      <c r="C9" s="8" t="s">
        <v>16</v>
      </c>
      <c r="D9" s="8">
        <v>20.0</v>
      </c>
      <c r="E9" s="8">
        <v>6.0</v>
      </c>
      <c r="F9" s="8">
        <v>6.0</v>
      </c>
      <c r="G9" s="8">
        <v>0.0</v>
      </c>
      <c r="H9" s="14">
        <v>4.8</v>
      </c>
    </row>
    <row r="10">
      <c r="A10" s="8" t="s">
        <v>99</v>
      </c>
      <c r="B10" s="8" t="s">
        <v>101</v>
      </c>
      <c r="C10" s="8" t="s">
        <v>22</v>
      </c>
      <c r="D10" s="8">
        <v>18.0</v>
      </c>
      <c r="E10" s="8">
        <v>5.0</v>
      </c>
      <c r="F10" s="8">
        <v>3.0</v>
      </c>
      <c r="G10" s="8">
        <v>0.0</v>
      </c>
      <c r="H10" s="14">
        <v>4.44</v>
      </c>
    </row>
    <row r="11">
      <c r="A11" s="8" t="s">
        <v>108</v>
      </c>
      <c r="B11" s="8" t="s">
        <v>109</v>
      </c>
      <c r="C11" s="8" t="s">
        <v>20</v>
      </c>
      <c r="D11" s="8">
        <v>24.0</v>
      </c>
      <c r="E11" s="8">
        <v>7.0</v>
      </c>
      <c r="F11" s="8">
        <v>3.0</v>
      </c>
      <c r="G11" s="8">
        <v>1.0</v>
      </c>
      <c r="H11" s="14">
        <v>4.0</v>
      </c>
    </row>
    <row r="12">
      <c r="A12" s="8" t="s">
        <v>35</v>
      </c>
      <c r="B12" s="8" t="s">
        <v>36</v>
      </c>
      <c r="C12" s="8" t="s">
        <v>17</v>
      </c>
      <c r="D12" s="8">
        <v>16.0</v>
      </c>
      <c r="E12" s="8">
        <v>4.0</v>
      </c>
      <c r="F12" s="8">
        <v>6.0</v>
      </c>
      <c r="G12" s="8">
        <v>0.0</v>
      </c>
      <c r="H12" s="14">
        <v>4.0</v>
      </c>
    </row>
    <row r="13">
      <c r="A13" s="8" t="s">
        <v>142</v>
      </c>
      <c r="B13" s="8" t="s">
        <v>144</v>
      </c>
      <c r="C13" s="8" t="s">
        <v>23</v>
      </c>
      <c r="D13" s="8">
        <v>16.0</v>
      </c>
      <c r="E13" s="8">
        <v>4.0</v>
      </c>
      <c r="F13" s="8">
        <v>0.0</v>
      </c>
      <c r="G13" s="8">
        <v>0.0</v>
      </c>
      <c r="H13" s="14">
        <v>4.0</v>
      </c>
    </row>
    <row r="14">
      <c r="A14" s="8" t="s">
        <v>102</v>
      </c>
      <c r="B14" s="8" t="s">
        <v>103</v>
      </c>
      <c r="C14" s="8" t="s">
        <v>23</v>
      </c>
      <c r="D14" s="8">
        <v>20.0</v>
      </c>
      <c r="E14" s="8">
        <v>4.0</v>
      </c>
      <c r="F14" s="8">
        <v>3.0</v>
      </c>
      <c r="G14" s="8">
        <v>0.0</v>
      </c>
      <c r="H14" s="14">
        <v>3.2</v>
      </c>
    </row>
    <row r="15">
      <c r="A15" s="8" t="s">
        <v>79</v>
      </c>
      <c r="B15" s="8" t="s">
        <v>80</v>
      </c>
      <c r="C15" s="8" t="s">
        <v>22</v>
      </c>
      <c r="D15" s="8">
        <v>22.0</v>
      </c>
      <c r="E15" s="8">
        <v>4.0</v>
      </c>
      <c r="F15" s="8">
        <v>4.0</v>
      </c>
      <c r="G15" s="8">
        <v>0.0</v>
      </c>
      <c r="H15" s="14">
        <v>2.91</v>
      </c>
    </row>
    <row r="16">
      <c r="A16" s="8" t="s">
        <v>48</v>
      </c>
      <c r="B16" s="8" t="s">
        <v>50</v>
      </c>
      <c r="C16" s="8" t="s">
        <v>27</v>
      </c>
      <c r="D16" s="8">
        <v>24.0</v>
      </c>
      <c r="E16" s="8">
        <v>4.0</v>
      </c>
      <c r="F16" s="8">
        <v>6.0</v>
      </c>
      <c r="G16" s="8">
        <v>0.0</v>
      </c>
      <c r="H16" s="14">
        <v>2.67</v>
      </c>
    </row>
    <row r="17">
      <c r="A17" s="8" t="s">
        <v>76</v>
      </c>
      <c r="B17" s="8" t="s">
        <v>77</v>
      </c>
      <c r="C17" s="8" t="s">
        <v>26</v>
      </c>
      <c r="D17" s="8">
        <v>12.0</v>
      </c>
      <c r="E17" s="8">
        <v>2.0</v>
      </c>
      <c r="F17" s="8">
        <v>4.0</v>
      </c>
      <c r="G17" s="8">
        <v>0.0</v>
      </c>
      <c r="H17" s="14">
        <v>2.67</v>
      </c>
    </row>
    <row r="18">
      <c r="A18" s="8" t="s">
        <v>67</v>
      </c>
      <c r="B18" s="8" t="s">
        <v>68</v>
      </c>
      <c r="C18" s="8" t="s">
        <v>29</v>
      </c>
      <c r="D18" s="8">
        <v>20.0</v>
      </c>
      <c r="E18" s="8">
        <v>3.0</v>
      </c>
      <c r="F18" s="8">
        <v>7.0</v>
      </c>
      <c r="G18" s="8">
        <v>0.0</v>
      </c>
      <c r="H18" s="14">
        <v>2.4</v>
      </c>
    </row>
    <row r="19">
      <c r="A19" s="8" t="s">
        <v>58</v>
      </c>
      <c r="B19" s="8" t="s">
        <v>59</v>
      </c>
      <c r="C19" s="8" t="s">
        <v>16</v>
      </c>
      <c r="D19" s="8">
        <v>16.0</v>
      </c>
      <c r="E19" s="8">
        <v>2.0</v>
      </c>
      <c r="F19" s="8">
        <v>0.0</v>
      </c>
      <c r="G19" s="8">
        <v>0.0</v>
      </c>
      <c r="H19" s="14">
        <v>2.0</v>
      </c>
    </row>
    <row r="20">
      <c r="A20" s="8" t="s">
        <v>69</v>
      </c>
      <c r="B20" s="8" t="s">
        <v>71</v>
      </c>
      <c r="C20" s="8" t="s">
        <v>28</v>
      </c>
      <c r="D20" s="8">
        <v>16.0</v>
      </c>
      <c r="E20" s="8">
        <v>3.0</v>
      </c>
      <c r="F20" s="8">
        <v>3.0</v>
      </c>
      <c r="G20" s="8">
        <v>1.0</v>
      </c>
      <c r="H20" s="14">
        <v>2.0</v>
      </c>
    </row>
    <row r="21">
      <c r="A21" s="8" t="s">
        <v>49</v>
      </c>
      <c r="B21" s="8" t="s">
        <v>51</v>
      </c>
      <c r="C21" s="8" t="s">
        <v>23</v>
      </c>
      <c r="D21" s="8">
        <v>20.0</v>
      </c>
      <c r="E21" s="8">
        <v>2.0</v>
      </c>
      <c r="F21" s="8">
        <v>1.0</v>
      </c>
      <c r="G21" s="8">
        <v>0.0</v>
      </c>
      <c r="H21" s="14">
        <v>1.6</v>
      </c>
    </row>
    <row r="22">
      <c r="A22" s="8" t="s">
        <v>43</v>
      </c>
      <c r="B22" s="8" t="s">
        <v>44</v>
      </c>
      <c r="C22" s="8" t="s">
        <v>23</v>
      </c>
      <c r="D22" s="8">
        <v>20.0</v>
      </c>
      <c r="E22" s="8">
        <v>2.0</v>
      </c>
      <c r="F22" s="8">
        <v>2.0</v>
      </c>
      <c r="G22" s="8">
        <v>0.0</v>
      </c>
      <c r="H22" s="14">
        <v>1.6</v>
      </c>
    </row>
    <row r="23">
      <c r="A23" s="8" t="s">
        <v>45</v>
      </c>
      <c r="B23" s="8" t="s">
        <v>46</v>
      </c>
      <c r="C23" s="8" t="s">
        <v>20</v>
      </c>
      <c r="D23" s="8">
        <v>24.0</v>
      </c>
      <c r="E23" s="8">
        <v>2.0</v>
      </c>
      <c r="F23" s="8">
        <v>2.0</v>
      </c>
      <c r="G23" s="8">
        <v>0.0</v>
      </c>
      <c r="H23" s="14">
        <v>1.33</v>
      </c>
    </row>
    <row r="24">
      <c r="A24" s="8" t="s">
        <v>13</v>
      </c>
      <c r="B24" s="8" t="s">
        <v>60</v>
      </c>
      <c r="C24" s="8" t="s">
        <v>22</v>
      </c>
      <c r="D24" s="8">
        <v>24.0</v>
      </c>
      <c r="E24" s="8">
        <v>2.0</v>
      </c>
      <c r="F24" s="8">
        <v>0.0</v>
      </c>
      <c r="G24" s="8">
        <v>0.0</v>
      </c>
      <c r="H24" s="14">
        <v>1.33</v>
      </c>
    </row>
    <row r="25">
      <c r="A25" s="8" t="s">
        <v>84</v>
      </c>
      <c r="B25" s="8" t="s">
        <v>85</v>
      </c>
      <c r="C25" s="8" t="s">
        <v>31</v>
      </c>
      <c r="D25" s="8">
        <v>12.0</v>
      </c>
      <c r="E25" s="8">
        <v>1.0</v>
      </c>
      <c r="F25" s="8">
        <v>0.0</v>
      </c>
      <c r="G25" s="8">
        <v>0.0</v>
      </c>
      <c r="H25" s="14">
        <v>1.33</v>
      </c>
    </row>
    <row r="26">
      <c r="A26" s="8" t="s">
        <v>52</v>
      </c>
      <c r="B26" s="8" t="s">
        <v>54</v>
      </c>
      <c r="C26" s="8" t="s">
        <v>24</v>
      </c>
      <c r="D26" s="8">
        <v>14.0</v>
      </c>
      <c r="E26" s="8">
        <v>1.0</v>
      </c>
      <c r="F26" s="8">
        <v>0.0</v>
      </c>
      <c r="G26" s="8">
        <v>0.0</v>
      </c>
      <c r="H26" s="14">
        <v>1.14</v>
      </c>
    </row>
    <row r="27">
      <c r="A27" s="8" t="s">
        <v>13</v>
      </c>
      <c r="B27" s="8" t="s">
        <v>121</v>
      </c>
      <c r="C27" s="8" t="s">
        <v>24</v>
      </c>
      <c r="D27" s="8">
        <v>16.0</v>
      </c>
      <c r="E27" s="8">
        <v>1.0</v>
      </c>
      <c r="F27" s="8">
        <v>0.0</v>
      </c>
      <c r="G27" s="8">
        <v>0.0</v>
      </c>
      <c r="H27" s="14">
        <v>1.0</v>
      </c>
    </row>
    <row r="28">
      <c r="A28" s="8" t="s">
        <v>65</v>
      </c>
      <c r="B28" s="8" t="s">
        <v>66</v>
      </c>
      <c r="C28" s="8" t="s">
        <v>19</v>
      </c>
      <c r="D28" s="8">
        <v>16.0</v>
      </c>
      <c r="E28" s="8">
        <v>2.0</v>
      </c>
      <c r="F28" s="8">
        <v>0.0</v>
      </c>
      <c r="G28" s="8">
        <v>1.0</v>
      </c>
      <c r="H28" s="14">
        <v>1.0</v>
      </c>
    </row>
    <row r="29">
      <c r="A29" s="8" t="s">
        <v>138</v>
      </c>
      <c r="B29" s="8" t="s">
        <v>139</v>
      </c>
      <c r="C29" s="8" t="s">
        <v>27</v>
      </c>
      <c r="D29" s="8">
        <v>22.0</v>
      </c>
      <c r="E29" s="8">
        <v>1.0</v>
      </c>
      <c r="F29" s="8">
        <v>0.0</v>
      </c>
      <c r="G29" s="8">
        <v>0.0</v>
      </c>
      <c r="H29" s="14">
        <v>0.73</v>
      </c>
    </row>
    <row r="30">
      <c r="A30" s="8" t="s">
        <v>95</v>
      </c>
      <c r="B30" s="8" t="s">
        <v>96</v>
      </c>
      <c r="C30" s="8" t="s">
        <v>25</v>
      </c>
      <c r="D30" s="8">
        <v>24.0</v>
      </c>
      <c r="E30" s="8">
        <v>1.0</v>
      </c>
      <c r="F30" s="8">
        <v>1.0</v>
      </c>
      <c r="G30" s="8">
        <v>0.0</v>
      </c>
      <c r="H30" s="14">
        <v>0.67</v>
      </c>
    </row>
    <row r="31">
      <c r="A31" s="8" t="s">
        <v>132</v>
      </c>
      <c r="B31" s="8" t="s">
        <v>133</v>
      </c>
      <c r="C31" s="8" t="s">
        <v>14</v>
      </c>
      <c r="D31" s="8">
        <v>24.0</v>
      </c>
      <c r="E31" s="8">
        <v>1.0</v>
      </c>
      <c r="F31" s="8">
        <v>0.0</v>
      </c>
      <c r="G31" s="8">
        <v>0.0</v>
      </c>
      <c r="H31" s="14">
        <v>0.67</v>
      </c>
    </row>
    <row r="32">
      <c r="A32" s="8" t="s">
        <v>127</v>
      </c>
      <c r="B32" s="8" t="s">
        <v>129</v>
      </c>
      <c r="C32" s="8" t="s">
        <v>15</v>
      </c>
      <c r="D32" s="8">
        <v>24.0</v>
      </c>
      <c r="E32" s="8">
        <v>0.0</v>
      </c>
      <c r="F32" s="8">
        <v>1.0</v>
      </c>
      <c r="G32" s="8">
        <v>0.0</v>
      </c>
      <c r="H32" s="14">
        <v>0.0</v>
      </c>
    </row>
    <row r="33">
      <c r="A33" s="8" t="s">
        <v>56</v>
      </c>
      <c r="B33" s="8" t="s">
        <v>57</v>
      </c>
      <c r="C33" s="8" t="s">
        <v>14</v>
      </c>
      <c r="D33" s="8">
        <v>24.0</v>
      </c>
      <c r="E33" s="8">
        <v>0.0</v>
      </c>
      <c r="F33" s="8">
        <v>0.0</v>
      </c>
      <c r="G33" s="8">
        <v>0.0</v>
      </c>
      <c r="H33" s="14">
        <v>0.0</v>
      </c>
    </row>
    <row r="34">
      <c r="A34" s="8" t="s">
        <v>134</v>
      </c>
      <c r="B34" s="8" t="s">
        <v>135</v>
      </c>
      <c r="C34" s="8" t="s">
        <v>22</v>
      </c>
      <c r="D34" s="8">
        <v>22.0</v>
      </c>
      <c r="E34" s="8">
        <v>0.0</v>
      </c>
      <c r="F34" s="8">
        <v>0.0</v>
      </c>
      <c r="G34" s="8">
        <v>0.0</v>
      </c>
      <c r="H34" s="14">
        <v>0.0</v>
      </c>
    </row>
    <row r="35">
      <c r="A35" s="8" t="s">
        <v>124</v>
      </c>
      <c r="B35" s="8" t="s">
        <v>125</v>
      </c>
      <c r="C35" s="8" t="s">
        <v>25</v>
      </c>
      <c r="D35" s="8">
        <v>22.0</v>
      </c>
      <c r="E35" s="8">
        <v>0.0</v>
      </c>
      <c r="F35" s="8">
        <v>2.0</v>
      </c>
      <c r="G35" s="8">
        <v>0.0</v>
      </c>
      <c r="H35" s="14">
        <v>0.0</v>
      </c>
    </row>
    <row r="36">
      <c r="A36" s="8" t="s">
        <v>104</v>
      </c>
      <c r="B36" s="8" t="s">
        <v>105</v>
      </c>
      <c r="C36" s="8" t="s">
        <v>27</v>
      </c>
      <c r="D36" s="8">
        <v>22.0</v>
      </c>
      <c r="E36" s="8">
        <v>0.0</v>
      </c>
      <c r="F36" s="8">
        <v>4.0</v>
      </c>
      <c r="G36" s="8">
        <v>0.0</v>
      </c>
      <c r="H36" s="14">
        <v>0.0</v>
      </c>
    </row>
    <row r="37">
      <c r="A37" s="8" t="s">
        <v>63</v>
      </c>
      <c r="B37" s="8" t="s">
        <v>64</v>
      </c>
      <c r="C37" s="8" t="s">
        <v>15</v>
      </c>
      <c r="D37" s="8">
        <v>20.0</v>
      </c>
      <c r="E37" s="8">
        <v>0.0</v>
      </c>
      <c r="F37" s="8">
        <v>1.0</v>
      </c>
      <c r="G37" s="8">
        <v>0.0</v>
      </c>
      <c r="H37" s="14">
        <v>0.0</v>
      </c>
    </row>
    <row r="38">
      <c r="A38" s="8" t="s">
        <v>81</v>
      </c>
      <c r="B38" s="8" t="s">
        <v>47</v>
      </c>
      <c r="C38" s="8" t="s">
        <v>29</v>
      </c>
      <c r="D38" s="8">
        <v>20.0</v>
      </c>
      <c r="E38" s="8">
        <v>0.0</v>
      </c>
      <c r="F38" s="8">
        <v>0.0</v>
      </c>
      <c r="G38" s="8">
        <v>0.0</v>
      </c>
      <c r="H38" s="14">
        <v>0.0</v>
      </c>
    </row>
    <row r="39">
      <c r="A39" s="8" t="s">
        <v>143</v>
      </c>
      <c r="B39" s="8" t="s">
        <v>145</v>
      </c>
      <c r="C39" s="8" t="s">
        <v>21</v>
      </c>
      <c r="D39" s="8">
        <v>20.0</v>
      </c>
      <c r="E39" s="8">
        <v>0.0</v>
      </c>
      <c r="F39" s="8">
        <v>0.0</v>
      </c>
      <c r="G39" s="8">
        <v>0.0</v>
      </c>
      <c r="H39" s="14">
        <v>0.0</v>
      </c>
    </row>
    <row r="40">
      <c r="A40" s="8" t="s">
        <v>126</v>
      </c>
      <c r="B40" s="8" t="s">
        <v>128</v>
      </c>
      <c r="C40" s="8" t="s">
        <v>20</v>
      </c>
      <c r="D40" s="8">
        <v>20.0</v>
      </c>
      <c r="E40" s="8">
        <v>0.0</v>
      </c>
      <c r="F40" s="8">
        <v>0.0</v>
      </c>
      <c r="G40" s="8">
        <v>0.0</v>
      </c>
      <c r="H40" s="14">
        <v>0.0</v>
      </c>
    </row>
    <row r="41">
      <c r="A41" s="8" t="s">
        <v>37</v>
      </c>
      <c r="B41" s="8" t="s">
        <v>38</v>
      </c>
      <c r="C41" s="8" t="s">
        <v>18</v>
      </c>
      <c r="D41" s="8">
        <v>20.0</v>
      </c>
      <c r="E41" s="8">
        <v>0.0</v>
      </c>
      <c r="F41" s="8">
        <v>4.0</v>
      </c>
      <c r="G41" s="8">
        <v>0.0</v>
      </c>
      <c r="H41" s="14">
        <v>0.0</v>
      </c>
    </row>
    <row r="42">
      <c r="A42" s="8" t="s">
        <v>122</v>
      </c>
      <c r="B42" s="8" t="s">
        <v>123</v>
      </c>
      <c r="C42" s="8" t="s">
        <v>27</v>
      </c>
      <c r="D42" s="8">
        <v>20.0</v>
      </c>
      <c r="E42" s="8">
        <v>0.0</v>
      </c>
      <c r="F42" s="8">
        <v>0.0</v>
      </c>
      <c r="G42" s="8">
        <v>0.0</v>
      </c>
      <c r="H42" s="14">
        <v>0.0</v>
      </c>
    </row>
    <row r="43">
      <c r="A43" s="8" t="s">
        <v>152</v>
      </c>
      <c r="B43" s="8" t="s">
        <v>153</v>
      </c>
      <c r="C43" s="8" t="s">
        <v>21</v>
      </c>
      <c r="D43" s="8">
        <v>18.0</v>
      </c>
      <c r="E43" s="8">
        <v>0.0</v>
      </c>
      <c r="F43" s="8">
        <v>0.0</v>
      </c>
      <c r="G43" s="8">
        <v>0.0</v>
      </c>
      <c r="H43" s="14">
        <v>0.0</v>
      </c>
    </row>
    <row r="44">
      <c r="A44" s="8" t="s">
        <v>140</v>
      </c>
      <c r="B44" s="8" t="s">
        <v>141</v>
      </c>
      <c r="C44" s="8" t="s">
        <v>29</v>
      </c>
      <c r="D44" s="8">
        <v>16.0</v>
      </c>
      <c r="E44" s="8">
        <v>0.0</v>
      </c>
      <c r="F44" s="8">
        <v>0.0</v>
      </c>
      <c r="G44" s="8">
        <v>0.0</v>
      </c>
      <c r="H44" s="14">
        <v>0.0</v>
      </c>
    </row>
    <row r="45">
      <c r="A45" s="8" t="s">
        <v>154</v>
      </c>
      <c r="B45" s="8" t="s">
        <v>156</v>
      </c>
      <c r="C45" s="8" t="s">
        <v>29</v>
      </c>
      <c r="D45" s="8">
        <v>16.0</v>
      </c>
      <c r="E45" s="8">
        <v>0.0</v>
      </c>
      <c r="F45" s="8">
        <v>1.0</v>
      </c>
      <c r="G45" s="8">
        <v>0.0</v>
      </c>
      <c r="H45" s="14">
        <v>0.0</v>
      </c>
    </row>
    <row r="46">
      <c r="A46" s="8" t="s">
        <v>158</v>
      </c>
      <c r="B46" s="8" t="s">
        <v>159</v>
      </c>
      <c r="C46" s="8" t="s">
        <v>17</v>
      </c>
      <c r="D46" s="8">
        <v>16.0</v>
      </c>
      <c r="E46" s="8">
        <v>0.0</v>
      </c>
      <c r="F46" s="8">
        <v>0.0</v>
      </c>
      <c r="G46" s="8">
        <v>0.0</v>
      </c>
      <c r="H46" s="14">
        <v>0.0</v>
      </c>
    </row>
    <row r="47">
      <c r="A47" s="8" t="s">
        <v>115</v>
      </c>
      <c r="B47" s="8" t="s">
        <v>116</v>
      </c>
      <c r="C47" s="8" t="s">
        <v>20</v>
      </c>
      <c r="D47" s="8">
        <v>16.0</v>
      </c>
      <c r="E47" s="8">
        <v>0.0</v>
      </c>
      <c r="F47" s="8">
        <v>0.0</v>
      </c>
      <c r="G47" s="8">
        <v>0.0</v>
      </c>
      <c r="H47" s="14">
        <v>0.0</v>
      </c>
    </row>
    <row r="48">
      <c r="A48" s="8" t="s">
        <v>162</v>
      </c>
      <c r="B48" s="8" t="s">
        <v>163</v>
      </c>
      <c r="C48" s="8" t="s">
        <v>16</v>
      </c>
      <c r="D48" s="8">
        <v>16.0</v>
      </c>
      <c r="E48" s="8">
        <v>0.0</v>
      </c>
      <c r="F48" s="8">
        <v>0.0</v>
      </c>
      <c r="G48" s="8">
        <v>0.0</v>
      </c>
      <c r="H48" s="14">
        <v>0.0</v>
      </c>
    </row>
    <row r="49">
      <c r="A49" s="8" t="s">
        <v>164</v>
      </c>
      <c r="B49" s="8" t="s">
        <v>165</v>
      </c>
      <c r="C49" s="8" t="s">
        <v>16</v>
      </c>
      <c r="D49" s="8">
        <v>16.0</v>
      </c>
      <c r="E49" s="8">
        <v>0.0</v>
      </c>
      <c r="F49" s="8">
        <v>0.0</v>
      </c>
      <c r="G49" s="8">
        <v>0.0</v>
      </c>
      <c r="H49" s="14">
        <v>0.0</v>
      </c>
    </row>
    <row r="50">
      <c r="A50" s="8" t="s">
        <v>174</v>
      </c>
      <c r="B50" s="8" t="s">
        <v>175</v>
      </c>
      <c r="C50" s="8" t="s">
        <v>22</v>
      </c>
      <c r="D50" s="8">
        <v>16.0</v>
      </c>
      <c r="E50" s="8">
        <v>0.0</v>
      </c>
      <c r="F50" s="8">
        <v>0.0</v>
      </c>
      <c r="G50" s="8">
        <v>0.0</v>
      </c>
      <c r="H50" s="14">
        <v>0.0</v>
      </c>
    </row>
    <row r="51">
      <c r="A51" s="8" t="s">
        <v>70</v>
      </c>
      <c r="B51" s="8" t="s">
        <v>72</v>
      </c>
      <c r="C51" s="8" t="s">
        <v>28</v>
      </c>
      <c r="D51" s="8">
        <v>16.0</v>
      </c>
      <c r="E51" s="8">
        <v>0.0</v>
      </c>
      <c r="F51" s="8">
        <v>1.0</v>
      </c>
      <c r="G51" s="8">
        <v>0.0</v>
      </c>
      <c r="H51" s="14">
        <v>0.0</v>
      </c>
    </row>
    <row r="52">
      <c r="A52" s="8" t="s">
        <v>155</v>
      </c>
      <c r="B52" s="8" t="s">
        <v>157</v>
      </c>
      <c r="C52" s="8" t="s">
        <v>24</v>
      </c>
      <c r="D52" s="8">
        <v>16.0</v>
      </c>
      <c r="E52" s="8">
        <v>0.0</v>
      </c>
      <c r="F52" s="8">
        <v>0.0</v>
      </c>
      <c r="G52" s="8">
        <v>0.0</v>
      </c>
      <c r="H52" s="14">
        <v>0.0</v>
      </c>
    </row>
    <row r="53">
      <c r="A53" s="8" t="s">
        <v>167</v>
      </c>
      <c r="B53" s="8" t="s">
        <v>168</v>
      </c>
      <c r="C53" s="8" t="s">
        <v>31</v>
      </c>
      <c r="D53" s="8">
        <v>16.0</v>
      </c>
      <c r="E53" s="8">
        <v>0.0</v>
      </c>
      <c r="F53" s="8">
        <v>0.0</v>
      </c>
      <c r="G53" s="8">
        <v>0.0</v>
      </c>
      <c r="H53" s="14">
        <v>0.0</v>
      </c>
    </row>
    <row r="54">
      <c r="A54" s="8" t="s">
        <v>88</v>
      </c>
      <c r="B54" s="8" t="s">
        <v>89</v>
      </c>
      <c r="C54" s="8" t="s">
        <v>31</v>
      </c>
      <c r="D54" s="8">
        <v>16.0</v>
      </c>
      <c r="E54" s="8">
        <v>1.0</v>
      </c>
      <c r="F54" s="8">
        <v>6.0</v>
      </c>
      <c r="G54" s="8">
        <v>1.0</v>
      </c>
      <c r="H54" s="14">
        <v>0.0</v>
      </c>
    </row>
    <row r="55">
      <c r="A55" s="8" t="s">
        <v>113</v>
      </c>
      <c r="B55" s="8" t="s">
        <v>114</v>
      </c>
      <c r="C55" s="8" t="s">
        <v>15</v>
      </c>
      <c r="D55" s="8">
        <v>14.0</v>
      </c>
      <c r="E55" s="8">
        <v>0.0</v>
      </c>
      <c r="F55" s="8">
        <v>0.0</v>
      </c>
      <c r="G55" s="8">
        <v>0.0</v>
      </c>
      <c r="H55" s="14">
        <v>0.0</v>
      </c>
    </row>
    <row r="56">
      <c r="A56" s="8" t="s">
        <v>169</v>
      </c>
      <c r="B56" s="8" t="s">
        <v>170</v>
      </c>
      <c r="C56" s="8" t="s">
        <v>15</v>
      </c>
      <c r="D56" s="8">
        <v>14.0</v>
      </c>
      <c r="E56" s="8">
        <v>0.0</v>
      </c>
      <c r="F56" s="8">
        <v>0.0</v>
      </c>
      <c r="G56" s="8">
        <v>0.0</v>
      </c>
      <c r="H56" s="14">
        <v>0.0</v>
      </c>
    </row>
    <row r="57">
      <c r="A57" s="8" t="s">
        <v>90</v>
      </c>
      <c r="B57" s="8" t="s">
        <v>91</v>
      </c>
      <c r="C57" s="8" t="s">
        <v>25</v>
      </c>
      <c r="D57" s="8">
        <v>14.0</v>
      </c>
      <c r="E57" s="8">
        <v>0.0</v>
      </c>
      <c r="F57" s="8">
        <v>0.0</v>
      </c>
      <c r="G57" s="8">
        <v>0.0</v>
      </c>
      <c r="H57" s="14">
        <v>0.0</v>
      </c>
    </row>
    <row r="58">
      <c r="A58" s="8" t="s">
        <v>136</v>
      </c>
      <c r="B58" s="8" t="s">
        <v>137</v>
      </c>
      <c r="C58" s="8" t="s">
        <v>24</v>
      </c>
      <c r="D58" s="8">
        <v>14.0</v>
      </c>
      <c r="E58" s="8">
        <v>0.0</v>
      </c>
      <c r="F58" s="8">
        <v>1.0</v>
      </c>
      <c r="G58" s="8">
        <v>0.0</v>
      </c>
      <c r="H58" s="14">
        <v>0.0</v>
      </c>
    </row>
    <row r="59">
      <c r="A59" s="8" t="s">
        <v>82</v>
      </c>
      <c r="B59" s="8" t="s">
        <v>110</v>
      </c>
      <c r="C59" s="8" t="s">
        <v>5</v>
      </c>
      <c r="D59" s="8">
        <v>12.0</v>
      </c>
      <c r="E59" s="8">
        <v>0.0</v>
      </c>
      <c r="F59" s="8">
        <v>2.0</v>
      </c>
      <c r="G59" s="8">
        <v>0.0</v>
      </c>
      <c r="H59" s="14">
        <v>0.0</v>
      </c>
    </row>
    <row r="60">
      <c r="A60" s="8" t="s">
        <v>146</v>
      </c>
      <c r="B60" s="8" t="s">
        <v>147</v>
      </c>
      <c r="C60" s="8" t="s">
        <v>5</v>
      </c>
      <c r="D60" s="8">
        <v>12.0</v>
      </c>
      <c r="E60" s="8">
        <v>0.0</v>
      </c>
      <c r="F60" s="8">
        <v>0.0</v>
      </c>
      <c r="G60" s="8">
        <v>0.0</v>
      </c>
      <c r="H60" s="14">
        <v>0.0</v>
      </c>
    </row>
    <row r="61">
      <c r="A61" s="8" t="s">
        <v>130</v>
      </c>
      <c r="B61" s="8" t="s">
        <v>131</v>
      </c>
      <c r="C61" s="8" t="s">
        <v>30</v>
      </c>
      <c r="D61" s="8">
        <v>12.0</v>
      </c>
      <c r="E61" s="8">
        <v>0.0</v>
      </c>
      <c r="F61" s="8">
        <v>1.0</v>
      </c>
      <c r="G61" s="8">
        <v>0.0</v>
      </c>
      <c r="H61" s="14">
        <v>0.0</v>
      </c>
    </row>
    <row r="62">
      <c r="A62" s="8" t="s">
        <v>160</v>
      </c>
      <c r="B62" s="8" t="s">
        <v>161</v>
      </c>
      <c r="C62" s="8" t="s">
        <v>30</v>
      </c>
      <c r="D62" s="8">
        <v>12.0</v>
      </c>
      <c r="E62" s="8">
        <v>0.0</v>
      </c>
      <c r="F62" s="8">
        <v>1.0</v>
      </c>
      <c r="G62" s="8">
        <v>0.0</v>
      </c>
      <c r="H62" s="14">
        <v>0.0</v>
      </c>
    </row>
    <row r="63">
      <c r="A63" s="8" t="s">
        <v>148</v>
      </c>
      <c r="B63" s="8" t="s">
        <v>149</v>
      </c>
      <c r="C63" s="8" t="s">
        <v>30</v>
      </c>
      <c r="D63" s="8">
        <v>12.0</v>
      </c>
      <c r="E63" s="8">
        <v>0.0</v>
      </c>
      <c r="F63" s="8">
        <v>0.0</v>
      </c>
      <c r="G63" s="8">
        <v>0.0</v>
      </c>
      <c r="H63" s="14">
        <v>0.0</v>
      </c>
    </row>
    <row r="64">
      <c r="A64" s="8" t="s">
        <v>176</v>
      </c>
      <c r="B64" s="8" t="s">
        <v>177</v>
      </c>
      <c r="C64" s="8" t="s">
        <v>28</v>
      </c>
      <c r="D64" s="8">
        <v>12.0</v>
      </c>
      <c r="E64" s="8">
        <v>0.0</v>
      </c>
      <c r="F64" s="8">
        <v>0.0</v>
      </c>
      <c r="G64" s="8">
        <v>0.0</v>
      </c>
      <c r="H64" s="14">
        <v>0.0</v>
      </c>
    </row>
    <row r="65">
      <c r="A65" s="8" t="s">
        <v>111</v>
      </c>
      <c r="B65" s="8" t="s">
        <v>112</v>
      </c>
      <c r="C65" s="8" t="s">
        <v>28</v>
      </c>
      <c r="D65" s="8">
        <v>12.0</v>
      </c>
      <c r="E65" s="8">
        <v>0.0</v>
      </c>
      <c r="F65" s="8">
        <v>0.0</v>
      </c>
      <c r="G65" s="8">
        <v>0.0</v>
      </c>
      <c r="H65" s="14">
        <v>0.0</v>
      </c>
    </row>
    <row r="66">
      <c r="A66" s="8" t="s">
        <v>78</v>
      </c>
      <c r="B66" s="8" t="s">
        <v>178</v>
      </c>
      <c r="C66" s="8" t="s">
        <v>18</v>
      </c>
      <c r="D66" s="8">
        <v>12.0</v>
      </c>
      <c r="E66" s="8">
        <v>0.0</v>
      </c>
      <c r="F66" s="8">
        <v>0.0</v>
      </c>
      <c r="G66" s="8">
        <v>0.0</v>
      </c>
      <c r="H66" s="14">
        <v>0.0</v>
      </c>
    </row>
    <row r="67">
      <c r="A67" s="8" t="s">
        <v>179</v>
      </c>
      <c r="B67" s="8" t="s">
        <v>180</v>
      </c>
      <c r="C67" s="8" t="s">
        <v>25</v>
      </c>
      <c r="D67" s="8">
        <v>12.0</v>
      </c>
      <c r="E67" s="8">
        <v>0.0</v>
      </c>
      <c r="F67" s="8">
        <v>0.0</v>
      </c>
      <c r="G67" s="8">
        <v>0.0</v>
      </c>
      <c r="H67" s="14">
        <v>0.0</v>
      </c>
    </row>
    <row r="68">
      <c r="A68" s="8" t="s">
        <v>61</v>
      </c>
      <c r="B68" s="8" t="s">
        <v>62</v>
      </c>
      <c r="C68" s="8" t="s">
        <v>19</v>
      </c>
      <c r="D68" s="8">
        <v>12.0</v>
      </c>
      <c r="E68" s="8">
        <v>0.0</v>
      </c>
      <c r="F68" s="8">
        <v>0.0</v>
      </c>
      <c r="G68" s="8">
        <v>0.0</v>
      </c>
      <c r="H68" s="14">
        <v>0.0</v>
      </c>
    </row>
    <row r="69">
      <c r="A69" s="8" t="s">
        <v>82</v>
      </c>
      <c r="B69" s="8" t="s">
        <v>83</v>
      </c>
      <c r="C69" s="8" t="s">
        <v>19</v>
      </c>
      <c r="D69" s="8">
        <v>12.0</v>
      </c>
      <c r="E69" s="8">
        <v>0.0</v>
      </c>
      <c r="F69" s="8">
        <v>0.0</v>
      </c>
      <c r="G69" s="8">
        <v>0.0</v>
      </c>
      <c r="H69" s="14">
        <v>0.0</v>
      </c>
    </row>
    <row r="70">
      <c r="A70" s="8" t="s">
        <v>119</v>
      </c>
      <c r="B70" s="8" t="s">
        <v>120</v>
      </c>
      <c r="C70" s="8" t="s">
        <v>14</v>
      </c>
      <c r="D70" s="8">
        <v>10.0</v>
      </c>
      <c r="E70" s="8">
        <v>0.0</v>
      </c>
      <c r="F70" s="8">
        <v>0.0</v>
      </c>
      <c r="G70" s="8">
        <v>0.0</v>
      </c>
      <c r="H70" s="14">
        <v>0.0</v>
      </c>
    </row>
    <row r="71">
      <c r="A71" s="8" t="s">
        <v>181</v>
      </c>
      <c r="B71" s="8" t="s">
        <v>182</v>
      </c>
      <c r="C71" s="8" t="s">
        <v>26</v>
      </c>
      <c r="D71" s="8">
        <v>8.0</v>
      </c>
      <c r="E71" s="8">
        <v>0.0</v>
      </c>
      <c r="F71" s="8">
        <v>0.0</v>
      </c>
      <c r="G71" s="8">
        <v>0.0</v>
      </c>
      <c r="H71" s="14">
        <v>0.0</v>
      </c>
    </row>
    <row r="72">
      <c r="A72" s="8" t="s">
        <v>150</v>
      </c>
      <c r="B72" s="8" t="s">
        <v>151</v>
      </c>
      <c r="C72" s="8" t="s">
        <v>23</v>
      </c>
      <c r="D72" s="8">
        <v>8.0</v>
      </c>
      <c r="E72" s="8">
        <v>0.0</v>
      </c>
      <c r="F72" s="8">
        <v>0.0</v>
      </c>
      <c r="G72" s="8">
        <v>0.0</v>
      </c>
      <c r="H72" s="14">
        <v>0.0</v>
      </c>
    </row>
    <row r="73">
      <c r="A73" s="8" t="s">
        <v>183</v>
      </c>
      <c r="B73" s="8" t="s">
        <v>184</v>
      </c>
      <c r="C73" s="8" t="s">
        <v>20</v>
      </c>
      <c r="D73" s="8">
        <v>8.0</v>
      </c>
      <c r="E73" s="8">
        <v>0.0</v>
      </c>
      <c r="F73" s="8">
        <v>0.0</v>
      </c>
      <c r="G73" s="8">
        <v>0.0</v>
      </c>
      <c r="H73" s="14">
        <v>0.0</v>
      </c>
    </row>
    <row r="74">
      <c r="A74" s="8" t="s">
        <v>78</v>
      </c>
      <c r="B74" s="8" t="s">
        <v>166</v>
      </c>
      <c r="C74" s="8" t="s">
        <v>5</v>
      </c>
      <c r="D74" s="8">
        <v>8.0</v>
      </c>
      <c r="E74" s="8">
        <v>0.0</v>
      </c>
      <c r="F74" s="8">
        <v>0.0</v>
      </c>
      <c r="G74" s="8">
        <v>0.0</v>
      </c>
      <c r="H74" s="14">
        <v>0.0</v>
      </c>
    </row>
    <row r="75">
      <c r="A75" s="8" t="s">
        <v>13</v>
      </c>
      <c r="B75" s="8" t="s">
        <v>185</v>
      </c>
      <c r="C75" s="8" t="s">
        <v>5</v>
      </c>
      <c r="D75" s="8">
        <v>8.0</v>
      </c>
      <c r="E75" s="8">
        <v>0.0</v>
      </c>
      <c r="F75" s="8">
        <v>0.0</v>
      </c>
      <c r="G75" s="8">
        <v>0.0</v>
      </c>
      <c r="H75" s="14">
        <v>0.0</v>
      </c>
    </row>
    <row r="76">
      <c r="A76" s="8" t="s">
        <v>171</v>
      </c>
      <c r="B76" s="8" t="s">
        <v>172</v>
      </c>
      <c r="C76" s="8" t="s">
        <v>16</v>
      </c>
      <c r="D76" s="8">
        <v>8.0</v>
      </c>
      <c r="E76" s="8">
        <v>0.0</v>
      </c>
      <c r="F76" s="8">
        <v>1.0</v>
      </c>
      <c r="G76" s="8">
        <v>0.0</v>
      </c>
      <c r="H76" s="14">
        <v>0.0</v>
      </c>
    </row>
    <row r="77">
      <c r="A77" s="8" t="s">
        <v>97</v>
      </c>
      <c r="B77" s="8" t="s">
        <v>98</v>
      </c>
      <c r="C77" s="8" t="s">
        <v>28</v>
      </c>
      <c r="D77" s="8">
        <v>8.0</v>
      </c>
      <c r="E77" s="8">
        <v>0.0</v>
      </c>
      <c r="F77" s="8">
        <v>0.0</v>
      </c>
      <c r="G77" s="8">
        <v>0.0</v>
      </c>
      <c r="H77" s="14">
        <v>0.0</v>
      </c>
    </row>
    <row r="78">
      <c r="A78" s="8" t="s">
        <v>45</v>
      </c>
      <c r="B78" s="8" t="s">
        <v>173</v>
      </c>
      <c r="C78" s="8" t="s">
        <v>18</v>
      </c>
      <c r="D78" s="8">
        <v>8.0</v>
      </c>
      <c r="E78" s="8">
        <v>0.0</v>
      </c>
      <c r="F78" s="8">
        <v>0.0</v>
      </c>
      <c r="G78" s="8">
        <v>0.0</v>
      </c>
      <c r="H78" s="14">
        <v>0.0</v>
      </c>
    </row>
    <row r="79">
      <c r="A79" s="8" t="s">
        <v>100</v>
      </c>
      <c r="B79" s="8" t="s">
        <v>100</v>
      </c>
      <c r="C79" s="8" t="s">
        <v>31</v>
      </c>
      <c r="D79" s="8">
        <v>8.0</v>
      </c>
      <c r="E79" s="8">
        <v>0.0</v>
      </c>
      <c r="F79" s="8">
        <v>0.0</v>
      </c>
      <c r="G79" s="8">
        <v>0.0</v>
      </c>
      <c r="H79" s="14">
        <v>0.0</v>
      </c>
    </row>
    <row r="80">
      <c r="A80" s="8" t="s">
        <v>186</v>
      </c>
      <c r="B80" s="8" t="s">
        <v>187</v>
      </c>
      <c r="C80" s="8" t="s">
        <v>27</v>
      </c>
      <c r="D80" s="8">
        <v>6.0</v>
      </c>
      <c r="E80" s="8">
        <v>0.0</v>
      </c>
      <c r="F80" s="8">
        <v>0.0</v>
      </c>
      <c r="G80" s="8">
        <v>0.0</v>
      </c>
      <c r="H80" s="14">
        <v>0.0</v>
      </c>
    </row>
    <row r="81">
      <c r="A81" s="8" t="s">
        <v>188</v>
      </c>
      <c r="B81" s="8" t="s">
        <v>189</v>
      </c>
      <c r="C81" s="8" t="s">
        <v>29</v>
      </c>
      <c r="D81" s="8">
        <v>4.0</v>
      </c>
      <c r="E81" s="8">
        <v>0.0</v>
      </c>
      <c r="F81" s="8">
        <v>0.0</v>
      </c>
      <c r="G81" s="8">
        <v>0.0</v>
      </c>
      <c r="H81" s="14">
        <v>0.0</v>
      </c>
    </row>
    <row r="82">
      <c r="A82" s="8" t="s">
        <v>190</v>
      </c>
      <c r="B82" s="8" t="s">
        <v>191</v>
      </c>
      <c r="C82" s="8" t="s">
        <v>29</v>
      </c>
      <c r="D82" s="8">
        <v>4.0</v>
      </c>
      <c r="E82" s="8">
        <v>0.0</v>
      </c>
      <c r="F82" s="8">
        <v>0.0</v>
      </c>
      <c r="G82" s="8">
        <v>0.0</v>
      </c>
      <c r="H82" s="14">
        <v>0.0</v>
      </c>
    </row>
    <row r="83">
      <c r="A83" s="8" t="s">
        <v>192</v>
      </c>
      <c r="B83" s="8" t="s">
        <v>193</v>
      </c>
      <c r="C83" s="8" t="s">
        <v>26</v>
      </c>
      <c r="D83" s="8">
        <v>4.0</v>
      </c>
      <c r="E83" s="8">
        <v>0.0</v>
      </c>
      <c r="F83" s="8">
        <v>0.0</v>
      </c>
      <c r="G83" s="8">
        <v>0.0</v>
      </c>
      <c r="H83" s="14">
        <v>0.0</v>
      </c>
    </row>
    <row r="84">
      <c r="A84" s="8" t="s">
        <v>194</v>
      </c>
      <c r="B84" s="8" t="s">
        <v>195</v>
      </c>
      <c r="C84" s="8" t="s">
        <v>17</v>
      </c>
      <c r="D84" s="8">
        <v>0.0</v>
      </c>
      <c r="E84" s="8">
        <v>0.0</v>
      </c>
      <c r="F84" s="8">
        <v>0.0</v>
      </c>
      <c r="G84" s="8">
        <v>0.0</v>
      </c>
      <c r="H84" s="14">
        <v>0.0</v>
      </c>
    </row>
    <row r="85">
      <c r="A85" s="8" t="s">
        <v>196</v>
      </c>
      <c r="B85" s="8" t="s">
        <v>197</v>
      </c>
      <c r="C85" s="8" t="s">
        <v>17</v>
      </c>
      <c r="D85" s="8">
        <v>0.0</v>
      </c>
      <c r="E85" s="8">
        <v>0.0</v>
      </c>
      <c r="F85" s="8">
        <v>0.0</v>
      </c>
      <c r="G85" s="8">
        <v>0.0</v>
      </c>
      <c r="H85" s="14">
        <v>0.0</v>
      </c>
    </row>
    <row r="86">
      <c r="A86" s="8" t="s">
        <v>198</v>
      </c>
      <c r="B86" s="8"/>
      <c r="C86" s="8" t="s">
        <v>5</v>
      </c>
      <c r="D86" s="8">
        <v>0.0</v>
      </c>
      <c r="E86" s="8">
        <v>0.0</v>
      </c>
      <c r="F86" s="8">
        <v>0.0</v>
      </c>
      <c r="G86" s="8">
        <v>0.0</v>
      </c>
      <c r="H86" s="14">
        <v>0.0</v>
      </c>
    </row>
    <row r="87">
      <c r="A87" s="8" t="s">
        <v>33</v>
      </c>
      <c r="B87" s="8" t="s">
        <v>199</v>
      </c>
      <c r="C87" s="8" t="s">
        <v>5</v>
      </c>
      <c r="D87" s="8">
        <v>0.0</v>
      </c>
      <c r="E87" s="8">
        <v>0.0</v>
      </c>
      <c r="F87" s="8">
        <v>0.0</v>
      </c>
      <c r="G87" s="8">
        <v>0.0</v>
      </c>
      <c r="H87" s="14">
        <v>0.0</v>
      </c>
    </row>
    <row r="88">
      <c r="A88" s="8" t="s">
        <v>200</v>
      </c>
      <c r="B88" s="8" t="s">
        <v>201</v>
      </c>
      <c r="C88" s="8" t="s">
        <v>5</v>
      </c>
      <c r="D88" s="8">
        <v>0.0</v>
      </c>
      <c r="E88" s="8">
        <v>0.0</v>
      </c>
      <c r="F88" s="8">
        <v>0.0</v>
      </c>
      <c r="G88" s="8">
        <v>0.0</v>
      </c>
      <c r="H88" s="14">
        <v>0.0</v>
      </c>
    </row>
    <row r="89">
      <c r="A89" s="8" t="s">
        <v>202</v>
      </c>
      <c r="B89" s="8" t="s">
        <v>203</v>
      </c>
      <c r="C89" s="8" t="s">
        <v>30</v>
      </c>
      <c r="D89" s="8">
        <v>0.0</v>
      </c>
      <c r="E89" s="8">
        <v>0.0</v>
      </c>
      <c r="F89" s="8">
        <v>0.0</v>
      </c>
      <c r="G89" s="8">
        <v>0.0</v>
      </c>
      <c r="H89" s="14">
        <v>0.0</v>
      </c>
    </row>
    <row r="90">
      <c r="A90" s="8" t="s">
        <v>204</v>
      </c>
      <c r="B90" s="8"/>
      <c r="C90" s="8" t="s">
        <v>18</v>
      </c>
      <c r="D90" s="8">
        <v>0.0</v>
      </c>
      <c r="E90" s="8">
        <v>0.0</v>
      </c>
      <c r="F90" s="8">
        <v>0.0</v>
      </c>
      <c r="G90" s="8">
        <v>0.0</v>
      </c>
      <c r="H90" s="14">
        <v>0.0</v>
      </c>
    </row>
    <row r="91">
      <c r="A91" s="8" t="s">
        <v>205</v>
      </c>
      <c r="B91" s="8" t="s">
        <v>205</v>
      </c>
      <c r="C91" s="8" t="s">
        <v>31</v>
      </c>
      <c r="D91" s="8">
        <v>0.0</v>
      </c>
      <c r="E91" s="8">
        <v>0.0</v>
      </c>
      <c r="F91" s="8">
        <v>0.0</v>
      </c>
      <c r="G91" s="8">
        <v>0.0</v>
      </c>
      <c r="H91" s="14">
        <v>0.0</v>
      </c>
    </row>
    <row r="92">
      <c r="A92" s="8" t="s">
        <v>206</v>
      </c>
      <c r="B92" s="8" t="s">
        <v>207</v>
      </c>
      <c r="C92" s="8" t="s">
        <v>31</v>
      </c>
      <c r="D92" s="8">
        <v>0.0</v>
      </c>
      <c r="E92" s="8">
        <v>0.0</v>
      </c>
      <c r="F92" s="8">
        <v>0.0</v>
      </c>
      <c r="G92" s="8">
        <v>0.0</v>
      </c>
      <c r="H92" s="14">
        <v>0.0</v>
      </c>
    </row>
    <row r="93">
      <c r="A93" s="8" t="s">
        <v>93</v>
      </c>
      <c r="B93" s="8" t="s">
        <v>94</v>
      </c>
      <c r="C93" s="8" t="s">
        <v>30</v>
      </c>
      <c r="D93" s="8">
        <v>16.0</v>
      </c>
      <c r="E93" s="8">
        <v>0.0</v>
      </c>
      <c r="F93" s="8">
        <v>3.0</v>
      </c>
      <c r="G93" s="8">
        <v>1.0</v>
      </c>
      <c r="H93" s="14">
        <v>-1.0</v>
      </c>
    </row>
    <row r="94">
      <c r="A94" s="8" t="s">
        <v>74</v>
      </c>
      <c r="B94" s="8" t="s">
        <v>75</v>
      </c>
      <c r="C94" s="8" t="s">
        <v>19</v>
      </c>
      <c r="D94" s="8">
        <v>16.0</v>
      </c>
      <c r="E94" s="8">
        <v>0.0</v>
      </c>
      <c r="F94" s="8">
        <v>1.0</v>
      </c>
      <c r="G94" s="8">
        <v>1.0</v>
      </c>
      <c r="H94" s="14">
        <v>-1.0</v>
      </c>
    </row>
    <row r="95">
      <c r="H95" s="14"/>
    </row>
    <row r="96">
      <c r="H96" s="14"/>
    </row>
    <row r="97">
      <c r="H97" s="14"/>
    </row>
    <row r="98">
      <c r="H98" s="14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3" width="29.25"/>
  </cols>
  <sheetData>
    <row r="1">
      <c r="A1" s="24" t="s">
        <v>1</v>
      </c>
      <c r="B1" s="24" t="s">
        <v>6</v>
      </c>
      <c r="C1" s="24" t="s">
        <v>7</v>
      </c>
      <c r="D1" s="24" t="s">
        <v>8</v>
      </c>
      <c r="E1" s="24" t="s">
        <v>9</v>
      </c>
      <c r="F1" s="24" t="s">
        <v>10</v>
      </c>
      <c r="G1" s="24" t="s">
        <v>11</v>
      </c>
      <c r="H1" s="25" t="s">
        <v>12</v>
      </c>
      <c r="I1" s="26"/>
    </row>
    <row r="2">
      <c r="A2" s="27" t="str">
        <f t="array" ref="A2:H94">SORT('ESS Unsorted'!A3:H95, 8, FALSE, 4, FALSE, 3, TRUE, 1, TRUE)</f>
        <v>Rishabh</v>
      </c>
      <c r="B2" s="26" t="s">
        <v>64</v>
      </c>
      <c r="C2" s="26" t="s">
        <v>15</v>
      </c>
      <c r="D2" s="26">
        <v>20.0</v>
      </c>
      <c r="E2" s="26">
        <v>12.0</v>
      </c>
      <c r="F2" s="26">
        <v>1.0</v>
      </c>
      <c r="G2" s="26">
        <v>0.0</v>
      </c>
      <c r="H2" s="28">
        <v>9.6</v>
      </c>
      <c r="I2" s="26"/>
    </row>
    <row r="3">
      <c r="A3" s="26" t="s">
        <v>37</v>
      </c>
      <c r="B3" s="26" t="s">
        <v>38</v>
      </c>
      <c r="C3" s="26" t="s">
        <v>18</v>
      </c>
      <c r="D3" s="26">
        <v>20.0</v>
      </c>
      <c r="E3" s="26">
        <v>14.0</v>
      </c>
      <c r="F3" s="26">
        <v>3.0</v>
      </c>
      <c r="G3" s="26">
        <v>2.0</v>
      </c>
      <c r="H3" s="28">
        <v>9.6</v>
      </c>
      <c r="I3" s="26"/>
    </row>
    <row r="4">
      <c r="A4" s="26" t="s">
        <v>45</v>
      </c>
      <c r="B4" s="26" t="s">
        <v>46</v>
      </c>
      <c r="C4" s="26" t="s">
        <v>20</v>
      </c>
      <c r="D4" s="26">
        <v>24.0</v>
      </c>
      <c r="E4" s="26">
        <v>11.0</v>
      </c>
      <c r="F4" s="26">
        <v>4.0</v>
      </c>
      <c r="G4" s="26">
        <v>0.0</v>
      </c>
      <c r="H4" s="28">
        <v>7.33</v>
      </c>
      <c r="I4" s="26"/>
    </row>
    <row r="5">
      <c r="A5" s="26" t="s">
        <v>41</v>
      </c>
      <c r="B5" s="26" t="s">
        <v>42</v>
      </c>
      <c r="C5" s="26" t="s">
        <v>14</v>
      </c>
      <c r="D5" s="26">
        <v>24.0</v>
      </c>
      <c r="E5" s="26">
        <v>10.0</v>
      </c>
      <c r="F5" s="26">
        <v>2.0</v>
      </c>
      <c r="G5" s="26">
        <v>1.0</v>
      </c>
      <c r="H5" s="28">
        <v>6.0</v>
      </c>
      <c r="I5" s="26"/>
    </row>
    <row r="6">
      <c r="A6" s="26" t="s">
        <v>35</v>
      </c>
      <c r="B6" s="26" t="s">
        <v>36</v>
      </c>
      <c r="C6" s="26" t="s">
        <v>17</v>
      </c>
      <c r="D6" s="26">
        <v>16.0</v>
      </c>
      <c r="E6" s="26">
        <v>4.0</v>
      </c>
      <c r="F6" s="26">
        <v>2.0</v>
      </c>
      <c r="G6" s="26">
        <v>0.0</v>
      </c>
      <c r="H6" s="28">
        <v>4.0</v>
      </c>
      <c r="I6" s="26"/>
    </row>
    <row r="7">
      <c r="A7" s="26" t="s">
        <v>132</v>
      </c>
      <c r="B7" s="26" t="s">
        <v>133</v>
      </c>
      <c r="C7" s="26" t="s">
        <v>14</v>
      </c>
      <c r="D7" s="26">
        <v>24.0</v>
      </c>
      <c r="E7" s="26">
        <v>6.0</v>
      </c>
      <c r="F7" s="26">
        <v>1.0</v>
      </c>
      <c r="G7" s="26">
        <v>1.0</v>
      </c>
      <c r="H7" s="28">
        <v>3.33</v>
      </c>
      <c r="I7" s="26"/>
    </row>
    <row r="8">
      <c r="A8" s="26" t="s">
        <v>48</v>
      </c>
      <c r="B8" s="26" t="s">
        <v>50</v>
      </c>
      <c r="C8" s="26" t="s">
        <v>27</v>
      </c>
      <c r="D8" s="26">
        <v>24.0</v>
      </c>
      <c r="E8" s="26">
        <v>6.0</v>
      </c>
      <c r="F8" s="26">
        <v>1.0</v>
      </c>
      <c r="G8" s="26">
        <v>1.0</v>
      </c>
      <c r="H8" s="28">
        <v>3.33</v>
      </c>
      <c r="I8" s="26"/>
    </row>
    <row r="9">
      <c r="A9" s="26" t="s">
        <v>70</v>
      </c>
      <c r="B9" s="26" t="s">
        <v>72</v>
      </c>
      <c r="C9" s="26" t="s">
        <v>28</v>
      </c>
      <c r="D9" s="26">
        <v>16.0</v>
      </c>
      <c r="E9" s="26">
        <v>4.0</v>
      </c>
      <c r="F9" s="26">
        <v>4.0</v>
      </c>
      <c r="G9" s="26">
        <v>1.0</v>
      </c>
      <c r="H9" s="28">
        <v>3.0</v>
      </c>
      <c r="I9" s="26"/>
    </row>
    <row r="10">
      <c r="A10" s="26" t="s">
        <v>79</v>
      </c>
      <c r="B10" s="26" t="s">
        <v>80</v>
      </c>
      <c r="C10" s="26" t="s">
        <v>22</v>
      </c>
      <c r="D10" s="26">
        <v>22.0</v>
      </c>
      <c r="E10" s="26">
        <v>4.0</v>
      </c>
      <c r="F10" s="26">
        <v>4.0</v>
      </c>
      <c r="G10" s="26">
        <v>0.0</v>
      </c>
      <c r="H10" s="28">
        <v>2.91</v>
      </c>
      <c r="I10" s="26"/>
    </row>
    <row r="11">
      <c r="A11" s="26" t="s">
        <v>152</v>
      </c>
      <c r="B11" s="26" t="s">
        <v>153</v>
      </c>
      <c r="C11" s="26" t="s">
        <v>21</v>
      </c>
      <c r="D11" s="26">
        <v>18.0</v>
      </c>
      <c r="E11" s="26">
        <v>3.0</v>
      </c>
      <c r="F11" s="26">
        <v>4.0</v>
      </c>
      <c r="G11" s="26">
        <v>0.0</v>
      </c>
      <c r="H11" s="28">
        <v>2.67</v>
      </c>
      <c r="I11" s="26"/>
    </row>
    <row r="12">
      <c r="A12" s="26" t="s">
        <v>53</v>
      </c>
      <c r="B12" s="26" t="s">
        <v>55</v>
      </c>
      <c r="C12" s="26" t="s">
        <v>24</v>
      </c>
      <c r="D12" s="26">
        <v>18.0</v>
      </c>
      <c r="E12" s="26">
        <v>3.0</v>
      </c>
      <c r="F12" s="26">
        <v>5.0</v>
      </c>
      <c r="G12" s="26">
        <v>0.0</v>
      </c>
      <c r="H12" s="28">
        <v>2.67</v>
      </c>
      <c r="I12" s="26"/>
    </row>
    <row r="13">
      <c r="A13" s="26" t="s">
        <v>76</v>
      </c>
      <c r="B13" s="26" t="s">
        <v>77</v>
      </c>
      <c r="C13" s="26" t="s">
        <v>26</v>
      </c>
      <c r="D13" s="26">
        <v>12.0</v>
      </c>
      <c r="E13" s="26">
        <v>2.0</v>
      </c>
      <c r="F13" s="26">
        <v>3.0</v>
      </c>
      <c r="G13" s="26">
        <v>0.0</v>
      </c>
      <c r="H13" s="28">
        <v>2.67</v>
      </c>
      <c r="I13" s="26"/>
    </row>
    <row r="14">
      <c r="A14" s="26" t="s">
        <v>73</v>
      </c>
      <c r="B14" s="26" t="s">
        <v>34</v>
      </c>
      <c r="C14" s="26" t="s">
        <v>15</v>
      </c>
      <c r="D14" s="26">
        <v>24.0</v>
      </c>
      <c r="E14" s="26">
        <v>3.0</v>
      </c>
      <c r="F14" s="26">
        <v>0.0</v>
      </c>
      <c r="G14" s="26">
        <v>0.0</v>
      </c>
      <c r="H14" s="28">
        <v>2.0</v>
      </c>
      <c r="I14" s="26"/>
    </row>
    <row r="15">
      <c r="A15" s="26" t="s">
        <v>95</v>
      </c>
      <c r="B15" s="26" t="s">
        <v>96</v>
      </c>
      <c r="C15" s="26" t="s">
        <v>25</v>
      </c>
      <c r="D15" s="26">
        <v>24.0</v>
      </c>
      <c r="E15" s="26">
        <v>3.0</v>
      </c>
      <c r="F15" s="26">
        <v>2.0</v>
      </c>
      <c r="G15" s="26">
        <v>0.0</v>
      </c>
      <c r="H15" s="28">
        <v>2.0</v>
      </c>
      <c r="I15" s="26"/>
    </row>
    <row r="16">
      <c r="A16" s="26" t="s">
        <v>93</v>
      </c>
      <c r="B16" s="26" t="s">
        <v>94</v>
      </c>
      <c r="C16" s="26" t="s">
        <v>30</v>
      </c>
      <c r="D16" s="26">
        <v>16.0</v>
      </c>
      <c r="E16" s="26">
        <v>2.0</v>
      </c>
      <c r="F16" s="26">
        <v>3.0</v>
      </c>
      <c r="G16" s="26">
        <v>0.0</v>
      </c>
      <c r="H16" s="28">
        <v>2.0</v>
      </c>
      <c r="I16" s="26"/>
    </row>
    <row r="17">
      <c r="A17" s="26" t="s">
        <v>174</v>
      </c>
      <c r="B17" s="26" t="s">
        <v>175</v>
      </c>
      <c r="C17" s="26" t="s">
        <v>22</v>
      </c>
      <c r="D17" s="26">
        <v>16.0</v>
      </c>
      <c r="E17" s="26">
        <v>2.0</v>
      </c>
      <c r="F17" s="26">
        <v>0.0</v>
      </c>
      <c r="G17" s="26">
        <v>0.0</v>
      </c>
      <c r="H17" s="28">
        <v>2.0</v>
      </c>
      <c r="I17" s="26"/>
    </row>
    <row r="18">
      <c r="A18" s="26" t="s">
        <v>65</v>
      </c>
      <c r="B18" s="26" t="s">
        <v>66</v>
      </c>
      <c r="C18" s="26" t="s">
        <v>19</v>
      </c>
      <c r="D18" s="26">
        <v>16.0</v>
      </c>
      <c r="E18" s="26">
        <v>3.0</v>
      </c>
      <c r="F18" s="26">
        <v>1.0</v>
      </c>
      <c r="G18" s="26">
        <v>1.0</v>
      </c>
      <c r="H18" s="28">
        <v>2.0</v>
      </c>
      <c r="I18" s="26"/>
    </row>
    <row r="19">
      <c r="A19" s="26" t="s">
        <v>88</v>
      </c>
      <c r="B19" s="26" t="s">
        <v>89</v>
      </c>
      <c r="C19" s="26" t="s">
        <v>31</v>
      </c>
      <c r="D19" s="26">
        <v>16.0</v>
      </c>
      <c r="E19" s="26">
        <v>2.0</v>
      </c>
      <c r="F19" s="26">
        <v>1.0</v>
      </c>
      <c r="G19" s="26">
        <v>0.0</v>
      </c>
      <c r="H19" s="28">
        <v>2.0</v>
      </c>
      <c r="I19" s="26"/>
    </row>
    <row r="20">
      <c r="A20" s="26" t="s">
        <v>78</v>
      </c>
      <c r="B20" s="26" t="s">
        <v>166</v>
      </c>
      <c r="C20" s="26" t="s">
        <v>5</v>
      </c>
      <c r="D20" s="26">
        <v>8.0</v>
      </c>
      <c r="E20" s="26">
        <v>1.0</v>
      </c>
      <c r="F20" s="26">
        <v>0.0</v>
      </c>
      <c r="G20" s="26">
        <v>0.0</v>
      </c>
      <c r="H20" s="28">
        <v>2.0</v>
      </c>
      <c r="I20" s="26"/>
    </row>
    <row r="21">
      <c r="A21" s="26" t="s">
        <v>171</v>
      </c>
      <c r="B21" s="26" t="s">
        <v>172</v>
      </c>
      <c r="C21" s="26" t="s">
        <v>16</v>
      </c>
      <c r="D21" s="26">
        <v>8.0</v>
      </c>
      <c r="E21" s="26">
        <v>1.0</v>
      </c>
      <c r="F21" s="26">
        <v>0.0</v>
      </c>
      <c r="G21" s="26">
        <v>0.0</v>
      </c>
      <c r="H21" s="28">
        <v>2.0</v>
      </c>
      <c r="I21" s="26"/>
    </row>
    <row r="22">
      <c r="A22" s="26" t="s">
        <v>67</v>
      </c>
      <c r="B22" s="26" t="s">
        <v>68</v>
      </c>
      <c r="C22" s="26" t="s">
        <v>29</v>
      </c>
      <c r="D22" s="26">
        <v>20.0</v>
      </c>
      <c r="E22" s="26">
        <v>2.0</v>
      </c>
      <c r="F22" s="26">
        <v>3.0</v>
      </c>
      <c r="G22" s="26">
        <v>0.0</v>
      </c>
      <c r="H22" s="28">
        <v>1.6</v>
      </c>
      <c r="I22" s="26"/>
    </row>
    <row r="23">
      <c r="A23" s="26" t="s">
        <v>43</v>
      </c>
      <c r="B23" s="26" t="s">
        <v>44</v>
      </c>
      <c r="C23" s="26" t="s">
        <v>23</v>
      </c>
      <c r="D23" s="26">
        <v>20.0</v>
      </c>
      <c r="E23" s="26">
        <v>5.0</v>
      </c>
      <c r="F23" s="26">
        <v>9.0</v>
      </c>
      <c r="G23" s="26">
        <v>3.0</v>
      </c>
      <c r="H23" s="28">
        <v>1.6</v>
      </c>
      <c r="I23" s="26"/>
    </row>
    <row r="24">
      <c r="A24" s="26" t="s">
        <v>134</v>
      </c>
      <c r="B24" s="26" t="s">
        <v>135</v>
      </c>
      <c r="C24" s="26" t="s">
        <v>22</v>
      </c>
      <c r="D24" s="26">
        <v>22.0</v>
      </c>
      <c r="E24" s="26">
        <v>2.0</v>
      </c>
      <c r="F24" s="26">
        <v>0.0</v>
      </c>
      <c r="G24" s="26">
        <v>0.0</v>
      </c>
      <c r="H24" s="28">
        <v>1.45</v>
      </c>
      <c r="I24" s="26"/>
    </row>
    <row r="25">
      <c r="A25" s="26" t="s">
        <v>104</v>
      </c>
      <c r="B25" s="26" t="s">
        <v>105</v>
      </c>
      <c r="C25" s="26" t="s">
        <v>27</v>
      </c>
      <c r="D25" s="26">
        <v>22.0</v>
      </c>
      <c r="E25" s="26">
        <v>2.0</v>
      </c>
      <c r="F25" s="26">
        <v>2.0</v>
      </c>
      <c r="G25" s="26">
        <v>0.0</v>
      </c>
      <c r="H25" s="28">
        <v>1.45</v>
      </c>
      <c r="I25" s="26"/>
    </row>
    <row r="26">
      <c r="A26" s="26" t="s">
        <v>146</v>
      </c>
      <c r="B26" s="26" t="s">
        <v>147</v>
      </c>
      <c r="C26" s="26" t="s">
        <v>5</v>
      </c>
      <c r="D26" s="26">
        <v>12.0</v>
      </c>
      <c r="E26" s="26">
        <v>1.0</v>
      </c>
      <c r="F26" s="26">
        <v>0.0</v>
      </c>
      <c r="G26" s="26">
        <v>0.0</v>
      </c>
      <c r="H26" s="28">
        <v>1.33</v>
      </c>
      <c r="I26" s="26"/>
    </row>
    <row r="27">
      <c r="A27" s="26" t="s">
        <v>84</v>
      </c>
      <c r="B27" s="26" t="s">
        <v>85</v>
      </c>
      <c r="C27" s="26" t="s">
        <v>31</v>
      </c>
      <c r="D27" s="26">
        <v>12.0</v>
      </c>
      <c r="E27" s="26">
        <v>1.0</v>
      </c>
      <c r="F27" s="26">
        <v>1.0</v>
      </c>
      <c r="G27" s="26">
        <v>0.0</v>
      </c>
      <c r="H27" s="28">
        <v>1.33</v>
      </c>
      <c r="I27" s="26"/>
    </row>
    <row r="28">
      <c r="A28" s="26" t="s">
        <v>90</v>
      </c>
      <c r="B28" s="26" t="s">
        <v>91</v>
      </c>
      <c r="C28" s="26" t="s">
        <v>25</v>
      </c>
      <c r="D28" s="26">
        <v>14.0</v>
      </c>
      <c r="E28" s="26">
        <v>1.0</v>
      </c>
      <c r="F28" s="26">
        <v>0.0</v>
      </c>
      <c r="G28" s="26">
        <v>0.0</v>
      </c>
      <c r="H28" s="28">
        <v>1.14</v>
      </c>
      <c r="I28" s="26"/>
    </row>
    <row r="29">
      <c r="A29" s="26" t="s">
        <v>136</v>
      </c>
      <c r="B29" s="26" t="s">
        <v>137</v>
      </c>
      <c r="C29" s="26" t="s">
        <v>24</v>
      </c>
      <c r="D29" s="26">
        <v>14.0</v>
      </c>
      <c r="E29" s="26">
        <v>1.0</v>
      </c>
      <c r="F29" s="26">
        <v>4.0</v>
      </c>
      <c r="G29" s="26">
        <v>0.0</v>
      </c>
      <c r="H29" s="28">
        <v>1.14</v>
      </c>
      <c r="I29" s="26"/>
    </row>
    <row r="30">
      <c r="A30" s="26" t="s">
        <v>113</v>
      </c>
      <c r="B30" s="26" t="s">
        <v>114</v>
      </c>
      <c r="C30" s="26" t="s">
        <v>15</v>
      </c>
      <c r="D30" s="26">
        <v>15.0</v>
      </c>
      <c r="E30" s="26">
        <v>1.0</v>
      </c>
      <c r="F30" s="26">
        <v>1.0</v>
      </c>
      <c r="G30" s="26">
        <v>0.0</v>
      </c>
      <c r="H30" s="28">
        <v>1.07</v>
      </c>
      <c r="I30" s="26"/>
    </row>
    <row r="31">
      <c r="A31" s="26" t="s">
        <v>13</v>
      </c>
      <c r="B31" s="26" t="s">
        <v>121</v>
      </c>
      <c r="C31" s="26" t="s">
        <v>24</v>
      </c>
      <c r="D31" s="26">
        <v>16.0</v>
      </c>
      <c r="E31" s="26">
        <v>1.0</v>
      </c>
      <c r="F31" s="26">
        <v>0.0</v>
      </c>
      <c r="G31" s="26">
        <v>0.0</v>
      </c>
      <c r="H31" s="28">
        <v>1.0</v>
      </c>
      <c r="I31" s="26"/>
    </row>
    <row r="32">
      <c r="A32" s="26" t="s">
        <v>81</v>
      </c>
      <c r="B32" s="26" t="s">
        <v>47</v>
      </c>
      <c r="C32" s="26" t="s">
        <v>29</v>
      </c>
      <c r="D32" s="26">
        <v>20.0</v>
      </c>
      <c r="E32" s="26">
        <v>1.0</v>
      </c>
      <c r="F32" s="26">
        <v>0.0</v>
      </c>
      <c r="G32" s="26">
        <v>0.0</v>
      </c>
      <c r="H32" s="28">
        <v>0.8</v>
      </c>
      <c r="I32" s="26"/>
    </row>
    <row r="33">
      <c r="A33" s="26" t="s">
        <v>39</v>
      </c>
      <c r="B33" s="26" t="s">
        <v>40</v>
      </c>
      <c r="C33" s="26" t="s">
        <v>21</v>
      </c>
      <c r="D33" s="26">
        <v>20.0</v>
      </c>
      <c r="E33" s="26">
        <v>1.0</v>
      </c>
      <c r="F33" s="26">
        <v>2.0</v>
      </c>
      <c r="G33" s="26">
        <v>0.0</v>
      </c>
      <c r="H33" s="28">
        <v>0.8</v>
      </c>
      <c r="I33" s="26"/>
    </row>
    <row r="34">
      <c r="A34" s="26" t="s">
        <v>86</v>
      </c>
      <c r="B34" s="26" t="s">
        <v>87</v>
      </c>
      <c r="C34" s="26" t="s">
        <v>16</v>
      </c>
      <c r="D34" s="26">
        <v>20.0</v>
      </c>
      <c r="E34" s="26">
        <v>1.0</v>
      </c>
      <c r="F34" s="26">
        <v>3.0</v>
      </c>
      <c r="G34" s="26">
        <v>0.0</v>
      </c>
      <c r="H34" s="28">
        <v>0.8</v>
      </c>
      <c r="I34" s="26"/>
    </row>
    <row r="35">
      <c r="A35" s="26" t="s">
        <v>122</v>
      </c>
      <c r="B35" s="26" t="s">
        <v>123</v>
      </c>
      <c r="C35" s="26" t="s">
        <v>27</v>
      </c>
      <c r="D35" s="26">
        <v>20.0</v>
      </c>
      <c r="E35" s="26">
        <v>1.0</v>
      </c>
      <c r="F35" s="26">
        <v>1.0</v>
      </c>
      <c r="G35" s="26">
        <v>0.0</v>
      </c>
      <c r="H35" s="28">
        <v>0.8</v>
      </c>
      <c r="I35" s="26"/>
    </row>
    <row r="36">
      <c r="A36" s="26" t="s">
        <v>138</v>
      </c>
      <c r="B36" s="26" t="s">
        <v>139</v>
      </c>
      <c r="C36" s="26" t="s">
        <v>27</v>
      </c>
      <c r="D36" s="26">
        <v>22.0</v>
      </c>
      <c r="E36" s="26">
        <v>1.0</v>
      </c>
      <c r="F36" s="26">
        <v>0.0</v>
      </c>
      <c r="G36" s="26">
        <v>0.0</v>
      </c>
      <c r="H36" s="28">
        <v>0.73</v>
      </c>
      <c r="I36" s="26"/>
    </row>
    <row r="37">
      <c r="A37" s="26" t="s">
        <v>13</v>
      </c>
      <c r="B37" s="26" t="s">
        <v>60</v>
      </c>
      <c r="C37" s="26" t="s">
        <v>22</v>
      </c>
      <c r="D37" s="26">
        <v>24.0</v>
      </c>
      <c r="E37" s="26">
        <v>1.0</v>
      </c>
      <c r="F37" s="26">
        <v>2.0</v>
      </c>
      <c r="G37" s="26">
        <v>0.0</v>
      </c>
      <c r="H37" s="28">
        <v>0.67</v>
      </c>
      <c r="I37" s="26"/>
    </row>
    <row r="38">
      <c r="A38" s="26" t="s">
        <v>13</v>
      </c>
      <c r="B38" s="26" t="s">
        <v>92</v>
      </c>
      <c r="C38" s="26" t="s">
        <v>25</v>
      </c>
      <c r="D38" s="26">
        <v>24.0</v>
      </c>
      <c r="E38" s="26">
        <v>1.0</v>
      </c>
      <c r="F38" s="26">
        <v>3.0</v>
      </c>
      <c r="G38" s="26">
        <v>0.0</v>
      </c>
      <c r="H38" s="28">
        <v>0.67</v>
      </c>
      <c r="I38" s="26"/>
    </row>
    <row r="39">
      <c r="A39" s="26" t="s">
        <v>127</v>
      </c>
      <c r="B39" s="26" t="s">
        <v>129</v>
      </c>
      <c r="C39" s="26" t="s">
        <v>15</v>
      </c>
      <c r="D39" s="26">
        <v>24.0</v>
      </c>
      <c r="E39" s="26">
        <v>0.0</v>
      </c>
      <c r="F39" s="26">
        <v>0.0</v>
      </c>
      <c r="G39" s="26">
        <v>0.0</v>
      </c>
      <c r="H39" s="28">
        <v>0.0</v>
      </c>
      <c r="I39" s="26"/>
    </row>
    <row r="40">
      <c r="A40" s="26" t="s">
        <v>108</v>
      </c>
      <c r="B40" s="26" t="s">
        <v>109</v>
      </c>
      <c r="C40" s="26" t="s">
        <v>20</v>
      </c>
      <c r="D40" s="26">
        <v>24.0</v>
      </c>
      <c r="E40" s="26">
        <v>0.0</v>
      </c>
      <c r="F40" s="26">
        <v>0.0</v>
      </c>
      <c r="G40" s="26">
        <v>0.0</v>
      </c>
      <c r="H40" s="28">
        <v>0.0</v>
      </c>
      <c r="I40" s="26"/>
    </row>
    <row r="41">
      <c r="A41" s="26" t="s">
        <v>56</v>
      </c>
      <c r="B41" s="26" t="s">
        <v>57</v>
      </c>
      <c r="C41" s="26" t="s">
        <v>14</v>
      </c>
      <c r="D41" s="26">
        <v>24.0</v>
      </c>
      <c r="E41" s="26">
        <v>0.0</v>
      </c>
      <c r="F41" s="26">
        <v>0.0</v>
      </c>
      <c r="G41" s="26">
        <v>0.0</v>
      </c>
      <c r="H41" s="28">
        <v>0.0</v>
      </c>
      <c r="I41" s="26"/>
    </row>
    <row r="42">
      <c r="A42" s="26" t="s">
        <v>124</v>
      </c>
      <c r="B42" s="26" t="s">
        <v>125</v>
      </c>
      <c r="C42" s="26" t="s">
        <v>25</v>
      </c>
      <c r="D42" s="26">
        <v>22.0</v>
      </c>
      <c r="E42" s="26">
        <v>0.0</v>
      </c>
      <c r="F42" s="26">
        <v>1.0</v>
      </c>
      <c r="G42" s="26">
        <v>0.0</v>
      </c>
      <c r="H42" s="28">
        <v>0.0</v>
      </c>
      <c r="I42" s="26"/>
    </row>
    <row r="43">
      <c r="A43" s="26" t="s">
        <v>143</v>
      </c>
      <c r="B43" s="26" t="s">
        <v>145</v>
      </c>
      <c r="C43" s="26" t="s">
        <v>21</v>
      </c>
      <c r="D43" s="26">
        <v>20.0</v>
      </c>
      <c r="E43" s="26">
        <v>0.0</v>
      </c>
      <c r="F43" s="26">
        <v>1.0</v>
      </c>
      <c r="G43" s="26">
        <v>0.0</v>
      </c>
      <c r="H43" s="28">
        <v>0.0</v>
      </c>
      <c r="I43" s="26"/>
    </row>
    <row r="44">
      <c r="A44" s="26" t="s">
        <v>49</v>
      </c>
      <c r="B44" s="26" t="s">
        <v>51</v>
      </c>
      <c r="C44" s="26" t="s">
        <v>23</v>
      </c>
      <c r="D44" s="26">
        <v>20.0</v>
      </c>
      <c r="E44" s="26">
        <v>0.0</v>
      </c>
      <c r="F44" s="26">
        <v>0.0</v>
      </c>
      <c r="G44" s="26">
        <v>0.0</v>
      </c>
      <c r="H44" s="28">
        <v>0.0</v>
      </c>
      <c r="I44" s="26"/>
    </row>
    <row r="45">
      <c r="A45" s="26" t="s">
        <v>102</v>
      </c>
      <c r="B45" s="26" t="s">
        <v>103</v>
      </c>
      <c r="C45" s="26" t="s">
        <v>23</v>
      </c>
      <c r="D45" s="26">
        <v>20.0</v>
      </c>
      <c r="E45" s="26">
        <v>0.0</v>
      </c>
      <c r="F45" s="26">
        <v>0.0</v>
      </c>
      <c r="G45" s="26">
        <v>0.0</v>
      </c>
      <c r="H45" s="28">
        <v>0.0</v>
      </c>
      <c r="I45" s="26"/>
    </row>
    <row r="46">
      <c r="A46" s="26" t="s">
        <v>126</v>
      </c>
      <c r="B46" s="26" t="s">
        <v>128</v>
      </c>
      <c r="C46" s="26" t="s">
        <v>20</v>
      </c>
      <c r="D46" s="26">
        <v>20.0</v>
      </c>
      <c r="E46" s="26">
        <v>0.0</v>
      </c>
      <c r="F46" s="26">
        <v>0.0</v>
      </c>
      <c r="G46" s="26">
        <v>0.0</v>
      </c>
      <c r="H46" s="28">
        <v>0.0</v>
      </c>
      <c r="I46" s="26"/>
    </row>
    <row r="47">
      <c r="A47" s="26" t="s">
        <v>117</v>
      </c>
      <c r="B47" s="26" t="s">
        <v>118</v>
      </c>
      <c r="C47" s="26" t="s">
        <v>18</v>
      </c>
      <c r="D47" s="26">
        <v>20.0</v>
      </c>
      <c r="E47" s="26">
        <v>0.0</v>
      </c>
      <c r="F47" s="26">
        <v>0.0</v>
      </c>
      <c r="G47" s="26">
        <v>0.0</v>
      </c>
      <c r="H47" s="28">
        <v>0.0</v>
      </c>
      <c r="I47" s="26"/>
    </row>
    <row r="48">
      <c r="A48" s="26" t="s">
        <v>99</v>
      </c>
      <c r="B48" s="26" t="s">
        <v>101</v>
      </c>
      <c r="C48" s="26" t="s">
        <v>22</v>
      </c>
      <c r="D48" s="26">
        <v>18.0</v>
      </c>
      <c r="E48" s="26">
        <v>0.0</v>
      </c>
      <c r="F48" s="26">
        <v>4.0</v>
      </c>
      <c r="G48" s="26">
        <v>0.0</v>
      </c>
      <c r="H48" s="28">
        <v>0.0</v>
      </c>
      <c r="I48" s="26"/>
    </row>
    <row r="49">
      <c r="A49" s="26" t="s">
        <v>140</v>
      </c>
      <c r="B49" s="26" t="s">
        <v>141</v>
      </c>
      <c r="C49" s="26" t="s">
        <v>29</v>
      </c>
      <c r="D49" s="26">
        <v>16.0</v>
      </c>
      <c r="E49" s="26">
        <v>0.0</v>
      </c>
      <c r="F49" s="26">
        <v>0.0</v>
      </c>
      <c r="G49" s="26">
        <v>0.0</v>
      </c>
      <c r="H49" s="28">
        <v>0.0</v>
      </c>
      <c r="I49" s="26"/>
    </row>
    <row r="50">
      <c r="A50" s="26" t="s">
        <v>154</v>
      </c>
      <c r="B50" s="26" t="s">
        <v>156</v>
      </c>
      <c r="C50" s="26" t="s">
        <v>29</v>
      </c>
      <c r="D50" s="26">
        <v>16.0</v>
      </c>
      <c r="E50" s="26">
        <v>0.0</v>
      </c>
      <c r="F50" s="26">
        <v>4.0</v>
      </c>
      <c r="G50" s="26">
        <v>0.0</v>
      </c>
      <c r="H50" s="28">
        <v>0.0</v>
      </c>
      <c r="I50" s="26"/>
    </row>
    <row r="51">
      <c r="A51" s="26" t="s">
        <v>158</v>
      </c>
      <c r="B51" s="26" t="s">
        <v>159</v>
      </c>
      <c r="C51" s="26" t="s">
        <v>17</v>
      </c>
      <c r="D51" s="26">
        <v>16.0</v>
      </c>
      <c r="E51" s="26">
        <v>0.0</v>
      </c>
      <c r="F51" s="26">
        <v>0.0</v>
      </c>
      <c r="G51" s="26">
        <v>0.0</v>
      </c>
      <c r="H51" s="28">
        <v>0.0</v>
      </c>
      <c r="I51" s="26"/>
    </row>
    <row r="52">
      <c r="A52" s="26" t="s">
        <v>142</v>
      </c>
      <c r="B52" s="26" t="s">
        <v>144</v>
      </c>
      <c r="C52" s="26" t="s">
        <v>23</v>
      </c>
      <c r="D52" s="26">
        <v>16.0</v>
      </c>
      <c r="E52" s="26">
        <v>0.0</v>
      </c>
      <c r="F52" s="26">
        <v>0.0</v>
      </c>
      <c r="G52" s="26">
        <v>0.0</v>
      </c>
      <c r="H52" s="28">
        <v>0.0</v>
      </c>
      <c r="I52" s="26"/>
    </row>
    <row r="53">
      <c r="A53" s="26" t="s">
        <v>115</v>
      </c>
      <c r="B53" s="26" t="s">
        <v>116</v>
      </c>
      <c r="C53" s="26" t="s">
        <v>20</v>
      </c>
      <c r="D53" s="26">
        <v>16.0</v>
      </c>
      <c r="E53" s="26">
        <v>0.0</v>
      </c>
      <c r="F53" s="26">
        <v>0.0</v>
      </c>
      <c r="G53" s="26">
        <v>0.0</v>
      </c>
      <c r="H53" s="28">
        <v>0.0</v>
      </c>
      <c r="I53" s="26"/>
    </row>
    <row r="54">
      <c r="A54" s="26" t="s">
        <v>162</v>
      </c>
      <c r="B54" s="26" t="s">
        <v>163</v>
      </c>
      <c r="C54" s="26" t="s">
        <v>16</v>
      </c>
      <c r="D54" s="26">
        <v>16.0</v>
      </c>
      <c r="E54" s="26">
        <v>0.0</v>
      </c>
      <c r="F54" s="26">
        <v>1.0</v>
      </c>
      <c r="G54" s="26">
        <v>0.0</v>
      </c>
      <c r="H54" s="28">
        <v>0.0</v>
      </c>
      <c r="I54" s="26"/>
    </row>
    <row r="55">
      <c r="A55" s="26" t="s">
        <v>58</v>
      </c>
      <c r="B55" s="26" t="s">
        <v>59</v>
      </c>
      <c r="C55" s="26" t="s">
        <v>16</v>
      </c>
      <c r="D55" s="26">
        <v>16.0</v>
      </c>
      <c r="E55" s="26">
        <v>1.0</v>
      </c>
      <c r="F55" s="26">
        <v>4.0</v>
      </c>
      <c r="G55" s="26">
        <v>1.0</v>
      </c>
      <c r="H55" s="28">
        <v>0.0</v>
      </c>
      <c r="I55" s="26"/>
    </row>
    <row r="56">
      <c r="A56" s="26" t="s">
        <v>164</v>
      </c>
      <c r="B56" s="26" t="s">
        <v>165</v>
      </c>
      <c r="C56" s="26" t="s">
        <v>16</v>
      </c>
      <c r="D56" s="26">
        <v>16.0</v>
      </c>
      <c r="E56" s="26">
        <v>0.0</v>
      </c>
      <c r="F56" s="26">
        <v>0.0</v>
      </c>
      <c r="G56" s="26">
        <v>0.0</v>
      </c>
      <c r="H56" s="28">
        <v>0.0</v>
      </c>
      <c r="I56" s="26"/>
    </row>
    <row r="57">
      <c r="A57" s="26" t="s">
        <v>69</v>
      </c>
      <c r="B57" s="26" t="s">
        <v>71</v>
      </c>
      <c r="C57" s="26" t="s">
        <v>28</v>
      </c>
      <c r="D57" s="26">
        <v>16.0</v>
      </c>
      <c r="E57" s="26">
        <v>0.0</v>
      </c>
      <c r="F57" s="26">
        <v>0.0</v>
      </c>
      <c r="G57" s="26">
        <v>0.0</v>
      </c>
      <c r="H57" s="28">
        <v>0.0</v>
      </c>
      <c r="I57" s="26"/>
    </row>
    <row r="58">
      <c r="A58" s="26" t="s">
        <v>155</v>
      </c>
      <c r="B58" s="26" t="s">
        <v>157</v>
      </c>
      <c r="C58" s="26" t="s">
        <v>24</v>
      </c>
      <c r="D58" s="26">
        <v>16.0</v>
      </c>
      <c r="E58" s="26">
        <v>0.0</v>
      </c>
      <c r="F58" s="26">
        <v>0.0</v>
      </c>
      <c r="G58" s="26">
        <v>0.0</v>
      </c>
      <c r="H58" s="28">
        <v>0.0</v>
      </c>
      <c r="I58" s="26"/>
    </row>
    <row r="59">
      <c r="A59" s="26" t="s">
        <v>74</v>
      </c>
      <c r="B59" s="26" t="s">
        <v>75</v>
      </c>
      <c r="C59" s="26" t="s">
        <v>19</v>
      </c>
      <c r="D59" s="26">
        <v>16.0</v>
      </c>
      <c r="E59" s="26">
        <v>0.0</v>
      </c>
      <c r="F59" s="26">
        <v>0.0</v>
      </c>
      <c r="G59" s="26">
        <v>0.0</v>
      </c>
      <c r="H59" s="28">
        <v>0.0</v>
      </c>
      <c r="I59" s="26"/>
    </row>
    <row r="60">
      <c r="A60" s="26" t="s">
        <v>167</v>
      </c>
      <c r="B60" s="26" t="s">
        <v>168</v>
      </c>
      <c r="C60" s="26" t="s">
        <v>31</v>
      </c>
      <c r="D60" s="26">
        <v>16.0</v>
      </c>
      <c r="E60" s="26">
        <v>0.0</v>
      </c>
      <c r="F60" s="26">
        <v>2.0</v>
      </c>
      <c r="G60" s="26">
        <v>0.0</v>
      </c>
      <c r="H60" s="28">
        <v>0.0</v>
      </c>
      <c r="I60" s="26"/>
    </row>
    <row r="61">
      <c r="A61" s="26" t="s">
        <v>52</v>
      </c>
      <c r="B61" s="26" t="s">
        <v>54</v>
      </c>
      <c r="C61" s="26" t="s">
        <v>24</v>
      </c>
      <c r="D61" s="26">
        <v>14.0</v>
      </c>
      <c r="E61" s="26">
        <v>0.0</v>
      </c>
      <c r="F61" s="26">
        <v>0.0</v>
      </c>
      <c r="G61" s="26">
        <v>0.0</v>
      </c>
      <c r="H61" s="28">
        <v>0.0</v>
      </c>
      <c r="I61" s="26"/>
    </row>
    <row r="62">
      <c r="A62" s="26" t="s">
        <v>106</v>
      </c>
      <c r="B62" s="26" t="s">
        <v>107</v>
      </c>
      <c r="C62" s="26" t="s">
        <v>19</v>
      </c>
      <c r="D62" s="26">
        <v>14.0</v>
      </c>
      <c r="E62" s="26">
        <v>0.0</v>
      </c>
      <c r="F62" s="26">
        <v>0.0</v>
      </c>
      <c r="G62" s="26">
        <v>0.0</v>
      </c>
      <c r="H62" s="28">
        <v>0.0</v>
      </c>
      <c r="I62" s="26"/>
    </row>
    <row r="63">
      <c r="A63" s="26" t="s">
        <v>169</v>
      </c>
      <c r="B63" s="26" t="s">
        <v>170</v>
      </c>
      <c r="C63" s="26" t="s">
        <v>15</v>
      </c>
      <c r="D63" s="26">
        <v>13.0</v>
      </c>
      <c r="E63" s="26">
        <v>0.0</v>
      </c>
      <c r="F63" s="26">
        <v>0.0</v>
      </c>
      <c r="G63" s="26">
        <v>0.0</v>
      </c>
      <c r="H63" s="28">
        <v>0.0</v>
      </c>
      <c r="I63" s="26"/>
    </row>
    <row r="64">
      <c r="A64" s="26" t="s">
        <v>82</v>
      </c>
      <c r="B64" s="26" t="s">
        <v>110</v>
      </c>
      <c r="C64" s="26" t="s">
        <v>5</v>
      </c>
      <c r="D64" s="26">
        <v>12.0</v>
      </c>
      <c r="E64" s="26">
        <v>0.0</v>
      </c>
      <c r="F64" s="26">
        <v>2.0</v>
      </c>
      <c r="G64" s="26">
        <v>0.0</v>
      </c>
      <c r="H64" s="28">
        <v>0.0</v>
      </c>
      <c r="I64" s="26"/>
    </row>
    <row r="65">
      <c r="A65" s="26" t="s">
        <v>130</v>
      </c>
      <c r="B65" s="26" t="s">
        <v>131</v>
      </c>
      <c r="C65" s="26" t="s">
        <v>30</v>
      </c>
      <c r="D65" s="26">
        <v>12.0</v>
      </c>
      <c r="E65" s="26">
        <v>0.0</v>
      </c>
      <c r="F65" s="26">
        <v>0.0</v>
      </c>
      <c r="G65" s="26">
        <v>0.0</v>
      </c>
      <c r="H65" s="28">
        <v>0.0</v>
      </c>
      <c r="I65" s="26"/>
    </row>
    <row r="66">
      <c r="A66" s="26" t="s">
        <v>160</v>
      </c>
      <c r="B66" s="26" t="s">
        <v>161</v>
      </c>
      <c r="C66" s="26" t="s">
        <v>30</v>
      </c>
      <c r="D66" s="26">
        <v>12.0</v>
      </c>
      <c r="E66" s="26">
        <v>1.0</v>
      </c>
      <c r="F66" s="26">
        <v>3.0</v>
      </c>
      <c r="G66" s="26">
        <v>1.0</v>
      </c>
      <c r="H66" s="28">
        <v>0.0</v>
      </c>
      <c r="I66" s="26"/>
    </row>
    <row r="67">
      <c r="A67" s="26" t="s">
        <v>148</v>
      </c>
      <c r="B67" s="26" t="s">
        <v>149</v>
      </c>
      <c r="C67" s="26" t="s">
        <v>30</v>
      </c>
      <c r="D67" s="26">
        <v>12.0</v>
      </c>
      <c r="E67" s="26">
        <v>0.0</v>
      </c>
      <c r="F67" s="26">
        <v>0.0</v>
      </c>
      <c r="G67" s="26">
        <v>0.0</v>
      </c>
      <c r="H67" s="28">
        <v>0.0</v>
      </c>
      <c r="I67" s="26"/>
    </row>
    <row r="68">
      <c r="A68" s="26" t="s">
        <v>176</v>
      </c>
      <c r="B68" s="26" t="s">
        <v>177</v>
      </c>
      <c r="C68" s="26" t="s">
        <v>28</v>
      </c>
      <c r="D68" s="26">
        <v>12.0</v>
      </c>
      <c r="E68" s="26">
        <v>0.0</v>
      </c>
      <c r="F68" s="26">
        <v>0.0</v>
      </c>
      <c r="G68" s="26">
        <v>0.0</v>
      </c>
      <c r="H68" s="28">
        <v>0.0</v>
      </c>
      <c r="I68" s="26"/>
    </row>
    <row r="69">
      <c r="A69" s="26" t="s">
        <v>111</v>
      </c>
      <c r="B69" s="26" t="s">
        <v>112</v>
      </c>
      <c r="C69" s="26" t="s">
        <v>28</v>
      </c>
      <c r="D69" s="26">
        <v>12.0</v>
      </c>
      <c r="E69" s="26">
        <v>0.0</v>
      </c>
      <c r="F69" s="26">
        <v>0.0</v>
      </c>
      <c r="G69" s="26">
        <v>0.0</v>
      </c>
      <c r="H69" s="28">
        <v>0.0</v>
      </c>
      <c r="I69" s="26"/>
    </row>
    <row r="70">
      <c r="A70" s="26" t="s">
        <v>78</v>
      </c>
      <c r="B70" s="26" t="s">
        <v>178</v>
      </c>
      <c r="C70" s="26" t="s">
        <v>18</v>
      </c>
      <c r="D70" s="26">
        <v>12.0</v>
      </c>
      <c r="E70" s="26">
        <v>0.0</v>
      </c>
      <c r="F70" s="26">
        <v>0.0</v>
      </c>
      <c r="G70" s="26">
        <v>0.0</v>
      </c>
      <c r="H70" s="28">
        <v>0.0</v>
      </c>
      <c r="I70" s="26"/>
    </row>
    <row r="71">
      <c r="A71" s="26" t="s">
        <v>179</v>
      </c>
      <c r="B71" s="26" t="s">
        <v>180</v>
      </c>
      <c r="C71" s="26" t="s">
        <v>25</v>
      </c>
      <c r="D71" s="26">
        <v>12.0</v>
      </c>
      <c r="E71" s="26">
        <v>0.0</v>
      </c>
      <c r="F71" s="26">
        <v>0.0</v>
      </c>
      <c r="G71" s="26">
        <v>0.0</v>
      </c>
      <c r="H71" s="28">
        <v>0.0</v>
      </c>
      <c r="I71" s="26"/>
    </row>
    <row r="72">
      <c r="A72" s="26" t="s">
        <v>61</v>
      </c>
      <c r="B72" s="26" t="s">
        <v>62</v>
      </c>
      <c r="C72" s="26" t="s">
        <v>19</v>
      </c>
      <c r="D72" s="26">
        <v>12.0</v>
      </c>
      <c r="E72" s="26">
        <v>0.0</v>
      </c>
      <c r="F72" s="26">
        <v>0.0</v>
      </c>
      <c r="G72" s="26">
        <v>0.0</v>
      </c>
      <c r="H72" s="28">
        <v>0.0</v>
      </c>
      <c r="I72" s="26"/>
    </row>
    <row r="73">
      <c r="A73" s="26" t="s">
        <v>82</v>
      </c>
      <c r="B73" s="26" t="s">
        <v>83</v>
      </c>
      <c r="C73" s="26" t="s">
        <v>19</v>
      </c>
      <c r="D73" s="26">
        <v>12.0</v>
      </c>
      <c r="E73" s="26">
        <v>2.0</v>
      </c>
      <c r="F73" s="26">
        <v>0.0</v>
      </c>
      <c r="G73" s="26">
        <v>2.0</v>
      </c>
      <c r="H73" s="28">
        <v>0.0</v>
      </c>
      <c r="I73" s="26"/>
    </row>
    <row r="74">
      <c r="A74" s="26" t="s">
        <v>119</v>
      </c>
      <c r="B74" s="26" t="s">
        <v>120</v>
      </c>
      <c r="C74" s="26" t="s">
        <v>14</v>
      </c>
      <c r="D74" s="26">
        <v>10.0</v>
      </c>
      <c r="E74" s="26">
        <v>0.0</v>
      </c>
      <c r="F74" s="26">
        <v>0.0</v>
      </c>
      <c r="G74" s="26">
        <v>0.0</v>
      </c>
      <c r="H74" s="28">
        <v>0.0</v>
      </c>
      <c r="I74" s="26"/>
    </row>
    <row r="75">
      <c r="A75" s="26" t="s">
        <v>181</v>
      </c>
      <c r="B75" s="26" t="s">
        <v>182</v>
      </c>
      <c r="C75" s="26" t="s">
        <v>26</v>
      </c>
      <c r="D75" s="26">
        <v>8.0</v>
      </c>
      <c r="E75" s="26">
        <v>0.0</v>
      </c>
      <c r="F75" s="26">
        <v>1.0</v>
      </c>
      <c r="G75" s="26">
        <v>0.0</v>
      </c>
      <c r="H75" s="28">
        <v>0.0</v>
      </c>
      <c r="I75" s="26"/>
    </row>
    <row r="76">
      <c r="A76" s="26" t="s">
        <v>150</v>
      </c>
      <c r="B76" s="26" t="s">
        <v>151</v>
      </c>
      <c r="C76" s="26" t="s">
        <v>23</v>
      </c>
      <c r="D76" s="26">
        <v>8.0</v>
      </c>
      <c r="E76" s="26">
        <v>0.0</v>
      </c>
      <c r="F76" s="26">
        <v>0.0</v>
      </c>
      <c r="G76" s="26">
        <v>0.0</v>
      </c>
      <c r="H76" s="28">
        <v>0.0</v>
      </c>
      <c r="I76" s="26"/>
    </row>
    <row r="77">
      <c r="A77" s="26" t="s">
        <v>183</v>
      </c>
      <c r="B77" s="26" t="s">
        <v>184</v>
      </c>
      <c r="C77" s="26" t="s">
        <v>20</v>
      </c>
      <c r="D77" s="26">
        <v>8.0</v>
      </c>
      <c r="E77" s="26">
        <v>0.0</v>
      </c>
      <c r="F77" s="26">
        <v>0.0</v>
      </c>
      <c r="G77" s="26">
        <v>0.0</v>
      </c>
      <c r="H77" s="28">
        <v>0.0</v>
      </c>
      <c r="I77" s="26"/>
    </row>
    <row r="78">
      <c r="A78" s="26" t="s">
        <v>13</v>
      </c>
      <c r="B78" s="26" t="s">
        <v>185</v>
      </c>
      <c r="C78" s="26" t="s">
        <v>5</v>
      </c>
      <c r="D78" s="26">
        <v>8.0</v>
      </c>
      <c r="E78" s="26">
        <v>0.0</v>
      </c>
      <c r="F78" s="26">
        <v>1.0</v>
      </c>
      <c r="G78" s="26">
        <v>0.0</v>
      </c>
      <c r="H78" s="28">
        <v>0.0</v>
      </c>
      <c r="I78" s="26"/>
    </row>
    <row r="79">
      <c r="A79" s="26" t="s">
        <v>97</v>
      </c>
      <c r="B79" s="26" t="s">
        <v>98</v>
      </c>
      <c r="C79" s="26" t="s">
        <v>28</v>
      </c>
      <c r="D79" s="26">
        <v>8.0</v>
      </c>
      <c r="E79" s="26">
        <v>0.0</v>
      </c>
      <c r="F79" s="26">
        <v>0.0</v>
      </c>
      <c r="G79" s="26">
        <v>0.0</v>
      </c>
      <c r="H79" s="28">
        <v>0.0</v>
      </c>
      <c r="I79" s="26"/>
    </row>
    <row r="80">
      <c r="A80" s="26" t="s">
        <v>45</v>
      </c>
      <c r="B80" s="26" t="s">
        <v>173</v>
      </c>
      <c r="C80" s="26" t="s">
        <v>18</v>
      </c>
      <c r="D80" s="26">
        <v>8.0</v>
      </c>
      <c r="E80" s="26">
        <v>0.0</v>
      </c>
      <c r="F80" s="26">
        <v>0.0</v>
      </c>
      <c r="G80" s="26">
        <v>0.0</v>
      </c>
      <c r="H80" s="28">
        <v>0.0</v>
      </c>
      <c r="I80" s="26"/>
    </row>
    <row r="81">
      <c r="A81" s="26" t="s">
        <v>100</v>
      </c>
      <c r="B81" s="26" t="s">
        <v>100</v>
      </c>
      <c r="C81" s="26" t="s">
        <v>31</v>
      </c>
      <c r="D81" s="26">
        <v>8.0</v>
      </c>
      <c r="E81" s="26">
        <v>0.0</v>
      </c>
      <c r="F81" s="26">
        <v>0.0</v>
      </c>
      <c r="G81" s="26">
        <v>0.0</v>
      </c>
      <c r="H81" s="28">
        <v>0.0</v>
      </c>
      <c r="I81" s="26"/>
    </row>
    <row r="82">
      <c r="A82" s="26" t="s">
        <v>186</v>
      </c>
      <c r="B82" s="26" t="s">
        <v>187</v>
      </c>
      <c r="C82" s="26" t="s">
        <v>27</v>
      </c>
      <c r="D82" s="26">
        <v>6.0</v>
      </c>
      <c r="E82" s="26">
        <v>0.0</v>
      </c>
      <c r="F82" s="26">
        <v>0.0</v>
      </c>
      <c r="G82" s="26">
        <v>0.0</v>
      </c>
      <c r="H82" s="28">
        <v>0.0</v>
      </c>
      <c r="I82" s="26"/>
    </row>
    <row r="83">
      <c r="A83" s="26" t="s">
        <v>188</v>
      </c>
      <c r="B83" s="26" t="s">
        <v>189</v>
      </c>
      <c r="C83" s="26" t="s">
        <v>29</v>
      </c>
      <c r="D83" s="26">
        <v>4.0</v>
      </c>
      <c r="E83" s="26">
        <v>0.0</v>
      </c>
      <c r="F83" s="26">
        <v>0.0</v>
      </c>
      <c r="G83" s="26">
        <v>0.0</v>
      </c>
      <c r="H83" s="28">
        <v>0.0</v>
      </c>
      <c r="I83" s="26"/>
    </row>
    <row r="84">
      <c r="A84" s="26" t="s">
        <v>190</v>
      </c>
      <c r="B84" s="26" t="s">
        <v>191</v>
      </c>
      <c r="C84" s="26" t="s">
        <v>29</v>
      </c>
      <c r="D84" s="26">
        <v>4.0</v>
      </c>
      <c r="E84" s="26">
        <v>0.0</v>
      </c>
      <c r="F84" s="26">
        <v>0.0</v>
      </c>
      <c r="G84" s="26">
        <v>0.0</v>
      </c>
      <c r="H84" s="28">
        <v>0.0</v>
      </c>
      <c r="I84" s="26"/>
    </row>
    <row r="85">
      <c r="A85" s="26" t="s">
        <v>192</v>
      </c>
      <c r="B85" s="26" t="s">
        <v>193</v>
      </c>
      <c r="C85" s="26" t="s">
        <v>26</v>
      </c>
      <c r="D85" s="26">
        <v>4.0</v>
      </c>
      <c r="E85" s="26">
        <v>0.0</v>
      </c>
      <c r="F85" s="26">
        <v>0.0</v>
      </c>
      <c r="G85" s="26">
        <v>0.0</v>
      </c>
      <c r="H85" s="28">
        <v>0.0</v>
      </c>
      <c r="I85" s="26"/>
    </row>
    <row r="86">
      <c r="A86" s="26" t="s">
        <v>194</v>
      </c>
      <c r="B86" s="26" t="s">
        <v>195</v>
      </c>
      <c r="C86" s="26" t="s">
        <v>17</v>
      </c>
      <c r="D86" s="26">
        <v>0.0</v>
      </c>
      <c r="E86" s="26">
        <v>0.0</v>
      </c>
      <c r="F86" s="26">
        <v>0.0</v>
      </c>
      <c r="G86" s="26">
        <v>0.0</v>
      </c>
      <c r="H86" s="28">
        <v>0.0</v>
      </c>
      <c r="I86" s="26"/>
    </row>
    <row r="87">
      <c r="A87" s="26" t="s">
        <v>196</v>
      </c>
      <c r="B87" s="26" t="s">
        <v>197</v>
      </c>
      <c r="C87" s="26" t="s">
        <v>17</v>
      </c>
      <c r="D87" s="26">
        <v>0.0</v>
      </c>
      <c r="E87" s="26">
        <v>0.0</v>
      </c>
      <c r="F87" s="26">
        <v>0.0</v>
      </c>
      <c r="G87" s="26">
        <v>0.0</v>
      </c>
      <c r="H87" s="28">
        <v>0.0</v>
      </c>
      <c r="I87" s="26"/>
    </row>
    <row r="88">
      <c r="A88" s="26" t="s">
        <v>198</v>
      </c>
      <c r="B88" s="26"/>
      <c r="C88" s="26" t="s">
        <v>5</v>
      </c>
      <c r="D88" s="26">
        <v>0.0</v>
      </c>
      <c r="E88" s="26">
        <v>0.0</v>
      </c>
      <c r="F88" s="26">
        <v>0.0</v>
      </c>
      <c r="G88" s="26">
        <v>0.0</v>
      </c>
      <c r="H88" s="28">
        <v>0.0</v>
      </c>
      <c r="I88" s="26"/>
    </row>
    <row r="89">
      <c r="A89" s="26" t="s">
        <v>33</v>
      </c>
      <c r="B89" s="26" t="s">
        <v>199</v>
      </c>
      <c r="C89" s="26" t="s">
        <v>5</v>
      </c>
      <c r="D89" s="26">
        <v>0.0</v>
      </c>
      <c r="E89" s="26">
        <v>0.0</v>
      </c>
      <c r="F89" s="26">
        <v>0.0</v>
      </c>
      <c r="G89" s="26">
        <v>0.0</v>
      </c>
      <c r="H89" s="28">
        <v>0.0</v>
      </c>
      <c r="I89" s="26"/>
    </row>
    <row r="90">
      <c r="A90" s="26" t="s">
        <v>200</v>
      </c>
      <c r="B90" s="26" t="s">
        <v>201</v>
      </c>
      <c r="C90" s="26" t="s">
        <v>5</v>
      </c>
      <c r="D90" s="26">
        <v>0.0</v>
      </c>
      <c r="E90" s="26">
        <v>0.0</v>
      </c>
      <c r="F90" s="26">
        <v>0.0</v>
      </c>
      <c r="G90" s="26">
        <v>0.0</v>
      </c>
      <c r="H90" s="28">
        <v>0.0</v>
      </c>
      <c r="I90" s="26"/>
    </row>
    <row r="91">
      <c r="A91" s="26" t="s">
        <v>202</v>
      </c>
      <c r="B91" s="26" t="s">
        <v>203</v>
      </c>
      <c r="C91" s="26" t="s">
        <v>30</v>
      </c>
      <c r="D91" s="26">
        <v>0.0</v>
      </c>
      <c r="E91" s="26">
        <v>0.0</v>
      </c>
      <c r="F91" s="26">
        <v>0.0</v>
      </c>
      <c r="G91" s="26">
        <v>0.0</v>
      </c>
      <c r="H91" s="28">
        <v>0.0</v>
      </c>
      <c r="I91" s="26"/>
    </row>
    <row r="92">
      <c r="A92" s="26" t="s">
        <v>204</v>
      </c>
      <c r="B92" s="26"/>
      <c r="C92" s="26" t="s">
        <v>18</v>
      </c>
      <c r="D92" s="26">
        <v>0.0</v>
      </c>
      <c r="E92" s="26">
        <v>0.0</v>
      </c>
      <c r="F92" s="26">
        <v>0.0</v>
      </c>
      <c r="G92" s="26">
        <v>0.0</v>
      </c>
      <c r="H92" s="28">
        <v>0.0</v>
      </c>
      <c r="I92" s="26"/>
    </row>
    <row r="93">
      <c r="A93" s="26" t="s">
        <v>205</v>
      </c>
      <c r="B93" s="26" t="s">
        <v>205</v>
      </c>
      <c r="C93" s="26" t="s">
        <v>31</v>
      </c>
      <c r="D93" s="26">
        <v>0.0</v>
      </c>
      <c r="E93" s="26">
        <v>0.0</v>
      </c>
      <c r="F93" s="26">
        <v>0.0</v>
      </c>
      <c r="G93" s="26">
        <v>0.0</v>
      </c>
      <c r="H93" s="28">
        <v>0.0</v>
      </c>
      <c r="I93" s="26"/>
    </row>
    <row r="94">
      <c r="A94" s="26" t="s">
        <v>206</v>
      </c>
      <c r="B94" s="26" t="s">
        <v>207</v>
      </c>
      <c r="C94" s="26" t="s">
        <v>31</v>
      </c>
      <c r="D94" s="26">
        <v>0.0</v>
      </c>
      <c r="E94" s="26">
        <v>0.0</v>
      </c>
      <c r="F94" s="26">
        <v>0.0</v>
      </c>
      <c r="G94" s="26">
        <v>0.0</v>
      </c>
      <c r="H94" s="28">
        <v>0.0</v>
      </c>
      <c r="I94" s="26"/>
    </row>
    <row r="95">
      <c r="A95" s="26"/>
      <c r="B95" s="26"/>
      <c r="C95" s="26"/>
      <c r="D95" s="26"/>
      <c r="E95" s="26"/>
      <c r="F95" s="26"/>
      <c r="G95" s="26"/>
      <c r="H95" s="28"/>
      <c r="I95" s="26"/>
    </row>
    <row r="96">
      <c r="A96" s="26"/>
      <c r="B96" s="26"/>
      <c r="C96" s="26"/>
      <c r="D96" s="26"/>
      <c r="E96" s="26"/>
      <c r="F96" s="26"/>
      <c r="G96" s="26"/>
      <c r="H96" s="28"/>
      <c r="I96" s="26"/>
    </row>
    <row r="97">
      <c r="A97" s="26"/>
      <c r="B97" s="26"/>
      <c r="C97" s="26"/>
      <c r="D97" s="26"/>
      <c r="E97" s="26"/>
      <c r="F97" s="26"/>
      <c r="G97" s="26"/>
      <c r="H97" s="28"/>
      <c r="I97" s="26"/>
    </row>
    <row r="98">
      <c r="A98" s="26"/>
      <c r="B98" s="26"/>
      <c r="C98" s="26"/>
      <c r="D98" s="26"/>
      <c r="E98" s="26"/>
      <c r="F98" s="26"/>
      <c r="G98" s="26"/>
      <c r="H98" s="28"/>
      <c r="I98" s="26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  <row r="1001">
      <c r="H1001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1.25"/>
    <col customWidth="1" min="3" max="3" width="26.25"/>
  </cols>
  <sheetData>
    <row r="1">
      <c r="A1" s="24" t="s">
        <v>1</v>
      </c>
      <c r="B1" s="24" t="s">
        <v>6</v>
      </c>
      <c r="C1" s="24" t="s">
        <v>7</v>
      </c>
      <c r="D1" s="24" t="s">
        <v>8</v>
      </c>
      <c r="E1" s="24" t="s">
        <v>9</v>
      </c>
      <c r="F1" s="24" t="s">
        <v>10</v>
      </c>
      <c r="G1" s="24" t="s">
        <v>11</v>
      </c>
      <c r="H1" s="25" t="s">
        <v>12</v>
      </c>
    </row>
    <row r="2">
      <c r="A2" s="27" t="str">
        <f t="array" ref="A2:H94">SORT('Math Unsorted'!A3:H95, 8, FALSE, 4, FALSE, 3, TRUE, 1, TRUE)</f>
        <v>David</v>
      </c>
      <c r="B2" s="26" t="s">
        <v>36</v>
      </c>
      <c r="C2" s="26" t="s">
        <v>17</v>
      </c>
      <c r="D2" s="26">
        <v>16.0</v>
      </c>
      <c r="E2" s="26">
        <v>11.0</v>
      </c>
      <c r="F2" s="26">
        <v>3.0</v>
      </c>
      <c r="G2" s="26">
        <v>0.0</v>
      </c>
      <c r="H2" s="28">
        <v>11.0</v>
      </c>
    </row>
    <row r="3">
      <c r="A3" s="26" t="s">
        <v>73</v>
      </c>
      <c r="B3" s="26" t="s">
        <v>34</v>
      </c>
      <c r="C3" s="26" t="s">
        <v>15</v>
      </c>
      <c r="D3" s="26">
        <v>24.0</v>
      </c>
      <c r="E3" s="26">
        <v>13.0</v>
      </c>
      <c r="F3" s="26">
        <v>4.0</v>
      </c>
      <c r="G3" s="26">
        <v>1.0</v>
      </c>
      <c r="H3" s="28">
        <v>8.0</v>
      </c>
    </row>
    <row r="4">
      <c r="A4" s="26" t="s">
        <v>74</v>
      </c>
      <c r="B4" s="26" t="s">
        <v>75</v>
      </c>
      <c r="C4" s="26" t="s">
        <v>19</v>
      </c>
      <c r="D4" s="26">
        <v>16.0</v>
      </c>
      <c r="E4" s="26">
        <v>7.0</v>
      </c>
      <c r="F4" s="26">
        <v>2.0</v>
      </c>
      <c r="G4" s="26">
        <v>0.0</v>
      </c>
      <c r="H4" s="28">
        <v>7.0</v>
      </c>
    </row>
    <row r="5">
      <c r="A5" s="26" t="s">
        <v>41</v>
      </c>
      <c r="B5" s="26" t="s">
        <v>42</v>
      </c>
      <c r="C5" s="26" t="s">
        <v>14</v>
      </c>
      <c r="D5" s="26">
        <v>24.0</v>
      </c>
      <c r="E5" s="26">
        <v>10.0</v>
      </c>
      <c r="F5" s="26">
        <v>6.0</v>
      </c>
      <c r="G5" s="26">
        <v>0.0</v>
      </c>
      <c r="H5" s="28">
        <v>6.67</v>
      </c>
    </row>
    <row r="6">
      <c r="A6" s="26" t="s">
        <v>39</v>
      </c>
      <c r="B6" s="26" t="s">
        <v>40</v>
      </c>
      <c r="C6" s="26" t="s">
        <v>21</v>
      </c>
      <c r="D6" s="26">
        <v>20.0</v>
      </c>
      <c r="E6" s="26">
        <v>9.0</v>
      </c>
      <c r="F6" s="26">
        <v>4.0</v>
      </c>
      <c r="G6" s="26">
        <v>1.0</v>
      </c>
      <c r="H6" s="28">
        <v>6.4</v>
      </c>
    </row>
    <row r="7">
      <c r="A7" s="26" t="s">
        <v>37</v>
      </c>
      <c r="B7" s="26" t="s">
        <v>38</v>
      </c>
      <c r="C7" s="26" t="s">
        <v>18</v>
      </c>
      <c r="D7" s="26">
        <v>20.0</v>
      </c>
      <c r="E7" s="26">
        <v>8.0</v>
      </c>
      <c r="F7" s="26">
        <v>4.0</v>
      </c>
      <c r="G7" s="26">
        <v>0.0</v>
      </c>
      <c r="H7" s="28">
        <v>6.4</v>
      </c>
    </row>
    <row r="8">
      <c r="A8" s="26" t="s">
        <v>126</v>
      </c>
      <c r="B8" s="26" t="s">
        <v>128</v>
      </c>
      <c r="C8" s="26" t="s">
        <v>20</v>
      </c>
      <c r="D8" s="26">
        <v>20.0</v>
      </c>
      <c r="E8" s="26">
        <v>7.0</v>
      </c>
      <c r="F8" s="26">
        <v>1.0</v>
      </c>
      <c r="G8" s="26">
        <v>0.0</v>
      </c>
      <c r="H8" s="28">
        <v>5.6</v>
      </c>
    </row>
    <row r="9">
      <c r="A9" s="26" t="s">
        <v>58</v>
      </c>
      <c r="B9" s="26" t="s">
        <v>59</v>
      </c>
      <c r="C9" s="26" t="s">
        <v>16</v>
      </c>
      <c r="D9" s="26">
        <v>16.0</v>
      </c>
      <c r="E9" s="26">
        <v>5.0</v>
      </c>
      <c r="F9" s="26">
        <v>5.0</v>
      </c>
      <c r="G9" s="26">
        <v>0.0</v>
      </c>
      <c r="H9" s="28">
        <v>5.0</v>
      </c>
    </row>
    <row r="10">
      <c r="A10" s="26" t="s">
        <v>69</v>
      </c>
      <c r="B10" s="26" t="s">
        <v>71</v>
      </c>
      <c r="C10" s="26" t="s">
        <v>28</v>
      </c>
      <c r="D10" s="26">
        <v>16.0</v>
      </c>
      <c r="E10" s="26">
        <v>7.0</v>
      </c>
      <c r="F10" s="26">
        <v>1.0</v>
      </c>
      <c r="G10" s="26">
        <v>2.0</v>
      </c>
      <c r="H10" s="28">
        <v>5.0</v>
      </c>
    </row>
    <row r="11">
      <c r="A11" s="26" t="s">
        <v>67</v>
      </c>
      <c r="B11" s="26" t="s">
        <v>68</v>
      </c>
      <c r="C11" s="26" t="s">
        <v>29</v>
      </c>
      <c r="D11" s="26">
        <v>20.0</v>
      </c>
      <c r="E11" s="26">
        <v>6.0</v>
      </c>
      <c r="F11" s="26">
        <v>4.0</v>
      </c>
      <c r="G11" s="26">
        <v>0.0</v>
      </c>
      <c r="H11" s="28">
        <v>4.8</v>
      </c>
    </row>
    <row r="12">
      <c r="A12" s="26" t="s">
        <v>130</v>
      </c>
      <c r="B12" s="26" t="s">
        <v>131</v>
      </c>
      <c r="C12" s="26" t="s">
        <v>30</v>
      </c>
      <c r="D12" s="26">
        <v>12.0</v>
      </c>
      <c r="E12" s="26">
        <v>4.0</v>
      </c>
      <c r="F12" s="26">
        <v>1.0</v>
      </c>
      <c r="G12" s="26">
        <v>1.0</v>
      </c>
      <c r="H12" s="28">
        <v>4.0</v>
      </c>
    </row>
    <row r="13">
      <c r="A13" s="26" t="s">
        <v>148</v>
      </c>
      <c r="B13" s="26" t="s">
        <v>149</v>
      </c>
      <c r="C13" s="26" t="s">
        <v>30</v>
      </c>
      <c r="D13" s="26">
        <v>12.0</v>
      </c>
      <c r="E13" s="26">
        <v>3.0</v>
      </c>
      <c r="F13" s="26">
        <v>1.0</v>
      </c>
      <c r="G13" s="26">
        <v>0.0</v>
      </c>
      <c r="H13" s="28">
        <v>4.0</v>
      </c>
    </row>
    <row r="14">
      <c r="A14" s="26" t="s">
        <v>150</v>
      </c>
      <c r="B14" s="26" t="s">
        <v>151</v>
      </c>
      <c r="C14" s="26" t="s">
        <v>23</v>
      </c>
      <c r="D14" s="26">
        <v>8.0</v>
      </c>
      <c r="E14" s="26">
        <v>2.0</v>
      </c>
      <c r="F14" s="26">
        <v>0.0</v>
      </c>
      <c r="G14" s="26">
        <v>0.0</v>
      </c>
      <c r="H14" s="28">
        <v>4.0</v>
      </c>
    </row>
    <row r="15">
      <c r="A15" s="26" t="s">
        <v>45</v>
      </c>
      <c r="B15" s="26" t="s">
        <v>46</v>
      </c>
      <c r="C15" s="26" t="s">
        <v>20</v>
      </c>
      <c r="D15" s="26">
        <v>24.0</v>
      </c>
      <c r="E15" s="26">
        <v>5.0</v>
      </c>
      <c r="F15" s="26">
        <v>0.0</v>
      </c>
      <c r="G15" s="26">
        <v>0.0</v>
      </c>
      <c r="H15" s="28">
        <v>3.33</v>
      </c>
    </row>
    <row r="16">
      <c r="A16" s="26" t="s">
        <v>48</v>
      </c>
      <c r="B16" s="26" t="s">
        <v>50</v>
      </c>
      <c r="C16" s="26" t="s">
        <v>27</v>
      </c>
      <c r="D16" s="26">
        <v>24.0</v>
      </c>
      <c r="E16" s="26">
        <v>5.0</v>
      </c>
      <c r="F16" s="26">
        <v>4.0</v>
      </c>
      <c r="G16" s="26">
        <v>0.0</v>
      </c>
      <c r="H16" s="28">
        <v>3.33</v>
      </c>
    </row>
    <row r="17">
      <c r="A17" s="26" t="s">
        <v>155</v>
      </c>
      <c r="B17" s="26" t="s">
        <v>157</v>
      </c>
      <c r="C17" s="26" t="s">
        <v>24</v>
      </c>
      <c r="D17" s="26">
        <v>16.0</v>
      </c>
      <c r="E17" s="26">
        <v>3.0</v>
      </c>
      <c r="F17" s="26">
        <v>1.0</v>
      </c>
      <c r="G17" s="26">
        <v>0.0</v>
      </c>
      <c r="H17" s="28">
        <v>3.0</v>
      </c>
    </row>
    <row r="18">
      <c r="A18" s="26" t="s">
        <v>88</v>
      </c>
      <c r="B18" s="26" t="s">
        <v>89</v>
      </c>
      <c r="C18" s="26" t="s">
        <v>31</v>
      </c>
      <c r="D18" s="26">
        <v>16.0</v>
      </c>
      <c r="E18" s="26">
        <v>3.0</v>
      </c>
      <c r="F18" s="26">
        <v>2.0</v>
      </c>
      <c r="G18" s="26">
        <v>0.0</v>
      </c>
      <c r="H18" s="28">
        <v>3.0</v>
      </c>
    </row>
    <row r="19">
      <c r="A19" s="26" t="s">
        <v>84</v>
      </c>
      <c r="B19" s="26" t="s">
        <v>85</v>
      </c>
      <c r="C19" s="26" t="s">
        <v>31</v>
      </c>
      <c r="D19" s="26">
        <v>12.0</v>
      </c>
      <c r="E19" s="26">
        <v>2.0</v>
      </c>
      <c r="F19" s="26">
        <v>0.0</v>
      </c>
      <c r="G19" s="26">
        <v>0.0</v>
      </c>
      <c r="H19" s="28">
        <v>2.67</v>
      </c>
    </row>
    <row r="20">
      <c r="A20" s="26" t="s">
        <v>43</v>
      </c>
      <c r="B20" s="26" t="s">
        <v>44</v>
      </c>
      <c r="C20" s="26" t="s">
        <v>23</v>
      </c>
      <c r="D20" s="26">
        <v>20.0</v>
      </c>
      <c r="E20" s="26">
        <v>3.0</v>
      </c>
      <c r="F20" s="26">
        <v>3.0</v>
      </c>
      <c r="G20" s="26">
        <v>0.0</v>
      </c>
      <c r="H20" s="28">
        <v>2.4</v>
      </c>
    </row>
    <row r="21">
      <c r="A21" s="26" t="s">
        <v>90</v>
      </c>
      <c r="B21" s="26" t="s">
        <v>91</v>
      </c>
      <c r="C21" s="26" t="s">
        <v>25</v>
      </c>
      <c r="D21" s="26">
        <v>14.0</v>
      </c>
      <c r="E21" s="26">
        <v>2.0</v>
      </c>
      <c r="F21" s="26">
        <v>0.0</v>
      </c>
      <c r="G21" s="26">
        <v>0.0</v>
      </c>
      <c r="H21" s="28">
        <v>2.29</v>
      </c>
    </row>
    <row r="22">
      <c r="A22" s="26" t="s">
        <v>124</v>
      </c>
      <c r="B22" s="26" t="s">
        <v>125</v>
      </c>
      <c r="C22" s="26" t="s">
        <v>25</v>
      </c>
      <c r="D22" s="26">
        <v>22.0</v>
      </c>
      <c r="E22" s="26">
        <v>3.0</v>
      </c>
      <c r="F22" s="26">
        <v>0.0</v>
      </c>
      <c r="G22" s="26">
        <v>0.0</v>
      </c>
      <c r="H22" s="28">
        <v>2.18</v>
      </c>
    </row>
    <row r="23">
      <c r="A23" s="26" t="s">
        <v>13</v>
      </c>
      <c r="B23" s="26" t="s">
        <v>185</v>
      </c>
      <c r="C23" s="26" t="s">
        <v>5</v>
      </c>
      <c r="D23" s="26">
        <v>8.0</v>
      </c>
      <c r="E23" s="26">
        <v>1.0</v>
      </c>
      <c r="F23" s="26">
        <v>1.0</v>
      </c>
      <c r="G23" s="26">
        <v>0.0</v>
      </c>
      <c r="H23" s="28">
        <v>2.0</v>
      </c>
    </row>
    <row r="24">
      <c r="A24" s="26" t="s">
        <v>81</v>
      </c>
      <c r="B24" s="26" t="s">
        <v>47</v>
      </c>
      <c r="C24" s="26" t="s">
        <v>29</v>
      </c>
      <c r="D24" s="26">
        <v>20.0</v>
      </c>
      <c r="E24" s="26">
        <v>2.0</v>
      </c>
      <c r="F24" s="26">
        <v>0.0</v>
      </c>
      <c r="G24" s="26">
        <v>0.0</v>
      </c>
      <c r="H24" s="28">
        <v>1.6</v>
      </c>
    </row>
    <row r="25">
      <c r="A25" s="26" t="s">
        <v>119</v>
      </c>
      <c r="B25" s="26" t="s">
        <v>120</v>
      </c>
      <c r="C25" s="26" t="s">
        <v>14</v>
      </c>
      <c r="D25" s="26">
        <v>10.0</v>
      </c>
      <c r="E25" s="26">
        <v>1.0</v>
      </c>
      <c r="F25" s="26">
        <v>0.0</v>
      </c>
      <c r="G25" s="26">
        <v>0.0</v>
      </c>
      <c r="H25" s="28">
        <v>1.6</v>
      </c>
    </row>
    <row r="26">
      <c r="A26" s="26" t="s">
        <v>13</v>
      </c>
      <c r="B26" s="26" t="s">
        <v>60</v>
      </c>
      <c r="C26" s="26" t="s">
        <v>22</v>
      </c>
      <c r="D26" s="26">
        <v>24.0</v>
      </c>
      <c r="E26" s="26">
        <v>2.0</v>
      </c>
      <c r="F26" s="26">
        <v>1.0</v>
      </c>
      <c r="G26" s="26">
        <v>0.0</v>
      </c>
      <c r="H26" s="28">
        <v>1.33</v>
      </c>
    </row>
    <row r="27">
      <c r="A27" s="26" t="s">
        <v>76</v>
      </c>
      <c r="B27" s="26" t="s">
        <v>77</v>
      </c>
      <c r="C27" s="26" t="s">
        <v>26</v>
      </c>
      <c r="D27" s="26">
        <v>12.0</v>
      </c>
      <c r="E27" s="26">
        <v>1.0</v>
      </c>
      <c r="F27" s="26">
        <v>2.0</v>
      </c>
      <c r="G27" s="26">
        <v>0.0</v>
      </c>
      <c r="H27" s="28">
        <v>1.33</v>
      </c>
    </row>
    <row r="28">
      <c r="A28" s="26" t="s">
        <v>160</v>
      </c>
      <c r="B28" s="26" t="s">
        <v>161</v>
      </c>
      <c r="C28" s="26" t="s">
        <v>30</v>
      </c>
      <c r="D28" s="26">
        <v>12.0</v>
      </c>
      <c r="E28" s="26">
        <v>1.0</v>
      </c>
      <c r="F28" s="26">
        <v>1.0</v>
      </c>
      <c r="G28" s="26">
        <v>0.0</v>
      </c>
      <c r="H28" s="28">
        <v>1.33</v>
      </c>
    </row>
    <row r="29">
      <c r="A29" s="26" t="s">
        <v>82</v>
      </c>
      <c r="B29" s="26" t="s">
        <v>83</v>
      </c>
      <c r="C29" s="26" t="s">
        <v>19</v>
      </c>
      <c r="D29" s="26">
        <v>12.0</v>
      </c>
      <c r="E29" s="26">
        <v>1.0</v>
      </c>
      <c r="F29" s="26">
        <v>1.0</v>
      </c>
      <c r="G29" s="26">
        <v>0.0</v>
      </c>
      <c r="H29" s="28">
        <v>1.33</v>
      </c>
    </row>
    <row r="30">
      <c r="A30" s="26" t="s">
        <v>113</v>
      </c>
      <c r="B30" s="26" t="s">
        <v>114</v>
      </c>
      <c r="C30" s="26" t="s">
        <v>15</v>
      </c>
      <c r="D30" s="26">
        <v>14.0</v>
      </c>
      <c r="E30" s="26">
        <v>1.0</v>
      </c>
      <c r="F30" s="26">
        <v>2.0</v>
      </c>
      <c r="G30" s="26">
        <v>0.0</v>
      </c>
      <c r="H30" s="28">
        <v>1.14</v>
      </c>
    </row>
    <row r="31">
      <c r="A31" s="26" t="s">
        <v>106</v>
      </c>
      <c r="B31" s="26" t="s">
        <v>107</v>
      </c>
      <c r="C31" s="26" t="s">
        <v>19</v>
      </c>
      <c r="D31" s="26">
        <v>14.0</v>
      </c>
      <c r="E31" s="26">
        <v>1.0</v>
      </c>
      <c r="F31" s="26">
        <v>0.0</v>
      </c>
      <c r="G31" s="26">
        <v>0.0</v>
      </c>
      <c r="H31" s="28">
        <v>1.14</v>
      </c>
    </row>
    <row r="32">
      <c r="A32" s="26" t="s">
        <v>99</v>
      </c>
      <c r="B32" s="26" t="s">
        <v>101</v>
      </c>
      <c r="C32" s="26" t="s">
        <v>22</v>
      </c>
      <c r="D32" s="26">
        <v>18.0</v>
      </c>
      <c r="E32" s="26">
        <v>1.0</v>
      </c>
      <c r="F32" s="26">
        <v>0.0</v>
      </c>
      <c r="G32" s="26">
        <v>0.0</v>
      </c>
      <c r="H32" s="28">
        <v>0.89</v>
      </c>
    </row>
    <row r="33">
      <c r="A33" s="26" t="s">
        <v>53</v>
      </c>
      <c r="B33" s="26" t="s">
        <v>55</v>
      </c>
      <c r="C33" s="26" t="s">
        <v>24</v>
      </c>
      <c r="D33" s="26">
        <v>18.0</v>
      </c>
      <c r="E33" s="26">
        <v>1.0</v>
      </c>
      <c r="F33" s="26">
        <v>0.0</v>
      </c>
      <c r="G33" s="26">
        <v>0.0</v>
      </c>
      <c r="H33" s="28">
        <v>0.89</v>
      </c>
    </row>
    <row r="34">
      <c r="A34" s="26" t="s">
        <v>49</v>
      </c>
      <c r="B34" s="26" t="s">
        <v>51</v>
      </c>
      <c r="C34" s="26" t="s">
        <v>23</v>
      </c>
      <c r="D34" s="26">
        <v>20.0</v>
      </c>
      <c r="E34" s="26">
        <v>1.0</v>
      </c>
      <c r="F34" s="26">
        <v>1.0</v>
      </c>
      <c r="G34" s="26">
        <v>0.0</v>
      </c>
      <c r="H34" s="28">
        <v>0.8</v>
      </c>
    </row>
    <row r="35">
      <c r="A35" s="26" t="s">
        <v>86</v>
      </c>
      <c r="B35" s="26" t="s">
        <v>87</v>
      </c>
      <c r="C35" s="26" t="s">
        <v>16</v>
      </c>
      <c r="D35" s="26">
        <v>20.0</v>
      </c>
      <c r="E35" s="26">
        <v>1.0</v>
      </c>
      <c r="F35" s="26">
        <v>1.0</v>
      </c>
      <c r="G35" s="26">
        <v>0.0</v>
      </c>
      <c r="H35" s="28">
        <v>0.8</v>
      </c>
    </row>
    <row r="36">
      <c r="A36" s="26" t="s">
        <v>117</v>
      </c>
      <c r="B36" s="26" t="s">
        <v>118</v>
      </c>
      <c r="C36" s="26" t="s">
        <v>18</v>
      </c>
      <c r="D36" s="26">
        <v>20.0</v>
      </c>
      <c r="E36" s="26">
        <v>1.0</v>
      </c>
      <c r="F36" s="26">
        <v>0.0</v>
      </c>
      <c r="G36" s="26">
        <v>0.0</v>
      </c>
      <c r="H36" s="28">
        <v>0.8</v>
      </c>
    </row>
    <row r="37">
      <c r="A37" s="26" t="s">
        <v>134</v>
      </c>
      <c r="B37" s="26" t="s">
        <v>135</v>
      </c>
      <c r="C37" s="26" t="s">
        <v>22</v>
      </c>
      <c r="D37" s="26">
        <v>22.0</v>
      </c>
      <c r="E37" s="26">
        <v>1.0</v>
      </c>
      <c r="F37" s="26">
        <v>2.0</v>
      </c>
      <c r="G37" s="26">
        <v>0.0</v>
      </c>
      <c r="H37" s="28">
        <v>0.73</v>
      </c>
    </row>
    <row r="38">
      <c r="A38" s="26" t="s">
        <v>104</v>
      </c>
      <c r="B38" s="26" t="s">
        <v>105</v>
      </c>
      <c r="C38" s="26" t="s">
        <v>27</v>
      </c>
      <c r="D38" s="26">
        <v>22.0</v>
      </c>
      <c r="E38" s="26">
        <v>1.0</v>
      </c>
      <c r="F38" s="26">
        <v>0.0</v>
      </c>
      <c r="G38" s="26">
        <v>0.0</v>
      </c>
      <c r="H38" s="28">
        <v>0.73</v>
      </c>
    </row>
    <row r="39">
      <c r="A39" s="26" t="s">
        <v>108</v>
      </c>
      <c r="B39" s="26" t="s">
        <v>109</v>
      </c>
      <c r="C39" s="26" t="s">
        <v>20</v>
      </c>
      <c r="D39" s="26">
        <v>24.0</v>
      </c>
      <c r="E39" s="26">
        <v>2.0</v>
      </c>
      <c r="F39" s="26">
        <v>1.0</v>
      </c>
      <c r="G39" s="26">
        <v>1.0</v>
      </c>
      <c r="H39" s="28">
        <v>0.67</v>
      </c>
    </row>
    <row r="40">
      <c r="A40" s="26" t="s">
        <v>95</v>
      </c>
      <c r="B40" s="26" t="s">
        <v>96</v>
      </c>
      <c r="C40" s="26" t="s">
        <v>25</v>
      </c>
      <c r="D40" s="26">
        <v>24.0</v>
      </c>
      <c r="E40" s="26">
        <v>1.0</v>
      </c>
      <c r="F40" s="26">
        <v>1.0</v>
      </c>
      <c r="G40" s="26">
        <v>0.0</v>
      </c>
      <c r="H40" s="28">
        <v>0.67</v>
      </c>
    </row>
    <row r="41">
      <c r="A41" s="26" t="s">
        <v>127</v>
      </c>
      <c r="B41" s="26" t="s">
        <v>129</v>
      </c>
      <c r="C41" s="26" t="s">
        <v>15</v>
      </c>
      <c r="D41" s="26">
        <v>24.0</v>
      </c>
      <c r="E41" s="26">
        <v>0.0</v>
      </c>
      <c r="F41" s="26">
        <v>0.0</v>
      </c>
      <c r="G41" s="26">
        <v>0.0</v>
      </c>
      <c r="H41" s="28">
        <v>0.0</v>
      </c>
    </row>
    <row r="42">
      <c r="A42" s="26" t="s">
        <v>13</v>
      </c>
      <c r="B42" s="26" t="s">
        <v>92</v>
      </c>
      <c r="C42" s="26" t="s">
        <v>25</v>
      </c>
      <c r="D42" s="26">
        <v>24.0</v>
      </c>
      <c r="E42" s="26">
        <v>0.0</v>
      </c>
      <c r="F42" s="26">
        <v>0.0</v>
      </c>
      <c r="G42" s="26">
        <v>0.0</v>
      </c>
      <c r="H42" s="28">
        <v>0.0</v>
      </c>
    </row>
    <row r="43">
      <c r="A43" s="26" t="s">
        <v>56</v>
      </c>
      <c r="B43" s="26" t="s">
        <v>57</v>
      </c>
      <c r="C43" s="26" t="s">
        <v>14</v>
      </c>
      <c r="D43" s="26">
        <v>24.0</v>
      </c>
      <c r="E43" s="26">
        <v>0.0</v>
      </c>
      <c r="F43" s="26">
        <v>1.0</v>
      </c>
      <c r="G43" s="26">
        <v>0.0</v>
      </c>
      <c r="H43" s="28">
        <v>0.0</v>
      </c>
    </row>
    <row r="44">
      <c r="A44" s="26" t="s">
        <v>132</v>
      </c>
      <c r="B44" s="26" t="s">
        <v>133</v>
      </c>
      <c r="C44" s="26" t="s">
        <v>14</v>
      </c>
      <c r="D44" s="26">
        <v>24.0</v>
      </c>
      <c r="E44" s="26">
        <v>0.0</v>
      </c>
      <c r="F44" s="26">
        <v>1.0</v>
      </c>
      <c r="G44" s="26">
        <v>0.0</v>
      </c>
      <c r="H44" s="28">
        <v>0.0</v>
      </c>
    </row>
    <row r="45">
      <c r="A45" s="26" t="s">
        <v>79</v>
      </c>
      <c r="B45" s="26" t="s">
        <v>80</v>
      </c>
      <c r="C45" s="26" t="s">
        <v>22</v>
      </c>
      <c r="D45" s="26">
        <v>22.0</v>
      </c>
      <c r="E45" s="26">
        <v>3.0</v>
      </c>
      <c r="F45" s="26">
        <v>3.0</v>
      </c>
      <c r="G45" s="26">
        <v>3.0</v>
      </c>
      <c r="H45" s="28">
        <v>0.0</v>
      </c>
    </row>
    <row r="46">
      <c r="A46" s="26" t="s">
        <v>138</v>
      </c>
      <c r="B46" s="26" t="s">
        <v>139</v>
      </c>
      <c r="C46" s="26" t="s">
        <v>27</v>
      </c>
      <c r="D46" s="26">
        <v>22.0</v>
      </c>
      <c r="E46" s="26">
        <v>0.0</v>
      </c>
      <c r="F46" s="26">
        <v>1.0</v>
      </c>
      <c r="G46" s="26">
        <v>0.0</v>
      </c>
      <c r="H46" s="28">
        <v>0.0</v>
      </c>
    </row>
    <row r="47">
      <c r="A47" s="26" t="s">
        <v>63</v>
      </c>
      <c r="B47" s="26" t="s">
        <v>64</v>
      </c>
      <c r="C47" s="26" t="s">
        <v>15</v>
      </c>
      <c r="D47" s="26">
        <v>20.0</v>
      </c>
      <c r="E47" s="26">
        <v>0.0</v>
      </c>
      <c r="F47" s="26">
        <v>0.0</v>
      </c>
      <c r="G47" s="26">
        <v>0.0</v>
      </c>
      <c r="H47" s="28">
        <v>0.0</v>
      </c>
    </row>
    <row r="48">
      <c r="A48" s="26" t="s">
        <v>143</v>
      </c>
      <c r="B48" s="26" t="s">
        <v>145</v>
      </c>
      <c r="C48" s="26" t="s">
        <v>21</v>
      </c>
      <c r="D48" s="26">
        <v>20.0</v>
      </c>
      <c r="E48" s="26">
        <v>0.0</v>
      </c>
      <c r="F48" s="26">
        <v>0.0</v>
      </c>
      <c r="G48" s="26">
        <v>0.0</v>
      </c>
      <c r="H48" s="28">
        <v>0.0</v>
      </c>
    </row>
    <row r="49">
      <c r="A49" s="26" t="s">
        <v>102</v>
      </c>
      <c r="B49" s="26" t="s">
        <v>103</v>
      </c>
      <c r="C49" s="26" t="s">
        <v>23</v>
      </c>
      <c r="D49" s="26">
        <v>20.0</v>
      </c>
      <c r="E49" s="26">
        <v>0.0</v>
      </c>
      <c r="F49" s="26">
        <v>2.0</v>
      </c>
      <c r="G49" s="26">
        <v>0.0</v>
      </c>
      <c r="H49" s="28">
        <v>0.0</v>
      </c>
    </row>
    <row r="50">
      <c r="A50" s="26" t="s">
        <v>122</v>
      </c>
      <c r="B50" s="26" t="s">
        <v>123</v>
      </c>
      <c r="C50" s="26" t="s">
        <v>27</v>
      </c>
      <c r="D50" s="26">
        <v>20.0</v>
      </c>
      <c r="E50" s="26">
        <v>0.0</v>
      </c>
      <c r="F50" s="26">
        <v>0.0</v>
      </c>
      <c r="G50" s="26">
        <v>0.0</v>
      </c>
      <c r="H50" s="28">
        <v>0.0</v>
      </c>
    </row>
    <row r="51">
      <c r="A51" s="26" t="s">
        <v>152</v>
      </c>
      <c r="B51" s="26" t="s">
        <v>153</v>
      </c>
      <c r="C51" s="26" t="s">
        <v>21</v>
      </c>
      <c r="D51" s="26">
        <v>18.0</v>
      </c>
      <c r="E51" s="26">
        <v>0.0</v>
      </c>
      <c r="F51" s="26">
        <v>0.0</v>
      </c>
      <c r="G51" s="26">
        <v>0.0</v>
      </c>
      <c r="H51" s="28">
        <v>0.0</v>
      </c>
    </row>
    <row r="52">
      <c r="A52" s="26" t="s">
        <v>140</v>
      </c>
      <c r="B52" s="26" t="s">
        <v>141</v>
      </c>
      <c r="C52" s="26" t="s">
        <v>29</v>
      </c>
      <c r="D52" s="26">
        <v>16.0</v>
      </c>
      <c r="E52" s="26">
        <v>0.0</v>
      </c>
      <c r="F52" s="26">
        <v>0.0</v>
      </c>
      <c r="G52" s="26">
        <v>0.0</v>
      </c>
      <c r="H52" s="28">
        <v>0.0</v>
      </c>
    </row>
    <row r="53">
      <c r="A53" s="26" t="s">
        <v>154</v>
      </c>
      <c r="B53" s="26" t="s">
        <v>156</v>
      </c>
      <c r="C53" s="26" t="s">
        <v>29</v>
      </c>
      <c r="D53" s="26">
        <v>16.0</v>
      </c>
      <c r="E53" s="26">
        <v>0.0</v>
      </c>
      <c r="F53" s="26">
        <v>1.0</v>
      </c>
      <c r="G53" s="26">
        <v>0.0</v>
      </c>
      <c r="H53" s="28">
        <v>0.0</v>
      </c>
    </row>
    <row r="54">
      <c r="A54" s="26" t="s">
        <v>158</v>
      </c>
      <c r="B54" s="26" t="s">
        <v>159</v>
      </c>
      <c r="C54" s="26" t="s">
        <v>17</v>
      </c>
      <c r="D54" s="26">
        <v>16.0</v>
      </c>
      <c r="E54" s="26">
        <v>0.0</v>
      </c>
      <c r="F54" s="26">
        <v>0.0</v>
      </c>
      <c r="G54" s="26">
        <v>0.0</v>
      </c>
      <c r="H54" s="28">
        <v>0.0</v>
      </c>
    </row>
    <row r="55">
      <c r="A55" s="26" t="s">
        <v>142</v>
      </c>
      <c r="B55" s="26" t="s">
        <v>144</v>
      </c>
      <c r="C55" s="26" t="s">
        <v>23</v>
      </c>
      <c r="D55" s="26">
        <v>16.0</v>
      </c>
      <c r="E55" s="26">
        <v>0.0</v>
      </c>
      <c r="F55" s="26">
        <v>0.0</v>
      </c>
      <c r="G55" s="26">
        <v>0.0</v>
      </c>
      <c r="H55" s="28">
        <v>0.0</v>
      </c>
    </row>
    <row r="56">
      <c r="A56" s="26" t="s">
        <v>115</v>
      </c>
      <c r="B56" s="26" t="s">
        <v>116</v>
      </c>
      <c r="C56" s="26" t="s">
        <v>20</v>
      </c>
      <c r="D56" s="26">
        <v>16.0</v>
      </c>
      <c r="E56" s="26">
        <v>0.0</v>
      </c>
      <c r="F56" s="26">
        <v>0.0</v>
      </c>
      <c r="G56" s="26">
        <v>0.0</v>
      </c>
      <c r="H56" s="28">
        <v>0.0</v>
      </c>
    </row>
    <row r="57">
      <c r="A57" s="26" t="s">
        <v>93</v>
      </c>
      <c r="B57" s="26" t="s">
        <v>94</v>
      </c>
      <c r="C57" s="26" t="s">
        <v>30</v>
      </c>
      <c r="D57" s="26">
        <v>16.0</v>
      </c>
      <c r="E57" s="26">
        <v>0.0</v>
      </c>
      <c r="F57" s="26">
        <v>0.0</v>
      </c>
      <c r="G57" s="26">
        <v>0.0</v>
      </c>
      <c r="H57" s="28">
        <v>0.0</v>
      </c>
    </row>
    <row r="58">
      <c r="A58" s="26" t="s">
        <v>162</v>
      </c>
      <c r="B58" s="26" t="s">
        <v>163</v>
      </c>
      <c r="C58" s="26" t="s">
        <v>16</v>
      </c>
      <c r="D58" s="26">
        <v>16.0</v>
      </c>
      <c r="E58" s="26">
        <v>0.0</v>
      </c>
      <c r="F58" s="26">
        <v>0.0</v>
      </c>
      <c r="G58" s="26">
        <v>0.0</v>
      </c>
      <c r="H58" s="28">
        <v>0.0</v>
      </c>
    </row>
    <row r="59">
      <c r="A59" s="26" t="s">
        <v>174</v>
      </c>
      <c r="B59" s="26" t="s">
        <v>175</v>
      </c>
      <c r="C59" s="26" t="s">
        <v>22</v>
      </c>
      <c r="D59" s="26">
        <v>16.0</v>
      </c>
      <c r="E59" s="26">
        <v>0.0</v>
      </c>
      <c r="F59" s="26">
        <v>0.0</v>
      </c>
      <c r="G59" s="26">
        <v>0.0</v>
      </c>
      <c r="H59" s="28">
        <v>0.0</v>
      </c>
    </row>
    <row r="60">
      <c r="A60" s="26" t="s">
        <v>70</v>
      </c>
      <c r="B60" s="26" t="s">
        <v>72</v>
      </c>
      <c r="C60" s="26" t="s">
        <v>28</v>
      </c>
      <c r="D60" s="26">
        <v>16.0</v>
      </c>
      <c r="E60" s="26">
        <v>0.0</v>
      </c>
      <c r="F60" s="26">
        <v>0.0</v>
      </c>
      <c r="G60" s="26">
        <v>0.0</v>
      </c>
      <c r="H60" s="28">
        <v>0.0</v>
      </c>
    </row>
    <row r="61">
      <c r="A61" s="26" t="s">
        <v>13</v>
      </c>
      <c r="B61" s="26" t="s">
        <v>121</v>
      </c>
      <c r="C61" s="26" t="s">
        <v>24</v>
      </c>
      <c r="D61" s="26">
        <v>16.0</v>
      </c>
      <c r="E61" s="26">
        <v>0.0</v>
      </c>
      <c r="F61" s="26">
        <v>0.0</v>
      </c>
      <c r="G61" s="26">
        <v>0.0</v>
      </c>
      <c r="H61" s="28">
        <v>0.0</v>
      </c>
    </row>
    <row r="62">
      <c r="A62" s="26" t="s">
        <v>65</v>
      </c>
      <c r="B62" s="26" t="s">
        <v>66</v>
      </c>
      <c r="C62" s="26" t="s">
        <v>19</v>
      </c>
      <c r="D62" s="26">
        <v>16.0</v>
      </c>
      <c r="E62" s="26">
        <v>0.0</v>
      </c>
      <c r="F62" s="26">
        <v>0.0</v>
      </c>
      <c r="G62" s="26">
        <v>0.0</v>
      </c>
      <c r="H62" s="28">
        <v>0.0</v>
      </c>
    </row>
    <row r="63">
      <c r="A63" s="26" t="s">
        <v>167</v>
      </c>
      <c r="B63" s="26" t="s">
        <v>168</v>
      </c>
      <c r="C63" s="26" t="s">
        <v>31</v>
      </c>
      <c r="D63" s="26">
        <v>16.0</v>
      </c>
      <c r="E63" s="26">
        <v>0.0</v>
      </c>
      <c r="F63" s="26">
        <v>0.0</v>
      </c>
      <c r="G63" s="26">
        <v>0.0</v>
      </c>
      <c r="H63" s="28">
        <v>0.0</v>
      </c>
    </row>
    <row r="64">
      <c r="A64" s="26" t="s">
        <v>169</v>
      </c>
      <c r="B64" s="26" t="s">
        <v>170</v>
      </c>
      <c r="C64" s="26" t="s">
        <v>15</v>
      </c>
      <c r="D64" s="26">
        <v>14.0</v>
      </c>
      <c r="E64" s="26">
        <v>0.0</v>
      </c>
      <c r="F64" s="26">
        <v>0.0</v>
      </c>
      <c r="G64" s="26">
        <v>0.0</v>
      </c>
      <c r="H64" s="28">
        <v>0.0</v>
      </c>
    </row>
    <row r="65">
      <c r="A65" s="26" t="s">
        <v>136</v>
      </c>
      <c r="B65" s="26" t="s">
        <v>137</v>
      </c>
      <c r="C65" s="26" t="s">
        <v>24</v>
      </c>
      <c r="D65" s="26">
        <v>14.0</v>
      </c>
      <c r="E65" s="26">
        <v>0.0</v>
      </c>
      <c r="F65" s="26">
        <v>1.0</v>
      </c>
      <c r="G65" s="26">
        <v>0.0</v>
      </c>
      <c r="H65" s="28">
        <v>0.0</v>
      </c>
    </row>
    <row r="66">
      <c r="A66" s="26" t="s">
        <v>52</v>
      </c>
      <c r="B66" s="26" t="s">
        <v>54</v>
      </c>
      <c r="C66" s="26" t="s">
        <v>24</v>
      </c>
      <c r="D66" s="26">
        <v>14.0</v>
      </c>
      <c r="E66" s="26">
        <v>0.0</v>
      </c>
      <c r="F66" s="26">
        <v>0.0</v>
      </c>
      <c r="G66" s="26">
        <v>0.0</v>
      </c>
      <c r="H66" s="28">
        <v>0.0</v>
      </c>
    </row>
    <row r="67">
      <c r="A67" s="26" t="s">
        <v>82</v>
      </c>
      <c r="B67" s="26" t="s">
        <v>110</v>
      </c>
      <c r="C67" s="26" t="s">
        <v>5</v>
      </c>
      <c r="D67" s="26">
        <v>12.0</v>
      </c>
      <c r="E67" s="26">
        <v>0.0</v>
      </c>
      <c r="F67" s="26">
        <v>0.0</v>
      </c>
      <c r="G67" s="26">
        <v>0.0</v>
      </c>
      <c r="H67" s="28">
        <v>0.0</v>
      </c>
    </row>
    <row r="68">
      <c r="A68" s="26" t="s">
        <v>146</v>
      </c>
      <c r="B68" s="26" t="s">
        <v>147</v>
      </c>
      <c r="C68" s="26" t="s">
        <v>5</v>
      </c>
      <c r="D68" s="26">
        <v>12.0</v>
      </c>
      <c r="E68" s="26">
        <v>2.0</v>
      </c>
      <c r="F68" s="26">
        <v>1.0</v>
      </c>
      <c r="G68" s="26">
        <v>0.0</v>
      </c>
      <c r="H68" s="28">
        <v>0.0</v>
      </c>
    </row>
    <row r="69">
      <c r="A69" s="26" t="s">
        <v>176</v>
      </c>
      <c r="B69" s="26" t="s">
        <v>177</v>
      </c>
      <c r="C69" s="26" t="s">
        <v>28</v>
      </c>
      <c r="D69" s="26">
        <v>12.0</v>
      </c>
      <c r="E69" s="26">
        <v>0.0</v>
      </c>
      <c r="F69" s="26">
        <v>0.0</v>
      </c>
      <c r="G69" s="26">
        <v>0.0</v>
      </c>
      <c r="H69" s="28">
        <v>0.0</v>
      </c>
    </row>
    <row r="70">
      <c r="A70" s="26" t="s">
        <v>111</v>
      </c>
      <c r="B70" s="26" t="s">
        <v>112</v>
      </c>
      <c r="C70" s="26" t="s">
        <v>28</v>
      </c>
      <c r="D70" s="26">
        <v>12.0</v>
      </c>
      <c r="E70" s="26">
        <v>0.0</v>
      </c>
      <c r="F70" s="26">
        <v>0.0</v>
      </c>
      <c r="G70" s="26">
        <v>0.0</v>
      </c>
      <c r="H70" s="28">
        <v>0.0</v>
      </c>
    </row>
    <row r="71">
      <c r="A71" s="26" t="s">
        <v>78</v>
      </c>
      <c r="B71" s="26" t="s">
        <v>178</v>
      </c>
      <c r="C71" s="26" t="s">
        <v>18</v>
      </c>
      <c r="D71" s="26">
        <v>12.0</v>
      </c>
      <c r="E71" s="26">
        <v>0.0</v>
      </c>
      <c r="F71" s="26">
        <v>0.0</v>
      </c>
      <c r="G71" s="26">
        <v>0.0</v>
      </c>
      <c r="H71" s="28">
        <v>0.0</v>
      </c>
    </row>
    <row r="72">
      <c r="A72" s="26" t="s">
        <v>179</v>
      </c>
      <c r="B72" s="26" t="s">
        <v>180</v>
      </c>
      <c r="C72" s="26" t="s">
        <v>25</v>
      </c>
      <c r="D72" s="26">
        <v>12.0</v>
      </c>
      <c r="E72" s="26">
        <v>0.0</v>
      </c>
      <c r="F72" s="26">
        <v>0.0</v>
      </c>
      <c r="G72" s="26">
        <v>0.0</v>
      </c>
      <c r="H72" s="28">
        <v>0.0</v>
      </c>
    </row>
    <row r="73">
      <c r="A73" s="26" t="s">
        <v>61</v>
      </c>
      <c r="B73" s="26" t="s">
        <v>62</v>
      </c>
      <c r="C73" s="26" t="s">
        <v>19</v>
      </c>
      <c r="D73" s="26">
        <v>12.0</v>
      </c>
      <c r="E73" s="26">
        <v>0.0</v>
      </c>
      <c r="F73" s="26">
        <v>0.0</v>
      </c>
      <c r="G73" s="26">
        <v>0.0</v>
      </c>
      <c r="H73" s="28">
        <v>0.0</v>
      </c>
    </row>
    <row r="74">
      <c r="A74" s="26" t="s">
        <v>181</v>
      </c>
      <c r="B74" s="26" t="s">
        <v>182</v>
      </c>
      <c r="C74" s="26" t="s">
        <v>26</v>
      </c>
      <c r="D74" s="26">
        <v>8.0</v>
      </c>
      <c r="E74" s="26">
        <v>0.0</v>
      </c>
      <c r="F74" s="26">
        <v>0.0</v>
      </c>
      <c r="G74" s="26">
        <v>0.0</v>
      </c>
      <c r="H74" s="28">
        <v>0.0</v>
      </c>
    </row>
    <row r="75">
      <c r="A75" s="26" t="s">
        <v>183</v>
      </c>
      <c r="B75" s="26" t="s">
        <v>184</v>
      </c>
      <c r="C75" s="26" t="s">
        <v>20</v>
      </c>
      <c r="D75" s="26">
        <v>8.0</v>
      </c>
      <c r="E75" s="26">
        <v>0.0</v>
      </c>
      <c r="F75" s="26">
        <v>0.0</v>
      </c>
      <c r="G75" s="26">
        <v>0.0</v>
      </c>
      <c r="H75" s="28">
        <v>0.0</v>
      </c>
    </row>
    <row r="76">
      <c r="A76" s="26" t="s">
        <v>171</v>
      </c>
      <c r="B76" s="26" t="s">
        <v>172</v>
      </c>
      <c r="C76" s="26" t="s">
        <v>16</v>
      </c>
      <c r="D76" s="26">
        <v>8.0</v>
      </c>
      <c r="E76" s="26">
        <v>0.0</v>
      </c>
      <c r="F76" s="26">
        <v>0.0</v>
      </c>
      <c r="G76" s="26">
        <v>0.0</v>
      </c>
      <c r="H76" s="28">
        <v>0.0</v>
      </c>
    </row>
    <row r="77">
      <c r="A77" s="26" t="s">
        <v>97</v>
      </c>
      <c r="B77" s="26" t="s">
        <v>98</v>
      </c>
      <c r="C77" s="26" t="s">
        <v>28</v>
      </c>
      <c r="D77" s="26">
        <v>8.0</v>
      </c>
      <c r="E77" s="26">
        <v>0.0</v>
      </c>
      <c r="F77" s="26">
        <v>0.0</v>
      </c>
      <c r="G77" s="26">
        <v>0.0</v>
      </c>
      <c r="H77" s="28">
        <v>0.0</v>
      </c>
    </row>
    <row r="78">
      <c r="A78" s="26" t="s">
        <v>45</v>
      </c>
      <c r="B78" s="26" t="s">
        <v>173</v>
      </c>
      <c r="C78" s="26" t="s">
        <v>18</v>
      </c>
      <c r="D78" s="26">
        <v>8.0</v>
      </c>
      <c r="E78" s="26">
        <v>0.0</v>
      </c>
      <c r="F78" s="26">
        <v>0.0</v>
      </c>
      <c r="G78" s="26">
        <v>0.0</v>
      </c>
      <c r="H78" s="28">
        <v>0.0</v>
      </c>
    </row>
    <row r="79">
      <c r="A79" s="26" t="s">
        <v>100</v>
      </c>
      <c r="B79" s="26" t="s">
        <v>100</v>
      </c>
      <c r="C79" s="26" t="s">
        <v>31</v>
      </c>
      <c r="D79" s="26">
        <v>8.0</v>
      </c>
      <c r="E79" s="26">
        <v>0.0</v>
      </c>
      <c r="F79" s="26">
        <v>0.0</v>
      </c>
      <c r="G79" s="26">
        <v>0.0</v>
      </c>
      <c r="H79" s="28">
        <v>0.0</v>
      </c>
    </row>
    <row r="80">
      <c r="A80" s="26" t="s">
        <v>78</v>
      </c>
      <c r="B80" s="26" t="s">
        <v>166</v>
      </c>
      <c r="C80" s="26" t="s">
        <v>5</v>
      </c>
      <c r="D80" s="26">
        <v>7.0</v>
      </c>
      <c r="E80" s="26">
        <v>0.0</v>
      </c>
      <c r="F80" s="26">
        <v>0.0</v>
      </c>
      <c r="G80" s="26">
        <v>0.0</v>
      </c>
      <c r="H80" s="28">
        <v>0.0</v>
      </c>
    </row>
    <row r="81">
      <c r="A81" s="26" t="s">
        <v>186</v>
      </c>
      <c r="B81" s="26" t="s">
        <v>187</v>
      </c>
      <c r="C81" s="26" t="s">
        <v>27</v>
      </c>
      <c r="D81" s="26">
        <v>6.0</v>
      </c>
      <c r="E81" s="26">
        <v>0.0</v>
      </c>
      <c r="F81" s="26">
        <v>0.0</v>
      </c>
      <c r="G81" s="26">
        <v>0.0</v>
      </c>
      <c r="H81" s="28">
        <v>0.0</v>
      </c>
    </row>
    <row r="82">
      <c r="A82" s="26" t="s">
        <v>188</v>
      </c>
      <c r="B82" s="26" t="s">
        <v>189</v>
      </c>
      <c r="C82" s="26" t="s">
        <v>29</v>
      </c>
      <c r="D82" s="26">
        <v>4.0</v>
      </c>
      <c r="E82" s="26">
        <v>0.0</v>
      </c>
      <c r="F82" s="26">
        <v>0.0</v>
      </c>
      <c r="G82" s="26">
        <v>0.0</v>
      </c>
      <c r="H82" s="28">
        <v>0.0</v>
      </c>
    </row>
    <row r="83">
      <c r="A83" s="26" t="s">
        <v>190</v>
      </c>
      <c r="B83" s="26" t="s">
        <v>191</v>
      </c>
      <c r="C83" s="26" t="s">
        <v>29</v>
      </c>
      <c r="D83" s="26">
        <v>4.0</v>
      </c>
      <c r="E83" s="26">
        <v>0.0</v>
      </c>
      <c r="F83" s="26">
        <v>0.0</v>
      </c>
      <c r="G83" s="26">
        <v>0.0</v>
      </c>
      <c r="H83" s="28">
        <v>0.0</v>
      </c>
    </row>
    <row r="84">
      <c r="A84" s="26" t="s">
        <v>192</v>
      </c>
      <c r="B84" s="26" t="s">
        <v>193</v>
      </c>
      <c r="C84" s="26" t="s">
        <v>26</v>
      </c>
      <c r="D84" s="26">
        <v>4.0</v>
      </c>
      <c r="E84" s="26">
        <v>0.0</v>
      </c>
      <c r="F84" s="26">
        <v>0.0</v>
      </c>
      <c r="G84" s="26">
        <v>0.0</v>
      </c>
      <c r="H84" s="28">
        <v>0.0</v>
      </c>
    </row>
    <row r="85">
      <c r="A85" s="26" t="s">
        <v>194</v>
      </c>
      <c r="B85" s="26" t="s">
        <v>195</v>
      </c>
      <c r="C85" s="26" t="s">
        <v>17</v>
      </c>
      <c r="D85" s="26">
        <v>0.0</v>
      </c>
      <c r="E85" s="26">
        <v>0.0</v>
      </c>
      <c r="F85" s="26">
        <v>0.0</v>
      </c>
      <c r="G85" s="26">
        <v>0.0</v>
      </c>
      <c r="H85" s="28">
        <v>0.0</v>
      </c>
    </row>
    <row r="86">
      <c r="A86" s="26" t="s">
        <v>196</v>
      </c>
      <c r="B86" s="26" t="s">
        <v>197</v>
      </c>
      <c r="C86" s="26" t="s">
        <v>17</v>
      </c>
      <c r="D86" s="26">
        <v>0.0</v>
      </c>
      <c r="E86" s="26">
        <v>0.0</v>
      </c>
      <c r="F86" s="26">
        <v>0.0</v>
      </c>
      <c r="G86" s="26">
        <v>0.0</v>
      </c>
      <c r="H86" s="28">
        <v>0.0</v>
      </c>
    </row>
    <row r="87">
      <c r="A87" s="26" t="s">
        <v>198</v>
      </c>
      <c r="B87" s="26"/>
      <c r="C87" s="26" t="s">
        <v>5</v>
      </c>
      <c r="D87" s="26">
        <v>0.0</v>
      </c>
      <c r="E87" s="26">
        <v>0.0</v>
      </c>
      <c r="F87" s="26">
        <v>0.0</v>
      </c>
      <c r="G87" s="26">
        <v>0.0</v>
      </c>
      <c r="H87" s="28">
        <v>0.0</v>
      </c>
    </row>
    <row r="88">
      <c r="A88" s="26" t="s">
        <v>33</v>
      </c>
      <c r="B88" s="26" t="s">
        <v>199</v>
      </c>
      <c r="C88" s="26" t="s">
        <v>5</v>
      </c>
      <c r="D88" s="26">
        <v>0.0</v>
      </c>
      <c r="E88" s="26">
        <v>0.0</v>
      </c>
      <c r="F88" s="26">
        <v>0.0</v>
      </c>
      <c r="G88" s="26">
        <v>0.0</v>
      </c>
      <c r="H88" s="28">
        <v>0.0</v>
      </c>
    </row>
    <row r="89">
      <c r="A89" s="26" t="s">
        <v>200</v>
      </c>
      <c r="B89" s="26" t="s">
        <v>201</v>
      </c>
      <c r="C89" s="26" t="s">
        <v>5</v>
      </c>
      <c r="D89" s="26">
        <v>0.0</v>
      </c>
      <c r="E89" s="26">
        <v>0.0</v>
      </c>
      <c r="F89" s="26">
        <v>0.0</v>
      </c>
      <c r="G89" s="26">
        <v>0.0</v>
      </c>
      <c r="H89" s="28">
        <v>0.0</v>
      </c>
    </row>
    <row r="90">
      <c r="A90" s="26" t="s">
        <v>202</v>
      </c>
      <c r="B90" s="26" t="s">
        <v>203</v>
      </c>
      <c r="C90" s="26" t="s">
        <v>30</v>
      </c>
      <c r="D90" s="26">
        <v>0.0</v>
      </c>
      <c r="E90" s="26">
        <v>0.0</v>
      </c>
      <c r="F90" s="26">
        <v>0.0</v>
      </c>
      <c r="G90" s="26">
        <v>0.0</v>
      </c>
      <c r="H90" s="28">
        <v>0.0</v>
      </c>
    </row>
    <row r="91">
      <c r="A91" s="26" t="s">
        <v>204</v>
      </c>
      <c r="B91" s="26"/>
      <c r="C91" s="26" t="s">
        <v>18</v>
      </c>
      <c r="D91" s="26">
        <v>0.0</v>
      </c>
      <c r="E91" s="26">
        <v>0.0</v>
      </c>
      <c r="F91" s="26">
        <v>0.0</v>
      </c>
      <c r="G91" s="26">
        <v>0.0</v>
      </c>
      <c r="H91" s="28">
        <v>0.0</v>
      </c>
    </row>
    <row r="92">
      <c r="A92" s="26" t="s">
        <v>205</v>
      </c>
      <c r="B92" s="26" t="s">
        <v>205</v>
      </c>
      <c r="C92" s="26" t="s">
        <v>31</v>
      </c>
      <c r="D92" s="26">
        <v>0.0</v>
      </c>
      <c r="E92" s="26">
        <v>0.0</v>
      </c>
      <c r="F92" s="26">
        <v>0.0</v>
      </c>
      <c r="G92" s="26">
        <v>0.0</v>
      </c>
      <c r="H92" s="28">
        <v>0.0</v>
      </c>
    </row>
    <row r="93">
      <c r="A93" s="26" t="s">
        <v>206</v>
      </c>
      <c r="B93" s="26" t="s">
        <v>207</v>
      </c>
      <c r="C93" s="26" t="s">
        <v>31</v>
      </c>
      <c r="D93" s="26">
        <v>0.0</v>
      </c>
      <c r="E93" s="26">
        <v>0.0</v>
      </c>
      <c r="F93" s="26">
        <v>0.0</v>
      </c>
      <c r="G93" s="26">
        <v>0.0</v>
      </c>
      <c r="H93" s="28">
        <v>0.0</v>
      </c>
    </row>
    <row r="94">
      <c r="A94" s="26" t="s">
        <v>164</v>
      </c>
      <c r="B94" s="26" t="s">
        <v>165</v>
      </c>
      <c r="C94" s="26" t="s">
        <v>16</v>
      </c>
      <c r="D94" s="26">
        <v>16.0</v>
      </c>
      <c r="E94" s="26">
        <v>0.0</v>
      </c>
      <c r="F94" s="26">
        <v>0.0</v>
      </c>
      <c r="G94" s="26">
        <v>1.0</v>
      </c>
      <c r="H94" s="28">
        <v>-1.0</v>
      </c>
    </row>
    <row r="95">
      <c r="A95" s="26"/>
      <c r="B95" s="26"/>
      <c r="C95" s="26"/>
      <c r="D95" s="26"/>
      <c r="E95" s="26"/>
      <c r="F95" s="26"/>
      <c r="G95" s="26"/>
      <c r="H95" s="28"/>
    </row>
    <row r="96">
      <c r="A96" s="26"/>
      <c r="B96" s="26"/>
      <c r="C96" s="26"/>
      <c r="D96" s="26"/>
      <c r="E96" s="26"/>
      <c r="F96" s="26"/>
      <c r="G96" s="26"/>
      <c r="H96" s="28"/>
    </row>
    <row r="97">
      <c r="A97" s="26"/>
      <c r="B97" s="26"/>
      <c r="C97" s="26"/>
      <c r="D97" s="26"/>
      <c r="E97" s="26"/>
      <c r="F97" s="26"/>
      <c r="G97" s="26"/>
      <c r="H97" s="28"/>
    </row>
    <row r="98">
      <c r="A98" s="26"/>
      <c r="B98" s="26"/>
      <c r="C98" s="26"/>
      <c r="D98" s="26"/>
      <c r="E98" s="26"/>
      <c r="F98" s="26"/>
      <c r="G98" s="26"/>
      <c r="H98" s="28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1.0"/>
    <col customWidth="1" min="3" max="3" width="29.38"/>
  </cols>
  <sheetData>
    <row r="1">
      <c r="A1" s="29" t="s">
        <v>1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10</v>
      </c>
      <c r="G1" s="29" t="s">
        <v>11</v>
      </c>
      <c r="H1" s="30" t="s">
        <v>12</v>
      </c>
    </row>
    <row r="2">
      <c r="A2" s="27" t="str">
        <f t="array" ref="A2:H94">SORT('Physics Unsorted'!A3:H95, 8, FALSE, 4, FALSE, 3, TRUE, 1, TRUE)</f>
        <v>Vishnu</v>
      </c>
      <c r="B2" s="26" t="s">
        <v>34</v>
      </c>
      <c r="C2" s="26" t="s">
        <v>15</v>
      </c>
      <c r="D2" s="26">
        <v>24.0</v>
      </c>
      <c r="E2" s="26">
        <v>10.0</v>
      </c>
      <c r="F2" s="26">
        <v>7.0</v>
      </c>
      <c r="G2" s="26">
        <v>0.0</v>
      </c>
      <c r="H2" s="28">
        <v>6.67</v>
      </c>
    </row>
    <row r="3">
      <c r="A3" s="26" t="s">
        <v>48</v>
      </c>
      <c r="B3" s="26" t="s">
        <v>50</v>
      </c>
      <c r="C3" s="26" t="s">
        <v>27</v>
      </c>
      <c r="D3" s="26">
        <v>24.0</v>
      </c>
      <c r="E3" s="26">
        <v>9.0</v>
      </c>
      <c r="F3" s="26">
        <v>3.0</v>
      </c>
      <c r="G3" s="26">
        <v>0.0</v>
      </c>
      <c r="H3" s="28">
        <v>6.0</v>
      </c>
    </row>
    <row r="4">
      <c r="A4" s="26" t="s">
        <v>35</v>
      </c>
      <c r="B4" s="26" t="s">
        <v>36</v>
      </c>
      <c r="C4" s="26" t="s">
        <v>17</v>
      </c>
      <c r="D4" s="26">
        <v>16.0</v>
      </c>
      <c r="E4" s="26">
        <v>7.0</v>
      </c>
      <c r="F4" s="26">
        <v>5.0</v>
      </c>
      <c r="G4" s="26">
        <v>1.0</v>
      </c>
      <c r="H4" s="28">
        <v>6.0</v>
      </c>
    </row>
    <row r="5">
      <c r="A5" s="26" t="s">
        <v>39</v>
      </c>
      <c r="B5" s="26" t="s">
        <v>40</v>
      </c>
      <c r="C5" s="26" t="s">
        <v>21</v>
      </c>
      <c r="D5" s="26">
        <v>20.0</v>
      </c>
      <c r="E5" s="26">
        <v>9.0</v>
      </c>
      <c r="F5" s="26">
        <v>4.0</v>
      </c>
      <c r="G5" s="26">
        <v>2.0</v>
      </c>
      <c r="H5" s="28">
        <v>5.6</v>
      </c>
    </row>
    <row r="6">
      <c r="A6" s="26" t="s">
        <v>74</v>
      </c>
      <c r="B6" s="26" t="s">
        <v>75</v>
      </c>
      <c r="C6" s="26" t="s">
        <v>19</v>
      </c>
      <c r="D6" s="26">
        <v>16.0</v>
      </c>
      <c r="E6" s="26">
        <v>5.0</v>
      </c>
      <c r="F6" s="26">
        <v>1.0</v>
      </c>
      <c r="G6" s="26">
        <v>0.0</v>
      </c>
      <c r="H6" s="28">
        <v>5.0</v>
      </c>
    </row>
    <row r="7">
      <c r="A7" s="26" t="s">
        <v>43</v>
      </c>
      <c r="B7" s="26" t="s">
        <v>44</v>
      </c>
      <c r="C7" s="26" t="s">
        <v>23</v>
      </c>
      <c r="D7" s="26">
        <v>20.0</v>
      </c>
      <c r="E7" s="26">
        <v>7.0</v>
      </c>
      <c r="F7" s="26">
        <v>6.0</v>
      </c>
      <c r="G7" s="26">
        <v>1.0</v>
      </c>
      <c r="H7" s="28">
        <v>4.8</v>
      </c>
    </row>
    <row r="8">
      <c r="A8" s="26" t="s">
        <v>56</v>
      </c>
      <c r="B8" s="26" t="s">
        <v>57</v>
      </c>
      <c r="C8" s="26" t="s">
        <v>14</v>
      </c>
      <c r="D8" s="26">
        <v>24.0</v>
      </c>
      <c r="E8" s="26">
        <v>7.0</v>
      </c>
      <c r="F8" s="26">
        <v>7.0</v>
      </c>
      <c r="G8" s="26">
        <v>1.0</v>
      </c>
      <c r="H8" s="28">
        <v>4.0</v>
      </c>
    </row>
    <row r="9">
      <c r="A9" s="26" t="s">
        <v>58</v>
      </c>
      <c r="B9" s="26" t="s">
        <v>59</v>
      </c>
      <c r="C9" s="26" t="s">
        <v>16</v>
      </c>
      <c r="D9" s="26">
        <v>16.0</v>
      </c>
      <c r="E9" s="26">
        <v>5.0</v>
      </c>
      <c r="F9" s="26">
        <v>2.0</v>
      </c>
      <c r="G9" s="26">
        <v>1.0</v>
      </c>
      <c r="H9" s="28">
        <v>4.0</v>
      </c>
    </row>
    <row r="10">
      <c r="A10" s="26" t="s">
        <v>119</v>
      </c>
      <c r="B10" s="26" t="s">
        <v>120</v>
      </c>
      <c r="C10" s="26" t="s">
        <v>14</v>
      </c>
      <c r="D10" s="26">
        <v>9.0</v>
      </c>
      <c r="E10" s="26">
        <v>2.0</v>
      </c>
      <c r="F10" s="26">
        <v>0.0</v>
      </c>
      <c r="G10" s="26">
        <v>0.0</v>
      </c>
      <c r="H10" s="28">
        <v>3.56</v>
      </c>
    </row>
    <row r="11">
      <c r="A11" s="26" t="s">
        <v>136</v>
      </c>
      <c r="B11" s="26" t="s">
        <v>137</v>
      </c>
      <c r="C11" s="26" t="s">
        <v>24</v>
      </c>
      <c r="D11" s="26">
        <v>14.0</v>
      </c>
      <c r="E11" s="26">
        <v>4.0</v>
      </c>
      <c r="F11" s="26">
        <v>3.0</v>
      </c>
      <c r="G11" s="26">
        <v>1.0</v>
      </c>
      <c r="H11" s="28">
        <v>3.43</v>
      </c>
    </row>
    <row r="12">
      <c r="A12" s="26" t="s">
        <v>95</v>
      </c>
      <c r="B12" s="26" t="s">
        <v>96</v>
      </c>
      <c r="C12" s="26" t="s">
        <v>25</v>
      </c>
      <c r="D12" s="26">
        <v>24.0</v>
      </c>
      <c r="E12" s="26">
        <v>5.0</v>
      </c>
      <c r="F12" s="26">
        <v>2.0</v>
      </c>
      <c r="G12" s="26">
        <v>0.0</v>
      </c>
      <c r="H12" s="28">
        <v>3.33</v>
      </c>
    </row>
    <row r="13">
      <c r="A13" s="26" t="s">
        <v>67</v>
      </c>
      <c r="B13" s="26" t="s">
        <v>68</v>
      </c>
      <c r="C13" s="26" t="s">
        <v>29</v>
      </c>
      <c r="D13" s="26">
        <v>20.0</v>
      </c>
      <c r="E13" s="26">
        <v>4.0</v>
      </c>
      <c r="F13" s="26">
        <v>1.0</v>
      </c>
      <c r="G13" s="26">
        <v>0.0</v>
      </c>
      <c r="H13" s="28">
        <v>3.2</v>
      </c>
    </row>
    <row r="14">
      <c r="A14" s="26" t="s">
        <v>70</v>
      </c>
      <c r="B14" s="26" t="s">
        <v>72</v>
      </c>
      <c r="C14" s="26" t="s">
        <v>28</v>
      </c>
      <c r="D14" s="26">
        <v>16.0</v>
      </c>
      <c r="E14" s="26">
        <v>3.0</v>
      </c>
      <c r="F14" s="26">
        <v>3.0</v>
      </c>
      <c r="G14" s="26">
        <v>0.0</v>
      </c>
      <c r="H14" s="28">
        <v>3.0</v>
      </c>
    </row>
    <row r="15">
      <c r="A15" s="26" t="s">
        <v>88</v>
      </c>
      <c r="B15" s="26" t="s">
        <v>89</v>
      </c>
      <c r="C15" s="26" t="s">
        <v>31</v>
      </c>
      <c r="D15" s="26">
        <v>16.0</v>
      </c>
      <c r="E15" s="26">
        <v>3.0</v>
      </c>
      <c r="F15" s="26">
        <v>2.0</v>
      </c>
      <c r="G15" s="26">
        <v>0.0</v>
      </c>
      <c r="H15" s="28">
        <v>3.0</v>
      </c>
    </row>
    <row r="16">
      <c r="A16" s="26" t="s">
        <v>108</v>
      </c>
      <c r="B16" s="26" t="s">
        <v>109</v>
      </c>
      <c r="C16" s="26" t="s">
        <v>20</v>
      </c>
      <c r="D16" s="26">
        <v>24.0</v>
      </c>
      <c r="E16" s="26">
        <v>4.0</v>
      </c>
      <c r="F16" s="26">
        <v>0.0</v>
      </c>
      <c r="G16" s="26">
        <v>0.0</v>
      </c>
      <c r="H16" s="28">
        <v>2.67</v>
      </c>
    </row>
    <row r="17">
      <c r="A17" s="26" t="s">
        <v>82</v>
      </c>
      <c r="B17" s="26" t="s">
        <v>83</v>
      </c>
      <c r="C17" s="26" t="s">
        <v>19</v>
      </c>
      <c r="D17" s="26">
        <v>12.0</v>
      </c>
      <c r="E17" s="26">
        <v>2.0</v>
      </c>
      <c r="F17" s="26">
        <v>1.0</v>
      </c>
      <c r="G17" s="26">
        <v>0.0</v>
      </c>
      <c r="H17" s="28">
        <v>2.67</v>
      </c>
    </row>
    <row r="18">
      <c r="A18" s="26" t="s">
        <v>37</v>
      </c>
      <c r="B18" s="26" t="s">
        <v>38</v>
      </c>
      <c r="C18" s="26" t="s">
        <v>18</v>
      </c>
      <c r="D18" s="26">
        <v>20.0</v>
      </c>
      <c r="E18" s="26">
        <v>4.0</v>
      </c>
      <c r="F18" s="26">
        <v>8.0</v>
      </c>
      <c r="G18" s="26">
        <v>1.0</v>
      </c>
      <c r="H18" s="28">
        <v>2.4</v>
      </c>
    </row>
    <row r="19">
      <c r="A19" s="26" t="s">
        <v>140</v>
      </c>
      <c r="B19" s="26" t="s">
        <v>141</v>
      </c>
      <c r="C19" s="26" t="s">
        <v>29</v>
      </c>
      <c r="D19" s="26">
        <v>16.0</v>
      </c>
      <c r="E19" s="26">
        <v>2.0</v>
      </c>
      <c r="F19" s="26">
        <v>2.0</v>
      </c>
      <c r="G19" s="26">
        <v>0.0</v>
      </c>
      <c r="H19" s="28">
        <v>2.0</v>
      </c>
    </row>
    <row r="20">
      <c r="A20" s="26" t="s">
        <v>154</v>
      </c>
      <c r="B20" s="26" t="s">
        <v>156</v>
      </c>
      <c r="C20" s="26" t="s">
        <v>29</v>
      </c>
      <c r="D20" s="26">
        <v>16.0</v>
      </c>
      <c r="E20" s="26">
        <v>2.0</v>
      </c>
      <c r="F20" s="26">
        <v>1.0</v>
      </c>
      <c r="G20" s="26">
        <v>0.0</v>
      </c>
      <c r="H20" s="28">
        <v>2.0</v>
      </c>
    </row>
    <row r="21">
      <c r="A21" s="26" t="s">
        <v>97</v>
      </c>
      <c r="B21" s="26" t="s">
        <v>98</v>
      </c>
      <c r="C21" s="26" t="s">
        <v>28</v>
      </c>
      <c r="D21" s="26">
        <v>8.0</v>
      </c>
      <c r="E21" s="26">
        <v>1.0</v>
      </c>
      <c r="F21" s="26">
        <v>0.0</v>
      </c>
      <c r="G21" s="26">
        <v>0.0</v>
      </c>
      <c r="H21" s="28">
        <v>2.0</v>
      </c>
    </row>
    <row r="22">
      <c r="A22" s="26" t="s">
        <v>63</v>
      </c>
      <c r="B22" s="26" t="s">
        <v>64</v>
      </c>
      <c r="C22" s="26" t="s">
        <v>15</v>
      </c>
      <c r="D22" s="26">
        <v>20.0</v>
      </c>
      <c r="E22" s="26">
        <v>2.0</v>
      </c>
      <c r="F22" s="26">
        <v>1.0</v>
      </c>
      <c r="G22" s="26">
        <v>0.0</v>
      </c>
      <c r="H22" s="28">
        <v>1.6</v>
      </c>
    </row>
    <row r="23">
      <c r="A23" s="26" t="s">
        <v>79</v>
      </c>
      <c r="B23" s="26" t="s">
        <v>80</v>
      </c>
      <c r="C23" s="26" t="s">
        <v>22</v>
      </c>
      <c r="D23" s="26">
        <v>22.0</v>
      </c>
      <c r="E23" s="26">
        <v>3.0</v>
      </c>
      <c r="F23" s="26">
        <v>7.0</v>
      </c>
      <c r="G23" s="26">
        <v>1.0</v>
      </c>
      <c r="H23" s="28">
        <v>1.45</v>
      </c>
    </row>
    <row r="24">
      <c r="A24" s="26" t="s">
        <v>124</v>
      </c>
      <c r="B24" s="26" t="s">
        <v>125</v>
      </c>
      <c r="C24" s="26" t="s">
        <v>25</v>
      </c>
      <c r="D24" s="26">
        <v>22.0</v>
      </c>
      <c r="E24" s="26">
        <v>2.0</v>
      </c>
      <c r="F24" s="26">
        <v>0.0</v>
      </c>
      <c r="G24" s="26">
        <v>0.0</v>
      </c>
      <c r="H24" s="28">
        <v>1.45</v>
      </c>
    </row>
    <row r="25">
      <c r="A25" s="26" t="s">
        <v>45</v>
      </c>
      <c r="B25" s="26" t="s">
        <v>46</v>
      </c>
      <c r="C25" s="26" t="s">
        <v>20</v>
      </c>
      <c r="D25" s="26">
        <v>24.0</v>
      </c>
      <c r="E25" s="26">
        <v>2.0</v>
      </c>
      <c r="F25" s="26">
        <v>10.0</v>
      </c>
      <c r="G25" s="26">
        <v>0.0</v>
      </c>
      <c r="H25" s="28">
        <v>1.33</v>
      </c>
    </row>
    <row r="26">
      <c r="A26" s="26" t="s">
        <v>13</v>
      </c>
      <c r="B26" s="26" t="s">
        <v>92</v>
      </c>
      <c r="C26" s="26" t="s">
        <v>25</v>
      </c>
      <c r="D26" s="26">
        <v>24.0</v>
      </c>
      <c r="E26" s="26">
        <v>4.0</v>
      </c>
      <c r="F26" s="26">
        <v>3.0</v>
      </c>
      <c r="G26" s="26">
        <v>2.0</v>
      </c>
      <c r="H26" s="28">
        <v>1.33</v>
      </c>
    </row>
    <row r="27">
      <c r="A27" s="26" t="s">
        <v>76</v>
      </c>
      <c r="B27" s="26" t="s">
        <v>77</v>
      </c>
      <c r="C27" s="26" t="s">
        <v>26</v>
      </c>
      <c r="D27" s="26">
        <v>12.0</v>
      </c>
      <c r="E27" s="26">
        <v>1.0</v>
      </c>
      <c r="F27" s="26">
        <v>2.0</v>
      </c>
      <c r="G27" s="26">
        <v>0.0</v>
      </c>
      <c r="H27" s="28">
        <v>1.33</v>
      </c>
    </row>
    <row r="28">
      <c r="A28" s="26" t="s">
        <v>160</v>
      </c>
      <c r="B28" s="26" t="s">
        <v>161</v>
      </c>
      <c r="C28" s="26" t="s">
        <v>30</v>
      </c>
      <c r="D28" s="26">
        <v>12.0</v>
      </c>
      <c r="E28" s="26">
        <v>1.0</v>
      </c>
      <c r="F28" s="26">
        <v>1.0</v>
      </c>
      <c r="G28" s="26">
        <v>0.0</v>
      </c>
      <c r="H28" s="28">
        <v>1.33</v>
      </c>
    </row>
    <row r="29">
      <c r="A29" s="26" t="s">
        <v>84</v>
      </c>
      <c r="B29" s="26" t="s">
        <v>85</v>
      </c>
      <c r="C29" s="26" t="s">
        <v>31</v>
      </c>
      <c r="D29" s="26">
        <v>12.0</v>
      </c>
      <c r="E29" s="26">
        <v>1.0</v>
      </c>
      <c r="F29" s="26">
        <v>0.0</v>
      </c>
      <c r="G29" s="26">
        <v>0.0</v>
      </c>
      <c r="H29" s="28">
        <v>1.33</v>
      </c>
    </row>
    <row r="30">
      <c r="A30" s="26" t="s">
        <v>65</v>
      </c>
      <c r="B30" s="26" t="s">
        <v>66</v>
      </c>
      <c r="C30" s="26" t="s">
        <v>19</v>
      </c>
      <c r="D30" s="26">
        <v>16.0</v>
      </c>
      <c r="E30" s="26">
        <v>2.0</v>
      </c>
      <c r="F30" s="26">
        <v>0.0</v>
      </c>
      <c r="G30" s="26">
        <v>1.0</v>
      </c>
      <c r="H30" s="28">
        <v>1.0</v>
      </c>
    </row>
    <row r="31">
      <c r="A31" s="26" t="s">
        <v>13</v>
      </c>
      <c r="B31" s="26" t="s">
        <v>121</v>
      </c>
      <c r="C31" s="26" t="s">
        <v>24</v>
      </c>
      <c r="D31" s="26">
        <v>17.0</v>
      </c>
      <c r="E31" s="26">
        <v>1.0</v>
      </c>
      <c r="F31" s="26">
        <v>0.0</v>
      </c>
      <c r="G31" s="26">
        <v>0.0</v>
      </c>
      <c r="H31" s="28">
        <v>0.94</v>
      </c>
    </row>
    <row r="32">
      <c r="A32" s="26" t="s">
        <v>53</v>
      </c>
      <c r="B32" s="26" t="s">
        <v>55</v>
      </c>
      <c r="C32" s="26" t="s">
        <v>24</v>
      </c>
      <c r="D32" s="26">
        <v>18.0</v>
      </c>
      <c r="E32" s="26">
        <v>1.0</v>
      </c>
      <c r="F32" s="26">
        <v>1.0</v>
      </c>
      <c r="G32" s="26">
        <v>0.0</v>
      </c>
      <c r="H32" s="28">
        <v>0.89</v>
      </c>
    </row>
    <row r="33">
      <c r="A33" s="26" t="s">
        <v>99</v>
      </c>
      <c r="B33" s="26" t="s">
        <v>101</v>
      </c>
      <c r="C33" s="26" t="s">
        <v>22</v>
      </c>
      <c r="D33" s="26">
        <v>19.0</v>
      </c>
      <c r="E33" s="26">
        <v>1.0</v>
      </c>
      <c r="F33" s="26">
        <v>2.0</v>
      </c>
      <c r="G33" s="26">
        <v>0.0</v>
      </c>
      <c r="H33" s="28">
        <v>0.84</v>
      </c>
    </row>
    <row r="34">
      <c r="A34" s="26" t="s">
        <v>86</v>
      </c>
      <c r="B34" s="26" t="s">
        <v>87</v>
      </c>
      <c r="C34" s="26" t="s">
        <v>16</v>
      </c>
      <c r="D34" s="26">
        <v>20.0</v>
      </c>
      <c r="E34" s="26">
        <v>1.0</v>
      </c>
      <c r="F34" s="26">
        <v>1.0</v>
      </c>
      <c r="G34" s="26">
        <v>0.0</v>
      </c>
      <c r="H34" s="28">
        <v>0.8</v>
      </c>
    </row>
    <row r="35">
      <c r="A35" s="26" t="s">
        <v>104</v>
      </c>
      <c r="B35" s="26" t="s">
        <v>105</v>
      </c>
      <c r="C35" s="26" t="s">
        <v>27</v>
      </c>
      <c r="D35" s="26">
        <v>22.0</v>
      </c>
      <c r="E35" s="26">
        <v>1.0</v>
      </c>
      <c r="F35" s="26">
        <v>0.0</v>
      </c>
      <c r="G35" s="26">
        <v>0.0</v>
      </c>
      <c r="H35" s="28">
        <v>0.73</v>
      </c>
    </row>
    <row r="36">
      <c r="A36" s="26" t="s">
        <v>13</v>
      </c>
      <c r="B36" s="26" t="s">
        <v>60</v>
      </c>
      <c r="C36" s="26" t="s">
        <v>22</v>
      </c>
      <c r="D36" s="26">
        <v>24.0</v>
      </c>
      <c r="E36" s="26">
        <v>1.0</v>
      </c>
      <c r="F36" s="26">
        <v>0.0</v>
      </c>
      <c r="G36" s="26">
        <v>0.0</v>
      </c>
      <c r="H36" s="28">
        <v>0.67</v>
      </c>
    </row>
    <row r="37">
      <c r="A37" s="26" t="s">
        <v>127</v>
      </c>
      <c r="B37" s="26" t="s">
        <v>129</v>
      </c>
      <c r="C37" s="26" t="s">
        <v>15</v>
      </c>
      <c r="D37" s="26">
        <v>24.0</v>
      </c>
      <c r="E37" s="26">
        <v>0.0</v>
      </c>
      <c r="F37" s="26">
        <v>0.0</v>
      </c>
      <c r="G37" s="26">
        <v>0.0</v>
      </c>
      <c r="H37" s="28">
        <v>0.0</v>
      </c>
    </row>
    <row r="38">
      <c r="A38" s="26" t="s">
        <v>41</v>
      </c>
      <c r="B38" s="26" t="s">
        <v>42</v>
      </c>
      <c r="C38" s="26" t="s">
        <v>14</v>
      </c>
      <c r="D38" s="26">
        <v>24.0</v>
      </c>
      <c r="E38" s="26">
        <v>0.0</v>
      </c>
      <c r="F38" s="26">
        <v>0.0</v>
      </c>
      <c r="G38" s="26">
        <v>0.0</v>
      </c>
      <c r="H38" s="28">
        <v>0.0</v>
      </c>
    </row>
    <row r="39">
      <c r="A39" s="26" t="s">
        <v>132</v>
      </c>
      <c r="B39" s="26" t="s">
        <v>133</v>
      </c>
      <c r="C39" s="26" t="s">
        <v>14</v>
      </c>
      <c r="D39" s="26">
        <v>24.0</v>
      </c>
      <c r="E39" s="26">
        <v>1.0</v>
      </c>
      <c r="F39" s="26">
        <v>0.0</v>
      </c>
      <c r="G39" s="26">
        <v>1.0</v>
      </c>
      <c r="H39" s="28">
        <v>0.0</v>
      </c>
    </row>
    <row r="40">
      <c r="A40" s="26" t="s">
        <v>134</v>
      </c>
      <c r="B40" s="26" t="s">
        <v>135</v>
      </c>
      <c r="C40" s="26" t="s">
        <v>22</v>
      </c>
      <c r="D40" s="26">
        <v>22.0</v>
      </c>
      <c r="E40" s="26">
        <v>0.0</v>
      </c>
      <c r="F40" s="26">
        <v>3.0</v>
      </c>
      <c r="G40" s="26">
        <v>0.0</v>
      </c>
      <c r="H40" s="28">
        <v>0.0</v>
      </c>
    </row>
    <row r="41">
      <c r="A41" s="26" t="s">
        <v>138</v>
      </c>
      <c r="B41" s="26" t="s">
        <v>139</v>
      </c>
      <c r="C41" s="26" t="s">
        <v>27</v>
      </c>
      <c r="D41" s="26">
        <v>22.0</v>
      </c>
      <c r="E41" s="26">
        <v>0.0</v>
      </c>
      <c r="F41" s="26">
        <v>0.0</v>
      </c>
      <c r="G41" s="26">
        <v>0.0</v>
      </c>
      <c r="H41" s="28">
        <v>0.0</v>
      </c>
    </row>
    <row r="42">
      <c r="A42" s="26" t="s">
        <v>81</v>
      </c>
      <c r="B42" s="26" t="s">
        <v>47</v>
      </c>
      <c r="C42" s="26" t="s">
        <v>29</v>
      </c>
      <c r="D42" s="26">
        <v>20.0</v>
      </c>
      <c r="E42" s="26">
        <v>0.0</v>
      </c>
      <c r="F42" s="26">
        <v>0.0</v>
      </c>
      <c r="G42" s="26">
        <v>0.0</v>
      </c>
      <c r="H42" s="28">
        <v>0.0</v>
      </c>
    </row>
    <row r="43">
      <c r="A43" s="26" t="s">
        <v>143</v>
      </c>
      <c r="B43" s="26" t="s">
        <v>145</v>
      </c>
      <c r="C43" s="26" t="s">
        <v>21</v>
      </c>
      <c r="D43" s="26">
        <v>20.0</v>
      </c>
      <c r="E43" s="26">
        <v>0.0</v>
      </c>
      <c r="F43" s="26">
        <v>0.0</v>
      </c>
      <c r="G43" s="26">
        <v>0.0</v>
      </c>
      <c r="H43" s="28">
        <v>0.0</v>
      </c>
    </row>
    <row r="44">
      <c r="A44" s="26" t="s">
        <v>49</v>
      </c>
      <c r="B44" s="26" t="s">
        <v>51</v>
      </c>
      <c r="C44" s="26" t="s">
        <v>23</v>
      </c>
      <c r="D44" s="26">
        <v>20.0</v>
      </c>
      <c r="E44" s="26">
        <v>0.0</v>
      </c>
      <c r="F44" s="26">
        <v>0.0</v>
      </c>
      <c r="G44" s="26">
        <v>0.0</v>
      </c>
      <c r="H44" s="28">
        <v>0.0</v>
      </c>
    </row>
    <row r="45">
      <c r="A45" s="26" t="s">
        <v>102</v>
      </c>
      <c r="B45" s="26" t="s">
        <v>103</v>
      </c>
      <c r="C45" s="26" t="s">
        <v>23</v>
      </c>
      <c r="D45" s="26">
        <v>20.0</v>
      </c>
      <c r="E45" s="26">
        <v>0.0</v>
      </c>
      <c r="F45" s="26">
        <v>0.0</v>
      </c>
      <c r="G45" s="26">
        <v>0.0</v>
      </c>
      <c r="H45" s="28">
        <v>0.0</v>
      </c>
    </row>
    <row r="46">
      <c r="A46" s="26" t="s">
        <v>126</v>
      </c>
      <c r="B46" s="26" t="s">
        <v>128</v>
      </c>
      <c r="C46" s="26" t="s">
        <v>20</v>
      </c>
      <c r="D46" s="26">
        <v>20.0</v>
      </c>
      <c r="E46" s="26">
        <v>0.0</v>
      </c>
      <c r="F46" s="26">
        <v>0.0</v>
      </c>
      <c r="G46" s="26">
        <v>0.0</v>
      </c>
      <c r="H46" s="28">
        <v>0.0</v>
      </c>
    </row>
    <row r="47">
      <c r="A47" s="26" t="s">
        <v>117</v>
      </c>
      <c r="B47" s="26" t="s">
        <v>118</v>
      </c>
      <c r="C47" s="26" t="s">
        <v>18</v>
      </c>
      <c r="D47" s="26">
        <v>20.0</v>
      </c>
      <c r="E47" s="26">
        <v>0.0</v>
      </c>
      <c r="F47" s="26">
        <v>1.0</v>
      </c>
      <c r="G47" s="26">
        <v>0.0</v>
      </c>
      <c r="H47" s="28">
        <v>0.0</v>
      </c>
    </row>
    <row r="48">
      <c r="A48" s="26" t="s">
        <v>122</v>
      </c>
      <c r="B48" s="26" t="s">
        <v>123</v>
      </c>
      <c r="C48" s="26" t="s">
        <v>27</v>
      </c>
      <c r="D48" s="26">
        <v>20.0</v>
      </c>
      <c r="E48" s="26">
        <v>0.0</v>
      </c>
      <c r="F48" s="26">
        <v>0.0</v>
      </c>
      <c r="G48" s="26">
        <v>0.0</v>
      </c>
      <c r="H48" s="28">
        <v>0.0</v>
      </c>
    </row>
    <row r="49">
      <c r="A49" s="26" t="s">
        <v>152</v>
      </c>
      <c r="B49" s="26" t="s">
        <v>153</v>
      </c>
      <c r="C49" s="26" t="s">
        <v>21</v>
      </c>
      <c r="D49" s="26">
        <v>18.0</v>
      </c>
      <c r="E49" s="26">
        <v>0.0</v>
      </c>
      <c r="F49" s="26">
        <v>0.0</v>
      </c>
      <c r="G49" s="26">
        <v>0.0</v>
      </c>
      <c r="H49" s="28">
        <v>0.0</v>
      </c>
    </row>
    <row r="50">
      <c r="A50" s="26" t="s">
        <v>113</v>
      </c>
      <c r="B50" s="26" t="s">
        <v>114</v>
      </c>
      <c r="C50" s="26" t="s">
        <v>15</v>
      </c>
      <c r="D50" s="26">
        <v>16.0</v>
      </c>
      <c r="E50" s="26">
        <v>0.0</v>
      </c>
      <c r="F50" s="26">
        <v>0.0</v>
      </c>
      <c r="G50" s="26">
        <v>0.0</v>
      </c>
      <c r="H50" s="28">
        <v>0.0</v>
      </c>
    </row>
    <row r="51">
      <c r="A51" s="26" t="s">
        <v>158</v>
      </c>
      <c r="B51" s="26" t="s">
        <v>159</v>
      </c>
      <c r="C51" s="26" t="s">
        <v>17</v>
      </c>
      <c r="D51" s="26">
        <v>16.0</v>
      </c>
      <c r="E51" s="26">
        <v>0.0</v>
      </c>
      <c r="F51" s="26">
        <v>0.0</v>
      </c>
      <c r="G51" s="26">
        <v>0.0</v>
      </c>
      <c r="H51" s="28">
        <v>0.0</v>
      </c>
    </row>
    <row r="52">
      <c r="A52" s="26" t="s">
        <v>142</v>
      </c>
      <c r="B52" s="26" t="s">
        <v>144</v>
      </c>
      <c r="C52" s="26" t="s">
        <v>23</v>
      </c>
      <c r="D52" s="26">
        <v>16.0</v>
      </c>
      <c r="E52" s="26">
        <v>0.0</v>
      </c>
      <c r="F52" s="26">
        <v>1.0</v>
      </c>
      <c r="G52" s="26">
        <v>0.0</v>
      </c>
      <c r="H52" s="28">
        <v>0.0</v>
      </c>
    </row>
    <row r="53">
      <c r="A53" s="26" t="s">
        <v>115</v>
      </c>
      <c r="B53" s="26" t="s">
        <v>116</v>
      </c>
      <c r="C53" s="26" t="s">
        <v>20</v>
      </c>
      <c r="D53" s="26">
        <v>16.0</v>
      </c>
      <c r="E53" s="26">
        <v>0.0</v>
      </c>
      <c r="F53" s="26">
        <v>0.0</v>
      </c>
      <c r="G53" s="26">
        <v>0.0</v>
      </c>
      <c r="H53" s="28">
        <v>0.0</v>
      </c>
    </row>
    <row r="54">
      <c r="A54" s="26" t="s">
        <v>162</v>
      </c>
      <c r="B54" s="26" t="s">
        <v>163</v>
      </c>
      <c r="C54" s="26" t="s">
        <v>16</v>
      </c>
      <c r="D54" s="26">
        <v>16.0</v>
      </c>
      <c r="E54" s="26">
        <v>0.0</v>
      </c>
      <c r="F54" s="26">
        <v>0.0</v>
      </c>
      <c r="G54" s="26">
        <v>0.0</v>
      </c>
      <c r="H54" s="28">
        <v>0.0</v>
      </c>
    </row>
    <row r="55">
      <c r="A55" s="26" t="s">
        <v>164</v>
      </c>
      <c r="B55" s="26" t="s">
        <v>165</v>
      </c>
      <c r="C55" s="26" t="s">
        <v>16</v>
      </c>
      <c r="D55" s="26">
        <v>16.0</v>
      </c>
      <c r="E55" s="26">
        <v>0.0</v>
      </c>
      <c r="F55" s="26">
        <v>0.0</v>
      </c>
      <c r="G55" s="26">
        <v>0.0</v>
      </c>
      <c r="H55" s="28">
        <v>0.0</v>
      </c>
    </row>
    <row r="56">
      <c r="A56" s="26" t="s">
        <v>155</v>
      </c>
      <c r="B56" s="26" t="s">
        <v>157</v>
      </c>
      <c r="C56" s="26" t="s">
        <v>24</v>
      </c>
      <c r="D56" s="26">
        <v>16.0</v>
      </c>
      <c r="E56" s="26">
        <v>0.0</v>
      </c>
      <c r="F56" s="26">
        <v>0.0</v>
      </c>
      <c r="G56" s="26">
        <v>0.0</v>
      </c>
      <c r="H56" s="28">
        <v>0.0</v>
      </c>
    </row>
    <row r="57">
      <c r="A57" s="26" t="s">
        <v>167</v>
      </c>
      <c r="B57" s="26" t="s">
        <v>168</v>
      </c>
      <c r="C57" s="26" t="s">
        <v>31</v>
      </c>
      <c r="D57" s="26">
        <v>16.0</v>
      </c>
      <c r="E57" s="26">
        <v>0.0</v>
      </c>
      <c r="F57" s="26">
        <v>0.0</v>
      </c>
      <c r="G57" s="26">
        <v>0.0</v>
      </c>
      <c r="H57" s="28">
        <v>0.0</v>
      </c>
    </row>
    <row r="58">
      <c r="A58" s="26" t="s">
        <v>174</v>
      </c>
      <c r="B58" s="26" t="s">
        <v>175</v>
      </c>
      <c r="C58" s="26" t="s">
        <v>22</v>
      </c>
      <c r="D58" s="26">
        <v>15.0</v>
      </c>
      <c r="E58" s="26">
        <v>0.0</v>
      </c>
      <c r="F58" s="26">
        <v>0.0</v>
      </c>
      <c r="G58" s="26">
        <v>0.0</v>
      </c>
      <c r="H58" s="28">
        <v>0.0</v>
      </c>
    </row>
    <row r="59">
      <c r="A59" s="26" t="s">
        <v>90</v>
      </c>
      <c r="B59" s="26" t="s">
        <v>91</v>
      </c>
      <c r="C59" s="26" t="s">
        <v>25</v>
      </c>
      <c r="D59" s="26">
        <v>14.0</v>
      </c>
      <c r="E59" s="26">
        <v>0.0</v>
      </c>
      <c r="F59" s="26">
        <v>0.0</v>
      </c>
      <c r="G59" s="26">
        <v>0.0</v>
      </c>
      <c r="H59" s="28">
        <v>0.0</v>
      </c>
    </row>
    <row r="60">
      <c r="A60" s="26" t="s">
        <v>52</v>
      </c>
      <c r="B60" s="26" t="s">
        <v>54</v>
      </c>
      <c r="C60" s="26" t="s">
        <v>24</v>
      </c>
      <c r="D60" s="26">
        <v>14.0</v>
      </c>
      <c r="E60" s="26">
        <v>0.0</v>
      </c>
      <c r="F60" s="26">
        <v>0.0</v>
      </c>
      <c r="G60" s="26">
        <v>0.0</v>
      </c>
      <c r="H60" s="28">
        <v>0.0</v>
      </c>
    </row>
    <row r="61">
      <c r="A61" s="26" t="s">
        <v>106</v>
      </c>
      <c r="B61" s="26" t="s">
        <v>107</v>
      </c>
      <c r="C61" s="26" t="s">
        <v>19</v>
      </c>
      <c r="D61" s="26">
        <v>14.0</v>
      </c>
      <c r="E61" s="26">
        <v>0.0</v>
      </c>
      <c r="F61" s="26">
        <v>0.0</v>
      </c>
      <c r="G61" s="26">
        <v>0.0</v>
      </c>
      <c r="H61" s="28">
        <v>0.0</v>
      </c>
    </row>
    <row r="62">
      <c r="A62" s="26" t="s">
        <v>169</v>
      </c>
      <c r="B62" s="26" t="s">
        <v>170</v>
      </c>
      <c r="C62" s="26" t="s">
        <v>15</v>
      </c>
      <c r="D62" s="26">
        <v>12.0</v>
      </c>
      <c r="E62" s="26">
        <v>0.0</v>
      </c>
      <c r="F62" s="26">
        <v>0.0</v>
      </c>
      <c r="G62" s="26">
        <v>0.0</v>
      </c>
      <c r="H62" s="28">
        <v>0.0</v>
      </c>
    </row>
    <row r="63">
      <c r="A63" s="26" t="s">
        <v>82</v>
      </c>
      <c r="B63" s="26" t="s">
        <v>110</v>
      </c>
      <c r="C63" s="26" t="s">
        <v>5</v>
      </c>
      <c r="D63" s="26">
        <v>12.0</v>
      </c>
      <c r="E63" s="26">
        <v>0.0</v>
      </c>
      <c r="F63" s="26">
        <v>1.0</v>
      </c>
      <c r="G63" s="26">
        <v>0.0</v>
      </c>
      <c r="H63" s="28">
        <v>0.0</v>
      </c>
    </row>
    <row r="64">
      <c r="A64" s="26" t="s">
        <v>146</v>
      </c>
      <c r="B64" s="26" t="s">
        <v>147</v>
      </c>
      <c r="C64" s="26" t="s">
        <v>5</v>
      </c>
      <c r="D64" s="26">
        <v>12.0</v>
      </c>
      <c r="E64" s="26">
        <v>0.0</v>
      </c>
      <c r="F64" s="26">
        <v>0.0</v>
      </c>
      <c r="G64" s="26">
        <v>0.0</v>
      </c>
      <c r="H64" s="28">
        <v>0.0</v>
      </c>
    </row>
    <row r="65">
      <c r="A65" s="26" t="s">
        <v>130</v>
      </c>
      <c r="B65" s="26" t="s">
        <v>131</v>
      </c>
      <c r="C65" s="26" t="s">
        <v>30</v>
      </c>
      <c r="D65" s="26">
        <v>12.0</v>
      </c>
      <c r="E65" s="26">
        <v>0.0</v>
      </c>
      <c r="F65" s="26">
        <v>2.0</v>
      </c>
      <c r="G65" s="26">
        <v>0.0</v>
      </c>
      <c r="H65" s="28">
        <v>0.0</v>
      </c>
    </row>
    <row r="66">
      <c r="A66" s="26" t="s">
        <v>148</v>
      </c>
      <c r="B66" s="26" t="s">
        <v>149</v>
      </c>
      <c r="C66" s="26" t="s">
        <v>30</v>
      </c>
      <c r="D66" s="26">
        <v>12.0</v>
      </c>
      <c r="E66" s="26">
        <v>0.0</v>
      </c>
      <c r="F66" s="26">
        <v>0.0</v>
      </c>
      <c r="G66" s="26">
        <v>0.0</v>
      </c>
      <c r="H66" s="28">
        <v>0.0</v>
      </c>
    </row>
    <row r="67">
      <c r="A67" s="26" t="s">
        <v>176</v>
      </c>
      <c r="B67" s="26" t="s">
        <v>177</v>
      </c>
      <c r="C67" s="26" t="s">
        <v>28</v>
      </c>
      <c r="D67" s="26">
        <v>12.0</v>
      </c>
      <c r="E67" s="26">
        <v>0.0</v>
      </c>
      <c r="F67" s="26">
        <v>0.0</v>
      </c>
      <c r="G67" s="26">
        <v>0.0</v>
      </c>
      <c r="H67" s="28">
        <v>0.0</v>
      </c>
    </row>
    <row r="68">
      <c r="A68" s="26" t="s">
        <v>111</v>
      </c>
      <c r="B68" s="26" t="s">
        <v>112</v>
      </c>
      <c r="C68" s="26" t="s">
        <v>28</v>
      </c>
      <c r="D68" s="26">
        <v>12.0</v>
      </c>
      <c r="E68" s="26">
        <v>0.0</v>
      </c>
      <c r="F68" s="26">
        <v>0.0</v>
      </c>
      <c r="G68" s="26">
        <v>0.0</v>
      </c>
      <c r="H68" s="28">
        <v>0.0</v>
      </c>
    </row>
    <row r="69">
      <c r="A69" s="26" t="s">
        <v>78</v>
      </c>
      <c r="B69" s="26" t="s">
        <v>178</v>
      </c>
      <c r="C69" s="26" t="s">
        <v>18</v>
      </c>
      <c r="D69" s="26">
        <v>12.0</v>
      </c>
      <c r="E69" s="26">
        <v>0.0</v>
      </c>
      <c r="F69" s="26">
        <v>0.0</v>
      </c>
      <c r="G69" s="26">
        <v>0.0</v>
      </c>
      <c r="H69" s="28">
        <v>0.0</v>
      </c>
    </row>
    <row r="70">
      <c r="A70" s="26" t="s">
        <v>179</v>
      </c>
      <c r="B70" s="26" t="s">
        <v>180</v>
      </c>
      <c r="C70" s="26" t="s">
        <v>25</v>
      </c>
      <c r="D70" s="26">
        <v>12.0</v>
      </c>
      <c r="E70" s="26">
        <v>0.0</v>
      </c>
      <c r="F70" s="26">
        <v>0.0</v>
      </c>
      <c r="G70" s="26">
        <v>0.0</v>
      </c>
      <c r="H70" s="28">
        <v>0.0</v>
      </c>
    </row>
    <row r="71">
      <c r="A71" s="26" t="s">
        <v>61</v>
      </c>
      <c r="B71" s="26" t="s">
        <v>62</v>
      </c>
      <c r="C71" s="26" t="s">
        <v>19</v>
      </c>
      <c r="D71" s="26">
        <v>12.0</v>
      </c>
      <c r="E71" s="26">
        <v>0.0</v>
      </c>
      <c r="F71" s="26">
        <v>0.0</v>
      </c>
      <c r="G71" s="26">
        <v>0.0</v>
      </c>
      <c r="H71" s="28">
        <v>0.0</v>
      </c>
    </row>
    <row r="72">
      <c r="A72" s="26" t="s">
        <v>181</v>
      </c>
      <c r="B72" s="26" t="s">
        <v>182</v>
      </c>
      <c r="C72" s="26" t="s">
        <v>26</v>
      </c>
      <c r="D72" s="26">
        <v>8.0</v>
      </c>
      <c r="E72" s="26">
        <v>0.0</v>
      </c>
      <c r="F72" s="26">
        <v>0.0</v>
      </c>
      <c r="G72" s="26">
        <v>0.0</v>
      </c>
      <c r="H72" s="28">
        <v>0.0</v>
      </c>
    </row>
    <row r="73">
      <c r="A73" s="26" t="s">
        <v>150</v>
      </c>
      <c r="B73" s="26" t="s">
        <v>151</v>
      </c>
      <c r="C73" s="26" t="s">
        <v>23</v>
      </c>
      <c r="D73" s="26">
        <v>8.0</v>
      </c>
      <c r="E73" s="26">
        <v>0.0</v>
      </c>
      <c r="F73" s="26">
        <v>1.0</v>
      </c>
      <c r="G73" s="26">
        <v>0.0</v>
      </c>
      <c r="H73" s="28">
        <v>0.0</v>
      </c>
    </row>
    <row r="74">
      <c r="A74" s="26" t="s">
        <v>183</v>
      </c>
      <c r="B74" s="26" t="s">
        <v>184</v>
      </c>
      <c r="C74" s="26" t="s">
        <v>20</v>
      </c>
      <c r="D74" s="26">
        <v>8.0</v>
      </c>
      <c r="E74" s="26">
        <v>0.0</v>
      </c>
      <c r="F74" s="26">
        <v>0.0</v>
      </c>
      <c r="G74" s="26">
        <v>0.0</v>
      </c>
      <c r="H74" s="28">
        <v>0.0</v>
      </c>
    </row>
    <row r="75">
      <c r="A75" s="26" t="s">
        <v>78</v>
      </c>
      <c r="B75" s="26" t="s">
        <v>166</v>
      </c>
      <c r="C75" s="26" t="s">
        <v>5</v>
      </c>
      <c r="D75" s="26">
        <v>8.0</v>
      </c>
      <c r="E75" s="26">
        <v>0.0</v>
      </c>
      <c r="F75" s="26">
        <v>0.0</v>
      </c>
      <c r="G75" s="26">
        <v>0.0</v>
      </c>
      <c r="H75" s="28">
        <v>0.0</v>
      </c>
    </row>
    <row r="76">
      <c r="A76" s="26" t="s">
        <v>171</v>
      </c>
      <c r="B76" s="26" t="s">
        <v>172</v>
      </c>
      <c r="C76" s="26" t="s">
        <v>16</v>
      </c>
      <c r="D76" s="26">
        <v>8.0</v>
      </c>
      <c r="E76" s="26">
        <v>0.0</v>
      </c>
      <c r="F76" s="26">
        <v>0.0</v>
      </c>
      <c r="G76" s="26">
        <v>0.0</v>
      </c>
      <c r="H76" s="28">
        <v>0.0</v>
      </c>
    </row>
    <row r="77">
      <c r="A77" s="26" t="s">
        <v>45</v>
      </c>
      <c r="B77" s="26" t="s">
        <v>173</v>
      </c>
      <c r="C77" s="26" t="s">
        <v>18</v>
      </c>
      <c r="D77" s="26">
        <v>8.0</v>
      </c>
      <c r="E77" s="26">
        <v>0.0</v>
      </c>
      <c r="F77" s="26">
        <v>0.0</v>
      </c>
      <c r="G77" s="26">
        <v>0.0</v>
      </c>
      <c r="H77" s="28">
        <v>0.0</v>
      </c>
    </row>
    <row r="78">
      <c r="A78" s="26" t="s">
        <v>100</v>
      </c>
      <c r="B78" s="26" t="s">
        <v>100</v>
      </c>
      <c r="C78" s="26" t="s">
        <v>31</v>
      </c>
      <c r="D78" s="26">
        <v>8.0</v>
      </c>
      <c r="E78" s="26">
        <v>0.0</v>
      </c>
      <c r="F78" s="26">
        <v>0.0</v>
      </c>
      <c r="G78" s="26">
        <v>0.0</v>
      </c>
      <c r="H78" s="28">
        <v>0.0</v>
      </c>
    </row>
    <row r="79">
      <c r="A79" s="26" t="s">
        <v>186</v>
      </c>
      <c r="B79" s="26" t="s">
        <v>187</v>
      </c>
      <c r="C79" s="26" t="s">
        <v>27</v>
      </c>
      <c r="D79" s="26">
        <v>6.0</v>
      </c>
      <c r="E79" s="26">
        <v>0.0</v>
      </c>
      <c r="F79" s="26">
        <v>0.0</v>
      </c>
      <c r="G79" s="26">
        <v>0.0</v>
      </c>
      <c r="H79" s="28">
        <v>0.0</v>
      </c>
    </row>
    <row r="80">
      <c r="A80" s="26" t="s">
        <v>188</v>
      </c>
      <c r="B80" s="26" t="s">
        <v>189</v>
      </c>
      <c r="C80" s="26" t="s">
        <v>29</v>
      </c>
      <c r="D80" s="26">
        <v>4.0</v>
      </c>
      <c r="E80" s="26">
        <v>0.0</v>
      </c>
      <c r="F80" s="26">
        <v>0.0</v>
      </c>
      <c r="G80" s="26">
        <v>0.0</v>
      </c>
      <c r="H80" s="28">
        <v>0.0</v>
      </c>
    </row>
    <row r="81">
      <c r="A81" s="26" t="s">
        <v>190</v>
      </c>
      <c r="B81" s="26" t="s">
        <v>191</v>
      </c>
      <c r="C81" s="26" t="s">
        <v>29</v>
      </c>
      <c r="D81" s="26">
        <v>4.0</v>
      </c>
      <c r="E81" s="26">
        <v>0.0</v>
      </c>
      <c r="F81" s="26">
        <v>0.0</v>
      </c>
      <c r="G81" s="26">
        <v>0.0</v>
      </c>
      <c r="H81" s="28">
        <v>0.0</v>
      </c>
    </row>
    <row r="82">
      <c r="A82" s="26" t="s">
        <v>192</v>
      </c>
      <c r="B82" s="26" t="s">
        <v>193</v>
      </c>
      <c r="C82" s="26" t="s">
        <v>26</v>
      </c>
      <c r="D82" s="26">
        <v>4.0</v>
      </c>
      <c r="E82" s="26">
        <v>0.0</v>
      </c>
      <c r="F82" s="26">
        <v>0.0</v>
      </c>
      <c r="G82" s="26">
        <v>0.0</v>
      </c>
      <c r="H82" s="28">
        <v>0.0</v>
      </c>
    </row>
    <row r="83">
      <c r="A83" s="26" t="s">
        <v>194</v>
      </c>
      <c r="B83" s="26" t="s">
        <v>195</v>
      </c>
      <c r="C83" s="26" t="s">
        <v>17</v>
      </c>
      <c r="D83" s="26">
        <v>0.0</v>
      </c>
      <c r="E83" s="26">
        <v>0.0</v>
      </c>
      <c r="F83" s="26">
        <v>0.0</v>
      </c>
      <c r="G83" s="26">
        <v>0.0</v>
      </c>
      <c r="H83" s="28">
        <v>0.0</v>
      </c>
    </row>
    <row r="84">
      <c r="A84" s="26" t="s">
        <v>196</v>
      </c>
      <c r="B84" s="26" t="s">
        <v>197</v>
      </c>
      <c r="C84" s="26" t="s">
        <v>17</v>
      </c>
      <c r="D84" s="26">
        <v>0.0</v>
      </c>
      <c r="E84" s="26">
        <v>0.0</v>
      </c>
      <c r="F84" s="26">
        <v>0.0</v>
      </c>
      <c r="G84" s="26">
        <v>0.0</v>
      </c>
      <c r="H84" s="28">
        <v>0.0</v>
      </c>
    </row>
    <row r="85">
      <c r="A85" s="26" t="s">
        <v>198</v>
      </c>
      <c r="B85" s="26"/>
      <c r="C85" s="26" t="s">
        <v>5</v>
      </c>
      <c r="D85" s="26">
        <v>0.0</v>
      </c>
      <c r="E85" s="26">
        <v>0.0</v>
      </c>
      <c r="F85" s="26">
        <v>0.0</v>
      </c>
      <c r="G85" s="26">
        <v>0.0</v>
      </c>
      <c r="H85" s="28">
        <v>0.0</v>
      </c>
    </row>
    <row r="86">
      <c r="A86" s="26" t="s">
        <v>33</v>
      </c>
      <c r="B86" s="26" t="s">
        <v>199</v>
      </c>
      <c r="C86" s="26" t="s">
        <v>5</v>
      </c>
      <c r="D86" s="26">
        <v>0.0</v>
      </c>
      <c r="E86" s="26">
        <v>0.0</v>
      </c>
      <c r="F86" s="26">
        <v>0.0</v>
      </c>
      <c r="G86" s="26">
        <v>0.0</v>
      </c>
      <c r="H86" s="28">
        <v>0.0</v>
      </c>
    </row>
    <row r="87">
      <c r="A87" s="26" t="s">
        <v>200</v>
      </c>
      <c r="B87" s="26" t="s">
        <v>201</v>
      </c>
      <c r="C87" s="26" t="s">
        <v>5</v>
      </c>
      <c r="D87" s="26">
        <v>0.0</v>
      </c>
      <c r="E87" s="26">
        <v>0.0</v>
      </c>
      <c r="F87" s="26">
        <v>0.0</v>
      </c>
      <c r="G87" s="26">
        <v>0.0</v>
      </c>
      <c r="H87" s="28">
        <v>0.0</v>
      </c>
    </row>
    <row r="88">
      <c r="A88" s="26" t="s">
        <v>202</v>
      </c>
      <c r="B88" s="26" t="s">
        <v>203</v>
      </c>
      <c r="C88" s="26" t="s">
        <v>30</v>
      </c>
      <c r="D88" s="26">
        <v>0.0</v>
      </c>
      <c r="E88" s="26">
        <v>0.0</v>
      </c>
      <c r="F88" s="26">
        <v>0.0</v>
      </c>
      <c r="G88" s="26">
        <v>0.0</v>
      </c>
      <c r="H88" s="28">
        <v>0.0</v>
      </c>
    </row>
    <row r="89">
      <c r="A89" s="26" t="s">
        <v>204</v>
      </c>
      <c r="B89" s="26"/>
      <c r="C89" s="26" t="s">
        <v>18</v>
      </c>
      <c r="D89" s="26">
        <v>0.0</v>
      </c>
      <c r="E89" s="26">
        <v>0.0</v>
      </c>
      <c r="F89" s="26">
        <v>0.0</v>
      </c>
      <c r="G89" s="26">
        <v>0.0</v>
      </c>
      <c r="H89" s="28">
        <v>0.0</v>
      </c>
    </row>
    <row r="90">
      <c r="A90" s="26" t="s">
        <v>205</v>
      </c>
      <c r="B90" s="26" t="s">
        <v>205</v>
      </c>
      <c r="C90" s="26" t="s">
        <v>31</v>
      </c>
      <c r="D90" s="26">
        <v>0.0</v>
      </c>
      <c r="E90" s="26">
        <v>0.0</v>
      </c>
      <c r="F90" s="26">
        <v>0.0</v>
      </c>
      <c r="G90" s="26">
        <v>0.0</v>
      </c>
      <c r="H90" s="28">
        <v>0.0</v>
      </c>
    </row>
    <row r="91">
      <c r="A91" s="26" t="s">
        <v>206</v>
      </c>
      <c r="B91" s="26" t="s">
        <v>207</v>
      </c>
      <c r="C91" s="26" t="s">
        <v>31</v>
      </c>
      <c r="D91" s="26">
        <v>0.0</v>
      </c>
      <c r="E91" s="26">
        <v>0.0</v>
      </c>
      <c r="F91" s="26">
        <v>0.0</v>
      </c>
      <c r="G91" s="26">
        <v>0.0</v>
      </c>
      <c r="H91" s="28">
        <v>0.0</v>
      </c>
    </row>
    <row r="92">
      <c r="A92" s="26" t="s">
        <v>69</v>
      </c>
      <c r="B92" s="26" t="s">
        <v>71</v>
      </c>
      <c r="C92" s="26" t="s">
        <v>28</v>
      </c>
      <c r="D92" s="26">
        <v>16.0</v>
      </c>
      <c r="E92" s="26">
        <v>0.0</v>
      </c>
      <c r="F92" s="26">
        <v>0.0</v>
      </c>
      <c r="G92" s="26">
        <v>1.0</v>
      </c>
      <c r="H92" s="28">
        <v>-1.0</v>
      </c>
    </row>
    <row r="93">
      <c r="A93" s="26" t="s">
        <v>93</v>
      </c>
      <c r="B93" s="26" t="s">
        <v>94</v>
      </c>
      <c r="C93" s="26" t="s">
        <v>30</v>
      </c>
      <c r="D93" s="26">
        <v>16.0</v>
      </c>
      <c r="E93" s="26">
        <v>0.0</v>
      </c>
      <c r="F93" s="26">
        <v>2.0</v>
      </c>
      <c r="G93" s="26">
        <v>2.0</v>
      </c>
      <c r="H93" s="28">
        <v>-2.0</v>
      </c>
    </row>
    <row r="94">
      <c r="A94" s="26" t="s">
        <v>13</v>
      </c>
      <c r="B94" s="26" t="s">
        <v>185</v>
      </c>
      <c r="C94" s="26" t="s">
        <v>5</v>
      </c>
      <c r="D94" s="26">
        <v>8.0</v>
      </c>
      <c r="E94" s="26">
        <v>0.0</v>
      </c>
      <c r="F94" s="26">
        <v>0.0</v>
      </c>
      <c r="G94" s="26">
        <v>1.0</v>
      </c>
      <c r="H94" s="28">
        <v>-2.0</v>
      </c>
    </row>
    <row r="95">
      <c r="A95" s="26"/>
      <c r="B95" s="26"/>
      <c r="C95" s="26"/>
      <c r="D95" s="26"/>
      <c r="E95" s="26"/>
      <c r="F95" s="26"/>
      <c r="G95" s="26"/>
      <c r="H95" s="28"/>
    </row>
    <row r="96">
      <c r="A96" s="26"/>
      <c r="B96" s="26"/>
      <c r="C96" s="26"/>
      <c r="D96" s="26"/>
      <c r="E96" s="26"/>
      <c r="F96" s="26"/>
      <c r="G96" s="26"/>
      <c r="H96" s="28"/>
    </row>
    <row r="97">
      <c r="A97" s="26"/>
      <c r="B97" s="26"/>
      <c r="C97" s="26"/>
      <c r="D97" s="26"/>
      <c r="E97" s="26"/>
      <c r="F97" s="26"/>
      <c r="G97" s="26"/>
      <c r="H97" s="28"/>
    </row>
    <row r="98">
      <c r="A98" s="26"/>
      <c r="B98" s="26"/>
      <c r="C98" s="26"/>
      <c r="D98" s="26"/>
      <c r="E98" s="26"/>
      <c r="F98" s="26"/>
      <c r="G98" s="26"/>
      <c r="H98" s="28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>
      <c r="A3" s="31" t="s">
        <v>13</v>
      </c>
      <c r="B3" s="31" t="str">
        <f>VLOOKUP(CONCAT(A3, C3), 'Discord Username to Real Name'!C:D, 2, FALSE)</f>
        <v>DanielRocks(UrMom)#5639</v>
      </c>
      <c r="C3" s="31" t="s">
        <v>5</v>
      </c>
      <c r="D3" s="32">
        <f>IFERROR(__xludf.DUMMYFUNCTION("(4 - COUNTIF(IFERROR(ARRAYFORMULA(HLOOKUP($B3, IMPORTRANGE('Prelim Rankings Unsorted'!$B$40, CONCAT(VLOOKUP($C3, 'Match Names'!$A$1:$D$22, 2, FALSE), ""!C3:R29"")), {6;11;17;23}, FALSE)), 'Player Overall Stats Unsorted'!$AA$9:$AA$12), ""=X"")) + (4 - COUN"&amp;"TIF(IFERROR(ARRAYFORMULA(HLOOKUP($B3, IMPORTRANGE('Prelim Rankings Unsorted'!$B$41, CONCAT(VLOOKUP($C3, 'Match Names'!$A$1:$D$22, 3, FALSE), ""!C3:R29"")), {5;11;17;23}, FALSE)), 'Player Overall Stats Unsorted'!$AA$9:$AA$12), ""=X"")) + (4 - COUNTIF(IFERR"&amp;"OR(ARRAYFORMULA(HLOOKUP($B3, IMPORTRANGE('Prelim Rankings Unsorted'!$B$42, CONCAT(VLOOKUP($C3, 'Match Names'!$A$1:$D$22, 4, FALSE), ""!C3:R29"")), {5;11;17;23}, FALSE)), 'Player Overall Stats Unsorted'!$AA$9:$AA$12), ""=X"")) + (4 - COUNTIF(IFERROR(ARRAYF"&amp;"ORMULA(HLOOKUP($B3, IMPORTRANGE('Match Names'!$E$23, CONCAT(VLOOKUP($C3, 'Match Names'!$1:$22, 5, FALSE), ""!C3:R29"")), {5;11;16;21}, FALSE)), 'Player Overall Stats Unsorted'!$AA$9:$AA$12), ""=X"")) + (4 - COUNTIF(IFERROR(ARRAYFORMULA(HLOOKUP($B3, IMPORT"&amp;"RANGE('Match Names'!$F$23, CONCAT(VLOOKUP($C3, 'Match Names'!$1:$22, 6, FALSE), ""!C3:R29"")), {5;11;17;23}, FALSE)), 'Player Overall Stats Unsorted'!$AA$9:$AA$12), ""=X"")) + (4 - COUNTIF(IFERROR(ARRAYFORMULA(HLOOKUP($B3, IMPORTRANGE('Match Names'!$G$23,"&amp;" CONCAT(VLOOKUP($C3, 'Match Names'!$1:$22, 7, FALSE), ""!C3:R29"")), {5;10;14;23}, FALSE)), 'Player Overall Stats Unsorted'!$AA$9:$AA$12), ""=X"")) + (4 - COUNTIF(IFERROR(ARRAYFORMULA(HLOOKUP($B3, IMPORTRANGE('Match Names'!$H$23, CONCAT(VLOOKUP($C3, 'Matc"&amp;"h Names'!$1:$22, 8, FALSE), ""!C3:R29"")), {5;11;17;23}, FALSE)), 'Player Overall Stats Unsorted'!$AA$9:$AA$12), ""=X""))"),8.0)</f>
        <v>8</v>
      </c>
      <c r="E3" s="32">
        <f>IFERROR(__xludf.DUMMYFUNCTION("COUNTIF(ARRAYFORMULA(HLOOKUP($B3, IMPORTRANGE('Prelim Rankings Unsorted'!$B$40, CONCAT(VLOOKUP($C3, 'Match Names'!$A$1:$D$22, 2, FALSE), ""!C3:R29"")), {6;11;17;23}, FALSE)), ""=4"") + COUNTIF(ARRAYFORMULA(HLOOKUP($B3, IMPORTRANGE('Prelim Rankings Unsorte"&amp;"d'!$B$41, CONCAT(VLOOKUP($C3, 'Match Names'!$A$1:$D$22, 3, FALSE), ""!C3:R29"")), {5;11;17;23}, FALSE)), ""=4"") + COUNTIF(ARRAYFORMULA(HLOOKUP($B3, IMPORTRANGE('Prelim Rankings Unsorted'!$B$42, CONCAT(VLOOKUP($C3, 'Match Names'!$A$1:$D$22, 4, FALSE), ""!"&amp;"C3:R29"")), {5;11;17;23}, FALSE)), ""=4"") + COUNTIF(ARRAYFORMULA(HLOOKUP($B3, IMPORTRANGE('Match Names'!$E$23, CONCAT(VLOOKUP($C3, 'Match Names'!$1:$22, 5, FALSE), ""!C3:R29"")), {6;11;16;21}, FALSE)), ""=4"") + COUNTIF(ARRAYFORMULA(HLOOKUP($B3, IMPORTRA"&amp;"NGE('Match Names'!$F$23, CONCAT(VLOOKUP($C3, 'Match Names'!$1:$22, 6, FALSE), ""!C3:R29"")), {5;11;17;23}, FALSE)), ""=4"") + COUNTIF(ARRAYFORMULA(HLOOKUP($B3, IMPORTRANGE('Match Names'!$G$23, CONCAT(VLOOKUP($C3, 'Match Names'!$1:$22, 7, FALSE), ""!C3:R29"&amp;""")), {5;10;14;22}, FALSE)), ""=4"") + COUNTIF(ARRAYFORMULA(HLOOKUP($B3, IMPORTRANGE('Match Names'!$H$23, CONCAT(VLOOKUP($C3, 'Match Names'!$1:$22, 8, FALSE), ""!C3:R29"")), {5;11;17;23}, FALSE)), ""=4"")"),1.0)</f>
        <v>1</v>
      </c>
      <c r="F3" s="32">
        <f>IFERROR(__xludf.DUMMYFUNCTION("COUNTIF(ARRAYFORMULA(HLOOKUP($B3, IMPORTRANGE('Prelim Rankings Unsorted'!$B$40, CONCAT(VLOOKUP($C3, 'Match Names'!$A$1:$D$22, 2, FALSE), ""!C3:R29"")), {6;11;17;23}, FALSE)), ""=0"") + COUNTIF(ARRAYFORMULA(HLOOKUP($B3, IMPORTRANGE('Prelim Rankings Unsorte"&amp;"d'!$B$41, CONCAT(VLOOKUP($C3, 'Match Names'!$A$1:$D$22, 3, FALSE), ""!C3:R29"")), {5;11;17;23}, FALSE)), ""=0"") + COUNTIF(ARRAYFORMULA(HLOOKUP($B3, IMPORTRANGE('Prelim Rankings Unsorted'!$B$42, CONCAT(VLOOKUP($C3, 'Match Names'!$A$1:$D$22, 4, FALSE), ""!"&amp;"C3:R29"")), {5;11;17;23}, FALSE)), ""=0"") + COUNTIF(ARRAYFORMULA(HLOOKUP($B3, IMPORTRANGE('Match Names'!$E$23, CONCAT(VLOOKUP($C3, 'Match Names'!$1:$22, 5, FALSE), ""!C3:R29"")), {6;11;16;21}, FALSE)), ""=0"") + COUNTIF(ARRAYFORMULA(HLOOKUP($B3, IMPORTRA"&amp;"NGE('Match Names'!$F$23, CONCAT(VLOOKUP($C3, 'Match Names'!$1:$22, 6, FALSE), ""!C3:R29"")), {5;11;17;23}, FALSE)), ""=0"") + COUNTIF(ARRAYFORMULA(HLOOKUP($B3, IMPORTRANGE('Match Names'!$G$23, CONCAT(VLOOKUP($C3, 'Match Names'!$1:$22, 7, FALSE), ""!C3:R29"&amp;""")), {5;10;14;22}, FALSE)), ""=0"") + COUNTIF(ARRAYFORMULA(HLOOKUP($B3, IMPORTRANGE('Match Names'!$H$23, CONCAT(VLOOKUP($C3, 'Match Names'!$1:$22, 8, FALSE), ""!C3:R29"")), {5;11;17;23}, FALSE)), ""=0"")"),1.0)</f>
        <v>1</v>
      </c>
      <c r="G3" s="32">
        <f>IFERROR(__xludf.DUMMYFUNCTION("COUNTIF(ARRAYFORMULA(HLOOKUP($B3, IMPORTRANGE('Prelim Rankings Unsorted'!$B$40, CONCAT(VLOOKUP($C3, 'Match Names'!$A$1:$D$22, 2, FALSE), ""!C3:R29"")), {6;11;17;23}, FALSE)), ""=-4"") + COUNTIF(ARRAYFORMULA(HLOOKUP($B3, IMPORTRANGE('Prelim Rankings Unsort"&amp;"ed'!$B$41, CONCAT(VLOOKUP($C3, 'Match Names'!$A$1:$D$22, 3, FALSE), ""!C3:R29"")), {5;11;17;23}, FALSE)), ""=-4"") + COUNTIF(ARRAYFORMULA(HLOOKUP($B3, IMPORTRANGE('Prelim Rankings Unsorted'!$B$42, CONCAT(VLOOKUP($C3, 'Match Names'!$A$1:$D$22, 4, FALSE), "&amp;"""!C3:R29"")), {5;11;17;23}, FALSE)), ""=-4"") + COUNTIF(ARRAYFORMULA(HLOOKUP($B3, IMPORTRANGE('Match Names'!$E$23, CONCAT(VLOOKUP($C3, 'Match Names'!$1:$22, 5, FALSE), ""!C3:R29"")), {6;11;16;21}, FALSE)), ""=-4"") + COUNTIF(ARRAYFORMULA(HLOOKUP($B3, IMP"&amp;"ORTRANGE('Match Names'!$F$23, CONCAT(VLOOKUP($C3, 'Match Names'!$1:$22, 6, FALSE), ""!C3:R29"")), {5;11;17;23}, FALSE)), ""=-4"") + COUNTIF(ARRAYFORMULA(HLOOKUP($B3, IMPORTRANGE('Match Names'!$G$23, CONCAT(VLOOKUP($C3, 'Match Names'!$1:$22, 7, FALSE), ""!"&amp;"C3:R29"")), {5;10;14;22}, FALSE)), ""=-4"") + COUNTIF(ARRAYFORMULA(HLOOKUP($B3, IMPORTRANGE('Match Names'!$H$23, CONCAT(VLOOKUP($C3, 'Match Names'!$1:$22, 8, FALSE), ""!C3:R29"")), {5;11;17;23}, FALSE)), ""=-4"")"),0.0)</f>
        <v>0</v>
      </c>
      <c r="H3" s="33">
        <f t="shared" ref="H3:H5" si="1">IFERROR(ROUND(((E3*4)+(G3*-4))/(D3/4), 2), 0)</f>
        <v>2</v>
      </c>
    </row>
    <row r="4">
      <c r="A4" s="32" t="s">
        <v>33</v>
      </c>
      <c r="B4" s="31" t="str">
        <f>VLOOKUP(CONCAT(A4, C4), 'Discord Username to Real Name'!C:D, 2, FALSE)</f>
        <v>Running Runin#5021</v>
      </c>
      <c r="C4" s="31" t="s">
        <v>5</v>
      </c>
      <c r="D4" s="32">
        <f>IFERROR(__xludf.DUMMYFUNCTION("(4 - COUNTIF(IFERROR(ARRAYFORMULA(HLOOKUP($B4, IMPORTRANGE('Prelim Rankings Unsorted'!$B$40, CONCAT(VLOOKUP($C4, 'Match Names'!$A$1:$D$22, 2, FALSE), ""!C3:R29"")), {6;11;17;23}, FALSE)), 'Player Overall Stats Unsorted'!$AA$9:$AA$12), ""=X"")) + (4 - COUN"&amp;"TIF(IFERROR(ARRAYFORMULA(HLOOKUP($B4, IMPORTRANGE('Prelim Rankings Unsorted'!$B$41, CONCAT(VLOOKUP($C4, 'Match Names'!$A$1:$D$22, 3, FALSE), ""!C3:R29"")), {5;11;17;23}, FALSE)), 'Player Overall Stats Unsorted'!$AA$9:$AA$12), ""=X"")) + (4 - COUNTIF(IFERR"&amp;"OR(ARRAYFORMULA(HLOOKUP($B4, IMPORTRANGE('Prelim Rankings Unsorted'!$B$42, CONCAT(VLOOKUP($C4, 'Match Names'!$A$1:$D$22, 4, FALSE), ""!C3:R29"")), {5;11;17;23}, FALSE)), 'Player Overall Stats Unsorted'!$AA$9:$AA$12), ""=X"")) + (4 - COUNTIF(IFERROR(ARRAYF"&amp;"ORMULA(HLOOKUP($B4, IMPORTRANGE('Match Names'!$E$23, CONCAT(VLOOKUP($C4, 'Match Names'!$1:$22, 5, FALSE), ""!C3:R29"")), {5;11;16;21}, FALSE)), 'Player Overall Stats Unsorted'!$AA$9:$AA$12), ""=X"")) + (4 - COUNTIF(IFERROR(ARRAYFORMULA(HLOOKUP($B4, IMPORT"&amp;"RANGE('Match Names'!$F$23, CONCAT(VLOOKUP($C4, 'Match Names'!$1:$22, 6, FALSE), ""!C3:R29"")), {5;11;17;23}, FALSE)), 'Player Overall Stats Unsorted'!$AA$9:$AA$12), ""=X"")) + (4 - COUNTIF(IFERROR(ARRAYFORMULA(HLOOKUP($B4, IMPORTRANGE('Match Names'!$G$23,"&amp;" CONCAT(VLOOKUP($C4, 'Match Names'!$1:$22, 7, FALSE), ""!C3:R29"")), {5;10;14;23}, FALSE)), 'Player Overall Stats Unsorted'!$AA$9:$AA$12), ""=X"")) + (4 - COUNTIF(IFERROR(ARRAYFORMULA(HLOOKUP($B4, IMPORTRANGE('Match Names'!$H$23, CONCAT(VLOOKUP($C4, 'Matc"&amp;"h Names'!$1:$22, 8, FALSE), ""!C3:R29"")), {5;11;17;23}, FALSE)), 'Player Overall Stats Unsorted'!$AA$9:$AA$12), ""=X""))"),0.0)</f>
        <v>0</v>
      </c>
      <c r="E4" s="32">
        <f>IFERROR(__xludf.DUMMYFUNCTION("COUNTIF(ARRAYFORMULA(HLOOKUP($B4, IMPORTRANGE('Prelim Rankings Unsorted'!$B$40, CONCAT(VLOOKUP($C4, 'Match Names'!$A$1:$D$22, 2, FALSE), ""!C3:R29"")), {6;11;17;23}, FALSE)), ""=4"") + COUNTIF(ARRAYFORMULA(HLOOKUP($B4, IMPORTRANGE('Prelim Rankings Unsorte"&amp;"d'!$B$41, CONCAT(VLOOKUP($C4, 'Match Names'!$A$1:$D$22, 3, FALSE), ""!C3:R29"")), {5;11;17;23}, FALSE)), ""=4"") + COUNTIF(ARRAYFORMULA(HLOOKUP($B4, IMPORTRANGE('Prelim Rankings Unsorted'!$B$42, CONCAT(VLOOKUP($C4, 'Match Names'!$A$1:$D$22, 4, FALSE), ""!"&amp;"C3:R29"")), {5;11;17;23}, FALSE)), ""=4"") + COUNTIF(ARRAYFORMULA(HLOOKUP($B4, IMPORTRANGE('Match Names'!$E$23, CONCAT(VLOOKUP($C4, 'Match Names'!$1:$22, 5, FALSE), ""!C3:R29"")), {6;11;16;21}, FALSE)), ""=4"") + COUNTIF(ARRAYFORMULA(HLOOKUP($B4, IMPORTRA"&amp;"NGE('Match Names'!$F$23, CONCAT(VLOOKUP($C4, 'Match Names'!$1:$22, 6, FALSE), ""!C3:R29"")), {5;11;17;23}, FALSE)), ""=4"") + COUNTIF(ARRAYFORMULA(HLOOKUP($B4, IMPORTRANGE('Match Names'!$G$23, CONCAT(VLOOKUP($C4, 'Match Names'!$1:$22, 7, FALSE), ""!C3:R29"&amp;""")), {5;10;14;22}, FALSE)), ""=4"") + COUNTIF(ARRAYFORMULA(HLOOKUP($B4, IMPORTRANGE('Match Names'!$H$23, CONCAT(VLOOKUP($C4, 'Match Names'!$1:$22, 8, FALSE), ""!C3:R29"")), {5;11;17;23}, FALSE)), ""=4"")"),0.0)</f>
        <v>0</v>
      </c>
      <c r="F4" s="32">
        <f>IFERROR(__xludf.DUMMYFUNCTION("COUNTIF(ARRAYFORMULA(HLOOKUP($B4, IMPORTRANGE('Prelim Rankings Unsorted'!$B$40, CONCAT(VLOOKUP($C4, 'Match Names'!$A$1:$D$22, 2, FALSE), ""!C3:R29"")), {6;11;17;23}, FALSE)), ""=0"") + COUNTIF(ARRAYFORMULA(HLOOKUP($B4, IMPORTRANGE('Prelim Rankings Unsorte"&amp;"d'!$B$41, CONCAT(VLOOKUP($C4, 'Match Names'!$A$1:$D$22, 3, FALSE), ""!C3:R29"")), {5;11;17;23}, FALSE)), ""=0"") + COUNTIF(ARRAYFORMULA(HLOOKUP($B4, IMPORTRANGE('Prelim Rankings Unsorted'!$B$42, CONCAT(VLOOKUP($C4, 'Match Names'!$A$1:$D$22, 4, FALSE), ""!"&amp;"C3:R29"")), {5;11;17;23}, FALSE)), ""=0"") + COUNTIF(ARRAYFORMULA(HLOOKUP($B4, IMPORTRANGE('Match Names'!$E$23, CONCAT(VLOOKUP($C4, 'Match Names'!$1:$22, 5, FALSE), ""!C3:R29"")), {6;11;16;21}, FALSE)), ""=0"") + COUNTIF(ARRAYFORMULA(HLOOKUP($B4, IMPORTRA"&amp;"NGE('Match Names'!$F$23, CONCAT(VLOOKUP($C4, 'Match Names'!$1:$22, 6, FALSE), ""!C3:R29"")), {5;11;17;23}, FALSE)), ""=0"") + COUNTIF(ARRAYFORMULA(HLOOKUP($B4, IMPORTRANGE('Match Names'!$G$23, CONCAT(VLOOKUP($C4, 'Match Names'!$1:$22, 7, FALSE), ""!C3:R29"&amp;""")), {5;10;14;22}, FALSE)), ""=0"") + COUNTIF(ARRAYFORMULA(HLOOKUP($B4, IMPORTRANGE('Match Names'!$H$23, CONCAT(VLOOKUP($C4, 'Match Names'!$1:$22, 8, FALSE), ""!C3:R29"")), {5;11;17;23}, FALSE)), ""=0"")"),0.0)</f>
        <v>0</v>
      </c>
      <c r="G4" s="32">
        <f>IFERROR(__xludf.DUMMYFUNCTION("COUNTIF(ARRAYFORMULA(HLOOKUP($B4, IMPORTRANGE('Prelim Rankings Unsorted'!$B$40, CONCAT(VLOOKUP($C4, 'Match Names'!$A$1:$D$22, 2, FALSE), ""!C3:R29"")), {6;11;17;23}, FALSE)), ""=-4"") + COUNTIF(ARRAYFORMULA(HLOOKUP($B4, IMPORTRANGE('Prelim Rankings Unsort"&amp;"ed'!$B$41, CONCAT(VLOOKUP($C4, 'Match Names'!$A$1:$D$22, 3, FALSE), ""!C3:R29"")), {5;11;17;23}, FALSE)), ""=-4"") + COUNTIF(ARRAYFORMULA(HLOOKUP($B4, IMPORTRANGE('Prelim Rankings Unsorted'!$B$42, CONCAT(VLOOKUP($C4, 'Match Names'!$A$1:$D$22, 4, FALSE), "&amp;"""!C3:R29"")), {5;11;17;23}, FALSE)), ""=-4"") + COUNTIF(ARRAYFORMULA(HLOOKUP($B4, IMPORTRANGE('Match Names'!$E$23, CONCAT(VLOOKUP($C4, 'Match Names'!$1:$22, 5, FALSE), ""!C3:R29"")), {6;11;16;21}, FALSE)), ""=-4"") + COUNTIF(ARRAYFORMULA(HLOOKUP($B4, IMP"&amp;"ORTRANGE('Match Names'!$F$23, CONCAT(VLOOKUP($C4, 'Match Names'!$1:$22, 6, FALSE), ""!C3:R29"")), {5;11;17;23}, FALSE)), ""=-4"") + COUNTIF(ARRAYFORMULA(HLOOKUP($B4, IMPORTRANGE('Match Names'!$G$23, CONCAT(VLOOKUP($C4, 'Match Names'!$1:$22, 7, FALSE), ""!"&amp;"C3:R29"")), {5;10;14;22}, FALSE)), ""=-4"") + COUNTIF(ARRAYFORMULA(HLOOKUP($B4, IMPORTRANGE('Match Names'!$H$23, CONCAT(VLOOKUP($C4, 'Match Names'!$1:$22, 8, FALSE), ""!C3:R29"")), {5;11;17;23}, FALSE)), ""=-4"")"),0.0)</f>
        <v>0</v>
      </c>
      <c r="H4" s="33">
        <f t="shared" si="1"/>
        <v>0</v>
      </c>
    </row>
    <row r="5">
      <c r="A5" s="31" t="s">
        <v>78</v>
      </c>
      <c r="B5" s="31" t="str">
        <f>VLOOKUP(CONCAT(A5, C5), 'Discord Username to Real Name'!C:D, 2, FALSE)</f>
        <v>avaa#8678</v>
      </c>
      <c r="C5" s="31" t="s">
        <v>5</v>
      </c>
      <c r="D5" s="32">
        <f>IFERROR(__xludf.DUMMYFUNCTION("(4 - COUNTIF(IFERROR(ARRAYFORMULA(HLOOKUP($B5, IMPORTRANGE('Prelim Rankings Unsorted'!$B$40, CONCAT(VLOOKUP($C5, 'Match Names'!$A$1:$D$22, 2, FALSE), ""!C3:R29"")), {6;11;17;23}, FALSE)), 'Player Overall Stats Unsorted'!$AA$9:$AA$12), ""=X"")) + (4 - COUN"&amp;"TIF(IFERROR(ARRAYFORMULA(HLOOKUP($B5, IMPORTRANGE('Prelim Rankings Unsorted'!$B$41, CONCAT(VLOOKUP($C5, 'Match Names'!$A$1:$D$22, 3, FALSE), ""!C3:R29"")), {5;11;17;23}, FALSE)), 'Player Overall Stats Unsorted'!$AA$9:$AA$12), ""=X"")) + (4 - COUNTIF(IFERR"&amp;"OR(ARRAYFORMULA(HLOOKUP($B5, IMPORTRANGE('Prelim Rankings Unsorted'!$B$42, CONCAT(VLOOKUP($C5, 'Match Names'!$A$1:$D$22, 4, FALSE), ""!C3:R29"")), {5;11;17;23}, FALSE)), 'Player Overall Stats Unsorted'!$AA$9:$AA$12), ""=X"")) + (4 - COUNTIF(IFERROR(ARRAYF"&amp;"ORMULA(HLOOKUP($B5, IMPORTRANGE('Match Names'!$E$23, CONCAT(VLOOKUP($C5, 'Match Names'!$1:$22, 5, FALSE), ""!C3:R29"")), {5;11;16;21}, FALSE)), 'Player Overall Stats Unsorted'!$AA$9:$AA$12), ""=X"")) + (4 - COUNTIF(IFERROR(ARRAYFORMULA(HLOOKUP($B5, IMPORT"&amp;"RANGE('Match Names'!$F$23, CONCAT(VLOOKUP($C5, 'Match Names'!$1:$22, 6, FALSE), ""!C3:R29"")), {5;11;17;23}, FALSE)), 'Player Overall Stats Unsorted'!$AA$9:$AA$12), ""=X"")) + (4 - COUNTIF(IFERROR(ARRAYFORMULA(HLOOKUP($B5, IMPORTRANGE('Match Names'!$G$23,"&amp;" CONCAT(VLOOKUP($C5, 'Match Names'!$1:$22, 7, FALSE), ""!C3:R29"")), {5;10;14;23}, FALSE)), 'Player Overall Stats Unsorted'!$AA$9:$AA$12), ""=X"")) + (4 - COUNTIF(IFERROR(ARRAYFORMULA(HLOOKUP($B5, IMPORTRANGE('Match Names'!$H$23, CONCAT(VLOOKUP($C5, 'Matc"&amp;"h Names'!$1:$22, 8, FALSE), ""!C3:R29"")), {5;11;17;23}, FALSE)), 'Player Overall Stats Unsorted'!$AA$9:$AA$12), ""=X""))"),7.0)</f>
        <v>7</v>
      </c>
      <c r="E5" s="32">
        <f>IFERROR(__xludf.DUMMYFUNCTION("COUNTIF(ARRAYFORMULA(HLOOKUP($B5, IMPORTRANGE('Prelim Rankings Unsorted'!$B$40, CONCAT(VLOOKUP($C5, 'Match Names'!$A$1:$D$22, 2, FALSE), ""!C3:R29"")), {6;11;17;23}, FALSE)), ""=4"") + COUNTIF(ARRAYFORMULA(HLOOKUP($B5, IMPORTRANGE('Prelim Rankings Unsorte"&amp;"d'!$B$41, CONCAT(VLOOKUP($C5, 'Match Names'!$A$1:$D$22, 3, FALSE), ""!C3:R29"")), {5;11;17;23}, FALSE)), ""=4"") + COUNTIF(ARRAYFORMULA(HLOOKUP($B5, IMPORTRANGE('Prelim Rankings Unsorted'!$B$42, CONCAT(VLOOKUP($C5, 'Match Names'!$A$1:$D$22, 4, FALSE), ""!"&amp;"C3:R29"")), {5;11;17;23}, FALSE)), ""=4"") + COUNTIF(ARRAYFORMULA(HLOOKUP($B5, IMPORTRANGE('Match Names'!$E$23, CONCAT(VLOOKUP($C5, 'Match Names'!$1:$22, 5, FALSE), ""!C3:R29"")), {6;11;16;21}, FALSE)), ""=4"") + COUNTIF(ARRAYFORMULA(HLOOKUP($B5, IMPORTRA"&amp;"NGE('Match Names'!$F$23, CONCAT(VLOOKUP($C5, 'Match Names'!$1:$22, 6, FALSE), ""!C3:R29"")), {5;11;17;23}, FALSE)), ""=4"") + COUNTIF(ARRAYFORMULA(HLOOKUP($B5, IMPORTRANGE('Match Names'!$G$23, CONCAT(VLOOKUP($C5, 'Match Names'!$1:$22, 7, FALSE), ""!C3:R29"&amp;""")), {5;10;14;22}, FALSE)), ""=4"") + COUNTIF(ARRAYFORMULA(HLOOKUP($B5, IMPORTRANGE('Match Names'!$H$23, CONCAT(VLOOKUP($C5, 'Match Names'!$1:$22, 8, FALSE), ""!C3:R29"")), {5;11;17;23}, FALSE)), ""=4"")"),0.0)</f>
        <v>0</v>
      </c>
      <c r="F5" s="32">
        <f>IFERROR(__xludf.DUMMYFUNCTION("COUNTIF(ARRAYFORMULA(HLOOKUP($B5, IMPORTRANGE('Prelim Rankings Unsorted'!$B$40, CONCAT(VLOOKUP($C5, 'Match Names'!$A$1:$D$22, 2, FALSE), ""!C3:R29"")), {6;11;17;23}, FALSE)), ""=0"") + COUNTIF(ARRAYFORMULA(HLOOKUP($B5, IMPORTRANGE('Prelim Rankings Unsorte"&amp;"d'!$B$41, CONCAT(VLOOKUP($C5, 'Match Names'!$A$1:$D$22, 3, FALSE), ""!C3:R29"")), {5;11;17;23}, FALSE)), ""=0"") + COUNTIF(ARRAYFORMULA(HLOOKUP($B5, IMPORTRANGE('Prelim Rankings Unsorted'!$B$42, CONCAT(VLOOKUP($C5, 'Match Names'!$A$1:$D$22, 4, FALSE), ""!"&amp;"C3:R29"")), {5;11;17;23}, FALSE)), ""=0"") + COUNTIF(ARRAYFORMULA(HLOOKUP($B5, IMPORTRANGE('Match Names'!$E$23, CONCAT(VLOOKUP($C5, 'Match Names'!$1:$22, 5, FALSE), ""!C3:R29"")), {6;11;16;21}, FALSE)), ""=0"") + COUNTIF(ARRAYFORMULA(HLOOKUP($B5, IMPORTRA"&amp;"NGE('Match Names'!$F$23, CONCAT(VLOOKUP($C5, 'Match Names'!$1:$22, 6, FALSE), ""!C3:R29"")), {5;11;17;23}, FALSE)), ""=0"") + COUNTIF(ARRAYFORMULA(HLOOKUP($B5, IMPORTRANGE('Match Names'!$G$23, CONCAT(VLOOKUP($C5, 'Match Names'!$1:$22, 7, FALSE), ""!C3:R29"&amp;""")), {5;10;14;22}, FALSE)), ""=0"") + COUNTIF(ARRAYFORMULA(HLOOKUP($B5, IMPORTRANGE('Match Names'!$H$23, CONCAT(VLOOKUP($C5, 'Match Names'!$1:$22, 8, FALSE), ""!C3:R29"")), {5;11;17;23}, FALSE)), ""=0"")"),0.0)</f>
        <v>0</v>
      </c>
      <c r="G5" s="32">
        <f>IFERROR(__xludf.DUMMYFUNCTION("COUNTIF(ARRAYFORMULA(HLOOKUP($B5, IMPORTRANGE('Prelim Rankings Unsorted'!$B$40, CONCAT(VLOOKUP($C5, 'Match Names'!$A$1:$D$22, 2, FALSE), ""!C3:R29"")), {6;11;17;23}, FALSE)), ""=-4"") + COUNTIF(ARRAYFORMULA(HLOOKUP($B5, IMPORTRANGE('Prelim Rankings Unsort"&amp;"ed'!$B$41, CONCAT(VLOOKUP($C5, 'Match Names'!$A$1:$D$22, 3, FALSE), ""!C3:R29"")), {5;11;17;23}, FALSE)), ""=-4"") + COUNTIF(ARRAYFORMULA(HLOOKUP($B5, IMPORTRANGE('Prelim Rankings Unsorted'!$B$42, CONCAT(VLOOKUP($C5, 'Match Names'!$A$1:$D$22, 4, FALSE), "&amp;"""!C3:R29"")), {5;11;17;23}, FALSE)), ""=-4"") + COUNTIF(ARRAYFORMULA(HLOOKUP($B5, IMPORTRANGE('Match Names'!$E$23, CONCAT(VLOOKUP($C5, 'Match Names'!$1:$22, 5, FALSE), ""!C3:R29"")), {6;11;16;21}, FALSE)), ""=-4"") + COUNTIF(ARRAYFORMULA(HLOOKUP($B5, IMP"&amp;"ORTRANGE('Match Names'!$F$23, CONCAT(VLOOKUP($C5, 'Match Names'!$1:$22, 6, FALSE), ""!C3:R29"")), {5;11;17;23}, FALSE)), ""=-4"") + COUNTIF(ARRAYFORMULA(HLOOKUP($B5, IMPORTRANGE('Match Names'!$G$23, CONCAT(VLOOKUP($C5, 'Match Names'!$1:$22, 7, FALSE), ""!"&amp;"C3:R29"")), {5;10;14;22}, FALSE)), ""=-4"") + COUNTIF(ARRAYFORMULA(HLOOKUP($B5, IMPORTRANGE('Match Names'!$H$23, CONCAT(VLOOKUP($C5, 'Match Names'!$1:$22, 8, FALSE), ""!C3:R29"")), {5;11;17;23}, FALSE)), ""=-4"")"),0.0)</f>
        <v>0</v>
      </c>
      <c r="H5" s="33">
        <f t="shared" si="1"/>
        <v>0</v>
      </c>
    </row>
    <row r="6">
      <c r="A6" s="31" t="s">
        <v>146</v>
      </c>
      <c r="B6" s="31" t="str">
        <f>VLOOKUP(CONCAT(A6, C6), 'Discord Username to Real Name'!C:D, 2, FALSE)</f>
        <v>Kevin Yang#3870</v>
      </c>
      <c r="C6" s="31" t="s">
        <v>5</v>
      </c>
      <c r="D6" s="32">
        <f>IFERROR(__xludf.DUMMYFUNCTION("(4 - COUNTIF(IFERROR(ARRAYFORMULA(HLOOKUP($B6, IMPORTRANGE('Prelim Rankings Unsorted'!$B$40, CONCAT(VLOOKUP($C6, 'Match Names'!$A$1:$D$22, 2, FALSE), ""!C3:R29"")), {6;11;17;23}, FALSE)), 'Player Overall Stats Unsorted'!$AA$9:$AA$12), ""=X"")) + (4 - COUN"&amp;"TIF(IFERROR(ARRAYFORMULA(HLOOKUP($B6, IMPORTRANGE('Prelim Rankings Unsorted'!$B$41, CONCAT(VLOOKUP($C6, 'Match Names'!$A$1:$D$22, 3, FALSE), ""!C3:R29"")), {5;11;17;23}, FALSE)), 'Player Overall Stats Unsorted'!$AA$9:$AA$12), ""=X"")) + (4 - COUNTIF(IFERR"&amp;"OR(ARRAYFORMULA(HLOOKUP($B6, IMPORTRANGE('Prelim Rankings Unsorted'!$B$42, CONCAT(VLOOKUP($C6, 'Match Names'!$A$1:$D$22, 4, FALSE), ""!C3:R29"")), {5;11;17;23}, FALSE)), 'Player Overall Stats Unsorted'!$AA$9:$AA$12), ""=X"")) + (4 - COUNTIF(IFERROR(ARRAYF"&amp;"ORMULA(HLOOKUP($B6, IMPORTRANGE('Match Names'!$E$23, CONCAT(VLOOKUP($C6, 'Match Names'!$1:$22, 5, FALSE), ""!C3:R29"")), {5;11;16;21}, FALSE)), 'Player Overall Stats Unsorted'!$AA$9:$AA$12), ""=X"")) + (4 - COUNTIF(IFERROR(ARRAYFORMULA(HLOOKUP($B6, IMPORT"&amp;"RANGE('Match Names'!$F$23, CONCAT(VLOOKUP($C6, 'Match Names'!$1:$22, 6, FALSE), ""!C3:R29"")), {5;11;17;23}, FALSE)), 'Player Overall Stats Unsorted'!$AA$9:$AA$12), ""=X"")) + (4 - COUNTIF(IFERROR(ARRAYFORMULA(HLOOKUP($B6, IMPORTRANGE('Match Names'!$G$23,"&amp;" CONCAT(VLOOKUP($C6, 'Match Names'!$1:$22, 7, FALSE), ""!C3:R29"")), {5;10;14;23}, FALSE)), 'Player Overall Stats Unsorted'!$AA$9:$AA$12), ""=X"")) + (4 - COUNTIF(IFERROR(ARRAYFORMULA(HLOOKUP($B6, IMPORTRANGE('Match Names'!$H$23, CONCAT(VLOOKUP($C6, 'Matc"&amp;"h Names'!$1:$22, 8, FALSE), ""!C3:R29"")), {5;11;17;23}, FALSE)), 'Player Overall Stats Unsorted'!$AA$9:$AA$12), ""=X""))"),12.0)</f>
        <v>12</v>
      </c>
      <c r="E6" s="32">
        <f>IFERROR(__xludf.DUMMYFUNCTION("COUNTIF(ARRAYFORMULA(HLOOKUP($B6, IMPORTRANGE('Prelim Rankings Unsorted'!$B$40, CONCAT(VLOOKUP($C6, 'Match Names'!$A$1:$D$22, 2, FALSE), ""!C3:R29"")), {6;11;17;23}, FALSE)), ""=4"") + COUNTIF(ARRAYFORMULA(HLOOKUP($B6, IMPORTRANGE('Prelim Rankings Unsorte"&amp;"d'!$B$41, CONCAT(VLOOKUP($C6, 'Match Names'!$A$1:$D$22, 3, FALSE), ""!C3:R29"")), {5;11;17;23}, FALSE)), ""=4"") + COUNTIF(ARRAYFORMULA(HLOOKUP($B6, IMPORTRANGE('Prelim Rankings Unsorted'!$B$42, CONCAT(VLOOKUP($C6, 'Match Names'!$A$1:$D$22, 4, FALSE), ""!"&amp;"C3:R29"")), {5;11;17;23}, FALSE)), ""=4"") + COUNTIF(ARRAYFORMULA(HLOOKUP($B6, IMPORTRANGE('Match Names'!$E$23, CONCAT(VLOOKUP($C6, 'Match Names'!$1:$22, 5, FALSE), ""!C3:R29"")), {6;11;16;21}, FALSE)), ""=4"") + COUNTIF(ARRAYFORMULA(HLOOKUP($B6, IMPORTRA"&amp;"NGE('Match Names'!$F$23, CONCAT(VLOOKUP($C6, 'Match Names'!$1:$22, 6, FALSE), ""!C3:R29"")), {5;11;17;23}, FALSE)), ""=4"") + COUNTIF(ARRAYFORMULA(HLOOKUP($B6, IMPORTRANGE('Match Names'!$G$23, CONCAT(VLOOKUP($C6, 'Match Names'!$1:$22, 7, FALSE), ""!C3:R29"&amp;""")), {5;10;14;22}, FALSE)), ""=4"") + COUNTIF(ARRAYFORMULA(HLOOKUP($B6, IMPORTRANGE('Match Names'!$H$23, CONCAT(VLOOKUP($C6, 'Match Names'!$1:$22, 8, FALSE), ""!C3:R29"")), {5;11;17;23}, FALSE)), ""=4"")"),2.0)</f>
        <v>2</v>
      </c>
      <c r="F6" s="32">
        <f>IFERROR(__xludf.DUMMYFUNCTION("COUNTIF(ARRAYFORMULA(HLOOKUP($B6, IMPORTRANGE('Prelim Rankings Unsorted'!$B$40, CONCAT(VLOOKUP($C6, 'Match Names'!$A$1:$D$22, 2, FALSE), ""!C3:R29"")), {6;11;17;23}, FALSE)), ""=0"") + COUNTIF(ARRAYFORMULA(HLOOKUP($B6, IMPORTRANGE('Prelim Rankings Unsorte"&amp;"d'!$B$41, CONCAT(VLOOKUP($C6, 'Match Names'!$A$1:$D$22, 3, FALSE), ""!C3:R29"")), {5;11;17;23}, FALSE)), ""=0"") + COUNTIF(ARRAYFORMULA(HLOOKUP($B6, IMPORTRANGE('Prelim Rankings Unsorted'!$B$42, CONCAT(VLOOKUP($C6, 'Match Names'!$A$1:$D$22, 4, FALSE), ""!"&amp;"C3:R29"")), {5;11;17;23}, FALSE)), ""=0"") + COUNTIF(ARRAYFORMULA(HLOOKUP($B6, IMPORTRANGE('Match Names'!$E$23, CONCAT(VLOOKUP($C6, 'Match Names'!$1:$22, 5, FALSE), ""!C3:R29"")), {6;11;16;21}, FALSE)), ""=0"") + COUNTIF(ARRAYFORMULA(HLOOKUP($B6, IMPORTRA"&amp;"NGE('Match Names'!$F$23, CONCAT(VLOOKUP($C6, 'Match Names'!$1:$22, 6, FALSE), ""!C3:R29"")), {5;11;17;23}, FALSE)), ""=0"") + COUNTIF(ARRAYFORMULA(HLOOKUP($B6, IMPORTRANGE('Match Names'!$G$23, CONCAT(VLOOKUP($C6, 'Match Names'!$1:$22, 7, FALSE), ""!C3:R29"&amp;""")), {5;10;14;22}, FALSE)), ""=0"") + COUNTIF(ARRAYFORMULA(HLOOKUP($B6, IMPORTRANGE('Match Names'!$H$23, CONCAT(VLOOKUP($C6, 'Match Names'!$1:$22, 8, FALSE), ""!C3:R29"")), {5;11;17;23}, FALSE)), ""=0"")"),1.0)</f>
        <v>1</v>
      </c>
      <c r="G6" s="32">
        <f>IFERROR(__xludf.DUMMYFUNCTION("COUNTIF(ARRAYFORMULA(HLOOKUP($B6, IMPORTRANGE('Prelim Rankings Unsorted'!$B$40, CONCAT(VLOOKUP($C6, 'Match Names'!$A$1:$D$22, 2, FALSE), ""!C3:R29"")), {6;11;17;23}, FALSE)), ""=-4"") + COUNTIF(ARRAYFORMULA(HLOOKUP($B6, IMPORTRANGE('Prelim Rankings Unsort"&amp;"ed'!$B$41, CONCAT(VLOOKUP($C6, 'Match Names'!$A$1:$D$22, 3, FALSE), ""!C3:R29"")), {5;11;17;23}, FALSE)), ""=-4"") + COUNTIF(ARRAYFORMULA(HLOOKUP($B6, IMPORTRANGE('Prelim Rankings Unsorted'!$B$42, CONCAT(VLOOKUP($C6, 'Match Names'!$A$1:$D$22, 4, FALSE), "&amp;"""!C3:R29"")), {5;11;17;23}, FALSE)), ""=-4"") + COUNTIF(ARRAYFORMULA(HLOOKUP($B6, IMPORTRANGE('Match Names'!$E$23, CONCAT(VLOOKUP($C6, 'Match Names'!$1:$22, 5, FALSE), ""!C3:R29"")), {6;11;16;21}, FALSE)), ""=-4"") + COUNTIF(ARRAYFORMULA(HLOOKUP($B6, IMP"&amp;"ORTRANGE('Match Names'!$F$23, CONCAT(VLOOKUP($C6, 'Match Names'!$1:$22, 6, FALSE), ""!C3:R29"")), {5;11;17;23}, FALSE)), ""=-4"") + COUNTIF(ARRAYFORMULA(HLOOKUP($B6, IMPORTRANGE('Match Names'!$G$23, CONCAT(VLOOKUP($C6, 'Match Names'!$1:$22, 7, FALSE), ""!"&amp;"C3:R29"")), {5;10;14;22}, FALSE)), ""=-4"") + COUNTIF(ARRAYFORMULA(HLOOKUP($B6, IMPORTRANGE('Match Names'!$H$23, CONCAT(VLOOKUP($C6, 'Match Names'!$1:$22, 8, FALSE), ""!C3:R29"")), {5;11;17;23}, FALSE)), ""=-4"")"),0.0)</f>
        <v>0</v>
      </c>
      <c r="H6" s="33">
        <f>IFERROR(ROUND(((E6*4)+(G6*-4))/(#REF!/4), 2), 0)</f>
        <v>0</v>
      </c>
    </row>
    <row r="7">
      <c r="A7" s="34" t="s">
        <v>198</v>
      </c>
      <c r="B7" s="35" t="str">
        <f>VLOOKUP(CONCAT(A7, C7), 'Discord Username to Real Name'!C:D, 2, FALSE)</f>
        <v/>
      </c>
      <c r="C7" s="36" t="s">
        <v>5</v>
      </c>
      <c r="D7" s="32">
        <f>IFERROR(__xludf.DUMMYFUNCTION("(4 - COUNTIF(IFERROR(ARRAYFORMULA(HLOOKUP($B7, IMPORTRANGE('Prelim Rankings Unsorted'!$B$40, CONCAT(VLOOKUP($C7, 'Match Names'!$A$1:$D$22, 2, FALSE), ""!C3:R29"")), {6;11;17;23}, FALSE)), 'Player Overall Stats Unsorted'!$AA$9:$AA$12), ""=X"")) + (4 - COUN"&amp;"TIF(IFERROR(ARRAYFORMULA(HLOOKUP($B7, IMPORTRANGE('Prelim Rankings Unsorted'!$B$41, CONCAT(VLOOKUP($C7, 'Match Names'!$A$1:$D$22, 3, FALSE), ""!C3:R29"")), {5;11;17;23}, FALSE)), 'Player Overall Stats Unsorted'!$AA$9:$AA$12), ""=X"")) + (4 - COUNTIF(IFERR"&amp;"OR(ARRAYFORMULA(HLOOKUP($B7, IMPORTRANGE('Prelim Rankings Unsorted'!$B$42, CONCAT(VLOOKUP($C7, 'Match Names'!$A$1:$D$22, 4, FALSE), ""!C3:R29"")), {5;11;17;23}, FALSE)), 'Player Overall Stats Unsorted'!$AA$9:$AA$12), ""=X"")) + (4 - COUNTIF(IFERROR(ARRAYF"&amp;"ORMULA(HLOOKUP($B7, IMPORTRANGE('Match Names'!$E$23, CONCAT(VLOOKUP($C7, 'Match Names'!$1:$22, 5, FALSE), ""!C3:R29"")), {5;11;16;21}, FALSE)), 'Player Overall Stats Unsorted'!$AA$9:$AA$12), ""=X"")) + (4 - COUNTIF(IFERROR(ARRAYFORMULA(HLOOKUP($B7, IMPORT"&amp;"RANGE('Match Names'!$F$23, CONCAT(VLOOKUP($C7, 'Match Names'!$1:$22, 6, FALSE), ""!C3:R29"")), {5;11;17;23}, FALSE)), 'Player Overall Stats Unsorted'!$AA$9:$AA$12), ""=X"")) + (4 - COUNTIF(IFERROR(ARRAYFORMULA(HLOOKUP($B7, IMPORTRANGE('Match Names'!$G$23,"&amp;" CONCAT(VLOOKUP($C7, 'Match Names'!$1:$22, 7, FALSE), ""!C3:R29"")), {5;10;14;23}, FALSE)), 'Player Overall Stats Unsorted'!$AA$9:$AA$12), ""=X"")) + (4 - COUNTIF(IFERROR(ARRAYFORMULA(HLOOKUP($B7, IMPORTRANGE('Match Names'!$H$23, CONCAT(VLOOKUP($C7, 'Matc"&amp;"h Names'!$1:$22, 8, FALSE), ""!C3:R29"")), {5;11;17;23}, FALSE)), 'Player Overall Stats Unsorted'!$AA$9:$AA$12), ""=X""))"),0.0)</f>
        <v>0</v>
      </c>
      <c r="E7" s="32">
        <f>IFERROR(__xludf.DUMMYFUNCTION("COUNTIF(ARRAYFORMULA(HLOOKUP($B7, IMPORTRANGE('Prelim Rankings Unsorted'!$B$40, CONCAT(VLOOKUP($C7, 'Match Names'!$A$1:$D$22, 2, FALSE), ""!C3:R29"")), {6;11;17;23}, FALSE)), ""=4"") + COUNTIF(ARRAYFORMULA(HLOOKUP($B7, IMPORTRANGE('Prelim Rankings Unsorte"&amp;"d'!$B$41, CONCAT(VLOOKUP($C7, 'Match Names'!$A$1:$D$22, 3, FALSE), ""!C3:R29"")), {5;11;17;23}, FALSE)), ""=4"") + COUNTIF(ARRAYFORMULA(HLOOKUP($B7, IMPORTRANGE('Prelim Rankings Unsorted'!$B$42, CONCAT(VLOOKUP($C7, 'Match Names'!$A$1:$D$22, 4, FALSE), ""!"&amp;"C3:R29"")), {5;11;17;23}, FALSE)), ""=4"") + COUNTIF(ARRAYFORMULA(HLOOKUP($B7, IMPORTRANGE('Match Names'!$E$23, CONCAT(VLOOKUP($C7, 'Match Names'!$1:$22, 5, FALSE), ""!C3:R29"")), {6;11;16;21}, FALSE)), ""=4"") + COUNTIF(ARRAYFORMULA(HLOOKUP($B7, IMPORTRA"&amp;"NGE('Match Names'!$F$23, CONCAT(VLOOKUP($C7, 'Match Names'!$1:$22, 6, FALSE), ""!C3:R29"")), {5;11;17;23}, FALSE)), ""=4"") + COUNTIF(ARRAYFORMULA(HLOOKUP($B7, IMPORTRANGE('Match Names'!$G$23, CONCAT(VLOOKUP($C7, 'Match Names'!$1:$22, 7, FALSE), ""!C3:R29"&amp;""")), {5;10;14;22}, FALSE)), ""=4"") + COUNTIF(ARRAYFORMULA(HLOOKUP($B7, IMPORTRANGE('Match Names'!$H$23, CONCAT(VLOOKUP($C7, 'Match Names'!$1:$22, 8, FALSE), ""!C3:R29"")), {5;11;17;23}, FALSE)), ""=4"")"),0.0)</f>
        <v>0</v>
      </c>
      <c r="F7" s="32">
        <f>IFERROR(__xludf.DUMMYFUNCTION("COUNTIF(ARRAYFORMULA(HLOOKUP($B7, IMPORTRANGE('Prelim Rankings Unsorted'!$B$40, CONCAT(VLOOKUP($C7, 'Match Names'!$A$1:$D$22, 2, FALSE), ""!C3:R29"")), {6;11;17;23}, FALSE)), ""=0"") + COUNTIF(ARRAYFORMULA(HLOOKUP($B7, IMPORTRANGE('Prelim Rankings Unsorte"&amp;"d'!$B$41, CONCAT(VLOOKUP($C7, 'Match Names'!$A$1:$D$22, 3, FALSE), ""!C3:R29"")), {5;11;17;23}, FALSE)), ""=0"") + COUNTIF(ARRAYFORMULA(HLOOKUP($B7, IMPORTRANGE('Prelim Rankings Unsorted'!$B$42, CONCAT(VLOOKUP($C7, 'Match Names'!$A$1:$D$22, 4, FALSE), ""!"&amp;"C3:R29"")), {5;11;17;23}, FALSE)), ""=0"") + COUNTIF(ARRAYFORMULA(HLOOKUP($B7, IMPORTRANGE('Match Names'!$E$23, CONCAT(VLOOKUP($C7, 'Match Names'!$1:$22, 5, FALSE), ""!C3:R29"")), {6;11;16;21}, FALSE)), ""=0"") + COUNTIF(ARRAYFORMULA(HLOOKUP($B7, IMPORTRA"&amp;"NGE('Match Names'!$F$23, CONCAT(VLOOKUP($C7, 'Match Names'!$1:$22, 6, FALSE), ""!C3:R29"")), {5;11;17;23}, FALSE)), ""=0"") + COUNTIF(ARRAYFORMULA(HLOOKUP($B7, IMPORTRANGE('Match Names'!$G$23, CONCAT(VLOOKUP($C7, 'Match Names'!$1:$22, 7, FALSE), ""!C3:R29"&amp;""")), {5;10;14;22}, FALSE)), ""=0"") + COUNTIF(ARRAYFORMULA(HLOOKUP($B7, IMPORTRANGE('Match Names'!$H$23, CONCAT(VLOOKUP($C7, 'Match Names'!$1:$22, 8, FALSE), ""!C3:R29"")), {5;11;17;23}, FALSE)), ""=0"")"),0.0)</f>
        <v>0</v>
      </c>
      <c r="G7" s="32">
        <f>IFERROR(__xludf.DUMMYFUNCTION("COUNTIF(ARRAYFORMULA(HLOOKUP($B7, IMPORTRANGE('Prelim Rankings Unsorted'!$B$40, CONCAT(VLOOKUP($C7, 'Match Names'!$A$1:$D$22, 2, FALSE), ""!C3:R29"")), {6;11;17;23}, FALSE)), ""=-4"") + COUNTIF(ARRAYFORMULA(HLOOKUP($B7, IMPORTRANGE('Prelim Rankings Unsort"&amp;"ed'!$B$41, CONCAT(VLOOKUP($C7, 'Match Names'!$A$1:$D$22, 3, FALSE), ""!C3:R29"")), {5;11;17;23}, FALSE)), ""=-4"") + COUNTIF(ARRAYFORMULA(HLOOKUP($B7, IMPORTRANGE('Prelim Rankings Unsorted'!$B$42, CONCAT(VLOOKUP($C7, 'Match Names'!$A$1:$D$22, 4, FALSE), "&amp;"""!C3:R29"")), {5;11;17;23}, FALSE)), ""=-4"") + COUNTIF(ARRAYFORMULA(HLOOKUP($B7, IMPORTRANGE('Match Names'!$E$23, CONCAT(VLOOKUP($C7, 'Match Names'!$1:$22, 5, FALSE), ""!C3:R29"")), {6;11;16;21}, FALSE)), ""=-4"") + COUNTIF(ARRAYFORMULA(HLOOKUP($B7, IMP"&amp;"ORTRANGE('Match Names'!$F$23, CONCAT(VLOOKUP($C7, 'Match Names'!$1:$22, 6, FALSE), ""!C3:R29"")), {5;11;17;23}, FALSE)), ""=-4"") + COUNTIF(ARRAYFORMULA(HLOOKUP($B7, IMPORTRANGE('Match Names'!$G$23, CONCAT(VLOOKUP($C7, 'Match Names'!$1:$22, 7, FALSE), ""!"&amp;"C3:R29"")), {5;10;14;22}, FALSE)), ""=-4"") + COUNTIF(ARRAYFORMULA(HLOOKUP($B7, IMPORTRANGE('Match Names'!$H$23, CONCAT(VLOOKUP($C7, 'Match Names'!$1:$22, 8, FALSE), ""!C3:R29"")), {5;11;17;23}, FALSE)), ""=-4"")"),0.0)</f>
        <v>0</v>
      </c>
      <c r="H7" s="33">
        <f>IFERROR(ROUND(((E7*4)+(G7*-4))/(D6/4), 2), 0)</f>
        <v>0</v>
      </c>
    </row>
    <row r="8">
      <c r="A8" s="31" t="s">
        <v>200</v>
      </c>
      <c r="B8" s="31" t="str">
        <f>VLOOKUP(CONCAT(A8, C8), 'Discord Username to Real Name'!C:D, 2, FALSE)</f>
        <v>Victoria123#0687</v>
      </c>
      <c r="C8" s="31" t="s">
        <v>5</v>
      </c>
      <c r="D8" s="32">
        <f>IFERROR(__xludf.DUMMYFUNCTION("(4 - COUNTIF(IFERROR(ARRAYFORMULA(HLOOKUP($B8, IMPORTRANGE('Prelim Rankings Unsorted'!$B$40, CONCAT(VLOOKUP($C8, 'Match Names'!$A$1:$D$22, 2, FALSE), ""!C3:R29"")), {6;11;17;23}, FALSE)), 'Player Overall Stats Unsorted'!$AA$9:$AA$12), ""=X"")) + (4 - COUN"&amp;"TIF(IFERROR(ARRAYFORMULA(HLOOKUP($B8, IMPORTRANGE('Prelim Rankings Unsorted'!$B$41, CONCAT(VLOOKUP($C8, 'Match Names'!$A$1:$D$22, 3, FALSE), ""!C3:R29"")), {5;11;17;23}, FALSE)), 'Player Overall Stats Unsorted'!$AA$9:$AA$12), ""=X"")) + (4 - COUNTIF(IFERR"&amp;"OR(ARRAYFORMULA(HLOOKUP($B8, IMPORTRANGE('Prelim Rankings Unsorted'!$B$42, CONCAT(VLOOKUP($C8, 'Match Names'!$A$1:$D$22, 4, FALSE), ""!C3:R29"")), {5;11;17;23}, FALSE)), 'Player Overall Stats Unsorted'!$AA$9:$AA$12), ""=X"")) + (4 - COUNTIF(IFERROR(ARRAYF"&amp;"ORMULA(HLOOKUP($B8, IMPORTRANGE('Match Names'!$E$23, CONCAT(VLOOKUP($C8, 'Match Names'!$1:$22, 5, FALSE), ""!C3:R29"")), {5;11;16;21}, FALSE)), 'Player Overall Stats Unsorted'!$AA$9:$AA$12), ""=X"")) + (4 - COUNTIF(IFERROR(ARRAYFORMULA(HLOOKUP($B8, IMPORT"&amp;"RANGE('Match Names'!$F$23, CONCAT(VLOOKUP($C8, 'Match Names'!$1:$22, 6, FALSE), ""!C3:R29"")), {5;11;17;23}, FALSE)), 'Player Overall Stats Unsorted'!$AA$9:$AA$12), ""=X"")) + (4 - COUNTIF(IFERROR(ARRAYFORMULA(HLOOKUP($B8, IMPORTRANGE('Match Names'!$G$23,"&amp;" CONCAT(VLOOKUP($C8, 'Match Names'!$1:$22, 7, FALSE), ""!C3:R29"")), {5;10;14;23}, FALSE)), 'Player Overall Stats Unsorted'!$AA$9:$AA$12), ""=X"")) + (4 - COUNTIF(IFERROR(ARRAYFORMULA(HLOOKUP($B8, IMPORTRANGE('Match Names'!$H$23, CONCAT(VLOOKUP($C8, 'Matc"&amp;"h Names'!$1:$22, 8, FALSE), ""!C3:R29"")), {5;11;17;23}, FALSE)), 'Player Overall Stats Unsorted'!$AA$9:$AA$12), ""=X""))"),0.0)</f>
        <v>0</v>
      </c>
      <c r="E8" s="32">
        <f>IFERROR(__xludf.DUMMYFUNCTION("COUNTIF(ARRAYFORMULA(HLOOKUP($B8, IMPORTRANGE('Prelim Rankings Unsorted'!$B$40, CONCAT(VLOOKUP($C8, 'Match Names'!$A$1:$D$22, 2, FALSE), ""!C3:R29"")), {6;11;17;23}, FALSE)), ""=4"") + COUNTIF(ARRAYFORMULA(HLOOKUP($B8, IMPORTRANGE('Prelim Rankings Unsorte"&amp;"d'!$B$41, CONCAT(VLOOKUP($C8, 'Match Names'!$A$1:$D$22, 3, FALSE), ""!C3:R29"")), {5;11;17;23}, FALSE)), ""=4"") + COUNTIF(ARRAYFORMULA(HLOOKUP($B8, IMPORTRANGE('Prelim Rankings Unsorted'!$B$42, CONCAT(VLOOKUP($C8, 'Match Names'!$A$1:$D$22, 4, FALSE), ""!"&amp;"C3:R29"")), {5;11;17;23}, FALSE)), ""=4"") + COUNTIF(ARRAYFORMULA(HLOOKUP($B8, IMPORTRANGE('Match Names'!$E$23, CONCAT(VLOOKUP($C8, 'Match Names'!$1:$22, 5, FALSE), ""!C3:R29"")), {6;11;16;21}, FALSE)), ""=4"") + COUNTIF(ARRAYFORMULA(HLOOKUP($B8, IMPORTRA"&amp;"NGE('Match Names'!$F$23, CONCAT(VLOOKUP($C8, 'Match Names'!$1:$22, 6, FALSE), ""!C3:R29"")), {5;11;17;23}, FALSE)), ""=4"") + COUNTIF(ARRAYFORMULA(HLOOKUP($B8, IMPORTRANGE('Match Names'!$G$23, CONCAT(VLOOKUP($C8, 'Match Names'!$1:$22, 7, FALSE), ""!C3:R29"&amp;""")), {5;10;14;22}, FALSE)), ""=4"") + COUNTIF(ARRAYFORMULA(HLOOKUP($B8, IMPORTRANGE('Match Names'!$H$23, CONCAT(VLOOKUP($C8, 'Match Names'!$1:$22, 8, FALSE), ""!C3:R29"")), {5;11;17;23}, FALSE)), ""=4"")"),0.0)</f>
        <v>0</v>
      </c>
      <c r="F8" s="32">
        <f>IFERROR(__xludf.DUMMYFUNCTION("COUNTIF(ARRAYFORMULA(HLOOKUP($B8, IMPORTRANGE('Prelim Rankings Unsorted'!$B$40, CONCAT(VLOOKUP($C8, 'Match Names'!$A$1:$D$22, 2, FALSE), ""!C3:R29"")), {6;11;17;23}, FALSE)), ""=0"") + COUNTIF(ARRAYFORMULA(HLOOKUP($B8, IMPORTRANGE('Prelim Rankings Unsorte"&amp;"d'!$B$41, CONCAT(VLOOKUP($C8, 'Match Names'!$A$1:$D$22, 3, FALSE), ""!C3:R29"")), {5;11;17;23}, FALSE)), ""=0"") + COUNTIF(ARRAYFORMULA(HLOOKUP($B8, IMPORTRANGE('Prelim Rankings Unsorted'!$B$42, CONCAT(VLOOKUP($C8, 'Match Names'!$A$1:$D$22, 4, FALSE), ""!"&amp;"C3:R29"")), {5;11;17;23}, FALSE)), ""=0"") + COUNTIF(ARRAYFORMULA(HLOOKUP($B8, IMPORTRANGE('Match Names'!$E$23, CONCAT(VLOOKUP($C8, 'Match Names'!$1:$22, 5, FALSE), ""!C3:R29"")), {6;11;16;21}, FALSE)), ""=0"") + COUNTIF(ARRAYFORMULA(HLOOKUP($B8, IMPORTRA"&amp;"NGE('Match Names'!$F$23, CONCAT(VLOOKUP($C8, 'Match Names'!$1:$22, 6, FALSE), ""!C3:R29"")), {5;11;17;23}, FALSE)), ""=0"") + COUNTIF(ARRAYFORMULA(HLOOKUP($B8, IMPORTRANGE('Match Names'!$G$23, CONCAT(VLOOKUP($C8, 'Match Names'!$1:$22, 7, FALSE), ""!C3:R29"&amp;""")), {5;10;14;22}, FALSE)), ""=0"") + COUNTIF(ARRAYFORMULA(HLOOKUP($B8, IMPORTRANGE('Match Names'!$H$23, CONCAT(VLOOKUP($C8, 'Match Names'!$1:$22, 8, FALSE), ""!C3:R29"")), {5;11;17;23}, FALSE)), ""=0"")"),0.0)</f>
        <v>0</v>
      </c>
      <c r="G8" s="32">
        <f>IFERROR(__xludf.DUMMYFUNCTION("COUNTIF(ARRAYFORMULA(HLOOKUP($B8, IMPORTRANGE('Prelim Rankings Unsorted'!$B$40, CONCAT(VLOOKUP($C8, 'Match Names'!$A$1:$D$22, 2, FALSE), ""!C3:R29"")), {6;11;17;23}, FALSE)), ""=-4"") + COUNTIF(ARRAYFORMULA(HLOOKUP($B8, IMPORTRANGE('Prelim Rankings Unsort"&amp;"ed'!$B$41, CONCAT(VLOOKUP($C8, 'Match Names'!$A$1:$D$22, 3, FALSE), ""!C3:R29"")), {5;11;17;23}, FALSE)), ""=-4"") + COUNTIF(ARRAYFORMULA(HLOOKUP($B8, IMPORTRANGE('Prelim Rankings Unsorted'!$B$42, CONCAT(VLOOKUP($C8, 'Match Names'!$A$1:$D$22, 4, FALSE), "&amp;"""!C3:R29"")), {5;11;17;23}, FALSE)), ""=-4"") + COUNTIF(ARRAYFORMULA(HLOOKUP($B8, IMPORTRANGE('Match Names'!$E$23, CONCAT(VLOOKUP($C8, 'Match Names'!$1:$22, 5, FALSE), ""!C3:R29"")), {6;11;16;21}, FALSE)), ""=-4"") + COUNTIF(ARRAYFORMULA(HLOOKUP($B8, IMP"&amp;"ORTRANGE('Match Names'!$F$23, CONCAT(VLOOKUP($C8, 'Match Names'!$1:$22, 6, FALSE), ""!C3:R29"")), {5;11;17;23}, FALSE)), ""=-4"") + COUNTIF(ARRAYFORMULA(HLOOKUP($B8, IMPORTRANGE('Match Names'!$G$23, CONCAT(VLOOKUP($C8, 'Match Names'!$1:$22, 7, FALSE), ""!"&amp;"C3:R29"")), {5;10;14;22}, FALSE)), ""=-4"") + COUNTIF(ARRAYFORMULA(HLOOKUP($B8, IMPORTRANGE('Match Names'!$H$23, CONCAT(VLOOKUP($C8, 'Match Names'!$1:$22, 8, FALSE), ""!C3:R29"")), {5;11;17;23}, FALSE)), ""=-4"")"),0.0)</f>
        <v>0</v>
      </c>
      <c r="H8" s="33">
        <f t="shared" ref="H8:H95" si="2">IFERROR(ROUND(((E8*4)+(G8*-4))/(D8/4), 2), 0)</f>
        <v>0</v>
      </c>
    </row>
    <row r="9">
      <c r="A9" s="31" t="s">
        <v>82</v>
      </c>
      <c r="B9" s="31" t="str">
        <f>VLOOKUP(CONCAT(A9, C9), 'Discord Username to Real Name'!C:D, 2, FALSE)</f>
        <v>IAmNotJerry#6312</v>
      </c>
      <c r="C9" s="31" t="s">
        <v>5</v>
      </c>
      <c r="D9" s="32">
        <f>IFERROR(__xludf.DUMMYFUNCTION("(4 - COUNTIF(IFERROR(ARRAYFORMULA(HLOOKUP($B9, IMPORTRANGE('Prelim Rankings Unsorted'!$B$40, CONCAT(VLOOKUP($C9, 'Match Names'!$A$1:$D$22, 2, FALSE), ""!C3:R29"")), {6;11;17;23}, FALSE)), 'Player Overall Stats Unsorted'!$AA$9:$AA$12), ""=X"")) + (4 - COUN"&amp;"TIF(IFERROR(ARRAYFORMULA(HLOOKUP($B9, IMPORTRANGE('Prelim Rankings Unsorted'!$B$41, CONCAT(VLOOKUP($C9, 'Match Names'!$A$1:$D$22, 3, FALSE), ""!C3:R29"")), {5;11;17;23}, FALSE)), 'Player Overall Stats Unsorted'!$AA$9:$AA$12), ""=X"")) + (4 - COUNTIF(IFERR"&amp;"OR(ARRAYFORMULA(HLOOKUP($B9, IMPORTRANGE('Prelim Rankings Unsorted'!$B$42, CONCAT(VLOOKUP($C9, 'Match Names'!$A$1:$D$22, 4, FALSE), ""!C3:R29"")), {5;11;17;23}, FALSE)), 'Player Overall Stats Unsorted'!$AA$9:$AA$12), ""=X"")) + (4 - COUNTIF(IFERROR(ARRAYF"&amp;"ORMULA(HLOOKUP($B9, IMPORTRANGE('Match Names'!$E$23, CONCAT(VLOOKUP($C9, 'Match Names'!$1:$22, 5, FALSE), ""!C3:R29"")), {5;11;16;21}, FALSE)), 'Player Overall Stats Unsorted'!$AA$9:$AA$12), ""=X"")) + (4 - COUNTIF(IFERROR(ARRAYFORMULA(HLOOKUP($B9, IMPORT"&amp;"RANGE('Match Names'!$F$23, CONCAT(VLOOKUP($C9, 'Match Names'!$1:$22, 6, FALSE), ""!C3:R29"")), {5;11;17;23}, FALSE)), 'Player Overall Stats Unsorted'!$AA$9:$AA$12), ""=X"")) + (4 - COUNTIF(IFERROR(ARRAYFORMULA(HLOOKUP($B9, IMPORTRANGE('Match Names'!$G$23,"&amp;" CONCAT(VLOOKUP($C9, 'Match Names'!$1:$22, 7, FALSE), ""!C3:R29"")), {5;10;14;23}, FALSE)), 'Player Overall Stats Unsorted'!$AA$9:$AA$12), ""=X"")) + (4 - COUNTIF(IFERROR(ARRAYFORMULA(HLOOKUP($B9, IMPORTRANGE('Match Names'!$H$23, CONCAT(VLOOKUP($C9, 'Matc"&amp;"h Names'!$1:$22, 8, FALSE), ""!C3:R29"")), {5;11;17;23}, FALSE)), 'Player Overall Stats Unsorted'!$AA$9:$AA$12), ""=X""))"),12.0)</f>
        <v>12</v>
      </c>
      <c r="E9" s="32">
        <f>IFERROR(__xludf.DUMMYFUNCTION("COUNTIF(ARRAYFORMULA(HLOOKUP($B9, IMPORTRANGE('Prelim Rankings Unsorted'!$B$40, CONCAT(VLOOKUP($C9, 'Match Names'!$A$1:$D$22, 2, FALSE), ""!C3:R29"")), {6;11;17;23}, FALSE)), ""=4"") + COUNTIF(ARRAYFORMULA(HLOOKUP($B9, IMPORTRANGE('Prelim Rankings Unsorte"&amp;"d'!$B$41, CONCAT(VLOOKUP($C9, 'Match Names'!$A$1:$D$22, 3, FALSE), ""!C3:R29"")), {5;11;17;23}, FALSE)), ""=4"") + COUNTIF(ARRAYFORMULA(HLOOKUP($B9, IMPORTRANGE('Prelim Rankings Unsorted'!$B$42, CONCAT(VLOOKUP($C9, 'Match Names'!$A$1:$D$22, 4, FALSE), ""!"&amp;"C3:R29"")), {5;11;17;23}, FALSE)), ""=4"") + COUNTIF(ARRAYFORMULA(HLOOKUP($B9, IMPORTRANGE('Match Names'!$E$23, CONCAT(VLOOKUP($C9, 'Match Names'!$1:$22, 5, FALSE), ""!C3:R29"")), {6;11;16;21}, FALSE)), ""=4"") + COUNTIF(ARRAYFORMULA(HLOOKUP($B9, IMPORTRA"&amp;"NGE('Match Names'!$F$23, CONCAT(VLOOKUP($C9, 'Match Names'!$1:$22, 6, FALSE), ""!C3:R29"")), {5;11;17;23}, FALSE)), ""=4"") + COUNTIF(ARRAYFORMULA(HLOOKUP($B9, IMPORTRANGE('Match Names'!$G$23, CONCAT(VLOOKUP($C9, 'Match Names'!$1:$22, 7, FALSE), ""!C3:R29"&amp;""")), {5;10;14;22}, FALSE)), ""=4"") + COUNTIF(ARRAYFORMULA(HLOOKUP($B9, IMPORTRANGE('Match Names'!$H$23, CONCAT(VLOOKUP($C9, 'Match Names'!$1:$22, 8, FALSE), ""!C3:R29"")), {5;11;17;23}, FALSE)), ""=4"")"),0.0)</f>
        <v>0</v>
      </c>
      <c r="F9" s="32">
        <f>IFERROR(__xludf.DUMMYFUNCTION("COUNTIF(ARRAYFORMULA(HLOOKUP($B9, IMPORTRANGE('Prelim Rankings Unsorted'!$B$40, CONCAT(VLOOKUP($C9, 'Match Names'!$A$1:$D$22, 2, FALSE), ""!C3:R29"")), {6;11;17;23}, FALSE)), ""=0"") + COUNTIF(ARRAYFORMULA(HLOOKUP($B9, IMPORTRANGE('Prelim Rankings Unsorte"&amp;"d'!$B$41, CONCAT(VLOOKUP($C9, 'Match Names'!$A$1:$D$22, 3, FALSE), ""!C3:R29"")), {5;11;17;23}, FALSE)), ""=0"") + COUNTIF(ARRAYFORMULA(HLOOKUP($B9, IMPORTRANGE('Prelim Rankings Unsorted'!$B$42, CONCAT(VLOOKUP($C9, 'Match Names'!$A$1:$D$22, 4, FALSE), ""!"&amp;"C3:R29"")), {5;11;17;23}, FALSE)), ""=0"") + COUNTIF(ARRAYFORMULA(HLOOKUP($B9, IMPORTRANGE('Match Names'!$E$23, CONCAT(VLOOKUP($C9, 'Match Names'!$1:$22, 5, FALSE), ""!C3:R29"")), {6;11;16;21}, FALSE)), ""=0"") + COUNTIF(ARRAYFORMULA(HLOOKUP($B9, IMPORTRA"&amp;"NGE('Match Names'!$F$23, CONCAT(VLOOKUP($C9, 'Match Names'!$1:$22, 6, FALSE), ""!C3:R29"")), {5;11;17;23}, FALSE)), ""=0"") + COUNTIF(ARRAYFORMULA(HLOOKUP($B9, IMPORTRANGE('Match Names'!$G$23, CONCAT(VLOOKUP($C9, 'Match Names'!$1:$22, 7, FALSE), ""!C3:R29"&amp;""")), {5;10;14;22}, FALSE)), ""=0"") + COUNTIF(ARRAYFORMULA(HLOOKUP($B9, IMPORTRANGE('Match Names'!$H$23, CONCAT(VLOOKUP($C9, 'Match Names'!$1:$22, 8, FALSE), ""!C3:R29"")), {5;11;17;23}, FALSE)), ""=0"")"),0.0)</f>
        <v>0</v>
      </c>
      <c r="G9" s="32">
        <f>IFERROR(__xludf.DUMMYFUNCTION("COUNTIF(ARRAYFORMULA(HLOOKUP($B9, IMPORTRANGE('Prelim Rankings Unsorted'!$B$40, CONCAT(VLOOKUP($C9, 'Match Names'!$A$1:$D$22, 2, FALSE), ""!C3:R29"")), {6;11;17;23}, FALSE)), ""=-4"") + COUNTIF(ARRAYFORMULA(HLOOKUP($B9, IMPORTRANGE('Prelim Rankings Unsort"&amp;"ed'!$B$41, CONCAT(VLOOKUP($C9, 'Match Names'!$A$1:$D$22, 3, FALSE), ""!C3:R29"")), {5;11;17;23}, FALSE)), ""=-4"") + COUNTIF(ARRAYFORMULA(HLOOKUP($B9, IMPORTRANGE('Prelim Rankings Unsorted'!$B$42, CONCAT(VLOOKUP($C9, 'Match Names'!$A$1:$D$22, 4, FALSE), "&amp;"""!C3:R29"")), {5;11;17;23}, FALSE)), ""=-4"") + COUNTIF(ARRAYFORMULA(HLOOKUP($B9, IMPORTRANGE('Match Names'!$E$23, CONCAT(VLOOKUP($C9, 'Match Names'!$1:$22, 5, FALSE), ""!C3:R29"")), {6;11;16;21}, FALSE)), ""=-4"") + COUNTIF(ARRAYFORMULA(HLOOKUP($B9, IMP"&amp;"ORTRANGE('Match Names'!$F$23, CONCAT(VLOOKUP($C9, 'Match Names'!$1:$22, 6, FALSE), ""!C3:R29"")), {5;11;17;23}, FALSE)), ""=-4"") + COUNTIF(ARRAYFORMULA(HLOOKUP($B9, IMPORTRANGE('Match Names'!$G$23, CONCAT(VLOOKUP($C9, 'Match Names'!$1:$22, 7, FALSE), ""!"&amp;"C3:R29"")), {5;10;14;22}, FALSE)), ""=-4"") + COUNTIF(ARRAYFORMULA(HLOOKUP($B9, IMPORTRANGE('Match Names'!$H$23, CONCAT(VLOOKUP($C9, 'Match Names'!$1:$22, 8, FALSE), ""!C3:R29"")), {5;11;17;23}, FALSE)), ""=-4"")"),0.0)</f>
        <v>0</v>
      </c>
      <c r="H9" s="33">
        <f t="shared" si="2"/>
        <v>0</v>
      </c>
    </row>
    <row r="10">
      <c r="A10" s="31" t="s">
        <v>196</v>
      </c>
      <c r="B10" s="31" t="str">
        <f>VLOOKUP(CONCAT(A10, C10), 'Discord Username to Real Name'!C:D, 2, FALSE)</f>
        <v>haybales#0656</v>
      </c>
      <c r="C10" s="21" t="s">
        <v>17</v>
      </c>
      <c r="D10" s="32">
        <f>IFERROR(__xludf.DUMMYFUNCTION("(4 - COUNTIF(IFERROR(ARRAYFORMULA(HLOOKUP($B10, IMPORTRANGE('Prelim Rankings Unsorted'!$B$40, CONCAT(VLOOKUP($C10, 'Match Names'!$A$1:$D$22, 2, FALSE), ""!C3:R29"")), {6;11;17;23}, FALSE)), 'Player Overall Stats Unsorted'!$AA$9:$AA$12), ""=X"")) + (4 - CO"&amp;"UNTIF(IFERROR(ARRAYFORMULA(HLOOKUP($B10, IMPORTRANGE('Prelim Rankings Unsorted'!$B$41, CONCAT(VLOOKUP($C10, 'Match Names'!$A$1:$D$22, 3, FALSE), ""!C3:R29"")), {5;11;17;23}, FALSE)), 'Player Overall Stats Unsorted'!$AA$9:$AA$12), ""=X"")) + (4 - COUNTIF(I"&amp;"FERROR(ARRAYFORMULA(HLOOKUP($B10, IMPORTRANGE('Prelim Rankings Unsorted'!$B$42, CONCAT(VLOOKUP($C10, 'Match Names'!$A$1:$D$22, 4, FALSE), ""!C3:R29"")), {5;11;17;23}, FALSE)), 'Player Overall Stats Unsorted'!$AA$9:$AA$12), ""=X"")) + (4 - COUNTIF(IFERROR("&amp;"ARRAYFORMULA(HLOOKUP($B10, IMPORTRANGE('Match Names'!$E$23, CONCAT(VLOOKUP($C10, 'Match Names'!$1:$22, 5, FALSE), ""!C3:R29"")), {5;11;16;21}, FALSE)), 'Player Overall Stats Unsorted'!$AA$9:$AA$12), ""=X"")) + (4 - COUNTIF(IFERROR(ARRAYFORMULA(HLOOKUP($B1"&amp;"0, IMPORTRANGE('Match Names'!$F$23, CONCAT(VLOOKUP($C10, 'Match Names'!$1:$22, 6, FALSE), ""!C3:R29"")), {5;11;17;23}, FALSE)), 'Player Overall Stats Unsorted'!$AA$9:$AA$12), ""=X"")) + (4 - COUNTIF(IFERROR(ARRAYFORMULA(HLOOKUP($B10, IMPORTRANGE('Match Na"&amp;"mes'!$G$23, CONCAT(VLOOKUP($C10, 'Match Names'!$1:$22, 7, FALSE), ""!C3:R29"")), {5;10;14;23}, FALSE)), 'Player Overall Stats Unsorted'!$AA$9:$AA$12), ""=X"")) + (4 - COUNTIF(IFERROR(ARRAYFORMULA(HLOOKUP($B10, IMPORTRANGE('Match Names'!$H$23, CONCAT(VLOOK"&amp;"UP($C10, 'Match Names'!$1:$22, 8, FALSE), ""!C3:R29"")), {5;11;17;23}, FALSE)), 'Player Overall Stats Unsorted'!$AA$9:$AA$12), ""=X""))"),0.0)</f>
        <v>0</v>
      </c>
      <c r="E10" s="32">
        <f>IFERROR(__xludf.DUMMYFUNCTION("COUNTIF(ARRAYFORMULA(HLOOKUP($B10, IMPORTRANGE('Prelim Rankings Unsorted'!$B$40, CONCAT(VLOOKUP($C10, 'Match Names'!$A$1:$D$22, 2, FALSE), ""!C3:R29"")), {6;11;17;23}, FALSE)), ""=4"") + COUNTIF(ARRAYFORMULA(HLOOKUP($B10, IMPORTRANGE('Prelim Rankings Unso"&amp;"rted'!$B$41, CONCAT(VLOOKUP($C10, 'Match Names'!$A$1:$D$22, 3, FALSE), ""!C3:R29"")), {5;11;17;23}, FALSE)), ""=4"") + COUNTIF(ARRAYFORMULA(HLOOKUP($B10, IMPORTRANGE('Prelim Rankings Unsorted'!$B$42, CONCAT(VLOOKUP($C10, 'Match Names'!$A$1:$D$22, 4, FALSE"&amp;"), ""!C3:R29"")), {5;11;17;23}, FALSE)), ""=4"") + COUNTIF(ARRAYFORMULA(HLOOKUP($B10, IMPORTRANGE('Match Names'!$E$23, CONCAT(VLOOKUP($C10, 'Match Names'!$1:$22, 5, FALSE), ""!C3:R29"")), {6;11;16;21}, FALSE)), ""=4"") + COUNTIF(ARRAYFORMULA(HLOOKUP($B10,"&amp;" IMPORTRANGE('Match Names'!$F$23, CONCAT(VLOOKUP($C10, 'Match Names'!$1:$22, 6, FALSE), ""!C3:R29"")), {5;11;17;23}, FALSE)), ""=4"") + COUNTIF(ARRAYFORMULA(HLOOKUP($B10, IMPORTRANGE('Match Names'!$G$23, CONCAT(VLOOKUP($C10, 'Match Names'!$1:$22, 7, FALSE"&amp;"), ""!C3:R29"")), {5;10;14;22}, FALSE)), ""=4"") + COUNTIF(ARRAYFORMULA(HLOOKUP($B10, IMPORTRANGE('Match Names'!$H$23, CONCAT(VLOOKUP($C10, 'Match Names'!$1:$22, 8, FALSE), ""!C3:R29"")), {5;11;17;23}, FALSE)), ""=4"")"),0.0)</f>
        <v>0</v>
      </c>
      <c r="F10" s="32">
        <f>IFERROR(__xludf.DUMMYFUNCTION("COUNTIF(ARRAYFORMULA(HLOOKUP($B10, IMPORTRANGE('Prelim Rankings Unsorted'!$B$40, CONCAT(VLOOKUP($C10, 'Match Names'!$A$1:$D$22, 2, FALSE), ""!C3:R29"")), {6;11;17;23}, FALSE)), ""=0"") + COUNTIF(ARRAYFORMULA(HLOOKUP($B10, IMPORTRANGE('Prelim Rankings Unso"&amp;"rted'!$B$41, CONCAT(VLOOKUP($C10, 'Match Names'!$A$1:$D$22, 3, FALSE), ""!C3:R29"")), {5;11;17;23}, FALSE)), ""=0"") + COUNTIF(ARRAYFORMULA(HLOOKUP($B10, IMPORTRANGE('Prelim Rankings Unsorted'!$B$42, CONCAT(VLOOKUP($C10, 'Match Names'!$A$1:$D$22, 4, FALSE"&amp;"), ""!C3:R29"")), {5;11;17;23}, FALSE)), ""=0"") + COUNTIF(ARRAYFORMULA(HLOOKUP($B10, IMPORTRANGE('Match Names'!$E$23, CONCAT(VLOOKUP($C10, 'Match Names'!$1:$22, 5, FALSE), ""!C3:R29"")), {6;11;16;21}, FALSE)), ""=0"") + COUNTIF(ARRAYFORMULA(HLOOKUP($B10,"&amp;" IMPORTRANGE('Match Names'!$F$23, CONCAT(VLOOKUP($C10, 'Match Names'!$1:$22, 6, FALSE), ""!C3:R29"")), {5;11;17;23}, FALSE)), ""=0"") + COUNTIF(ARRAYFORMULA(HLOOKUP($B10, IMPORTRANGE('Match Names'!$G$23, CONCAT(VLOOKUP($C10, 'Match Names'!$1:$22, 7, FALSE"&amp;"), ""!C3:R29"")), {5;10;14;22}, FALSE)), ""=0"") + COUNTIF(ARRAYFORMULA(HLOOKUP($B10, IMPORTRANGE('Match Names'!$H$23, CONCAT(VLOOKUP($C10, 'Match Names'!$1:$22, 8, FALSE), ""!C3:R29"")), {5;11;17;23}, FALSE)), ""=0"")"),0.0)</f>
        <v>0</v>
      </c>
      <c r="G10" s="32">
        <f>IFERROR(__xludf.DUMMYFUNCTION("COUNTIF(ARRAYFORMULA(HLOOKUP($B10, IMPORTRANGE('Prelim Rankings Unsorted'!$B$40, CONCAT(VLOOKUP($C10, 'Match Names'!$A$1:$D$22, 2, FALSE), ""!C3:R29"")), {6;11;17;23}, FALSE)), ""=-4"") + COUNTIF(ARRAYFORMULA(HLOOKUP($B10, IMPORTRANGE('Prelim Rankings Uns"&amp;"orted'!$B$41, CONCAT(VLOOKUP($C10, 'Match Names'!$A$1:$D$22, 3, FALSE), ""!C3:R29"")), {5;11;17;23}, FALSE)), ""=-4"") + COUNTIF(ARRAYFORMULA(HLOOKUP($B10, IMPORTRANGE('Prelim Rankings Unsorted'!$B$42, CONCAT(VLOOKUP($C10, 'Match Names'!$A$1:$D$22, 4, FAL"&amp;"SE), ""!C3:R29"")), {5;11;17;23}, FALSE)), ""=-4"") + COUNTIF(ARRAYFORMULA(HLOOKUP($B10, IMPORTRANGE('Match Names'!$E$23, CONCAT(VLOOKUP($C10, 'Match Names'!$1:$22, 5, FALSE), ""!C3:R29"")), {6;11;16;21}, FALSE)), ""=-4"") + COUNTIF(ARRAYFORMULA(HLOOKUP($"&amp;"B10, IMPORTRANGE('Match Names'!$F$23, CONCAT(VLOOKUP($C10, 'Match Names'!$1:$22, 6, FALSE), ""!C3:R29"")), {5;11;17;23}, FALSE)), ""=-4"") + COUNTIF(ARRAYFORMULA(HLOOKUP($B10, IMPORTRANGE('Match Names'!$G$23, CONCAT(VLOOKUP($C10, 'Match Names'!$1:$22, 7, "&amp;"FALSE), ""!C3:R29"")), {5;10;14;22}, FALSE)), ""=-4"") + COUNTIF(ARRAYFORMULA(HLOOKUP($B10, IMPORTRANGE('Match Names'!$H$23, CONCAT(VLOOKUP($C10, 'Match Names'!$1:$22, 8, FALSE), ""!C3:R29"")), {5;11;17;23}, FALSE)), ""=-4"")"),0.0)</f>
        <v>0</v>
      </c>
      <c r="H10" s="33">
        <f t="shared" si="2"/>
        <v>0</v>
      </c>
    </row>
    <row r="11">
      <c r="A11" s="31" t="s">
        <v>194</v>
      </c>
      <c r="B11" s="31" t="str">
        <f>VLOOKUP(CONCAT(A11, C11), 'Discord Username to Real Name'!C:D, 2, FALSE)</f>
        <v>ez#5904</v>
      </c>
      <c r="C11" s="21" t="s">
        <v>17</v>
      </c>
      <c r="D11" s="32">
        <f>IFERROR(__xludf.DUMMYFUNCTION("(4 - COUNTIF(IFERROR(ARRAYFORMULA(HLOOKUP($B11, IMPORTRANGE('Prelim Rankings Unsorted'!$B$40, CONCAT(VLOOKUP($C11, 'Match Names'!$A$1:$D$22, 2, FALSE), ""!C3:R29"")), {6;11;17;23}, FALSE)), 'Player Overall Stats Unsorted'!$AA$9:$AA$12), ""=X"")) + (4 - CO"&amp;"UNTIF(IFERROR(ARRAYFORMULA(HLOOKUP($B11, IMPORTRANGE('Prelim Rankings Unsorted'!$B$41, CONCAT(VLOOKUP($C11, 'Match Names'!$A$1:$D$22, 3, FALSE), ""!C3:R29"")), {5;11;17;23}, FALSE)), 'Player Overall Stats Unsorted'!$AA$9:$AA$12), ""=X"")) + (4 - COUNTIF(I"&amp;"FERROR(ARRAYFORMULA(HLOOKUP($B11, IMPORTRANGE('Prelim Rankings Unsorted'!$B$42, CONCAT(VLOOKUP($C11, 'Match Names'!$A$1:$D$22, 4, FALSE), ""!C3:R29"")), {5;11;17;23}, FALSE)), 'Player Overall Stats Unsorted'!$AA$9:$AA$12), ""=X"")) + (4 - COUNTIF(IFERROR("&amp;"ARRAYFORMULA(HLOOKUP($B11, IMPORTRANGE('Match Names'!$E$23, CONCAT(VLOOKUP($C11, 'Match Names'!$1:$22, 5, FALSE), ""!C3:R29"")), {5;11;16;21}, FALSE)), 'Player Overall Stats Unsorted'!$AA$9:$AA$12), ""=X"")) + (4 - COUNTIF(IFERROR(ARRAYFORMULA(HLOOKUP($B1"&amp;"1, IMPORTRANGE('Match Names'!$F$23, CONCAT(VLOOKUP($C11, 'Match Names'!$1:$22, 6, FALSE), ""!C3:R29"")), {5;11;17;23}, FALSE)), 'Player Overall Stats Unsorted'!$AA$9:$AA$12), ""=X"")) + (4 - COUNTIF(IFERROR(ARRAYFORMULA(HLOOKUP($B11, IMPORTRANGE('Match Na"&amp;"mes'!$G$23, CONCAT(VLOOKUP($C11, 'Match Names'!$1:$22, 7, FALSE), ""!C3:R29"")), {5;10;14;23}, FALSE)), 'Player Overall Stats Unsorted'!$AA$9:$AA$12), ""=X"")) + (4 - COUNTIF(IFERROR(ARRAYFORMULA(HLOOKUP($B11, IMPORTRANGE('Match Names'!$H$23, CONCAT(VLOOK"&amp;"UP($C11, 'Match Names'!$1:$22, 8, FALSE), ""!C3:R29"")), {5;11;17;23}, FALSE)), 'Player Overall Stats Unsorted'!$AA$9:$AA$12), ""=X""))"),0.0)</f>
        <v>0</v>
      </c>
      <c r="E11" s="32">
        <f>IFERROR(__xludf.DUMMYFUNCTION("COUNTIF(ARRAYFORMULA(HLOOKUP($B11, IMPORTRANGE('Prelim Rankings Unsorted'!$B$40, CONCAT(VLOOKUP($C11, 'Match Names'!$A$1:$D$22, 2, FALSE), ""!C3:R29"")), {6;11;17;23}, FALSE)), ""=4"") + COUNTIF(ARRAYFORMULA(HLOOKUP($B11, IMPORTRANGE('Prelim Rankings Unso"&amp;"rted'!$B$41, CONCAT(VLOOKUP($C11, 'Match Names'!$A$1:$D$22, 3, FALSE), ""!C3:R29"")), {5;11;17;23}, FALSE)), ""=4"") + COUNTIF(ARRAYFORMULA(HLOOKUP($B11, IMPORTRANGE('Prelim Rankings Unsorted'!$B$42, CONCAT(VLOOKUP($C11, 'Match Names'!$A$1:$D$22, 4, FALSE"&amp;"), ""!C3:R29"")), {5;11;17;23}, FALSE)), ""=4"") + COUNTIF(ARRAYFORMULA(HLOOKUP($B11, IMPORTRANGE('Match Names'!$E$23, CONCAT(VLOOKUP($C11, 'Match Names'!$1:$22, 5, FALSE), ""!C3:R29"")), {6;11;16;21}, FALSE)), ""=4"") + COUNTIF(ARRAYFORMULA(HLOOKUP($B11,"&amp;" IMPORTRANGE('Match Names'!$F$23, CONCAT(VLOOKUP($C11, 'Match Names'!$1:$22, 6, FALSE), ""!C3:R29"")), {5;11;17;23}, FALSE)), ""=4"") + COUNTIF(ARRAYFORMULA(HLOOKUP($B11, IMPORTRANGE('Match Names'!$G$23, CONCAT(VLOOKUP($C11, 'Match Names'!$1:$22, 7, FALSE"&amp;"), ""!C3:R29"")), {5;10;14;22}, FALSE)), ""=4"") + COUNTIF(ARRAYFORMULA(HLOOKUP($B11, IMPORTRANGE('Match Names'!$H$23, CONCAT(VLOOKUP($C11, 'Match Names'!$1:$22, 8, FALSE), ""!C3:R29"")), {5;11;17;23}, FALSE)), ""=4"")"),0.0)</f>
        <v>0</v>
      </c>
      <c r="F11" s="32">
        <f>IFERROR(__xludf.DUMMYFUNCTION("COUNTIF(ARRAYFORMULA(HLOOKUP($B11, IMPORTRANGE('Prelim Rankings Unsorted'!$B$40, CONCAT(VLOOKUP($C11, 'Match Names'!$A$1:$D$22, 2, FALSE), ""!C3:R29"")), {6;11;17;23}, FALSE)), ""=0"") + COUNTIF(ARRAYFORMULA(HLOOKUP($B11, IMPORTRANGE('Prelim Rankings Unso"&amp;"rted'!$B$41, CONCAT(VLOOKUP($C11, 'Match Names'!$A$1:$D$22, 3, FALSE), ""!C3:R29"")), {5;11;17;23}, FALSE)), ""=0"") + COUNTIF(ARRAYFORMULA(HLOOKUP($B11, IMPORTRANGE('Prelim Rankings Unsorted'!$B$42, CONCAT(VLOOKUP($C11, 'Match Names'!$A$1:$D$22, 4, FALSE"&amp;"), ""!C3:R29"")), {5;11;17;23}, FALSE)), ""=0"") + COUNTIF(ARRAYFORMULA(HLOOKUP($B11, IMPORTRANGE('Match Names'!$E$23, CONCAT(VLOOKUP($C11, 'Match Names'!$1:$22, 5, FALSE), ""!C3:R29"")), {6;11;16;21}, FALSE)), ""=0"") + COUNTIF(ARRAYFORMULA(HLOOKUP($B11,"&amp;" IMPORTRANGE('Match Names'!$F$23, CONCAT(VLOOKUP($C11, 'Match Names'!$1:$22, 6, FALSE), ""!C3:R29"")), {5;11;17;23}, FALSE)), ""=0"") + COUNTIF(ARRAYFORMULA(HLOOKUP($B11, IMPORTRANGE('Match Names'!$G$23, CONCAT(VLOOKUP($C11, 'Match Names'!$1:$22, 7, FALSE"&amp;"), ""!C3:R29"")), {5;10;14;22}, FALSE)), ""=0"") + COUNTIF(ARRAYFORMULA(HLOOKUP($B11, IMPORTRANGE('Match Names'!$H$23, CONCAT(VLOOKUP($C11, 'Match Names'!$1:$22, 8, FALSE), ""!C3:R29"")), {5;11;17;23}, FALSE)), ""=0"")"),0.0)</f>
        <v>0</v>
      </c>
      <c r="G11" s="32">
        <f>IFERROR(__xludf.DUMMYFUNCTION("COUNTIF(ARRAYFORMULA(HLOOKUP($B11, IMPORTRANGE('Prelim Rankings Unsorted'!$B$40, CONCAT(VLOOKUP($C11, 'Match Names'!$A$1:$D$22, 2, FALSE), ""!C3:R29"")), {6;11;17;23}, FALSE)), ""=-4"") + COUNTIF(ARRAYFORMULA(HLOOKUP($B11, IMPORTRANGE('Prelim Rankings Uns"&amp;"orted'!$B$41, CONCAT(VLOOKUP($C11, 'Match Names'!$A$1:$D$22, 3, FALSE), ""!C3:R29"")), {5;11;17;23}, FALSE)), ""=-4"") + COUNTIF(ARRAYFORMULA(HLOOKUP($B11, IMPORTRANGE('Prelim Rankings Unsorted'!$B$42, CONCAT(VLOOKUP($C11, 'Match Names'!$A$1:$D$22, 4, FAL"&amp;"SE), ""!C3:R29"")), {5;11;17;23}, FALSE)), ""=-4"") + COUNTIF(ARRAYFORMULA(HLOOKUP($B11, IMPORTRANGE('Match Names'!$E$23, CONCAT(VLOOKUP($C11, 'Match Names'!$1:$22, 5, FALSE), ""!C3:R29"")), {6;11;16;21}, FALSE)), ""=-4"") + COUNTIF(ARRAYFORMULA(HLOOKUP($"&amp;"B11, IMPORTRANGE('Match Names'!$F$23, CONCAT(VLOOKUP($C11, 'Match Names'!$1:$22, 6, FALSE), ""!C3:R29"")), {5;11;17;23}, FALSE)), ""=-4"") + COUNTIF(ARRAYFORMULA(HLOOKUP($B11, IMPORTRANGE('Match Names'!$G$23, CONCAT(VLOOKUP($C11, 'Match Names'!$1:$22, 7, "&amp;"FALSE), ""!C3:R29"")), {5;10;14;22}, FALSE)), ""=-4"") + COUNTIF(ARRAYFORMULA(HLOOKUP($B11, IMPORTRANGE('Match Names'!$H$23, CONCAT(VLOOKUP($C11, 'Match Names'!$1:$22, 8, FALSE), ""!C3:R29"")), {5;11;17;23}, FALSE)), ""=-4"")"),0.0)</f>
        <v>0</v>
      </c>
      <c r="H11" s="33">
        <f t="shared" si="2"/>
        <v>0</v>
      </c>
    </row>
    <row r="12">
      <c r="A12" s="31" t="s">
        <v>35</v>
      </c>
      <c r="B12" s="31" t="str">
        <f>VLOOKUP(CONCAT(A12, C12), 'Discord Username to Real Name'!C:D, 2, FALSE)</f>
        <v>borb#6872</v>
      </c>
      <c r="C12" s="21" t="s">
        <v>17</v>
      </c>
      <c r="D12" s="32">
        <f>IFERROR(__xludf.DUMMYFUNCTION("(4 - COUNTIF(IFERROR(ARRAYFORMULA(HLOOKUP($B12, IMPORTRANGE('Prelim Rankings Unsorted'!$B$40, CONCAT(VLOOKUP($C12, 'Match Names'!$A$1:$D$22, 2, FALSE), ""!C3:R29"")), {6;11;17;23}, FALSE)), 'Player Overall Stats Unsorted'!$AA$9:$AA$12), ""=X"")) + (4 - CO"&amp;"UNTIF(IFERROR(ARRAYFORMULA(HLOOKUP($B12, IMPORTRANGE('Prelim Rankings Unsorted'!$B$41, CONCAT(VLOOKUP($C12, 'Match Names'!$A$1:$D$22, 3, FALSE), ""!C3:R29"")), {5;11;17;23}, FALSE)), 'Player Overall Stats Unsorted'!$AA$9:$AA$12), ""=X"")) + (4 - COUNTIF(I"&amp;"FERROR(ARRAYFORMULA(HLOOKUP($B12, IMPORTRANGE('Prelim Rankings Unsorted'!$B$42, CONCAT(VLOOKUP($C12, 'Match Names'!$A$1:$D$22, 4, FALSE), ""!C3:R29"")), {5;11;17;23}, FALSE)), 'Player Overall Stats Unsorted'!$AA$9:$AA$12), ""=X"")) + (4 - COUNTIF(IFERROR("&amp;"ARRAYFORMULA(HLOOKUP($B12, IMPORTRANGE('Match Names'!$E$23, CONCAT(VLOOKUP($C12, 'Match Names'!$1:$22, 5, FALSE), ""!C3:R29"")), {5;11;16;21}, FALSE)), 'Player Overall Stats Unsorted'!$AA$9:$AA$12), ""=X"")) + (4 - COUNTIF(IFERROR(ARRAYFORMULA(HLOOKUP($B1"&amp;"2, IMPORTRANGE('Match Names'!$F$23, CONCAT(VLOOKUP($C12, 'Match Names'!$1:$22, 6, FALSE), ""!C3:R29"")), {5;11;17;23}, FALSE)), 'Player Overall Stats Unsorted'!$AA$9:$AA$12), ""=X"")) + (4 - COUNTIF(IFERROR(ARRAYFORMULA(HLOOKUP($B12, IMPORTRANGE('Match Na"&amp;"mes'!$G$23, CONCAT(VLOOKUP($C12, 'Match Names'!$1:$22, 7, FALSE), ""!C3:R29"")), {5;10;14;23}, FALSE)), 'Player Overall Stats Unsorted'!$AA$9:$AA$12), ""=X"")) + (4 - COUNTIF(IFERROR(ARRAYFORMULA(HLOOKUP($B12, IMPORTRANGE('Match Names'!$H$23, CONCAT(VLOOK"&amp;"UP($C12, 'Match Names'!$1:$22, 8, FALSE), ""!C3:R29"")), {5;11;17;23}, FALSE)), 'Player Overall Stats Unsorted'!$AA$9:$AA$12), ""=X""))"),16.0)</f>
        <v>16</v>
      </c>
      <c r="E12" s="32">
        <f>IFERROR(__xludf.DUMMYFUNCTION("COUNTIF(ARRAYFORMULA(HLOOKUP($B12, IMPORTRANGE('Prelim Rankings Unsorted'!$B$40, CONCAT(VLOOKUP($C12, 'Match Names'!$A$1:$D$22, 2, FALSE), ""!C3:R29"")), {6;11;17;23}, FALSE)), ""=4"") + COUNTIF(ARRAYFORMULA(HLOOKUP($B12, IMPORTRANGE('Prelim Rankings Unso"&amp;"rted'!$B$41, CONCAT(VLOOKUP($C12, 'Match Names'!$A$1:$D$22, 3, FALSE), ""!C3:R29"")), {5;11;17;23}, FALSE)), ""=4"") + COUNTIF(ARRAYFORMULA(HLOOKUP($B12, IMPORTRANGE('Prelim Rankings Unsorted'!$B$42, CONCAT(VLOOKUP($C12, 'Match Names'!$A$1:$D$22, 4, FALSE"&amp;"), ""!C3:R29"")), {5;11;17;23}, FALSE)), ""=4"") + COUNTIF(ARRAYFORMULA(HLOOKUP($B12, IMPORTRANGE('Match Names'!$E$23, CONCAT(VLOOKUP($C12, 'Match Names'!$1:$22, 5, FALSE), ""!C3:R29"")), {6;11;16;21}, FALSE)), ""=4"") + COUNTIF(ARRAYFORMULA(HLOOKUP($B12,"&amp;" IMPORTRANGE('Match Names'!$F$23, CONCAT(VLOOKUP($C12, 'Match Names'!$1:$22, 6, FALSE), ""!C3:R29"")), {5;11;17;23}, FALSE)), ""=4"") + COUNTIF(ARRAYFORMULA(HLOOKUP($B12, IMPORTRANGE('Match Names'!$G$23, CONCAT(VLOOKUP($C12, 'Match Names'!$1:$22, 7, FALSE"&amp;"), ""!C3:R29"")), {5;10;14;22}, FALSE)), ""=4"") + COUNTIF(ARRAYFORMULA(HLOOKUP($B12, IMPORTRANGE('Match Names'!$H$23, CONCAT(VLOOKUP($C12, 'Match Names'!$1:$22, 8, FALSE), ""!C3:R29"")), {5;11;17;23}, FALSE)), ""=4"")"),11.0)</f>
        <v>11</v>
      </c>
      <c r="F12" s="32">
        <f>IFERROR(__xludf.DUMMYFUNCTION("COUNTIF(ARRAYFORMULA(HLOOKUP($B12, IMPORTRANGE('Prelim Rankings Unsorted'!$B$40, CONCAT(VLOOKUP($C12, 'Match Names'!$A$1:$D$22, 2, FALSE), ""!C3:R29"")), {6;11;17;23}, FALSE)), ""=0"") + COUNTIF(ARRAYFORMULA(HLOOKUP($B12, IMPORTRANGE('Prelim Rankings Unso"&amp;"rted'!$B$41, CONCAT(VLOOKUP($C12, 'Match Names'!$A$1:$D$22, 3, FALSE), ""!C3:R29"")), {5;11;17;23}, FALSE)), ""=0"") + COUNTIF(ARRAYFORMULA(HLOOKUP($B12, IMPORTRANGE('Prelim Rankings Unsorted'!$B$42, CONCAT(VLOOKUP($C12, 'Match Names'!$A$1:$D$22, 4, FALSE"&amp;"), ""!C3:R29"")), {5;11;17;23}, FALSE)), ""=0"") + COUNTIF(ARRAYFORMULA(HLOOKUP($B12, IMPORTRANGE('Match Names'!$E$23, CONCAT(VLOOKUP($C12, 'Match Names'!$1:$22, 5, FALSE), ""!C3:R29"")), {6;11;16;21}, FALSE)), ""=0"") + COUNTIF(ARRAYFORMULA(HLOOKUP($B12,"&amp;" IMPORTRANGE('Match Names'!$F$23, CONCAT(VLOOKUP($C12, 'Match Names'!$1:$22, 6, FALSE), ""!C3:R29"")), {5;11;17;23}, FALSE)), ""=0"") + COUNTIF(ARRAYFORMULA(HLOOKUP($B12, IMPORTRANGE('Match Names'!$G$23, CONCAT(VLOOKUP($C12, 'Match Names'!$1:$22, 7, FALSE"&amp;"), ""!C3:R29"")), {5;10;14;22}, FALSE)), ""=0"") + COUNTIF(ARRAYFORMULA(HLOOKUP($B12, IMPORTRANGE('Match Names'!$H$23, CONCAT(VLOOKUP($C12, 'Match Names'!$1:$22, 8, FALSE), ""!C3:R29"")), {5;11;17;23}, FALSE)), ""=0"")"),3.0)</f>
        <v>3</v>
      </c>
      <c r="G12" s="32">
        <f>IFERROR(__xludf.DUMMYFUNCTION("COUNTIF(ARRAYFORMULA(HLOOKUP($B12, IMPORTRANGE('Prelim Rankings Unsorted'!$B$40, CONCAT(VLOOKUP($C12, 'Match Names'!$A$1:$D$22, 2, FALSE), ""!C3:R29"")), {6;11;17;23}, FALSE)), ""=-4"") + COUNTIF(ARRAYFORMULA(HLOOKUP($B12, IMPORTRANGE('Prelim Rankings Uns"&amp;"orted'!$B$41, CONCAT(VLOOKUP($C12, 'Match Names'!$A$1:$D$22, 3, FALSE), ""!C3:R29"")), {5;11;17;23}, FALSE)), ""=-4"") + COUNTIF(ARRAYFORMULA(HLOOKUP($B12, IMPORTRANGE('Prelim Rankings Unsorted'!$B$42, CONCAT(VLOOKUP($C12, 'Match Names'!$A$1:$D$22, 4, FAL"&amp;"SE), ""!C3:R29"")), {5;11;17;23}, FALSE)), ""=-4"") + COUNTIF(ARRAYFORMULA(HLOOKUP($B12, IMPORTRANGE('Match Names'!$E$23, CONCAT(VLOOKUP($C12, 'Match Names'!$1:$22, 5, FALSE), ""!C3:R29"")), {6;11;16;21}, FALSE)), ""=-4"") + COUNTIF(ARRAYFORMULA(HLOOKUP($"&amp;"B12, IMPORTRANGE('Match Names'!$F$23, CONCAT(VLOOKUP($C12, 'Match Names'!$1:$22, 6, FALSE), ""!C3:R29"")), {5;11;17;23}, FALSE)), ""=-4"") + COUNTIF(ARRAYFORMULA(HLOOKUP($B12, IMPORTRANGE('Match Names'!$G$23, CONCAT(VLOOKUP($C12, 'Match Names'!$1:$22, 7, "&amp;"FALSE), ""!C3:R29"")), {5;10;14;22}, FALSE)), ""=-4"") + COUNTIF(ARRAYFORMULA(HLOOKUP($B12, IMPORTRANGE('Match Names'!$H$23, CONCAT(VLOOKUP($C12, 'Match Names'!$1:$22, 8, FALSE), ""!C3:R29"")), {5;11;17;23}, FALSE)), ""=-4"")"),0.0)</f>
        <v>0</v>
      </c>
      <c r="H12" s="33">
        <f t="shared" si="2"/>
        <v>11</v>
      </c>
    </row>
    <row r="13">
      <c r="A13" s="31" t="s">
        <v>158</v>
      </c>
      <c r="B13" s="31" t="str">
        <f>VLOOKUP(CONCAT(A13, C13), 'Discord Username to Real Name'!C:D, 2, FALSE)</f>
        <v>TreefallGap#0407</v>
      </c>
      <c r="C13" s="21" t="s">
        <v>17</v>
      </c>
      <c r="D13" s="32">
        <f>IFERROR(__xludf.DUMMYFUNCTION("(4 - COUNTIF(IFERROR(ARRAYFORMULA(HLOOKUP($B13, IMPORTRANGE('Prelim Rankings Unsorted'!$B$40, CONCAT(VLOOKUP($C13, 'Match Names'!$A$1:$D$22, 2, FALSE), ""!C3:R29"")), {6;11;17;23}, FALSE)), 'Player Overall Stats Unsorted'!$AA$9:$AA$12), ""=X"")) + (4 - CO"&amp;"UNTIF(IFERROR(ARRAYFORMULA(HLOOKUP($B13, IMPORTRANGE('Prelim Rankings Unsorted'!$B$41, CONCAT(VLOOKUP($C13, 'Match Names'!$A$1:$D$22, 3, FALSE), ""!C3:R29"")), {5;11;17;23}, FALSE)), 'Player Overall Stats Unsorted'!$AA$9:$AA$12), ""=X"")) + (4 - COUNTIF(I"&amp;"FERROR(ARRAYFORMULA(HLOOKUP($B13, IMPORTRANGE('Prelim Rankings Unsorted'!$B$42, CONCAT(VLOOKUP($C13, 'Match Names'!$A$1:$D$22, 4, FALSE), ""!C3:R29"")), {5;11;17;23}, FALSE)), 'Player Overall Stats Unsorted'!$AA$9:$AA$12), ""=X"")) + (4 - COUNTIF(IFERROR("&amp;"ARRAYFORMULA(HLOOKUP($B13, IMPORTRANGE('Match Names'!$E$23, CONCAT(VLOOKUP($C13, 'Match Names'!$1:$22, 5, FALSE), ""!C3:R29"")), {5;11;16;21}, FALSE)), 'Player Overall Stats Unsorted'!$AA$9:$AA$12), ""=X"")) + (4 - COUNTIF(IFERROR(ARRAYFORMULA(HLOOKUP($B1"&amp;"3, IMPORTRANGE('Match Names'!$F$23, CONCAT(VLOOKUP($C13, 'Match Names'!$1:$22, 6, FALSE), ""!C3:R29"")), {5;11;17;23}, FALSE)), 'Player Overall Stats Unsorted'!$AA$9:$AA$12), ""=X"")) + (4 - COUNTIF(IFERROR(ARRAYFORMULA(HLOOKUP($B13, IMPORTRANGE('Match Na"&amp;"mes'!$G$23, CONCAT(VLOOKUP($C13, 'Match Names'!$1:$22, 7, FALSE), ""!C3:R29"")), {5;10;14;23}, FALSE)), 'Player Overall Stats Unsorted'!$AA$9:$AA$12), ""=X"")) + (4 - COUNTIF(IFERROR(ARRAYFORMULA(HLOOKUP($B13, IMPORTRANGE('Match Names'!$H$23, CONCAT(VLOOK"&amp;"UP($C13, 'Match Names'!$1:$22, 8, FALSE), ""!C3:R29"")), {5;11;17;23}, FALSE)), 'Player Overall Stats Unsorted'!$AA$9:$AA$12), ""=X""))"),16.0)</f>
        <v>16</v>
      </c>
      <c r="E13" s="32">
        <f>IFERROR(__xludf.DUMMYFUNCTION("COUNTIF(ARRAYFORMULA(HLOOKUP($B13, IMPORTRANGE('Prelim Rankings Unsorted'!$B$40, CONCAT(VLOOKUP($C13, 'Match Names'!$A$1:$D$22, 2, FALSE), ""!C3:R29"")), {6;11;17;23}, FALSE)), ""=4"") + COUNTIF(ARRAYFORMULA(HLOOKUP($B13, IMPORTRANGE('Prelim Rankings Unso"&amp;"rted'!$B$41, CONCAT(VLOOKUP($C13, 'Match Names'!$A$1:$D$22, 3, FALSE), ""!C3:R29"")), {5;11;17;23}, FALSE)), ""=4"") + COUNTIF(ARRAYFORMULA(HLOOKUP($B13, IMPORTRANGE('Prelim Rankings Unsorted'!$B$42, CONCAT(VLOOKUP($C13, 'Match Names'!$A$1:$D$22, 4, FALSE"&amp;"), ""!C3:R29"")), {5;11;17;23}, FALSE)), ""=4"") + COUNTIF(ARRAYFORMULA(HLOOKUP($B13, IMPORTRANGE('Match Names'!$E$23, CONCAT(VLOOKUP($C13, 'Match Names'!$1:$22, 5, FALSE), ""!C3:R29"")), {6;11;16;21}, FALSE)), ""=4"") + COUNTIF(ARRAYFORMULA(HLOOKUP($B13,"&amp;" IMPORTRANGE('Match Names'!$F$23, CONCAT(VLOOKUP($C13, 'Match Names'!$1:$22, 6, FALSE), ""!C3:R29"")), {5;11;17;23}, FALSE)), ""=4"") + COUNTIF(ARRAYFORMULA(HLOOKUP($B13, IMPORTRANGE('Match Names'!$G$23, CONCAT(VLOOKUP($C13, 'Match Names'!$1:$22, 7, FALSE"&amp;"), ""!C3:R29"")), {5;10;14;22}, FALSE)), ""=4"") + COUNTIF(ARRAYFORMULA(HLOOKUP($B13, IMPORTRANGE('Match Names'!$H$23, CONCAT(VLOOKUP($C13, 'Match Names'!$1:$22, 8, FALSE), ""!C3:R29"")), {5;11;17;23}, FALSE)), ""=4"")"),0.0)</f>
        <v>0</v>
      </c>
      <c r="F13" s="32">
        <f>IFERROR(__xludf.DUMMYFUNCTION("COUNTIF(ARRAYFORMULA(HLOOKUP($B13, IMPORTRANGE('Prelim Rankings Unsorted'!$B$40, CONCAT(VLOOKUP($C13, 'Match Names'!$A$1:$D$22, 2, FALSE), ""!C3:R29"")), {6;11;17;23}, FALSE)), ""=0"") + COUNTIF(ARRAYFORMULA(HLOOKUP($B13, IMPORTRANGE('Prelim Rankings Unso"&amp;"rted'!$B$41, CONCAT(VLOOKUP($C13, 'Match Names'!$A$1:$D$22, 3, FALSE), ""!C3:R29"")), {5;11;17;23}, FALSE)), ""=0"") + COUNTIF(ARRAYFORMULA(HLOOKUP($B13, IMPORTRANGE('Prelim Rankings Unsorted'!$B$42, CONCAT(VLOOKUP($C13, 'Match Names'!$A$1:$D$22, 4, FALSE"&amp;"), ""!C3:R29"")), {5;11;17;23}, FALSE)), ""=0"") + COUNTIF(ARRAYFORMULA(HLOOKUP($B13, IMPORTRANGE('Match Names'!$E$23, CONCAT(VLOOKUP($C13, 'Match Names'!$1:$22, 5, FALSE), ""!C3:R29"")), {6;11;16;21}, FALSE)), ""=0"") + COUNTIF(ARRAYFORMULA(HLOOKUP($B13,"&amp;" IMPORTRANGE('Match Names'!$F$23, CONCAT(VLOOKUP($C13, 'Match Names'!$1:$22, 6, FALSE), ""!C3:R29"")), {5;11;17;23}, FALSE)), ""=0"") + COUNTIF(ARRAYFORMULA(HLOOKUP($B13, IMPORTRANGE('Match Names'!$G$23, CONCAT(VLOOKUP($C13, 'Match Names'!$1:$22, 7, FALSE"&amp;"), ""!C3:R29"")), {5;10;14;22}, FALSE)), ""=0"") + COUNTIF(ARRAYFORMULA(HLOOKUP($B13, IMPORTRANGE('Match Names'!$H$23, CONCAT(VLOOKUP($C13, 'Match Names'!$1:$22, 8, FALSE), ""!C3:R29"")), {5;11;17;23}, FALSE)), ""=0"")"),0.0)</f>
        <v>0</v>
      </c>
      <c r="G13" s="32">
        <f>IFERROR(__xludf.DUMMYFUNCTION("COUNTIF(ARRAYFORMULA(HLOOKUP($B13, IMPORTRANGE('Prelim Rankings Unsorted'!$B$40, CONCAT(VLOOKUP($C13, 'Match Names'!$A$1:$D$22, 2, FALSE), ""!C3:R29"")), {6;11;17;23}, FALSE)), ""=-4"") + COUNTIF(ARRAYFORMULA(HLOOKUP($B13, IMPORTRANGE('Prelim Rankings Uns"&amp;"orted'!$B$41, CONCAT(VLOOKUP($C13, 'Match Names'!$A$1:$D$22, 3, FALSE), ""!C3:R29"")), {5;11;17;23}, FALSE)), ""=-4"") + COUNTIF(ARRAYFORMULA(HLOOKUP($B13, IMPORTRANGE('Prelim Rankings Unsorted'!$B$42, CONCAT(VLOOKUP($C13, 'Match Names'!$A$1:$D$22, 4, FAL"&amp;"SE), ""!C3:R29"")), {5;11;17;23}, FALSE)), ""=-4"") + COUNTIF(ARRAYFORMULA(HLOOKUP($B13, IMPORTRANGE('Match Names'!$E$23, CONCAT(VLOOKUP($C13, 'Match Names'!$1:$22, 5, FALSE), ""!C3:R29"")), {6;11;16;21}, FALSE)), ""=-4"") + COUNTIF(ARRAYFORMULA(HLOOKUP($"&amp;"B13, IMPORTRANGE('Match Names'!$F$23, CONCAT(VLOOKUP($C13, 'Match Names'!$1:$22, 6, FALSE), ""!C3:R29"")), {5;11;17;23}, FALSE)), ""=-4"") + COUNTIF(ARRAYFORMULA(HLOOKUP($B13, IMPORTRANGE('Match Names'!$G$23, CONCAT(VLOOKUP($C13, 'Match Names'!$1:$22, 7, "&amp;"FALSE), ""!C3:R29"")), {5;10;14;22}, FALSE)), ""=-4"") + COUNTIF(ARRAYFORMULA(HLOOKUP($B13, IMPORTRANGE('Match Names'!$H$23, CONCAT(VLOOKUP($C13, 'Match Names'!$1:$22, 8, FALSE), ""!C3:R29"")), {5;11;17;23}, FALSE)), ""=-4"")"),0.0)</f>
        <v>0</v>
      </c>
      <c r="H13" s="33">
        <f t="shared" si="2"/>
        <v>0</v>
      </c>
    </row>
    <row r="14">
      <c r="A14" s="31" t="s">
        <v>39</v>
      </c>
      <c r="B14" s="31" t="str">
        <f>VLOOKUP(CONCAT(A14, C14), 'Discord Username to Real Name'!C:D, 2, FALSE)</f>
        <v>ThisIsDenry#0446</v>
      </c>
      <c r="C14" s="31" t="s">
        <v>21</v>
      </c>
      <c r="D14" s="32">
        <f>IFERROR(__xludf.DUMMYFUNCTION("(4 - COUNTIF(IFERROR(ARRAYFORMULA(HLOOKUP($B14, IMPORTRANGE('Prelim Rankings Unsorted'!$B$40, CONCAT(VLOOKUP($C14, 'Match Names'!$A$1:$D$22, 2, FALSE), ""!C3:R29"")), {6;11;17;23}, FALSE)), 'Player Overall Stats Unsorted'!$AA$9:$AA$12), ""=X"")) + (4 - CO"&amp;"UNTIF(IFERROR(ARRAYFORMULA(HLOOKUP($B14, IMPORTRANGE('Prelim Rankings Unsorted'!$B$41, CONCAT(VLOOKUP($C14, 'Match Names'!$A$1:$D$22, 3, FALSE), ""!C3:R29"")), {5;11;17;23}, FALSE)), 'Player Overall Stats Unsorted'!$AA$9:$AA$12), ""=X"")) + (4 - COUNTIF(I"&amp;"FERROR(ARRAYFORMULA(HLOOKUP($B14, IMPORTRANGE('Prelim Rankings Unsorted'!$B$42, CONCAT(VLOOKUP($C14, 'Match Names'!$A$1:$D$22, 4, FALSE), ""!C3:R29"")), {5;11;17;23}, FALSE)), 'Player Overall Stats Unsorted'!$AA$9:$AA$12), ""=X"")) + (4 - COUNTIF(IFERROR("&amp;"ARRAYFORMULA(HLOOKUP($B14, IMPORTRANGE('Match Names'!$E$23, CONCAT(VLOOKUP($C14, 'Match Names'!$1:$22, 5, FALSE), ""!C3:R29"")), {5;11;16;21}, FALSE)), 'Player Overall Stats Unsorted'!$AA$9:$AA$12), ""=X"")) + (4 - COUNTIF(IFERROR(ARRAYFORMULA(HLOOKUP($B1"&amp;"4, IMPORTRANGE('Match Names'!$F$23, CONCAT(VLOOKUP($C14, 'Match Names'!$1:$22, 6, FALSE), ""!C3:R29"")), {5;11;17;23}, FALSE)), 'Player Overall Stats Unsorted'!$AA$9:$AA$12), ""=X"")) + (4 - COUNTIF(IFERROR(ARRAYFORMULA(HLOOKUP($B14, IMPORTRANGE('Match Na"&amp;"mes'!$G$23, CONCAT(VLOOKUP($C14, 'Match Names'!$1:$22, 7, FALSE), ""!C3:R29"")), {5;10;14;23}, FALSE)), 'Player Overall Stats Unsorted'!$AA$9:$AA$12), ""=X"")) + (4 - COUNTIF(IFERROR(ARRAYFORMULA(HLOOKUP($B14, IMPORTRANGE('Match Names'!$H$23, CONCAT(VLOOK"&amp;"UP($C14, 'Match Names'!$1:$22, 8, FALSE), ""!C3:R29"")), {5;11;17;23}, FALSE)), 'Player Overall Stats Unsorted'!$AA$9:$AA$12), ""=X""))"),20.0)</f>
        <v>20</v>
      </c>
      <c r="E14" s="32">
        <f>IFERROR(__xludf.DUMMYFUNCTION("COUNTIF(ARRAYFORMULA(HLOOKUP($B14, IMPORTRANGE('Prelim Rankings Unsorted'!$B$40, CONCAT(VLOOKUP($C14, 'Match Names'!$A$1:$D$22, 2, FALSE), ""!C3:R29"")), {6;11;17;23}, FALSE)), ""=4"") + COUNTIF(ARRAYFORMULA(HLOOKUP($B14, IMPORTRANGE('Prelim Rankings Unso"&amp;"rted'!$B$41, CONCAT(VLOOKUP($C14, 'Match Names'!$A$1:$D$22, 3, FALSE), ""!C3:R29"")), {5;11;17;23}, FALSE)), ""=4"") + COUNTIF(ARRAYFORMULA(HLOOKUP($B14, IMPORTRANGE('Prelim Rankings Unsorted'!$B$42, CONCAT(VLOOKUP($C14, 'Match Names'!$A$1:$D$22, 4, FALSE"&amp;"), ""!C3:R29"")), {5;11;17;23}, FALSE)), ""=4"") + COUNTIF(ARRAYFORMULA(HLOOKUP($B14, IMPORTRANGE('Match Names'!$E$23, CONCAT(VLOOKUP($C14, 'Match Names'!$1:$22, 5, FALSE), ""!C3:R29"")), {6;11;16;21}, FALSE)), ""=4"") + COUNTIF(ARRAYFORMULA(HLOOKUP($B14,"&amp;" IMPORTRANGE('Match Names'!$F$23, CONCAT(VLOOKUP($C14, 'Match Names'!$1:$22, 6, FALSE), ""!C3:R29"")), {5;11;17;23}, FALSE)), ""=4"") + COUNTIF(ARRAYFORMULA(HLOOKUP($B14, IMPORTRANGE('Match Names'!$G$23, CONCAT(VLOOKUP($C14, 'Match Names'!$1:$22, 7, FALSE"&amp;"), ""!C3:R29"")), {5;10;14;22}, FALSE)), ""=4"") + COUNTIF(ARRAYFORMULA(HLOOKUP($B14, IMPORTRANGE('Match Names'!$H$23, CONCAT(VLOOKUP($C14, 'Match Names'!$1:$22, 8, FALSE), ""!C3:R29"")), {5;11;17;23}, FALSE)), ""=4"")"),9.0)</f>
        <v>9</v>
      </c>
      <c r="F14" s="32">
        <f>IFERROR(__xludf.DUMMYFUNCTION("COUNTIF(ARRAYFORMULA(HLOOKUP($B14, IMPORTRANGE('Prelim Rankings Unsorted'!$B$40, CONCAT(VLOOKUP($C14, 'Match Names'!$A$1:$D$22, 2, FALSE), ""!C3:R29"")), {6;11;17;23}, FALSE)), ""=0"") + COUNTIF(ARRAYFORMULA(HLOOKUP($B14, IMPORTRANGE('Prelim Rankings Unso"&amp;"rted'!$B$41, CONCAT(VLOOKUP($C14, 'Match Names'!$A$1:$D$22, 3, FALSE), ""!C3:R29"")), {5;11;17;23}, FALSE)), ""=0"") + COUNTIF(ARRAYFORMULA(HLOOKUP($B14, IMPORTRANGE('Prelim Rankings Unsorted'!$B$42, CONCAT(VLOOKUP($C14, 'Match Names'!$A$1:$D$22, 4, FALSE"&amp;"), ""!C3:R29"")), {5;11;17;23}, FALSE)), ""=0"") + COUNTIF(ARRAYFORMULA(HLOOKUP($B14, IMPORTRANGE('Match Names'!$E$23, CONCAT(VLOOKUP($C14, 'Match Names'!$1:$22, 5, FALSE), ""!C3:R29"")), {6;11;16;21}, FALSE)), ""=0"") + COUNTIF(ARRAYFORMULA(HLOOKUP($B14,"&amp;" IMPORTRANGE('Match Names'!$F$23, CONCAT(VLOOKUP($C14, 'Match Names'!$1:$22, 6, FALSE), ""!C3:R29"")), {5;11;17;23}, FALSE)), ""=0"") + COUNTIF(ARRAYFORMULA(HLOOKUP($B14, IMPORTRANGE('Match Names'!$G$23, CONCAT(VLOOKUP($C14, 'Match Names'!$1:$22, 7, FALSE"&amp;"), ""!C3:R29"")), {5;10;14;22}, FALSE)), ""=0"") + COUNTIF(ARRAYFORMULA(HLOOKUP($B14, IMPORTRANGE('Match Names'!$H$23, CONCAT(VLOOKUP($C14, 'Match Names'!$1:$22, 8, FALSE), ""!C3:R29"")), {5;11;17;23}, FALSE)), ""=0"")"),4.0)</f>
        <v>4</v>
      </c>
      <c r="G14" s="32">
        <f>IFERROR(__xludf.DUMMYFUNCTION("COUNTIF(ARRAYFORMULA(HLOOKUP($B14, IMPORTRANGE('Prelim Rankings Unsorted'!$B$40, CONCAT(VLOOKUP($C14, 'Match Names'!$A$1:$D$22, 2, FALSE), ""!C3:R29"")), {6;11;17;23}, FALSE)), ""=-4"") + COUNTIF(ARRAYFORMULA(HLOOKUP($B14, IMPORTRANGE('Prelim Rankings Uns"&amp;"orted'!$B$41, CONCAT(VLOOKUP($C14, 'Match Names'!$A$1:$D$22, 3, FALSE), ""!C3:R29"")), {5;11;17;23}, FALSE)), ""=-4"") + COUNTIF(ARRAYFORMULA(HLOOKUP($B14, IMPORTRANGE('Prelim Rankings Unsorted'!$B$42, CONCAT(VLOOKUP($C14, 'Match Names'!$A$1:$D$22, 4, FAL"&amp;"SE), ""!C3:R29"")), {5;11;17;23}, FALSE)), ""=-4"") + COUNTIF(ARRAYFORMULA(HLOOKUP($B14, IMPORTRANGE('Match Names'!$E$23, CONCAT(VLOOKUP($C14, 'Match Names'!$1:$22, 5, FALSE), ""!C3:R29"")), {6;11;16;21}, FALSE)), ""=-4"") + COUNTIF(ARRAYFORMULA(HLOOKUP($"&amp;"B14, IMPORTRANGE('Match Names'!$F$23, CONCAT(VLOOKUP($C14, 'Match Names'!$1:$22, 6, FALSE), ""!C3:R29"")), {5;11;17;23}, FALSE)), ""=-4"") + COUNTIF(ARRAYFORMULA(HLOOKUP($B14, IMPORTRANGE('Match Names'!$G$23, CONCAT(VLOOKUP($C14, 'Match Names'!$1:$22, 7, "&amp;"FALSE), ""!C3:R29"")), {5;10;14;22}, FALSE)), ""=-4"") + COUNTIF(ARRAYFORMULA(HLOOKUP($B14, IMPORTRANGE('Match Names'!$H$23, CONCAT(VLOOKUP($C14, 'Match Names'!$1:$22, 8, FALSE), ""!C3:R29"")), {5;11;17;23}, FALSE)), ""=-4"")"),1.0)</f>
        <v>1</v>
      </c>
      <c r="H14" s="33">
        <f t="shared" si="2"/>
        <v>6.4</v>
      </c>
    </row>
    <row r="15">
      <c r="A15" s="31" t="s">
        <v>152</v>
      </c>
      <c r="B15" s="31" t="str">
        <f>VLOOKUP(CONCAT(A15, C15), 'Discord Username to Real Name'!C:D, 2, FALSE)</f>
        <v>hsuehpooy#7813</v>
      </c>
      <c r="C15" s="31" t="s">
        <v>21</v>
      </c>
      <c r="D15" s="32">
        <f>IFERROR(__xludf.DUMMYFUNCTION("(4 - COUNTIF(IFERROR(ARRAYFORMULA(HLOOKUP($B15, IMPORTRANGE('Prelim Rankings Unsorted'!$B$40, CONCAT(VLOOKUP($C15, 'Match Names'!$A$1:$D$22, 2, FALSE), ""!C3:R29"")), {6;11;17;23}, FALSE)), 'Player Overall Stats Unsorted'!$AA$9:$AA$12), ""=X"")) + (4 - CO"&amp;"UNTIF(IFERROR(ARRAYFORMULA(HLOOKUP($B15, IMPORTRANGE('Prelim Rankings Unsorted'!$B$41, CONCAT(VLOOKUP($C15, 'Match Names'!$A$1:$D$22, 3, FALSE), ""!C3:R29"")), {5;11;17;23}, FALSE)), 'Player Overall Stats Unsorted'!$AA$9:$AA$12), ""=X"")) + (4 - COUNTIF(I"&amp;"FERROR(ARRAYFORMULA(HLOOKUP($B15, IMPORTRANGE('Prelim Rankings Unsorted'!$B$42, CONCAT(VLOOKUP($C15, 'Match Names'!$A$1:$D$22, 4, FALSE), ""!C3:R29"")), {5;11;17;23}, FALSE)), 'Player Overall Stats Unsorted'!$AA$9:$AA$12), ""=X"")) + (4 - COUNTIF(IFERROR("&amp;"ARRAYFORMULA(HLOOKUP($B15, IMPORTRANGE('Match Names'!$E$23, CONCAT(VLOOKUP($C15, 'Match Names'!$1:$22, 5, FALSE), ""!C3:R29"")), {5;11;16;21}, FALSE)), 'Player Overall Stats Unsorted'!$AA$9:$AA$12), ""=X"")) + (4 - COUNTIF(IFERROR(ARRAYFORMULA(HLOOKUP($B1"&amp;"5, IMPORTRANGE('Match Names'!$F$23, CONCAT(VLOOKUP($C15, 'Match Names'!$1:$22, 6, FALSE), ""!C3:R29"")), {5;11;17;23}, FALSE)), 'Player Overall Stats Unsorted'!$AA$9:$AA$12), ""=X"")) + (4 - COUNTIF(IFERROR(ARRAYFORMULA(HLOOKUP($B15, IMPORTRANGE('Match Na"&amp;"mes'!$G$23, CONCAT(VLOOKUP($C15, 'Match Names'!$1:$22, 7, FALSE), ""!C3:R29"")), {5;10;14;23}, FALSE)), 'Player Overall Stats Unsorted'!$AA$9:$AA$12), ""=X"")) + (4 - COUNTIF(IFERROR(ARRAYFORMULA(HLOOKUP($B15, IMPORTRANGE('Match Names'!$H$23, CONCAT(VLOOK"&amp;"UP($C15, 'Match Names'!$1:$22, 8, FALSE), ""!C3:R29"")), {5;11;17;23}, FALSE)), 'Player Overall Stats Unsorted'!$AA$9:$AA$12), ""=X""))"),18.0)</f>
        <v>18</v>
      </c>
      <c r="E15" s="32">
        <f>IFERROR(__xludf.DUMMYFUNCTION("COUNTIF(ARRAYFORMULA(HLOOKUP($B15, IMPORTRANGE('Prelim Rankings Unsorted'!$B$40, CONCAT(VLOOKUP($C15, 'Match Names'!$A$1:$D$22, 2, FALSE), ""!C3:R29"")), {6;11;17;23}, FALSE)), ""=4"") + COUNTIF(ARRAYFORMULA(HLOOKUP($B15, IMPORTRANGE('Prelim Rankings Unso"&amp;"rted'!$B$41, CONCAT(VLOOKUP($C15, 'Match Names'!$A$1:$D$22, 3, FALSE), ""!C3:R29"")), {5;11;17;23}, FALSE)), ""=4"") + COUNTIF(ARRAYFORMULA(HLOOKUP($B15, IMPORTRANGE('Prelim Rankings Unsorted'!$B$42, CONCAT(VLOOKUP($C15, 'Match Names'!$A$1:$D$22, 4, FALSE"&amp;"), ""!C3:R29"")), {5;11;17;23}, FALSE)), ""=4"") + COUNTIF(ARRAYFORMULA(HLOOKUP($B15, IMPORTRANGE('Match Names'!$E$23, CONCAT(VLOOKUP($C15, 'Match Names'!$1:$22, 5, FALSE), ""!C3:R29"")), {6;11;16;21}, FALSE)), ""=4"") + COUNTIF(ARRAYFORMULA(HLOOKUP($B15,"&amp;" IMPORTRANGE('Match Names'!$F$23, CONCAT(VLOOKUP($C15, 'Match Names'!$1:$22, 6, FALSE), ""!C3:R29"")), {5;11;17;23}, FALSE)), ""=4"") + COUNTIF(ARRAYFORMULA(HLOOKUP($B15, IMPORTRANGE('Match Names'!$G$23, CONCAT(VLOOKUP($C15, 'Match Names'!$1:$22, 7, FALSE"&amp;"), ""!C3:R29"")), {5;10;14;22}, FALSE)), ""=4"") + COUNTIF(ARRAYFORMULA(HLOOKUP($B15, IMPORTRANGE('Match Names'!$H$23, CONCAT(VLOOKUP($C15, 'Match Names'!$1:$22, 8, FALSE), ""!C3:R29"")), {5;11;17;23}, FALSE)), ""=4"")"),0.0)</f>
        <v>0</v>
      </c>
      <c r="F15" s="32">
        <f>IFERROR(__xludf.DUMMYFUNCTION("COUNTIF(ARRAYFORMULA(HLOOKUP($B15, IMPORTRANGE('Prelim Rankings Unsorted'!$B$40, CONCAT(VLOOKUP($C15, 'Match Names'!$A$1:$D$22, 2, FALSE), ""!C3:R29"")), {6;11;17;23}, FALSE)), ""=0"") + COUNTIF(ARRAYFORMULA(HLOOKUP($B15, IMPORTRANGE('Prelim Rankings Unso"&amp;"rted'!$B$41, CONCAT(VLOOKUP($C15, 'Match Names'!$A$1:$D$22, 3, FALSE), ""!C3:R29"")), {5;11;17;23}, FALSE)), ""=0"") + COUNTIF(ARRAYFORMULA(HLOOKUP($B15, IMPORTRANGE('Prelim Rankings Unsorted'!$B$42, CONCAT(VLOOKUP($C15, 'Match Names'!$A$1:$D$22, 4, FALSE"&amp;"), ""!C3:R29"")), {5;11;17;23}, FALSE)), ""=0"") + COUNTIF(ARRAYFORMULA(HLOOKUP($B15, IMPORTRANGE('Match Names'!$E$23, CONCAT(VLOOKUP($C15, 'Match Names'!$1:$22, 5, FALSE), ""!C3:R29"")), {6;11;16;21}, FALSE)), ""=0"") + COUNTIF(ARRAYFORMULA(HLOOKUP($B15,"&amp;" IMPORTRANGE('Match Names'!$F$23, CONCAT(VLOOKUP($C15, 'Match Names'!$1:$22, 6, FALSE), ""!C3:R29"")), {5;11;17;23}, FALSE)), ""=0"") + COUNTIF(ARRAYFORMULA(HLOOKUP($B15, IMPORTRANGE('Match Names'!$G$23, CONCAT(VLOOKUP($C15, 'Match Names'!$1:$22, 7, FALSE"&amp;"), ""!C3:R29"")), {5;10;14;22}, FALSE)), ""=0"") + COUNTIF(ARRAYFORMULA(HLOOKUP($B15, IMPORTRANGE('Match Names'!$H$23, CONCAT(VLOOKUP($C15, 'Match Names'!$1:$22, 8, FALSE), ""!C3:R29"")), {5;11;17;23}, FALSE)), ""=0"")"),0.0)</f>
        <v>0</v>
      </c>
      <c r="G15" s="32">
        <f>IFERROR(__xludf.DUMMYFUNCTION("COUNTIF(ARRAYFORMULA(HLOOKUP($B15, IMPORTRANGE('Prelim Rankings Unsorted'!$B$40, CONCAT(VLOOKUP($C15, 'Match Names'!$A$1:$D$22, 2, FALSE), ""!C3:R29"")), {6;11;17;23}, FALSE)), ""=-4"") + COUNTIF(ARRAYFORMULA(HLOOKUP($B15, IMPORTRANGE('Prelim Rankings Uns"&amp;"orted'!$B$41, CONCAT(VLOOKUP($C15, 'Match Names'!$A$1:$D$22, 3, FALSE), ""!C3:R29"")), {5;11;17;23}, FALSE)), ""=-4"") + COUNTIF(ARRAYFORMULA(HLOOKUP($B15, IMPORTRANGE('Prelim Rankings Unsorted'!$B$42, CONCAT(VLOOKUP($C15, 'Match Names'!$A$1:$D$22, 4, FAL"&amp;"SE), ""!C3:R29"")), {5;11;17;23}, FALSE)), ""=-4"") + COUNTIF(ARRAYFORMULA(HLOOKUP($B15, IMPORTRANGE('Match Names'!$E$23, CONCAT(VLOOKUP($C15, 'Match Names'!$1:$22, 5, FALSE), ""!C3:R29"")), {6;11;16;21}, FALSE)), ""=-4"") + COUNTIF(ARRAYFORMULA(HLOOKUP($"&amp;"B15, IMPORTRANGE('Match Names'!$F$23, CONCAT(VLOOKUP($C15, 'Match Names'!$1:$22, 6, FALSE), ""!C3:R29"")), {5;11;17;23}, FALSE)), ""=-4"") + COUNTIF(ARRAYFORMULA(HLOOKUP($B15, IMPORTRANGE('Match Names'!$G$23, CONCAT(VLOOKUP($C15, 'Match Names'!$1:$22, 7, "&amp;"FALSE), ""!C3:R29"")), {5;10;14;22}, FALSE)), ""=-4"") + COUNTIF(ARRAYFORMULA(HLOOKUP($B15, IMPORTRANGE('Match Names'!$H$23, CONCAT(VLOOKUP($C15, 'Match Names'!$1:$22, 8, FALSE), ""!C3:R29"")), {5;11;17;23}, FALSE)), ""=-4"")"),0.0)</f>
        <v>0</v>
      </c>
      <c r="H15" s="33">
        <f t="shared" si="2"/>
        <v>0</v>
      </c>
    </row>
    <row r="16">
      <c r="A16" s="31" t="s">
        <v>143</v>
      </c>
      <c r="B16" s="31" t="str">
        <f>VLOOKUP(CONCAT(A16, C16), 'Discord Username to Real Name'!C:D, 2, FALSE)</f>
        <v>CheeseGr8ter#2134</v>
      </c>
      <c r="C16" s="31" t="s">
        <v>21</v>
      </c>
      <c r="D16" s="32">
        <f>IFERROR(__xludf.DUMMYFUNCTION("(4 - COUNTIF(IFERROR(ARRAYFORMULA(HLOOKUP($B16, IMPORTRANGE('Prelim Rankings Unsorted'!$B$40, CONCAT(VLOOKUP($C16, 'Match Names'!$A$1:$D$22, 2, FALSE), ""!C3:R29"")), {6;11;17;23}, FALSE)), 'Player Overall Stats Unsorted'!$AA$9:$AA$12), ""=X"")) + (4 - CO"&amp;"UNTIF(IFERROR(ARRAYFORMULA(HLOOKUP($B16, IMPORTRANGE('Prelim Rankings Unsorted'!$B$41, CONCAT(VLOOKUP($C16, 'Match Names'!$A$1:$D$22, 3, FALSE), ""!C3:R29"")), {5;11;17;23}, FALSE)), 'Player Overall Stats Unsorted'!$AA$9:$AA$12), ""=X"")) + (4 - COUNTIF(I"&amp;"FERROR(ARRAYFORMULA(HLOOKUP($B16, IMPORTRANGE('Prelim Rankings Unsorted'!$B$42, CONCAT(VLOOKUP($C16, 'Match Names'!$A$1:$D$22, 4, FALSE), ""!C3:R29"")), {5;11;17;23}, FALSE)), 'Player Overall Stats Unsorted'!$AA$9:$AA$12), ""=X"")) + (4 - COUNTIF(IFERROR("&amp;"ARRAYFORMULA(HLOOKUP($B16, IMPORTRANGE('Match Names'!$E$23, CONCAT(VLOOKUP($C16, 'Match Names'!$1:$22, 5, FALSE), ""!C3:R29"")), {5;11;16;21}, FALSE)), 'Player Overall Stats Unsorted'!$AA$9:$AA$12), ""=X"")) + (4 - COUNTIF(IFERROR(ARRAYFORMULA(HLOOKUP($B1"&amp;"6, IMPORTRANGE('Match Names'!$F$23, CONCAT(VLOOKUP($C16, 'Match Names'!$1:$22, 6, FALSE), ""!C3:R29"")), {5;11;17;23}, FALSE)), 'Player Overall Stats Unsorted'!$AA$9:$AA$12), ""=X"")) + (4 - COUNTIF(IFERROR(ARRAYFORMULA(HLOOKUP($B16, IMPORTRANGE('Match Na"&amp;"mes'!$G$23, CONCAT(VLOOKUP($C16, 'Match Names'!$1:$22, 7, FALSE), ""!C3:R29"")), {5;10;14;23}, FALSE)), 'Player Overall Stats Unsorted'!$AA$9:$AA$12), ""=X"")) + (4 - COUNTIF(IFERROR(ARRAYFORMULA(HLOOKUP($B16, IMPORTRANGE('Match Names'!$H$23, CONCAT(VLOOK"&amp;"UP($C16, 'Match Names'!$1:$22, 8, FALSE), ""!C3:R29"")), {5;11;17;23}, FALSE)), 'Player Overall Stats Unsorted'!$AA$9:$AA$12), ""=X""))"),20.0)</f>
        <v>20</v>
      </c>
      <c r="E16" s="32">
        <f>IFERROR(__xludf.DUMMYFUNCTION("COUNTIF(ARRAYFORMULA(HLOOKUP($B16, IMPORTRANGE('Prelim Rankings Unsorted'!$B$40, CONCAT(VLOOKUP($C16, 'Match Names'!$A$1:$D$22, 2, FALSE), ""!C3:R29"")), {6;11;17;23}, FALSE)), ""=4"") + COUNTIF(ARRAYFORMULA(HLOOKUP($B16, IMPORTRANGE('Prelim Rankings Unso"&amp;"rted'!$B$41, CONCAT(VLOOKUP($C16, 'Match Names'!$A$1:$D$22, 3, FALSE), ""!C3:R29"")), {5;11;17;23}, FALSE)), ""=4"") + COUNTIF(ARRAYFORMULA(HLOOKUP($B16, IMPORTRANGE('Prelim Rankings Unsorted'!$B$42, CONCAT(VLOOKUP($C16, 'Match Names'!$A$1:$D$22, 4, FALSE"&amp;"), ""!C3:R29"")), {5;11;17;23}, FALSE)), ""=4"") + COUNTIF(ARRAYFORMULA(HLOOKUP($B16, IMPORTRANGE('Match Names'!$E$23, CONCAT(VLOOKUP($C16, 'Match Names'!$1:$22, 5, FALSE), ""!C3:R29"")), {6;11;16;21}, FALSE)), ""=4"") + COUNTIF(ARRAYFORMULA(HLOOKUP($B16,"&amp;" IMPORTRANGE('Match Names'!$F$23, CONCAT(VLOOKUP($C16, 'Match Names'!$1:$22, 6, FALSE), ""!C3:R29"")), {5;11;17;23}, FALSE)), ""=4"") + COUNTIF(ARRAYFORMULA(HLOOKUP($B16, IMPORTRANGE('Match Names'!$G$23, CONCAT(VLOOKUP($C16, 'Match Names'!$1:$22, 7, FALSE"&amp;"), ""!C3:R29"")), {5;10;14;22}, FALSE)), ""=4"") + COUNTIF(ARRAYFORMULA(HLOOKUP($B16, IMPORTRANGE('Match Names'!$H$23, CONCAT(VLOOKUP($C16, 'Match Names'!$1:$22, 8, FALSE), ""!C3:R29"")), {5;11;17;23}, FALSE)), ""=4"")"),0.0)</f>
        <v>0</v>
      </c>
      <c r="F16" s="32">
        <f>IFERROR(__xludf.DUMMYFUNCTION("COUNTIF(ARRAYFORMULA(HLOOKUP($B16, IMPORTRANGE('Prelim Rankings Unsorted'!$B$40, CONCAT(VLOOKUP($C16, 'Match Names'!$A$1:$D$22, 2, FALSE), ""!C3:R29"")), {6;11;17;23}, FALSE)), ""=0"") + COUNTIF(ARRAYFORMULA(HLOOKUP($B16, IMPORTRANGE('Prelim Rankings Unso"&amp;"rted'!$B$41, CONCAT(VLOOKUP($C16, 'Match Names'!$A$1:$D$22, 3, FALSE), ""!C3:R29"")), {5;11;17;23}, FALSE)), ""=0"") + COUNTIF(ARRAYFORMULA(HLOOKUP($B16, IMPORTRANGE('Prelim Rankings Unsorted'!$B$42, CONCAT(VLOOKUP($C16, 'Match Names'!$A$1:$D$22, 4, FALSE"&amp;"), ""!C3:R29"")), {5;11;17;23}, FALSE)), ""=0"") + COUNTIF(ARRAYFORMULA(HLOOKUP($B16, IMPORTRANGE('Match Names'!$E$23, CONCAT(VLOOKUP($C16, 'Match Names'!$1:$22, 5, FALSE), ""!C3:R29"")), {6;11;16;21}, FALSE)), ""=0"") + COUNTIF(ARRAYFORMULA(HLOOKUP($B16,"&amp;" IMPORTRANGE('Match Names'!$F$23, CONCAT(VLOOKUP($C16, 'Match Names'!$1:$22, 6, FALSE), ""!C3:R29"")), {5;11;17;23}, FALSE)), ""=0"") + COUNTIF(ARRAYFORMULA(HLOOKUP($B16, IMPORTRANGE('Match Names'!$G$23, CONCAT(VLOOKUP($C16, 'Match Names'!$1:$22, 7, FALSE"&amp;"), ""!C3:R29"")), {5;10;14;22}, FALSE)), ""=0"") + COUNTIF(ARRAYFORMULA(HLOOKUP($B16, IMPORTRANGE('Match Names'!$H$23, CONCAT(VLOOKUP($C16, 'Match Names'!$1:$22, 8, FALSE), ""!C3:R29"")), {5;11;17;23}, FALSE)), ""=0"")"),0.0)</f>
        <v>0</v>
      </c>
      <c r="G16" s="32">
        <f>IFERROR(__xludf.DUMMYFUNCTION("COUNTIF(ARRAYFORMULA(HLOOKUP($B16, IMPORTRANGE('Prelim Rankings Unsorted'!$B$40, CONCAT(VLOOKUP($C16, 'Match Names'!$A$1:$D$22, 2, FALSE), ""!C3:R29"")), {6;11;17;23}, FALSE)), ""=-4"") + COUNTIF(ARRAYFORMULA(HLOOKUP($B16, IMPORTRANGE('Prelim Rankings Uns"&amp;"orted'!$B$41, CONCAT(VLOOKUP($C16, 'Match Names'!$A$1:$D$22, 3, FALSE), ""!C3:R29"")), {5;11;17;23}, FALSE)), ""=-4"") + COUNTIF(ARRAYFORMULA(HLOOKUP($B16, IMPORTRANGE('Prelim Rankings Unsorted'!$B$42, CONCAT(VLOOKUP($C16, 'Match Names'!$A$1:$D$22, 4, FAL"&amp;"SE), ""!C3:R29"")), {5;11;17;23}, FALSE)), ""=-4"") + COUNTIF(ARRAYFORMULA(HLOOKUP($B16, IMPORTRANGE('Match Names'!$E$23, CONCAT(VLOOKUP($C16, 'Match Names'!$1:$22, 5, FALSE), ""!C3:R29"")), {6;11;16;21}, FALSE)), ""=-4"") + COUNTIF(ARRAYFORMULA(HLOOKUP($"&amp;"B16, IMPORTRANGE('Match Names'!$F$23, CONCAT(VLOOKUP($C16, 'Match Names'!$1:$22, 6, FALSE), ""!C3:R29"")), {5;11;17;23}, FALSE)), ""=-4"") + COUNTIF(ARRAYFORMULA(HLOOKUP($B16, IMPORTRANGE('Match Names'!$G$23, CONCAT(VLOOKUP($C16, 'Match Names'!$1:$22, 7, "&amp;"FALSE), ""!C3:R29"")), {5;10;14;22}, FALSE)), ""=-4"") + COUNTIF(ARRAYFORMULA(HLOOKUP($B16, IMPORTRANGE('Match Names'!$H$23, CONCAT(VLOOKUP($C16, 'Match Names'!$1:$22, 8, FALSE), ""!C3:R29"")), {5;11;17;23}, FALSE)), ""=-4"")"),0.0)</f>
        <v>0</v>
      </c>
      <c r="H16" s="33">
        <f t="shared" si="2"/>
        <v>0</v>
      </c>
    </row>
    <row r="17">
      <c r="A17" s="32" t="s">
        <v>88</v>
      </c>
      <c r="B17" s="31" t="str">
        <f>VLOOKUP(CONCAT(A17, C17), 'Discord Username to Real Name'!C:D, 2, FALSE)</f>
        <v>s0arbeacon#9262</v>
      </c>
      <c r="C17" s="31" t="s">
        <v>31</v>
      </c>
      <c r="D17" s="32">
        <f>IFERROR(__xludf.DUMMYFUNCTION("(4 - COUNTIF(IFERROR(ARRAYFORMULA(HLOOKUP($B17, IMPORTRANGE('Prelim Rankings Unsorted'!$B$40, CONCAT(VLOOKUP($C17, 'Match Names'!$A$1:$D$22, 2, FALSE), ""!C3:R29"")), {6;11;17;23}, FALSE)), 'Player Overall Stats Unsorted'!$AA$9:$AA$12), ""=X"")) + (4 - CO"&amp;"UNTIF(IFERROR(ARRAYFORMULA(HLOOKUP($B17, IMPORTRANGE('Prelim Rankings Unsorted'!$B$41, CONCAT(VLOOKUP($C17, 'Match Names'!$A$1:$D$22, 3, FALSE), ""!C3:R29"")), {5;11;17;23}, FALSE)), 'Player Overall Stats Unsorted'!$AA$9:$AA$12), ""=X"")) + (4 - COUNTIF(I"&amp;"FERROR(ARRAYFORMULA(HLOOKUP($B17, IMPORTRANGE('Prelim Rankings Unsorted'!$B$42, CONCAT(VLOOKUP($C17, 'Match Names'!$A$1:$D$22, 4, FALSE), ""!C3:R29"")), {5;11;17;23}, FALSE)), 'Player Overall Stats Unsorted'!$AA$9:$AA$12), ""=X"")) + (4 - COUNTIF(IFERROR("&amp;"ARRAYFORMULA(HLOOKUP($B17, IMPORTRANGE('Match Names'!$E$23, CONCAT(VLOOKUP($C17, 'Match Names'!$1:$22, 5, FALSE), ""!C3:R29"")), {5;11;16;21}, FALSE)), 'Player Overall Stats Unsorted'!$AA$9:$AA$12), ""=X"")) + (4 - COUNTIF(IFERROR(ARRAYFORMULA(HLOOKUP($B1"&amp;"7, IMPORTRANGE('Match Names'!$F$23, CONCAT(VLOOKUP($C17, 'Match Names'!$1:$22, 6, FALSE), ""!C3:R29"")), {5;11;17;23}, FALSE)), 'Player Overall Stats Unsorted'!$AA$9:$AA$12), ""=X"")) + (4 - COUNTIF(IFERROR(ARRAYFORMULA(HLOOKUP($B17, IMPORTRANGE('Match Na"&amp;"mes'!$G$23, CONCAT(VLOOKUP($C17, 'Match Names'!$1:$22, 7, FALSE), ""!C3:R29"")), {5;10;14;23}, FALSE)), 'Player Overall Stats Unsorted'!$AA$9:$AA$12), ""=X"")) + (4 - COUNTIF(IFERROR(ARRAYFORMULA(HLOOKUP($B17, IMPORTRANGE('Match Names'!$H$23, CONCAT(VLOOK"&amp;"UP($C17, 'Match Names'!$1:$22, 8, FALSE), ""!C3:R29"")), {5;11;17;23}, FALSE)), 'Player Overall Stats Unsorted'!$AA$9:$AA$12), ""=X""))"),16.0)</f>
        <v>16</v>
      </c>
      <c r="E17" s="32">
        <f>IFERROR(__xludf.DUMMYFUNCTION("COUNTIF(ARRAYFORMULA(HLOOKUP($B17, IMPORTRANGE('Prelim Rankings Unsorted'!$B$40, CONCAT(VLOOKUP($C17, 'Match Names'!$A$1:$D$22, 2, FALSE), ""!C3:R29"")), {6;11;17;23}, FALSE)), ""=4"") + COUNTIF(ARRAYFORMULA(HLOOKUP($B17, IMPORTRANGE('Prelim Rankings Unso"&amp;"rted'!$B$41, CONCAT(VLOOKUP($C17, 'Match Names'!$A$1:$D$22, 3, FALSE), ""!C3:R29"")), {5;11;17;23}, FALSE)), ""=4"") + COUNTIF(ARRAYFORMULA(HLOOKUP($B17, IMPORTRANGE('Prelim Rankings Unsorted'!$B$42, CONCAT(VLOOKUP($C17, 'Match Names'!$A$1:$D$22, 4, FALSE"&amp;"), ""!C3:R29"")), {5;11;17;23}, FALSE)), ""=4"") + COUNTIF(ARRAYFORMULA(HLOOKUP($B17, IMPORTRANGE('Match Names'!$E$23, CONCAT(VLOOKUP($C17, 'Match Names'!$1:$22, 5, FALSE), ""!C3:R29"")), {6;11;16;21}, FALSE)), ""=4"") + COUNTIF(ARRAYFORMULA(HLOOKUP($B17,"&amp;" IMPORTRANGE('Match Names'!$F$23, CONCAT(VLOOKUP($C17, 'Match Names'!$1:$22, 6, FALSE), ""!C3:R29"")), {5;11;17;23}, FALSE)), ""=4"") + COUNTIF(ARRAYFORMULA(HLOOKUP($B17, IMPORTRANGE('Match Names'!$G$23, CONCAT(VLOOKUP($C17, 'Match Names'!$1:$22, 7, FALSE"&amp;"), ""!C3:R29"")), {5;10;14;22}, FALSE)), ""=4"") + COUNTIF(ARRAYFORMULA(HLOOKUP($B17, IMPORTRANGE('Match Names'!$H$23, CONCAT(VLOOKUP($C17, 'Match Names'!$1:$22, 8, FALSE), ""!C3:R29"")), {5;11;17;23}, FALSE)), ""=4"")"),3.0)</f>
        <v>3</v>
      </c>
      <c r="F17" s="32">
        <f>IFERROR(__xludf.DUMMYFUNCTION("COUNTIF(ARRAYFORMULA(HLOOKUP($B17, IMPORTRANGE('Prelim Rankings Unsorted'!$B$40, CONCAT(VLOOKUP($C17, 'Match Names'!$A$1:$D$22, 2, FALSE), ""!C3:R29"")), {6;11;17;23}, FALSE)), ""=0"") + COUNTIF(ARRAYFORMULA(HLOOKUP($B17, IMPORTRANGE('Prelim Rankings Unso"&amp;"rted'!$B$41, CONCAT(VLOOKUP($C17, 'Match Names'!$A$1:$D$22, 3, FALSE), ""!C3:R29"")), {5;11;17;23}, FALSE)), ""=0"") + COUNTIF(ARRAYFORMULA(HLOOKUP($B17, IMPORTRANGE('Prelim Rankings Unsorted'!$B$42, CONCAT(VLOOKUP($C17, 'Match Names'!$A$1:$D$22, 4, FALSE"&amp;"), ""!C3:R29"")), {5;11;17;23}, FALSE)), ""=0"") + COUNTIF(ARRAYFORMULA(HLOOKUP($B17, IMPORTRANGE('Match Names'!$E$23, CONCAT(VLOOKUP($C17, 'Match Names'!$1:$22, 5, FALSE), ""!C3:R29"")), {6;11;16;21}, FALSE)), ""=0"") + COUNTIF(ARRAYFORMULA(HLOOKUP($B17,"&amp;" IMPORTRANGE('Match Names'!$F$23, CONCAT(VLOOKUP($C17, 'Match Names'!$1:$22, 6, FALSE), ""!C3:R29"")), {5;11;17;23}, FALSE)), ""=0"") + COUNTIF(ARRAYFORMULA(HLOOKUP($B17, IMPORTRANGE('Match Names'!$G$23, CONCAT(VLOOKUP($C17, 'Match Names'!$1:$22, 7, FALSE"&amp;"), ""!C3:R29"")), {5;10;14;22}, FALSE)), ""=0"") + COUNTIF(ARRAYFORMULA(HLOOKUP($B17, IMPORTRANGE('Match Names'!$H$23, CONCAT(VLOOKUP($C17, 'Match Names'!$1:$22, 8, FALSE), ""!C3:R29"")), {5;11;17;23}, FALSE)), ""=0"")"),2.0)</f>
        <v>2</v>
      </c>
      <c r="G17" s="32">
        <f>IFERROR(__xludf.DUMMYFUNCTION("COUNTIF(ARRAYFORMULA(HLOOKUP($B17, IMPORTRANGE('Prelim Rankings Unsorted'!$B$40, CONCAT(VLOOKUP($C17, 'Match Names'!$A$1:$D$22, 2, FALSE), ""!C3:R29"")), {6;11;17;23}, FALSE)), ""=-4"") + COUNTIF(ARRAYFORMULA(HLOOKUP($B17, IMPORTRANGE('Prelim Rankings Uns"&amp;"orted'!$B$41, CONCAT(VLOOKUP($C17, 'Match Names'!$A$1:$D$22, 3, FALSE), ""!C3:R29"")), {5;11;17;23}, FALSE)), ""=-4"") + COUNTIF(ARRAYFORMULA(HLOOKUP($B17, IMPORTRANGE('Prelim Rankings Unsorted'!$B$42, CONCAT(VLOOKUP($C17, 'Match Names'!$A$1:$D$22, 4, FAL"&amp;"SE), ""!C3:R29"")), {5;11;17;23}, FALSE)), ""=-4"") + COUNTIF(ARRAYFORMULA(HLOOKUP($B17, IMPORTRANGE('Match Names'!$E$23, CONCAT(VLOOKUP($C17, 'Match Names'!$1:$22, 5, FALSE), ""!C3:R29"")), {6;11;16;21}, FALSE)), ""=-4"") + COUNTIF(ARRAYFORMULA(HLOOKUP($"&amp;"B17, IMPORTRANGE('Match Names'!$F$23, CONCAT(VLOOKUP($C17, 'Match Names'!$1:$22, 6, FALSE), ""!C3:R29"")), {5;11;17;23}, FALSE)), ""=-4"") + COUNTIF(ARRAYFORMULA(HLOOKUP($B17, IMPORTRANGE('Match Names'!$G$23, CONCAT(VLOOKUP($C17, 'Match Names'!$1:$22, 7, "&amp;"FALSE), ""!C3:R29"")), {5;10;14;22}, FALSE)), ""=-4"") + COUNTIF(ARRAYFORMULA(HLOOKUP($B17, IMPORTRANGE('Match Names'!$H$23, CONCAT(VLOOKUP($C17, 'Match Names'!$1:$22, 8, FALSE), ""!C3:R29"")), {5;11;17;23}, FALSE)), ""=-4"")"),0.0)</f>
        <v>0</v>
      </c>
      <c r="H17" s="33">
        <f t="shared" si="2"/>
        <v>3</v>
      </c>
    </row>
    <row r="18">
      <c r="A18" s="34" t="s">
        <v>206</v>
      </c>
      <c r="B18" s="31" t="str">
        <f>VLOOKUP(CONCAT(A18, C18), 'Discord Username to Real Name'!C:D, 2, FALSE)</f>
        <v>.penguin#3809</v>
      </c>
      <c r="C18" s="36" t="s">
        <v>31</v>
      </c>
      <c r="D18" s="32">
        <f>IFERROR(__xludf.DUMMYFUNCTION("(4 - COUNTIF(IFERROR(ARRAYFORMULA(HLOOKUP($B18, IMPORTRANGE('Prelim Rankings Unsorted'!$B$40, CONCAT(VLOOKUP($C18, 'Match Names'!$A$1:$D$22, 2, FALSE), ""!C3:R29"")), {6;11;17;23}, FALSE)), 'Player Overall Stats Unsorted'!$AA$9:$AA$12), ""=X"")) + (4 - CO"&amp;"UNTIF(IFERROR(ARRAYFORMULA(HLOOKUP($B18, IMPORTRANGE('Prelim Rankings Unsorted'!$B$41, CONCAT(VLOOKUP($C18, 'Match Names'!$A$1:$D$22, 3, FALSE), ""!C3:R29"")), {5;11;17;23}, FALSE)), 'Player Overall Stats Unsorted'!$AA$9:$AA$12), ""=X"")) + (4 - COUNTIF(I"&amp;"FERROR(ARRAYFORMULA(HLOOKUP($B18, IMPORTRANGE('Prelim Rankings Unsorted'!$B$42, CONCAT(VLOOKUP($C18, 'Match Names'!$A$1:$D$22, 4, FALSE), ""!C3:R29"")), {5;11;17;23}, FALSE)), 'Player Overall Stats Unsorted'!$AA$9:$AA$12), ""=X"")) + (4 - COUNTIF(IFERROR("&amp;"ARRAYFORMULA(HLOOKUP($B18, IMPORTRANGE('Match Names'!$E$23, CONCAT(VLOOKUP($C18, 'Match Names'!$1:$22, 5, FALSE), ""!C3:R29"")), {5;11;16;21}, FALSE)), 'Player Overall Stats Unsorted'!$AA$9:$AA$12), ""=X"")) + (4 - COUNTIF(IFERROR(ARRAYFORMULA(HLOOKUP($B1"&amp;"8, IMPORTRANGE('Match Names'!$F$23, CONCAT(VLOOKUP($C18, 'Match Names'!$1:$22, 6, FALSE), ""!C3:R29"")), {5;11;17;23}, FALSE)), 'Player Overall Stats Unsorted'!$AA$9:$AA$12), ""=X"")) + (4 - COUNTIF(IFERROR(ARRAYFORMULA(HLOOKUP($B18, IMPORTRANGE('Match Na"&amp;"mes'!$G$23, CONCAT(VLOOKUP($C18, 'Match Names'!$1:$22, 7, FALSE), ""!C3:R29"")), {5;10;14;23}, FALSE)), 'Player Overall Stats Unsorted'!$AA$9:$AA$12), ""=X"")) + (4 - COUNTIF(IFERROR(ARRAYFORMULA(HLOOKUP($B18, IMPORTRANGE('Match Names'!$H$23, CONCAT(VLOOK"&amp;"UP($C18, 'Match Names'!$1:$22, 8, FALSE), ""!C3:R29"")), {5;11;17;23}, FALSE)), 'Player Overall Stats Unsorted'!$AA$9:$AA$12), ""=X""))"),0.0)</f>
        <v>0</v>
      </c>
      <c r="E18" s="32">
        <f>IFERROR(__xludf.DUMMYFUNCTION("COUNTIF(ARRAYFORMULA(HLOOKUP($B18, IMPORTRANGE('Prelim Rankings Unsorted'!$B$40, CONCAT(VLOOKUP($C18, 'Match Names'!$A$1:$D$22, 2, FALSE), ""!C3:R29"")), {6;11;17;23}, FALSE)), ""=4"") + COUNTIF(ARRAYFORMULA(HLOOKUP($B18, IMPORTRANGE('Prelim Rankings Unso"&amp;"rted'!$B$41, CONCAT(VLOOKUP($C18, 'Match Names'!$A$1:$D$22, 3, FALSE), ""!C3:R29"")), {5;11;17;23}, FALSE)), ""=4"") + COUNTIF(ARRAYFORMULA(HLOOKUP($B18, IMPORTRANGE('Prelim Rankings Unsorted'!$B$42, CONCAT(VLOOKUP($C18, 'Match Names'!$A$1:$D$22, 4, FALSE"&amp;"), ""!C3:R29"")), {5;11;17;23}, FALSE)), ""=4"") + COUNTIF(ARRAYFORMULA(HLOOKUP($B18, IMPORTRANGE('Match Names'!$E$23, CONCAT(VLOOKUP($C18, 'Match Names'!$1:$22, 5, FALSE), ""!C3:R29"")), {6;11;16;21}, FALSE)), ""=4"") + COUNTIF(ARRAYFORMULA(HLOOKUP($B18,"&amp;" IMPORTRANGE('Match Names'!$F$23, CONCAT(VLOOKUP($C18, 'Match Names'!$1:$22, 6, FALSE), ""!C3:R29"")), {5;11;17;23}, FALSE)), ""=4"") + COUNTIF(ARRAYFORMULA(HLOOKUP($B18, IMPORTRANGE('Match Names'!$G$23, CONCAT(VLOOKUP($C18, 'Match Names'!$1:$22, 7, FALSE"&amp;"), ""!C3:R29"")), {5;10;14;22}, FALSE)), ""=4"") + COUNTIF(ARRAYFORMULA(HLOOKUP($B18, IMPORTRANGE('Match Names'!$H$23, CONCAT(VLOOKUP($C18, 'Match Names'!$1:$22, 8, FALSE), ""!C3:R29"")), {5;11;17;23}, FALSE)), ""=4"")"),0.0)</f>
        <v>0</v>
      </c>
      <c r="F18" s="32">
        <f>IFERROR(__xludf.DUMMYFUNCTION("COUNTIF(ARRAYFORMULA(HLOOKUP($B18, IMPORTRANGE('Prelim Rankings Unsorted'!$B$40, CONCAT(VLOOKUP($C18, 'Match Names'!$A$1:$D$22, 2, FALSE), ""!C3:R29"")), {6;11;17;23}, FALSE)), ""=0"") + COUNTIF(ARRAYFORMULA(HLOOKUP($B18, IMPORTRANGE('Prelim Rankings Unso"&amp;"rted'!$B$41, CONCAT(VLOOKUP($C18, 'Match Names'!$A$1:$D$22, 3, FALSE), ""!C3:R29"")), {5;11;17;23}, FALSE)), ""=0"") + COUNTIF(ARRAYFORMULA(HLOOKUP($B18, IMPORTRANGE('Prelim Rankings Unsorted'!$B$42, CONCAT(VLOOKUP($C18, 'Match Names'!$A$1:$D$22, 4, FALSE"&amp;"), ""!C3:R29"")), {5;11;17;23}, FALSE)), ""=0"") + COUNTIF(ARRAYFORMULA(HLOOKUP($B18, IMPORTRANGE('Match Names'!$E$23, CONCAT(VLOOKUP($C18, 'Match Names'!$1:$22, 5, FALSE), ""!C3:R29"")), {6;11;16;21}, FALSE)), ""=0"") + COUNTIF(ARRAYFORMULA(HLOOKUP($B18,"&amp;" IMPORTRANGE('Match Names'!$F$23, CONCAT(VLOOKUP($C18, 'Match Names'!$1:$22, 6, FALSE), ""!C3:R29"")), {5;11;17;23}, FALSE)), ""=0"") + COUNTIF(ARRAYFORMULA(HLOOKUP($B18, IMPORTRANGE('Match Names'!$G$23, CONCAT(VLOOKUP($C18, 'Match Names'!$1:$22, 7, FALSE"&amp;"), ""!C3:R29"")), {5;10;14;22}, FALSE)), ""=0"") + COUNTIF(ARRAYFORMULA(HLOOKUP($B18, IMPORTRANGE('Match Names'!$H$23, CONCAT(VLOOKUP($C18, 'Match Names'!$1:$22, 8, FALSE), ""!C3:R29"")), {5;11;17;23}, FALSE)), ""=0"")"),0.0)</f>
        <v>0</v>
      </c>
      <c r="G18" s="32">
        <f>IFERROR(__xludf.DUMMYFUNCTION("COUNTIF(ARRAYFORMULA(HLOOKUP($B18, IMPORTRANGE('Prelim Rankings Unsorted'!$B$40, CONCAT(VLOOKUP($C18, 'Match Names'!$A$1:$D$22, 2, FALSE), ""!C3:R29"")), {6;11;17;23}, FALSE)), ""=-4"") + COUNTIF(ARRAYFORMULA(HLOOKUP($B18, IMPORTRANGE('Prelim Rankings Uns"&amp;"orted'!$B$41, CONCAT(VLOOKUP($C18, 'Match Names'!$A$1:$D$22, 3, FALSE), ""!C3:R29"")), {5;11;17;23}, FALSE)), ""=-4"") + COUNTIF(ARRAYFORMULA(HLOOKUP($B18, IMPORTRANGE('Prelim Rankings Unsorted'!$B$42, CONCAT(VLOOKUP($C18, 'Match Names'!$A$1:$D$22, 4, FAL"&amp;"SE), ""!C3:R29"")), {5;11;17;23}, FALSE)), ""=-4"") + COUNTIF(ARRAYFORMULA(HLOOKUP($B18, IMPORTRANGE('Match Names'!$E$23, CONCAT(VLOOKUP($C18, 'Match Names'!$1:$22, 5, FALSE), ""!C3:R29"")), {6;11;16;21}, FALSE)), ""=-4"") + COUNTIF(ARRAYFORMULA(HLOOKUP($"&amp;"B18, IMPORTRANGE('Match Names'!$F$23, CONCAT(VLOOKUP($C18, 'Match Names'!$1:$22, 6, FALSE), ""!C3:R29"")), {5;11;17;23}, FALSE)), ""=-4"") + COUNTIF(ARRAYFORMULA(HLOOKUP($B18, IMPORTRANGE('Match Names'!$G$23, CONCAT(VLOOKUP($C18, 'Match Names'!$1:$22, 7, "&amp;"FALSE), ""!C3:R29"")), {5;10;14;22}, FALSE)), ""=-4"") + COUNTIF(ARRAYFORMULA(HLOOKUP($B18, IMPORTRANGE('Match Names'!$H$23, CONCAT(VLOOKUP($C18, 'Match Names'!$1:$22, 8, FALSE), ""!C3:R29"")), {5;11;17;23}, FALSE)), ""=-4"")"),0.0)</f>
        <v>0</v>
      </c>
      <c r="H18" s="33">
        <f t="shared" si="2"/>
        <v>0</v>
      </c>
    </row>
    <row r="19">
      <c r="A19" s="32" t="s">
        <v>84</v>
      </c>
      <c r="B19" s="31" t="str">
        <f>VLOOKUP(CONCAT(A19, C19), 'Discord Username to Real Name'!C:D, 2, FALSE)</f>
        <v>spongebob#0577</v>
      </c>
      <c r="C19" s="31" t="s">
        <v>31</v>
      </c>
      <c r="D19" s="32">
        <f>IFERROR(__xludf.DUMMYFUNCTION("(4 - COUNTIF(IFERROR(ARRAYFORMULA(HLOOKUP($B19, IMPORTRANGE('Prelim Rankings Unsorted'!$B$40, CONCAT(VLOOKUP($C19, 'Match Names'!$A$1:$D$22, 2, FALSE), ""!C3:R29"")), {6;11;17;23}, FALSE)), 'Player Overall Stats Unsorted'!$AA$9:$AA$12), ""=X"")) + (4 - CO"&amp;"UNTIF(IFERROR(ARRAYFORMULA(HLOOKUP($B19, IMPORTRANGE('Prelim Rankings Unsorted'!$B$41, CONCAT(VLOOKUP($C19, 'Match Names'!$A$1:$D$22, 3, FALSE), ""!C3:R29"")), {5;11;17;23}, FALSE)), 'Player Overall Stats Unsorted'!$AA$9:$AA$12), ""=X"")) + (4 - COUNTIF(I"&amp;"FERROR(ARRAYFORMULA(HLOOKUP($B19, IMPORTRANGE('Prelim Rankings Unsorted'!$B$42, CONCAT(VLOOKUP($C19, 'Match Names'!$A$1:$D$22, 4, FALSE), ""!C3:R29"")), {5;11;17;23}, FALSE)), 'Player Overall Stats Unsorted'!$AA$9:$AA$12), ""=X"")) + (4 - COUNTIF(IFERROR("&amp;"ARRAYFORMULA(HLOOKUP($B19, IMPORTRANGE('Match Names'!$E$23, CONCAT(VLOOKUP($C19, 'Match Names'!$1:$22, 5, FALSE), ""!C3:R29"")), {5;11;16;21}, FALSE)), 'Player Overall Stats Unsorted'!$AA$9:$AA$12), ""=X"")) + (4 - COUNTIF(IFERROR(ARRAYFORMULA(HLOOKUP($B1"&amp;"9, IMPORTRANGE('Match Names'!$F$23, CONCAT(VLOOKUP($C19, 'Match Names'!$1:$22, 6, FALSE), ""!C3:R29"")), {5;11;17;23}, FALSE)), 'Player Overall Stats Unsorted'!$AA$9:$AA$12), ""=X"")) + (4 - COUNTIF(IFERROR(ARRAYFORMULA(HLOOKUP($B19, IMPORTRANGE('Match Na"&amp;"mes'!$G$23, CONCAT(VLOOKUP($C19, 'Match Names'!$1:$22, 7, FALSE), ""!C3:R29"")), {5;10;14;23}, FALSE)), 'Player Overall Stats Unsorted'!$AA$9:$AA$12), ""=X"")) + (4 - COUNTIF(IFERROR(ARRAYFORMULA(HLOOKUP($B19, IMPORTRANGE('Match Names'!$H$23, CONCAT(VLOOK"&amp;"UP($C19, 'Match Names'!$1:$22, 8, FALSE), ""!C3:R29"")), {5;11;17;23}, FALSE)), 'Player Overall Stats Unsorted'!$AA$9:$AA$12), ""=X""))"),12.0)</f>
        <v>12</v>
      </c>
      <c r="E19" s="32">
        <f>IFERROR(__xludf.DUMMYFUNCTION("COUNTIF(ARRAYFORMULA(HLOOKUP($B19, IMPORTRANGE('Prelim Rankings Unsorted'!$B$40, CONCAT(VLOOKUP($C19, 'Match Names'!$A$1:$D$22, 2, FALSE), ""!C3:R29"")), {6;11;17;23}, FALSE)), ""=4"") + COUNTIF(ARRAYFORMULA(HLOOKUP($B19, IMPORTRANGE('Prelim Rankings Unso"&amp;"rted'!$B$41, CONCAT(VLOOKUP($C19, 'Match Names'!$A$1:$D$22, 3, FALSE), ""!C3:R29"")), {5;11;17;23}, FALSE)), ""=4"") + COUNTIF(ARRAYFORMULA(HLOOKUP($B19, IMPORTRANGE('Prelim Rankings Unsorted'!$B$42, CONCAT(VLOOKUP($C19, 'Match Names'!$A$1:$D$22, 4, FALSE"&amp;"), ""!C3:R29"")), {5;11;17;23}, FALSE)), ""=4"") + COUNTIF(ARRAYFORMULA(HLOOKUP($B19, IMPORTRANGE('Match Names'!$E$23, CONCAT(VLOOKUP($C19, 'Match Names'!$1:$22, 5, FALSE), ""!C3:R29"")), {6;11;16;21}, FALSE)), ""=4"") + COUNTIF(ARRAYFORMULA(HLOOKUP($B19,"&amp;" IMPORTRANGE('Match Names'!$F$23, CONCAT(VLOOKUP($C19, 'Match Names'!$1:$22, 6, FALSE), ""!C3:R29"")), {5;11;17;23}, FALSE)), ""=4"") + COUNTIF(ARRAYFORMULA(HLOOKUP($B19, IMPORTRANGE('Match Names'!$G$23, CONCAT(VLOOKUP($C19, 'Match Names'!$1:$22, 7, FALSE"&amp;"), ""!C3:R29"")), {5;10;14;22}, FALSE)), ""=4"") + COUNTIF(ARRAYFORMULA(HLOOKUP($B19, IMPORTRANGE('Match Names'!$H$23, CONCAT(VLOOKUP($C19, 'Match Names'!$1:$22, 8, FALSE), ""!C3:R29"")), {5;11;17;23}, FALSE)), ""=4"")"),2.0)</f>
        <v>2</v>
      </c>
      <c r="F19" s="32">
        <f>IFERROR(__xludf.DUMMYFUNCTION("COUNTIF(ARRAYFORMULA(HLOOKUP($B19, IMPORTRANGE('Prelim Rankings Unsorted'!$B$40, CONCAT(VLOOKUP($C19, 'Match Names'!$A$1:$D$22, 2, FALSE), ""!C3:R29"")), {6;11;17;23}, FALSE)), ""=0"") + COUNTIF(ARRAYFORMULA(HLOOKUP($B19, IMPORTRANGE('Prelim Rankings Unso"&amp;"rted'!$B$41, CONCAT(VLOOKUP($C19, 'Match Names'!$A$1:$D$22, 3, FALSE), ""!C3:R29"")), {5;11;17;23}, FALSE)), ""=0"") + COUNTIF(ARRAYFORMULA(HLOOKUP($B19, IMPORTRANGE('Prelim Rankings Unsorted'!$B$42, CONCAT(VLOOKUP($C19, 'Match Names'!$A$1:$D$22, 4, FALSE"&amp;"), ""!C3:R29"")), {5;11;17;23}, FALSE)), ""=0"") + COUNTIF(ARRAYFORMULA(HLOOKUP($B19, IMPORTRANGE('Match Names'!$E$23, CONCAT(VLOOKUP($C19, 'Match Names'!$1:$22, 5, FALSE), ""!C3:R29"")), {6;11;16;21}, FALSE)), ""=0"") + COUNTIF(ARRAYFORMULA(HLOOKUP($B19,"&amp;" IMPORTRANGE('Match Names'!$F$23, CONCAT(VLOOKUP($C19, 'Match Names'!$1:$22, 6, FALSE), ""!C3:R29"")), {5;11;17;23}, FALSE)), ""=0"") + COUNTIF(ARRAYFORMULA(HLOOKUP($B19, IMPORTRANGE('Match Names'!$G$23, CONCAT(VLOOKUP($C19, 'Match Names'!$1:$22, 7, FALSE"&amp;"), ""!C3:R29"")), {5;10;14;22}, FALSE)), ""=0"") + COUNTIF(ARRAYFORMULA(HLOOKUP($B19, IMPORTRANGE('Match Names'!$H$23, CONCAT(VLOOKUP($C19, 'Match Names'!$1:$22, 8, FALSE), ""!C3:R29"")), {5;11;17;23}, FALSE)), ""=0"")"),0.0)</f>
        <v>0</v>
      </c>
      <c r="G19" s="32">
        <f>IFERROR(__xludf.DUMMYFUNCTION("COUNTIF(ARRAYFORMULA(HLOOKUP($B19, IMPORTRANGE('Prelim Rankings Unsorted'!$B$40, CONCAT(VLOOKUP($C19, 'Match Names'!$A$1:$D$22, 2, FALSE), ""!C3:R29"")), {6;11;17;23}, FALSE)), ""=-4"") + COUNTIF(ARRAYFORMULA(HLOOKUP($B19, IMPORTRANGE('Prelim Rankings Uns"&amp;"orted'!$B$41, CONCAT(VLOOKUP($C19, 'Match Names'!$A$1:$D$22, 3, FALSE), ""!C3:R29"")), {5;11;17;23}, FALSE)), ""=-4"") + COUNTIF(ARRAYFORMULA(HLOOKUP($B19, IMPORTRANGE('Prelim Rankings Unsorted'!$B$42, CONCAT(VLOOKUP($C19, 'Match Names'!$A$1:$D$22, 4, FAL"&amp;"SE), ""!C3:R29"")), {5;11;17;23}, FALSE)), ""=-4"") + COUNTIF(ARRAYFORMULA(HLOOKUP($B19, IMPORTRANGE('Match Names'!$E$23, CONCAT(VLOOKUP($C19, 'Match Names'!$1:$22, 5, FALSE), ""!C3:R29"")), {6;11;16;21}, FALSE)), ""=-4"") + COUNTIF(ARRAYFORMULA(HLOOKUP($"&amp;"B19, IMPORTRANGE('Match Names'!$F$23, CONCAT(VLOOKUP($C19, 'Match Names'!$1:$22, 6, FALSE), ""!C3:R29"")), {5;11;17;23}, FALSE)), ""=-4"") + COUNTIF(ARRAYFORMULA(HLOOKUP($B19, IMPORTRANGE('Match Names'!$G$23, CONCAT(VLOOKUP($C19, 'Match Names'!$1:$22, 7, "&amp;"FALSE), ""!C3:R29"")), {5;10;14;22}, FALSE)), ""=-4"") + COUNTIF(ARRAYFORMULA(HLOOKUP($B19, IMPORTRANGE('Match Names'!$H$23, CONCAT(VLOOKUP($C19, 'Match Names'!$1:$22, 8, FALSE), ""!C3:R29"")), {5;11;17;23}, FALSE)), ""=-4"")"),0.0)</f>
        <v>0</v>
      </c>
      <c r="H19" s="33">
        <f t="shared" si="2"/>
        <v>2.67</v>
      </c>
    </row>
    <row r="20">
      <c r="A20" s="34" t="s">
        <v>100</v>
      </c>
      <c r="B20" s="31" t="str">
        <f>VLOOKUP(CONCAT(A20, C20), 'Discord Username to Real Name'!C:D, 2, FALSE)</f>
        <v>Izwerzx#2598</v>
      </c>
      <c r="C20" s="36" t="s">
        <v>31</v>
      </c>
      <c r="D20" s="32">
        <f>IFERROR(__xludf.DUMMYFUNCTION("(4 - COUNTIF(IFERROR(ARRAYFORMULA(HLOOKUP($B20, IMPORTRANGE('Prelim Rankings Unsorted'!$B$40, CONCAT(VLOOKUP($C20, 'Match Names'!$A$1:$D$22, 2, FALSE), ""!C3:R29"")), {6;11;17;23}, FALSE)), 'Player Overall Stats Unsorted'!$AA$9:$AA$12), ""=X"")) + (4 - CO"&amp;"UNTIF(IFERROR(ARRAYFORMULA(HLOOKUP($B20, IMPORTRANGE('Prelim Rankings Unsorted'!$B$41, CONCAT(VLOOKUP($C20, 'Match Names'!$A$1:$D$22, 3, FALSE), ""!C3:R29"")), {5;11;17;23}, FALSE)), 'Player Overall Stats Unsorted'!$AA$9:$AA$12), ""=X"")) + (4 - COUNTIF(I"&amp;"FERROR(ARRAYFORMULA(HLOOKUP($B20, IMPORTRANGE('Prelim Rankings Unsorted'!$B$42, CONCAT(VLOOKUP($C20, 'Match Names'!$A$1:$D$22, 4, FALSE), ""!C3:R29"")), {5;11;17;23}, FALSE)), 'Player Overall Stats Unsorted'!$AA$9:$AA$12), ""=X"")) + (4 - COUNTIF(IFERROR("&amp;"ARRAYFORMULA(HLOOKUP($B20, IMPORTRANGE('Match Names'!$E$23, CONCAT(VLOOKUP($C20, 'Match Names'!$1:$22, 5, FALSE), ""!C3:R29"")), {5;11;16;21}, FALSE)), 'Player Overall Stats Unsorted'!$AA$9:$AA$12), ""=X"")) + (4 - COUNTIF(IFERROR(ARRAYFORMULA(HLOOKUP($B2"&amp;"0, IMPORTRANGE('Match Names'!$F$23, CONCAT(VLOOKUP($C20, 'Match Names'!$1:$22, 6, FALSE), ""!C3:R29"")), {5;11;17;23}, FALSE)), 'Player Overall Stats Unsorted'!$AA$9:$AA$12), ""=X"")) + (4 - COUNTIF(IFERROR(ARRAYFORMULA(HLOOKUP($B20, IMPORTRANGE('Match Na"&amp;"mes'!$G$23, CONCAT(VLOOKUP($C20, 'Match Names'!$1:$22, 7, FALSE), ""!C3:R29"")), {5;10;14;23}, FALSE)), 'Player Overall Stats Unsorted'!$AA$9:$AA$12), ""=X"")) + (4 - COUNTIF(IFERROR(ARRAYFORMULA(HLOOKUP($B20, IMPORTRANGE('Match Names'!$H$23, CONCAT(VLOOK"&amp;"UP($C20, 'Match Names'!$1:$22, 8, FALSE), ""!C3:R29"")), {5;11;17;23}, FALSE)), 'Player Overall Stats Unsorted'!$AA$9:$AA$12), ""=X""))"),8.0)</f>
        <v>8</v>
      </c>
      <c r="E20" s="32">
        <f>IFERROR(__xludf.DUMMYFUNCTION("COUNTIF(ARRAYFORMULA(HLOOKUP($B20, IMPORTRANGE('Prelim Rankings Unsorted'!$B$40, CONCAT(VLOOKUP($C20, 'Match Names'!$A$1:$D$22, 2, FALSE), ""!C3:R29"")), {6;11;17;23}, FALSE)), ""=4"") + COUNTIF(ARRAYFORMULA(HLOOKUP($B20, IMPORTRANGE('Prelim Rankings Unso"&amp;"rted'!$B$41, CONCAT(VLOOKUP($C20, 'Match Names'!$A$1:$D$22, 3, FALSE), ""!C3:R29"")), {5;11;17;23}, FALSE)), ""=4"") + COUNTIF(ARRAYFORMULA(HLOOKUP($B20, IMPORTRANGE('Prelim Rankings Unsorted'!$B$42, CONCAT(VLOOKUP($C20, 'Match Names'!$A$1:$D$22, 4, FALSE"&amp;"), ""!C3:R29"")), {5;11;17;23}, FALSE)), ""=4"") + COUNTIF(ARRAYFORMULA(HLOOKUP($B20, IMPORTRANGE('Match Names'!$E$23, CONCAT(VLOOKUP($C20, 'Match Names'!$1:$22, 5, FALSE), ""!C3:R29"")), {6;11;16;21}, FALSE)), ""=4"") + COUNTIF(ARRAYFORMULA(HLOOKUP($B20,"&amp;" IMPORTRANGE('Match Names'!$F$23, CONCAT(VLOOKUP($C20, 'Match Names'!$1:$22, 6, FALSE), ""!C3:R29"")), {5;11;17;23}, FALSE)), ""=4"") + COUNTIF(ARRAYFORMULA(HLOOKUP($B20, IMPORTRANGE('Match Names'!$G$23, CONCAT(VLOOKUP($C20, 'Match Names'!$1:$22, 7, FALSE"&amp;"), ""!C3:R29"")), {5;10;14;22}, FALSE)), ""=4"") + COUNTIF(ARRAYFORMULA(HLOOKUP($B20, IMPORTRANGE('Match Names'!$H$23, CONCAT(VLOOKUP($C20, 'Match Names'!$1:$22, 8, FALSE), ""!C3:R29"")), {5;11;17;23}, FALSE)), ""=4"")"),0.0)</f>
        <v>0</v>
      </c>
      <c r="F20" s="32">
        <f>IFERROR(__xludf.DUMMYFUNCTION("COUNTIF(ARRAYFORMULA(HLOOKUP($B20, IMPORTRANGE('Prelim Rankings Unsorted'!$B$40, CONCAT(VLOOKUP($C20, 'Match Names'!$A$1:$D$22, 2, FALSE), ""!C3:R29"")), {6;11;17;23}, FALSE)), ""=0"") + COUNTIF(ARRAYFORMULA(HLOOKUP($B20, IMPORTRANGE('Prelim Rankings Unso"&amp;"rted'!$B$41, CONCAT(VLOOKUP($C20, 'Match Names'!$A$1:$D$22, 3, FALSE), ""!C3:R29"")), {5;11;17;23}, FALSE)), ""=0"") + COUNTIF(ARRAYFORMULA(HLOOKUP($B20, IMPORTRANGE('Prelim Rankings Unsorted'!$B$42, CONCAT(VLOOKUP($C20, 'Match Names'!$A$1:$D$22, 4, FALSE"&amp;"), ""!C3:R29"")), {5;11;17;23}, FALSE)), ""=0"") + COUNTIF(ARRAYFORMULA(HLOOKUP($B20, IMPORTRANGE('Match Names'!$E$23, CONCAT(VLOOKUP($C20, 'Match Names'!$1:$22, 5, FALSE), ""!C3:R29"")), {6;11;16;21}, FALSE)), ""=0"") + COUNTIF(ARRAYFORMULA(HLOOKUP($B20,"&amp;" IMPORTRANGE('Match Names'!$F$23, CONCAT(VLOOKUP($C20, 'Match Names'!$1:$22, 6, FALSE), ""!C3:R29"")), {5;11;17;23}, FALSE)), ""=0"") + COUNTIF(ARRAYFORMULA(HLOOKUP($B20, IMPORTRANGE('Match Names'!$G$23, CONCAT(VLOOKUP($C20, 'Match Names'!$1:$22, 7, FALSE"&amp;"), ""!C3:R29"")), {5;10;14;22}, FALSE)), ""=0"") + COUNTIF(ARRAYFORMULA(HLOOKUP($B20, IMPORTRANGE('Match Names'!$H$23, CONCAT(VLOOKUP($C20, 'Match Names'!$1:$22, 8, FALSE), ""!C3:R29"")), {5;11;17;23}, FALSE)), ""=0"")"),0.0)</f>
        <v>0</v>
      </c>
      <c r="G20" s="32">
        <f>IFERROR(__xludf.DUMMYFUNCTION("COUNTIF(ARRAYFORMULA(HLOOKUP($B20, IMPORTRANGE('Prelim Rankings Unsorted'!$B$40, CONCAT(VLOOKUP($C20, 'Match Names'!$A$1:$D$22, 2, FALSE), ""!C3:R29"")), {6;11;17;23}, FALSE)), ""=-4"") + COUNTIF(ARRAYFORMULA(HLOOKUP($B20, IMPORTRANGE('Prelim Rankings Uns"&amp;"orted'!$B$41, CONCAT(VLOOKUP($C20, 'Match Names'!$A$1:$D$22, 3, FALSE), ""!C3:R29"")), {5;11;17;23}, FALSE)), ""=-4"") + COUNTIF(ARRAYFORMULA(HLOOKUP($B20, IMPORTRANGE('Prelim Rankings Unsorted'!$B$42, CONCAT(VLOOKUP($C20, 'Match Names'!$A$1:$D$22, 4, FAL"&amp;"SE), ""!C3:R29"")), {5;11;17;23}, FALSE)), ""=-4"") + COUNTIF(ARRAYFORMULA(HLOOKUP($B20, IMPORTRANGE('Match Names'!$E$23, CONCAT(VLOOKUP($C20, 'Match Names'!$1:$22, 5, FALSE), ""!C3:R29"")), {6;11;16;21}, FALSE)), ""=-4"") + COUNTIF(ARRAYFORMULA(HLOOKUP($"&amp;"B20, IMPORTRANGE('Match Names'!$F$23, CONCAT(VLOOKUP($C20, 'Match Names'!$1:$22, 6, FALSE), ""!C3:R29"")), {5;11;17;23}, FALSE)), ""=-4"") + COUNTIF(ARRAYFORMULA(HLOOKUP($B20, IMPORTRANGE('Match Names'!$G$23, CONCAT(VLOOKUP($C20, 'Match Names'!$1:$22, 7, "&amp;"FALSE), ""!C3:R29"")), {5;10;14;22}, FALSE)), ""=-4"") + COUNTIF(ARRAYFORMULA(HLOOKUP($B20, IMPORTRANGE('Match Names'!$H$23, CONCAT(VLOOKUP($C20, 'Match Names'!$1:$22, 8, FALSE), ""!C3:R29"")), {5;11;17;23}, FALSE)), ""=-4"")"),0.0)</f>
        <v>0</v>
      </c>
      <c r="H20" s="33">
        <f t="shared" si="2"/>
        <v>0</v>
      </c>
    </row>
    <row r="21">
      <c r="A21" s="31" t="s">
        <v>205</v>
      </c>
      <c r="B21" s="31" t="str">
        <f>VLOOKUP(CONCAT(A21, C21), 'Discord Username to Real Name'!C:D, 2, FALSE)</f>
        <v>Einglass#1845</v>
      </c>
      <c r="C21" s="31" t="s">
        <v>31</v>
      </c>
      <c r="D21" s="32">
        <f>IFERROR(__xludf.DUMMYFUNCTION("(4 - COUNTIF(IFERROR(ARRAYFORMULA(HLOOKUP($B21, IMPORTRANGE('Prelim Rankings Unsorted'!$B$40, CONCAT(VLOOKUP($C21, 'Match Names'!$A$1:$D$22, 2, FALSE), ""!C3:R29"")), {6;11;17;23}, FALSE)), 'Player Overall Stats Unsorted'!$AA$9:$AA$12), ""=X"")) + (4 - CO"&amp;"UNTIF(IFERROR(ARRAYFORMULA(HLOOKUP($B21, IMPORTRANGE('Prelim Rankings Unsorted'!$B$41, CONCAT(VLOOKUP($C21, 'Match Names'!$A$1:$D$22, 3, FALSE), ""!C3:R29"")), {5;11;17;23}, FALSE)), 'Player Overall Stats Unsorted'!$AA$9:$AA$12), ""=X"")) + (4 - COUNTIF(I"&amp;"FERROR(ARRAYFORMULA(HLOOKUP($B21, IMPORTRANGE('Prelim Rankings Unsorted'!$B$42, CONCAT(VLOOKUP($C21, 'Match Names'!$A$1:$D$22, 4, FALSE), ""!C3:R29"")), {5;11;17;23}, FALSE)), 'Player Overall Stats Unsorted'!$AA$9:$AA$12), ""=X"")) + (4 - COUNTIF(IFERROR("&amp;"ARRAYFORMULA(HLOOKUP($B21, IMPORTRANGE('Match Names'!$E$23, CONCAT(VLOOKUP($C21, 'Match Names'!$1:$22, 5, FALSE), ""!C3:R29"")), {5;11;16;21}, FALSE)), 'Player Overall Stats Unsorted'!$AA$9:$AA$12), ""=X"")) + (4 - COUNTIF(IFERROR(ARRAYFORMULA(HLOOKUP($B2"&amp;"1, IMPORTRANGE('Match Names'!$F$23, CONCAT(VLOOKUP($C21, 'Match Names'!$1:$22, 6, FALSE), ""!C3:R29"")), {5;11;17;23}, FALSE)), 'Player Overall Stats Unsorted'!$AA$9:$AA$12), ""=X"")) + (4 - COUNTIF(IFERROR(ARRAYFORMULA(HLOOKUP($B21, IMPORTRANGE('Match Na"&amp;"mes'!$G$23, CONCAT(VLOOKUP($C21, 'Match Names'!$1:$22, 7, FALSE), ""!C3:R29"")), {5;10;14;23}, FALSE)), 'Player Overall Stats Unsorted'!$AA$9:$AA$12), ""=X"")) + (4 - COUNTIF(IFERROR(ARRAYFORMULA(HLOOKUP($B21, IMPORTRANGE('Match Names'!$H$23, CONCAT(VLOOK"&amp;"UP($C21, 'Match Names'!$1:$22, 8, FALSE), ""!C3:R29"")), {5;11;17;23}, FALSE)), 'Player Overall Stats Unsorted'!$AA$9:$AA$12), ""=X""))"),0.0)</f>
        <v>0</v>
      </c>
      <c r="E21" s="32">
        <f>IFERROR(__xludf.DUMMYFUNCTION("COUNTIF(ARRAYFORMULA(HLOOKUP($B21, IMPORTRANGE('Prelim Rankings Unsorted'!$B$40, CONCAT(VLOOKUP($C21, 'Match Names'!$A$1:$D$22, 2, FALSE), ""!C3:R29"")), {6;11;17;23}, FALSE)), ""=4"") + COUNTIF(ARRAYFORMULA(HLOOKUP($B21, IMPORTRANGE('Prelim Rankings Unso"&amp;"rted'!$B$41, CONCAT(VLOOKUP($C21, 'Match Names'!$A$1:$D$22, 3, FALSE), ""!C3:R29"")), {5;11;17;23}, FALSE)), ""=4"") + COUNTIF(ARRAYFORMULA(HLOOKUP($B21, IMPORTRANGE('Prelim Rankings Unsorted'!$B$42, CONCAT(VLOOKUP($C21, 'Match Names'!$A$1:$D$22, 4, FALSE"&amp;"), ""!C3:R29"")), {5;11;17;23}, FALSE)), ""=4"") + COUNTIF(ARRAYFORMULA(HLOOKUP($B21, IMPORTRANGE('Match Names'!$E$23, CONCAT(VLOOKUP($C21, 'Match Names'!$1:$22, 5, FALSE), ""!C3:R29"")), {6;11;16;21}, FALSE)), ""=4"") + COUNTIF(ARRAYFORMULA(HLOOKUP($B21,"&amp;" IMPORTRANGE('Match Names'!$F$23, CONCAT(VLOOKUP($C21, 'Match Names'!$1:$22, 6, FALSE), ""!C3:R29"")), {5;11;17;23}, FALSE)), ""=4"") + COUNTIF(ARRAYFORMULA(HLOOKUP($B21, IMPORTRANGE('Match Names'!$G$23, CONCAT(VLOOKUP($C21, 'Match Names'!$1:$22, 7, FALSE"&amp;"), ""!C3:R29"")), {5;10;14;22}, FALSE)), ""=4"") + COUNTIF(ARRAYFORMULA(HLOOKUP($B21, IMPORTRANGE('Match Names'!$H$23, CONCAT(VLOOKUP($C21, 'Match Names'!$1:$22, 8, FALSE), ""!C3:R29"")), {5;11;17;23}, FALSE)), ""=4"")"),0.0)</f>
        <v>0</v>
      </c>
      <c r="F21" s="32">
        <f>IFERROR(__xludf.DUMMYFUNCTION("COUNTIF(ARRAYFORMULA(HLOOKUP($B21, IMPORTRANGE('Prelim Rankings Unsorted'!$B$40, CONCAT(VLOOKUP($C21, 'Match Names'!$A$1:$D$22, 2, FALSE), ""!C3:R29"")), {6;11;17;23}, FALSE)), ""=0"") + COUNTIF(ARRAYFORMULA(HLOOKUP($B21, IMPORTRANGE('Prelim Rankings Unso"&amp;"rted'!$B$41, CONCAT(VLOOKUP($C21, 'Match Names'!$A$1:$D$22, 3, FALSE), ""!C3:R29"")), {5;11;17;23}, FALSE)), ""=0"") + COUNTIF(ARRAYFORMULA(HLOOKUP($B21, IMPORTRANGE('Prelim Rankings Unsorted'!$B$42, CONCAT(VLOOKUP($C21, 'Match Names'!$A$1:$D$22, 4, FALSE"&amp;"), ""!C3:R29"")), {5;11;17;23}, FALSE)), ""=0"") + COUNTIF(ARRAYFORMULA(HLOOKUP($B21, IMPORTRANGE('Match Names'!$E$23, CONCAT(VLOOKUP($C21, 'Match Names'!$1:$22, 5, FALSE), ""!C3:R29"")), {6;11;16;21}, FALSE)), ""=0"") + COUNTIF(ARRAYFORMULA(HLOOKUP($B21,"&amp;" IMPORTRANGE('Match Names'!$F$23, CONCAT(VLOOKUP($C21, 'Match Names'!$1:$22, 6, FALSE), ""!C3:R29"")), {5;11;17;23}, FALSE)), ""=0"") + COUNTIF(ARRAYFORMULA(HLOOKUP($B21, IMPORTRANGE('Match Names'!$G$23, CONCAT(VLOOKUP($C21, 'Match Names'!$1:$22, 7, FALSE"&amp;"), ""!C3:R29"")), {5;10;14;22}, FALSE)), ""=0"") + COUNTIF(ARRAYFORMULA(HLOOKUP($B21, IMPORTRANGE('Match Names'!$H$23, CONCAT(VLOOKUP($C21, 'Match Names'!$1:$22, 8, FALSE), ""!C3:R29"")), {5;11;17;23}, FALSE)), ""=0"")"),0.0)</f>
        <v>0</v>
      </c>
      <c r="G21" s="32">
        <f>IFERROR(__xludf.DUMMYFUNCTION("COUNTIF(ARRAYFORMULA(HLOOKUP($B21, IMPORTRANGE('Prelim Rankings Unsorted'!$B$40, CONCAT(VLOOKUP($C21, 'Match Names'!$A$1:$D$22, 2, FALSE), ""!C3:R29"")), {6;11;17;23}, FALSE)), ""=-4"") + COUNTIF(ARRAYFORMULA(HLOOKUP($B21, IMPORTRANGE('Prelim Rankings Uns"&amp;"orted'!$B$41, CONCAT(VLOOKUP($C21, 'Match Names'!$A$1:$D$22, 3, FALSE), ""!C3:R29"")), {5;11;17;23}, FALSE)), ""=-4"") + COUNTIF(ARRAYFORMULA(HLOOKUP($B21, IMPORTRANGE('Prelim Rankings Unsorted'!$B$42, CONCAT(VLOOKUP($C21, 'Match Names'!$A$1:$D$22, 4, FAL"&amp;"SE), ""!C3:R29"")), {5;11;17;23}, FALSE)), ""=-4"") + COUNTIF(ARRAYFORMULA(HLOOKUP($B21, IMPORTRANGE('Match Names'!$E$23, CONCAT(VLOOKUP($C21, 'Match Names'!$1:$22, 5, FALSE), ""!C3:R29"")), {6;11;16;21}, FALSE)), ""=-4"") + COUNTIF(ARRAYFORMULA(HLOOKUP($"&amp;"B21, IMPORTRANGE('Match Names'!$F$23, CONCAT(VLOOKUP($C21, 'Match Names'!$1:$22, 6, FALSE), ""!C3:R29"")), {5;11;17;23}, FALSE)), ""=-4"") + COUNTIF(ARRAYFORMULA(HLOOKUP($B21, IMPORTRANGE('Match Names'!$G$23, CONCAT(VLOOKUP($C21, 'Match Names'!$1:$22, 7, "&amp;"FALSE), ""!C3:R29"")), {5;10;14;22}, FALSE)), ""=-4"") + COUNTIF(ARRAYFORMULA(HLOOKUP($B21, IMPORTRANGE('Match Names'!$H$23, CONCAT(VLOOKUP($C21, 'Match Names'!$1:$22, 8, FALSE), ""!C3:R29"")), {5;11;17;23}, FALSE)), ""=-4"")"),0.0)</f>
        <v>0</v>
      </c>
      <c r="H21" s="33">
        <f t="shared" si="2"/>
        <v>0</v>
      </c>
    </row>
    <row r="22">
      <c r="A22" s="31" t="s">
        <v>167</v>
      </c>
      <c r="B22" s="31" t="str">
        <f>VLOOKUP(CONCAT(A22, C22), 'Discord Username to Real Name'!C:D, 2, FALSE)</f>
        <v>KOZlegend#1745</v>
      </c>
      <c r="C22" s="31" t="s">
        <v>31</v>
      </c>
      <c r="D22" s="32">
        <f>IFERROR(__xludf.DUMMYFUNCTION("(4 - COUNTIF(IFERROR(ARRAYFORMULA(HLOOKUP($B22, IMPORTRANGE('Prelim Rankings Unsorted'!$B$40, CONCAT(VLOOKUP($C22, 'Match Names'!$A$1:$D$22, 2, FALSE), ""!C3:R29"")), {6;11;17;23}, FALSE)), 'Player Overall Stats Unsorted'!$AA$9:$AA$12), ""=X"")) + (4 - CO"&amp;"UNTIF(IFERROR(ARRAYFORMULA(HLOOKUP($B22, IMPORTRANGE('Prelim Rankings Unsorted'!$B$41, CONCAT(VLOOKUP($C22, 'Match Names'!$A$1:$D$22, 3, FALSE), ""!C3:R29"")), {5;11;17;23}, FALSE)), 'Player Overall Stats Unsorted'!$AA$9:$AA$12), ""=X"")) + (4 - COUNTIF(I"&amp;"FERROR(ARRAYFORMULA(HLOOKUP($B22, IMPORTRANGE('Prelim Rankings Unsorted'!$B$42, CONCAT(VLOOKUP($C22, 'Match Names'!$A$1:$D$22, 4, FALSE), ""!C3:R29"")), {5;11;17;23}, FALSE)), 'Player Overall Stats Unsorted'!$AA$9:$AA$12), ""=X"")) + (4 - COUNTIF(IFERROR("&amp;"ARRAYFORMULA(HLOOKUP($B22, IMPORTRANGE('Match Names'!$E$23, CONCAT(VLOOKUP($C22, 'Match Names'!$1:$22, 5, FALSE), ""!C3:R29"")), {5;11;16;21}, FALSE)), 'Player Overall Stats Unsorted'!$AA$9:$AA$12), ""=X"")) + (4 - COUNTIF(IFERROR(ARRAYFORMULA(HLOOKUP($B2"&amp;"2, IMPORTRANGE('Match Names'!$F$23, CONCAT(VLOOKUP($C22, 'Match Names'!$1:$22, 6, FALSE), ""!C3:R29"")), {5;11;17;23}, FALSE)), 'Player Overall Stats Unsorted'!$AA$9:$AA$12), ""=X"")) + (4 - COUNTIF(IFERROR(ARRAYFORMULA(HLOOKUP($B22, IMPORTRANGE('Match Na"&amp;"mes'!$G$23, CONCAT(VLOOKUP($C22, 'Match Names'!$1:$22, 7, FALSE), ""!C3:R29"")), {5;10;14;23}, FALSE)), 'Player Overall Stats Unsorted'!$AA$9:$AA$12), ""=X"")) + (4 - COUNTIF(IFERROR(ARRAYFORMULA(HLOOKUP($B22, IMPORTRANGE('Match Names'!$H$23, CONCAT(VLOOK"&amp;"UP($C22, 'Match Names'!$1:$22, 8, FALSE), ""!C3:R29"")), {5;11;17;23}, FALSE)), 'Player Overall Stats Unsorted'!$AA$9:$AA$12), ""=X""))"),16.0)</f>
        <v>16</v>
      </c>
      <c r="E22" s="32">
        <f>IFERROR(__xludf.DUMMYFUNCTION("COUNTIF(ARRAYFORMULA(HLOOKUP($B22, IMPORTRANGE('Prelim Rankings Unsorted'!$B$40, CONCAT(VLOOKUP($C22, 'Match Names'!$A$1:$D$22, 2, FALSE), ""!C3:R29"")), {6;11;17;23}, FALSE)), ""=4"") + COUNTIF(ARRAYFORMULA(HLOOKUP($B22, IMPORTRANGE('Prelim Rankings Unso"&amp;"rted'!$B$41, CONCAT(VLOOKUP($C22, 'Match Names'!$A$1:$D$22, 3, FALSE), ""!C3:R29"")), {5;11;17;23}, FALSE)), ""=4"") + COUNTIF(ARRAYFORMULA(HLOOKUP($B22, IMPORTRANGE('Prelim Rankings Unsorted'!$B$42, CONCAT(VLOOKUP($C22, 'Match Names'!$A$1:$D$22, 4, FALSE"&amp;"), ""!C3:R29"")), {5;11;17;23}, FALSE)), ""=4"") + COUNTIF(ARRAYFORMULA(HLOOKUP($B22, IMPORTRANGE('Match Names'!$E$23, CONCAT(VLOOKUP($C22, 'Match Names'!$1:$22, 5, FALSE), ""!C3:R29"")), {6;11;16;21}, FALSE)), ""=4"") + COUNTIF(ARRAYFORMULA(HLOOKUP($B22,"&amp;" IMPORTRANGE('Match Names'!$F$23, CONCAT(VLOOKUP($C22, 'Match Names'!$1:$22, 6, FALSE), ""!C3:R29"")), {5;11;17;23}, FALSE)), ""=4"") + COUNTIF(ARRAYFORMULA(HLOOKUP($B22, IMPORTRANGE('Match Names'!$G$23, CONCAT(VLOOKUP($C22, 'Match Names'!$1:$22, 7, FALSE"&amp;"), ""!C3:R29"")), {5;10;14;22}, FALSE)), ""=4"") + COUNTIF(ARRAYFORMULA(HLOOKUP($B22, IMPORTRANGE('Match Names'!$H$23, CONCAT(VLOOKUP($C22, 'Match Names'!$1:$22, 8, FALSE), ""!C3:R29"")), {5;11;17;23}, FALSE)), ""=4"")"),0.0)</f>
        <v>0</v>
      </c>
      <c r="F22" s="32">
        <f>IFERROR(__xludf.DUMMYFUNCTION("COUNTIF(ARRAYFORMULA(HLOOKUP($B22, IMPORTRANGE('Prelim Rankings Unsorted'!$B$40, CONCAT(VLOOKUP($C22, 'Match Names'!$A$1:$D$22, 2, FALSE), ""!C3:R29"")), {6;11;17;23}, FALSE)), ""=0"") + COUNTIF(ARRAYFORMULA(HLOOKUP($B22, IMPORTRANGE('Prelim Rankings Unso"&amp;"rted'!$B$41, CONCAT(VLOOKUP($C22, 'Match Names'!$A$1:$D$22, 3, FALSE), ""!C3:R29"")), {5;11;17;23}, FALSE)), ""=0"") + COUNTIF(ARRAYFORMULA(HLOOKUP($B22, IMPORTRANGE('Prelim Rankings Unsorted'!$B$42, CONCAT(VLOOKUP($C22, 'Match Names'!$A$1:$D$22, 4, FALSE"&amp;"), ""!C3:R29"")), {5;11;17;23}, FALSE)), ""=0"") + COUNTIF(ARRAYFORMULA(HLOOKUP($B22, IMPORTRANGE('Match Names'!$E$23, CONCAT(VLOOKUP($C22, 'Match Names'!$1:$22, 5, FALSE), ""!C3:R29"")), {6;11;16;21}, FALSE)), ""=0"") + COUNTIF(ARRAYFORMULA(HLOOKUP($B22,"&amp;" IMPORTRANGE('Match Names'!$F$23, CONCAT(VLOOKUP($C22, 'Match Names'!$1:$22, 6, FALSE), ""!C3:R29"")), {5;11;17;23}, FALSE)), ""=0"") + COUNTIF(ARRAYFORMULA(HLOOKUP($B22, IMPORTRANGE('Match Names'!$G$23, CONCAT(VLOOKUP($C22, 'Match Names'!$1:$22, 7, FALSE"&amp;"), ""!C3:R29"")), {5;10;14;22}, FALSE)), ""=0"") + COUNTIF(ARRAYFORMULA(HLOOKUP($B22, IMPORTRANGE('Match Names'!$H$23, CONCAT(VLOOKUP($C22, 'Match Names'!$1:$22, 8, FALSE), ""!C3:R29"")), {5;11;17;23}, FALSE)), ""=0"")"),0.0)</f>
        <v>0</v>
      </c>
      <c r="G22" s="32">
        <f>IFERROR(__xludf.DUMMYFUNCTION("COUNTIF(ARRAYFORMULA(HLOOKUP($B22, IMPORTRANGE('Prelim Rankings Unsorted'!$B$40, CONCAT(VLOOKUP($C22, 'Match Names'!$A$1:$D$22, 2, FALSE), ""!C3:R29"")), {6;11;17;23}, FALSE)), ""=-4"") + COUNTIF(ARRAYFORMULA(HLOOKUP($B22, IMPORTRANGE('Prelim Rankings Uns"&amp;"orted'!$B$41, CONCAT(VLOOKUP($C22, 'Match Names'!$A$1:$D$22, 3, FALSE), ""!C3:R29"")), {5;11;17;23}, FALSE)), ""=-4"") + COUNTIF(ARRAYFORMULA(HLOOKUP($B22, IMPORTRANGE('Prelim Rankings Unsorted'!$B$42, CONCAT(VLOOKUP($C22, 'Match Names'!$A$1:$D$22, 4, FAL"&amp;"SE), ""!C3:R29"")), {5;11;17;23}, FALSE)), ""=-4"") + COUNTIF(ARRAYFORMULA(HLOOKUP($B22, IMPORTRANGE('Match Names'!$E$23, CONCAT(VLOOKUP($C22, 'Match Names'!$1:$22, 5, FALSE), ""!C3:R29"")), {6;11;16;21}, FALSE)), ""=-4"") + COUNTIF(ARRAYFORMULA(HLOOKUP($"&amp;"B22, IMPORTRANGE('Match Names'!$F$23, CONCAT(VLOOKUP($C22, 'Match Names'!$1:$22, 6, FALSE), ""!C3:R29"")), {5;11;17;23}, FALSE)), ""=-4"") + COUNTIF(ARRAYFORMULA(HLOOKUP($B22, IMPORTRANGE('Match Names'!$G$23, CONCAT(VLOOKUP($C22, 'Match Names'!$1:$22, 7, "&amp;"FALSE), ""!C3:R29"")), {5;10;14;22}, FALSE)), ""=-4"") + COUNTIF(ARRAYFORMULA(HLOOKUP($B22, IMPORTRANGE('Match Names'!$H$23, CONCAT(VLOOKUP($C22, 'Match Names'!$1:$22, 8, FALSE), ""!C3:R29"")), {5;11;17;23}, FALSE)), ""=-4"")"),0.0)</f>
        <v>0</v>
      </c>
      <c r="H22" s="33">
        <f t="shared" si="2"/>
        <v>0</v>
      </c>
    </row>
    <row r="23">
      <c r="A23" s="31" t="s">
        <v>90</v>
      </c>
      <c r="B23" s="31" t="str">
        <f>VLOOKUP(CONCAT(A23, C23), 'Discord Username to Real Name'!C:D, 2, FALSE)</f>
        <v>hriday#5979</v>
      </c>
      <c r="C23" s="31" t="s">
        <v>25</v>
      </c>
      <c r="D23" s="32">
        <f>IFERROR(__xludf.DUMMYFUNCTION("(4 - COUNTIF(IFERROR(ARRAYFORMULA(HLOOKUP($B23, IMPORTRANGE('Prelim Rankings Unsorted'!$B$40, CONCAT(VLOOKUP($C23, 'Match Names'!$A$1:$D$22, 2, FALSE), ""!C3:R29"")), {6;11;17;23}, FALSE)), 'Player Overall Stats Unsorted'!$AA$9:$AA$12), ""=X"")) + (4 - CO"&amp;"UNTIF(IFERROR(ARRAYFORMULA(HLOOKUP($B23, IMPORTRANGE('Prelim Rankings Unsorted'!$B$41, CONCAT(VLOOKUP($C23, 'Match Names'!$A$1:$D$22, 3, FALSE), ""!C3:R29"")), {5;11;17;23}, FALSE)), 'Player Overall Stats Unsorted'!$AA$9:$AA$12), ""=X"")) + (4 - COUNTIF(I"&amp;"FERROR(ARRAYFORMULA(HLOOKUP($B23, IMPORTRANGE('Prelim Rankings Unsorted'!$B$42, CONCAT(VLOOKUP($C23, 'Match Names'!$A$1:$D$22, 4, FALSE), ""!C3:R29"")), {5;11;17;23}, FALSE)), 'Player Overall Stats Unsorted'!$AA$9:$AA$12), ""=X"")) + (4 - COUNTIF(IFERROR("&amp;"ARRAYFORMULA(HLOOKUP($B23, IMPORTRANGE('Match Names'!$E$23, CONCAT(VLOOKUP($C23, 'Match Names'!$1:$22, 5, FALSE), ""!C3:R29"")), {5;11;16;21}, FALSE)), 'Player Overall Stats Unsorted'!$AA$9:$AA$12), ""=X"")) + (4 - COUNTIF(IFERROR(ARRAYFORMULA(HLOOKUP($B2"&amp;"3, IMPORTRANGE('Match Names'!$F$23, CONCAT(VLOOKUP($C23, 'Match Names'!$1:$22, 6, FALSE), ""!C3:R29"")), {5;11;17;23}, FALSE)), 'Player Overall Stats Unsorted'!$AA$9:$AA$12), ""=X"")) + (4 - COUNTIF(IFERROR(ARRAYFORMULA(HLOOKUP($B23, IMPORTRANGE('Match Na"&amp;"mes'!$G$23, CONCAT(VLOOKUP($C23, 'Match Names'!$1:$22, 7, FALSE), ""!C3:R29"")), {5;10;14;23}, FALSE)), 'Player Overall Stats Unsorted'!$AA$9:$AA$12), ""=X"")) + (4 - COUNTIF(IFERROR(ARRAYFORMULA(HLOOKUP($B23, IMPORTRANGE('Match Names'!$H$23, CONCAT(VLOOK"&amp;"UP($C23, 'Match Names'!$1:$22, 8, FALSE), ""!C3:R29"")), {5;11;17;23}, FALSE)), 'Player Overall Stats Unsorted'!$AA$9:$AA$12), ""=X""))"),14.0)</f>
        <v>14</v>
      </c>
      <c r="E23" s="32">
        <f>IFERROR(__xludf.DUMMYFUNCTION("COUNTIF(ARRAYFORMULA(HLOOKUP($B23, IMPORTRANGE('Prelim Rankings Unsorted'!$B$40, CONCAT(VLOOKUP($C23, 'Match Names'!$A$1:$D$22, 2, FALSE), ""!C3:R29"")), {6;11;17;23}, FALSE)), ""=4"") + COUNTIF(ARRAYFORMULA(HLOOKUP($B23, IMPORTRANGE('Prelim Rankings Unso"&amp;"rted'!$B$41, CONCAT(VLOOKUP($C23, 'Match Names'!$A$1:$D$22, 3, FALSE), ""!C3:R29"")), {5;11;17;23}, FALSE)), ""=4"") + COUNTIF(ARRAYFORMULA(HLOOKUP($B23, IMPORTRANGE('Prelim Rankings Unsorted'!$B$42, CONCAT(VLOOKUP($C23, 'Match Names'!$A$1:$D$22, 4, FALSE"&amp;"), ""!C3:R29"")), {5;11;17;23}, FALSE)), ""=4"") + COUNTIF(ARRAYFORMULA(HLOOKUP($B23, IMPORTRANGE('Match Names'!$E$23, CONCAT(VLOOKUP($C23, 'Match Names'!$1:$22, 5, FALSE), ""!C3:R29"")), {6;11;16;21}, FALSE)), ""=4"") + COUNTIF(ARRAYFORMULA(HLOOKUP($B23,"&amp;" IMPORTRANGE('Match Names'!$F$23, CONCAT(VLOOKUP($C23, 'Match Names'!$1:$22, 6, FALSE), ""!C3:R29"")), {5;11;17;23}, FALSE)), ""=4"") + COUNTIF(ARRAYFORMULA(HLOOKUP($B23, IMPORTRANGE('Match Names'!$G$23, CONCAT(VLOOKUP($C23, 'Match Names'!$1:$22, 7, FALSE"&amp;"), ""!C3:R29"")), {5;10;14;22}, FALSE)), ""=4"") + COUNTIF(ARRAYFORMULA(HLOOKUP($B23, IMPORTRANGE('Match Names'!$H$23, CONCAT(VLOOKUP($C23, 'Match Names'!$1:$22, 8, FALSE), ""!C3:R29"")), {5;11;17;23}, FALSE)), ""=4"")"),2.0)</f>
        <v>2</v>
      </c>
      <c r="F23" s="32">
        <f>IFERROR(__xludf.DUMMYFUNCTION("COUNTIF(ARRAYFORMULA(HLOOKUP($B23, IMPORTRANGE('Prelim Rankings Unsorted'!$B$40, CONCAT(VLOOKUP($C23, 'Match Names'!$A$1:$D$22, 2, FALSE), ""!C3:R29"")), {6;11;17;23}, FALSE)), ""=0"") + COUNTIF(ARRAYFORMULA(HLOOKUP($B23, IMPORTRANGE('Prelim Rankings Unso"&amp;"rted'!$B$41, CONCAT(VLOOKUP($C23, 'Match Names'!$A$1:$D$22, 3, FALSE), ""!C3:R29"")), {5;11;17;23}, FALSE)), ""=0"") + COUNTIF(ARRAYFORMULA(HLOOKUP($B23, IMPORTRANGE('Prelim Rankings Unsorted'!$B$42, CONCAT(VLOOKUP($C23, 'Match Names'!$A$1:$D$22, 4, FALSE"&amp;"), ""!C3:R29"")), {5;11;17;23}, FALSE)), ""=0"") + COUNTIF(ARRAYFORMULA(HLOOKUP($B23, IMPORTRANGE('Match Names'!$E$23, CONCAT(VLOOKUP($C23, 'Match Names'!$1:$22, 5, FALSE), ""!C3:R29"")), {6;11;16;21}, FALSE)), ""=0"") + COUNTIF(ARRAYFORMULA(HLOOKUP($B23,"&amp;" IMPORTRANGE('Match Names'!$F$23, CONCAT(VLOOKUP($C23, 'Match Names'!$1:$22, 6, FALSE), ""!C3:R29"")), {5;11;17;23}, FALSE)), ""=0"") + COUNTIF(ARRAYFORMULA(HLOOKUP($B23, IMPORTRANGE('Match Names'!$G$23, CONCAT(VLOOKUP($C23, 'Match Names'!$1:$22, 7, FALSE"&amp;"), ""!C3:R29"")), {5;10;14;22}, FALSE)), ""=0"") + COUNTIF(ARRAYFORMULA(HLOOKUP($B23, IMPORTRANGE('Match Names'!$H$23, CONCAT(VLOOKUP($C23, 'Match Names'!$1:$22, 8, FALSE), ""!C3:R29"")), {5;11;17;23}, FALSE)), ""=0"")"),0.0)</f>
        <v>0</v>
      </c>
      <c r="G23" s="32">
        <f>IFERROR(__xludf.DUMMYFUNCTION("COUNTIF(ARRAYFORMULA(HLOOKUP($B23, IMPORTRANGE('Prelim Rankings Unsorted'!$B$40, CONCAT(VLOOKUP($C23, 'Match Names'!$A$1:$D$22, 2, FALSE), ""!C3:R29"")), {6;11;17;23}, FALSE)), ""=-4"") + COUNTIF(ARRAYFORMULA(HLOOKUP($B23, IMPORTRANGE('Prelim Rankings Uns"&amp;"orted'!$B$41, CONCAT(VLOOKUP($C23, 'Match Names'!$A$1:$D$22, 3, FALSE), ""!C3:R29"")), {5;11;17;23}, FALSE)), ""=-4"") + COUNTIF(ARRAYFORMULA(HLOOKUP($B23, IMPORTRANGE('Prelim Rankings Unsorted'!$B$42, CONCAT(VLOOKUP($C23, 'Match Names'!$A$1:$D$22, 4, FAL"&amp;"SE), ""!C3:R29"")), {5;11;17;23}, FALSE)), ""=-4"") + COUNTIF(ARRAYFORMULA(HLOOKUP($B23, IMPORTRANGE('Match Names'!$E$23, CONCAT(VLOOKUP($C23, 'Match Names'!$1:$22, 5, FALSE), ""!C3:R29"")), {6;11;16;21}, FALSE)), ""=-4"") + COUNTIF(ARRAYFORMULA(HLOOKUP($"&amp;"B23, IMPORTRANGE('Match Names'!$F$23, CONCAT(VLOOKUP($C23, 'Match Names'!$1:$22, 6, FALSE), ""!C3:R29"")), {5;11;17;23}, FALSE)), ""=-4"") + COUNTIF(ARRAYFORMULA(HLOOKUP($B23, IMPORTRANGE('Match Names'!$G$23, CONCAT(VLOOKUP($C23, 'Match Names'!$1:$22, 7, "&amp;"FALSE), ""!C3:R29"")), {5;10;14;22}, FALSE)), ""=-4"") + COUNTIF(ARRAYFORMULA(HLOOKUP($B23, IMPORTRANGE('Match Names'!$H$23, CONCAT(VLOOKUP($C23, 'Match Names'!$1:$22, 8, FALSE), ""!C3:R29"")), {5;11;17;23}, FALSE)), ""=-4"")"),0.0)</f>
        <v>0</v>
      </c>
      <c r="H23" s="33">
        <f t="shared" si="2"/>
        <v>2.29</v>
      </c>
    </row>
    <row r="24">
      <c r="A24" s="31" t="s">
        <v>95</v>
      </c>
      <c r="B24" s="31" t="str">
        <f>VLOOKUP(CONCAT(A24, C24), 'Discord Username to Real Name'!C:D, 2, FALSE)</f>
        <v>ashrug0002#8740</v>
      </c>
      <c r="C24" s="31" t="s">
        <v>25</v>
      </c>
      <c r="D24" s="32">
        <f>IFERROR(__xludf.DUMMYFUNCTION("(4 - COUNTIF(IFERROR(ARRAYFORMULA(HLOOKUP($B24, IMPORTRANGE('Prelim Rankings Unsorted'!$B$40, CONCAT(VLOOKUP($C24, 'Match Names'!$A$1:$D$22, 2, FALSE), ""!C3:R29"")), {6;11;17;23}, FALSE)), 'Player Overall Stats Unsorted'!$AA$9:$AA$12), ""=X"")) + (4 - CO"&amp;"UNTIF(IFERROR(ARRAYFORMULA(HLOOKUP($B24, IMPORTRANGE('Prelim Rankings Unsorted'!$B$41, CONCAT(VLOOKUP($C24, 'Match Names'!$A$1:$D$22, 3, FALSE), ""!C3:R29"")), {5;11;17;23}, FALSE)), 'Player Overall Stats Unsorted'!$AA$9:$AA$12), ""=X"")) + (4 - COUNTIF(I"&amp;"FERROR(ARRAYFORMULA(HLOOKUP($B24, IMPORTRANGE('Prelim Rankings Unsorted'!$B$42, CONCAT(VLOOKUP($C24, 'Match Names'!$A$1:$D$22, 4, FALSE), ""!C3:R29"")), {5;11;17;23}, FALSE)), 'Player Overall Stats Unsorted'!$AA$9:$AA$12), ""=X"")) + (4 - COUNTIF(IFERROR("&amp;"ARRAYFORMULA(HLOOKUP($B24, IMPORTRANGE('Match Names'!$E$23, CONCAT(VLOOKUP($C24, 'Match Names'!$1:$22, 5, FALSE), ""!C3:R29"")), {5;11;16;21}, FALSE)), 'Player Overall Stats Unsorted'!$AA$9:$AA$12), ""=X"")) + (4 - COUNTIF(IFERROR(ARRAYFORMULA(HLOOKUP($B2"&amp;"4, IMPORTRANGE('Match Names'!$F$23, CONCAT(VLOOKUP($C24, 'Match Names'!$1:$22, 6, FALSE), ""!C3:R29"")), {5;11;17;23}, FALSE)), 'Player Overall Stats Unsorted'!$AA$9:$AA$12), ""=X"")) + (4 - COUNTIF(IFERROR(ARRAYFORMULA(HLOOKUP($B24, IMPORTRANGE('Match Na"&amp;"mes'!$G$23, CONCAT(VLOOKUP($C24, 'Match Names'!$1:$22, 7, FALSE), ""!C3:R29"")), {5;10;14;23}, FALSE)), 'Player Overall Stats Unsorted'!$AA$9:$AA$12), ""=X"")) + (4 - COUNTIF(IFERROR(ARRAYFORMULA(HLOOKUP($B24, IMPORTRANGE('Match Names'!$H$23, CONCAT(VLOOK"&amp;"UP($C24, 'Match Names'!$1:$22, 8, FALSE), ""!C3:R29"")), {5;11;17;23}, FALSE)), 'Player Overall Stats Unsorted'!$AA$9:$AA$12), ""=X""))"),24.0)</f>
        <v>24</v>
      </c>
      <c r="E24" s="32">
        <f>IFERROR(__xludf.DUMMYFUNCTION("COUNTIF(ARRAYFORMULA(HLOOKUP($B24, IMPORTRANGE('Prelim Rankings Unsorted'!$B$40, CONCAT(VLOOKUP($C24, 'Match Names'!$A$1:$D$22, 2, FALSE), ""!C3:R29"")), {6;11;17;23}, FALSE)), ""=4"") + COUNTIF(ARRAYFORMULA(HLOOKUP($B24, IMPORTRANGE('Prelim Rankings Unso"&amp;"rted'!$B$41, CONCAT(VLOOKUP($C24, 'Match Names'!$A$1:$D$22, 3, FALSE), ""!C3:R29"")), {5;11;17;23}, FALSE)), ""=4"") + COUNTIF(ARRAYFORMULA(HLOOKUP($B24, IMPORTRANGE('Prelim Rankings Unsorted'!$B$42, CONCAT(VLOOKUP($C24, 'Match Names'!$A$1:$D$22, 4, FALSE"&amp;"), ""!C3:R29"")), {5;11;17;23}, FALSE)), ""=4"") + COUNTIF(ARRAYFORMULA(HLOOKUP($B24, IMPORTRANGE('Match Names'!$E$23, CONCAT(VLOOKUP($C24, 'Match Names'!$1:$22, 5, FALSE), ""!C3:R29"")), {6;11;16;21}, FALSE)), ""=4"") + COUNTIF(ARRAYFORMULA(HLOOKUP($B24,"&amp;" IMPORTRANGE('Match Names'!$F$23, CONCAT(VLOOKUP($C24, 'Match Names'!$1:$22, 6, FALSE), ""!C3:R29"")), {5;11;17;23}, FALSE)), ""=4"") + COUNTIF(ARRAYFORMULA(HLOOKUP($B24, IMPORTRANGE('Match Names'!$G$23, CONCAT(VLOOKUP($C24, 'Match Names'!$1:$22, 7, FALSE"&amp;"), ""!C3:R29"")), {5;10;14;22}, FALSE)), ""=4"") + COUNTIF(ARRAYFORMULA(HLOOKUP($B24, IMPORTRANGE('Match Names'!$H$23, CONCAT(VLOOKUP($C24, 'Match Names'!$1:$22, 8, FALSE), ""!C3:R29"")), {5;11;17;23}, FALSE)), ""=4"")"),1.0)</f>
        <v>1</v>
      </c>
      <c r="F24" s="32">
        <f>IFERROR(__xludf.DUMMYFUNCTION("COUNTIF(ARRAYFORMULA(HLOOKUP($B24, IMPORTRANGE('Prelim Rankings Unsorted'!$B$40, CONCAT(VLOOKUP($C24, 'Match Names'!$A$1:$D$22, 2, FALSE), ""!C3:R29"")), {6;11;17;23}, FALSE)), ""=0"") + COUNTIF(ARRAYFORMULA(HLOOKUP($B24, IMPORTRANGE('Prelim Rankings Unso"&amp;"rted'!$B$41, CONCAT(VLOOKUP($C24, 'Match Names'!$A$1:$D$22, 3, FALSE), ""!C3:R29"")), {5;11;17;23}, FALSE)), ""=0"") + COUNTIF(ARRAYFORMULA(HLOOKUP($B24, IMPORTRANGE('Prelim Rankings Unsorted'!$B$42, CONCAT(VLOOKUP($C24, 'Match Names'!$A$1:$D$22, 4, FALSE"&amp;"), ""!C3:R29"")), {5;11;17;23}, FALSE)), ""=0"") + COUNTIF(ARRAYFORMULA(HLOOKUP($B24, IMPORTRANGE('Match Names'!$E$23, CONCAT(VLOOKUP($C24, 'Match Names'!$1:$22, 5, FALSE), ""!C3:R29"")), {6;11;16;21}, FALSE)), ""=0"") + COUNTIF(ARRAYFORMULA(HLOOKUP($B24,"&amp;" IMPORTRANGE('Match Names'!$F$23, CONCAT(VLOOKUP($C24, 'Match Names'!$1:$22, 6, FALSE), ""!C3:R29"")), {5;11;17;23}, FALSE)), ""=0"") + COUNTIF(ARRAYFORMULA(HLOOKUP($B24, IMPORTRANGE('Match Names'!$G$23, CONCAT(VLOOKUP($C24, 'Match Names'!$1:$22, 7, FALSE"&amp;"), ""!C3:R29"")), {5;10;14;22}, FALSE)), ""=0"") + COUNTIF(ARRAYFORMULA(HLOOKUP($B24, IMPORTRANGE('Match Names'!$H$23, CONCAT(VLOOKUP($C24, 'Match Names'!$1:$22, 8, FALSE), ""!C3:R29"")), {5;11;17;23}, FALSE)), ""=0"")"),1.0)</f>
        <v>1</v>
      </c>
      <c r="G24" s="32">
        <f>IFERROR(__xludf.DUMMYFUNCTION("COUNTIF(ARRAYFORMULA(HLOOKUP($B24, IMPORTRANGE('Prelim Rankings Unsorted'!$B$40, CONCAT(VLOOKUP($C24, 'Match Names'!$A$1:$D$22, 2, FALSE), ""!C3:R29"")), {6;11;17;23}, FALSE)), ""=-4"") + COUNTIF(ARRAYFORMULA(HLOOKUP($B24, IMPORTRANGE('Prelim Rankings Uns"&amp;"orted'!$B$41, CONCAT(VLOOKUP($C24, 'Match Names'!$A$1:$D$22, 3, FALSE), ""!C3:R29"")), {5;11;17;23}, FALSE)), ""=-4"") + COUNTIF(ARRAYFORMULA(HLOOKUP($B24, IMPORTRANGE('Prelim Rankings Unsorted'!$B$42, CONCAT(VLOOKUP($C24, 'Match Names'!$A$1:$D$22, 4, FAL"&amp;"SE), ""!C3:R29"")), {5;11;17;23}, FALSE)), ""=-4"") + COUNTIF(ARRAYFORMULA(HLOOKUP($B24, IMPORTRANGE('Match Names'!$E$23, CONCAT(VLOOKUP($C24, 'Match Names'!$1:$22, 5, FALSE), ""!C3:R29"")), {6;11;16;21}, FALSE)), ""=-4"") + COUNTIF(ARRAYFORMULA(HLOOKUP($"&amp;"B24, IMPORTRANGE('Match Names'!$F$23, CONCAT(VLOOKUP($C24, 'Match Names'!$1:$22, 6, FALSE), ""!C3:R29"")), {5;11;17;23}, FALSE)), ""=-4"") + COUNTIF(ARRAYFORMULA(HLOOKUP($B24, IMPORTRANGE('Match Names'!$G$23, CONCAT(VLOOKUP($C24, 'Match Names'!$1:$22, 7, "&amp;"FALSE), ""!C3:R29"")), {5;10;14;22}, FALSE)), ""=-4"") + COUNTIF(ARRAYFORMULA(HLOOKUP($B24, IMPORTRANGE('Match Names'!$H$23, CONCAT(VLOOKUP($C24, 'Match Names'!$1:$22, 8, FALSE), ""!C3:R29"")), {5;11;17;23}, FALSE)), ""=-4"")"),0.0)</f>
        <v>0</v>
      </c>
      <c r="H24" s="33">
        <f t="shared" si="2"/>
        <v>0.67</v>
      </c>
    </row>
    <row r="25">
      <c r="A25" s="31" t="s">
        <v>124</v>
      </c>
      <c r="B25" s="31" t="str">
        <f>VLOOKUP(CONCAT(A25, C25), 'Discord Username to Real Name'!C:D, 2, FALSE)</f>
        <v>Connor Zhao#9139</v>
      </c>
      <c r="C25" s="31" t="s">
        <v>25</v>
      </c>
      <c r="D25" s="32">
        <f>IFERROR(__xludf.DUMMYFUNCTION("(4 - COUNTIF(IFERROR(ARRAYFORMULA(HLOOKUP($B25, IMPORTRANGE('Prelim Rankings Unsorted'!$B$40, CONCAT(VLOOKUP($C25, 'Match Names'!$A$1:$D$22, 2, FALSE), ""!C3:R29"")), {6;11;17;23}, FALSE)), 'Player Overall Stats Unsorted'!$AA$9:$AA$12), ""=X"")) + (4 - CO"&amp;"UNTIF(IFERROR(ARRAYFORMULA(HLOOKUP($B25, IMPORTRANGE('Prelim Rankings Unsorted'!$B$41, CONCAT(VLOOKUP($C25, 'Match Names'!$A$1:$D$22, 3, FALSE), ""!C3:R29"")), {5;11;17;23}, FALSE)), 'Player Overall Stats Unsorted'!$AA$9:$AA$12), ""=X"")) + (4 - COUNTIF(I"&amp;"FERROR(ARRAYFORMULA(HLOOKUP($B25, IMPORTRANGE('Prelim Rankings Unsorted'!$B$42, CONCAT(VLOOKUP($C25, 'Match Names'!$A$1:$D$22, 4, FALSE), ""!C3:R29"")), {5;11;17;23}, FALSE)), 'Player Overall Stats Unsorted'!$AA$9:$AA$12), ""=X"")) + (4 - COUNTIF(IFERROR("&amp;"ARRAYFORMULA(HLOOKUP($B25, IMPORTRANGE('Match Names'!$E$23, CONCAT(VLOOKUP($C25, 'Match Names'!$1:$22, 5, FALSE), ""!C3:R29"")), {5;11;16;21}, FALSE)), 'Player Overall Stats Unsorted'!$AA$9:$AA$12), ""=X"")) + (4 - COUNTIF(IFERROR(ARRAYFORMULA(HLOOKUP($B2"&amp;"5, IMPORTRANGE('Match Names'!$F$23, CONCAT(VLOOKUP($C25, 'Match Names'!$1:$22, 6, FALSE), ""!C3:R29"")), {5;11;17;23}, FALSE)), 'Player Overall Stats Unsorted'!$AA$9:$AA$12), ""=X"")) + (4 - COUNTIF(IFERROR(ARRAYFORMULA(HLOOKUP($B25, IMPORTRANGE('Match Na"&amp;"mes'!$G$23, CONCAT(VLOOKUP($C25, 'Match Names'!$1:$22, 7, FALSE), ""!C3:R29"")), {5;10;14;23}, FALSE)), 'Player Overall Stats Unsorted'!$AA$9:$AA$12), ""=X"")) + (4 - COUNTIF(IFERROR(ARRAYFORMULA(HLOOKUP($B25, IMPORTRANGE('Match Names'!$H$23, CONCAT(VLOOK"&amp;"UP($C25, 'Match Names'!$1:$22, 8, FALSE), ""!C3:R29"")), {5;11;17;23}, FALSE)), 'Player Overall Stats Unsorted'!$AA$9:$AA$12), ""=X""))"),22.0)</f>
        <v>22</v>
      </c>
      <c r="E25" s="32">
        <f>IFERROR(__xludf.DUMMYFUNCTION("COUNTIF(ARRAYFORMULA(HLOOKUP($B25, IMPORTRANGE('Prelim Rankings Unsorted'!$B$40, CONCAT(VLOOKUP($C25, 'Match Names'!$A$1:$D$22, 2, FALSE), ""!C3:R29"")), {6;11;17;23}, FALSE)), ""=4"") + COUNTIF(ARRAYFORMULA(HLOOKUP($B25, IMPORTRANGE('Prelim Rankings Unso"&amp;"rted'!$B$41, CONCAT(VLOOKUP($C25, 'Match Names'!$A$1:$D$22, 3, FALSE), ""!C3:R29"")), {5;11;17;23}, FALSE)), ""=4"") + COUNTIF(ARRAYFORMULA(HLOOKUP($B25, IMPORTRANGE('Prelim Rankings Unsorted'!$B$42, CONCAT(VLOOKUP($C25, 'Match Names'!$A$1:$D$22, 4, FALSE"&amp;"), ""!C3:R29"")), {5;11;17;23}, FALSE)), ""=4"") + COUNTIF(ARRAYFORMULA(HLOOKUP($B25, IMPORTRANGE('Match Names'!$E$23, CONCAT(VLOOKUP($C25, 'Match Names'!$1:$22, 5, FALSE), ""!C3:R29"")), {6;11;16;21}, FALSE)), ""=4"") + COUNTIF(ARRAYFORMULA(HLOOKUP($B25,"&amp;" IMPORTRANGE('Match Names'!$F$23, CONCAT(VLOOKUP($C25, 'Match Names'!$1:$22, 6, FALSE), ""!C3:R29"")), {5;11;17;23}, FALSE)), ""=4"") + COUNTIF(ARRAYFORMULA(HLOOKUP($B25, IMPORTRANGE('Match Names'!$G$23, CONCAT(VLOOKUP($C25, 'Match Names'!$1:$22, 7, FALSE"&amp;"), ""!C3:R29"")), {5;10;14;22}, FALSE)), ""=4"") + COUNTIF(ARRAYFORMULA(HLOOKUP($B25, IMPORTRANGE('Match Names'!$H$23, CONCAT(VLOOKUP($C25, 'Match Names'!$1:$22, 8, FALSE), ""!C3:R29"")), {5;11;17;23}, FALSE)), ""=4"")"),3.0)</f>
        <v>3</v>
      </c>
      <c r="F25" s="32">
        <f>IFERROR(__xludf.DUMMYFUNCTION("COUNTIF(ARRAYFORMULA(HLOOKUP($B25, IMPORTRANGE('Prelim Rankings Unsorted'!$B$40, CONCAT(VLOOKUP($C25, 'Match Names'!$A$1:$D$22, 2, FALSE), ""!C3:R29"")), {6;11;17;23}, FALSE)), ""=0"") + COUNTIF(ARRAYFORMULA(HLOOKUP($B25, IMPORTRANGE('Prelim Rankings Unso"&amp;"rted'!$B$41, CONCAT(VLOOKUP($C25, 'Match Names'!$A$1:$D$22, 3, FALSE), ""!C3:R29"")), {5;11;17;23}, FALSE)), ""=0"") + COUNTIF(ARRAYFORMULA(HLOOKUP($B25, IMPORTRANGE('Prelim Rankings Unsorted'!$B$42, CONCAT(VLOOKUP($C25, 'Match Names'!$A$1:$D$22, 4, FALSE"&amp;"), ""!C3:R29"")), {5;11;17;23}, FALSE)), ""=0"") + COUNTIF(ARRAYFORMULA(HLOOKUP($B25, IMPORTRANGE('Match Names'!$E$23, CONCAT(VLOOKUP($C25, 'Match Names'!$1:$22, 5, FALSE), ""!C3:R29"")), {6;11;16;21}, FALSE)), ""=0"") + COUNTIF(ARRAYFORMULA(HLOOKUP($B25,"&amp;" IMPORTRANGE('Match Names'!$F$23, CONCAT(VLOOKUP($C25, 'Match Names'!$1:$22, 6, FALSE), ""!C3:R29"")), {5;11;17;23}, FALSE)), ""=0"") + COUNTIF(ARRAYFORMULA(HLOOKUP($B25, IMPORTRANGE('Match Names'!$G$23, CONCAT(VLOOKUP($C25, 'Match Names'!$1:$22, 7, FALSE"&amp;"), ""!C3:R29"")), {5;10;14;22}, FALSE)), ""=0"") + COUNTIF(ARRAYFORMULA(HLOOKUP($B25, IMPORTRANGE('Match Names'!$H$23, CONCAT(VLOOKUP($C25, 'Match Names'!$1:$22, 8, FALSE), ""!C3:R29"")), {5;11;17;23}, FALSE)), ""=0"")"),0.0)</f>
        <v>0</v>
      </c>
      <c r="G25" s="32">
        <f>IFERROR(__xludf.DUMMYFUNCTION("COUNTIF(ARRAYFORMULA(HLOOKUP($B25, IMPORTRANGE('Prelim Rankings Unsorted'!$B$40, CONCAT(VLOOKUP($C25, 'Match Names'!$A$1:$D$22, 2, FALSE), ""!C3:R29"")), {6;11;17;23}, FALSE)), ""=-4"") + COUNTIF(ARRAYFORMULA(HLOOKUP($B25, IMPORTRANGE('Prelim Rankings Uns"&amp;"orted'!$B$41, CONCAT(VLOOKUP($C25, 'Match Names'!$A$1:$D$22, 3, FALSE), ""!C3:R29"")), {5;11;17;23}, FALSE)), ""=-4"") + COUNTIF(ARRAYFORMULA(HLOOKUP($B25, IMPORTRANGE('Prelim Rankings Unsorted'!$B$42, CONCAT(VLOOKUP($C25, 'Match Names'!$A$1:$D$22, 4, FAL"&amp;"SE), ""!C3:R29"")), {5;11;17;23}, FALSE)), ""=-4"") + COUNTIF(ARRAYFORMULA(HLOOKUP($B25, IMPORTRANGE('Match Names'!$E$23, CONCAT(VLOOKUP($C25, 'Match Names'!$1:$22, 5, FALSE), ""!C3:R29"")), {6;11;16;21}, FALSE)), ""=-4"") + COUNTIF(ARRAYFORMULA(HLOOKUP($"&amp;"B25, IMPORTRANGE('Match Names'!$F$23, CONCAT(VLOOKUP($C25, 'Match Names'!$1:$22, 6, FALSE), ""!C3:R29"")), {5;11;17;23}, FALSE)), ""=-4"") + COUNTIF(ARRAYFORMULA(HLOOKUP($B25, IMPORTRANGE('Match Names'!$G$23, CONCAT(VLOOKUP($C25, 'Match Names'!$1:$22, 7, "&amp;"FALSE), ""!C3:R29"")), {5;10;14;22}, FALSE)), ""=-4"") + COUNTIF(ARRAYFORMULA(HLOOKUP($B25, IMPORTRANGE('Match Names'!$H$23, CONCAT(VLOOKUP($C25, 'Match Names'!$1:$22, 8, FALSE), ""!C3:R29"")), {5;11;17;23}, FALSE)), ""=-4"")"),0.0)</f>
        <v>0</v>
      </c>
      <c r="H25" s="33">
        <f t="shared" si="2"/>
        <v>2.18</v>
      </c>
    </row>
    <row r="26">
      <c r="A26" s="31" t="s">
        <v>13</v>
      </c>
      <c r="B26" s="31" t="str">
        <f>VLOOKUP(CONCAT(A26, C26), 'Discord Username to Real Name'!C:D, 2, FALSE)</f>
        <v>asiangold#6836</v>
      </c>
      <c r="C26" s="31" t="s">
        <v>25</v>
      </c>
      <c r="D26" s="32">
        <f>IFERROR(__xludf.DUMMYFUNCTION("(4 - COUNTIF(IFERROR(ARRAYFORMULA(HLOOKUP($B26, IMPORTRANGE('Prelim Rankings Unsorted'!$B$40, CONCAT(VLOOKUP($C26, 'Match Names'!$A$1:$D$22, 2, FALSE), ""!C3:R29"")), {6;11;17;23}, FALSE)), 'Player Overall Stats Unsorted'!$AA$9:$AA$12), ""=X"")) + (4 - CO"&amp;"UNTIF(IFERROR(ARRAYFORMULA(HLOOKUP($B26, IMPORTRANGE('Prelim Rankings Unsorted'!$B$41, CONCAT(VLOOKUP($C26, 'Match Names'!$A$1:$D$22, 3, FALSE), ""!C3:R29"")), {5;11;17;23}, FALSE)), 'Player Overall Stats Unsorted'!$AA$9:$AA$12), ""=X"")) + (4 - COUNTIF(I"&amp;"FERROR(ARRAYFORMULA(HLOOKUP($B26, IMPORTRANGE('Prelim Rankings Unsorted'!$B$42, CONCAT(VLOOKUP($C26, 'Match Names'!$A$1:$D$22, 4, FALSE), ""!C3:R29"")), {5;11;17;23}, FALSE)), 'Player Overall Stats Unsorted'!$AA$9:$AA$12), ""=X"")) + (4 - COUNTIF(IFERROR("&amp;"ARRAYFORMULA(HLOOKUP($B26, IMPORTRANGE('Match Names'!$E$23, CONCAT(VLOOKUP($C26, 'Match Names'!$1:$22, 5, FALSE), ""!C3:R29"")), {5;11;16;21}, FALSE)), 'Player Overall Stats Unsorted'!$AA$9:$AA$12), ""=X"")) + (4 - COUNTIF(IFERROR(ARRAYFORMULA(HLOOKUP($B2"&amp;"6, IMPORTRANGE('Match Names'!$F$23, CONCAT(VLOOKUP($C26, 'Match Names'!$1:$22, 6, FALSE), ""!C3:R29"")), {5;11;17;23}, FALSE)), 'Player Overall Stats Unsorted'!$AA$9:$AA$12), ""=X"")) + (4 - COUNTIF(IFERROR(ARRAYFORMULA(HLOOKUP($B26, IMPORTRANGE('Match Na"&amp;"mes'!$G$23, CONCAT(VLOOKUP($C26, 'Match Names'!$1:$22, 7, FALSE), ""!C3:R29"")), {5;10;14;23}, FALSE)), 'Player Overall Stats Unsorted'!$AA$9:$AA$12), ""=X"")) + (4 - COUNTIF(IFERROR(ARRAYFORMULA(HLOOKUP($B26, IMPORTRANGE('Match Names'!$H$23, CONCAT(VLOOK"&amp;"UP($C26, 'Match Names'!$1:$22, 8, FALSE), ""!C3:R29"")), {5;11;17;23}, FALSE)), 'Player Overall Stats Unsorted'!$AA$9:$AA$12), ""=X""))"),24.0)</f>
        <v>24</v>
      </c>
      <c r="E26" s="32">
        <f>IFERROR(__xludf.DUMMYFUNCTION("COUNTIF(ARRAYFORMULA(HLOOKUP($B26, IMPORTRANGE('Prelim Rankings Unsorted'!$B$40, CONCAT(VLOOKUP($C26, 'Match Names'!$A$1:$D$22, 2, FALSE), ""!C3:R29"")), {6;11;17;23}, FALSE)), ""=4"") + COUNTIF(ARRAYFORMULA(HLOOKUP($B26, IMPORTRANGE('Prelim Rankings Unso"&amp;"rted'!$B$41, CONCAT(VLOOKUP($C26, 'Match Names'!$A$1:$D$22, 3, FALSE), ""!C3:R29"")), {5;11;17;23}, FALSE)), ""=4"") + COUNTIF(ARRAYFORMULA(HLOOKUP($B26, IMPORTRANGE('Prelim Rankings Unsorted'!$B$42, CONCAT(VLOOKUP($C26, 'Match Names'!$A$1:$D$22, 4, FALSE"&amp;"), ""!C3:R29"")), {5;11;17;23}, FALSE)), ""=4"") + COUNTIF(ARRAYFORMULA(HLOOKUP($B26, IMPORTRANGE('Match Names'!$E$23, CONCAT(VLOOKUP($C26, 'Match Names'!$1:$22, 5, FALSE), ""!C3:R29"")), {6;11;16;21}, FALSE)), ""=4"") + COUNTIF(ARRAYFORMULA(HLOOKUP($B26,"&amp;" IMPORTRANGE('Match Names'!$F$23, CONCAT(VLOOKUP($C26, 'Match Names'!$1:$22, 6, FALSE), ""!C3:R29"")), {5;11;17;23}, FALSE)), ""=4"") + COUNTIF(ARRAYFORMULA(HLOOKUP($B26, IMPORTRANGE('Match Names'!$G$23, CONCAT(VLOOKUP($C26, 'Match Names'!$1:$22, 7, FALSE"&amp;"), ""!C3:R29"")), {5;10;14;22}, FALSE)), ""=4"") + COUNTIF(ARRAYFORMULA(HLOOKUP($B26, IMPORTRANGE('Match Names'!$H$23, CONCAT(VLOOKUP($C26, 'Match Names'!$1:$22, 8, FALSE), ""!C3:R29"")), {5;11;17;23}, FALSE)), ""=4"")"),0.0)</f>
        <v>0</v>
      </c>
      <c r="F26" s="32">
        <f>IFERROR(__xludf.DUMMYFUNCTION("COUNTIF(ARRAYFORMULA(HLOOKUP($B26, IMPORTRANGE('Prelim Rankings Unsorted'!$B$40, CONCAT(VLOOKUP($C26, 'Match Names'!$A$1:$D$22, 2, FALSE), ""!C3:R29"")), {6;11;17;23}, FALSE)), ""=0"") + COUNTIF(ARRAYFORMULA(HLOOKUP($B26, IMPORTRANGE('Prelim Rankings Unso"&amp;"rted'!$B$41, CONCAT(VLOOKUP($C26, 'Match Names'!$A$1:$D$22, 3, FALSE), ""!C3:R29"")), {5;11;17;23}, FALSE)), ""=0"") + COUNTIF(ARRAYFORMULA(HLOOKUP($B26, IMPORTRANGE('Prelim Rankings Unsorted'!$B$42, CONCAT(VLOOKUP($C26, 'Match Names'!$A$1:$D$22, 4, FALSE"&amp;"), ""!C3:R29"")), {5;11;17;23}, FALSE)), ""=0"") + COUNTIF(ARRAYFORMULA(HLOOKUP($B26, IMPORTRANGE('Match Names'!$E$23, CONCAT(VLOOKUP($C26, 'Match Names'!$1:$22, 5, FALSE), ""!C3:R29"")), {6;11;16;21}, FALSE)), ""=0"") + COUNTIF(ARRAYFORMULA(HLOOKUP($B26,"&amp;" IMPORTRANGE('Match Names'!$F$23, CONCAT(VLOOKUP($C26, 'Match Names'!$1:$22, 6, FALSE), ""!C3:R29"")), {5;11;17;23}, FALSE)), ""=0"") + COUNTIF(ARRAYFORMULA(HLOOKUP($B26, IMPORTRANGE('Match Names'!$G$23, CONCAT(VLOOKUP($C26, 'Match Names'!$1:$22, 7, FALSE"&amp;"), ""!C3:R29"")), {5;10;14;22}, FALSE)), ""=0"") + COUNTIF(ARRAYFORMULA(HLOOKUP($B26, IMPORTRANGE('Match Names'!$H$23, CONCAT(VLOOKUP($C26, 'Match Names'!$1:$22, 8, FALSE), ""!C3:R29"")), {5;11;17;23}, FALSE)), ""=0"")"),0.0)</f>
        <v>0</v>
      </c>
      <c r="G26" s="32">
        <f>IFERROR(__xludf.DUMMYFUNCTION("COUNTIF(ARRAYFORMULA(HLOOKUP($B26, IMPORTRANGE('Prelim Rankings Unsorted'!$B$40, CONCAT(VLOOKUP($C26, 'Match Names'!$A$1:$D$22, 2, FALSE), ""!C3:R29"")), {6;11;17;23}, FALSE)), ""=-4"") + COUNTIF(ARRAYFORMULA(HLOOKUP($B26, IMPORTRANGE('Prelim Rankings Uns"&amp;"orted'!$B$41, CONCAT(VLOOKUP($C26, 'Match Names'!$A$1:$D$22, 3, FALSE), ""!C3:R29"")), {5;11;17;23}, FALSE)), ""=-4"") + COUNTIF(ARRAYFORMULA(HLOOKUP($B26, IMPORTRANGE('Prelim Rankings Unsorted'!$B$42, CONCAT(VLOOKUP($C26, 'Match Names'!$A$1:$D$22, 4, FAL"&amp;"SE), ""!C3:R29"")), {5;11;17;23}, FALSE)), ""=-4"") + COUNTIF(ARRAYFORMULA(HLOOKUP($B26, IMPORTRANGE('Match Names'!$E$23, CONCAT(VLOOKUP($C26, 'Match Names'!$1:$22, 5, FALSE), ""!C3:R29"")), {6;11;16;21}, FALSE)), ""=-4"") + COUNTIF(ARRAYFORMULA(HLOOKUP($"&amp;"B26, IMPORTRANGE('Match Names'!$F$23, CONCAT(VLOOKUP($C26, 'Match Names'!$1:$22, 6, FALSE), ""!C3:R29"")), {5;11;17;23}, FALSE)), ""=-4"") + COUNTIF(ARRAYFORMULA(HLOOKUP($B26, IMPORTRANGE('Match Names'!$G$23, CONCAT(VLOOKUP($C26, 'Match Names'!$1:$22, 7, "&amp;"FALSE), ""!C3:R29"")), {5;10;14;22}, FALSE)), ""=-4"") + COUNTIF(ARRAYFORMULA(HLOOKUP($B26, IMPORTRANGE('Match Names'!$H$23, CONCAT(VLOOKUP($C26, 'Match Names'!$1:$22, 8, FALSE), ""!C3:R29"")), {5;11;17;23}, FALSE)), ""=-4"")"),0.0)</f>
        <v>0</v>
      </c>
      <c r="H26" s="33">
        <f t="shared" si="2"/>
        <v>0</v>
      </c>
    </row>
    <row r="27">
      <c r="A27" s="31" t="s">
        <v>179</v>
      </c>
      <c r="B27" s="31" t="str">
        <f>VLOOKUP(CONCAT(A27, C27), 'Discord Username to Real Name'!C:D, 2, FALSE)</f>
        <v>Nutritious Soup#4238</v>
      </c>
      <c r="C27" s="31" t="s">
        <v>25</v>
      </c>
      <c r="D27" s="32">
        <f>IFERROR(__xludf.DUMMYFUNCTION("(4 - COUNTIF(IFERROR(ARRAYFORMULA(HLOOKUP($B27, IMPORTRANGE('Prelim Rankings Unsorted'!$B$40, CONCAT(VLOOKUP($C27, 'Match Names'!$A$1:$D$22, 2, FALSE), ""!C3:R29"")), {6;11;17;23}, FALSE)), 'Player Overall Stats Unsorted'!$AA$9:$AA$12), ""=X"")) + (4 - CO"&amp;"UNTIF(IFERROR(ARRAYFORMULA(HLOOKUP($B27, IMPORTRANGE('Prelim Rankings Unsorted'!$B$41, CONCAT(VLOOKUP($C27, 'Match Names'!$A$1:$D$22, 3, FALSE), ""!C3:R29"")), {5;11;17;23}, FALSE)), 'Player Overall Stats Unsorted'!$AA$9:$AA$12), ""=X"")) + (4 - COUNTIF(I"&amp;"FERROR(ARRAYFORMULA(HLOOKUP($B27, IMPORTRANGE('Prelim Rankings Unsorted'!$B$42, CONCAT(VLOOKUP($C27, 'Match Names'!$A$1:$D$22, 4, FALSE), ""!C3:R29"")), {5;11;17;23}, FALSE)), 'Player Overall Stats Unsorted'!$AA$9:$AA$12), ""=X"")) + (4 - COUNTIF(IFERROR("&amp;"ARRAYFORMULA(HLOOKUP($B27, IMPORTRANGE('Match Names'!$E$23, CONCAT(VLOOKUP($C27, 'Match Names'!$1:$22, 5, FALSE), ""!C3:R29"")), {5;11;16;21}, FALSE)), 'Player Overall Stats Unsorted'!$AA$9:$AA$12), ""=X"")) + (4 - COUNTIF(IFERROR(ARRAYFORMULA(HLOOKUP($B2"&amp;"7, IMPORTRANGE('Match Names'!$F$23, CONCAT(VLOOKUP($C27, 'Match Names'!$1:$22, 6, FALSE), ""!C3:R29"")), {5;11;17;23}, FALSE)), 'Player Overall Stats Unsorted'!$AA$9:$AA$12), ""=X"")) + (4 - COUNTIF(IFERROR(ARRAYFORMULA(HLOOKUP($B27, IMPORTRANGE('Match Na"&amp;"mes'!$G$23, CONCAT(VLOOKUP($C27, 'Match Names'!$1:$22, 7, FALSE), ""!C3:R29"")), {5;10;14;23}, FALSE)), 'Player Overall Stats Unsorted'!$AA$9:$AA$12), ""=X"")) + (4 - COUNTIF(IFERROR(ARRAYFORMULA(HLOOKUP($B27, IMPORTRANGE('Match Names'!$H$23, CONCAT(VLOOK"&amp;"UP($C27, 'Match Names'!$1:$22, 8, FALSE), ""!C3:R29"")), {5;11;17;23}, FALSE)), 'Player Overall Stats Unsorted'!$AA$9:$AA$12), ""=X""))"),12.0)</f>
        <v>12</v>
      </c>
      <c r="E27" s="32">
        <f>IFERROR(__xludf.DUMMYFUNCTION("COUNTIF(ARRAYFORMULA(HLOOKUP($B27, IMPORTRANGE('Prelim Rankings Unsorted'!$B$40, CONCAT(VLOOKUP($C27, 'Match Names'!$A$1:$D$22, 2, FALSE), ""!C3:R29"")), {6;11;17;23}, FALSE)), ""=4"") + COUNTIF(ARRAYFORMULA(HLOOKUP($B27, IMPORTRANGE('Prelim Rankings Unso"&amp;"rted'!$B$41, CONCAT(VLOOKUP($C27, 'Match Names'!$A$1:$D$22, 3, FALSE), ""!C3:R29"")), {5;11;17;23}, FALSE)), ""=4"") + COUNTIF(ARRAYFORMULA(HLOOKUP($B27, IMPORTRANGE('Prelim Rankings Unsorted'!$B$42, CONCAT(VLOOKUP($C27, 'Match Names'!$A$1:$D$22, 4, FALSE"&amp;"), ""!C3:R29"")), {5;11;17;23}, FALSE)), ""=4"") + COUNTIF(ARRAYFORMULA(HLOOKUP($B27, IMPORTRANGE('Match Names'!$E$23, CONCAT(VLOOKUP($C27, 'Match Names'!$1:$22, 5, FALSE), ""!C3:R29"")), {6;11;16;21}, FALSE)), ""=4"") + COUNTIF(ARRAYFORMULA(HLOOKUP($B27,"&amp;" IMPORTRANGE('Match Names'!$F$23, CONCAT(VLOOKUP($C27, 'Match Names'!$1:$22, 6, FALSE), ""!C3:R29"")), {5;11;17;23}, FALSE)), ""=4"") + COUNTIF(ARRAYFORMULA(HLOOKUP($B27, IMPORTRANGE('Match Names'!$G$23, CONCAT(VLOOKUP($C27, 'Match Names'!$1:$22, 7, FALSE"&amp;"), ""!C3:R29"")), {5;10;14;22}, FALSE)), ""=4"") + COUNTIF(ARRAYFORMULA(HLOOKUP($B27, IMPORTRANGE('Match Names'!$H$23, CONCAT(VLOOKUP($C27, 'Match Names'!$1:$22, 8, FALSE), ""!C3:R29"")), {5;11;17;23}, FALSE)), ""=4"")"),0.0)</f>
        <v>0</v>
      </c>
      <c r="F27" s="32">
        <f>IFERROR(__xludf.DUMMYFUNCTION("COUNTIF(ARRAYFORMULA(HLOOKUP($B27, IMPORTRANGE('Prelim Rankings Unsorted'!$B$40, CONCAT(VLOOKUP($C27, 'Match Names'!$A$1:$D$22, 2, FALSE), ""!C3:R29"")), {6;11;17;23}, FALSE)), ""=0"") + COUNTIF(ARRAYFORMULA(HLOOKUP($B27, IMPORTRANGE('Prelim Rankings Unso"&amp;"rted'!$B$41, CONCAT(VLOOKUP($C27, 'Match Names'!$A$1:$D$22, 3, FALSE), ""!C3:R29"")), {5;11;17;23}, FALSE)), ""=0"") + COUNTIF(ARRAYFORMULA(HLOOKUP($B27, IMPORTRANGE('Prelim Rankings Unsorted'!$B$42, CONCAT(VLOOKUP($C27, 'Match Names'!$A$1:$D$22, 4, FALSE"&amp;"), ""!C3:R29"")), {5;11;17;23}, FALSE)), ""=0"") + COUNTIF(ARRAYFORMULA(HLOOKUP($B27, IMPORTRANGE('Match Names'!$E$23, CONCAT(VLOOKUP($C27, 'Match Names'!$1:$22, 5, FALSE), ""!C3:R29"")), {6;11;16;21}, FALSE)), ""=0"") + COUNTIF(ARRAYFORMULA(HLOOKUP($B27,"&amp;" IMPORTRANGE('Match Names'!$F$23, CONCAT(VLOOKUP($C27, 'Match Names'!$1:$22, 6, FALSE), ""!C3:R29"")), {5;11;17;23}, FALSE)), ""=0"") + COUNTIF(ARRAYFORMULA(HLOOKUP($B27, IMPORTRANGE('Match Names'!$G$23, CONCAT(VLOOKUP($C27, 'Match Names'!$1:$22, 7, FALSE"&amp;"), ""!C3:R29"")), {5;10;14;22}, FALSE)), ""=0"") + COUNTIF(ARRAYFORMULA(HLOOKUP($B27, IMPORTRANGE('Match Names'!$H$23, CONCAT(VLOOKUP($C27, 'Match Names'!$1:$22, 8, FALSE), ""!C3:R29"")), {5;11;17;23}, FALSE)), ""=0"")"),0.0)</f>
        <v>0</v>
      </c>
      <c r="G27" s="32">
        <f>IFERROR(__xludf.DUMMYFUNCTION("COUNTIF(ARRAYFORMULA(HLOOKUP($B27, IMPORTRANGE('Prelim Rankings Unsorted'!$B$40, CONCAT(VLOOKUP($C27, 'Match Names'!$A$1:$D$22, 2, FALSE), ""!C3:R29"")), {6;11;17;23}, FALSE)), ""=-4"") + COUNTIF(ARRAYFORMULA(HLOOKUP($B27, IMPORTRANGE('Prelim Rankings Uns"&amp;"orted'!$B$41, CONCAT(VLOOKUP($C27, 'Match Names'!$A$1:$D$22, 3, FALSE), ""!C3:R29"")), {5;11;17;23}, FALSE)), ""=-4"") + COUNTIF(ARRAYFORMULA(HLOOKUP($B27, IMPORTRANGE('Prelim Rankings Unsorted'!$B$42, CONCAT(VLOOKUP($C27, 'Match Names'!$A$1:$D$22, 4, FAL"&amp;"SE), ""!C3:R29"")), {5;11;17;23}, FALSE)), ""=-4"") + COUNTIF(ARRAYFORMULA(HLOOKUP($B27, IMPORTRANGE('Match Names'!$E$23, CONCAT(VLOOKUP($C27, 'Match Names'!$1:$22, 5, FALSE), ""!C3:R29"")), {6;11;16;21}, FALSE)), ""=-4"") + COUNTIF(ARRAYFORMULA(HLOOKUP($"&amp;"B27, IMPORTRANGE('Match Names'!$F$23, CONCAT(VLOOKUP($C27, 'Match Names'!$1:$22, 6, FALSE), ""!C3:R29"")), {5;11;17;23}, FALSE)), ""=-4"") + COUNTIF(ARRAYFORMULA(HLOOKUP($B27, IMPORTRANGE('Match Names'!$G$23, CONCAT(VLOOKUP($C27, 'Match Names'!$1:$22, 7, "&amp;"FALSE), ""!C3:R29"")), {5;10;14;22}, FALSE)), ""=-4"") + COUNTIF(ARRAYFORMULA(HLOOKUP($B27, IMPORTRANGE('Match Names'!$H$23, CONCAT(VLOOKUP($C27, 'Match Names'!$1:$22, 8, FALSE), ""!C3:R29"")), {5;11;17;23}, FALSE)), ""=-4"")"),0.0)</f>
        <v>0</v>
      </c>
      <c r="H27" s="33">
        <f t="shared" si="2"/>
        <v>0</v>
      </c>
    </row>
    <row r="28">
      <c r="A28" s="31" t="s">
        <v>48</v>
      </c>
      <c r="B28" s="31" t="str">
        <f>VLOOKUP(CONCAT(A28, C28), 'Discord Username to Real Name'!C:D, 2, FALSE)</f>
        <v>a Aquilae#6100</v>
      </c>
      <c r="C28" s="21" t="s">
        <v>27</v>
      </c>
      <c r="D28" s="32">
        <f>IFERROR(__xludf.DUMMYFUNCTION("(4 - COUNTIF(IFERROR(ARRAYFORMULA(HLOOKUP($B28, IMPORTRANGE('Prelim Rankings Unsorted'!$B$40, CONCAT(VLOOKUP($C28, 'Match Names'!$A$1:$D$22, 2, FALSE), ""!C3:R29"")), {6;11;17;23}, FALSE)), 'Player Overall Stats Unsorted'!$AA$9:$AA$12), ""=X"")) + (4 - CO"&amp;"UNTIF(IFERROR(ARRAYFORMULA(HLOOKUP($B28, IMPORTRANGE('Prelim Rankings Unsorted'!$B$41, CONCAT(VLOOKUP($C28, 'Match Names'!$A$1:$D$22, 3, FALSE), ""!C3:R29"")), {5;11;17;23}, FALSE)), 'Player Overall Stats Unsorted'!$AA$9:$AA$12), ""=X"")) + (4 - COUNTIF(I"&amp;"FERROR(ARRAYFORMULA(HLOOKUP($B28, IMPORTRANGE('Prelim Rankings Unsorted'!$B$42, CONCAT(VLOOKUP($C28, 'Match Names'!$A$1:$D$22, 4, FALSE), ""!C3:R29"")), {5;11;17;23}, FALSE)), 'Player Overall Stats Unsorted'!$AA$9:$AA$12), ""=X"")) + (4 - COUNTIF(IFERROR("&amp;"ARRAYFORMULA(HLOOKUP($B28, IMPORTRANGE('Match Names'!$E$23, CONCAT(VLOOKUP($C28, 'Match Names'!$1:$22, 5, FALSE), ""!C3:R29"")), {5;11;16;21}, FALSE)), 'Player Overall Stats Unsorted'!$AA$9:$AA$12), ""=X"")) + (4 - COUNTIF(IFERROR(ARRAYFORMULA(HLOOKUP($B2"&amp;"8, IMPORTRANGE('Match Names'!$F$23, CONCAT(VLOOKUP($C28, 'Match Names'!$1:$22, 6, FALSE), ""!C3:R29"")), {5;11;17;23}, FALSE)), 'Player Overall Stats Unsorted'!$AA$9:$AA$12), ""=X"")) + (4 - COUNTIF(IFERROR(ARRAYFORMULA(HLOOKUP($B28, IMPORTRANGE('Match Na"&amp;"mes'!$G$23, CONCAT(VLOOKUP($C28, 'Match Names'!$1:$22, 7, FALSE), ""!C3:R29"")), {5;10;14;23}, FALSE)), 'Player Overall Stats Unsorted'!$AA$9:$AA$12), ""=X"")) + (4 - COUNTIF(IFERROR(ARRAYFORMULA(HLOOKUP($B28, IMPORTRANGE('Match Names'!$H$23, CONCAT(VLOOK"&amp;"UP($C28, 'Match Names'!$1:$22, 8, FALSE), ""!C3:R29"")), {5;11;17;23}, FALSE)), 'Player Overall Stats Unsorted'!$AA$9:$AA$12), ""=X""))"),24.0)</f>
        <v>24</v>
      </c>
      <c r="E28" s="32">
        <f>IFERROR(__xludf.DUMMYFUNCTION("COUNTIF(ARRAYFORMULA(HLOOKUP($B28, IMPORTRANGE('Prelim Rankings Unsorted'!$B$40, CONCAT(VLOOKUP($C28, 'Match Names'!$A$1:$D$22, 2, FALSE), ""!C3:R29"")), {6;11;17;23}, FALSE)), ""=4"") + COUNTIF(ARRAYFORMULA(HLOOKUP($B28, IMPORTRANGE('Prelim Rankings Unso"&amp;"rted'!$B$41, CONCAT(VLOOKUP($C28, 'Match Names'!$A$1:$D$22, 3, FALSE), ""!C3:R29"")), {5;11;17;23}, FALSE)), ""=4"") + COUNTIF(ARRAYFORMULA(HLOOKUP($B28, IMPORTRANGE('Prelim Rankings Unsorted'!$B$42, CONCAT(VLOOKUP($C28, 'Match Names'!$A$1:$D$22, 4, FALSE"&amp;"), ""!C3:R29"")), {5;11;17;23}, FALSE)), ""=4"") + COUNTIF(ARRAYFORMULA(HLOOKUP($B28, IMPORTRANGE('Match Names'!$E$23, CONCAT(VLOOKUP($C28, 'Match Names'!$1:$22, 5, FALSE), ""!C3:R29"")), {6;11;16;21}, FALSE)), ""=4"") + COUNTIF(ARRAYFORMULA(HLOOKUP($B28,"&amp;" IMPORTRANGE('Match Names'!$F$23, CONCAT(VLOOKUP($C28, 'Match Names'!$1:$22, 6, FALSE), ""!C3:R29"")), {5;11;17;23}, FALSE)), ""=4"") + COUNTIF(ARRAYFORMULA(HLOOKUP($B28, IMPORTRANGE('Match Names'!$G$23, CONCAT(VLOOKUP($C28, 'Match Names'!$1:$22, 7, FALSE"&amp;"), ""!C3:R29"")), {5;10;14;22}, FALSE)), ""=4"") + COUNTIF(ARRAYFORMULA(HLOOKUP($B28, IMPORTRANGE('Match Names'!$H$23, CONCAT(VLOOKUP($C28, 'Match Names'!$1:$22, 8, FALSE), ""!C3:R29"")), {5;11;17;23}, FALSE)), ""=4"")"),5.0)</f>
        <v>5</v>
      </c>
      <c r="F28" s="32">
        <f>IFERROR(__xludf.DUMMYFUNCTION("COUNTIF(ARRAYFORMULA(HLOOKUP($B28, IMPORTRANGE('Prelim Rankings Unsorted'!$B$40, CONCAT(VLOOKUP($C28, 'Match Names'!$A$1:$D$22, 2, FALSE), ""!C3:R29"")), {6;11;17;23}, FALSE)), ""=0"") + COUNTIF(ARRAYFORMULA(HLOOKUP($B28, IMPORTRANGE('Prelim Rankings Unso"&amp;"rted'!$B$41, CONCAT(VLOOKUP($C28, 'Match Names'!$A$1:$D$22, 3, FALSE), ""!C3:R29"")), {5;11;17;23}, FALSE)), ""=0"") + COUNTIF(ARRAYFORMULA(HLOOKUP($B28, IMPORTRANGE('Prelim Rankings Unsorted'!$B$42, CONCAT(VLOOKUP($C28, 'Match Names'!$A$1:$D$22, 4, FALSE"&amp;"), ""!C3:R29"")), {5;11;17;23}, FALSE)), ""=0"") + COUNTIF(ARRAYFORMULA(HLOOKUP($B28, IMPORTRANGE('Match Names'!$E$23, CONCAT(VLOOKUP($C28, 'Match Names'!$1:$22, 5, FALSE), ""!C3:R29"")), {6;11;16;21}, FALSE)), ""=0"") + COUNTIF(ARRAYFORMULA(HLOOKUP($B28,"&amp;" IMPORTRANGE('Match Names'!$F$23, CONCAT(VLOOKUP($C28, 'Match Names'!$1:$22, 6, FALSE), ""!C3:R29"")), {5;11;17;23}, FALSE)), ""=0"") + COUNTIF(ARRAYFORMULA(HLOOKUP($B28, IMPORTRANGE('Match Names'!$G$23, CONCAT(VLOOKUP($C28, 'Match Names'!$1:$22, 7, FALSE"&amp;"), ""!C3:R29"")), {5;10;14;22}, FALSE)), ""=0"") + COUNTIF(ARRAYFORMULA(HLOOKUP($B28, IMPORTRANGE('Match Names'!$H$23, CONCAT(VLOOKUP($C28, 'Match Names'!$1:$22, 8, FALSE), ""!C3:R29"")), {5;11;17;23}, FALSE)), ""=0"")"),4.0)</f>
        <v>4</v>
      </c>
      <c r="G28" s="32">
        <f>IFERROR(__xludf.DUMMYFUNCTION("COUNTIF(ARRAYFORMULA(HLOOKUP($B28, IMPORTRANGE('Prelim Rankings Unsorted'!$B$40, CONCAT(VLOOKUP($C28, 'Match Names'!$A$1:$D$22, 2, FALSE), ""!C3:R29"")), {6;11;17;23}, FALSE)), ""=-4"") + COUNTIF(ARRAYFORMULA(HLOOKUP($B28, IMPORTRANGE('Prelim Rankings Uns"&amp;"orted'!$B$41, CONCAT(VLOOKUP($C28, 'Match Names'!$A$1:$D$22, 3, FALSE), ""!C3:R29"")), {5;11;17;23}, FALSE)), ""=-4"") + COUNTIF(ARRAYFORMULA(HLOOKUP($B28, IMPORTRANGE('Prelim Rankings Unsorted'!$B$42, CONCAT(VLOOKUP($C28, 'Match Names'!$A$1:$D$22, 4, FAL"&amp;"SE), ""!C3:R29"")), {5;11;17;23}, FALSE)), ""=-4"") + COUNTIF(ARRAYFORMULA(HLOOKUP($B28, IMPORTRANGE('Match Names'!$E$23, CONCAT(VLOOKUP($C28, 'Match Names'!$1:$22, 5, FALSE), ""!C3:R29"")), {6;11;16;21}, FALSE)), ""=-4"") + COUNTIF(ARRAYFORMULA(HLOOKUP($"&amp;"B28, IMPORTRANGE('Match Names'!$F$23, CONCAT(VLOOKUP($C28, 'Match Names'!$1:$22, 6, FALSE), ""!C3:R29"")), {5;11;17;23}, FALSE)), ""=-4"") + COUNTIF(ARRAYFORMULA(HLOOKUP($B28, IMPORTRANGE('Match Names'!$G$23, CONCAT(VLOOKUP($C28, 'Match Names'!$1:$22, 7, "&amp;"FALSE), ""!C3:R29"")), {5;10;14;22}, FALSE)), ""=-4"") + COUNTIF(ARRAYFORMULA(HLOOKUP($B28, IMPORTRANGE('Match Names'!$H$23, CONCAT(VLOOKUP($C28, 'Match Names'!$1:$22, 8, FALSE), ""!C3:R29"")), {5;11;17;23}, FALSE)), ""=-4"")"),0.0)</f>
        <v>0</v>
      </c>
      <c r="H28" s="33">
        <f t="shared" si="2"/>
        <v>3.33</v>
      </c>
    </row>
    <row r="29">
      <c r="A29" s="31" t="s">
        <v>122</v>
      </c>
      <c r="B29" s="31" t="str">
        <f>VLOOKUP(CONCAT(A29, C29), 'Discord Username to Real Name'!C:D, 2, FALSE)</f>
        <v>emu#0818</v>
      </c>
      <c r="C29" s="21" t="s">
        <v>27</v>
      </c>
      <c r="D29" s="32">
        <f>IFERROR(__xludf.DUMMYFUNCTION("(4 - COUNTIF(IFERROR(ARRAYFORMULA(HLOOKUP($B29, IMPORTRANGE('Prelim Rankings Unsorted'!$B$40, CONCAT(VLOOKUP($C29, 'Match Names'!$A$1:$D$22, 2, FALSE), ""!C3:R29"")), {6;11;17;23}, FALSE)), 'Player Overall Stats Unsorted'!$AA$9:$AA$12), ""=X"")) + (4 - CO"&amp;"UNTIF(IFERROR(ARRAYFORMULA(HLOOKUP($B29, IMPORTRANGE('Prelim Rankings Unsorted'!$B$41, CONCAT(VLOOKUP($C29, 'Match Names'!$A$1:$D$22, 3, FALSE), ""!C3:R29"")), {5;11;17;23}, FALSE)), 'Player Overall Stats Unsorted'!$AA$9:$AA$12), ""=X"")) + (4 - COUNTIF(I"&amp;"FERROR(ARRAYFORMULA(HLOOKUP($B29, IMPORTRANGE('Prelim Rankings Unsorted'!$B$42, CONCAT(VLOOKUP($C29, 'Match Names'!$A$1:$D$22, 4, FALSE), ""!C3:R29"")), {5;11;17;23}, FALSE)), 'Player Overall Stats Unsorted'!$AA$9:$AA$12), ""=X"")) + (4 - COUNTIF(IFERROR("&amp;"ARRAYFORMULA(HLOOKUP($B29, IMPORTRANGE('Match Names'!$E$23, CONCAT(VLOOKUP($C29, 'Match Names'!$1:$22, 5, FALSE), ""!C3:R29"")), {5;11;16;21}, FALSE)), 'Player Overall Stats Unsorted'!$AA$9:$AA$12), ""=X"")) + (4 - COUNTIF(IFERROR(ARRAYFORMULA(HLOOKUP($B2"&amp;"9, IMPORTRANGE('Match Names'!$F$23, CONCAT(VLOOKUP($C29, 'Match Names'!$1:$22, 6, FALSE), ""!C3:R29"")), {5;11;17;23}, FALSE)), 'Player Overall Stats Unsorted'!$AA$9:$AA$12), ""=X"")) + (4 - COUNTIF(IFERROR(ARRAYFORMULA(HLOOKUP($B29, IMPORTRANGE('Match Na"&amp;"mes'!$G$23, CONCAT(VLOOKUP($C29, 'Match Names'!$1:$22, 7, FALSE), ""!C3:R29"")), {5;10;14;23}, FALSE)), 'Player Overall Stats Unsorted'!$AA$9:$AA$12), ""=X"")) + (4 - COUNTIF(IFERROR(ARRAYFORMULA(HLOOKUP($B29, IMPORTRANGE('Match Names'!$H$23, CONCAT(VLOOK"&amp;"UP($C29, 'Match Names'!$1:$22, 8, FALSE), ""!C3:R29"")), {5;11;17;23}, FALSE)), 'Player Overall Stats Unsorted'!$AA$9:$AA$12), ""=X""))"),20.0)</f>
        <v>20</v>
      </c>
      <c r="E29" s="32">
        <f>IFERROR(__xludf.DUMMYFUNCTION("COUNTIF(ARRAYFORMULA(HLOOKUP($B29, IMPORTRANGE('Prelim Rankings Unsorted'!$B$40, CONCAT(VLOOKUP($C29, 'Match Names'!$A$1:$D$22, 2, FALSE), ""!C3:R29"")), {6;11;17;23}, FALSE)), ""=4"") + COUNTIF(ARRAYFORMULA(HLOOKUP($B29, IMPORTRANGE('Prelim Rankings Unso"&amp;"rted'!$B$41, CONCAT(VLOOKUP($C29, 'Match Names'!$A$1:$D$22, 3, FALSE), ""!C3:R29"")), {5;11;17;23}, FALSE)), ""=4"") + COUNTIF(ARRAYFORMULA(HLOOKUP($B29, IMPORTRANGE('Prelim Rankings Unsorted'!$B$42, CONCAT(VLOOKUP($C29, 'Match Names'!$A$1:$D$22, 4, FALSE"&amp;"), ""!C3:R29"")), {5;11;17;23}, FALSE)), ""=4"") + COUNTIF(ARRAYFORMULA(HLOOKUP($B29, IMPORTRANGE('Match Names'!$E$23, CONCAT(VLOOKUP($C29, 'Match Names'!$1:$22, 5, FALSE), ""!C3:R29"")), {6;11;16;21}, FALSE)), ""=4"") + COUNTIF(ARRAYFORMULA(HLOOKUP($B29,"&amp;" IMPORTRANGE('Match Names'!$F$23, CONCAT(VLOOKUP($C29, 'Match Names'!$1:$22, 6, FALSE), ""!C3:R29"")), {5;11;17;23}, FALSE)), ""=4"") + COUNTIF(ARRAYFORMULA(HLOOKUP($B29, IMPORTRANGE('Match Names'!$G$23, CONCAT(VLOOKUP($C29, 'Match Names'!$1:$22, 7, FALSE"&amp;"), ""!C3:R29"")), {5;10;14;22}, FALSE)), ""=4"") + COUNTIF(ARRAYFORMULA(HLOOKUP($B29, IMPORTRANGE('Match Names'!$H$23, CONCAT(VLOOKUP($C29, 'Match Names'!$1:$22, 8, FALSE), ""!C3:R29"")), {5;11;17;23}, FALSE)), ""=4"")"),0.0)</f>
        <v>0</v>
      </c>
      <c r="F29" s="32">
        <f>IFERROR(__xludf.DUMMYFUNCTION("COUNTIF(ARRAYFORMULA(HLOOKUP($B29, IMPORTRANGE('Prelim Rankings Unsorted'!$B$40, CONCAT(VLOOKUP($C29, 'Match Names'!$A$1:$D$22, 2, FALSE), ""!C3:R29"")), {6;11;17;23}, FALSE)), ""=0"") + COUNTIF(ARRAYFORMULA(HLOOKUP($B29, IMPORTRANGE('Prelim Rankings Unso"&amp;"rted'!$B$41, CONCAT(VLOOKUP($C29, 'Match Names'!$A$1:$D$22, 3, FALSE), ""!C3:R29"")), {5;11;17;23}, FALSE)), ""=0"") + COUNTIF(ARRAYFORMULA(HLOOKUP($B29, IMPORTRANGE('Prelim Rankings Unsorted'!$B$42, CONCAT(VLOOKUP($C29, 'Match Names'!$A$1:$D$22, 4, FALSE"&amp;"), ""!C3:R29"")), {5;11;17;23}, FALSE)), ""=0"") + COUNTIF(ARRAYFORMULA(HLOOKUP($B29, IMPORTRANGE('Match Names'!$E$23, CONCAT(VLOOKUP($C29, 'Match Names'!$1:$22, 5, FALSE), ""!C3:R29"")), {6;11;16;21}, FALSE)), ""=0"") + COUNTIF(ARRAYFORMULA(HLOOKUP($B29,"&amp;" IMPORTRANGE('Match Names'!$F$23, CONCAT(VLOOKUP($C29, 'Match Names'!$1:$22, 6, FALSE), ""!C3:R29"")), {5;11;17;23}, FALSE)), ""=0"") + COUNTIF(ARRAYFORMULA(HLOOKUP($B29, IMPORTRANGE('Match Names'!$G$23, CONCAT(VLOOKUP($C29, 'Match Names'!$1:$22, 7, FALSE"&amp;"), ""!C3:R29"")), {5;10;14;22}, FALSE)), ""=0"") + COUNTIF(ARRAYFORMULA(HLOOKUP($B29, IMPORTRANGE('Match Names'!$H$23, CONCAT(VLOOKUP($C29, 'Match Names'!$1:$22, 8, FALSE), ""!C3:R29"")), {5;11;17;23}, FALSE)), ""=0"")"),0.0)</f>
        <v>0</v>
      </c>
      <c r="G29" s="32">
        <f>IFERROR(__xludf.DUMMYFUNCTION("COUNTIF(ARRAYFORMULA(HLOOKUP($B29, IMPORTRANGE('Prelim Rankings Unsorted'!$B$40, CONCAT(VLOOKUP($C29, 'Match Names'!$A$1:$D$22, 2, FALSE), ""!C3:R29"")), {6;11;17;23}, FALSE)), ""=-4"") + COUNTIF(ARRAYFORMULA(HLOOKUP($B29, IMPORTRANGE('Prelim Rankings Uns"&amp;"orted'!$B$41, CONCAT(VLOOKUP($C29, 'Match Names'!$A$1:$D$22, 3, FALSE), ""!C3:R29"")), {5;11;17;23}, FALSE)), ""=-4"") + COUNTIF(ARRAYFORMULA(HLOOKUP($B29, IMPORTRANGE('Prelim Rankings Unsorted'!$B$42, CONCAT(VLOOKUP($C29, 'Match Names'!$A$1:$D$22, 4, FAL"&amp;"SE), ""!C3:R29"")), {5;11;17;23}, FALSE)), ""=-4"") + COUNTIF(ARRAYFORMULA(HLOOKUP($B29, IMPORTRANGE('Match Names'!$E$23, CONCAT(VLOOKUP($C29, 'Match Names'!$1:$22, 5, FALSE), ""!C3:R29"")), {6;11;16;21}, FALSE)), ""=-4"") + COUNTIF(ARRAYFORMULA(HLOOKUP($"&amp;"B29, IMPORTRANGE('Match Names'!$F$23, CONCAT(VLOOKUP($C29, 'Match Names'!$1:$22, 6, FALSE), ""!C3:R29"")), {5;11;17;23}, FALSE)), ""=-4"") + COUNTIF(ARRAYFORMULA(HLOOKUP($B29, IMPORTRANGE('Match Names'!$G$23, CONCAT(VLOOKUP($C29, 'Match Names'!$1:$22, 7, "&amp;"FALSE), ""!C3:R29"")), {5;10;14;22}, FALSE)), ""=-4"") + COUNTIF(ARRAYFORMULA(HLOOKUP($B29, IMPORTRANGE('Match Names'!$H$23, CONCAT(VLOOKUP($C29, 'Match Names'!$1:$22, 8, FALSE), ""!C3:R29"")), {5;11;17;23}, FALSE)), ""=-4"")"),0.0)</f>
        <v>0</v>
      </c>
      <c r="H29" s="33">
        <f t="shared" si="2"/>
        <v>0</v>
      </c>
    </row>
    <row r="30">
      <c r="A30" s="31" t="s">
        <v>138</v>
      </c>
      <c r="B30" s="31" t="str">
        <f>VLOOKUP(CONCAT(A30, C30), 'Discord Username to Real Name'!C:D, 2, FALSE)</f>
        <v>sachiko#9539</v>
      </c>
      <c r="C30" s="21" t="s">
        <v>27</v>
      </c>
      <c r="D30" s="32">
        <f>IFERROR(__xludf.DUMMYFUNCTION("(4 - COUNTIF(IFERROR(ARRAYFORMULA(HLOOKUP($B30, IMPORTRANGE('Prelim Rankings Unsorted'!$B$40, CONCAT(VLOOKUP($C30, 'Match Names'!$A$1:$D$22, 2, FALSE), ""!C3:R29"")), {6;11;17;23}, FALSE)), 'Player Overall Stats Unsorted'!$AA$9:$AA$12), ""=X"")) + (4 - CO"&amp;"UNTIF(IFERROR(ARRAYFORMULA(HLOOKUP($B30, IMPORTRANGE('Prelim Rankings Unsorted'!$B$41, CONCAT(VLOOKUP($C30, 'Match Names'!$A$1:$D$22, 3, FALSE), ""!C3:R29"")), {5;11;17;23}, FALSE)), 'Player Overall Stats Unsorted'!$AA$9:$AA$12), ""=X"")) + (4 - COUNTIF(I"&amp;"FERROR(ARRAYFORMULA(HLOOKUP($B30, IMPORTRANGE('Prelim Rankings Unsorted'!$B$42, CONCAT(VLOOKUP($C30, 'Match Names'!$A$1:$D$22, 4, FALSE), ""!C3:R29"")), {5;11;17;23}, FALSE)), 'Player Overall Stats Unsorted'!$AA$9:$AA$12), ""=X"")) + (4 - COUNTIF(IFERROR("&amp;"ARRAYFORMULA(HLOOKUP($B30, IMPORTRANGE('Match Names'!$E$23, CONCAT(VLOOKUP($C30, 'Match Names'!$1:$22, 5, FALSE), ""!C3:R29"")), {5;11;16;21}, FALSE)), 'Player Overall Stats Unsorted'!$AA$9:$AA$12), ""=X"")) + (4 - COUNTIF(IFERROR(ARRAYFORMULA(HLOOKUP($B3"&amp;"0, IMPORTRANGE('Match Names'!$F$23, CONCAT(VLOOKUP($C30, 'Match Names'!$1:$22, 6, FALSE), ""!C3:R29"")), {5;11;17;23}, FALSE)), 'Player Overall Stats Unsorted'!$AA$9:$AA$12), ""=X"")) + (4 - COUNTIF(IFERROR(ARRAYFORMULA(HLOOKUP($B30, IMPORTRANGE('Match Na"&amp;"mes'!$G$23, CONCAT(VLOOKUP($C30, 'Match Names'!$1:$22, 7, FALSE), ""!C3:R29"")), {5;10;14;23}, FALSE)), 'Player Overall Stats Unsorted'!$AA$9:$AA$12), ""=X"")) + (4 - COUNTIF(IFERROR(ARRAYFORMULA(HLOOKUP($B30, IMPORTRANGE('Match Names'!$H$23, CONCAT(VLOOK"&amp;"UP($C30, 'Match Names'!$1:$22, 8, FALSE), ""!C3:R29"")), {5;11;17;23}, FALSE)), 'Player Overall Stats Unsorted'!$AA$9:$AA$12), ""=X""))"),22.0)</f>
        <v>22</v>
      </c>
      <c r="E30" s="32">
        <f>IFERROR(__xludf.DUMMYFUNCTION("COUNTIF(ARRAYFORMULA(HLOOKUP($B30, IMPORTRANGE('Prelim Rankings Unsorted'!$B$40, CONCAT(VLOOKUP($C30, 'Match Names'!$A$1:$D$22, 2, FALSE), ""!C3:R29"")), {6;11;17;23}, FALSE)), ""=4"") + COUNTIF(ARRAYFORMULA(HLOOKUP($B30, IMPORTRANGE('Prelim Rankings Unso"&amp;"rted'!$B$41, CONCAT(VLOOKUP($C30, 'Match Names'!$A$1:$D$22, 3, FALSE), ""!C3:R29"")), {5;11;17;23}, FALSE)), ""=4"") + COUNTIF(ARRAYFORMULA(HLOOKUP($B30, IMPORTRANGE('Prelim Rankings Unsorted'!$B$42, CONCAT(VLOOKUP($C30, 'Match Names'!$A$1:$D$22, 4, FALSE"&amp;"), ""!C3:R29"")), {5;11;17;23}, FALSE)), ""=4"") + COUNTIF(ARRAYFORMULA(HLOOKUP($B30, IMPORTRANGE('Match Names'!$E$23, CONCAT(VLOOKUP($C30, 'Match Names'!$1:$22, 5, FALSE), ""!C3:R29"")), {6;11;16;21}, FALSE)), ""=4"") + COUNTIF(ARRAYFORMULA(HLOOKUP($B30,"&amp;" IMPORTRANGE('Match Names'!$F$23, CONCAT(VLOOKUP($C30, 'Match Names'!$1:$22, 6, FALSE), ""!C3:R29"")), {5;11;17;23}, FALSE)), ""=4"") + COUNTIF(ARRAYFORMULA(HLOOKUP($B30, IMPORTRANGE('Match Names'!$G$23, CONCAT(VLOOKUP($C30, 'Match Names'!$1:$22, 7, FALSE"&amp;"), ""!C3:R29"")), {5;10;14;22}, FALSE)), ""=4"") + COUNTIF(ARRAYFORMULA(HLOOKUP($B30, IMPORTRANGE('Match Names'!$H$23, CONCAT(VLOOKUP($C30, 'Match Names'!$1:$22, 8, FALSE), ""!C3:R29"")), {5;11;17;23}, FALSE)), ""=4"")"),0.0)</f>
        <v>0</v>
      </c>
      <c r="F30" s="32">
        <f>IFERROR(__xludf.DUMMYFUNCTION("COUNTIF(ARRAYFORMULA(HLOOKUP($B30, IMPORTRANGE('Prelim Rankings Unsorted'!$B$40, CONCAT(VLOOKUP($C30, 'Match Names'!$A$1:$D$22, 2, FALSE), ""!C3:R29"")), {6;11;17;23}, FALSE)), ""=0"") + COUNTIF(ARRAYFORMULA(HLOOKUP($B30, IMPORTRANGE('Prelim Rankings Unso"&amp;"rted'!$B$41, CONCAT(VLOOKUP($C30, 'Match Names'!$A$1:$D$22, 3, FALSE), ""!C3:R29"")), {5;11;17;23}, FALSE)), ""=0"") + COUNTIF(ARRAYFORMULA(HLOOKUP($B30, IMPORTRANGE('Prelim Rankings Unsorted'!$B$42, CONCAT(VLOOKUP($C30, 'Match Names'!$A$1:$D$22, 4, FALSE"&amp;"), ""!C3:R29"")), {5;11;17;23}, FALSE)), ""=0"") + COUNTIF(ARRAYFORMULA(HLOOKUP($B30, IMPORTRANGE('Match Names'!$E$23, CONCAT(VLOOKUP($C30, 'Match Names'!$1:$22, 5, FALSE), ""!C3:R29"")), {6;11;16;21}, FALSE)), ""=0"") + COUNTIF(ARRAYFORMULA(HLOOKUP($B30,"&amp;" IMPORTRANGE('Match Names'!$F$23, CONCAT(VLOOKUP($C30, 'Match Names'!$1:$22, 6, FALSE), ""!C3:R29"")), {5;11;17;23}, FALSE)), ""=0"") + COUNTIF(ARRAYFORMULA(HLOOKUP($B30, IMPORTRANGE('Match Names'!$G$23, CONCAT(VLOOKUP($C30, 'Match Names'!$1:$22, 7, FALSE"&amp;"), ""!C3:R29"")), {5;10;14;22}, FALSE)), ""=0"") + COUNTIF(ARRAYFORMULA(HLOOKUP($B30, IMPORTRANGE('Match Names'!$H$23, CONCAT(VLOOKUP($C30, 'Match Names'!$1:$22, 8, FALSE), ""!C3:R29"")), {5;11;17;23}, FALSE)), ""=0"")"),1.0)</f>
        <v>1</v>
      </c>
      <c r="G30" s="32">
        <f>IFERROR(__xludf.DUMMYFUNCTION("COUNTIF(ARRAYFORMULA(HLOOKUP($B30, IMPORTRANGE('Prelim Rankings Unsorted'!$B$40, CONCAT(VLOOKUP($C30, 'Match Names'!$A$1:$D$22, 2, FALSE), ""!C3:R29"")), {6;11;17;23}, FALSE)), ""=-4"") + COUNTIF(ARRAYFORMULA(HLOOKUP($B30, IMPORTRANGE('Prelim Rankings Uns"&amp;"orted'!$B$41, CONCAT(VLOOKUP($C30, 'Match Names'!$A$1:$D$22, 3, FALSE), ""!C3:R29"")), {5;11;17;23}, FALSE)), ""=-4"") + COUNTIF(ARRAYFORMULA(HLOOKUP($B30, IMPORTRANGE('Prelim Rankings Unsorted'!$B$42, CONCAT(VLOOKUP($C30, 'Match Names'!$A$1:$D$22, 4, FAL"&amp;"SE), ""!C3:R29"")), {5;11;17;23}, FALSE)), ""=-4"") + COUNTIF(ARRAYFORMULA(HLOOKUP($B30, IMPORTRANGE('Match Names'!$E$23, CONCAT(VLOOKUP($C30, 'Match Names'!$1:$22, 5, FALSE), ""!C3:R29"")), {6;11;16;21}, FALSE)), ""=-4"") + COUNTIF(ARRAYFORMULA(HLOOKUP($"&amp;"B30, IMPORTRANGE('Match Names'!$F$23, CONCAT(VLOOKUP($C30, 'Match Names'!$1:$22, 6, FALSE), ""!C3:R29"")), {5;11;17;23}, FALSE)), ""=-4"") + COUNTIF(ARRAYFORMULA(HLOOKUP($B30, IMPORTRANGE('Match Names'!$G$23, CONCAT(VLOOKUP($C30, 'Match Names'!$1:$22, 7, "&amp;"FALSE), ""!C3:R29"")), {5;10;14;22}, FALSE)), ""=-4"") + COUNTIF(ARRAYFORMULA(HLOOKUP($B30, IMPORTRANGE('Match Names'!$H$23, CONCAT(VLOOKUP($C30, 'Match Names'!$1:$22, 8, FALSE), ""!C3:R29"")), {5;11;17;23}, FALSE)), ""=-4"")"),0.0)</f>
        <v>0</v>
      </c>
      <c r="H30" s="33">
        <f t="shared" si="2"/>
        <v>0</v>
      </c>
    </row>
    <row r="31">
      <c r="A31" s="31" t="s">
        <v>186</v>
      </c>
      <c r="B31" s="31" t="str">
        <f>VLOOKUP(CONCAT(A31, C31), 'Discord Username to Real Name'!C:D, 2, FALSE)</f>
        <v>audrey#4828</v>
      </c>
      <c r="C31" s="21" t="s">
        <v>27</v>
      </c>
      <c r="D31" s="32">
        <f>IFERROR(__xludf.DUMMYFUNCTION("(4 - COUNTIF(IFERROR(ARRAYFORMULA(HLOOKUP($B31, IMPORTRANGE('Prelim Rankings Unsorted'!$B$40, CONCAT(VLOOKUP($C31, 'Match Names'!$A$1:$D$22, 2, FALSE), ""!C3:R29"")), {6;11;17;23}, FALSE)), 'Player Overall Stats Unsorted'!$AA$9:$AA$12), ""=X"")) + (4 - CO"&amp;"UNTIF(IFERROR(ARRAYFORMULA(HLOOKUP($B31, IMPORTRANGE('Prelim Rankings Unsorted'!$B$41, CONCAT(VLOOKUP($C31, 'Match Names'!$A$1:$D$22, 3, FALSE), ""!C3:R29"")), {5;11;17;23}, FALSE)), 'Player Overall Stats Unsorted'!$AA$9:$AA$12), ""=X"")) + (4 - COUNTIF(I"&amp;"FERROR(ARRAYFORMULA(HLOOKUP($B31, IMPORTRANGE('Prelim Rankings Unsorted'!$B$42, CONCAT(VLOOKUP($C31, 'Match Names'!$A$1:$D$22, 4, FALSE), ""!C3:R29"")), {5;11;17;23}, FALSE)), 'Player Overall Stats Unsorted'!$AA$9:$AA$12), ""=X"")) + (4 - COUNTIF(IFERROR("&amp;"ARRAYFORMULA(HLOOKUP($B31, IMPORTRANGE('Match Names'!$E$23, CONCAT(VLOOKUP($C31, 'Match Names'!$1:$22, 5, FALSE), ""!C3:R29"")), {5;11;16;21}, FALSE)), 'Player Overall Stats Unsorted'!$AA$9:$AA$12), ""=X"")) + (4 - COUNTIF(IFERROR(ARRAYFORMULA(HLOOKUP($B3"&amp;"1, IMPORTRANGE('Match Names'!$F$23, CONCAT(VLOOKUP($C31, 'Match Names'!$1:$22, 6, FALSE), ""!C3:R29"")), {5;11;17;23}, FALSE)), 'Player Overall Stats Unsorted'!$AA$9:$AA$12), ""=X"")) + (4 - COUNTIF(IFERROR(ARRAYFORMULA(HLOOKUP($B31, IMPORTRANGE('Match Na"&amp;"mes'!$G$23, CONCAT(VLOOKUP($C31, 'Match Names'!$1:$22, 7, FALSE), ""!C3:R29"")), {5;10;14;23}, FALSE)), 'Player Overall Stats Unsorted'!$AA$9:$AA$12), ""=X"")) + (4 - COUNTIF(IFERROR(ARRAYFORMULA(HLOOKUP($B31, IMPORTRANGE('Match Names'!$H$23, CONCAT(VLOOK"&amp;"UP($C31, 'Match Names'!$1:$22, 8, FALSE), ""!C3:R29"")), {5;11;17;23}, FALSE)), 'Player Overall Stats Unsorted'!$AA$9:$AA$12), ""=X""))"),6.0)</f>
        <v>6</v>
      </c>
      <c r="E31" s="32">
        <f>IFERROR(__xludf.DUMMYFUNCTION("COUNTIF(ARRAYFORMULA(HLOOKUP($B31, IMPORTRANGE('Prelim Rankings Unsorted'!$B$40, CONCAT(VLOOKUP($C31, 'Match Names'!$A$1:$D$22, 2, FALSE), ""!C3:R29"")), {6;11;17;23}, FALSE)), ""=4"") + COUNTIF(ARRAYFORMULA(HLOOKUP($B31, IMPORTRANGE('Prelim Rankings Unso"&amp;"rted'!$B$41, CONCAT(VLOOKUP($C31, 'Match Names'!$A$1:$D$22, 3, FALSE), ""!C3:R29"")), {5;11;17;23}, FALSE)), ""=4"") + COUNTIF(ARRAYFORMULA(HLOOKUP($B31, IMPORTRANGE('Prelim Rankings Unsorted'!$B$42, CONCAT(VLOOKUP($C31, 'Match Names'!$A$1:$D$22, 4, FALSE"&amp;"), ""!C3:R29"")), {5;11;17;23}, FALSE)), ""=4"") + COUNTIF(ARRAYFORMULA(HLOOKUP($B31, IMPORTRANGE('Match Names'!$E$23, CONCAT(VLOOKUP($C31, 'Match Names'!$1:$22, 5, FALSE), ""!C3:R29"")), {6;11;16;21}, FALSE)), ""=4"") + COUNTIF(ARRAYFORMULA(HLOOKUP($B31,"&amp;" IMPORTRANGE('Match Names'!$F$23, CONCAT(VLOOKUP($C31, 'Match Names'!$1:$22, 6, FALSE), ""!C3:R29"")), {5;11;17;23}, FALSE)), ""=4"") + COUNTIF(ARRAYFORMULA(HLOOKUP($B31, IMPORTRANGE('Match Names'!$G$23, CONCAT(VLOOKUP($C31, 'Match Names'!$1:$22, 7, FALSE"&amp;"), ""!C3:R29"")), {5;10;14;22}, FALSE)), ""=4"") + COUNTIF(ARRAYFORMULA(HLOOKUP($B31, IMPORTRANGE('Match Names'!$H$23, CONCAT(VLOOKUP($C31, 'Match Names'!$1:$22, 8, FALSE), ""!C3:R29"")), {5;11;17;23}, FALSE)), ""=4"")"),0.0)</f>
        <v>0</v>
      </c>
      <c r="F31" s="32">
        <f>IFERROR(__xludf.DUMMYFUNCTION("COUNTIF(ARRAYFORMULA(HLOOKUP($B31, IMPORTRANGE('Prelim Rankings Unsorted'!$B$40, CONCAT(VLOOKUP($C31, 'Match Names'!$A$1:$D$22, 2, FALSE), ""!C3:R29"")), {6;11;17;23}, FALSE)), ""=0"") + COUNTIF(ARRAYFORMULA(HLOOKUP($B31, IMPORTRANGE('Prelim Rankings Unso"&amp;"rted'!$B$41, CONCAT(VLOOKUP($C31, 'Match Names'!$A$1:$D$22, 3, FALSE), ""!C3:R29"")), {5;11;17;23}, FALSE)), ""=0"") + COUNTIF(ARRAYFORMULA(HLOOKUP($B31, IMPORTRANGE('Prelim Rankings Unsorted'!$B$42, CONCAT(VLOOKUP($C31, 'Match Names'!$A$1:$D$22, 4, FALSE"&amp;"), ""!C3:R29"")), {5;11;17;23}, FALSE)), ""=0"") + COUNTIF(ARRAYFORMULA(HLOOKUP($B31, IMPORTRANGE('Match Names'!$E$23, CONCAT(VLOOKUP($C31, 'Match Names'!$1:$22, 5, FALSE), ""!C3:R29"")), {6;11;16;21}, FALSE)), ""=0"") + COUNTIF(ARRAYFORMULA(HLOOKUP($B31,"&amp;" IMPORTRANGE('Match Names'!$F$23, CONCAT(VLOOKUP($C31, 'Match Names'!$1:$22, 6, FALSE), ""!C3:R29"")), {5;11;17;23}, FALSE)), ""=0"") + COUNTIF(ARRAYFORMULA(HLOOKUP($B31, IMPORTRANGE('Match Names'!$G$23, CONCAT(VLOOKUP($C31, 'Match Names'!$1:$22, 7, FALSE"&amp;"), ""!C3:R29"")), {5;10;14;22}, FALSE)), ""=0"") + COUNTIF(ARRAYFORMULA(HLOOKUP($B31, IMPORTRANGE('Match Names'!$H$23, CONCAT(VLOOKUP($C31, 'Match Names'!$1:$22, 8, FALSE), ""!C3:R29"")), {5;11;17;23}, FALSE)), ""=0"")"),0.0)</f>
        <v>0</v>
      </c>
      <c r="G31" s="32">
        <f>IFERROR(__xludf.DUMMYFUNCTION("COUNTIF(ARRAYFORMULA(HLOOKUP($B31, IMPORTRANGE('Prelim Rankings Unsorted'!$B$40, CONCAT(VLOOKUP($C31, 'Match Names'!$A$1:$D$22, 2, FALSE), ""!C3:R29"")), {6;11;17;23}, FALSE)), ""=-4"") + COUNTIF(ARRAYFORMULA(HLOOKUP($B31, IMPORTRANGE('Prelim Rankings Uns"&amp;"orted'!$B$41, CONCAT(VLOOKUP($C31, 'Match Names'!$A$1:$D$22, 3, FALSE), ""!C3:R29"")), {5;11;17;23}, FALSE)), ""=-4"") + COUNTIF(ARRAYFORMULA(HLOOKUP($B31, IMPORTRANGE('Prelim Rankings Unsorted'!$B$42, CONCAT(VLOOKUP($C31, 'Match Names'!$A$1:$D$22, 4, FAL"&amp;"SE), ""!C3:R29"")), {5;11;17;23}, FALSE)), ""=-4"") + COUNTIF(ARRAYFORMULA(HLOOKUP($B31, IMPORTRANGE('Match Names'!$E$23, CONCAT(VLOOKUP($C31, 'Match Names'!$1:$22, 5, FALSE), ""!C3:R29"")), {6;11;16;21}, FALSE)), ""=-4"") + COUNTIF(ARRAYFORMULA(HLOOKUP($"&amp;"B31, IMPORTRANGE('Match Names'!$F$23, CONCAT(VLOOKUP($C31, 'Match Names'!$1:$22, 6, FALSE), ""!C3:R29"")), {5;11;17;23}, FALSE)), ""=-4"") + COUNTIF(ARRAYFORMULA(HLOOKUP($B31, IMPORTRANGE('Match Names'!$G$23, CONCAT(VLOOKUP($C31, 'Match Names'!$1:$22, 7, "&amp;"FALSE), ""!C3:R29"")), {5;10;14;22}, FALSE)), ""=-4"") + COUNTIF(ARRAYFORMULA(HLOOKUP($B31, IMPORTRANGE('Match Names'!$H$23, CONCAT(VLOOKUP($C31, 'Match Names'!$1:$22, 8, FALSE), ""!C3:R29"")), {5;11;17;23}, FALSE)), ""=-4"")"),0.0)</f>
        <v>0</v>
      </c>
      <c r="H31" s="33">
        <f t="shared" si="2"/>
        <v>0</v>
      </c>
    </row>
    <row r="32">
      <c r="A32" s="31" t="s">
        <v>104</v>
      </c>
      <c r="B32" s="31" t="str">
        <f>VLOOKUP(CONCAT(A32, C32), 'Discord Username to Real Name'!C:D, 2, FALSE)</f>
        <v>Logan L.#8589</v>
      </c>
      <c r="C32" s="21" t="s">
        <v>27</v>
      </c>
      <c r="D32" s="32">
        <f>IFERROR(__xludf.DUMMYFUNCTION("(4 - COUNTIF(IFERROR(ARRAYFORMULA(HLOOKUP($B32, IMPORTRANGE('Prelim Rankings Unsorted'!$B$40, CONCAT(VLOOKUP($C32, 'Match Names'!$A$1:$D$22, 2, FALSE), ""!C3:R29"")), {6;11;17;23}, FALSE)), 'Player Overall Stats Unsorted'!$AA$9:$AA$12), ""=X"")) + (4 - CO"&amp;"UNTIF(IFERROR(ARRAYFORMULA(HLOOKUP($B32, IMPORTRANGE('Prelim Rankings Unsorted'!$B$41, CONCAT(VLOOKUP($C32, 'Match Names'!$A$1:$D$22, 3, FALSE), ""!C3:R29"")), {5;11;17;23}, FALSE)), 'Player Overall Stats Unsorted'!$AA$9:$AA$12), ""=X"")) + (4 - COUNTIF(I"&amp;"FERROR(ARRAYFORMULA(HLOOKUP($B32, IMPORTRANGE('Prelim Rankings Unsorted'!$B$42, CONCAT(VLOOKUP($C32, 'Match Names'!$A$1:$D$22, 4, FALSE), ""!C3:R29"")), {5;11;17;23}, FALSE)), 'Player Overall Stats Unsorted'!$AA$9:$AA$12), ""=X"")) + (4 - COUNTIF(IFERROR("&amp;"ARRAYFORMULA(HLOOKUP($B32, IMPORTRANGE('Match Names'!$E$23, CONCAT(VLOOKUP($C32, 'Match Names'!$1:$22, 5, FALSE), ""!C3:R29"")), {5;11;16;21}, FALSE)), 'Player Overall Stats Unsorted'!$AA$9:$AA$12), ""=X"")) + (4 - COUNTIF(IFERROR(ARRAYFORMULA(HLOOKUP($B3"&amp;"2, IMPORTRANGE('Match Names'!$F$23, CONCAT(VLOOKUP($C32, 'Match Names'!$1:$22, 6, FALSE), ""!C3:R29"")), {5;11;17;23}, FALSE)), 'Player Overall Stats Unsorted'!$AA$9:$AA$12), ""=X"")) + (4 - COUNTIF(IFERROR(ARRAYFORMULA(HLOOKUP($B32, IMPORTRANGE('Match Na"&amp;"mes'!$G$23, CONCAT(VLOOKUP($C32, 'Match Names'!$1:$22, 7, FALSE), ""!C3:R29"")), {5;10;14;23}, FALSE)), 'Player Overall Stats Unsorted'!$AA$9:$AA$12), ""=X"")) + (4 - COUNTIF(IFERROR(ARRAYFORMULA(HLOOKUP($B32, IMPORTRANGE('Match Names'!$H$23, CONCAT(VLOOK"&amp;"UP($C32, 'Match Names'!$1:$22, 8, FALSE), ""!C3:R29"")), {5;11;17;23}, FALSE)), 'Player Overall Stats Unsorted'!$AA$9:$AA$12), ""=X""))"),22.0)</f>
        <v>22</v>
      </c>
      <c r="E32" s="32">
        <f>IFERROR(__xludf.DUMMYFUNCTION("COUNTIF(ARRAYFORMULA(HLOOKUP($B32, IMPORTRANGE('Prelim Rankings Unsorted'!$B$40, CONCAT(VLOOKUP($C32, 'Match Names'!$A$1:$D$22, 2, FALSE), ""!C3:R29"")), {6;11;17;23}, FALSE)), ""=4"") + COUNTIF(ARRAYFORMULA(HLOOKUP($B32, IMPORTRANGE('Prelim Rankings Unso"&amp;"rted'!$B$41, CONCAT(VLOOKUP($C32, 'Match Names'!$A$1:$D$22, 3, FALSE), ""!C3:R29"")), {5;11;17;23}, FALSE)), ""=4"") + COUNTIF(ARRAYFORMULA(HLOOKUP($B32, IMPORTRANGE('Prelim Rankings Unsorted'!$B$42, CONCAT(VLOOKUP($C32, 'Match Names'!$A$1:$D$22, 4, FALSE"&amp;"), ""!C3:R29"")), {5;11;17;23}, FALSE)), ""=4"") + COUNTIF(ARRAYFORMULA(HLOOKUP($B32, IMPORTRANGE('Match Names'!$E$23, CONCAT(VLOOKUP($C32, 'Match Names'!$1:$22, 5, FALSE), ""!C3:R29"")), {6;11;16;21}, FALSE)), ""=4"") + COUNTIF(ARRAYFORMULA(HLOOKUP($B32,"&amp;" IMPORTRANGE('Match Names'!$F$23, CONCAT(VLOOKUP($C32, 'Match Names'!$1:$22, 6, FALSE), ""!C3:R29"")), {5;11;17;23}, FALSE)), ""=4"") + COUNTIF(ARRAYFORMULA(HLOOKUP($B32, IMPORTRANGE('Match Names'!$G$23, CONCAT(VLOOKUP($C32, 'Match Names'!$1:$22, 7, FALSE"&amp;"), ""!C3:R29"")), {5;10;14;22}, FALSE)), ""=4"") + COUNTIF(ARRAYFORMULA(HLOOKUP($B32, IMPORTRANGE('Match Names'!$H$23, CONCAT(VLOOKUP($C32, 'Match Names'!$1:$22, 8, FALSE), ""!C3:R29"")), {5;11;17;23}, FALSE)), ""=4"")"),1.0)</f>
        <v>1</v>
      </c>
      <c r="F32" s="32">
        <f>IFERROR(__xludf.DUMMYFUNCTION("COUNTIF(ARRAYFORMULA(HLOOKUP($B32, IMPORTRANGE('Prelim Rankings Unsorted'!$B$40, CONCAT(VLOOKUP($C32, 'Match Names'!$A$1:$D$22, 2, FALSE), ""!C3:R29"")), {6;11;17;23}, FALSE)), ""=0"") + COUNTIF(ARRAYFORMULA(HLOOKUP($B32, IMPORTRANGE('Prelim Rankings Unso"&amp;"rted'!$B$41, CONCAT(VLOOKUP($C32, 'Match Names'!$A$1:$D$22, 3, FALSE), ""!C3:R29"")), {5;11;17;23}, FALSE)), ""=0"") + COUNTIF(ARRAYFORMULA(HLOOKUP($B32, IMPORTRANGE('Prelim Rankings Unsorted'!$B$42, CONCAT(VLOOKUP($C32, 'Match Names'!$A$1:$D$22, 4, FALSE"&amp;"), ""!C3:R29"")), {5;11;17;23}, FALSE)), ""=0"") + COUNTIF(ARRAYFORMULA(HLOOKUP($B32, IMPORTRANGE('Match Names'!$E$23, CONCAT(VLOOKUP($C32, 'Match Names'!$1:$22, 5, FALSE), ""!C3:R29"")), {6;11;16;21}, FALSE)), ""=0"") + COUNTIF(ARRAYFORMULA(HLOOKUP($B32,"&amp;" IMPORTRANGE('Match Names'!$F$23, CONCAT(VLOOKUP($C32, 'Match Names'!$1:$22, 6, FALSE), ""!C3:R29"")), {5;11;17;23}, FALSE)), ""=0"") + COUNTIF(ARRAYFORMULA(HLOOKUP($B32, IMPORTRANGE('Match Names'!$G$23, CONCAT(VLOOKUP($C32, 'Match Names'!$1:$22, 7, FALSE"&amp;"), ""!C3:R29"")), {5;10;14;22}, FALSE)), ""=0"") + COUNTIF(ARRAYFORMULA(HLOOKUP($B32, IMPORTRANGE('Match Names'!$H$23, CONCAT(VLOOKUP($C32, 'Match Names'!$1:$22, 8, FALSE), ""!C3:R29"")), {5;11;17;23}, FALSE)), ""=0"")"),0.0)</f>
        <v>0</v>
      </c>
      <c r="G32" s="32">
        <f>IFERROR(__xludf.DUMMYFUNCTION("COUNTIF(ARRAYFORMULA(HLOOKUP($B32, IMPORTRANGE('Prelim Rankings Unsorted'!$B$40, CONCAT(VLOOKUP($C32, 'Match Names'!$A$1:$D$22, 2, FALSE), ""!C3:R29"")), {6;11;17;23}, FALSE)), ""=-4"") + COUNTIF(ARRAYFORMULA(HLOOKUP($B32, IMPORTRANGE('Prelim Rankings Uns"&amp;"orted'!$B$41, CONCAT(VLOOKUP($C32, 'Match Names'!$A$1:$D$22, 3, FALSE), ""!C3:R29"")), {5;11;17;23}, FALSE)), ""=-4"") + COUNTIF(ARRAYFORMULA(HLOOKUP($B32, IMPORTRANGE('Prelim Rankings Unsorted'!$B$42, CONCAT(VLOOKUP($C32, 'Match Names'!$A$1:$D$22, 4, FAL"&amp;"SE), ""!C3:R29"")), {5;11;17;23}, FALSE)), ""=-4"") + COUNTIF(ARRAYFORMULA(HLOOKUP($B32, IMPORTRANGE('Match Names'!$E$23, CONCAT(VLOOKUP($C32, 'Match Names'!$1:$22, 5, FALSE), ""!C3:R29"")), {6;11;16;21}, FALSE)), ""=-4"") + COUNTIF(ARRAYFORMULA(HLOOKUP($"&amp;"B32, IMPORTRANGE('Match Names'!$F$23, CONCAT(VLOOKUP($C32, 'Match Names'!$1:$22, 6, FALSE), ""!C3:R29"")), {5;11;17;23}, FALSE)), ""=-4"") + COUNTIF(ARRAYFORMULA(HLOOKUP($B32, IMPORTRANGE('Match Names'!$G$23, CONCAT(VLOOKUP($C32, 'Match Names'!$1:$22, 7, "&amp;"FALSE), ""!C3:R29"")), {5;10;14;22}, FALSE)), ""=-4"") + COUNTIF(ARRAYFORMULA(HLOOKUP($B32, IMPORTRANGE('Match Names'!$H$23, CONCAT(VLOOKUP($C32, 'Match Names'!$1:$22, 8, FALSE), ""!C3:R29"")), {5;11;17;23}, FALSE)), ""=-4"")"),0.0)</f>
        <v>0</v>
      </c>
      <c r="H32" s="33">
        <f t="shared" si="2"/>
        <v>0.73</v>
      </c>
    </row>
    <row r="33">
      <c r="A33" s="31" t="s">
        <v>45</v>
      </c>
      <c r="B33" s="31" t="str">
        <f>VLOOKUP(CONCAT(A33, C33), 'Discord Username to Real Name'!C:D, 2, FALSE)</f>
        <v>(Stitch)^2#3169</v>
      </c>
      <c r="C33" s="31" t="s">
        <v>20</v>
      </c>
      <c r="D33" s="32">
        <f>IFERROR(__xludf.DUMMYFUNCTION("(4 - COUNTIF(IFERROR(ARRAYFORMULA(HLOOKUP($B33, IMPORTRANGE('Prelim Rankings Unsorted'!$B$40, CONCAT(VLOOKUP($C33, 'Match Names'!$A$1:$D$22, 2, FALSE), ""!C3:R29"")), {6;11;17;23}, FALSE)), 'Player Overall Stats Unsorted'!$AA$9:$AA$12), ""=X"")) + (4 - CO"&amp;"UNTIF(IFERROR(ARRAYFORMULA(HLOOKUP($B33, IMPORTRANGE('Prelim Rankings Unsorted'!$B$41, CONCAT(VLOOKUP($C33, 'Match Names'!$A$1:$D$22, 3, FALSE), ""!C3:R29"")), {5;11;17;23}, FALSE)), 'Player Overall Stats Unsorted'!$AA$9:$AA$12), ""=X"")) + (4 - COUNTIF(I"&amp;"FERROR(ARRAYFORMULA(HLOOKUP($B33, IMPORTRANGE('Prelim Rankings Unsorted'!$B$42, CONCAT(VLOOKUP($C33, 'Match Names'!$A$1:$D$22, 4, FALSE), ""!C3:R29"")), {5;11;17;23}, FALSE)), 'Player Overall Stats Unsorted'!$AA$9:$AA$12), ""=X"")) + (4 - COUNTIF(IFERROR("&amp;"ARRAYFORMULA(HLOOKUP($B33, IMPORTRANGE('Match Names'!$E$23, CONCAT(VLOOKUP($C33, 'Match Names'!$1:$22, 5, FALSE), ""!C3:R29"")), {5;11;16;21}, FALSE)), 'Player Overall Stats Unsorted'!$AA$9:$AA$12), ""=X"")) + (4 - COUNTIF(IFERROR(ARRAYFORMULA(HLOOKUP($B3"&amp;"3, IMPORTRANGE('Match Names'!$F$23, CONCAT(VLOOKUP($C33, 'Match Names'!$1:$22, 6, FALSE), ""!C3:R29"")), {5;11;17;23}, FALSE)), 'Player Overall Stats Unsorted'!$AA$9:$AA$12), ""=X"")) + (4 - COUNTIF(IFERROR(ARRAYFORMULA(HLOOKUP($B33, IMPORTRANGE('Match Na"&amp;"mes'!$G$23, CONCAT(VLOOKUP($C33, 'Match Names'!$1:$22, 7, FALSE), ""!C3:R29"")), {5;10;14;23}, FALSE)), 'Player Overall Stats Unsorted'!$AA$9:$AA$12), ""=X"")) + (4 - COUNTIF(IFERROR(ARRAYFORMULA(HLOOKUP($B33, IMPORTRANGE('Match Names'!$H$23, CONCAT(VLOOK"&amp;"UP($C33, 'Match Names'!$1:$22, 8, FALSE), ""!C3:R29"")), {5;11;17;23}, FALSE)), 'Player Overall Stats Unsorted'!$AA$9:$AA$12), ""=X""))"),24.0)</f>
        <v>24</v>
      </c>
      <c r="E33" s="32">
        <f>IFERROR(__xludf.DUMMYFUNCTION("COUNTIF(ARRAYFORMULA(HLOOKUP($B33, IMPORTRANGE('Prelim Rankings Unsorted'!$B$40, CONCAT(VLOOKUP($C33, 'Match Names'!$A$1:$D$22, 2, FALSE), ""!C3:R29"")), {6;11;17;23}, FALSE)), ""=4"") + COUNTIF(ARRAYFORMULA(HLOOKUP($B33, IMPORTRANGE('Prelim Rankings Unso"&amp;"rted'!$B$41, CONCAT(VLOOKUP($C33, 'Match Names'!$A$1:$D$22, 3, FALSE), ""!C3:R29"")), {5;11;17;23}, FALSE)), ""=4"") + COUNTIF(ARRAYFORMULA(HLOOKUP($B33, IMPORTRANGE('Prelim Rankings Unsorted'!$B$42, CONCAT(VLOOKUP($C33, 'Match Names'!$A$1:$D$22, 4, FALSE"&amp;"), ""!C3:R29"")), {5;11;17;23}, FALSE)), ""=4"") + COUNTIF(ARRAYFORMULA(HLOOKUP($B33, IMPORTRANGE('Match Names'!$E$23, CONCAT(VLOOKUP($C33, 'Match Names'!$1:$22, 5, FALSE), ""!C3:R29"")), {6;11;16;21}, FALSE)), ""=4"") + COUNTIF(ARRAYFORMULA(HLOOKUP($B33,"&amp;" IMPORTRANGE('Match Names'!$F$23, CONCAT(VLOOKUP($C33, 'Match Names'!$1:$22, 6, FALSE), ""!C3:R29"")), {5;11;17;23}, FALSE)), ""=4"") + COUNTIF(ARRAYFORMULA(HLOOKUP($B33, IMPORTRANGE('Match Names'!$G$23, CONCAT(VLOOKUP($C33, 'Match Names'!$1:$22, 7, FALSE"&amp;"), ""!C3:R29"")), {5;10;14;22}, FALSE)), ""=4"") + COUNTIF(ARRAYFORMULA(HLOOKUP($B33, IMPORTRANGE('Match Names'!$H$23, CONCAT(VLOOKUP($C33, 'Match Names'!$1:$22, 8, FALSE), ""!C3:R29"")), {5;11;17;23}, FALSE)), ""=4"")"),5.0)</f>
        <v>5</v>
      </c>
      <c r="F33" s="32">
        <f>IFERROR(__xludf.DUMMYFUNCTION("COUNTIF(ARRAYFORMULA(HLOOKUP($B33, IMPORTRANGE('Prelim Rankings Unsorted'!$B$40, CONCAT(VLOOKUP($C33, 'Match Names'!$A$1:$D$22, 2, FALSE), ""!C3:R29"")), {6;11;17;23}, FALSE)), ""=0"") + COUNTIF(ARRAYFORMULA(HLOOKUP($B33, IMPORTRANGE('Prelim Rankings Unso"&amp;"rted'!$B$41, CONCAT(VLOOKUP($C33, 'Match Names'!$A$1:$D$22, 3, FALSE), ""!C3:R29"")), {5;11;17;23}, FALSE)), ""=0"") + COUNTIF(ARRAYFORMULA(HLOOKUP($B33, IMPORTRANGE('Prelim Rankings Unsorted'!$B$42, CONCAT(VLOOKUP($C33, 'Match Names'!$A$1:$D$22, 4, FALSE"&amp;"), ""!C3:R29"")), {5;11;17;23}, FALSE)), ""=0"") + COUNTIF(ARRAYFORMULA(HLOOKUP($B33, IMPORTRANGE('Match Names'!$E$23, CONCAT(VLOOKUP($C33, 'Match Names'!$1:$22, 5, FALSE), ""!C3:R29"")), {6;11;16;21}, FALSE)), ""=0"") + COUNTIF(ARRAYFORMULA(HLOOKUP($B33,"&amp;" IMPORTRANGE('Match Names'!$F$23, CONCAT(VLOOKUP($C33, 'Match Names'!$1:$22, 6, FALSE), ""!C3:R29"")), {5;11;17;23}, FALSE)), ""=0"") + COUNTIF(ARRAYFORMULA(HLOOKUP($B33, IMPORTRANGE('Match Names'!$G$23, CONCAT(VLOOKUP($C33, 'Match Names'!$1:$22, 7, FALSE"&amp;"), ""!C3:R29"")), {5;10;14;22}, FALSE)), ""=0"") + COUNTIF(ARRAYFORMULA(HLOOKUP($B33, IMPORTRANGE('Match Names'!$H$23, CONCAT(VLOOKUP($C33, 'Match Names'!$1:$22, 8, FALSE), ""!C3:R29"")), {5;11;17;23}, FALSE)), ""=0"")"),0.0)</f>
        <v>0</v>
      </c>
      <c r="G33" s="32">
        <f>IFERROR(__xludf.DUMMYFUNCTION("COUNTIF(ARRAYFORMULA(HLOOKUP($B33, IMPORTRANGE('Prelim Rankings Unsorted'!$B$40, CONCAT(VLOOKUP($C33, 'Match Names'!$A$1:$D$22, 2, FALSE), ""!C3:R29"")), {6;11;17;23}, FALSE)), ""=-4"") + COUNTIF(ARRAYFORMULA(HLOOKUP($B33, IMPORTRANGE('Prelim Rankings Uns"&amp;"orted'!$B$41, CONCAT(VLOOKUP($C33, 'Match Names'!$A$1:$D$22, 3, FALSE), ""!C3:R29"")), {5;11;17;23}, FALSE)), ""=-4"") + COUNTIF(ARRAYFORMULA(HLOOKUP($B33, IMPORTRANGE('Prelim Rankings Unsorted'!$B$42, CONCAT(VLOOKUP($C33, 'Match Names'!$A$1:$D$22, 4, FAL"&amp;"SE), ""!C3:R29"")), {5;11;17;23}, FALSE)), ""=-4"") + COUNTIF(ARRAYFORMULA(HLOOKUP($B33, IMPORTRANGE('Match Names'!$E$23, CONCAT(VLOOKUP($C33, 'Match Names'!$1:$22, 5, FALSE), ""!C3:R29"")), {6;11;16;21}, FALSE)), ""=-4"") + COUNTIF(ARRAYFORMULA(HLOOKUP($"&amp;"B33, IMPORTRANGE('Match Names'!$F$23, CONCAT(VLOOKUP($C33, 'Match Names'!$1:$22, 6, FALSE), ""!C3:R29"")), {5;11;17;23}, FALSE)), ""=-4"") + COUNTIF(ARRAYFORMULA(HLOOKUP($B33, IMPORTRANGE('Match Names'!$G$23, CONCAT(VLOOKUP($C33, 'Match Names'!$1:$22, 7, "&amp;"FALSE), ""!C3:R29"")), {5;10;14;22}, FALSE)), ""=-4"") + COUNTIF(ARRAYFORMULA(HLOOKUP($B33, IMPORTRANGE('Match Names'!$H$23, CONCAT(VLOOKUP($C33, 'Match Names'!$1:$22, 8, FALSE), ""!C3:R29"")), {5;11;17;23}, FALSE)), ""=-4"")"),0.0)</f>
        <v>0</v>
      </c>
      <c r="H33" s="33">
        <f t="shared" si="2"/>
        <v>3.33</v>
      </c>
    </row>
    <row r="34">
      <c r="A34" s="31" t="s">
        <v>108</v>
      </c>
      <c r="B34" s="31" t="str">
        <f>VLOOKUP(CONCAT(A34, C34), 'Discord Username to Real Name'!C:D, 2, FALSE)</f>
        <v>Oshimimers#4758</v>
      </c>
      <c r="C34" s="31" t="s">
        <v>20</v>
      </c>
      <c r="D34" s="32">
        <f>IFERROR(__xludf.DUMMYFUNCTION("(4 - COUNTIF(IFERROR(ARRAYFORMULA(HLOOKUP($B34, IMPORTRANGE('Prelim Rankings Unsorted'!$B$40, CONCAT(VLOOKUP($C34, 'Match Names'!$A$1:$D$22, 2, FALSE), ""!C3:R29"")), {6;11;17;23}, FALSE)), 'Player Overall Stats Unsorted'!$AA$9:$AA$12), ""=X"")) + (4 - CO"&amp;"UNTIF(IFERROR(ARRAYFORMULA(HLOOKUP($B34, IMPORTRANGE('Prelim Rankings Unsorted'!$B$41, CONCAT(VLOOKUP($C34, 'Match Names'!$A$1:$D$22, 3, FALSE), ""!C3:R29"")), {5;11;17;23}, FALSE)), 'Player Overall Stats Unsorted'!$AA$9:$AA$12), ""=X"")) + (4 - COUNTIF(I"&amp;"FERROR(ARRAYFORMULA(HLOOKUP($B34, IMPORTRANGE('Prelim Rankings Unsorted'!$B$42, CONCAT(VLOOKUP($C34, 'Match Names'!$A$1:$D$22, 4, FALSE), ""!C3:R29"")), {5;11;17;23}, FALSE)), 'Player Overall Stats Unsorted'!$AA$9:$AA$12), ""=X"")) + (4 - COUNTIF(IFERROR("&amp;"ARRAYFORMULA(HLOOKUP($B34, IMPORTRANGE('Match Names'!$E$23, CONCAT(VLOOKUP($C34, 'Match Names'!$1:$22, 5, FALSE), ""!C3:R29"")), {5;11;16;21}, FALSE)), 'Player Overall Stats Unsorted'!$AA$9:$AA$12), ""=X"")) + (4 - COUNTIF(IFERROR(ARRAYFORMULA(HLOOKUP($B3"&amp;"4, IMPORTRANGE('Match Names'!$F$23, CONCAT(VLOOKUP($C34, 'Match Names'!$1:$22, 6, FALSE), ""!C3:R29"")), {5;11;17;23}, FALSE)), 'Player Overall Stats Unsorted'!$AA$9:$AA$12), ""=X"")) + (4 - COUNTIF(IFERROR(ARRAYFORMULA(HLOOKUP($B34, IMPORTRANGE('Match Na"&amp;"mes'!$G$23, CONCAT(VLOOKUP($C34, 'Match Names'!$1:$22, 7, FALSE), ""!C3:R29"")), {5;10;14;23}, FALSE)), 'Player Overall Stats Unsorted'!$AA$9:$AA$12), ""=X"")) + (4 - COUNTIF(IFERROR(ARRAYFORMULA(HLOOKUP($B34, IMPORTRANGE('Match Names'!$H$23, CONCAT(VLOOK"&amp;"UP($C34, 'Match Names'!$1:$22, 8, FALSE), ""!C3:R29"")), {5;11;17;23}, FALSE)), 'Player Overall Stats Unsorted'!$AA$9:$AA$12), ""=X""))"),24.0)</f>
        <v>24</v>
      </c>
      <c r="E34" s="32">
        <f>IFERROR(__xludf.DUMMYFUNCTION("COUNTIF(ARRAYFORMULA(HLOOKUP($B34, IMPORTRANGE('Prelim Rankings Unsorted'!$B$40, CONCAT(VLOOKUP($C34, 'Match Names'!$A$1:$D$22, 2, FALSE), ""!C3:R29"")), {6;11;17;23}, FALSE)), ""=4"") + COUNTIF(ARRAYFORMULA(HLOOKUP($B34, IMPORTRANGE('Prelim Rankings Unso"&amp;"rted'!$B$41, CONCAT(VLOOKUP($C34, 'Match Names'!$A$1:$D$22, 3, FALSE), ""!C3:R29"")), {5;11;17;23}, FALSE)), ""=4"") + COUNTIF(ARRAYFORMULA(HLOOKUP($B34, IMPORTRANGE('Prelim Rankings Unsorted'!$B$42, CONCAT(VLOOKUP($C34, 'Match Names'!$A$1:$D$22, 4, FALSE"&amp;"), ""!C3:R29"")), {5;11;17;23}, FALSE)), ""=4"") + COUNTIF(ARRAYFORMULA(HLOOKUP($B34, IMPORTRANGE('Match Names'!$E$23, CONCAT(VLOOKUP($C34, 'Match Names'!$1:$22, 5, FALSE), ""!C3:R29"")), {6;11;16;21}, FALSE)), ""=4"") + COUNTIF(ARRAYFORMULA(HLOOKUP($B34,"&amp;" IMPORTRANGE('Match Names'!$F$23, CONCAT(VLOOKUP($C34, 'Match Names'!$1:$22, 6, FALSE), ""!C3:R29"")), {5;11;17;23}, FALSE)), ""=4"") + COUNTIF(ARRAYFORMULA(HLOOKUP($B34, IMPORTRANGE('Match Names'!$G$23, CONCAT(VLOOKUP($C34, 'Match Names'!$1:$22, 7, FALSE"&amp;"), ""!C3:R29"")), {5;10;14;22}, FALSE)), ""=4"") + COUNTIF(ARRAYFORMULA(HLOOKUP($B34, IMPORTRANGE('Match Names'!$H$23, CONCAT(VLOOKUP($C34, 'Match Names'!$1:$22, 8, FALSE), ""!C3:R29"")), {5;11;17;23}, FALSE)), ""=4"")"),2.0)</f>
        <v>2</v>
      </c>
      <c r="F34" s="32">
        <f>IFERROR(__xludf.DUMMYFUNCTION("COUNTIF(ARRAYFORMULA(HLOOKUP($B34, IMPORTRANGE('Prelim Rankings Unsorted'!$B$40, CONCAT(VLOOKUP($C34, 'Match Names'!$A$1:$D$22, 2, FALSE), ""!C3:R29"")), {6;11;17;23}, FALSE)), ""=0"") + COUNTIF(ARRAYFORMULA(HLOOKUP($B34, IMPORTRANGE('Prelim Rankings Unso"&amp;"rted'!$B$41, CONCAT(VLOOKUP($C34, 'Match Names'!$A$1:$D$22, 3, FALSE), ""!C3:R29"")), {5;11;17;23}, FALSE)), ""=0"") + COUNTIF(ARRAYFORMULA(HLOOKUP($B34, IMPORTRANGE('Prelim Rankings Unsorted'!$B$42, CONCAT(VLOOKUP($C34, 'Match Names'!$A$1:$D$22, 4, FALSE"&amp;"), ""!C3:R29"")), {5;11;17;23}, FALSE)), ""=0"") + COUNTIF(ARRAYFORMULA(HLOOKUP($B34, IMPORTRANGE('Match Names'!$E$23, CONCAT(VLOOKUP($C34, 'Match Names'!$1:$22, 5, FALSE), ""!C3:R29"")), {6;11;16;21}, FALSE)), ""=0"") + COUNTIF(ARRAYFORMULA(HLOOKUP($B34,"&amp;" IMPORTRANGE('Match Names'!$F$23, CONCAT(VLOOKUP($C34, 'Match Names'!$1:$22, 6, FALSE), ""!C3:R29"")), {5;11;17;23}, FALSE)), ""=0"") + COUNTIF(ARRAYFORMULA(HLOOKUP($B34, IMPORTRANGE('Match Names'!$G$23, CONCAT(VLOOKUP($C34, 'Match Names'!$1:$22, 7, FALSE"&amp;"), ""!C3:R29"")), {5;10;14;22}, FALSE)), ""=0"") + COUNTIF(ARRAYFORMULA(HLOOKUP($B34, IMPORTRANGE('Match Names'!$H$23, CONCAT(VLOOKUP($C34, 'Match Names'!$1:$22, 8, FALSE), ""!C3:R29"")), {5;11;17;23}, FALSE)), ""=0"")"),1.0)</f>
        <v>1</v>
      </c>
      <c r="G34" s="32">
        <f>IFERROR(__xludf.DUMMYFUNCTION("COUNTIF(ARRAYFORMULA(HLOOKUP($B34, IMPORTRANGE('Prelim Rankings Unsorted'!$B$40, CONCAT(VLOOKUP($C34, 'Match Names'!$A$1:$D$22, 2, FALSE), ""!C3:R29"")), {6;11;17;23}, FALSE)), ""=-4"") + COUNTIF(ARRAYFORMULA(HLOOKUP($B34, IMPORTRANGE('Prelim Rankings Uns"&amp;"orted'!$B$41, CONCAT(VLOOKUP($C34, 'Match Names'!$A$1:$D$22, 3, FALSE), ""!C3:R29"")), {5;11;17;23}, FALSE)), ""=-4"") + COUNTIF(ARRAYFORMULA(HLOOKUP($B34, IMPORTRANGE('Prelim Rankings Unsorted'!$B$42, CONCAT(VLOOKUP($C34, 'Match Names'!$A$1:$D$22, 4, FAL"&amp;"SE), ""!C3:R29"")), {5;11;17;23}, FALSE)), ""=-4"") + COUNTIF(ARRAYFORMULA(HLOOKUP($B34, IMPORTRANGE('Match Names'!$E$23, CONCAT(VLOOKUP($C34, 'Match Names'!$1:$22, 5, FALSE), ""!C3:R29"")), {6;11;16;21}, FALSE)), ""=-4"") + COUNTIF(ARRAYFORMULA(HLOOKUP($"&amp;"B34, IMPORTRANGE('Match Names'!$F$23, CONCAT(VLOOKUP($C34, 'Match Names'!$1:$22, 6, FALSE), ""!C3:R29"")), {5;11;17;23}, FALSE)), ""=-4"") + COUNTIF(ARRAYFORMULA(HLOOKUP($B34, IMPORTRANGE('Match Names'!$G$23, CONCAT(VLOOKUP($C34, 'Match Names'!$1:$22, 7, "&amp;"FALSE), ""!C3:R29"")), {5;10;14;22}, FALSE)), ""=-4"") + COUNTIF(ARRAYFORMULA(HLOOKUP($B34, IMPORTRANGE('Match Names'!$H$23, CONCAT(VLOOKUP($C34, 'Match Names'!$1:$22, 8, FALSE), ""!C3:R29"")), {5;11;17;23}, FALSE)), ""=-4"")"),1.0)</f>
        <v>1</v>
      </c>
      <c r="H34" s="33">
        <f t="shared" si="2"/>
        <v>0.67</v>
      </c>
    </row>
    <row r="35">
      <c r="A35" s="31" t="s">
        <v>183</v>
      </c>
      <c r="B35" s="31" t="str">
        <f>VLOOKUP(CONCAT(A35, C35), 'Discord Username to Real Name'!C:D, 2, FALSE)</f>
        <v>Paradoxygen#5753</v>
      </c>
      <c r="C35" s="31" t="s">
        <v>20</v>
      </c>
      <c r="D35" s="32">
        <f>IFERROR(__xludf.DUMMYFUNCTION("(4 - COUNTIF(IFERROR(ARRAYFORMULA(HLOOKUP($B35, IMPORTRANGE('Prelim Rankings Unsorted'!$B$40, CONCAT(VLOOKUP($C35, 'Match Names'!$A$1:$D$22, 2, FALSE), ""!C3:R29"")), {6;11;17;23}, FALSE)), 'Player Overall Stats Unsorted'!$AA$9:$AA$12), ""=X"")) + (4 - CO"&amp;"UNTIF(IFERROR(ARRAYFORMULA(HLOOKUP($B35, IMPORTRANGE('Prelim Rankings Unsorted'!$B$41, CONCAT(VLOOKUP($C35, 'Match Names'!$A$1:$D$22, 3, FALSE), ""!C3:R29"")), {5;11;17;23}, FALSE)), 'Player Overall Stats Unsorted'!$AA$9:$AA$12), ""=X"")) + (4 - COUNTIF(I"&amp;"FERROR(ARRAYFORMULA(HLOOKUP($B35, IMPORTRANGE('Prelim Rankings Unsorted'!$B$42, CONCAT(VLOOKUP($C35, 'Match Names'!$A$1:$D$22, 4, FALSE), ""!C3:R29"")), {5;11;17;23}, FALSE)), 'Player Overall Stats Unsorted'!$AA$9:$AA$12), ""=X"")) + (4 - COUNTIF(IFERROR("&amp;"ARRAYFORMULA(HLOOKUP($B35, IMPORTRANGE('Match Names'!$E$23, CONCAT(VLOOKUP($C35, 'Match Names'!$1:$22, 5, FALSE), ""!C3:R29"")), {5;11;16;21}, FALSE)), 'Player Overall Stats Unsorted'!$AA$9:$AA$12), ""=X"")) + (4 - COUNTIF(IFERROR(ARRAYFORMULA(HLOOKUP($B3"&amp;"5, IMPORTRANGE('Match Names'!$F$23, CONCAT(VLOOKUP($C35, 'Match Names'!$1:$22, 6, FALSE), ""!C3:R29"")), {5;11;17;23}, FALSE)), 'Player Overall Stats Unsorted'!$AA$9:$AA$12), ""=X"")) + (4 - COUNTIF(IFERROR(ARRAYFORMULA(HLOOKUP($B35, IMPORTRANGE('Match Na"&amp;"mes'!$G$23, CONCAT(VLOOKUP($C35, 'Match Names'!$1:$22, 7, FALSE), ""!C3:R29"")), {5;10;14;23}, FALSE)), 'Player Overall Stats Unsorted'!$AA$9:$AA$12), ""=X"")) + (4 - COUNTIF(IFERROR(ARRAYFORMULA(HLOOKUP($B35, IMPORTRANGE('Match Names'!$H$23, CONCAT(VLOOK"&amp;"UP($C35, 'Match Names'!$1:$22, 8, FALSE), ""!C3:R29"")), {5;11;17;23}, FALSE)), 'Player Overall Stats Unsorted'!$AA$9:$AA$12), ""=X""))"),8.0)</f>
        <v>8</v>
      </c>
      <c r="E35" s="32">
        <f>IFERROR(__xludf.DUMMYFUNCTION("COUNTIF(ARRAYFORMULA(HLOOKUP($B35, IMPORTRANGE('Prelim Rankings Unsorted'!$B$40, CONCAT(VLOOKUP($C35, 'Match Names'!$A$1:$D$22, 2, FALSE), ""!C3:R29"")), {6;11;17;23}, FALSE)), ""=4"") + COUNTIF(ARRAYFORMULA(HLOOKUP($B35, IMPORTRANGE('Prelim Rankings Unso"&amp;"rted'!$B$41, CONCAT(VLOOKUP($C35, 'Match Names'!$A$1:$D$22, 3, FALSE), ""!C3:R29"")), {5;11;17;23}, FALSE)), ""=4"") + COUNTIF(ARRAYFORMULA(HLOOKUP($B35, IMPORTRANGE('Prelim Rankings Unsorted'!$B$42, CONCAT(VLOOKUP($C35, 'Match Names'!$A$1:$D$22, 4, FALSE"&amp;"), ""!C3:R29"")), {5;11;17;23}, FALSE)), ""=4"") + COUNTIF(ARRAYFORMULA(HLOOKUP($B35, IMPORTRANGE('Match Names'!$E$23, CONCAT(VLOOKUP($C35, 'Match Names'!$1:$22, 5, FALSE), ""!C3:R29"")), {6;11;16;21}, FALSE)), ""=4"") + COUNTIF(ARRAYFORMULA(HLOOKUP($B35,"&amp;" IMPORTRANGE('Match Names'!$F$23, CONCAT(VLOOKUP($C35, 'Match Names'!$1:$22, 6, FALSE), ""!C3:R29"")), {5;11;17;23}, FALSE)), ""=4"") + COUNTIF(ARRAYFORMULA(HLOOKUP($B35, IMPORTRANGE('Match Names'!$G$23, CONCAT(VLOOKUP($C35, 'Match Names'!$1:$22, 7, FALSE"&amp;"), ""!C3:R29"")), {5;10;14;22}, FALSE)), ""=4"") + COUNTIF(ARRAYFORMULA(HLOOKUP($B35, IMPORTRANGE('Match Names'!$H$23, CONCAT(VLOOKUP($C35, 'Match Names'!$1:$22, 8, FALSE), ""!C3:R29"")), {5;11;17;23}, FALSE)), ""=4"")"),0.0)</f>
        <v>0</v>
      </c>
      <c r="F35" s="32">
        <f>IFERROR(__xludf.DUMMYFUNCTION("COUNTIF(ARRAYFORMULA(HLOOKUP($B35, IMPORTRANGE('Prelim Rankings Unsorted'!$B$40, CONCAT(VLOOKUP($C35, 'Match Names'!$A$1:$D$22, 2, FALSE), ""!C3:R29"")), {6;11;17;23}, FALSE)), ""=0"") + COUNTIF(ARRAYFORMULA(HLOOKUP($B35, IMPORTRANGE('Prelim Rankings Unso"&amp;"rted'!$B$41, CONCAT(VLOOKUP($C35, 'Match Names'!$A$1:$D$22, 3, FALSE), ""!C3:R29"")), {5;11;17;23}, FALSE)), ""=0"") + COUNTIF(ARRAYFORMULA(HLOOKUP($B35, IMPORTRANGE('Prelim Rankings Unsorted'!$B$42, CONCAT(VLOOKUP($C35, 'Match Names'!$A$1:$D$22, 4, FALSE"&amp;"), ""!C3:R29"")), {5;11;17;23}, FALSE)), ""=0"") + COUNTIF(ARRAYFORMULA(HLOOKUP($B35, IMPORTRANGE('Match Names'!$E$23, CONCAT(VLOOKUP($C35, 'Match Names'!$1:$22, 5, FALSE), ""!C3:R29"")), {6;11;16;21}, FALSE)), ""=0"") + COUNTIF(ARRAYFORMULA(HLOOKUP($B35,"&amp;" IMPORTRANGE('Match Names'!$F$23, CONCAT(VLOOKUP($C35, 'Match Names'!$1:$22, 6, FALSE), ""!C3:R29"")), {5;11;17;23}, FALSE)), ""=0"") + COUNTIF(ARRAYFORMULA(HLOOKUP($B35, IMPORTRANGE('Match Names'!$G$23, CONCAT(VLOOKUP($C35, 'Match Names'!$1:$22, 7, FALSE"&amp;"), ""!C3:R29"")), {5;10;14;22}, FALSE)), ""=0"") + COUNTIF(ARRAYFORMULA(HLOOKUP($B35, IMPORTRANGE('Match Names'!$H$23, CONCAT(VLOOKUP($C35, 'Match Names'!$1:$22, 8, FALSE), ""!C3:R29"")), {5;11;17;23}, FALSE)), ""=0"")"),0.0)</f>
        <v>0</v>
      </c>
      <c r="G35" s="32">
        <f>IFERROR(__xludf.DUMMYFUNCTION("COUNTIF(ARRAYFORMULA(HLOOKUP($B35, IMPORTRANGE('Prelim Rankings Unsorted'!$B$40, CONCAT(VLOOKUP($C35, 'Match Names'!$A$1:$D$22, 2, FALSE), ""!C3:R29"")), {6;11;17;23}, FALSE)), ""=-4"") + COUNTIF(ARRAYFORMULA(HLOOKUP($B35, IMPORTRANGE('Prelim Rankings Uns"&amp;"orted'!$B$41, CONCAT(VLOOKUP($C35, 'Match Names'!$A$1:$D$22, 3, FALSE), ""!C3:R29"")), {5;11;17;23}, FALSE)), ""=-4"") + COUNTIF(ARRAYFORMULA(HLOOKUP($B35, IMPORTRANGE('Prelim Rankings Unsorted'!$B$42, CONCAT(VLOOKUP($C35, 'Match Names'!$A$1:$D$22, 4, FAL"&amp;"SE), ""!C3:R29"")), {5;11;17;23}, FALSE)), ""=-4"") + COUNTIF(ARRAYFORMULA(HLOOKUP($B35, IMPORTRANGE('Match Names'!$E$23, CONCAT(VLOOKUP($C35, 'Match Names'!$1:$22, 5, FALSE), ""!C3:R29"")), {6;11;16;21}, FALSE)), ""=-4"") + COUNTIF(ARRAYFORMULA(HLOOKUP($"&amp;"B35, IMPORTRANGE('Match Names'!$F$23, CONCAT(VLOOKUP($C35, 'Match Names'!$1:$22, 6, FALSE), ""!C3:R29"")), {5;11;17;23}, FALSE)), ""=-4"") + COUNTIF(ARRAYFORMULA(HLOOKUP($B35, IMPORTRANGE('Match Names'!$G$23, CONCAT(VLOOKUP($C35, 'Match Names'!$1:$22, 7, "&amp;"FALSE), ""!C3:R29"")), {5;10;14;22}, FALSE)), ""=-4"") + COUNTIF(ARRAYFORMULA(HLOOKUP($B35, IMPORTRANGE('Match Names'!$H$23, CONCAT(VLOOKUP($C35, 'Match Names'!$1:$22, 8, FALSE), ""!C3:R29"")), {5;11;17;23}, FALSE)), ""=-4"")"),0.0)</f>
        <v>0</v>
      </c>
      <c r="H35" s="33">
        <f t="shared" si="2"/>
        <v>0</v>
      </c>
    </row>
    <row r="36">
      <c r="A36" s="31" t="s">
        <v>126</v>
      </c>
      <c r="B36" s="31" t="str">
        <f>VLOOKUP(CONCAT(A36, C36), 'Discord Username to Real Name'!C:D, 2, FALSE)</f>
        <v>MR_67#1546</v>
      </c>
      <c r="C36" s="31" t="s">
        <v>20</v>
      </c>
      <c r="D36" s="32">
        <f>IFERROR(__xludf.DUMMYFUNCTION("(4 - COUNTIF(IFERROR(ARRAYFORMULA(HLOOKUP($B36, IMPORTRANGE('Prelim Rankings Unsorted'!$B$40, CONCAT(VLOOKUP($C36, 'Match Names'!$A$1:$D$22, 2, FALSE), ""!C3:R29"")), {6;11;17;23}, FALSE)), 'Player Overall Stats Unsorted'!$AA$9:$AA$12), ""=X"")) + (4 - CO"&amp;"UNTIF(IFERROR(ARRAYFORMULA(HLOOKUP($B36, IMPORTRANGE('Prelim Rankings Unsorted'!$B$41, CONCAT(VLOOKUP($C36, 'Match Names'!$A$1:$D$22, 3, FALSE), ""!C3:R29"")), {5;11;17;23}, FALSE)), 'Player Overall Stats Unsorted'!$AA$9:$AA$12), ""=X"")) + (4 - COUNTIF(I"&amp;"FERROR(ARRAYFORMULA(HLOOKUP($B36, IMPORTRANGE('Prelim Rankings Unsorted'!$B$42, CONCAT(VLOOKUP($C36, 'Match Names'!$A$1:$D$22, 4, FALSE), ""!C3:R29"")), {5;11;17;23}, FALSE)), 'Player Overall Stats Unsorted'!$AA$9:$AA$12), ""=X"")) + (4 - COUNTIF(IFERROR("&amp;"ARRAYFORMULA(HLOOKUP($B36, IMPORTRANGE('Match Names'!$E$23, CONCAT(VLOOKUP($C36, 'Match Names'!$1:$22, 5, FALSE), ""!C3:R29"")), {5;11;16;21}, FALSE)), 'Player Overall Stats Unsorted'!$AA$9:$AA$12), ""=X"")) + (4 - COUNTIF(IFERROR(ARRAYFORMULA(HLOOKUP($B3"&amp;"6, IMPORTRANGE('Match Names'!$F$23, CONCAT(VLOOKUP($C36, 'Match Names'!$1:$22, 6, FALSE), ""!C3:R29"")), {5;11;17;23}, FALSE)), 'Player Overall Stats Unsorted'!$AA$9:$AA$12), ""=X"")) + (4 - COUNTIF(IFERROR(ARRAYFORMULA(HLOOKUP($B36, IMPORTRANGE('Match Na"&amp;"mes'!$G$23, CONCAT(VLOOKUP($C36, 'Match Names'!$1:$22, 7, FALSE), ""!C3:R29"")), {5;10;14;23}, FALSE)), 'Player Overall Stats Unsorted'!$AA$9:$AA$12), ""=X"")) + (4 - COUNTIF(IFERROR(ARRAYFORMULA(HLOOKUP($B36, IMPORTRANGE('Match Names'!$H$23, CONCAT(VLOOK"&amp;"UP($C36, 'Match Names'!$1:$22, 8, FALSE), ""!C3:R29"")), {5;11;17;23}, FALSE)), 'Player Overall Stats Unsorted'!$AA$9:$AA$12), ""=X""))"),20.0)</f>
        <v>20</v>
      </c>
      <c r="E36" s="32">
        <f>IFERROR(__xludf.DUMMYFUNCTION("COUNTIF(ARRAYFORMULA(HLOOKUP($B36, IMPORTRANGE('Prelim Rankings Unsorted'!$B$40, CONCAT(VLOOKUP($C36, 'Match Names'!$A$1:$D$22, 2, FALSE), ""!C3:R29"")), {6;11;17;23}, FALSE)), ""=4"") + COUNTIF(ARRAYFORMULA(HLOOKUP($B36, IMPORTRANGE('Prelim Rankings Unso"&amp;"rted'!$B$41, CONCAT(VLOOKUP($C36, 'Match Names'!$A$1:$D$22, 3, FALSE), ""!C3:R29"")), {5;11;17;23}, FALSE)), ""=4"") + COUNTIF(ARRAYFORMULA(HLOOKUP($B36, IMPORTRANGE('Prelim Rankings Unsorted'!$B$42, CONCAT(VLOOKUP($C36, 'Match Names'!$A$1:$D$22, 4, FALSE"&amp;"), ""!C3:R29"")), {5;11;17;23}, FALSE)), ""=4"") + COUNTIF(ARRAYFORMULA(HLOOKUP($B36, IMPORTRANGE('Match Names'!$E$23, CONCAT(VLOOKUP($C36, 'Match Names'!$1:$22, 5, FALSE), ""!C3:R29"")), {6;11;16;21}, FALSE)), ""=4"") + COUNTIF(ARRAYFORMULA(HLOOKUP($B36,"&amp;" IMPORTRANGE('Match Names'!$F$23, CONCAT(VLOOKUP($C36, 'Match Names'!$1:$22, 6, FALSE), ""!C3:R29"")), {5;11;17;23}, FALSE)), ""=4"") + COUNTIF(ARRAYFORMULA(HLOOKUP($B36, IMPORTRANGE('Match Names'!$G$23, CONCAT(VLOOKUP($C36, 'Match Names'!$1:$22, 7, FALSE"&amp;"), ""!C3:R29"")), {5;10;14;22}, FALSE)), ""=4"") + COUNTIF(ARRAYFORMULA(HLOOKUP($B36, IMPORTRANGE('Match Names'!$H$23, CONCAT(VLOOKUP($C36, 'Match Names'!$1:$22, 8, FALSE), ""!C3:R29"")), {5;11;17;23}, FALSE)), ""=4"")"),7.0)</f>
        <v>7</v>
      </c>
      <c r="F36" s="32">
        <f>IFERROR(__xludf.DUMMYFUNCTION("COUNTIF(ARRAYFORMULA(HLOOKUP($B36, IMPORTRANGE('Prelim Rankings Unsorted'!$B$40, CONCAT(VLOOKUP($C36, 'Match Names'!$A$1:$D$22, 2, FALSE), ""!C3:R29"")), {6;11;17;23}, FALSE)), ""=0"") + COUNTIF(ARRAYFORMULA(HLOOKUP($B36, IMPORTRANGE('Prelim Rankings Unso"&amp;"rted'!$B$41, CONCAT(VLOOKUP($C36, 'Match Names'!$A$1:$D$22, 3, FALSE), ""!C3:R29"")), {5;11;17;23}, FALSE)), ""=0"") + COUNTIF(ARRAYFORMULA(HLOOKUP($B36, IMPORTRANGE('Prelim Rankings Unsorted'!$B$42, CONCAT(VLOOKUP($C36, 'Match Names'!$A$1:$D$22, 4, FALSE"&amp;"), ""!C3:R29"")), {5;11;17;23}, FALSE)), ""=0"") + COUNTIF(ARRAYFORMULA(HLOOKUP($B36, IMPORTRANGE('Match Names'!$E$23, CONCAT(VLOOKUP($C36, 'Match Names'!$1:$22, 5, FALSE), ""!C3:R29"")), {6;11;16;21}, FALSE)), ""=0"") + COUNTIF(ARRAYFORMULA(HLOOKUP($B36,"&amp;" IMPORTRANGE('Match Names'!$F$23, CONCAT(VLOOKUP($C36, 'Match Names'!$1:$22, 6, FALSE), ""!C3:R29"")), {5;11;17;23}, FALSE)), ""=0"") + COUNTIF(ARRAYFORMULA(HLOOKUP($B36, IMPORTRANGE('Match Names'!$G$23, CONCAT(VLOOKUP($C36, 'Match Names'!$1:$22, 7, FALSE"&amp;"), ""!C3:R29"")), {5;10;14;22}, FALSE)), ""=0"") + COUNTIF(ARRAYFORMULA(HLOOKUP($B36, IMPORTRANGE('Match Names'!$H$23, CONCAT(VLOOKUP($C36, 'Match Names'!$1:$22, 8, FALSE), ""!C3:R29"")), {5;11;17;23}, FALSE)), ""=0"")"),1.0)</f>
        <v>1</v>
      </c>
      <c r="G36" s="32">
        <f>IFERROR(__xludf.DUMMYFUNCTION("COUNTIF(ARRAYFORMULA(HLOOKUP($B36, IMPORTRANGE('Prelim Rankings Unsorted'!$B$40, CONCAT(VLOOKUP($C36, 'Match Names'!$A$1:$D$22, 2, FALSE), ""!C3:R29"")), {6;11;17;23}, FALSE)), ""=-4"") + COUNTIF(ARRAYFORMULA(HLOOKUP($B36, IMPORTRANGE('Prelim Rankings Uns"&amp;"orted'!$B$41, CONCAT(VLOOKUP($C36, 'Match Names'!$A$1:$D$22, 3, FALSE), ""!C3:R29"")), {5;11;17;23}, FALSE)), ""=-4"") + COUNTIF(ARRAYFORMULA(HLOOKUP($B36, IMPORTRANGE('Prelim Rankings Unsorted'!$B$42, CONCAT(VLOOKUP($C36, 'Match Names'!$A$1:$D$22, 4, FAL"&amp;"SE), ""!C3:R29"")), {5;11;17;23}, FALSE)), ""=-4"") + COUNTIF(ARRAYFORMULA(HLOOKUP($B36, IMPORTRANGE('Match Names'!$E$23, CONCAT(VLOOKUP($C36, 'Match Names'!$1:$22, 5, FALSE), ""!C3:R29"")), {6;11;16;21}, FALSE)), ""=-4"") + COUNTIF(ARRAYFORMULA(HLOOKUP($"&amp;"B36, IMPORTRANGE('Match Names'!$F$23, CONCAT(VLOOKUP($C36, 'Match Names'!$1:$22, 6, FALSE), ""!C3:R29"")), {5;11;17;23}, FALSE)), ""=-4"") + COUNTIF(ARRAYFORMULA(HLOOKUP($B36, IMPORTRANGE('Match Names'!$G$23, CONCAT(VLOOKUP($C36, 'Match Names'!$1:$22, 7, "&amp;"FALSE), ""!C3:R29"")), {5;10;14;22}, FALSE)), ""=-4"") + COUNTIF(ARRAYFORMULA(HLOOKUP($B36, IMPORTRANGE('Match Names'!$H$23, CONCAT(VLOOKUP($C36, 'Match Names'!$1:$22, 8, FALSE), ""!C3:R29"")), {5;11;17;23}, FALSE)), ""=-4"")"),0.0)</f>
        <v>0</v>
      </c>
      <c r="H36" s="33">
        <f t="shared" si="2"/>
        <v>5.6</v>
      </c>
    </row>
    <row r="37">
      <c r="A37" s="31" t="s">
        <v>115</v>
      </c>
      <c r="B37" s="31" t="str">
        <f>VLOOKUP(CONCAT(A37, C37), 'Discord Username to Real Name'!C:D, 2, FALSE)</f>
        <v>choiboi#3455</v>
      </c>
      <c r="C37" s="31" t="s">
        <v>20</v>
      </c>
      <c r="D37" s="32">
        <f>IFERROR(__xludf.DUMMYFUNCTION("(4 - COUNTIF(IFERROR(ARRAYFORMULA(HLOOKUP($B37, IMPORTRANGE('Prelim Rankings Unsorted'!$B$40, CONCAT(VLOOKUP($C37, 'Match Names'!$A$1:$D$22, 2, FALSE), ""!C3:R29"")), {6;11;17;23}, FALSE)), 'Player Overall Stats Unsorted'!$AA$9:$AA$12), ""=X"")) + (4 - CO"&amp;"UNTIF(IFERROR(ARRAYFORMULA(HLOOKUP($B37, IMPORTRANGE('Prelim Rankings Unsorted'!$B$41, CONCAT(VLOOKUP($C37, 'Match Names'!$A$1:$D$22, 3, FALSE), ""!C3:R29"")), {5;11;17;23}, FALSE)), 'Player Overall Stats Unsorted'!$AA$9:$AA$12), ""=X"")) + (4 - COUNTIF(I"&amp;"FERROR(ARRAYFORMULA(HLOOKUP($B37, IMPORTRANGE('Prelim Rankings Unsorted'!$B$42, CONCAT(VLOOKUP($C37, 'Match Names'!$A$1:$D$22, 4, FALSE), ""!C3:R29"")), {5;11;17;23}, FALSE)), 'Player Overall Stats Unsorted'!$AA$9:$AA$12), ""=X"")) + (4 - COUNTIF(IFERROR("&amp;"ARRAYFORMULA(HLOOKUP($B37, IMPORTRANGE('Match Names'!$E$23, CONCAT(VLOOKUP($C37, 'Match Names'!$1:$22, 5, FALSE), ""!C3:R29"")), {5;11;16;21}, FALSE)), 'Player Overall Stats Unsorted'!$AA$9:$AA$12), ""=X"")) + (4 - COUNTIF(IFERROR(ARRAYFORMULA(HLOOKUP($B3"&amp;"7, IMPORTRANGE('Match Names'!$F$23, CONCAT(VLOOKUP($C37, 'Match Names'!$1:$22, 6, FALSE), ""!C3:R29"")), {5;11;17;23}, FALSE)), 'Player Overall Stats Unsorted'!$AA$9:$AA$12), ""=X"")) + (4 - COUNTIF(IFERROR(ARRAYFORMULA(HLOOKUP($B37, IMPORTRANGE('Match Na"&amp;"mes'!$G$23, CONCAT(VLOOKUP($C37, 'Match Names'!$1:$22, 7, FALSE), ""!C3:R29"")), {5;10;14;23}, FALSE)), 'Player Overall Stats Unsorted'!$AA$9:$AA$12), ""=X"")) + (4 - COUNTIF(IFERROR(ARRAYFORMULA(HLOOKUP($B37, IMPORTRANGE('Match Names'!$H$23, CONCAT(VLOOK"&amp;"UP($C37, 'Match Names'!$1:$22, 8, FALSE), ""!C3:R29"")), {5;11;17;23}, FALSE)), 'Player Overall Stats Unsorted'!$AA$9:$AA$12), ""=X""))"),16.0)</f>
        <v>16</v>
      </c>
      <c r="E37" s="32">
        <f>IFERROR(__xludf.DUMMYFUNCTION("COUNTIF(ARRAYFORMULA(HLOOKUP($B37, IMPORTRANGE('Prelim Rankings Unsorted'!$B$40, CONCAT(VLOOKUP($C37, 'Match Names'!$A$1:$D$22, 2, FALSE), ""!C3:R29"")), {6;11;17;23}, FALSE)), ""=4"") + COUNTIF(ARRAYFORMULA(HLOOKUP($B37, IMPORTRANGE('Prelim Rankings Unso"&amp;"rted'!$B$41, CONCAT(VLOOKUP($C37, 'Match Names'!$A$1:$D$22, 3, FALSE), ""!C3:R29"")), {5;11;17;23}, FALSE)), ""=4"") + COUNTIF(ARRAYFORMULA(HLOOKUP($B37, IMPORTRANGE('Prelim Rankings Unsorted'!$B$42, CONCAT(VLOOKUP($C37, 'Match Names'!$A$1:$D$22, 4, FALSE"&amp;"), ""!C3:R29"")), {5;11;17;23}, FALSE)), ""=4"") + COUNTIF(ARRAYFORMULA(HLOOKUP($B37, IMPORTRANGE('Match Names'!$E$23, CONCAT(VLOOKUP($C37, 'Match Names'!$1:$22, 5, FALSE), ""!C3:R29"")), {6;11;16;21}, FALSE)), ""=4"") + COUNTIF(ARRAYFORMULA(HLOOKUP($B37,"&amp;" IMPORTRANGE('Match Names'!$F$23, CONCAT(VLOOKUP($C37, 'Match Names'!$1:$22, 6, FALSE), ""!C3:R29"")), {5;11;17;23}, FALSE)), ""=4"") + COUNTIF(ARRAYFORMULA(HLOOKUP($B37, IMPORTRANGE('Match Names'!$G$23, CONCAT(VLOOKUP($C37, 'Match Names'!$1:$22, 7, FALSE"&amp;"), ""!C3:R29"")), {5;10;14;22}, FALSE)), ""=4"") + COUNTIF(ARRAYFORMULA(HLOOKUP($B37, IMPORTRANGE('Match Names'!$H$23, CONCAT(VLOOKUP($C37, 'Match Names'!$1:$22, 8, FALSE), ""!C3:R29"")), {5;11;17;23}, FALSE)), ""=4"")"),0.0)</f>
        <v>0</v>
      </c>
      <c r="F37" s="32">
        <f>IFERROR(__xludf.DUMMYFUNCTION("COUNTIF(ARRAYFORMULA(HLOOKUP($B37, IMPORTRANGE('Prelim Rankings Unsorted'!$B$40, CONCAT(VLOOKUP($C37, 'Match Names'!$A$1:$D$22, 2, FALSE), ""!C3:R29"")), {6;11;17;23}, FALSE)), ""=0"") + COUNTIF(ARRAYFORMULA(HLOOKUP($B37, IMPORTRANGE('Prelim Rankings Unso"&amp;"rted'!$B$41, CONCAT(VLOOKUP($C37, 'Match Names'!$A$1:$D$22, 3, FALSE), ""!C3:R29"")), {5;11;17;23}, FALSE)), ""=0"") + COUNTIF(ARRAYFORMULA(HLOOKUP($B37, IMPORTRANGE('Prelim Rankings Unsorted'!$B$42, CONCAT(VLOOKUP($C37, 'Match Names'!$A$1:$D$22, 4, FALSE"&amp;"), ""!C3:R29"")), {5;11;17;23}, FALSE)), ""=0"") + COUNTIF(ARRAYFORMULA(HLOOKUP($B37, IMPORTRANGE('Match Names'!$E$23, CONCAT(VLOOKUP($C37, 'Match Names'!$1:$22, 5, FALSE), ""!C3:R29"")), {6;11;16;21}, FALSE)), ""=0"") + COUNTIF(ARRAYFORMULA(HLOOKUP($B37,"&amp;" IMPORTRANGE('Match Names'!$F$23, CONCAT(VLOOKUP($C37, 'Match Names'!$1:$22, 6, FALSE), ""!C3:R29"")), {5;11;17;23}, FALSE)), ""=0"") + COUNTIF(ARRAYFORMULA(HLOOKUP($B37, IMPORTRANGE('Match Names'!$G$23, CONCAT(VLOOKUP($C37, 'Match Names'!$1:$22, 7, FALSE"&amp;"), ""!C3:R29"")), {5;10;14;22}, FALSE)), ""=0"") + COUNTIF(ARRAYFORMULA(HLOOKUP($B37, IMPORTRANGE('Match Names'!$H$23, CONCAT(VLOOKUP($C37, 'Match Names'!$1:$22, 8, FALSE), ""!C3:R29"")), {5;11;17;23}, FALSE)), ""=0"")"),0.0)</f>
        <v>0</v>
      </c>
      <c r="G37" s="32">
        <f>IFERROR(__xludf.DUMMYFUNCTION("COUNTIF(ARRAYFORMULA(HLOOKUP($B37, IMPORTRANGE('Prelim Rankings Unsorted'!$B$40, CONCAT(VLOOKUP($C37, 'Match Names'!$A$1:$D$22, 2, FALSE), ""!C3:R29"")), {6;11;17;23}, FALSE)), ""=-4"") + COUNTIF(ARRAYFORMULA(HLOOKUP($B37, IMPORTRANGE('Prelim Rankings Uns"&amp;"orted'!$B$41, CONCAT(VLOOKUP($C37, 'Match Names'!$A$1:$D$22, 3, FALSE), ""!C3:R29"")), {5;11;17;23}, FALSE)), ""=-4"") + COUNTIF(ARRAYFORMULA(HLOOKUP($B37, IMPORTRANGE('Prelim Rankings Unsorted'!$B$42, CONCAT(VLOOKUP($C37, 'Match Names'!$A$1:$D$22, 4, FAL"&amp;"SE), ""!C3:R29"")), {5;11;17;23}, FALSE)), ""=-4"") + COUNTIF(ARRAYFORMULA(HLOOKUP($B37, IMPORTRANGE('Match Names'!$E$23, CONCAT(VLOOKUP($C37, 'Match Names'!$1:$22, 5, FALSE), ""!C3:R29"")), {6;11;16;21}, FALSE)), ""=-4"") + COUNTIF(ARRAYFORMULA(HLOOKUP($"&amp;"B37, IMPORTRANGE('Match Names'!$F$23, CONCAT(VLOOKUP($C37, 'Match Names'!$1:$22, 6, FALSE), ""!C3:R29"")), {5;11;17;23}, FALSE)), ""=-4"") + COUNTIF(ARRAYFORMULA(HLOOKUP($B37, IMPORTRANGE('Match Names'!$G$23, CONCAT(VLOOKUP($C37, 'Match Names'!$1:$22, 7, "&amp;"FALSE), ""!C3:R29"")), {5;10;14;22}, FALSE)), ""=-4"") + COUNTIF(ARRAYFORMULA(HLOOKUP($B37, IMPORTRANGE('Match Names'!$H$23, CONCAT(VLOOKUP($C37, 'Match Names'!$1:$22, 8, FALSE), ""!C3:R29"")), {5;11;17;23}, FALSE)), ""=-4"")"),0.0)</f>
        <v>0</v>
      </c>
      <c r="H37" s="33">
        <f t="shared" si="2"/>
        <v>0</v>
      </c>
    </row>
    <row r="38">
      <c r="A38" s="31" t="s">
        <v>58</v>
      </c>
      <c r="B38" s="31" t="str">
        <f>VLOOKUP(CONCAT(A38, C38), 'Discord Username to Real Name'!C:D, 2, FALSE)</f>
        <v>nshapiro#4660</v>
      </c>
      <c r="C38" s="31" t="s">
        <v>16</v>
      </c>
      <c r="D38" s="32">
        <f>IFERROR(__xludf.DUMMYFUNCTION("(4 - COUNTIF(IFERROR(ARRAYFORMULA(HLOOKUP($B38, IMPORTRANGE('Prelim Rankings Unsorted'!$B$40, CONCAT(VLOOKUP($C38, 'Match Names'!$A$1:$D$22, 2, FALSE), ""!C3:R29"")), {6;11;17;23}, FALSE)), 'Player Overall Stats Unsorted'!$AA$9:$AA$12), ""=X"")) + (4 - CO"&amp;"UNTIF(IFERROR(ARRAYFORMULA(HLOOKUP($B38, IMPORTRANGE('Prelim Rankings Unsorted'!$B$41, CONCAT(VLOOKUP($C38, 'Match Names'!$A$1:$D$22, 3, FALSE), ""!C3:R29"")), {5;11;17;23}, FALSE)), 'Player Overall Stats Unsorted'!$AA$9:$AA$12), ""=X"")) + (4 - COUNTIF(I"&amp;"FERROR(ARRAYFORMULA(HLOOKUP($B38, IMPORTRANGE('Prelim Rankings Unsorted'!$B$42, CONCAT(VLOOKUP($C38, 'Match Names'!$A$1:$D$22, 4, FALSE), ""!C3:R29"")), {5;11;17;23}, FALSE)), 'Player Overall Stats Unsorted'!$AA$9:$AA$12), ""=X"")) + (4 - COUNTIF(IFERROR("&amp;"ARRAYFORMULA(HLOOKUP($B38, IMPORTRANGE('Match Names'!$E$23, CONCAT(VLOOKUP($C38, 'Match Names'!$1:$22, 5, FALSE), ""!C3:R29"")), {5;11;16;21}, FALSE)), 'Player Overall Stats Unsorted'!$AA$9:$AA$12), ""=X"")) + (4 - COUNTIF(IFERROR(ARRAYFORMULA(HLOOKUP($B3"&amp;"8, IMPORTRANGE('Match Names'!$F$23, CONCAT(VLOOKUP($C38, 'Match Names'!$1:$22, 6, FALSE), ""!C3:R29"")), {5;11;17;23}, FALSE)), 'Player Overall Stats Unsorted'!$AA$9:$AA$12), ""=X"")) + (4 - COUNTIF(IFERROR(ARRAYFORMULA(HLOOKUP($B38, IMPORTRANGE('Match Na"&amp;"mes'!$G$23, CONCAT(VLOOKUP($C38, 'Match Names'!$1:$22, 7, FALSE), ""!C3:R29"")), {5;10;14;23}, FALSE)), 'Player Overall Stats Unsorted'!$AA$9:$AA$12), ""=X"")) + (4 - COUNTIF(IFERROR(ARRAYFORMULA(HLOOKUP($B38, IMPORTRANGE('Match Names'!$H$23, CONCAT(VLOOK"&amp;"UP($C38, 'Match Names'!$1:$22, 8, FALSE), ""!C3:R29"")), {5;11;17;23}, FALSE)), 'Player Overall Stats Unsorted'!$AA$9:$AA$12), ""=X""))"),16.0)</f>
        <v>16</v>
      </c>
      <c r="E38" s="32">
        <f>IFERROR(__xludf.DUMMYFUNCTION("COUNTIF(ARRAYFORMULA(HLOOKUP($B38, IMPORTRANGE('Prelim Rankings Unsorted'!$B$40, CONCAT(VLOOKUP($C38, 'Match Names'!$A$1:$D$22, 2, FALSE), ""!C3:R29"")), {6;11;17;23}, FALSE)), ""=4"") + COUNTIF(ARRAYFORMULA(HLOOKUP($B38, IMPORTRANGE('Prelim Rankings Unso"&amp;"rted'!$B$41, CONCAT(VLOOKUP($C38, 'Match Names'!$A$1:$D$22, 3, FALSE), ""!C3:R29"")), {5;11;17;23}, FALSE)), ""=4"") + COUNTIF(ARRAYFORMULA(HLOOKUP($B38, IMPORTRANGE('Prelim Rankings Unsorted'!$B$42, CONCAT(VLOOKUP($C38, 'Match Names'!$A$1:$D$22, 4, FALSE"&amp;"), ""!C3:R29"")), {5;11;17;23}, FALSE)), ""=4"") + COUNTIF(ARRAYFORMULA(HLOOKUP($B38, IMPORTRANGE('Match Names'!$E$23, CONCAT(VLOOKUP($C38, 'Match Names'!$1:$22, 5, FALSE), ""!C3:R29"")), {6;11;16;21}, FALSE)), ""=4"") + COUNTIF(ARRAYFORMULA(HLOOKUP($B38,"&amp;" IMPORTRANGE('Match Names'!$F$23, CONCAT(VLOOKUP($C38, 'Match Names'!$1:$22, 6, FALSE), ""!C3:R29"")), {5;11;17;23}, FALSE)), ""=4"") + COUNTIF(ARRAYFORMULA(HLOOKUP($B38, IMPORTRANGE('Match Names'!$G$23, CONCAT(VLOOKUP($C38, 'Match Names'!$1:$22, 7, FALSE"&amp;"), ""!C3:R29"")), {5;10;14;22}, FALSE)), ""=4"") + COUNTIF(ARRAYFORMULA(HLOOKUP($B38, IMPORTRANGE('Match Names'!$H$23, CONCAT(VLOOKUP($C38, 'Match Names'!$1:$22, 8, FALSE), ""!C3:R29"")), {5;11;17;23}, FALSE)), ""=4"")"),5.0)</f>
        <v>5</v>
      </c>
      <c r="F38" s="32">
        <f>IFERROR(__xludf.DUMMYFUNCTION("COUNTIF(ARRAYFORMULA(HLOOKUP($B38, IMPORTRANGE('Prelim Rankings Unsorted'!$B$40, CONCAT(VLOOKUP($C38, 'Match Names'!$A$1:$D$22, 2, FALSE), ""!C3:R29"")), {6;11;17;23}, FALSE)), ""=0"") + COUNTIF(ARRAYFORMULA(HLOOKUP($B38, IMPORTRANGE('Prelim Rankings Unso"&amp;"rted'!$B$41, CONCAT(VLOOKUP($C38, 'Match Names'!$A$1:$D$22, 3, FALSE), ""!C3:R29"")), {5;11;17;23}, FALSE)), ""=0"") + COUNTIF(ARRAYFORMULA(HLOOKUP($B38, IMPORTRANGE('Prelim Rankings Unsorted'!$B$42, CONCAT(VLOOKUP($C38, 'Match Names'!$A$1:$D$22, 4, FALSE"&amp;"), ""!C3:R29"")), {5;11;17;23}, FALSE)), ""=0"") + COUNTIF(ARRAYFORMULA(HLOOKUP($B38, IMPORTRANGE('Match Names'!$E$23, CONCAT(VLOOKUP($C38, 'Match Names'!$1:$22, 5, FALSE), ""!C3:R29"")), {6;11;16;21}, FALSE)), ""=0"") + COUNTIF(ARRAYFORMULA(HLOOKUP($B38,"&amp;" IMPORTRANGE('Match Names'!$F$23, CONCAT(VLOOKUP($C38, 'Match Names'!$1:$22, 6, FALSE), ""!C3:R29"")), {5;11;17;23}, FALSE)), ""=0"") + COUNTIF(ARRAYFORMULA(HLOOKUP($B38, IMPORTRANGE('Match Names'!$G$23, CONCAT(VLOOKUP($C38, 'Match Names'!$1:$22, 7, FALSE"&amp;"), ""!C3:R29"")), {5;10;14;22}, FALSE)), ""=0"") + COUNTIF(ARRAYFORMULA(HLOOKUP($B38, IMPORTRANGE('Match Names'!$H$23, CONCAT(VLOOKUP($C38, 'Match Names'!$1:$22, 8, FALSE), ""!C3:R29"")), {5;11;17;23}, FALSE)), ""=0"")"),5.0)</f>
        <v>5</v>
      </c>
      <c r="G38" s="32">
        <f>IFERROR(__xludf.DUMMYFUNCTION("COUNTIF(ARRAYFORMULA(HLOOKUP($B38, IMPORTRANGE('Prelim Rankings Unsorted'!$B$40, CONCAT(VLOOKUP($C38, 'Match Names'!$A$1:$D$22, 2, FALSE), ""!C3:R29"")), {6;11;17;23}, FALSE)), ""=-4"") + COUNTIF(ARRAYFORMULA(HLOOKUP($B38, IMPORTRANGE('Prelim Rankings Uns"&amp;"orted'!$B$41, CONCAT(VLOOKUP($C38, 'Match Names'!$A$1:$D$22, 3, FALSE), ""!C3:R29"")), {5;11;17;23}, FALSE)), ""=-4"") + COUNTIF(ARRAYFORMULA(HLOOKUP($B38, IMPORTRANGE('Prelim Rankings Unsorted'!$B$42, CONCAT(VLOOKUP($C38, 'Match Names'!$A$1:$D$22, 4, FAL"&amp;"SE), ""!C3:R29"")), {5;11;17;23}, FALSE)), ""=-4"") + COUNTIF(ARRAYFORMULA(HLOOKUP($B38, IMPORTRANGE('Match Names'!$E$23, CONCAT(VLOOKUP($C38, 'Match Names'!$1:$22, 5, FALSE), ""!C3:R29"")), {6;11;16;21}, FALSE)), ""=-4"") + COUNTIF(ARRAYFORMULA(HLOOKUP($"&amp;"B38, IMPORTRANGE('Match Names'!$F$23, CONCAT(VLOOKUP($C38, 'Match Names'!$1:$22, 6, FALSE), ""!C3:R29"")), {5;11;17;23}, FALSE)), ""=-4"") + COUNTIF(ARRAYFORMULA(HLOOKUP($B38, IMPORTRANGE('Match Names'!$G$23, CONCAT(VLOOKUP($C38, 'Match Names'!$1:$22, 7, "&amp;"FALSE), ""!C3:R29"")), {5;10;14;22}, FALSE)), ""=-4"") + COUNTIF(ARRAYFORMULA(HLOOKUP($B38, IMPORTRANGE('Match Names'!$H$23, CONCAT(VLOOKUP($C38, 'Match Names'!$1:$22, 8, FALSE), ""!C3:R29"")), {5;11;17;23}, FALSE)), ""=-4"")"),0.0)</f>
        <v>0</v>
      </c>
      <c r="H38" s="33">
        <f t="shared" si="2"/>
        <v>5</v>
      </c>
    </row>
    <row r="39">
      <c r="A39" s="31" t="s">
        <v>86</v>
      </c>
      <c r="B39" s="31" t="str">
        <f>VLOOKUP(CONCAT(A39, C39), 'Discord Username to Real Name'!C:D, 2, FALSE)</f>
        <v>Henryb#9686</v>
      </c>
      <c r="C39" s="31" t="s">
        <v>16</v>
      </c>
      <c r="D39" s="32">
        <f>IFERROR(__xludf.DUMMYFUNCTION("(4 - COUNTIF(IFERROR(ARRAYFORMULA(HLOOKUP($B39, IMPORTRANGE('Prelim Rankings Unsorted'!$B$40, CONCAT(VLOOKUP($C39, 'Match Names'!$A$1:$D$22, 2, FALSE), ""!C3:R29"")), {6;11;17;23}, FALSE)), 'Player Overall Stats Unsorted'!$AA$9:$AA$12), ""=X"")) + (4 - CO"&amp;"UNTIF(IFERROR(ARRAYFORMULA(HLOOKUP($B39, IMPORTRANGE('Prelim Rankings Unsorted'!$B$41, CONCAT(VLOOKUP($C39, 'Match Names'!$A$1:$D$22, 3, FALSE), ""!C3:R29"")), {5;11;17;23}, FALSE)), 'Player Overall Stats Unsorted'!$AA$9:$AA$12), ""=X"")) + (4 - COUNTIF(I"&amp;"FERROR(ARRAYFORMULA(HLOOKUP($B39, IMPORTRANGE('Prelim Rankings Unsorted'!$B$42, CONCAT(VLOOKUP($C39, 'Match Names'!$A$1:$D$22, 4, FALSE), ""!C3:R29"")), {5;11;17;23}, FALSE)), 'Player Overall Stats Unsorted'!$AA$9:$AA$12), ""=X"")) + (4 - COUNTIF(IFERROR("&amp;"ARRAYFORMULA(HLOOKUP($B39, IMPORTRANGE('Match Names'!$E$23, CONCAT(VLOOKUP($C39, 'Match Names'!$1:$22, 5, FALSE), ""!C3:R29"")), {5;11;16;21}, FALSE)), 'Player Overall Stats Unsorted'!$AA$9:$AA$12), ""=X"")) + (4 - COUNTIF(IFERROR(ARRAYFORMULA(HLOOKUP($B3"&amp;"9, IMPORTRANGE('Match Names'!$F$23, CONCAT(VLOOKUP($C39, 'Match Names'!$1:$22, 6, FALSE), ""!C3:R29"")), {5;11;17;23}, FALSE)), 'Player Overall Stats Unsorted'!$AA$9:$AA$12), ""=X"")) + (4 - COUNTIF(IFERROR(ARRAYFORMULA(HLOOKUP($B39, IMPORTRANGE('Match Na"&amp;"mes'!$G$23, CONCAT(VLOOKUP($C39, 'Match Names'!$1:$22, 7, FALSE), ""!C3:R29"")), {5;10;14;23}, FALSE)), 'Player Overall Stats Unsorted'!$AA$9:$AA$12), ""=X"")) + (4 - COUNTIF(IFERROR(ARRAYFORMULA(HLOOKUP($B39, IMPORTRANGE('Match Names'!$H$23, CONCAT(VLOOK"&amp;"UP($C39, 'Match Names'!$1:$22, 8, FALSE), ""!C3:R29"")), {5;11;17;23}, FALSE)), 'Player Overall Stats Unsorted'!$AA$9:$AA$12), ""=X""))"),20.0)</f>
        <v>20</v>
      </c>
      <c r="E39" s="32">
        <f>IFERROR(__xludf.DUMMYFUNCTION("COUNTIF(ARRAYFORMULA(HLOOKUP($B39, IMPORTRANGE('Prelim Rankings Unsorted'!$B$40, CONCAT(VLOOKUP($C39, 'Match Names'!$A$1:$D$22, 2, FALSE), ""!C3:R29"")), {6;11;17;23}, FALSE)), ""=4"") + COUNTIF(ARRAYFORMULA(HLOOKUP($B39, IMPORTRANGE('Prelim Rankings Unso"&amp;"rted'!$B$41, CONCAT(VLOOKUP($C39, 'Match Names'!$A$1:$D$22, 3, FALSE), ""!C3:R29"")), {5;11;17;23}, FALSE)), ""=4"") + COUNTIF(ARRAYFORMULA(HLOOKUP($B39, IMPORTRANGE('Prelim Rankings Unsorted'!$B$42, CONCAT(VLOOKUP($C39, 'Match Names'!$A$1:$D$22, 4, FALSE"&amp;"), ""!C3:R29"")), {5;11;17;23}, FALSE)), ""=4"") + COUNTIF(ARRAYFORMULA(HLOOKUP($B39, IMPORTRANGE('Match Names'!$E$23, CONCAT(VLOOKUP($C39, 'Match Names'!$1:$22, 5, FALSE), ""!C3:R29"")), {6;11;16;21}, FALSE)), ""=4"") + COUNTIF(ARRAYFORMULA(HLOOKUP($B39,"&amp;" IMPORTRANGE('Match Names'!$F$23, CONCAT(VLOOKUP($C39, 'Match Names'!$1:$22, 6, FALSE), ""!C3:R29"")), {5;11;17;23}, FALSE)), ""=4"") + COUNTIF(ARRAYFORMULA(HLOOKUP($B39, IMPORTRANGE('Match Names'!$G$23, CONCAT(VLOOKUP($C39, 'Match Names'!$1:$22, 7, FALSE"&amp;"), ""!C3:R29"")), {5;10;14;22}, FALSE)), ""=4"") + COUNTIF(ARRAYFORMULA(HLOOKUP($B39, IMPORTRANGE('Match Names'!$H$23, CONCAT(VLOOKUP($C39, 'Match Names'!$1:$22, 8, FALSE), ""!C3:R29"")), {5;11;17;23}, FALSE)), ""=4"")"),1.0)</f>
        <v>1</v>
      </c>
      <c r="F39" s="32">
        <f>IFERROR(__xludf.DUMMYFUNCTION("COUNTIF(ARRAYFORMULA(HLOOKUP($B39, IMPORTRANGE('Prelim Rankings Unsorted'!$B$40, CONCAT(VLOOKUP($C39, 'Match Names'!$A$1:$D$22, 2, FALSE), ""!C3:R29"")), {6;11;17;23}, FALSE)), ""=0"") + COUNTIF(ARRAYFORMULA(HLOOKUP($B39, IMPORTRANGE('Prelim Rankings Unso"&amp;"rted'!$B$41, CONCAT(VLOOKUP($C39, 'Match Names'!$A$1:$D$22, 3, FALSE), ""!C3:R29"")), {5;11;17;23}, FALSE)), ""=0"") + COUNTIF(ARRAYFORMULA(HLOOKUP($B39, IMPORTRANGE('Prelim Rankings Unsorted'!$B$42, CONCAT(VLOOKUP($C39, 'Match Names'!$A$1:$D$22, 4, FALSE"&amp;"), ""!C3:R29"")), {5;11;17;23}, FALSE)), ""=0"") + COUNTIF(ARRAYFORMULA(HLOOKUP($B39, IMPORTRANGE('Match Names'!$E$23, CONCAT(VLOOKUP($C39, 'Match Names'!$1:$22, 5, FALSE), ""!C3:R29"")), {6;11;16;21}, FALSE)), ""=0"") + COUNTIF(ARRAYFORMULA(HLOOKUP($B39,"&amp;" IMPORTRANGE('Match Names'!$F$23, CONCAT(VLOOKUP($C39, 'Match Names'!$1:$22, 6, FALSE), ""!C3:R29"")), {5;11;17;23}, FALSE)), ""=0"") + COUNTIF(ARRAYFORMULA(HLOOKUP($B39, IMPORTRANGE('Match Names'!$G$23, CONCAT(VLOOKUP($C39, 'Match Names'!$1:$22, 7, FALSE"&amp;"), ""!C3:R29"")), {5;10;14;22}, FALSE)), ""=0"") + COUNTIF(ARRAYFORMULA(HLOOKUP($B39, IMPORTRANGE('Match Names'!$H$23, CONCAT(VLOOKUP($C39, 'Match Names'!$1:$22, 8, FALSE), ""!C3:R29"")), {5;11;17;23}, FALSE)), ""=0"")"),1.0)</f>
        <v>1</v>
      </c>
      <c r="G39" s="32">
        <f>IFERROR(__xludf.DUMMYFUNCTION("COUNTIF(ARRAYFORMULA(HLOOKUP($B39, IMPORTRANGE('Prelim Rankings Unsorted'!$B$40, CONCAT(VLOOKUP($C39, 'Match Names'!$A$1:$D$22, 2, FALSE), ""!C3:R29"")), {6;11;17;23}, FALSE)), ""=-4"") + COUNTIF(ARRAYFORMULA(HLOOKUP($B39, IMPORTRANGE('Prelim Rankings Uns"&amp;"orted'!$B$41, CONCAT(VLOOKUP($C39, 'Match Names'!$A$1:$D$22, 3, FALSE), ""!C3:R29"")), {5;11;17;23}, FALSE)), ""=-4"") + COUNTIF(ARRAYFORMULA(HLOOKUP($B39, IMPORTRANGE('Prelim Rankings Unsorted'!$B$42, CONCAT(VLOOKUP($C39, 'Match Names'!$A$1:$D$22, 4, FAL"&amp;"SE), ""!C3:R29"")), {5;11;17;23}, FALSE)), ""=-4"") + COUNTIF(ARRAYFORMULA(HLOOKUP($B39, IMPORTRANGE('Match Names'!$E$23, CONCAT(VLOOKUP($C39, 'Match Names'!$1:$22, 5, FALSE), ""!C3:R29"")), {6;11;16;21}, FALSE)), ""=-4"") + COUNTIF(ARRAYFORMULA(HLOOKUP($"&amp;"B39, IMPORTRANGE('Match Names'!$F$23, CONCAT(VLOOKUP($C39, 'Match Names'!$1:$22, 6, FALSE), ""!C3:R29"")), {5;11;17;23}, FALSE)), ""=-4"") + COUNTIF(ARRAYFORMULA(HLOOKUP($B39, IMPORTRANGE('Match Names'!$G$23, CONCAT(VLOOKUP($C39, 'Match Names'!$1:$22, 7, "&amp;"FALSE), ""!C3:R29"")), {5;10;14;22}, FALSE)), ""=-4"") + COUNTIF(ARRAYFORMULA(HLOOKUP($B39, IMPORTRANGE('Match Names'!$H$23, CONCAT(VLOOKUP($C39, 'Match Names'!$1:$22, 8, FALSE), ""!C3:R29"")), {5;11;17;23}, FALSE)), ""=-4"")"),0.0)</f>
        <v>0</v>
      </c>
      <c r="H39" s="33">
        <f t="shared" si="2"/>
        <v>0.8</v>
      </c>
    </row>
    <row r="40">
      <c r="A40" s="31" t="s">
        <v>164</v>
      </c>
      <c r="B40" s="31" t="str">
        <f>VLOOKUP(CONCAT(A40, C40), 'Discord Username to Real Name'!C:D, 2, FALSE)</f>
        <v>Teji11#5265</v>
      </c>
      <c r="C40" s="31" t="s">
        <v>16</v>
      </c>
      <c r="D40" s="32">
        <f>IFERROR(__xludf.DUMMYFUNCTION("(4 - COUNTIF(IFERROR(ARRAYFORMULA(HLOOKUP($B40, IMPORTRANGE('Prelim Rankings Unsorted'!$B$40, CONCAT(VLOOKUP($C40, 'Match Names'!$A$1:$D$22, 2, FALSE), ""!C3:R29"")), {6;11;17;23}, FALSE)), 'Player Overall Stats Unsorted'!$AA$9:$AA$12), ""=X"")) + (4 - CO"&amp;"UNTIF(IFERROR(ARRAYFORMULA(HLOOKUP($B40, IMPORTRANGE('Prelim Rankings Unsorted'!$B$41, CONCAT(VLOOKUP($C40, 'Match Names'!$A$1:$D$22, 3, FALSE), ""!C3:R29"")), {5;11;17;23}, FALSE)), 'Player Overall Stats Unsorted'!$AA$9:$AA$12), ""=X"")) + (4 - COUNTIF(I"&amp;"FERROR(ARRAYFORMULA(HLOOKUP($B40, IMPORTRANGE('Prelim Rankings Unsorted'!$B$42, CONCAT(VLOOKUP($C40, 'Match Names'!$A$1:$D$22, 4, FALSE), ""!C3:R29"")), {5;11;17;23}, FALSE)), 'Player Overall Stats Unsorted'!$AA$9:$AA$12), ""=X"")) + (4 - COUNTIF(IFERROR("&amp;"ARRAYFORMULA(HLOOKUP($B40, IMPORTRANGE('Match Names'!$E$23, CONCAT(VLOOKUP($C40, 'Match Names'!$1:$22, 5, FALSE), ""!C3:R29"")), {5;11;16;21}, FALSE)), 'Player Overall Stats Unsorted'!$AA$9:$AA$12), ""=X"")) + (4 - COUNTIF(IFERROR(ARRAYFORMULA(HLOOKUP($B4"&amp;"0, IMPORTRANGE('Match Names'!$F$23, CONCAT(VLOOKUP($C40, 'Match Names'!$1:$22, 6, FALSE), ""!C3:R29"")), {5;11;17;23}, FALSE)), 'Player Overall Stats Unsorted'!$AA$9:$AA$12), ""=X"")) + (4 - COUNTIF(IFERROR(ARRAYFORMULA(HLOOKUP($B40, IMPORTRANGE('Match Na"&amp;"mes'!$G$23, CONCAT(VLOOKUP($C40, 'Match Names'!$1:$22, 7, FALSE), ""!C3:R29"")), {5;10;14;23}, FALSE)), 'Player Overall Stats Unsorted'!$AA$9:$AA$12), ""=X"")) + (4 - COUNTIF(IFERROR(ARRAYFORMULA(HLOOKUP($B40, IMPORTRANGE('Match Names'!$H$23, CONCAT(VLOOK"&amp;"UP($C40, 'Match Names'!$1:$22, 8, FALSE), ""!C3:R29"")), {5;11;17;23}, FALSE)), 'Player Overall Stats Unsorted'!$AA$9:$AA$12), ""=X""))"),16.0)</f>
        <v>16</v>
      </c>
      <c r="E40" s="32">
        <f>IFERROR(__xludf.DUMMYFUNCTION("COUNTIF(ARRAYFORMULA(HLOOKUP($B40, IMPORTRANGE('Prelim Rankings Unsorted'!$B$40, CONCAT(VLOOKUP($C40, 'Match Names'!$A$1:$D$22, 2, FALSE), ""!C3:R29"")), {6;11;17;23}, FALSE)), ""=4"") + COUNTIF(ARRAYFORMULA(HLOOKUP($B40, IMPORTRANGE('Prelim Rankings Unso"&amp;"rted'!$B$41, CONCAT(VLOOKUP($C40, 'Match Names'!$A$1:$D$22, 3, FALSE), ""!C3:R29"")), {5;11;17;23}, FALSE)), ""=4"") + COUNTIF(ARRAYFORMULA(HLOOKUP($B40, IMPORTRANGE('Prelim Rankings Unsorted'!$B$42, CONCAT(VLOOKUP($C40, 'Match Names'!$A$1:$D$22, 4, FALSE"&amp;"), ""!C3:R29"")), {5;11;17;23}, FALSE)), ""=4"") + COUNTIF(ARRAYFORMULA(HLOOKUP($B40, IMPORTRANGE('Match Names'!$E$23, CONCAT(VLOOKUP($C40, 'Match Names'!$1:$22, 5, FALSE), ""!C3:R29"")), {6;11;16;21}, FALSE)), ""=4"") + COUNTIF(ARRAYFORMULA(HLOOKUP($B40,"&amp;" IMPORTRANGE('Match Names'!$F$23, CONCAT(VLOOKUP($C40, 'Match Names'!$1:$22, 6, FALSE), ""!C3:R29"")), {5;11;17;23}, FALSE)), ""=4"") + COUNTIF(ARRAYFORMULA(HLOOKUP($B40, IMPORTRANGE('Match Names'!$G$23, CONCAT(VLOOKUP($C40, 'Match Names'!$1:$22, 7, FALSE"&amp;"), ""!C3:R29"")), {5;10;14;22}, FALSE)), ""=4"") + COUNTIF(ARRAYFORMULA(HLOOKUP($B40, IMPORTRANGE('Match Names'!$H$23, CONCAT(VLOOKUP($C40, 'Match Names'!$1:$22, 8, FALSE), ""!C3:R29"")), {5;11;17;23}, FALSE)), ""=4"")"),0.0)</f>
        <v>0</v>
      </c>
      <c r="F40" s="32">
        <f>IFERROR(__xludf.DUMMYFUNCTION("COUNTIF(ARRAYFORMULA(HLOOKUP($B40, IMPORTRANGE('Prelim Rankings Unsorted'!$B$40, CONCAT(VLOOKUP($C40, 'Match Names'!$A$1:$D$22, 2, FALSE), ""!C3:R29"")), {6;11;17;23}, FALSE)), ""=0"") + COUNTIF(ARRAYFORMULA(HLOOKUP($B40, IMPORTRANGE('Prelim Rankings Unso"&amp;"rted'!$B$41, CONCAT(VLOOKUP($C40, 'Match Names'!$A$1:$D$22, 3, FALSE), ""!C3:R29"")), {5;11;17;23}, FALSE)), ""=0"") + COUNTIF(ARRAYFORMULA(HLOOKUP($B40, IMPORTRANGE('Prelim Rankings Unsorted'!$B$42, CONCAT(VLOOKUP($C40, 'Match Names'!$A$1:$D$22, 4, FALSE"&amp;"), ""!C3:R29"")), {5;11;17;23}, FALSE)), ""=0"") + COUNTIF(ARRAYFORMULA(HLOOKUP($B40, IMPORTRANGE('Match Names'!$E$23, CONCAT(VLOOKUP($C40, 'Match Names'!$1:$22, 5, FALSE), ""!C3:R29"")), {6;11;16;21}, FALSE)), ""=0"") + COUNTIF(ARRAYFORMULA(HLOOKUP($B40,"&amp;" IMPORTRANGE('Match Names'!$F$23, CONCAT(VLOOKUP($C40, 'Match Names'!$1:$22, 6, FALSE), ""!C3:R29"")), {5;11;17;23}, FALSE)), ""=0"") + COUNTIF(ARRAYFORMULA(HLOOKUP($B40, IMPORTRANGE('Match Names'!$G$23, CONCAT(VLOOKUP($C40, 'Match Names'!$1:$22, 7, FALSE"&amp;"), ""!C3:R29"")), {5;10;14;22}, FALSE)), ""=0"") + COUNTIF(ARRAYFORMULA(HLOOKUP($B40, IMPORTRANGE('Match Names'!$H$23, CONCAT(VLOOKUP($C40, 'Match Names'!$1:$22, 8, FALSE), ""!C3:R29"")), {5;11;17;23}, FALSE)), ""=0"")"),0.0)</f>
        <v>0</v>
      </c>
      <c r="G40" s="32">
        <f>IFERROR(__xludf.DUMMYFUNCTION("COUNTIF(ARRAYFORMULA(HLOOKUP($B40, IMPORTRANGE('Prelim Rankings Unsorted'!$B$40, CONCAT(VLOOKUP($C40, 'Match Names'!$A$1:$D$22, 2, FALSE), ""!C3:R29"")), {6;11;17;23}, FALSE)), ""=-4"") + COUNTIF(ARRAYFORMULA(HLOOKUP($B40, IMPORTRANGE('Prelim Rankings Uns"&amp;"orted'!$B$41, CONCAT(VLOOKUP($C40, 'Match Names'!$A$1:$D$22, 3, FALSE), ""!C3:R29"")), {5;11;17;23}, FALSE)), ""=-4"") + COUNTIF(ARRAYFORMULA(HLOOKUP($B40, IMPORTRANGE('Prelim Rankings Unsorted'!$B$42, CONCAT(VLOOKUP($C40, 'Match Names'!$A$1:$D$22, 4, FAL"&amp;"SE), ""!C3:R29"")), {5;11;17;23}, FALSE)), ""=-4"") + COUNTIF(ARRAYFORMULA(HLOOKUP($B40, IMPORTRANGE('Match Names'!$E$23, CONCAT(VLOOKUP($C40, 'Match Names'!$1:$22, 5, FALSE), ""!C3:R29"")), {6;11;16;21}, FALSE)), ""=-4"") + COUNTIF(ARRAYFORMULA(HLOOKUP($"&amp;"B40, IMPORTRANGE('Match Names'!$F$23, CONCAT(VLOOKUP($C40, 'Match Names'!$1:$22, 6, FALSE), ""!C3:R29"")), {5;11;17;23}, FALSE)), ""=-4"") + COUNTIF(ARRAYFORMULA(HLOOKUP($B40, IMPORTRANGE('Match Names'!$G$23, CONCAT(VLOOKUP($C40, 'Match Names'!$1:$22, 7, "&amp;"FALSE), ""!C3:R29"")), {5;10;14;22}, FALSE)), ""=-4"") + COUNTIF(ARRAYFORMULA(HLOOKUP($B40, IMPORTRANGE('Match Names'!$H$23, CONCAT(VLOOKUP($C40, 'Match Names'!$1:$22, 8, FALSE), ""!C3:R29"")), {5;11;17;23}, FALSE)), ""=-4"")"),1.0)</f>
        <v>1</v>
      </c>
      <c r="H40" s="33">
        <f t="shared" si="2"/>
        <v>-1</v>
      </c>
    </row>
    <row r="41">
      <c r="A41" s="31" t="s">
        <v>162</v>
      </c>
      <c r="B41" s="31" t="str">
        <f>VLOOKUP(CONCAT(A41, C41), 'Discord Username to Real Name'!C:D, 2, FALSE)</f>
        <v>Ajay G.#0147</v>
      </c>
      <c r="C41" s="31" t="s">
        <v>16</v>
      </c>
      <c r="D41" s="32">
        <f>IFERROR(__xludf.DUMMYFUNCTION("(4 - COUNTIF(IFERROR(ARRAYFORMULA(HLOOKUP($B41, IMPORTRANGE('Prelim Rankings Unsorted'!$B$40, CONCAT(VLOOKUP($C41, 'Match Names'!$A$1:$D$22, 2, FALSE), ""!C3:R29"")), {6;11;17;23}, FALSE)), 'Player Overall Stats Unsorted'!$AA$9:$AA$12), ""=X"")) + (4 - CO"&amp;"UNTIF(IFERROR(ARRAYFORMULA(HLOOKUP($B41, IMPORTRANGE('Prelim Rankings Unsorted'!$B$41, CONCAT(VLOOKUP($C41, 'Match Names'!$A$1:$D$22, 3, FALSE), ""!C3:R29"")), {5;11;17;23}, FALSE)), 'Player Overall Stats Unsorted'!$AA$9:$AA$12), ""=X"")) + (4 - COUNTIF(I"&amp;"FERROR(ARRAYFORMULA(HLOOKUP($B41, IMPORTRANGE('Prelim Rankings Unsorted'!$B$42, CONCAT(VLOOKUP($C41, 'Match Names'!$A$1:$D$22, 4, FALSE), ""!C3:R29"")), {5;11;17;23}, FALSE)), 'Player Overall Stats Unsorted'!$AA$9:$AA$12), ""=X"")) + (4 - COUNTIF(IFERROR("&amp;"ARRAYFORMULA(HLOOKUP($B41, IMPORTRANGE('Match Names'!$E$23, CONCAT(VLOOKUP($C41, 'Match Names'!$1:$22, 5, FALSE), ""!C3:R29"")), {5;11;16;21}, FALSE)), 'Player Overall Stats Unsorted'!$AA$9:$AA$12), ""=X"")) + (4 - COUNTIF(IFERROR(ARRAYFORMULA(HLOOKUP($B4"&amp;"1, IMPORTRANGE('Match Names'!$F$23, CONCAT(VLOOKUP($C41, 'Match Names'!$1:$22, 6, FALSE), ""!C3:R29"")), {5;11;17;23}, FALSE)), 'Player Overall Stats Unsorted'!$AA$9:$AA$12), ""=X"")) + (4 - COUNTIF(IFERROR(ARRAYFORMULA(HLOOKUP($B41, IMPORTRANGE('Match Na"&amp;"mes'!$G$23, CONCAT(VLOOKUP($C41, 'Match Names'!$1:$22, 7, FALSE), ""!C3:R29"")), {5;10;14;23}, FALSE)), 'Player Overall Stats Unsorted'!$AA$9:$AA$12), ""=X"")) + (4 - COUNTIF(IFERROR(ARRAYFORMULA(HLOOKUP($B41, IMPORTRANGE('Match Names'!$H$23, CONCAT(VLOOK"&amp;"UP($C41, 'Match Names'!$1:$22, 8, FALSE), ""!C3:R29"")), {5;11;17;23}, FALSE)), 'Player Overall Stats Unsorted'!$AA$9:$AA$12), ""=X""))"),16.0)</f>
        <v>16</v>
      </c>
      <c r="E41" s="32">
        <f>IFERROR(__xludf.DUMMYFUNCTION("COUNTIF(ARRAYFORMULA(HLOOKUP($B41, IMPORTRANGE('Prelim Rankings Unsorted'!$B$40, CONCAT(VLOOKUP($C41, 'Match Names'!$A$1:$D$22, 2, FALSE), ""!C3:R29"")), {6;11;17;23}, FALSE)), ""=4"") + COUNTIF(ARRAYFORMULA(HLOOKUP($B41, IMPORTRANGE('Prelim Rankings Unso"&amp;"rted'!$B$41, CONCAT(VLOOKUP($C41, 'Match Names'!$A$1:$D$22, 3, FALSE), ""!C3:R29"")), {5;11;17;23}, FALSE)), ""=4"") + COUNTIF(ARRAYFORMULA(HLOOKUP($B41, IMPORTRANGE('Prelim Rankings Unsorted'!$B$42, CONCAT(VLOOKUP($C41, 'Match Names'!$A$1:$D$22, 4, FALSE"&amp;"), ""!C3:R29"")), {5;11;17;23}, FALSE)), ""=4"") + COUNTIF(ARRAYFORMULA(HLOOKUP($B41, IMPORTRANGE('Match Names'!$E$23, CONCAT(VLOOKUP($C41, 'Match Names'!$1:$22, 5, FALSE), ""!C3:R29"")), {6;11;16;21}, FALSE)), ""=4"") + COUNTIF(ARRAYFORMULA(HLOOKUP($B41,"&amp;" IMPORTRANGE('Match Names'!$F$23, CONCAT(VLOOKUP($C41, 'Match Names'!$1:$22, 6, FALSE), ""!C3:R29"")), {5;11;17;23}, FALSE)), ""=4"") + COUNTIF(ARRAYFORMULA(HLOOKUP($B41, IMPORTRANGE('Match Names'!$G$23, CONCAT(VLOOKUP($C41, 'Match Names'!$1:$22, 7, FALSE"&amp;"), ""!C3:R29"")), {5;10;14;22}, FALSE)), ""=4"") + COUNTIF(ARRAYFORMULA(HLOOKUP($B41, IMPORTRANGE('Match Names'!$H$23, CONCAT(VLOOKUP($C41, 'Match Names'!$1:$22, 8, FALSE), ""!C3:R29"")), {5;11;17;23}, FALSE)), ""=4"")"),0.0)</f>
        <v>0</v>
      </c>
      <c r="F41" s="32">
        <f>IFERROR(__xludf.DUMMYFUNCTION("COUNTIF(ARRAYFORMULA(HLOOKUP($B41, IMPORTRANGE('Prelim Rankings Unsorted'!$B$40, CONCAT(VLOOKUP($C41, 'Match Names'!$A$1:$D$22, 2, FALSE), ""!C3:R29"")), {6;11;17;23}, FALSE)), ""=0"") + COUNTIF(ARRAYFORMULA(HLOOKUP($B41, IMPORTRANGE('Prelim Rankings Unso"&amp;"rted'!$B$41, CONCAT(VLOOKUP($C41, 'Match Names'!$A$1:$D$22, 3, FALSE), ""!C3:R29"")), {5;11;17;23}, FALSE)), ""=0"") + COUNTIF(ARRAYFORMULA(HLOOKUP($B41, IMPORTRANGE('Prelim Rankings Unsorted'!$B$42, CONCAT(VLOOKUP($C41, 'Match Names'!$A$1:$D$22, 4, FALSE"&amp;"), ""!C3:R29"")), {5;11;17;23}, FALSE)), ""=0"") + COUNTIF(ARRAYFORMULA(HLOOKUP($B41, IMPORTRANGE('Match Names'!$E$23, CONCAT(VLOOKUP($C41, 'Match Names'!$1:$22, 5, FALSE), ""!C3:R29"")), {6;11;16;21}, FALSE)), ""=0"") + COUNTIF(ARRAYFORMULA(HLOOKUP($B41,"&amp;" IMPORTRANGE('Match Names'!$F$23, CONCAT(VLOOKUP($C41, 'Match Names'!$1:$22, 6, FALSE), ""!C3:R29"")), {5;11;17;23}, FALSE)), ""=0"") + COUNTIF(ARRAYFORMULA(HLOOKUP($B41, IMPORTRANGE('Match Names'!$G$23, CONCAT(VLOOKUP($C41, 'Match Names'!$1:$22, 7, FALSE"&amp;"), ""!C3:R29"")), {5;10;14;22}, FALSE)), ""=0"") + COUNTIF(ARRAYFORMULA(HLOOKUP($B41, IMPORTRANGE('Match Names'!$H$23, CONCAT(VLOOKUP($C41, 'Match Names'!$1:$22, 8, FALSE), ""!C3:R29"")), {5;11;17;23}, FALSE)), ""=0"")"),0.0)</f>
        <v>0</v>
      </c>
      <c r="G41" s="32">
        <f>IFERROR(__xludf.DUMMYFUNCTION("COUNTIF(ARRAYFORMULA(HLOOKUP($B41, IMPORTRANGE('Prelim Rankings Unsorted'!$B$40, CONCAT(VLOOKUP($C41, 'Match Names'!$A$1:$D$22, 2, FALSE), ""!C3:R29"")), {6;11;17;23}, FALSE)), ""=-4"") + COUNTIF(ARRAYFORMULA(HLOOKUP($B41, IMPORTRANGE('Prelim Rankings Uns"&amp;"orted'!$B$41, CONCAT(VLOOKUP($C41, 'Match Names'!$A$1:$D$22, 3, FALSE), ""!C3:R29"")), {5;11;17;23}, FALSE)), ""=-4"") + COUNTIF(ARRAYFORMULA(HLOOKUP($B41, IMPORTRANGE('Prelim Rankings Unsorted'!$B$42, CONCAT(VLOOKUP($C41, 'Match Names'!$A$1:$D$22, 4, FAL"&amp;"SE), ""!C3:R29"")), {5;11;17;23}, FALSE)), ""=-4"") + COUNTIF(ARRAYFORMULA(HLOOKUP($B41, IMPORTRANGE('Match Names'!$E$23, CONCAT(VLOOKUP($C41, 'Match Names'!$1:$22, 5, FALSE), ""!C3:R29"")), {6;11;16;21}, FALSE)), ""=-4"") + COUNTIF(ARRAYFORMULA(HLOOKUP($"&amp;"B41, IMPORTRANGE('Match Names'!$F$23, CONCAT(VLOOKUP($C41, 'Match Names'!$1:$22, 6, FALSE), ""!C3:R29"")), {5;11;17;23}, FALSE)), ""=-4"") + COUNTIF(ARRAYFORMULA(HLOOKUP($B41, IMPORTRANGE('Match Names'!$G$23, CONCAT(VLOOKUP($C41, 'Match Names'!$1:$22, 7, "&amp;"FALSE), ""!C3:R29"")), {5;10;14;22}, FALSE)), ""=-4"") + COUNTIF(ARRAYFORMULA(HLOOKUP($B41, IMPORTRANGE('Match Names'!$H$23, CONCAT(VLOOKUP($C41, 'Match Names'!$1:$22, 8, FALSE), ""!C3:R29"")), {5;11;17;23}, FALSE)), ""=-4"")"),0.0)</f>
        <v>0</v>
      </c>
      <c r="H41" s="33">
        <f t="shared" si="2"/>
        <v>0</v>
      </c>
    </row>
    <row r="42">
      <c r="A42" s="31" t="s">
        <v>171</v>
      </c>
      <c r="B42" s="31" t="str">
        <f>VLOOKUP(CONCAT(A42, C42), 'Discord Username to Real Name'!C:D, 2, FALSE)</f>
        <v>Tencor7144#2297</v>
      </c>
      <c r="C42" s="31" t="s">
        <v>16</v>
      </c>
      <c r="D42" s="32">
        <f>IFERROR(__xludf.DUMMYFUNCTION("(4 - COUNTIF(IFERROR(ARRAYFORMULA(HLOOKUP($B42, IMPORTRANGE('Prelim Rankings Unsorted'!$B$40, CONCAT(VLOOKUP($C42, 'Match Names'!$A$1:$D$22, 2, FALSE), ""!C3:R29"")), {6;11;17;23}, FALSE)), 'Player Overall Stats Unsorted'!$AA$9:$AA$12), ""=X"")) + (4 - CO"&amp;"UNTIF(IFERROR(ARRAYFORMULA(HLOOKUP($B42, IMPORTRANGE('Prelim Rankings Unsorted'!$B$41, CONCAT(VLOOKUP($C42, 'Match Names'!$A$1:$D$22, 3, FALSE), ""!C3:R29"")), {5;11;17;23}, FALSE)), 'Player Overall Stats Unsorted'!$AA$9:$AA$12), ""=X"")) + (4 - COUNTIF(I"&amp;"FERROR(ARRAYFORMULA(HLOOKUP($B42, IMPORTRANGE('Prelim Rankings Unsorted'!$B$42, CONCAT(VLOOKUP($C42, 'Match Names'!$A$1:$D$22, 4, FALSE), ""!C3:R29"")), {5;11;17;23}, FALSE)), 'Player Overall Stats Unsorted'!$AA$9:$AA$12), ""=X"")) + (4 - COUNTIF(IFERROR("&amp;"ARRAYFORMULA(HLOOKUP($B42, IMPORTRANGE('Match Names'!$E$23, CONCAT(VLOOKUP($C42, 'Match Names'!$1:$22, 5, FALSE), ""!C3:R29"")), {5;11;16;21}, FALSE)), 'Player Overall Stats Unsorted'!$AA$9:$AA$12), ""=X"")) + (4 - COUNTIF(IFERROR(ARRAYFORMULA(HLOOKUP($B4"&amp;"2, IMPORTRANGE('Match Names'!$F$23, CONCAT(VLOOKUP($C42, 'Match Names'!$1:$22, 6, FALSE), ""!C3:R29"")), {5;11;17;23}, FALSE)), 'Player Overall Stats Unsorted'!$AA$9:$AA$12), ""=X"")) + (4 - COUNTIF(IFERROR(ARRAYFORMULA(HLOOKUP($B42, IMPORTRANGE('Match Na"&amp;"mes'!$G$23, CONCAT(VLOOKUP($C42, 'Match Names'!$1:$22, 7, FALSE), ""!C3:R29"")), {5;10;14;23}, FALSE)), 'Player Overall Stats Unsorted'!$AA$9:$AA$12), ""=X"")) + (4 - COUNTIF(IFERROR(ARRAYFORMULA(HLOOKUP($B42, IMPORTRANGE('Match Names'!$H$23, CONCAT(VLOOK"&amp;"UP($C42, 'Match Names'!$1:$22, 8, FALSE), ""!C3:R29"")), {5;11;17;23}, FALSE)), 'Player Overall Stats Unsorted'!$AA$9:$AA$12), ""=X""))"),8.0)</f>
        <v>8</v>
      </c>
      <c r="E42" s="32">
        <f>IFERROR(__xludf.DUMMYFUNCTION("COUNTIF(ARRAYFORMULA(HLOOKUP($B42, IMPORTRANGE('Prelim Rankings Unsorted'!$B$40, CONCAT(VLOOKUP($C42, 'Match Names'!$A$1:$D$22, 2, FALSE), ""!C3:R29"")), {6;11;17;23}, FALSE)), ""=4"") + COUNTIF(ARRAYFORMULA(HLOOKUP($B42, IMPORTRANGE('Prelim Rankings Unso"&amp;"rted'!$B$41, CONCAT(VLOOKUP($C42, 'Match Names'!$A$1:$D$22, 3, FALSE), ""!C3:R29"")), {5;11;17;23}, FALSE)), ""=4"") + COUNTIF(ARRAYFORMULA(HLOOKUP($B42, IMPORTRANGE('Prelim Rankings Unsorted'!$B$42, CONCAT(VLOOKUP($C42, 'Match Names'!$A$1:$D$22, 4, FALSE"&amp;"), ""!C3:R29"")), {5;11;17;23}, FALSE)), ""=4"") + COUNTIF(ARRAYFORMULA(HLOOKUP($B42, IMPORTRANGE('Match Names'!$E$23, CONCAT(VLOOKUP($C42, 'Match Names'!$1:$22, 5, FALSE), ""!C3:R29"")), {6;11;16;21}, FALSE)), ""=4"") + COUNTIF(ARRAYFORMULA(HLOOKUP($B42,"&amp;" IMPORTRANGE('Match Names'!$F$23, CONCAT(VLOOKUP($C42, 'Match Names'!$1:$22, 6, FALSE), ""!C3:R29"")), {5;11;17;23}, FALSE)), ""=4"") + COUNTIF(ARRAYFORMULA(HLOOKUP($B42, IMPORTRANGE('Match Names'!$G$23, CONCAT(VLOOKUP($C42, 'Match Names'!$1:$22, 7, FALSE"&amp;"), ""!C3:R29"")), {5;10;14;22}, FALSE)), ""=4"") + COUNTIF(ARRAYFORMULA(HLOOKUP($B42, IMPORTRANGE('Match Names'!$H$23, CONCAT(VLOOKUP($C42, 'Match Names'!$1:$22, 8, FALSE), ""!C3:R29"")), {5;11;17;23}, FALSE)), ""=4"")"),0.0)</f>
        <v>0</v>
      </c>
      <c r="F42" s="32">
        <f>IFERROR(__xludf.DUMMYFUNCTION("COUNTIF(ARRAYFORMULA(HLOOKUP($B42, IMPORTRANGE('Prelim Rankings Unsorted'!$B$40, CONCAT(VLOOKUP($C42, 'Match Names'!$A$1:$D$22, 2, FALSE), ""!C3:R29"")), {6;11;17;23}, FALSE)), ""=0"") + COUNTIF(ARRAYFORMULA(HLOOKUP($B42, IMPORTRANGE('Prelim Rankings Unso"&amp;"rted'!$B$41, CONCAT(VLOOKUP($C42, 'Match Names'!$A$1:$D$22, 3, FALSE), ""!C3:R29"")), {5;11;17;23}, FALSE)), ""=0"") + COUNTIF(ARRAYFORMULA(HLOOKUP($B42, IMPORTRANGE('Prelim Rankings Unsorted'!$B$42, CONCAT(VLOOKUP($C42, 'Match Names'!$A$1:$D$22, 4, FALSE"&amp;"), ""!C3:R29"")), {5;11;17;23}, FALSE)), ""=0"") + COUNTIF(ARRAYFORMULA(HLOOKUP($B42, IMPORTRANGE('Match Names'!$E$23, CONCAT(VLOOKUP($C42, 'Match Names'!$1:$22, 5, FALSE), ""!C3:R29"")), {6;11;16;21}, FALSE)), ""=0"") + COUNTIF(ARRAYFORMULA(HLOOKUP($B42,"&amp;" IMPORTRANGE('Match Names'!$F$23, CONCAT(VLOOKUP($C42, 'Match Names'!$1:$22, 6, FALSE), ""!C3:R29"")), {5;11;17;23}, FALSE)), ""=0"") + COUNTIF(ARRAYFORMULA(HLOOKUP($B42, IMPORTRANGE('Match Names'!$G$23, CONCAT(VLOOKUP($C42, 'Match Names'!$1:$22, 7, FALSE"&amp;"), ""!C3:R29"")), {5;10;14;22}, FALSE)), ""=0"") + COUNTIF(ARRAYFORMULA(HLOOKUP($B42, IMPORTRANGE('Match Names'!$H$23, CONCAT(VLOOKUP($C42, 'Match Names'!$1:$22, 8, FALSE), ""!C3:R29"")), {5;11;17;23}, FALSE)), ""=0"")"),0.0)</f>
        <v>0</v>
      </c>
      <c r="G42" s="32">
        <f>IFERROR(__xludf.DUMMYFUNCTION("COUNTIF(ARRAYFORMULA(HLOOKUP($B42, IMPORTRANGE('Prelim Rankings Unsorted'!$B$40, CONCAT(VLOOKUP($C42, 'Match Names'!$A$1:$D$22, 2, FALSE), ""!C3:R29"")), {6;11;17;23}, FALSE)), ""=-4"") + COUNTIF(ARRAYFORMULA(HLOOKUP($B42, IMPORTRANGE('Prelim Rankings Uns"&amp;"orted'!$B$41, CONCAT(VLOOKUP($C42, 'Match Names'!$A$1:$D$22, 3, FALSE), ""!C3:R29"")), {5;11;17;23}, FALSE)), ""=-4"") + COUNTIF(ARRAYFORMULA(HLOOKUP($B42, IMPORTRANGE('Prelim Rankings Unsorted'!$B$42, CONCAT(VLOOKUP($C42, 'Match Names'!$A$1:$D$22, 4, FAL"&amp;"SE), ""!C3:R29"")), {5;11;17;23}, FALSE)), ""=-4"") + COUNTIF(ARRAYFORMULA(HLOOKUP($B42, IMPORTRANGE('Match Names'!$E$23, CONCAT(VLOOKUP($C42, 'Match Names'!$1:$22, 5, FALSE), ""!C3:R29"")), {6;11;16;21}, FALSE)), ""=-4"") + COUNTIF(ARRAYFORMULA(HLOOKUP($"&amp;"B42, IMPORTRANGE('Match Names'!$F$23, CONCAT(VLOOKUP($C42, 'Match Names'!$1:$22, 6, FALSE), ""!C3:R29"")), {5;11;17;23}, FALSE)), ""=-4"") + COUNTIF(ARRAYFORMULA(HLOOKUP($B42, IMPORTRANGE('Match Names'!$G$23, CONCAT(VLOOKUP($C42, 'Match Names'!$1:$22, 7, "&amp;"FALSE), ""!C3:R29"")), {5;10;14;22}, FALSE)), ""=-4"") + COUNTIF(ARRAYFORMULA(HLOOKUP($B42, IMPORTRANGE('Match Names'!$H$23, CONCAT(VLOOKUP($C42, 'Match Names'!$1:$22, 8, FALSE), ""!C3:R29"")), {5;11;17;23}, FALSE)), ""=-4"")"),0.0)</f>
        <v>0</v>
      </c>
      <c r="H42" s="33">
        <f t="shared" si="2"/>
        <v>0</v>
      </c>
    </row>
    <row r="43">
      <c r="A43" s="31" t="s">
        <v>73</v>
      </c>
      <c r="B43" s="31" t="str">
        <f>VLOOKUP(CONCAT(A43, C43), 'Discord Username to Real Name'!C:D, 2, FALSE)</f>
        <v>oof7373#7373</v>
      </c>
      <c r="C43" s="31" t="s">
        <v>15</v>
      </c>
      <c r="D43" s="32">
        <f>IFERROR(__xludf.DUMMYFUNCTION("(4 - COUNTIF(IFERROR(ARRAYFORMULA(HLOOKUP($B43, IMPORTRANGE('Prelim Rankings Unsorted'!$B$40, CONCAT(VLOOKUP($C43, 'Match Names'!$A$1:$D$22, 2, FALSE), ""!C3:R29"")), {6;11;17;23}, FALSE)), 'Player Overall Stats Unsorted'!$AA$9:$AA$12), ""=X"")) + (4 - CO"&amp;"UNTIF(IFERROR(ARRAYFORMULA(HLOOKUP($B43, IMPORTRANGE('Prelim Rankings Unsorted'!$B$41, CONCAT(VLOOKUP($C43, 'Match Names'!$A$1:$D$22, 3, FALSE), ""!C3:R29"")), {5;11;17;23}, FALSE)), 'Player Overall Stats Unsorted'!$AA$9:$AA$12), ""=X"")) + (4 - COUNTIF(I"&amp;"FERROR(ARRAYFORMULA(HLOOKUP($B43, IMPORTRANGE('Prelim Rankings Unsorted'!$B$42, CONCAT(VLOOKUP($C43, 'Match Names'!$A$1:$D$22, 4, FALSE), ""!C3:R29"")), {5;11;17;23}, FALSE)), 'Player Overall Stats Unsorted'!$AA$9:$AA$12), ""=X"")) + (4 - COUNTIF(IFERROR("&amp;"ARRAYFORMULA(HLOOKUP($B43, IMPORTRANGE('Match Names'!$E$23, CONCAT(VLOOKUP($C43, 'Match Names'!$1:$22, 5, FALSE), ""!C3:R29"")), {5;11;16;21}, FALSE)), 'Player Overall Stats Unsorted'!$AA$9:$AA$12), ""=X"")) + (4 - COUNTIF(IFERROR(ARRAYFORMULA(HLOOKUP($B4"&amp;"3, IMPORTRANGE('Match Names'!$F$23, CONCAT(VLOOKUP($C43, 'Match Names'!$1:$22, 6, FALSE), ""!C3:R29"")), {5;11;17;23}, FALSE)), 'Player Overall Stats Unsorted'!$AA$9:$AA$12), ""=X"")) + (4 - COUNTIF(IFERROR(ARRAYFORMULA(HLOOKUP($B43, IMPORTRANGE('Match Na"&amp;"mes'!$G$23, CONCAT(VLOOKUP($C43, 'Match Names'!$1:$22, 7, FALSE), ""!C3:R29"")), {5;10;14;23}, FALSE)), 'Player Overall Stats Unsorted'!$AA$9:$AA$12), ""=X"")) + (4 - COUNTIF(IFERROR(ARRAYFORMULA(HLOOKUP($B43, IMPORTRANGE('Match Names'!$H$23, CONCAT(VLOOK"&amp;"UP($C43, 'Match Names'!$1:$22, 8, FALSE), ""!C3:R29"")), {5;11;17;23}, FALSE)), 'Player Overall Stats Unsorted'!$AA$9:$AA$12), ""=X""))"),24.0)</f>
        <v>24</v>
      </c>
      <c r="E43" s="32">
        <f>IFERROR(__xludf.DUMMYFUNCTION("COUNTIF(ARRAYFORMULA(HLOOKUP($B43, IMPORTRANGE('Prelim Rankings Unsorted'!$B$40, CONCAT(VLOOKUP($C43, 'Match Names'!$A$1:$D$22, 2, FALSE), ""!C3:R29"")), {6;11;17;23}, FALSE)), ""=4"") + COUNTIF(ARRAYFORMULA(HLOOKUP($B43, IMPORTRANGE('Prelim Rankings Unso"&amp;"rted'!$B$41, CONCAT(VLOOKUP($C43, 'Match Names'!$A$1:$D$22, 3, FALSE), ""!C3:R29"")), {5;11;17;23}, FALSE)), ""=4"") + COUNTIF(ARRAYFORMULA(HLOOKUP($B43, IMPORTRANGE('Prelim Rankings Unsorted'!$B$42, CONCAT(VLOOKUP($C43, 'Match Names'!$A$1:$D$22, 4, FALSE"&amp;"), ""!C3:R29"")), {5;11;17;23}, FALSE)), ""=4"") + COUNTIF(ARRAYFORMULA(HLOOKUP($B43, IMPORTRANGE('Match Names'!$E$23, CONCAT(VLOOKUP($C43, 'Match Names'!$1:$22, 5, FALSE), ""!C3:R29"")), {6;11;16;21}, FALSE)), ""=4"") + COUNTIF(ARRAYFORMULA(HLOOKUP($B43,"&amp;" IMPORTRANGE('Match Names'!$F$23, CONCAT(VLOOKUP($C43, 'Match Names'!$1:$22, 6, FALSE), ""!C3:R29"")), {5;11;17;23}, FALSE)), ""=4"") + COUNTIF(ARRAYFORMULA(HLOOKUP($B43, IMPORTRANGE('Match Names'!$G$23, CONCAT(VLOOKUP($C43, 'Match Names'!$1:$22, 7, FALSE"&amp;"), ""!C3:R29"")), {5;10;14;22}, FALSE)), ""=4"") + COUNTIF(ARRAYFORMULA(HLOOKUP($B43, IMPORTRANGE('Match Names'!$H$23, CONCAT(VLOOKUP($C43, 'Match Names'!$1:$22, 8, FALSE), ""!C3:R29"")), {5;11;17;23}, FALSE)), ""=4"")"),13.0)</f>
        <v>13</v>
      </c>
      <c r="F43" s="32">
        <f>IFERROR(__xludf.DUMMYFUNCTION("COUNTIF(ARRAYFORMULA(HLOOKUP($B43, IMPORTRANGE('Prelim Rankings Unsorted'!$B$40, CONCAT(VLOOKUP($C43, 'Match Names'!$A$1:$D$22, 2, FALSE), ""!C3:R29"")), {6;11;17;23}, FALSE)), ""=0"") + COUNTIF(ARRAYFORMULA(HLOOKUP($B43, IMPORTRANGE('Prelim Rankings Unso"&amp;"rted'!$B$41, CONCAT(VLOOKUP($C43, 'Match Names'!$A$1:$D$22, 3, FALSE), ""!C3:R29"")), {5;11;17;23}, FALSE)), ""=0"") + COUNTIF(ARRAYFORMULA(HLOOKUP($B43, IMPORTRANGE('Prelim Rankings Unsorted'!$B$42, CONCAT(VLOOKUP($C43, 'Match Names'!$A$1:$D$22, 4, FALSE"&amp;"), ""!C3:R29"")), {5;11;17;23}, FALSE)), ""=0"") + COUNTIF(ARRAYFORMULA(HLOOKUP($B43, IMPORTRANGE('Match Names'!$E$23, CONCAT(VLOOKUP($C43, 'Match Names'!$1:$22, 5, FALSE), ""!C3:R29"")), {6;11;16;21}, FALSE)), ""=0"") + COUNTIF(ARRAYFORMULA(HLOOKUP($B43,"&amp;" IMPORTRANGE('Match Names'!$F$23, CONCAT(VLOOKUP($C43, 'Match Names'!$1:$22, 6, FALSE), ""!C3:R29"")), {5;11;17;23}, FALSE)), ""=0"") + COUNTIF(ARRAYFORMULA(HLOOKUP($B43, IMPORTRANGE('Match Names'!$G$23, CONCAT(VLOOKUP($C43, 'Match Names'!$1:$22, 7, FALSE"&amp;"), ""!C3:R29"")), {5;10;14;22}, FALSE)), ""=0"") + COUNTIF(ARRAYFORMULA(HLOOKUP($B43, IMPORTRANGE('Match Names'!$H$23, CONCAT(VLOOKUP($C43, 'Match Names'!$1:$22, 8, FALSE), ""!C3:R29"")), {5;11;17;23}, FALSE)), ""=0"")"),4.0)</f>
        <v>4</v>
      </c>
      <c r="G43" s="32">
        <f>IFERROR(__xludf.DUMMYFUNCTION("COUNTIF(ARRAYFORMULA(HLOOKUP($B43, IMPORTRANGE('Prelim Rankings Unsorted'!$B$40, CONCAT(VLOOKUP($C43, 'Match Names'!$A$1:$D$22, 2, FALSE), ""!C3:R29"")), {6;11;17;23}, FALSE)), ""=-4"") + COUNTIF(ARRAYFORMULA(HLOOKUP($B43, IMPORTRANGE('Prelim Rankings Uns"&amp;"orted'!$B$41, CONCAT(VLOOKUP($C43, 'Match Names'!$A$1:$D$22, 3, FALSE), ""!C3:R29"")), {5;11;17;23}, FALSE)), ""=-4"") + COUNTIF(ARRAYFORMULA(HLOOKUP($B43, IMPORTRANGE('Prelim Rankings Unsorted'!$B$42, CONCAT(VLOOKUP($C43, 'Match Names'!$A$1:$D$22, 4, FAL"&amp;"SE), ""!C3:R29"")), {5;11;17;23}, FALSE)), ""=-4"") + COUNTIF(ARRAYFORMULA(HLOOKUP($B43, IMPORTRANGE('Match Names'!$E$23, CONCAT(VLOOKUP($C43, 'Match Names'!$1:$22, 5, FALSE), ""!C3:R29"")), {6;11;16;21}, FALSE)), ""=-4"") + COUNTIF(ARRAYFORMULA(HLOOKUP($"&amp;"B43, IMPORTRANGE('Match Names'!$F$23, CONCAT(VLOOKUP($C43, 'Match Names'!$1:$22, 6, FALSE), ""!C3:R29"")), {5;11;17;23}, FALSE)), ""=-4"") + COUNTIF(ARRAYFORMULA(HLOOKUP($B43, IMPORTRANGE('Match Names'!$G$23, CONCAT(VLOOKUP($C43, 'Match Names'!$1:$22, 7, "&amp;"FALSE), ""!C3:R29"")), {5;10;14;22}, FALSE)), ""=-4"") + COUNTIF(ARRAYFORMULA(HLOOKUP($B43, IMPORTRANGE('Match Names'!$H$23, CONCAT(VLOOKUP($C43, 'Match Names'!$1:$22, 8, FALSE), ""!C3:R29"")), {5;11;17;23}, FALSE)), ""=-4"")"),1.0)</f>
        <v>1</v>
      </c>
      <c r="H43" s="33">
        <f t="shared" si="2"/>
        <v>8</v>
      </c>
    </row>
    <row r="44">
      <c r="A44" s="31" t="s">
        <v>63</v>
      </c>
      <c r="B44" s="31" t="str">
        <f>VLOOKUP(CONCAT(A44, C44), 'Discord Username to Real Name'!C:D, 2, FALSE)</f>
        <v>effervescence#3904</v>
      </c>
      <c r="C44" s="31" t="s">
        <v>15</v>
      </c>
      <c r="D44" s="32">
        <f>IFERROR(__xludf.DUMMYFUNCTION("(4 - COUNTIF(IFERROR(ARRAYFORMULA(HLOOKUP($B44, IMPORTRANGE('Prelim Rankings Unsorted'!$B$40, CONCAT(VLOOKUP($C44, 'Match Names'!$A$1:$D$22, 2, FALSE), ""!C3:R29"")), {6;11;17;23}, FALSE)), 'Player Overall Stats Unsorted'!$AA$9:$AA$12), ""=X"")) + (4 - CO"&amp;"UNTIF(IFERROR(ARRAYFORMULA(HLOOKUP($B44, IMPORTRANGE('Prelim Rankings Unsorted'!$B$41, CONCAT(VLOOKUP($C44, 'Match Names'!$A$1:$D$22, 3, FALSE), ""!C3:R29"")), {5;11;17;23}, FALSE)), 'Player Overall Stats Unsorted'!$AA$9:$AA$12), ""=X"")) + (4 - COUNTIF(I"&amp;"FERROR(ARRAYFORMULA(HLOOKUP($B44, IMPORTRANGE('Prelim Rankings Unsorted'!$B$42, CONCAT(VLOOKUP($C44, 'Match Names'!$A$1:$D$22, 4, FALSE), ""!C3:R29"")), {5;11;17;23}, FALSE)), 'Player Overall Stats Unsorted'!$AA$9:$AA$12), ""=X"")) + (4 - COUNTIF(IFERROR("&amp;"ARRAYFORMULA(HLOOKUP($B44, IMPORTRANGE('Match Names'!$E$23, CONCAT(VLOOKUP($C44, 'Match Names'!$1:$22, 5, FALSE), ""!C3:R29"")), {5;11;16;21}, FALSE)), 'Player Overall Stats Unsorted'!$AA$9:$AA$12), ""=X"")) + (4 - COUNTIF(IFERROR(ARRAYFORMULA(HLOOKUP($B4"&amp;"4, IMPORTRANGE('Match Names'!$F$23, CONCAT(VLOOKUP($C44, 'Match Names'!$1:$22, 6, FALSE), ""!C3:R29"")), {5;11;17;23}, FALSE)), 'Player Overall Stats Unsorted'!$AA$9:$AA$12), ""=X"")) + (4 - COUNTIF(IFERROR(ARRAYFORMULA(HLOOKUP($B44, IMPORTRANGE('Match Na"&amp;"mes'!$G$23, CONCAT(VLOOKUP($C44, 'Match Names'!$1:$22, 7, FALSE), ""!C3:R29"")), {5;10;14;23}, FALSE)), 'Player Overall Stats Unsorted'!$AA$9:$AA$12), ""=X"")) + (4 - COUNTIF(IFERROR(ARRAYFORMULA(HLOOKUP($B44, IMPORTRANGE('Match Names'!$H$23, CONCAT(VLOOK"&amp;"UP($C44, 'Match Names'!$1:$22, 8, FALSE), ""!C3:R29"")), {5;11;17;23}, FALSE)), 'Player Overall Stats Unsorted'!$AA$9:$AA$12), ""=X""))"),20.0)</f>
        <v>20</v>
      </c>
      <c r="E44" s="32">
        <f>IFERROR(__xludf.DUMMYFUNCTION("COUNTIF(ARRAYFORMULA(HLOOKUP($B44, IMPORTRANGE('Prelim Rankings Unsorted'!$B$40, CONCAT(VLOOKUP($C44, 'Match Names'!$A$1:$D$22, 2, FALSE), ""!C3:R29"")), {6;11;17;23}, FALSE)), ""=4"") + COUNTIF(ARRAYFORMULA(HLOOKUP($B44, IMPORTRANGE('Prelim Rankings Unso"&amp;"rted'!$B$41, CONCAT(VLOOKUP($C44, 'Match Names'!$A$1:$D$22, 3, FALSE), ""!C3:R29"")), {5;11;17;23}, FALSE)), ""=4"") + COUNTIF(ARRAYFORMULA(HLOOKUP($B44, IMPORTRANGE('Prelim Rankings Unsorted'!$B$42, CONCAT(VLOOKUP($C44, 'Match Names'!$A$1:$D$22, 4, FALSE"&amp;"), ""!C3:R29"")), {5;11;17;23}, FALSE)), ""=4"") + COUNTIF(ARRAYFORMULA(HLOOKUP($B44, IMPORTRANGE('Match Names'!$E$23, CONCAT(VLOOKUP($C44, 'Match Names'!$1:$22, 5, FALSE), ""!C3:R29"")), {6;11;16;21}, FALSE)), ""=4"") + COUNTIF(ARRAYFORMULA(HLOOKUP($B44,"&amp;" IMPORTRANGE('Match Names'!$F$23, CONCAT(VLOOKUP($C44, 'Match Names'!$1:$22, 6, FALSE), ""!C3:R29"")), {5;11;17;23}, FALSE)), ""=4"") + COUNTIF(ARRAYFORMULA(HLOOKUP($B44, IMPORTRANGE('Match Names'!$G$23, CONCAT(VLOOKUP($C44, 'Match Names'!$1:$22, 7, FALSE"&amp;"), ""!C3:R29"")), {5;10;14;22}, FALSE)), ""=4"") + COUNTIF(ARRAYFORMULA(HLOOKUP($B44, IMPORTRANGE('Match Names'!$H$23, CONCAT(VLOOKUP($C44, 'Match Names'!$1:$22, 8, FALSE), ""!C3:R29"")), {5;11;17;23}, FALSE)), ""=4"")"),0.0)</f>
        <v>0</v>
      </c>
      <c r="F44" s="32">
        <f>IFERROR(__xludf.DUMMYFUNCTION("COUNTIF(ARRAYFORMULA(HLOOKUP($B44, IMPORTRANGE('Prelim Rankings Unsorted'!$B$40, CONCAT(VLOOKUP($C44, 'Match Names'!$A$1:$D$22, 2, FALSE), ""!C3:R29"")), {6;11;17;23}, FALSE)), ""=0"") + COUNTIF(ARRAYFORMULA(HLOOKUP($B44, IMPORTRANGE('Prelim Rankings Unso"&amp;"rted'!$B$41, CONCAT(VLOOKUP($C44, 'Match Names'!$A$1:$D$22, 3, FALSE), ""!C3:R29"")), {5;11;17;23}, FALSE)), ""=0"") + COUNTIF(ARRAYFORMULA(HLOOKUP($B44, IMPORTRANGE('Prelim Rankings Unsorted'!$B$42, CONCAT(VLOOKUP($C44, 'Match Names'!$A$1:$D$22, 4, FALSE"&amp;"), ""!C3:R29"")), {5;11;17;23}, FALSE)), ""=0"") + COUNTIF(ARRAYFORMULA(HLOOKUP($B44, IMPORTRANGE('Match Names'!$E$23, CONCAT(VLOOKUP($C44, 'Match Names'!$1:$22, 5, FALSE), ""!C3:R29"")), {6;11;16;21}, FALSE)), ""=0"") + COUNTIF(ARRAYFORMULA(HLOOKUP($B44,"&amp;" IMPORTRANGE('Match Names'!$F$23, CONCAT(VLOOKUP($C44, 'Match Names'!$1:$22, 6, FALSE), ""!C3:R29"")), {5;11;17;23}, FALSE)), ""=0"") + COUNTIF(ARRAYFORMULA(HLOOKUP($B44, IMPORTRANGE('Match Names'!$G$23, CONCAT(VLOOKUP($C44, 'Match Names'!$1:$22, 7, FALSE"&amp;"), ""!C3:R29"")), {5;10;14;22}, FALSE)), ""=0"") + COUNTIF(ARRAYFORMULA(HLOOKUP($B44, IMPORTRANGE('Match Names'!$H$23, CONCAT(VLOOKUP($C44, 'Match Names'!$1:$22, 8, FALSE), ""!C3:R29"")), {5;11;17;23}, FALSE)), ""=0"")"),0.0)</f>
        <v>0</v>
      </c>
      <c r="G44" s="32">
        <f>IFERROR(__xludf.DUMMYFUNCTION("COUNTIF(ARRAYFORMULA(HLOOKUP($B44, IMPORTRANGE('Prelim Rankings Unsorted'!$B$40, CONCAT(VLOOKUP($C44, 'Match Names'!$A$1:$D$22, 2, FALSE), ""!C3:R29"")), {6;11;17;23}, FALSE)), ""=-4"") + COUNTIF(ARRAYFORMULA(HLOOKUP($B44, IMPORTRANGE('Prelim Rankings Uns"&amp;"orted'!$B$41, CONCAT(VLOOKUP($C44, 'Match Names'!$A$1:$D$22, 3, FALSE), ""!C3:R29"")), {5;11;17;23}, FALSE)), ""=-4"") + COUNTIF(ARRAYFORMULA(HLOOKUP($B44, IMPORTRANGE('Prelim Rankings Unsorted'!$B$42, CONCAT(VLOOKUP($C44, 'Match Names'!$A$1:$D$22, 4, FAL"&amp;"SE), ""!C3:R29"")), {5;11;17;23}, FALSE)), ""=-4"") + COUNTIF(ARRAYFORMULA(HLOOKUP($B44, IMPORTRANGE('Match Names'!$E$23, CONCAT(VLOOKUP($C44, 'Match Names'!$1:$22, 5, FALSE), ""!C3:R29"")), {6;11;16;21}, FALSE)), ""=-4"") + COUNTIF(ARRAYFORMULA(HLOOKUP($"&amp;"B44, IMPORTRANGE('Match Names'!$F$23, CONCAT(VLOOKUP($C44, 'Match Names'!$1:$22, 6, FALSE), ""!C3:R29"")), {5;11;17;23}, FALSE)), ""=-4"") + COUNTIF(ARRAYFORMULA(HLOOKUP($B44, IMPORTRANGE('Match Names'!$G$23, CONCAT(VLOOKUP($C44, 'Match Names'!$1:$22, 7, "&amp;"FALSE), ""!C3:R29"")), {5;10;14;22}, FALSE)), ""=-4"") + COUNTIF(ARRAYFORMULA(HLOOKUP($B44, IMPORTRANGE('Match Names'!$H$23, CONCAT(VLOOKUP($C44, 'Match Names'!$1:$22, 8, FALSE), ""!C3:R29"")), {5;11;17;23}, FALSE)), ""=-4"")"),0.0)</f>
        <v>0</v>
      </c>
      <c r="H44" s="33">
        <f t="shared" si="2"/>
        <v>0</v>
      </c>
    </row>
    <row r="45">
      <c r="A45" s="31" t="s">
        <v>113</v>
      </c>
      <c r="B45" s="31" t="str">
        <f>VLOOKUP(CONCAT(A45, C45), 'Discord Username to Real Name'!C:D, 2, FALSE)</f>
        <v>a5a7#2184</v>
      </c>
      <c r="C45" s="31" t="s">
        <v>15</v>
      </c>
      <c r="D45" s="32">
        <f>IFERROR(__xludf.DUMMYFUNCTION("(4 - COUNTIF(IFERROR(ARRAYFORMULA(HLOOKUP($B45, IMPORTRANGE('Prelim Rankings Unsorted'!$B$40, CONCAT(VLOOKUP($C45, 'Match Names'!$A$1:$D$22, 2, FALSE), ""!C3:R29"")), {6;11;17;23}, FALSE)), 'Player Overall Stats Unsorted'!$AA$9:$AA$12), ""=X"")) + (4 - CO"&amp;"UNTIF(IFERROR(ARRAYFORMULA(HLOOKUP($B45, IMPORTRANGE('Prelim Rankings Unsorted'!$B$41, CONCAT(VLOOKUP($C45, 'Match Names'!$A$1:$D$22, 3, FALSE), ""!C3:R29"")), {5;11;17;23}, FALSE)), 'Player Overall Stats Unsorted'!$AA$9:$AA$12), ""=X"")) + (4 - COUNTIF(I"&amp;"FERROR(ARRAYFORMULA(HLOOKUP($B45, IMPORTRANGE('Prelim Rankings Unsorted'!$B$42, CONCAT(VLOOKUP($C45, 'Match Names'!$A$1:$D$22, 4, FALSE), ""!C3:R29"")), {5;11;17;23}, FALSE)), 'Player Overall Stats Unsorted'!$AA$9:$AA$12), ""=X"")) + (4 - COUNTIF(IFERROR("&amp;"ARRAYFORMULA(HLOOKUP($B45, IMPORTRANGE('Match Names'!$E$23, CONCAT(VLOOKUP($C45, 'Match Names'!$1:$22, 5, FALSE), ""!C3:R29"")), {5;11;16;21}, FALSE)), 'Player Overall Stats Unsorted'!$AA$9:$AA$12), ""=X"")) + (4 - COUNTIF(IFERROR(ARRAYFORMULA(HLOOKUP($B4"&amp;"5, IMPORTRANGE('Match Names'!$F$23, CONCAT(VLOOKUP($C45, 'Match Names'!$1:$22, 6, FALSE), ""!C3:R29"")), {5;11;17;23}, FALSE)), 'Player Overall Stats Unsorted'!$AA$9:$AA$12), ""=X"")) + (4 - COUNTIF(IFERROR(ARRAYFORMULA(HLOOKUP($B45, IMPORTRANGE('Match Na"&amp;"mes'!$G$23, CONCAT(VLOOKUP($C45, 'Match Names'!$1:$22, 7, FALSE), ""!C3:R29"")), {5;10;14;23}, FALSE)), 'Player Overall Stats Unsorted'!$AA$9:$AA$12), ""=X"")) + (4 - COUNTIF(IFERROR(ARRAYFORMULA(HLOOKUP($B45, IMPORTRANGE('Match Names'!$H$23, CONCAT(VLOOK"&amp;"UP($C45, 'Match Names'!$1:$22, 8, FALSE), ""!C3:R29"")), {5;11;17;23}, FALSE)), 'Player Overall Stats Unsorted'!$AA$9:$AA$12), ""=X""))"),14.0)</f>
        <v>14</v>
      </c>
      <c r="E45" s="32">
        <f>IFERROR(__xludf.DUMMYFUNCTION("COUNTIF(ARRAYFORMULA(HLOOKUP($B45, IMPORTRANGE('Prelim Rankings Unsorted'!$B$40, CONCAT(VLOOKUP($C45, 'Match Names'!$A$1:$D$22, 2, FALSE), ""!C3:R29"")), {6;11;17;23}, FALSE)), ""=4"") + COUNTIF(ARRAYFORMULA(HLOOKUP($B45, IMPORTRANGE('Prelim Rankings Unso"&amp;"rted'!$B$41, CONCAT(VLOOKUP($C45, 'Match Names'!$A$1:$D$22, 3, FALSE), ""!C3:R29"")), {5;11;17;23}, FALSE)), ""=4"") + COUNTIF(ARRAYFORMULA(HLOOKUP($B45, IMPORTRANGE('Prelim Rankings Unsorted'!$B$42, CONCAT(VLOOKUP($C45, 'Match Names'!$A$1:$D$22, 4, FALSE"&amp;"), ""!C3:R29"")), {5;11;17;23}, FALSE)), ""=4"") + COUNTIF(ARRAYFORMULA(HLOOKUP($B45, IMPORTRANGE('Match Names'!$E$23, CONCAT(VLOOKUP($C45, 'Match Names'!$1:$22, 5, FALSE), ""!C3:R29"")), {6;11;16;21}, FALSE)), ""=4"") + COUNTIF(ARRAYFORMULA(HLOOKUP($B45,"&amp;" IMPORTRANGE('Match Names'!$F$23, CONCAT(VLOOKUP($C45, 'Match Names'!$1:$22, 6, FALSE), ""!C3:R29"")), {5;11;17;23}, FALSE)), ""=4"") + COUNTIF(ARRAYFORMULA(HLOOKUP($B45, IMPORTRANGE('Match Names'!$G$23, CONCAT(VLOOKUP($C45, 'Match Names'!$1:$22, 7, FALSE"&amp;"), ""!C3:R29"")), {5;10;14;22}, FALSE)), ""=4"") + COUNTIF(ARRAYFORMULA(HLOOKUP($B45, IMPORTRANGE('Match Names'!$H$23, CONCAT(VLOOKUP($C45, 'Match Names'!$1:$22, 8, FALSE), ""!C3:R29"")), {5;11;17;23}, FALSE)), ""=4"")"),1.0)</f>
        <v>1</v>
      </c>
      <c r="F45" s="32">
        <f>IFERROR(__xludf.DUMMYFUNCTION("COUNTIF(ARRAYFORMULA(HLOOKUP($B45, IMPORTRANGE('Prelim Rankings Unsorted'!$B$40, CONCAT(VLOOKUP($C45, 'Match Names'!$A$1:$D$22, 2, FALSE), ""!C3:R29"")), {6;11;17;23}, FALSE)), ""=0"") + COUNTIF(ARRAYFORMULA(HLOOKUP($B45, IMPORTRANGE('Prelim Rankings Unso"&amp;"rted'!$B$41, CONCAT(VLOOKUP($C45, 'Match Names'!$A$1:$D$22, 3, FALSE), ""!C3:R29"")), {5;11;17;23}, FALSE)), ""=0"") + COUNTIF(ARRAYFORMULA(HLOOKUP($B45, IMPORTRANGE('Prelim Rankings Unsorted'!$B$42, CONCAT(VLOOKUP($C45, 'Match Names'!$A$1:$D$22, 4, FALSE"&amp;"), ""!C3:R29"")), {5;11;17;23}, FALSE)), ""=0"") + COUNTIF(ARRAYFORMULA(HLOOKUP($B45, IMPORTRANGE('Match Names'!$E$23, CONCAT(VLOOKUP($C45, 'Match Names'!$1:$22, 5, FALSE), ""!C3:R29"")), {6;11;16;21}, FALSE)), ""=0"") + COUNTIF(ARRAYFORMULA(HLOOKUP($B45,"&amp;" IMPORTRANGE('Match Names'!$F$23, CONCAT(VLOOKUP($C45, 'Match Names'!$1:$22, 6, FALSE), ""!C3:R29"")), {5;11;17;23}, FALSE)), ""=0"") + COUNTIF(ARRAYFORMULA(HLOOKUP($B45, IMPORTRANGE('Match Names'!$G$23, CONCAT(VLOOKUP($C45, 'Match Names'!$1:$22, 7, FALSE"&amp;"), ""!C3:R29"")), {5;10;14;22}, FALSE)), ""=0"") + COUNTIF(ARRAYFORMULA(HLOOKUP($B45, IMPORTRANGE('Match Names'!$H$23, CONCAT(VLOOKUP($C45, 'Match Names'!$1:$22, 8, FALSE), ""!C3:R29"")), {5;11;17;23}, FALSE)), ""=0"")"),2.0)</f>
        <v>2</v>
      </c>
      <c r="G45" s="32">
        <f>IFERROR(__xludf.DUMMYFUNCTION("COUNTIF(ARRAYFORMULA(HLOOKUP($B45, IMPORTRANGE('Prelim Rankings Unsorted'!$B$40, CONCAT(VLOOKUP($C45, 'Match Names'!$A$1:$D$22, 2, FALSE), ""!C3:R29"")), {6;11;17;23}, FALSE)), ""=-4"") + COUNTIF(ARRAYFORMULA(HLOOKUP($B45, IMPORTRANGE('Prelim Rankings Uns"&amp;"orted'!$B$41, CONCAT(VLOOKUP($C45, 'Match Names'!$A$1:$D$22, 3, FALSE), ""!C3:R29"")), {5;11;17;23}, FALSE)), ""=-4"") + COUNTIF(ARRAYFORMULA(HLOOKUP($B45, IMPORTRANGE('Prelim Rankings Unsorted'!$B$42, CONCAT(VLOOKUP($C45, 'Match Names'!$A$1:$D$22, 4, FAL"&amp;"SE), ""!C3:R29"")), {5;11;17;23}, FALSE)), ""=-4"") + COUNTIF(ARRAYFORMULA(HLOOKUP($B45, IMPORTRANGE('Match Names'!$E$23, CONCAT(VLOOKUP($C45, 'Match Names'!$1:$22, 5, FALSE), ""!C3:R29"")), {6;11;16;21}, FALSE)), ""=-4"") + COUNTIF(ARRAYFORMULA(HLOOKUP($"&amp;"B45, IMPORTRANGE('Match Names'!$F$23, CONCAT(VLOOKUP($C45, 'Match Names'!$1:$22, 6, FALSE), ""!C3:R29"")), {5;11;17;23}, FALSE)), ""=-4"") + COUNTIF(ARRAYFORMULA(HLOOKUP($B45, IMPORTRANGE('Match Names'!$G$23, CONCAT(VLOOKUP($C45, 'Match Names'!$1:$22, 7, "&amp;"FALSE), ""!C3:R29"")), {5;10;14;22}, FALSE)), ""=-4"") + COUNTIF(ARRAYFORMULA(HLOOKUP($B45, IMPORTRANGE('Match Names'!$H$23, CONCAT(VLOOKUP($C45, 'Match Names'!$1:$22, 8, FALSE), ""!C3:R29"")), {5;11;17;23}, FALSE)), ""=-4"")"),0.0)</f>
        <v>0</v>
      </c>
      <c r="H45" s="33">
        <f t="shared" si="2"/>
        <v>1.14</v>
      </c>
    </row>
    <row r="46">
      <c r="A46" s="31" t="s">
        <v>169</v>
      </c>
      <c r="B46" s="31" t="str">
        <f>VLOOKUP(CONCAT(A46, C46), 'Discord Username to Real Name'!C:D, 2, FALSE)</f>
        <v>Verisimilitude#2169</v>
      </c>
      <c r="C46" s="31" t="s">
        <v>15</v>
      </c>
      <c r="D46" s="32">
        <f>IFERROR(__xludf.DUMMYFUNCTION("(4 - COUNTIF(IFERROR(ARRAYFORMULA(HLOOKUP($B46, IMPORTRANGE('Prelim Rankings Unsorted'!$B$40, CONCAT(VLOOKUP($C46, 'Match Names'!$A$1:$D$22, 2, FALSE), ""!C3:R29"")), {6;11;17;23}, FALSE)), 'Player Overall Stats Unsorted'!$AA$9:$AA$12), ""=X"")) + (4 - CO"&amp;"UNTIF(IFERROR(ARRAYFORMULA(HLOOKUP($B46, IMPORTRANGE('Prelim Rankings Unsorted'!$B$41, CONCAT(VLOOKUP($C46, 'Match Names'!$A$1:$D$22, 3, FALSE), ""!C3:R29"")), {5;11;17;23}, FALSE)), 'Player Overall Stats Unsorted'!$AA$9:$AA$12), ""=X"")) + (4 - COUNTIF(I"&amp;"FERROR(ARRAYFORMULA(HLOOKUP($B46, IMPORTRANGE('Prelim Rankings Unsorted'!$B$42, CONCAT(VLOOKUP($C46, 'Match Names'!$A$1:$D$22, 4, FALSE), ""!C3:R29"")), {5;11;17;23}, FALSE)), 'Player Overall Stats Unsorted'!$AA$9:$AA$12), ""=X"")) + (4 - COUNTIF(IFERROR("&amp;"ARRAYFORMULA(HLOOKUP($B46, IMPORTRANGE('Match Names'!$E$23, CONCAT(VLOOKUP($C46, 'Match Names'!$1:$22, 5, FALSE), ""!C3:R29"")), {5;11;16;21}, FALSE)), 'Player Overall Stats Unsorted'!$AA$9:$AA$12), ""=X"")) + (4 - COUNTIF(IFERROR(ARRAYFORMULA(HLOOKUP($B4"&amp;"6, IMPORTRANGE('Match Names'!$F$23, CONCAT(VLOOKUP($C46, 'Match Names'!$1:$22, 6, FALSE), ""!C3:R29"")), {5;11;17;23}, FALSE)), 'Player Overall Stats Unsorted'!$AA$9:$AA$12), ""=X"")) + (4 - COUNTIF(IFERROR(ARRAYFORMULA(HLOOKUP($B46, IMPORTRANGE('Match Na"&amp;"mes'!$G$23, CONCAT(VLOOKUP($C46, 'Match Names'!$1:$22, 7, FALSE), ""!C3:R29"")), {5;10;14;23}, FALSE)), 'Player Overall Stats Unsorted'!$AA$9:$AA$12), ""=X"")) + (4 - COUNTIF(IFERROR(ARRAYFORMULA(HLOOKUP($B46, IMPORTRANGE('Match Names'!$H$23, CONCAT(VLOOK"&amp;"UP($C46, 'Match Names'!$1:$22, 8, FALSE), ""!C3:R29"")), {5;11;17;23}, FALSE)), 'Player Overall Stats Unsorted'!$AA$9:$AA$12), ""=X""))"),14.0)</f>
        <v>14</v>
      </c>
      <c r="E46" s="32">
        <f>IFERROR(__xludf.DUMMYFUNCTION("COUNTIF(ARRAYFORMULA(HLOOKUP($B46, IMPORTRANGE('Prelim Rankings Unsorted'!$B$40, CONCAT(VLOOKUP($C46, 'Match Names'!$A$1:$D$22, 2, FALSE), ""!C3:R29"")), {6;11;17;23}, FALSE)), ""=4"") + COUNTIF(ARRAYFORMULA(HLOOKUP($B46, IMPORTRANGE('Prelim Rankings Unso"&amp;"rted'!$B$41, CONCAT(VLOOKUP($C46, 'Match Names'!$A$1:$D$22, 3, FALSE), ""!C3:R29"")), {5;11;17;23}, FALSE)), ""=4"") + COUNTIF(ARRAYFORMULA(HLOOKUP($B46, IMPORTRANGE('Prelim Rankings Unsorted'!$B$42, CONCAT(VLOOKUP($C46, 'Match Names'!$A$1:$D$22, 4, FALSE"&amp;"), ""!C3:R29"")), {5;11;17;23}, FALSE)), ""=4"") + COUNTIF(ARRAYFORMULA(HLOOKUP($B46, IMPORTRANGE('Match Names'!$E$23, CONCAT(VLOOKUP($C46, 'Match Names'!$1:$22, 5, FALSE), ""!C3:R29"")), {6;11;16;21}, FALSE)), ""=4"") + COUNTIF(ARRAYFORMULA(HLOOKUP($B46,"&amp;" IMPORTRANGE('Match Names'!$F$23, CONCAT(VLOOKUP($C46, 'Match Names'!$1:$22, 6, FALSE), ""!C3:R29"")), {5;11;17;23}, FALSE)), ""=4"") + COUNTIF(ARRAYFORMULA(HLOOKUP($B46, IMPORTRANGE('Match Names'!$G$23, CONCAT(VLOOKUP($C46, 'Match Names'!$1:$22, 7, FALSE"&amp;"), ""!C3:R29"")), {5;10;14;22}, FALSE)), ""=4"") + COUNTIF(ARRAYFORMULA(HLOOKUP($B46, IMPORTRANGE('Match Names'!$H$23, CONCAT(VLOOKUP($C46, 'Match Names'!$1:$22, 8, FALSE), ""!C3:R29"")), {5;11;17;23}, FALSE)), ""=4"")"),0.0)</f>
        <v>0</v>
      </c>
      <c r="F46" s="32">
        <f>IFERROR(__xludf.DUMMYFUNCTION("COUNTIF(ARRAYFORMULA(HLOOKUP($B46, IMPORTRANGE('Prelim Rankings Unsorted'!$B$40, CONCAT(VLOOKUP($C46, 'Match Names'!$A$1:$D$22, 2, FALSE), ""!C3:R29"")), {6;11;17;23}, FALSE)), ""=0"") + COUNTIF(ARRAYFORMULA(HLOOKUP($B46, IMPORTRANGE('Prelim Rankings Unso"&amp;"rted'!$B$41, CONCAT(VLOOKUP($C46, 'Match Names'!$A$1:$D$22, 3, FALSE), ""!C3:R29"")), {5;11;17;23}, FALSE)), ""=0"") + COUNTIF(ARRAYFORMULA(HLOOKUP($B46, IMPORTRANGE('Prelim Rankings Unsorted'!$B$42, CONCAT(VLOOKUP($C46, 'Match Names'!$A$1:$D$22, 4, FALSE"&amp;"), ""!C3:R29"")), {5;11;17;23}, FALSE)), ""=0"") + COUNTIF(ARRAYFORMULA(HLOOKUP($B46, IMPORTRANGE('Match Names'!$E$23, CONCAT(VLOOKUP($C46, 'Match Names'!$1:$22, 5, FALSE), ""!C3:R29"")), {6;11;16;21}, FALSE)), ""=0"") + COUNTIF(ARRAYFORMULA(HLOOKUP($B46,"&amp;" IMPORTRANGE('Match Names'!$F$23, CONCAT(VLOOKUP($C46, 'Match Names'!$1:$22, 6, FALSE), ""!C3:R29"")), {5;11;17;23}, FALSE)), ""=0"") + COUNTIF(ARRAYFORMULA(HLOOKUP($B46, IMPORTRANGE('Match Names'!$G$23, CONCAT(VLOOKUP($C46, 'Match Names'!$1:$22, 7, FALSE"&amp;"), ""!C3:R29"")), {5;10;14;22}, FALSE)), ""=0"") + COUNTIF(ARRAYFORMULA(HLOOKUP($B46, IMPORTRANGE('Match Names'!$H$23, CONCAT(VLOOKUP($C46, 'Match Names'!$1:$22, 8, FALSE), ""!C3:R29"")), {5;11;17;23}, FALSE)), ""=0"")"),0.0)</f>
        <v>0</v>
      </c>
      <c r="G46" s="32">
        <f>IFERROR(__xludf.DUMMYFUNCTION("COUNTIF(ARRAYFORMULA(HLOOKUP($B46, IMPORTRANGE('Prelim Rankings Unsorted'!$B$40, CONCAT(VLOOKUP($C46, 'Match Names'!$A$1:$D$22, 2, FALSE), ""!C3:R29"")), {6;11;17;23}, FALSE)), ""=-4"") + COUNTIF(ARRAYFORMULA(HLOOKUP($B46, IMPORTRANGE('Prelim Rankings Uns"&amp;"orted'!$B$41, CONCAT(VLOOKUP($C46, 'Match Names'!$A$1:$D$22, 3, FALSE), ""!C3:R29"")), {5;11;17;23}, FALSE)), ""=-4"") + COUNTIF(ARRAYFORMULA(HLOOKUP($B46, IMPORTRANGE('Prelim Rankings Unsorted'!$B$42, CONCAT(VLOOKUP($C46, 'Match Names'!$A$1:$D$22, 4, FAL"&amp;"SE), ""!C3:R29"")), {5;11;17;23}, FALSE)), ""=-4"") + COUNTIF(ARRAYFORMULA(HLOOKUP($B46, IMPORTRANGE('Match Names'!$E$23, CONCAT(VLOOKUP($C46, 'Match Names'!$1:$22, 5, FALSE), ""!C3:R29"")), {6;11;16;21}, FALSE)), ""=-4"") + COUNTIF(ARRAYFORMULA(HLOOKUP($"&amp;"B46, IMPORTRANGE('Match Names'!$F$23, CONCAT(VLOOKUP($C46, 'Match Names'!$1:$22, 6, FALSE), ""!C3:R29"")), {5;11;17;23}, FALSE)), ""=-4"") + COUNTIF(ARRAYFORMULA(HLOOKUP($B46, IMPORTRANGE('Match Names'!$G$23, CONCAT(VLOOKUP($C46, 'Match Names'!$1:$22, 7, "&amp;"FALSE), ""!C3:R29"")), {5;10;14;22}, FALSE)), ""=-4"") + COUNTIF(ARRAYFORMULA(HLOOKUP($B46, IMPORTRANGE('Match Names'!$H$23, CONCAT(VLOOKUP($C46, 'Match Names'!$1:$22, 8, FALSE), ""!C3:R29"")), {5;11;17;23}, FALSE)), ""=-4"")"),0.0)</f>
        <v>0</v>
      </c>
      <c r="H46" s="33">
        <f t="shared" si="2"/>
        <v>0</v>
      </c>
    </row>
    <row r="47">
      <c r="A47" s="31" t="s">
        <v>127</v>
      </c>
      <c r="B47" s="31" t="str">
        <f>VLOOKUP(CONCAT(A47, C47), 'Discord Username to Real Name'!C:D, 2, FALSE)</f>
        <v>PerfectPenguin#3133</v>
      </c>
      <c r="C47" s="31" t="s">
        <v>15</v>
      </c>
      <c r="D47" s="32">
        <f>IFERROR(__xludf.DUMMYFUNCTION("(4 - COUNTIF(IFERROR(ARRAYFORMULA(HLOOKUP($B47, IMPORTRANGE('Prelim Rankings Unsorted'!$B$40, CONCAT(VLOOKUP($C47, 'Match Names'!$A$1:$D$22, 2, FALSE), ""!C3:R29"")), {6;11;17;23}, FALSE)), 'Player Overall Stats Unsorted'!$AA$9:$AA$12), ""=X"")) + (4 - CO"&amp;"UNTIF(IFERROR(ARRAYFORMULA(HLOOKUP($B47, IMPORTRANGE('Prelim Rankings Unsorted'!$B$41, CONCAT(VLOOKUP($C47, 'Match Names'!$A$1:$D$22, 3, FALSE), ""!C3:R29"")), {5;11;17;23}, FALSE)), 'Player Overall Stats Unsorted'!$AA$9:$AA$12), ""=X"")) + (4 - COUNTIF(I"&amp;"FERROR(ARRAYFORMULA(HLOOKUP($B47, IMPORTRANGE('Prelim Rankings Unsorted'!$B$42, CONCAT(VLOOKUP($C47, 'Match Names'!$A$1:$D$22, 4, FALSE), ""!C3:R29"")), {5;11;17;23}, FALSE)), 'Player Overall Stats Unsorted'!$AA$9:$AA$12), ""=X"")) + (4 - COUNTIF(IFERROR("&amp;"ARRAYFORMULA(HLOOKUP($B47, IMPORTRANGE('Match Names'!$E$23, CONCAT(VLOOKUP($C47, 'Match Names'!$1:$22, 5, FALSE), ""!C3:R29"")), {5;11;16;21}, FALSE)), 'Player Overall Stats Unsorted'!$AA$9:$AA$12), ""=X"")) + (4 - COUNTIF(IFERROR(ARRAYFORMULA(HLOOKUP($B4"&amp;"7, IMPORTRANGE('Match Names'!$F$23, CONCAT(VLOOKUP($C47, 'Match Names'!$1:$22, 6, FALSE), ""!C3:R29"")), {5;11;17;23}, FALSE)), 'Player Overall Stats Unsorted'!$AA$9:$AA$12), ""=X"")) + (4 - COUNTIF(IFERROR(ARRAYFORMULA(HLOOKUP($B47, IMPORTRANGE('Match Na"&amp;"mes'!$G$23, CONCAT(VLOOKUP($C47, 'Match Names'!$1:$22, 7, FALSE), ""!C3:R29"")), {5;10;14;23}, FALSE)), 'Player Overall Stats Unsorted'!$AA$9:$AA$12), ""=X"")) + (4 - COUNTIF(IFERROR(ARRAYFORMULA(HLOOKUP($B47, IMPORTRANGE('Match Names'!$H$23, CONCAT(VLOOK"&amp;"UP($C47, 'Match Names'!$1:$22, 8, FALSE), ""!C3:R29"")), {5;11;17;23}, FALSE)), 'Player Overall Stats Unsorted'!$AA$9:$AA$12), ""=X""))"),24.0)</f>
        <v>24</v>
      </c>
      <c r="E47" s="32">
        <f>IFERROR(__xludf.DUMMYFUNCTION("COUNTIF(ARRAYFORMULA(HLOOKUP($B47, IMPORTRANGE('Prelim Rankings Unsorted'!$B$40, CONCAT(VLOOKUP($C47, 'Match Names'!$A$1:$D$22, 2, FALSE), ""!C3:R29"")), {6;11;17;23}, FALSE)), ""=4"") + COUNTIF(ARRAYFORMULA(HLOOKUP($B47, IMPORTRANGE('Prelim Rankings Unso"&amp;"rted'!$B$41, CONCAT(VLOOKUP($C47, 'Match Names'!$A$1:$D$22, 3, FALSE), ""!C3:R29"")), {5;11;17;23}, FALSE)), ""=4"") + COUNTIF(ARRAYFORMULA(HLOOKUP($B47, IMPORTRANGE('Prelim Rankings Unsorted'!$B$42, CONCAT(VLOOKUP($C47, 'Match Names'!$A$1:$D$22, 4, FALSE"&amp;"), ""!C3:R29"")), {5;11;17;23}, FALSE)), ""=4"") + COUNTIF(ARRAYFORMULA(HLOOKUP($B47, IMPORTRANGE('Match Names'!$E$23, CONCAT(VLOOKUP($C47, 'Match Names'!$1:$22, 5, FALSE), ""!C3:R29"")), {6;11;16;21}, FALSE)), ""=4"") + COUNTIF(ARRAYFORMULA(HLOOKUP($B47,"&amp;" IMPORTRANGE('Match Names'!$F$23, CONCAT(VLOOKUP($C47, 'Match Names'!$1:$22, 6, FALSE), ""!C3:R29"")), {5;11;17;23}, FALSE)), ""=4"") + COUNTIF(ARRAYFORMULA(HLOOKUP($B47, IMPORTRANGE('Match Names'!$G$23, CONCAT(VLOOKUP($C47, 'Match Names'!$1:$22, 7, FALSE"&amp;"), ""!C3:R29"")), {5;10;14;22}, FALSE)), ""=4"") + COUNTIF(ARRAYFORMULA(HLOOKUP($B47, IMPORTRANGE('Match Names'!$H$23, CONCAT(VLOOKUP($C47, 'Match Names'!$1:$22, 8, FALSE), ""!C3:R29"")), {5;11;17;23}, FALSE)), ""=4"")"),0.0)</f>
        <v>0</v>
      </c>
      <c r="F47" s="32">
        <f>IFERROR(__xludf.DUMMYFUNCTION("COUNTIF(ARRAYFORMULA(HLOOKUP($B47, IMPORTRANGE('Prelim Rankings Unsorted'!$B$40, CONCAT(VLOOKUP($C47, 'Match Names'!$A$1:$D$22, 2, FALSE), ""!C3:R29"")), {6;11;17;23}, FALSE)), ""=0"") + COUNTIF(ARRAYFORMULA(HLOOKUP($B47, IMPORTRANGE('Prelim Rankings Unso"&amp;"rted'!$B$41, CONCAT(VLOOKUP($C47, 'Match Names'!$A$1:$D$22, 3, FALSE), ""!C3:R29"")), {5;11;17;23}, FALSE)), ""=0"") + COUNTIF(ARRAYFORMULA(HLOOKUP($B47, IMPORTRANGE('Prelim Rankings Unsorted'!$B$42, CONCAT(VLOOKUP($C47, 'Match Names'!$A$1:$D$22, 4, FALSE"&amp;"), ""!C3:R29"")), {5;11;17;23}, FALSE)), ""=0"") + COUNTIF(ARRAYFORMULA(HLOOKUP($B47, IMPORTRANGE('Match Names'!$E$23, CONCAT(VLOOKUP($C47, 'Match Names'!$1:$22, 5, FALSE), ""!C3:R29"")), {6;11;16;21}, FALSE)), ""=0"") + COUNTIF(ARRAYFORMULA(HLOOKUP($B47,"&amp;" IMPORTRANGE('Match Names'!$F$23, CONCAT(VLOOKUP($C47, 'Match Names'!$1:$22, 6, FALSE), ""!C3:R29"")), {5;11;17;23}, FALSE)), ""=0"") + COUNTIF(ARRAYFORMULA(HLOOKUP($B47, IMPORTRANGE('Match Names'!$G$23, CONCAT(VLOOKUP($C47, 'Match Names'!$1:$22, 7, FALSE"&amp;"), ""!C3:R29"")), {5;10;14;22}, FALSE)), ""=0"") + COUNTIF(ARRAYFORMULA(HLOOKUP($B47, IMPORTRANGE('Match Names'!$H$23, CONCAT(VLOOKUP($C47, 'Match Names'!$1:$22, 8, FALSE), ""!C3:R29"")), {5;11;17;23}, FALSE)), ""=0"")"),0.0)</f>
        <v>0</v>
      </c>
      <c r="G47" s="32">
        <f>IFERROR(__xludf.DUMMYFUNCTION("COUNTIF(ARRAYFORMULA(HLOOKUP($B47, IMPORTRANGE('Prelim Rankings Unsorted'!$B$40, CONCAT(VLOOKUP($C47, 'Match Names'!$A$1:$D$22, 2, FALSE), ""!C3:R29"")), {6;11;17;23}, FALSE)), ""=-4"") + COUNTIF(ARRAYFORMULA(HLOOKUP($B47, IMPORTRANGE('Prelim Rankings Uns"&amp;"orted'!$B$41, CONCAT(VLOOKUP($C47, 'Match Names'!$A$1:$D$22, 3, FALSE), ""!C3:R29"")), {5;11;17;23}, FALSE)), ""=-4"") + COUNTIF(ARRAYFORMULA(HLOOKUP($B47, IMPORTRANGE('Prelim Rankings Unsorted'!$B$42, CONCAT(VLOOKUP($C47, 'Match Names'!$A$1:$D$22, 4, FAL"&amp;"SE), ""!C3:R29"")), {5;11;17;23}, FALSE)), ""=-4"") + COUNTIF(ARRAYFORMULA(HLOOKUP($B47, IMPORTRANGE('Match Names'!$E$23, CONCAT(VLOOKUP($C47, 'Match Names'!$1:$22, 5, FALSE), ""!C3:R29"")), {6;11;16;21}, FALSE)), ""=-4"") + COUNTIF(ARRAYFORMULA(HLOOKUP($"&amp;"B47, IMPORTRANGE('Match Names'!$F$23, CONCAT(VLOOKUP($C47, 'Match Names'!$1:$22, 6, FALSE), ""!C3:R29"")), {5;11;17;23}, FALSE)), ""=-4"") + COUNTIF(ARRAYFORMULA(HLOOKUP($B47, IMPORTRANGE('Match Names'!$G$23, CONCAT(VLOOKUP($C47, 'Match Names'!$1:$22, 7, "&amp;"FALSE), ""!C3:R29"")), {5;10;14;22}, FALSE)), ""=-4"") + COUNTIF(ARRAYFORMULA(HLOOKUP($B47, IMPORTRANGE('Match Names'!$H$23, CONCAT(VLOOKUP($C47, 'Match Names'!$1:$22, 8, FALSE), ""!C3:R29"")), {5;11;17;23}, FALSE)), ""=-4"")"),0.0)</f>
        <v>0</v>
      </c>
      <c r="H47" s="33">
        <f t="shared" si="2"/>
        <v>0</v>
      </c>
    </row>
    <row r="48">
      <c r="A48" s="21" t="s">
        <v>41</v>
      </c>
      <c r="B48" s="31" t="str">
        <f>VLOOKUP(CONCAT(A48, C48), 'Discord Username to Real Name'!C:D, 2, FALSE)</f>
        <v>ClownFrogg𓆏#3571</v>
      </c>
      <c r="C48" s="21" t="s">
        <v>14</v>
      </c>
      <c r="D48" s="32">
        <f>IFERROR(__xludf.DUMMYFUNCTION("(4 - COUNTIF(IFERROR(ARRAYFORMULA(HLOOKUP($B48, IMPORTRANGE('Prelim Rankings Unsorted'!$B$40, CONCAT(VLOOKUP($C48, 'Match Names'!$A$1:$D$22, 2, FALSE), ""!C3:R29"")), {6;11;17;23}, FALSE)), 'Player Overall Stats Unsorted'!$AA$9:$AA$12), ""=X"")) + (4 - CO"&amp;"UNTIF(IFERROR(ARRAYFORMULA(HLOOKUP($B48, IMPORTRANGE('Prelim Rankings Unsorted'!$B$41, CONCAT(VLOOKUP($C48, 'Match Names'!$A$1:$D$22, 3, FALSE), ""!C3:R29"")), {5;11;17;23}, FALSE)), 'Player Overall Stats Unsorted'!$AA$9:$AA$12), ""=X"")) + (4 - COUNTIF(I"&amp;"FERROR(ARRAYFORMULA(HLOOKUP($B48, IMPORTRANGE('Prelim Rankings Unsorted'!$B$42, CONCAT(VLOOKUP($C48, 'Match Names'!$A$1:$D$22, 4, FALSE), ""!C3:R29"")), {5;11;17;23}, FALSE)), 'Player Overall Stats Unsorted'!$AA$9:$AA$12), ""=X"")) + (4 - COUNTIF(IFERROR("&amp;"ARRAYFORMULA(HLOOKUP($B48, IMPORTRANGE('Match Names'!$E$23, CONCAT(VLOOKUP($C48, 'Match Names'!$1:$22, 5, FALSE), ""!C3:R29"")), {5;11;16;21}, FALSE)), 'Player Overall Stats Unsorted'!$AA$9:$AA$12), ""=X"")) + (4 - COUNTIF(IFERROR(ARRAYFORMULA(HLOOKUP($B4"&amp;"8, IMPORTRANGE('Match Names'!$F$23, CONCAT(VLOOKUP($C48, 'Match Names'!$1:$22, 6, FALSE), ""!C3:R29"")), {5;11;17;23}, FALSE)), 'Player Overall Stats Unsorted'!$AA$9:$AA$12), ""=X"")) + (4 - COUNTIF(IFERROR(ARRAYFORMULA(HLOOKUP($B48, IMPORTRANGE('Match Na"&amp;"mes'!$G$23, CONCAT(VLOOKUP($C48, 'Match Names'!$1:$22, 7, FALSE), ""!C3:R29"")), {5;10;14;23}, FALSE)), 'Player Overall Stats Unsorted'!$AA$9:$AA$12), ""=X"")) + (4 - COUNTIF(IFERROR(ARRAYFORMULA(HLOOKUP($B48, IMPORTRANGE('Match Names'!$H$23, CONCAT(VLOOK"&amp;"UP($C48, 'Match Names'!$1:$22, 8, FALSE), ""!C3:R29"")), {5;11;17;23}, FALSE)), 'Player Overall Stats Unsorted'!$AA$9:$AA$12), ""=X""))"),24.0)</f>
        <v>24</v>
      </c>
      <c r="E48" s="32">
        <f>IFERROR(__xludf.DUMMYFUNCTION("COUNTIF(ARRAYFORMULA(HLOOKUP($B48, IMPORTRANGE('Prelim Rankings Unsorted'!$B$40, CONCAT(VLOOKUP($C48, 'Match Names'!$A$1:$D$22, 2, FALSE), ""!C3:R29"")), {6;11;17;23}, FALSE)), ""=4"") + COUNTIF(ARRAYFORMULA(HLOOKUP($B48, IMPORTRANGE('Prelim Rankings Unso"&amp;"rted'!$B$41, CONCAT(VLOOKUP($C48, 'Match Names'!$A$1:$D$22, 3, FALSE), ""!C3:R29"")), {5;11;17;23}, FALSE)), ""=4"") + COUNTIF(ARRAYFORMULA(HLOOKUP($B48, IMPORTRANGE('Prelim Rankings Unsorted'!$B$42, CONCAT(VLOOKUP($C48, 'Match Names'!$A$1:$D$22, 4, FALSE"&amp;"), ""!C3:R29"")), {5;11;17;23}, FALSE)), ""=4"") + COUNTIF(ARRAYFORMULA(HLOOKUP($B48, IMPORTRANGE('Match Names'!$E$23, CONCAT(VLOOKUP($C48, 'Match Names'!$1:$22, 5, FALSE), ""!C3:R29"")), {6;11;16;21}, FALSE)), ""=4"") + COUNTIF(ARRAYFORMULA(HLOOKUP($B48,"&amp;" IMPORTRANGE('Match Names'!$F$23, CONCAT(VLOOKUP($C48, 'Match Names'!$1:$22, 6, FALSE), ""!C3:R29"")), {5;11;17;23}, FALSE)), ""=4"") + COUNTIF(ARRAYFORMULA(HLOOKUP($B48, IMPORTRANGE('Match Names'!$G$23, CONCAT(VLOOKUP($C48, 'Match Names'!$1:$22, 7, FALSE"&amp;"), ""!C3:R29"")), {5;10;14;22}, FALSE)), ""=4"") + COUNTIF(ARRAYFORMULA(HLOOKUP($B48, IMPORTRANGE('Match Names'!$H$23, CONCAT(VLOOKUP($C48, 'Match Names'!$1:$22, 8, FALSE), ""!C3:R29"")), {5;11;17;23}, FALSE)), ""=4"")"),10.0)</f>
        <v>10</v>
      </c>
      <c r="F48" s="32">
        <f>IFERROR(__xludf.DUMMYFUNCTION("COUNTIF(ARRAYFORMULA(HLOOKUP($B48, IMPORTRANGE('Prelim Rankings Unsorted'!$B$40, CONCAT(VLOOKUP($C48, 'Match Names'!$A$1:$D$22, 2, FALSE), ""!C3:R29"")), {6;11;17;23}, FALSE)), ""=0"") + COUNTIF(ARRAYFORMULA(HLOOKUP($B48, IMPORTRANGE('Prelim Rankings Unso"&amp;"rted'!$B$41, CONCAT(VLOOKUP($C48, 'Match Names'!$A$1:$D$22, 3, FALSE), ""!C3:R29"")), {5;11;17;23}, FALSE)), ""=0"") + COUNTIF(ARRAYFORMULA(HLOOKUP($B48, IMPORTRANGE('Prelim Rankings Unsorted'!$B$42, CONCAT(VLOOKUP($C48, 'Match Names'!$A$1:$D$22, 4, FALSE"&amp;"), ""!C3:R29"")), {5;11;17;23}, FALSE)), ""=0"") + COUNTIF(ARRAYFORMULA(HLOOKUP($B48, IMPORTRANGE('Match Names'!$E$23, CONCAT(VLOOKUP($C48, 'Match Names'!$1:$22, 5, FALSE), ""!C3:R29"")), {6;11;16;21}, FALSE)), ""=0"") + COUNTIF(ARRAYFORMULA(HLOOKUP($B48,"&amp;" IMPORTRANGE('Match Names'!$F$23, CONCAT(VLOOKUP($C48, 'Match Names'!$1:$22, 6, FALSE), ""!C3:R29"")), {5;11;17;23}, FALSE)), ""=0"") + COUNTIF(ARRAYFORMULA(HLOOKUP($B48, IMPORTRANGE('Match Names'!$G$23, CONCAT(VLOOKUP($C48, 'Match Names'!$1:$22, 7, FALSE"&amp;"), ""!C3:R29"")), {5;10;14;22}, FALSE)), ""=0"") + COUNTIF(ARRAYFORMULA(HLOOKUP($B48, IMPORTRANGE('Match Names'!$H$23, CONCAT(VLOOKUP($C48, 'Match Names'!$1:$22, 8, FALSE), ""!C3:R29"")), {5;11;17;23}, FALSE)), ""=0"")"),6.0)</f>
        <v>6</v>
      </c>
      <c r="G48" s="32">
        <f>IFERROR(__xludf.DUMMYFUNCTION("COUNTIF(ARRAYFORMULA(HLOOKUP($B48, IMPORTRANGE('Prelim Rankings Unsorted'!$B$40, CONCAT(VLOOKUP($C48, 'Match Names'!$A$1:$D$22, 2, FALSE), ""!C3:R29"")), {6;11;17;23}, FALSE)), ""=-4"") + COUNTIF(ARRAYFORMULA(HLOOKUP($B48, IMPORTRANGE('Prelim Rankings Uns"&amp;"orted'!$B$41, CONCAT(VLOOKUP($C48, 'Match Names'!$A$1:$D$22, 3, FALSE), ""!C3:R29"")), {5;11;17;23}, FALSE)), ""=-4"") + COUNTIF(ARRAYFORMULA(HLOOKUP($B48, IMPORTRANGE('Prelim Rankings Unsorted'!$B$42, CONCAT(VLOOKUP($C48, 'Match Names'!$A$1:$D$22, 4, FAL"&amp;"SE), ""!C3:R29"")), {5;11;17;23}, FALSE)), ""=-4"") + COUNTIF(ARRAYFORMULA(HLOOKUP($B48, IMPORTRANGE('Match Names'!$E$23, CONCAT(VLOOKUP($C48, 'Match Names'!$1:$22, 5, FALSE), ""!C3:R29"")), {6;11;16;21}, FALSE)), ""=-4"") + COUNTIF(ARRAYFORMULA(HLOOKUP($"&amp;"B48, IMPORTRANGE('Match Names'!$F$23, CONCAT(VLOOKUP($C48, 'Match Names'!$1:$22, 6, FALSE), ""!C3:R29"")), {5;11;17;23}, FALSE)), ""=-4"") + COUNTIF(ARRAYFORMULA(HLOOKUP($B48, IMPORTRANGE('Match Names'!$G$23, CONCAT(VLOOKUP($C48, 'Match Names'!$1:$22, 7, "&amp;"FALSE), ""!C3:R29"")), {5;10;14;22}, FALSE)), ""=-4"") + COUNTIF(ARRAYFORMULA(HLOOKUP($B48, IMPORTRANGE('Match Names'!$H$23, CONCAT(VLOOKUP($C48, 'Match Names'!$1:$22, 8, FALSE), ""!C3:R29"")), {5;11;17;23}, FALSE)), ""=-4"")"),0.0)</f>
        <v>0</v>
      </c>
      <c r="H48" s="33">
        <f t="shared" si="2"/>
        <v>6.67</v>
      </c>
    </row>
    <row r="49">
      <c r="A49" s="21" t="s">
        <v>56</v>
      </c>
      <c r="B49" s="31" t="str">
        <f>VLOOKUP(CONCAT(A49, C49), 'Discord Username to Real Name'!C:D, 2, FALSE)</f>
        <v>WeisPickle#1350</v>
      </c>
      <c r="C49" s="21" t="s">
        <v>14</v>
      </c>
      <c r="D49" s="32">
        <f>IFERROR(__xludf.DUMMYFUNCTION("(4 - COUNTIF(IFERROR(ARRAYFORMULA(HLOOKUP($B49, IMPORTRANGE('Prelim Rankings Unsorted'!$B$40, CONCAT(VLOOKUP($C49, 'Match Names'!$A$1:$D$22, 2, FALSE), ""!C3:R29"")), {6;11;17;23}, FALSE)), 'Player Overall Stats Unsorted'!$AA$9:$AA$12), ""=X"")) + (4 - CO"&amp;"UNTIF(IFERROR(ARRAYFORMULA(HLOOKUP($B49, IMPORTRANGE('Prelim Rankings Unsorted'!$B$41, CONCAT(VLOOKUP($C49, 'Match Names'!$A$1:$D$22, 3, FALSE), ""!C3:R29"")), {5;11;17;23}, FALSE)), 'Player Overall Stats Unsorted'!$AA$9:$AA$12), ""=X"")) + (4 - COUNTIF(I"&amp;"FERROR(ARRAYFORMULA(HLOOKUP($B49, IMPORTRANGE('Prelim Rankings Unsorted'!$B$42, CONCAT(VLOOKUP($C49, 'Match Names'!$A$1:$D$22, 4, FALSE), ""!C3:R29"")), {5;11;17;23}, FALSE)), 'Player Overall Stats Unsorted'!$AA$9:$AA$12), ""=X"")) + (4 - COUNTIF(IFERROR("&amp;"ARRAYFORMULA(HLOOKUP($B49, IMPORTRANGE('Match Names'!$E$23, CONCAT(VLOOKUP($C49, 'Match Names'!$1:$22, 5, FALSE), ""!C3:R29"")), {5;11;16;21}, FALSE)), 'Player Overall Stats Unsorted'!$AA$9:$AA$12), ""=X"")) + (4 - COUNTIF(IFERROR(ARRAYFORMULA(HLOOKUP($B4"&amp;"9, IMPORTRANGE('Match Names'!$F$23, CONCAT(VLOOKUP($C49, 'Match Names'!$1:$22, 6, FALSE), ""!C3:R29"")), {5;11;17;23}, FALSE)), 'Player Overall Stats Unsorted'!$AA$9:$AA$12), ""=X"")) + (4 - COUNTIF(IFERROR(ARRAYFORMULA(HLOOKUP($B49, IMPORTRANGE('Match Na"&amp;"mes'!$G$23, CONCAT(VLOOKUP($C49, 'Match Names'!$1:$22, 7, FALSE), ""!C3:R29"")), {5;10;14;23}, FALSE)), 'Player Overall Stats Unsorted'!$AA$9:$AA$12), ""=X"")) + (4 - COUNTIF(IFERROR(ARRAYFORMULA(HLOOKUP($B49, IMPORTRANGE('Match Names'!$H$23, CONCAT(VLOOK"&amp;"UP($C49, 'Match Names'!$1:$22, 8, FALSE), ""!C3:R29"")), {5;11;17;23}, FALSE)), 'Player Overall Stats Unsorted'!$AA$9:$AA$12), ""=X""))"),24.0)</f>
        <v>24</v>
      </c>
      <c r="E49" s="32">
        <f>IFERROR(__xludf.DUMMYFUNCTION("COUNTIF(ARRAYFORMULA(HLOOKUP($B49, IMPORTRANGE('Prelim Rankings Unsorted'!$B$40, CONCAT(VLOOKUP($C49, 'Match Names'!$A$1:$D$22, 2, FALSE), ""!C3:R29"")), {6;11;17;23}, FALSE)), ""=4"") + COUNTIF(ARRAYFORMULA(HLOOKUP($B49, IMPORTRANGE('Prelim Rankings Unso"&amp;"rted'!$B$41, CONCAT(VLOOKUP($C49, 'Match Names'!$A$1:$D$22, 3, FALSE), ""!C3:R29"")), {5;11;17;23}, FALSE)), ""=4"") + COUNTIF(ARRAYFORMULA(HLOOKUP($B49, IMPORTRANGE('Prelim Rankings Unsorted'!$B$42, CONCAT(VLOOKUP($C49, 'Match Names'!$A$1:$D$22, 4, FALSE"&amp;"), ""!C3:R29"")), {5;11;17;23}, FALSE)), ""=4"") + COUNTIF(ARRAYFORMULA(HLOOKUP($B49, IMPORTRANGE('Match Names'!$E$23, CONCAT(VLOOKUP($C49, 'Match Names'!$1:$22, 5, FALSE), ""!C3:R29"")), {6;11;16;21}, FALSE)), ""=4"") + COUNTIF(ARRAYFORMULA(HLOOKUP($B49,"&amp;" IMPORTRANGE('Match Names'!$F$23, CONCAT(VLOOKUP($C49, 'Match Names'!$1:$22, 6, FALSE), ""!C3:R29"")), {5;11;17;23}, FALSE)), ""=4"") + COUNTIF(ARRAYFORMULA(HLOOKUP($B49, IMPORTRANGE('Match Names'!$G$23, CONCAT(VLOOKUP($C49, 'Match Names'!$1:$22, 7, FALSE"&amp;"), ""!C3:R29"")), {5;10;14;22}, FALSE)), ""=4"") + COUNTIF(ARRAYFORMULA(HLOOKUP($B49, IMPORTRANGE('Match Names'!$H$23, CONCAT(VLOOKUP($C49, 'Match Names'!$1:$22, 8, FALSE), ""!C3:R29"")), {5;11;17;23}, FALSE)), ""=4"")"),0.0)</f>
        <v>0</v>
      </c>
      <c r="F49" s="32">
        <f>IFERROR(__xludf.DUMMYFUNCTION("COUNTIF(ARRAYFORMULA(HLOOKUP($B49, IMPORTRANGE('Prelim Rankings Unsorted'!$B$40, CONCAT(VLOOKUP($C49, 'Match Names'!$A$1:$D$22, 2, FALSE), ""!C3:R29"")), {6;11;17;23}, FALSE)), ""=0"") + COUNTIF(ARRAYFORMULA(HLOOKUP($B49, IMPORTRANGE('Prelim Rankings Unso"&amp;"rted'!$B$41, CONCAT(VLOOKUP($C49, 'Match Names'!$A$1:$D$22, 3, FALSE), ""!C3:R29"")), {5;11;17;23}, FALSE)), ""=0"") + COUNTIF(ARRAYFORMULA(HLOOKUP($B49, IMPORTRANGE('Prelim Rankings Unsorted'!$B$42, CONCAT(VLOOKUP($C49, 'Match Names'!$A$1:$D$22, 4, FALSE"&amp;"), ""!C3:R29"")), {5;11;17;23}, FALSE)), ""=0"") + COUNTIF(ARRAYFORMULA(HLOOKUP($B49, IMPORTRANGE('Match Names'!$E$23, CONCAT(VLOOKUP($C49, 'Match Names'!$1:$22, 5, FALSE), ""!C3:R29"")), {6;11;16;21}, FALSE)), ""=0"") + COUNTIF(ARRAYFORMULA(HLOOKUP($B49,"&amp;" IMPORTRANGE('Match Names'!$F$23, CONCAT(VLOOKUP($C49, 'Match Names'!$1:$22, 6, FALSE), ""!C3:R29"")), {5;11;17;23}, FALSE)), ""=0"") + COUNTIF(ARRAYFORMULA(HLOOKUP($B49, IMPORTRANGE('Match Names'!$G$23, CONCAT(VLOOKUP($C49, 'Match Names'!$1:$22, 7, FALSE"&amp;"), ""!C3:R29"")), {5;10;14;22}, FALSE)), ""=0"") + COUNTIF(ARRAYFORMULA(HLOOKUP($B49, IMPORTRANGE('Match Names'!$H$23, CONCAT(VLOOKUP($C49, 'Match Names'!$1:$22, 8, FALSE), ""!C3:R29"")), {5;11;17;23}, FALSE)), ""=0"")"),1.0)</f>
        <v>1</v>
      </c>
      <c r="G49" s="32">
        <f>IFERROR(__xludf.DUMMYFUNCTION("COUNTIF(ARRAYFORMULA(HLOOKUP($B49, IMPORTRANGE('Prelim Rankings Unsorted'!$B$40, CONCAT(VLOOKUP($C49, 'Match Names'!$A$1:$D$22, 2, FALSE), ""!C3:R29"")), {6;11;17;23}, FALSE)), ""=-4"") + COUNTIF(ARRAYFORMULA(HLOOKUP($B49, IMPORTRANGE('Prelim Rankings Uns"&amp;"orted'!$B$41, CONCAT(VLOOKUP($C49, 'Match Names'!$A$1:$D$22, 3, FALSE), ""!C3:R29"")), {5;11;17;23}, FALSE)), ""=-4"") + COUNTIF(ARRAYFORMULA(HLOOKUP($B49, IMPORTRANGE('Prelim Rankings Unsorted'!$B$42, CONCAT(VLOOKUP($C49, 'Match Names'!$A$1:$D$22, 4, FAL"&amp;"SE), ""!C3:R29"")), {5;11;17;23}, FALSE)), ""=-4"") + COUNTIF(ARRAYFORMULA(HLOOKUP($B49, IMPORTRANGE('Match Names'!$E$23, CONCAT(VLOOKUP($C49, 'Match Names'!$1:$22, 5, FALSE), ""!C3:R29"")), {6;11;16;21}, FALSE)), ""=-4"") + COUNTIF(ARRAYFORMULA(HLOOKUP($"&amp;"B49, IMPORTRANGE('Match Names'!$F$23, CONCAT(VLOOKUP($C49, 'Match Names'!$1:$22, 6, FALSE), ""!C3:R29"")), {5;11;17;23}, FALSE)), ""=-4"") + COUNTIF(ARRAYFORMULA(HLOOKUP($B49, IMPORTRANGE('Match Names'!$G$23, CONCAT(VLOOKUP($C49, 'Match Names'!$1:$22, 7, "&amp;"FALSE), ""!C3:R29"")), {5;10;14;22}, FALSE)), ""=-4"") + COUNTIF(ARRAYFORMULA(HLOOKUP($B49, IMPORTRANGE('Match Names'!$H$23, CONCAT(VLOOKUP($C49, 'Match Names'!$1:$22, 8, FALSE), ""!C3:R29"")), {5;11;17;23}, FALSE)), ""=-4"")"),0.0)</f>
        <v>0</v>
      </c>
      <c r="H49" s="33">
        <f t="shared" si="2"/>
        <v>0</v>
      </c>
    </row>
    <row r="50">
      <c r="A50" s="21" t="s">
        <v>132</v>
      </c>
      <c r="B50" s="31" t="str">
        <f>VLOOKUP(CONCAT(A50, C50), 'Discord Username to Real Name'!C:D, 2, FALSE)</f>
        <v>Endoplasmic Rayticulum#6706</v>
      </c>
      <c r="C50" s="21" t="s">
        <v>14</v>
      </c>
      <c r="D50" s="32">
        <f>IFERROR(__xludf.DUMMYFUNCTION("(4 - COUNTIF(IFERROR(ARRAYFORMULA(HLOOKUP($B50, IMPORTRANGE('Prelim Rankings Unsorted'!$B$40, CONCAT(VLOOKUP($C50, 'Match Names'!$A$1:$D$22, 2, FALSE), ""!C3:R29"")), {6;11;17;23}, FALSE)), 'Player Overall Stats Unsorted'!$AA$9:$AA$12), ""=X"")) + (4 - CO"&amp;"UNTIF(IFERROR(ARRAYFORMULA(HLOOKUP($B50, IMPORTRANGE('Prelim Rankings Unsorted'!$B$41, CONCAT(VLOOKUP($C50, 'Match Names'!$A$1:$D$22, 3, FALSE), ""!C3:R29"")), {5;11;17;23}, FALSE)), 'Player Overall Stats Unsorted'!$AA$9:$AA$12), ""=X"")) + (4 - COUNTIF(I"&amp;"FERROR(ARRAYFORMULA(HLOOKUP($B50, IMPORTRANGE('Prelim Rankings Unsorted'!$B$42, CONCAT(VLOOKUP($C50, 'Match Names'!$A$1:$D$22, 4, FALSE), ""!C3:R29"")), {5;11;17;23}, FALSE)), 'Player Overall Stats Unsorted'!$AA$9:$AA$12), ""=X"")) + (4 - COUNTIF(IFERROR("&amp;"ARRAYFORMULA(HLOOKUP($B50, IMPORTRANGE('Match Names'!$E$23, CONCAT(VLOOKUP($C50, 'Match Names'!$1:$22, 5, FALSE), ""!C3:R29"")), {5;11;16;21}, FALSE)), 'Player Overall Stats Unsorted'!$AA$9:$AA$12), ""=X"")) + (4 - COUNTIF(IFERROR(ARRAYFORMULA(HLOOKUP($B5"&amp;"0, IMPORTRANGE('Match Names'!$F$23, CONCAT(VLOOKUP($C50, 'Match Names'!$1:$22, 6, FALSE), ""!C3:R29"")), {5;11;17;23}, FALSE)), 'Player Overall Stats Unsorted'!$AA$9:$AA$12), ""=X"")) + (4 - COUNTIF(IFERROR(ARRAYFORMULA(HLOOKUP($B50, IMPORTRANGE('Match Na"&amp;"mes'!$G$23, CONCAT(VLOOKUP($C50, 'Match Names'!$1:$22, 7, FALSE), ""!C3:R29"")), {5;10;14;23}, FALSE)), 'Player Overall Stats Unsorted'!$AA$9:$AA$12), ""=X"")) + (4 - COUNTIF(IFERROR(ARRAYFORMULA(HLOOKUP($B50, IMPORTRANGE('Match Names'!$H$23, CONCAT(VLOOK"&amp;"UP($C50, 'Match Names'!$1:$22, 8, FALSE), ""!C3:R29"")), {5;11;17;23}, FALSE)), 'Player Overall Stats Unsorted'!$AA$9:$AA$12), ""=X""))"),24.0)</f>
        <v>24</v>
      </c>
      <c r="E50" s="32">
        <f>IFERROR(__xludf.DUMMYFUNCTION("COUNTIF(ARRAYFORMULA(HLOOKUP($B50, IMPORTRANGE('Prelim Rankings Unsorted'!$B$40, CONCAT(VLOOKUP($C50, 'Match Names'!$A$1:$D$22, 2, FALSE), ""!C3:R29"")), {6;11;17;23}, FALSE)), ""=4"") + COUNTIF(ARRAYFORMULA(HLOOKUP($B50, IMPORTRANGE('Prelim Rankings Unso"&amp;"rted'!$B$41, CONCAT(VLOOKUP($C50, 'Match Names'!$A$1:$D$22, 3, FALSE), ""!C3:R29"")), {5;11;17;23}, FALSE)), ""=4"") + COUNTIF(ARRAYFORMULA(HLOOKUP($B50, IMPORTRANGE('Prelim Rankings Unsorted'!$B$42, CONCAT(VLOOKUP($C50, 'Match Names'!$A$1:$D$22, 4, FALSE"&amp;"), ""!C3:R29"")), {5;11;17;23}, FALSE)), ""=4"") + COUNTIF(ARRAYFORMULA(HLOOKUP($B50, IMPORTRANGE('Match Names'!$E$23, CONCAT(VLOOKUP($C50, 'Match Names'!$1:$22, 5, FALSE), ""!C3:R29"")), {6;11;16;21}, FALSE)), ""=4"") + COUNTIF(ARRAYFORMULA(HLOOKUP($B50,"&amp;" IMPORTRANGE('Match Names'!$F$23, CONCAT(VLOOKUP($C50, 'Match Names'!$1:$22, 6, FALSE), ""!C3:R29"")), {5;11;17;23}, FALSE)), ""=4"") + COUNTIF(ARRAYFORMULA(HLOOKUP($B50, IMPORTRANGE('Match Names'!$G$23, CONCAT(VLOOKUP($C50, 'Match Names'!$1:$22, 7, FALSE"&amp;"), ""!C3:R29"")), {5;10;14;22}, FALSE)), ""=4"") + COUNTIF(ARRAYFORMULA(HLOOKUP($B50, IMPORTRANGE('Match Names'!$H$23, CONCAT(VLOOKUP($C50, 'Match Names'!$1:$22, 8, FALSE), ""!C3:R29"")), {5;11;17;23}, FALSE)), ""=4"")"),0.0)</f>
        <v>0</v>
      </c>
      <c r="F50" s="32">
        <f>IFERROR(__xludf.DUMMYFUNCTION("COUNTIF(ARRAYFORMULA(HLOOKUP($B50, IMPORTRANGE('Prelim Rankings Unsorted'!$B$40, CONCAT(VLOOKUP($C50, 'Match Names'!$A$1:$D$22, 2, FALSE), ""!C3:R29"")), {6;11;17;23}, FALSE)), ""=0"") + COUNTIF(ARRAYFORMULA(HLOOKUP($B50, IMPORTRANGE('Prelim Rankings Unso"&amp;"rted'!$B$41, CONCAT(VLOOKUP($C50, 'Match Names'!$A$1:$D$22, 3, FALSE), ""!C3:R29"")), {5;11;17;23}, FALSE)), ""=0"") + COUNTIF(ARRAYFORMULA(HLOOKUP($B50, IMPORTRANGE('Prelim Rankings Unsorted'!$B$42, CONCAT(VLOOKUP($C50, 'Match Names'!$A$1:$D$22, 4, FALSE"&amp;"), ""!C3:R29"")), {5;11;17;23}, FALSE)), ""=0"") + COUNTIF(ARRAYFORMULA(HLOOKUP($B50, IMPORTRANGE('Match Names'!$E$23, CONCAT(VLOOKUP($C50, 'Match Names'!$1:$22, 5, FALSE), ""!C3:R29"")), {6;11;16;21}, FALSE)), ""=0"") + COUNTIF(ARRAYFORMULA(HLOOKUP($B50,"&amp;" IMPORTRANGE('Match Names'!$F$23, CONCAT(VLOOKUP($C50, 'Match Names'!$1:$22, 6, FALSE), ""!C3:R29"")), {5;11;17;23}, FALSE)), ""=0"") + COUNTIF(ARRAYFORMULA(HLOOKUP($B50, IMPORTRANGE('Match Names'!$G$23, CONCAT(VLOOKUP($C50, 'Match Names'!$1:$22, 7, FALSE"&amp;"), ""!C3:R29"")), {5;10;14;22}, FALSE)), ""=0"") + COUNTIF(ARRAYFORMULA(HLOOKUP($B50, IMPORTRANGE('Match Names'!$H$23, CONCAT(VLOOKUP($C50, 'Match Names'!$1:$22, 8, FALSE), ""!C3:R29"")), {5;11;17;23}, FALSE)), ""=0"")"),1.0)</f>
        <v>1</v>
      </c>
      <c r="G50" s="32">
        <f>IFERROR(__xludf.DUMMYFUNCTION("COUNTIF(ARRAYFORMULA(HLOOKUP($B50, IMPORTRANGE('Prelim Rankings Unsorted'!$B$40, CONCAT(VLOOKUP($C50, 'Match Names'!$A$1:$D$22, 2, FALSE), ""!C3:R29"")), {6;11;17;23}, FALSE)), ""=-4"") + COUNTIF(ARRAYFORMULA(HLOOKUP($B50, IMPORTRANGE('Prelim Rankings Uns"&amp;"orted'!$B$41, CONCAT(VLOOKUP($C50, 'Match Names'!$A$1:$D$22, 3, FALSE), ""!C3:R29"")), {5;11;17;23}, FALSE)), ""=-4"") + COUNTIF(ARRAYFORMULA(HLOOKUP($B50, IMPORTRANGE('Prelim Rankings Unsorted'!$B$42, CONCAT(VLOOKUP($C50, 'Match Names'!$A$1:$D$22, 4, FAL"&amp;"SE), ""!C3:R29"")), {5;11;17;23}, FALSE)), ""=-4"") + COUNTIF(ARRAYFORMULA(HLOOKUP($B50, IMPORTRANGE('Match Names'!$E$23, CONCAT(VLOOKUP($C50, 'Match Names'!$1:$22, 5, FALSE), ""!C3:R29"")), {6;11;16;21}, FALSE)), ""=-4"") + COUNTIF(ARRAYFORMULA(HLOOKUP($"&amp;"B50, IMPORTRANGE('Match Names'!$F$23, CONCAT(VLOOKUP($C50, 'Match Names'!$1:$22, 6, FALSE), ""!C3:R29"")), {5;11;17;23}, FALSE)), ""=-4"") + COUNTIF(ARRAYFORMULA(HLOOKUP($B50, IMPORTRANGE('Match Names'!$G$23, CONCAT(VLOOKUP($C50, 'Match Names'!$1:$22, 7, "&amp;"FALSE), ""!C3:R29"")), {5;10;14;22}, FALSE)), ""=-4"") + COUNTIF(ARRAYFORMULA(HLOOKUP($B50, IMPORTRANGE('Match Names'!$H$23, CONCAT(VLOOKUP($C50, 'Match Names'!$1:$22, 8, FALSE), ""!C3:R29"")), {5;11;17;23}, FALSE)), ""=-4"")"),0.0)</f>
        <v>0</v>
      </c>
      <c r="H50" s="33">
        <f t="shared" si="2"/>
        <v>0</v>
      </c>
    </row>
    <row r="51">
      <c r="A51" s="21" t="s">
        <v>119</v>
      </c>
      <c r="B51" s="31" t="str">
        <f>VLOOKUP(CONCAT(A51, C51), 'Discord Username to Real Name'!C:D, 2, FALSE)</f>
        <v>saltwater#3722</v>
      </c>
      <c r="C51" s="21" t="s">
        <v>14</v>
      </c>
      <c r="D51" s="32">
        <f>IFERROR(__xludf.DUMMYFUNCTION("(4 - COUNTIF(IFERROR(ARRAYFORMULA(HLOOKUP($B51, IMPORTRANGE('Prelim Rankings Unsorted'!$B$40, CONCAT(VLOOKUP($C51, 'Match Names'!$A$1:$D$22, 2, FALSE), ""!C3:R29"")), {6;11;17;23}, FALSE)), 'Player Overall Stats Unsorted'!$AA$9:$AA$12), ""=X"")) + (4 - CO"&amp;"UNTIF(IFERROR(ARRAYFORMULA(HLOOKUP($B51, IMPORTRANGE('Prelim Rankings Unsorted'!$B$41, CONCAT(VLOOKUP($C51, 'Match Names'!$A$1:$D$22, 3, FALSE), ""!C3:R29"")), {5;11;17;23}, FALSE)), 'Player Overall Stats Unsorted'!$AA$9:$AA$12), ""=X"")) + (4 - COUNTIF(I"&amp;"FERROR(ARRAYFORMULA(HLOOKUP($B51, IMPORTRANGE('Prelim Rankings Unsorted'!$B$42, CONCAT(VLOOKUP($C51, 'Match Names'!$A$1:$D$22, 4, FALSE), ""!C3:R29"")), {5;11;17;23}, FALSE)), 'Player Overall Stats Unsorted'!$AA$9:$AA$12), ""=X"")) + (4 - COUNTIF(IFERROR("&amp;"ARRAYFORMULA(HLOOKUP($B51, IMPORTRANGE('Match Names'!$E$23, CONCAT(VLOOKUP($C51, 'Match Names'!$1:$22, 5, FALSE), ""!C3:R29"")), {5;11;16;21}, FALSE)), 'Player Overall Stats Unsorted'!$AA$9:$AA$12), ""=X"")) + (4 - COUNTIF(IFERROR(ARRAYFORMULA(HLOOKUP($B5"&amp;"1, IMPORTRANGE('Match Names'!$F$23, CONCAT(VLOOKUP($C51, 'Match Names'!$1:$22, 6, FALSE), ""!C3:R29"")), {5;11;17;23}, FALSE)), 'Player Overall Stats Unsorted'!$AA$9:$AA$12), ""=X"")) + (4 - COUNTIF(IFERROR(ARRAYFORMULA(HLOOKUP($B51, IMPORTRANGE('Match Na"&amp;"mes'!$G$23, CONCAT(VLOOKUP($C51, 'Match Names'!$1:$22, 7, FALSE), ""!C3:R29"")), {5;10;14;23}, FALSE)), 'Player Overall Stats Unsorted'!$AA$9:$AA$12), ""=X"")) + (4 - COUNTIF(IFERROR(ARRAYFORMULA(HLOOKUP($B51, IMPORTRANGE('Match Names'!$H$23, CONCAT(VLOOK"&amp;"UP($C51, 'Match Names'!$1:$22, 8, FALSE), ""!C3:R29"")), {5;11;17;23}, FALSE)), 'Player Overall Stats Unsorted'!$AA$9:$AA$12), ""=X""))"),10.0)</f>
        <v>10</v>
      </c>
      <c r="E51" s="32">
        <f>IFERROR(__xludf.DUMMYFUNCTION("COUNTIF(ARRAYFORMULA(HLOOKUP($B51, IMPORTRANGE('Prelim Rankings Unsorted'!$B$40, CONCAT(VLOOKUP($C51, 'Match Names'!$A$1:$D$22, 2, FALSE), ""!C3:R29"")), {6;11;17;23}, FALSE)), ""=4"") + COUNTIF(ARRAYFORMULA(HLOOKUP($B51, IMPORTRANGE('Prelim Rankings Unso"&amp;"rted'!$B$41, CONCAT(VLOOKUP($C51, 'Match Names'!$A$1:$D$22, 3, FALSE), ""!C3:R29"")), {5;11;17;23}, FALSE)), ""=4"") + COUNTIF(ARRAYFORMULA(HLOOKUP($B51, IMPORTRANGE('Prelim Rankings Unsorted'!$B$42, CONCAT(VLOOKUP($C51, 'Match Names'!$A$1:$D$22, 4, FALSE"&amp;"), ""!C3:R29"")), {5;11;17;23}, FALSE)), ""=4"") + COUNTIF(ARRAYFORMULA(HLOOKUP($B51, IMPORTRANGE('Match Names'!$E$23, CONCAT(VLOOKUP($C51, 'Match Names'!$1:$22, 5, FALSE), ""!C3:R29"")), {6;11;16;21}, FALSE)), ""=4"") + COUNTIF(ARRAYFORMULA(HLOOKUP($B51,"&amp;" IMPORTRANGE('Match Names'!$F$23, CONCAT(VLOOKUP($C51, 'Match Names'!$1:$22, 6, FALSE), ""!C3:R29"")), {5;11;17;23}, FALSE)), ""=4"") + COUNTIF(ARRAYFORMULA(HLOOKUP($B51, IMPORTRANGE('Match Names'!$G$23, CONCAT(VLOOKUP($C51, 'Match Names'!$1:$22, 7, FALSE"&amp;"), ""!C3:R29"")), {5;10;14;22}, FALSE)), ""=4"") + COUNTIF(ARRAYFORMULA(HLOOKUP($B51, IMPORTRANGE('Match Names'!$H$23, CONCAT(VLOOKUP($C51, 'Match Names'!$1:$22, 8, FALSE), ""!C3:R29"")), {5;11;17;23}, FALSE)), ""=4"")"),1.0)</f>
        <v>1</v>
      </c>
      <c r="F51" s="32">
        <f>IFERROR(__xludf.DUMMYFUNCTION("COUNTIF(ARRAYFORMULA(HLOOKUP($B51, IMPORTRANGE('Prelim Rankings Unsorted'!$B$40, CONCAT(VLOOKUP($C51, 'Match Names'!$A$1:$D$22, 2, FALSE), ""!C3:R29"")), {6;11;17;23}, FALSE)), ""=0"") + COUNTIF(ARRAYFORMULA(HLOOKUP($B51, IMPORTRANGE('Prelim Rankings Unso"&amp;"rted'!$B$41, CONCAT(VLOOKUP($C51, 'Match Names'!$A$1:$D$22, 3, FALSE), ""!C3:R29"")), {5;11;17;23}, FALSE)), ""=0"") + COUNTIF(ARRAYFORMULA(HLOOKUP($B51, IMPORTRANGE('Prelim Rankings Unsorted'!$B$42, CONCAT(VLOOKUP($C51, 'Match Names'!$A$1:$D$22, 4, FALSE"&amp;"), ""!C3:R29"")), {5;11;17;23}, FALSE)), ""=0"") + COUNTIF(ARRAYFORMULA(HLOOKUP($B51, IMPORTRANGE('Match Names'!$E$23, CONCAT(VLOOKUP($C51, 'Match Names'!$1:$22, 5, FALSE), ""!C3:R29"")), {6;11;16;21}, FALSE)), ""=0"") + COUNTIF(ARRAYFORMULA(HLOOKUP($B51,"&amp;" IMPORTRANGE('Match Names'!$F$23, CONCAT(VLOOKUP($C51, 'Match Names'!$1:$22, 6, FALSE), ""!C3:R29"")), {5;11;17;23}, FALSE)), ""=0"") + COUNTIF(ARRAYFORMULA(HLOOKUP($B51, IMPORTRANGE('Match Names'!$G$23, CONCAT(VLOOKUP($C51, 'Match Names'!$1:$22, 7, FALSE"&amp;"), ""!C3:R29"")), {5;10;14;22}, FALSE)), ""=0"") + COUNTIF(ARRAYFORMULA(HLOOKUP($B51, IMPORTRANGE('Match Names'!$H$23, CONCAT(VLOOKUP($C51, 'Match Names'!$1:$22, 8, FALSE), ""!C3:R29"")), {5;11;17;23}, FALSE)), ""=0"")"),0.0)</f>
        <v>0</v>
      </c>
      <c r="G51" s="32">
        <f>IFERROR(__xludf.DUMMYFUNCTION("COUNTIF(ARRAYFORMULA(HLOOKUP($B51, IMPORTRANGE('Prelim Rankings Unsorted'!$B$40, CONCAT(VLOOKUP($C51, 'Match Names'!$A$1:$D$22, 2, FALSE), ""!C3:R29"")), {6;11;17;23}, FALSE)), ""=-4"") + COUNTIF(ARRAYFORMULA(HLOOKUP($B51, IMPORTRANGE('Prelim Rankings Uns"&amp;"orted'!$B$41, CONCAT(VLOOKUP($C51, 'Match Names'!$A$1:$D$22, 3, FALSE), ""!C3:R29"")), {5;11;17;23}, FALSE)), ""=-4"") + COUNTIF(ARRAYFORMULA(HLOOKUP($B51, IMPORTRANGE('Prelim Rankings Unsorted'!$B$42, CONCAT(VLOOKUP($C51, 'Match Names'!$A$1:$D$22, 4, FAL"&amp;"SE), ""!C3:R29"")), {5;11;17;23}, FALSE)), ""=-4"") + COUNTIF(ARRAYFORMULA(HLOOKUP($B51, IMPORTRANGE('Match Names'!$E$23, CONCAT(VLOOKUP($C51, 'Match Names'!$1:$22, 5, FALSE), ""!C3:R29"")), {6;11;16;21}, FALSE)), ""=-4"") + COUNTIF(ARRAYFORMULA(HLOOKUP($"&amp;"B51, IMPORTRANGE('Match Names'!$F$23, CONCAT(VLOOKUP($C51, 'Match Names'!$1:$22, 6, FALSE), ""!C3:R29"")), {5;11;17;23}, FALSE)), ""=-4"") + COUNTIF(ARRAYFORMULA(HLOOKUP($B51, IMPORTRANGE('Match Names'!$G$23, CONCAT(VLOOKUP($C51, 'Match Names'!$1:$22, 7, "&amp;"FALSE), ""!C3:R29"")), {5;10;14;22}, FALSE)), ""=-4"") + COUNTIF(ARRAYFORMULA(HLOOKUP($B51, IMPORTRANGE('Match Names'!$H$23, CONCAT(VLOOKUP($C51, 'Match Names'!$1:$22, 8, FALSE), ""!C3:R29"")), {5;11;17;23}, FALSE)), ""=-4"")"),0.0)</f>
        <v>0</v>
      </c>
      <c r="H51" s="33">
        <f t="shared" si="2"/>
        <v>1.6</v>
      </c>
    </row>
    <row r="52">
      <c r="A52" s="21" t="s">
        <v>67</v>
      </c>
      <c r="B52" s="31" t="str">
        <f>VLOOKUP(CONCAT(A52, C52), 'Discord Username to Real Name'!C:D, 2, FALSE)</f>
        <v>dannyridel#2256</v>
      </c>
      <c r="C52" s="21" t="s">
        <v>29</v>
      </c>
      <c r="D52" s="32">
        <f>IFERROR(__xludf.DUMMYFUNCTION("(4 - COUNTIF(IFERROR(ARRAYFORMULA(HLOOKUP($B52, IMPORTRANGE('Prelim Rankings Unsorted'!$B$40, CONCAT(VLOOKUP($C52, 'Match Names'!$A$1:$D$22, 2, FALSE), ""!C3:R29"")), {6;11;17;23}, FALSE)), 'Player Overall Stats Unsorted'!$AA$9:$AA$12), ""=X"")) + (4 - CO"&amp;"UNTIF(IFERROR(ARRAYFORMULA(HLOOKUP($B52, IMPORTRANGE('Prelim Rankings Unsorted'!$B$41, CONCAT(VLOOKUP($C52, 'Match Names'!$A$1:$D$22, 3, FALSE), ""!C3:R29"")), {5;11;17;23}, FALSE)), 'Player Overall Stats Unsorted'!$AA$9:$AA$12), ""=X"")) + (4 - COUNTIF(I"&amp;"FERROR(ARRAYFORMULA(HLOOKUP($B52, IMPORTRANGE('Prelim Rankings Unsorted'!$B$42, CONCAT(VLOOKUP($C52, 'Match Names'!$A$1:$D$22, 4, FALSE), ""!C3:R29"")), {5;11;17;23}, FALSE)), 'Player Overall Stats Unsorted'!$AA$9:$AA$12), ""=X"")) + (4 - COUNTIF(IFERROR("&amp;"ARRAYFORMULA(HLOOKUP($B52, IMPORTRANGE('Match Names'!$E$23, CONCAT(VLOOKUP($C52, 'Match Names'!$1:$22, 5, FALSE), ""!C3:R29"")), {5;11;16;21}, FALSE)), 'Player Overall Stats Unsorted'!$AA$9:$AA$12), ""=X"")) + (4 - COUNTIF(IFERROR(ARRAYFORMULA(HLOOKUP($B5"&amp;"2, IMPORTRANGE('Match Names'!$F$23, CONCAT(VLOOKUP($C52, 'Match Names'!$1:$22, 6, FALSE), ""!C3:R29"")), {5;11;17;23}, FALSE)), 'Player Overall Stats Unsorted'!$AA$9:$AA$12), ""=X"")) + (4 - COUNTIF(IFERROR(ARRAYFORMULA(HLOOKUP($B52, IMPORTRANGE('Match Na"&amp;"mes'!$G$23, CONCAT(VLOOKUP($C52, 'Match Names'!$1:$22, 7, FALSE), ""!C3:R29"")), {5;10;14;23}, FALSE)), 'Player Overall Stats Unsorted'!$AA$9:$AA$12), ""=X"")) + (4 - COUNTIF(IFERROR(ARRAYFORMULA(HLOOKUP($B52, IMPORTRANGE('Match Names'!$H$23, CONCAT(VLOOK"&amp;"UP($C52, 'Match Names'!$1:$22, 8, FALSE), ""!C3:R29"")), {5;11;17;23}, FALSE)), 'Player Overall Stats Unsorted'!$AA$9:$AA$12), ""=X""))"),20.0)</f>
        <v>20</v>
      </c>
      <c r="E52" s="32">
        <f>IFERROR(__xludf.DUMMYFUNCTION("COUNTIF(ARRAYFORMULA(HLOOKUP($B52, IMPORTRANGE('Prelim Rankings Unsorted'!$B$40, CONCAT(VLOOKUP($C52, 'Match Names'!$A$1:$D$22, 2, FALSE), ""!C3:R29"")), {6;11;17;23}, FALSE)), ""=4"") + COUNTIF(ARRAYFORMULA(HLOOKUP($B52, IMPORTRANGE('Prelim Rankings Unso"&amp;"rted'!$B$41, CONCAT(VLOOKUP($C52, 'Match Names'!$A$1:$D$22, 3, FALSE), ""!C3:R29"")), {5;11;17;23}, FALSE)), ""=4"") + COUNTIF(ARRAYFORMULA(HLOOKUP($B52, IMPORTRANGE('Prelim Rankings Unsorted'!$B$42, CONCAT(VLOOKUP($C52, 'Match Names'!$A$1:$D$22, 4, FALSE"&amp;"), ""!C3:R29"")), {5;11;17;23}, FALSE)), ""=4"") + COUNTIF(ARRAYFORMULA(HLOOKUP($B52, IMPORTRANGE('Match Names'!$E$23, CONCAT(VLOOKUP($C52, 'Match Names'!$1:$22, 5, FALSE), ""!C3:R29"")), {6;11;16;21}, FALSE)), ""=4"") + COUNTIF(ARRAYFORMULA(HLOOKUP($B52,"&amp;" IMPORTRANGE('Match Names'!$F$23, CONCAT(VLOOKUP($C52, 'Match Names'!$1:$22, 6, FALSE), ""!C3:R29"")), {5;11;17;23}, FALSE)), ""=4"") + COUNTIF(ARRAYFORMULA(HLOOKUP($B52, IMPORTRANGE('Match Names'!$G$23, CONCAT(VLOOKUP($C52, 'Match Names'!$1:$22, 7, FALSE"&amp;"), ""!C3:R29"")), {5;10;14;22}, FALSE)), ""=4"") + COUNTIF(ARRAYFORMULA(HLOOKUP($B52, IMPORTRANGE('Match Names'!$H$23, CONCAT(VLOOKUP($C52, 'Match Names'!$1:$22, 8, FALSE), ""!C3:R29"")), {5;11;17;23}, FALSE)), ""=4"")"),6.0)</f>
        <v>6</v>
      </c>
      <c r="F52" s="32">
        <f>IFERROR(__xludf.DUMMYFUNCTION("COUNTIF(ARRAYFORMULA(HLOOKUP($B52, IMPORTRANGE('Prelim Rankings Unsorted'!$B$40, CONCAT(VLOOKUP($C52, 'Match Names'!$A$1:$D$22, 2, FALSE), ""!C3:R29"")), {6;11;17;23}, FALSE)), ""=0"") + COUNTIF(ARRAYFORMULA(HLOOKUP($B52, IMPORTRANGE('Prelim Rankings Unso"&amp;"rted'!$B$41, CONCAT(VLOOKUP($C52, 'Match Names'!$A$1:$D$22, 3, FALSE), ""!C3:R29"")), {5;11;17;23}, FALSE)), ""=0"") + COUNTIF(ARRAYFORMULA(HLOOKUP($B52, IMPORTRANGE('Prelim Rankings Unsorted'!$B$42, CONCAT(VLOOKUP($C52, 'Match Names'!$A$1:$D$22, 4, FALSE"&amp;"), ""!C3:R29"")), {5;11;17;23}, FALSE)), ""=0"") + COUNTIF(ARRAYFORMULA(HLOOKUP($B52, IMPORTRANGE('Match Names'!$E$23, CONCAT(VLOOKUP($C52, 'Match Names'!$1:$22, 5, FALSE), ""!C3:R29"")), {6;11;16;21}, FALSE)), ""=0"") + COUNTIF(ARRAYFORMULA(HLOOKUP($B52,"&amp;" IMPORTRANGE('Match Names'!$F$23, CONCAT(VLOOKUP($C52, 'Match Names'!$1:$22, 6, FALSE), ""!C3:R29"")), {5;11;17;23}, FALSE)), ""=0"") + COUNTIF(ARRAYFORMULA(HLOOKUP($B52, IMPORTRANGE('Match Names'!$G$23, CONCAT(VLOOKUP($C52, 'Match Names'!$1:$22, 7, FALSE"&amp;"), ""!C3:R29"")), {5;10;14;22}, FALSE)), ""=0"") + COUNTIF(ARRAYFORMULA(HLOOKUP($B52, IMPORTRANGE('Match Names'!$H$23, CONCAT(VLOOKUP($C52, 'Match Names'!$1:$22, 8, FALSE), ""!C3:R29"")), {5;11;17;23}, FALSE)), ""=0"")"),4.0)</f>
        <v>4</v>
      </c>
      <c r="G52" s="32">
        <f>IFERROR(__xludf.DUMMYFUNCTION("COUNTIF(ARRAYFORMULA(HLOOKUP($B52, IMPORTRANGE('Prelim Rankings Unsorted'!$B$40, CONCAT(VLOOKUP($C52, 'Match Names'!$A$1:$D$22, 2, FALSE), ""!C3:R29"")), {6;11;17;23}, FALSE)), ""=-4"") + COUNTIF(ARRAYFORMULA(HLOOKUP($B52, IMPORTRANGE('Prelim Rankings Uns"&amp;"orted'!$B$41, CONCAT(VLOOKUP($C52, 'Match Names'!$A$1:$D$22, 3, FALSE), ""!C3:R29"")), {5;11;17;23}, FALSE)), ""=-4"") + COUNTIF(ARRAYFORMULA(HLOOKUP($B52, IMPORTRANGE('Prelim Rankings Unsorted'!$B$42, CONCAT(VLOOKUP($C52, 'Match Names'!$A$1:$D$22, 4, FAL"&amp;"SE), ""!C3:R29"")), {5;11;17;23}, FALSE)), ""=-4"") + COUNTIF(ARRAYFORMULA(HLOOKUP($B52, IMPORTRANGE('Match Names'!$E$23, CONCAT(VLOOKUP($C52, 'Match Names'!$1:$22, 5, FALSE), ""!C3:R29"")), {6;11;16;21}, FALSE)), ""=-4"") + COUNTIF(ARRAYFORMULA(HLOOKUP($"&amp;"B52, IMPORTRANGE('Match Names'!$F$23, CONCAT(VLOOKUP($C52, 'Match Names'!$1:$22, 6, FALSE), ""!C3:R29"")), {5;11;17;23}, FALSE)), ""=-4"") + COUNTIF(ARRAYFORMULA(HLOOKUP($B52, IMPORTRANGE('Match Names'!$G$23, CONCAT(VLOOKUP($C52, 'Match Names'!$1:$22, 7, "&amp;"FALSE), ""!C3:R29"")), {5;10;14;22}, FALSE)), ""=-4"") + COUNTIF(ARRAYFORMULA(HLOOKUP($B52, IMPORTRANGE('Match Names'!$H$23, CONCAT(VLOOKUP($C52, 'Match Names'!$1:$22, 8, FALSE), ""!C3:R29"")), {5;11;17;23}, FALSE)), ""=-4"")"),0.0)</f>
        <v>0</v>
      </c>
      <c r="H52" s="33">
        <f t="shared" si="2"/>
        <v>4.8</v>
      </c>
    </row>
    <row r="53">
      <c r="A53" s="21" t="s">
        <v>188</v>
      </c>
      <c r="B53" s="31" t="str">
        <f>VLOOKUP(CONCAT(A53, C53), 'Discord Username to Real Name'!C:D, 2, FALSE)</f>
        <v>Allusion#0092</v>
      </c>
      <c r="C53" s="21" t="s">
        <v>29</v>
      </c>
      <c r="D53" s="32">
        <f>IFERROR(__xludf.DUMMYFUNCTION("(4 - COUNTIF(IFERROR(ARRAYFORMULA(HLOOKUP($B53, IMPORTRANGE('Prelim Rankings Unsorted'!$B$40, CONCAT(VLOOKUP($C53, 'Match Names'!$A$1:$D$22, 2, FALSE), ""!C3:R29"")), {6;11;17;23}, FALSE)), 'Player Overall Stats Unsorted'!$AA$9:$AA$12), ""=X"")) + (4 - CO"&amp;"UNTIF(IFERROR(ARRAYFORMULA(HLOOKUP($B53, IMPORTRANGE('Prelim Rankings Unsorted'!$B$41, CONCAT(VLOOKUP($C53, 'Match Names'!$A$1:$D$22, 3, FALSE), ""!C3:R29"")), {5;11;17;23}, FALSE)), 'Player Overall Stats Unsorted'!$AA$9:$AA$12), ""=X"")) + (4 - COUNTIF(I"&amp;"FERROR(ARRAYFORMULA(HLOOKUP($B53, IMPORTRANGE('Prelim Rankings Unsorted'!$B$42, CONCAT(VLOOKUP($C53, 'Match Names'!$A$1:$D$22, 4, FALSE), ""!C3:R29"")), {5;11;17;23}, FALSE)), 'Player Overall Stats Unsorted'!$AA$9:$AA$12), ""=X"")) + (4 - COUNTIF(IFERROR("&amp;"ARRAYFORMULA(HLOOKUP($B53, IMPORTRANGE('Match Names'!$E$23, CONCAT(VLOOKUP($C53, 'Match Names'!$1:$22, 5, FALSE), ""!C3:R29"")), {5;11;16;21}, FALSE)), 'Player Overall Stats Unsorted'!$AA$9:$AA$12), ""=X"")) + (4 - COUNTIF(IFERROR(ARRAYFORMULA(HLOOKUP($B5"&amp;"3, IMPORTRANGE('Match Names'!$F$23, CONCAT(VLOOKUP($C53, 'Match Names'!$1:$22, 6, FALSE), ""!C3:R29"")), {5;11;17;23}, FALSE)), 'Player Overall Stats Unsorted'!$AA$9:$AA$12), ""=X"")) + (4 - COUNTIF(IFERROR(ARRAYFORMULA(HLOOKUP($B53, IMPORTRANGE('Match Na"&amp;"mes'!$G$23, CONCAT(VLOOKUP($C53, 'Match Names'!$1:$22, 7, FALSE), ""!C3:R29"")), {5;10;14;23}, FALSE)), 'Player Overall Stats Unsorted'!$AA$9:$AA$12), ""=X"")) + (4 - COUNTIF(IFERROR(ARRAYFORMULA(HLOOKUP($B53, IMPORTRANGE('Match Names'!$H$23, CONCAT(VLOOK"&amp;"UP($C53, 'Match Names'!$1:$22, 8, FALSE), ""!C3:R29"")), {5;11;17;23}, FALSE)), 'Player Overall Stats Unsorted'!$AA$9:$AA$12), ""=X""))"),4.0)</f>
        <v>4</v>
      </c>
      <c r="E53" s="32">
        <f>IFERROR(__xludf.DUMMYFUNCTION("COUNTIF(ARRAYFORMULA(HLOOKUP($B53, IMPORTRANGE('Prelim Rankings Unsorted'!$B$40, CONCAT(VLOOKUP($C53, 'Match Names'!$A$1:$D$22, 2, FALSE), ""!C3:R29"")), {6;11;17;23}, FALSE)), ""=4"") + COUNTIF(ARRAYFORMULA(HLOOKUP($B53, IMPORTRANGE('Prelim Rankings Unso"&amp;"rted'!$B$41, CONCAT(VLOOKUP($C53, 'Match Names'!$A$1:$D$22, 3, FALSE), ""!C3:R29"")), {5;11;17;23}, FALSE)), ""=4"") + COUNTIF(ARRAYFORMULA(HLOOKUP($B53, IMPORTRANGE('Prelim Rankings Unsorted'!$B$42, CONCAT(VLOOKUP($C53, 'Match Names'!$A$1:$D$22, 4, FALSE"&amp;"), ""!C3:R29"")), {5;11;17;23}, FALSE)), ""=4"") + COUNTIF(ARRAYFORMULA(HLOOKUP($B53, IMPORTRANGE('Match Names'!$E$23, CONCAT(VLOOKUP($C53, 'Match Names'!$1:$22, 5, FALSE), ""!C3:R29"")), {6;11;16;21}, FALSE)), ""=4"") + COUNTIF(ARRAYFORMULA(HLOOKUP($B53,"&amp;" IMPORTRANGE('Match Names'!$F$23, CONCAT(VLOOKUP($C53, 'Match Names'!$1:$22, 6, FALSE), ""!C3:R29"")), {5;11;17;23}, FALSE)), ""=4"") + COUNTIF(ARRAYFORMULA(HLOOKUP($B53, IMPORTRANGE('Match Names'!$G$23, CONCAT(VLOOKUP($C53, 'Match Names'!$1:$22, 7, FALSE"&amp;"), ""!C3:R29"")), {5;10;14;22}, FALSE)), ""=4"") + COUNTIF(ARRAYFORMULA(HLOOKUP($B53, IMPORTRANGE('Match Names'!$H$23, CONCAT(VLOOKUP($C53, 'Match Names'!$1:$22, 8, FALSE), ""!C3:R29"")), {5;11;17;23}, FALSE)), ""=4"")"),0.0)</f>
        <v>0</v>
      </c>
      <c r="F53" s="32">
        <f>IFERROR(__xludf.DUMMYFUNCTION("COUNTIF(ARRAYFORMULA(HLOOKUP($B53, IMPORTRANGE('Prelim Rankings Unsorted'!$B$40, CONCAT(VLOOKUP($C53, 'Match Names'!$A$1:$D$22, 2, FALSE), ""!C3:R29"")), {6;11;17;23}, FALSE)), ""=0"") + COUNTIF(ARRAYFORMULA(HLOOKUP($B53, IMPORTRANGE('Prelim Rankings Unso"&amp;"rted'!$B$41, CONCAT(VLOOKUP($C53, 'Match Names'!$A$1:$D$22, 3, FALSE), ""!C3:R29"")), {5;11;17;23}, FALSE)), ""=0"") + COUNTIF(ARRAYFORMULA(HLOOKUP($B53, IMPORTRANGE('Prelim Rankings Unsorted'!$B$42, CONCAT(VLOOKUP($C53, 'Match Names'!$A$1:$D$22, 4, FALSE"&amp;"), ""!C3:R29"")), {5;11;17;23}, FALSE)), ""=0"") + COUNTIF(ARRAYFORMULA(HLOOKUP($B53, IMPORTRANGE('Match Names'!$E$23, CONCAT(VLOOKUP($C53, 'Match Names'!$1:$22, 5, FALSE), ""!C3:R29"")), {6;11;16;21}, FALSE)), ""=0"") + COUNTIF(ARRAYFORMULA(HLOOKUP($B53,"&amp;" IMPORTRANGE('Match Names'!$F$23, CONCAT(VLOOKUP($C53, 'Match Names'!$1:$22, 6, FALSE), ""!C3:R29"")), {5;11;17;23}, FALSE)), ""=0"") + COUNTIF(ARRAYFORMULA(HLOOKUP($B53, IMPORTRANGE('Match Names'!$G$23, CONCAT(VLOOKUP($C53, 'Match Names'!$1:$22, 7, FALSE"&amp;"), ""!C3:R29"")), {5;10;14;22}, FALSE)), ""=0"") + COUNTIF(ARRAYFORMULA(HLOOKUP($B53, IMPORTRANGE('Match Names'!$H$23, CONCAT(VLOOKUP($C53, 'Match Names'!$1:$22, 8, FALSE), ""!C3:R29"")), {5;11;17;23}, FALSE)), ""=0"")"),0.0)</f>
        <v>0</v>
      </c>
      <c r="G53" s="32">
        <f>IFERROR(__xludf.DUMMYFUNCTION("COUNTIF(ARRAYFORMULA(HLOOKUP($B53, IMPORTRANGE('Prelim Rankings Unsorted'!$B$40, CONCAT(VLOOKUP($C53, 'Match Names'!$A$1:$D$22, 2, FALSE), ""!C3:R29"")), {6;11;17;23}, FALSE)), ""=-4"") + COUNTIF(ARRAYFORMULA(HLOOKUP($B53, IMPORTRANGE('Prelim Rankings Uns"&amp;"orted'!$B$41, CONCAT(VLOOKUP($C53, 'Match Names'!$A$1:$D$22, 3, FALSE), ""!C3:R29"")), {5;11;17;23}, FALSE)), ""=-4"") + COUNTIF(ARRAYFORMULA(HLOOKUP($B53, IMPORTRANGE('Prelim Rankings Unsorted'!$B$42, CONCAT(VLOOKUP($C53, 'Match Names'!$A$1:$D$22, 4, FAL"&amp;"SE), ""!C3:R29"")), {5;11;17;23}, FALSE)), ""=-4"") + COUNTIF(ARRAYFORMULA(HLOOKUP($B53, IMPORTRANGE('Match Names'!$E$23, CONCAT(VLOOKUP($C53, 'Match Names'!$1:$22, 5, FALSE), ""!C3:R29"")), {6;11;16;21}, FALSE)), ""=-4"") + COUNTIF(ARRAYFORMULA(HLOOKUP($"&amp;"B53, IMPORTRANGE('Match Names'!$F$23, CONCAT(VLOOKUP($C53, 'Match Names'!$1:$22, 6, FALSE), ""!C3:R29"")), {5;11;17;23}, FALSE)), ""=-4"") + COUNTIF(ARRAYFORMULA(HLOOKUP($B53, IMPORTRANGE('Match Names'!$G$23, CONCAT(VLOOKUP($C53, 'Match Names'!$1:$22, 7, "&amp;"FALSE), ""!C3:R29"")), {5;10;14;22}, FALSE)), ""=-4"") + COUNTIF(ARRAYFORMULA(HLOOKUP($B53, IMPORTRANGE('Match Names'!$H$23, CONCAT(VLOOKUP($C53, 'Match Names'!$1:$22, 8, FALSE), ""!C3:R29"")), {5;11;17;23}, FALSE)), ""=-4"")"),0.0)</f>
        <v>0</v>
      </c>
      <c r="H53" s="33">
        <f t="shared" si="2"/>
        <v>0</v>
      </c>
    </row>
    <row r="54">
      <c r="A54" s="21" t="s">
        <v>81</v>
      </c>
      <c r="B54" s="31" t="str">
        <f>VLOOKUP(CONCAT(A54, C54), 'Discord Username to Real Name'!C:D, 2, FALSE)</f>
        <v>grassisgood#9863</v>
      </c>
      <c r="C54" s="21" t="s">
        <v>29</v>
      </c>
      <c r="D54" s="32">
        <f>IFERROR(__xludf.DUMMYFUNCTION("(4 - COUNTIF(IFERROR(ARRAYFORMULA(HLOOKUP($B54, IMPORTRANGE('Prelim Rankings Unsorted'!$B$40, CONCAT(VLOOKUP($C54, 'Match Names'!$A$1:$D$22, 2, FALSE), ""!C3:R29"")), {6;11;17;23}, FALSE)), 'Player Overall Stats Unsorted'!$AA$9:$AA$12), ""=X"")) + (4 - CO"&amp;"UNTIF(IFERROR(ARRAYFORMULA(HLOOKUP($B54, IMPORTRANGE('Prelim Rankings Unsorted'!$B$41, CONCAT(VLOOKUP($C54, 'Match Names'!$A$1:$D$22, 3, FALSE), ""!C3:R29"")), {5;11;17;23}, FALSE)), 'Player Overall Stats Unsorted'!$AA$9:$AA$12), ""=X"")) + (4 - COUNTIF(I"&amp;"FERROR(ARRAYFORMULA(HLOOKUP($B54, IMPORTRANGE('Prelim Rankings Unsorted'!$B$42, CONCAT(VLOOKUP($C54, 'Match Names'!$A$1:$D$22, 4, FALSE), ""!C3:R29"")), {5;11;17;23}, FALSE)), 'Player Overall Stats Unsorted'!$AA$9:$AA$12), ""=X"")) + (4 - COUNTIF(IFERROR("&amp;"ARRAYFORMULA(HLOOKUP($B54, IMPORTRANGE('Match Names'!$E$23, CONCAT(VLOOKUP($C54, 'Match Names'!$1:$22, 5, FALSE), ""!C3:R29"")), {5;11;16;21}, FALSE)), 'Player Overall Stats Unsorted'!$AA$9:$AA$12), ""=X"")) + (4 - COUNTIF(IFERROR(ARRAYFORMULA(HLOOKUP($B5"&amp;"4, IMPORTRANGE('Match Names'!$F$23, CONCAT(VLOOKUP($C54, 'Match Names'!$1:$22, 6, FALSE), ""!C3:R29"")), {5;11;17;23}, FALSE)), 'Player Overall Stats Unsorted'!$AA$9:$AA$12), ""=X"")) + (4 - COUNTIF(IFERROR(ARRAYFORMULA(HLOOKUP($B54, IMPORTRANGE('Match Na"&amp;"mes'!$G$23, CONCAT(VLOOKUP($C54, 'Match Names'!$1:$22, 7, FALSE), ""!C3:R29"")), {5;10;14;23}, FALSE)), 'Player Overall Stats Unsorted'!$AA$9:$AA$12), ""=X"")) + (4 - COUNTIF(IFERROR(ARRAYFORMULA(HLOOKUP($B54, IMPORTRANGE('Match Names'!$H$23, CONCAT(VLOOK"&amp;"UP($C54, 'Match Names'!$1:$22, 8, FALSE), ""!C3:R29"")), {5;11;17;23}, FALSE)), 'Player Overall Stats Unsorted'!$AA$9:$AA$12), ""=X""))"),20.0)</f>
        <v>20</v>
      </c>
      <c r="E54" s="32">
        <f>IFERROR(__xludf.DUMMYFUNCTION("COUNTIF(ARRAYFORMULA(HLOOKUP($B54, IMPORTRANGE('Prelim Rankings Unsorted'!$B$40, CONCAT(VLOOKUP($C54, 'Match Names'!$A$1:$D$22, 2, FALSE), ""!C3:R29"")), {6;11;17;23}, FALSE)), ""=4"") + COUNTIF(ARRAYFORMULA(HLOOKUP($B54, IMPORTRANGE('Prelim Rankings Unso"&amp;"rted'!$B$41, CONCAT(VLOOKUP($C54, 'Match Names'!$A$1:$D$22, 3, FALSE), ""!C3:R29"")), {5;11;17;23}, FALSE)), ""=4"") + COUNTIF(ARRAYFORMULA(HLOOKUP($B54, IMPORTRANGE('Prelim Rankings Unsorted'!$B$42, CONCAT(VLOOKUP($C54, 'Match Names'!$A$1:$D$22, 4, FALSE"&amp;"), ""!C3:R29"")), {5;11;17;23}, FALSE)), ""=4"") + COUNTIF(ARRAYFORMULA(HLOOKUP($B54, IMPORTRANGE('Match Names'!$E$23, CONCAT(VLOOKUP($C54, 'Match Names'!$1:$22, 5, FALSE), ""!C3:R29"")), {6;11;16;21}, FALSE)), ""=4"") + COUNTIF(ARRAYFORMULA(HLOOKUP($B54,"&amp;" IMPORTRANGE('Match Names'!$F$23, CONCAT(VLOOKUP($C54, 'Match Names'!$1:$22, 6, FALSE), ""!C3:R29"")), {5;11;17;23}, FALSE)), ""=4"") + COUNTIF(ARRAYFORMULA(HLOOKUP($B54, IMPORTRANGE('Match Names'!$G$23, CONCAT(VLOOKUP($C54, 'Match Names'!$1:$22, 7, FALSE"&amp;"), ""!C3:R29"")), {5;10;14;22}, FALSE)), ""=4"") + COUNTIF(ARRAYFORMULA(HLOOKUP($B54, IMPORTRANGE('Match Names'!$H$23, CONCAT(VLOOKUP($C54, 'Match Names'!$1:$22, 8, FALSE), ""!C3:R29"")), {5;11;17;23}, FALSE)), ""=4"")"),2.0)</f>
        <v>2</v>
      </c>
      <c r="F54" s="32">
        <f>IFERROR(__xludf.DUMMYFUNCTION("COUNTIF(ARRAYFORMULA(HLOOKUP($B54, IMPORTRANGE('Prelim Rankings Unsorted'!$B$40, CONCAT(VLOOKUP($C54, 'Match Names'!$A$1:$D$22, 2, FALSE), ""!C3:R29"")), {6;11;17;23}, FALSE)), ""=0"") + COUNTIF(ARRAYFORMULA(HLOOKUP($B54, IMPORTRANGE('Prelim Rankings Unso"&amp;"rted'!$B$41, CONCAT(VLOOKUP($C54, 'Match Names'!$A$1:$D$22, 3, FALSE), ""!C3:R29"")), {5;11;17;23}, FALSE)), ""=0"") + COUNTIF(ARRAYFORMULA(HLOOKUP($B54, IMPORTRANGE('Prelim Rankings Unsorted'!$B$42, CONCAT(VLOOKUP($C54, 'Match Names'!$A$1:$D$22, 4, FALSE"&amp;"), ""!C3:R29"")), {5;11;17;23}, FALSE)), ""=0"") + COUNTIF(ARRAYFORMULA(HLOOKUP($B54, IMPORTRANGE('Match Names'!$E$23, CONCAT(VLOOKUP($C54, 'Match Names'!$1:$22, 5, FALSE), ""!C3:R29"")), {6;11;16;21}, FALSE)), ""=0"") + COUNTIF(ARRAYFORMULA(HLOOKUP($B54,"&amp;" IMPORTRANGE('Match Names'!$F$23, CONCAT(VLOOKUP($C54, 'Match Names'!$1:$22, 6, FALSE), ""!C3:R29"")), {5;11;17;23}, FALSE)), ""=0"") + COUNTIF(ARRAYFORMULA(HLOOKUP($B54, IMPORTRANGE('Match Names'!$G$23, CONCAT(VLOOKUP($C54, 'Match Names'!$1:$22, 7, FALSE"&amp;"), ""!C3:R29"")), {5;10;14;22}, FALSE)), ""=0"") + COUNTIF(ARRAYFORMULA(HLOOKUP($B54, IMPORTRANGE('Match Names'!$H$23, CONCAT(VLOOKUP($C54, 'Match Names'!$1:$22, 8, FALSE), ""!C3:R29"")), {5;11;17;23}, FALSE)), ""=0"")"),0.0)</f>
        <v>0</v>
      </c>
      <c r="G54" s="32">
        <f>IFERROR(__xludf.DUMMYFUNCTION("COUNTIF(ARRAYFORMULA(HLOOKUP($B54, IMPORTRANGE('Prelim Rankings Unsorted'!$B$40, CONCAT(VLOOKUP($C54, 'Match Names'!$A$1:$D$22, 2, FALSE), ""!C3:R29"")), {6;11;17;23}, FALSE)), ""=-4"") + COUNTIF(ARRAYFORMULA(HLOOKUP($B54, IMPORTRANGE('Prelim Rankings Uns"&amp;"orted'!$B$41, CONCAT(VLOOKUP($C54, 'Match Names'!$A$1:$D$22, 3, FALSE), ""!C3:R29"")), {5;11;17;23}, FALSE)), ""=-4"") + COUNTIF(ARRAYFORMULA(HLOOKUP($B54, IMPORTRANGE('Prelim Rankings Unsorted'!$B$42, CONCAT(VLOOKUP($C54, 'Match Names'!$A$1:$D$22, 4, FAL"&amp;"SE), ""!C3:R29"")), {5;11;17;23}, FALSE)), ""=-4"") + COUNTIF(ARRAYFORMULA(HLOOKUP($B54, IMPORTRANGE('Match Names'!$E$23, CONCAT(VLOOKUP($C54, 'Match Names'!$1:$22, 5, FALSE), ""!C3:R29"")), {6;11;16;21}, FALSE)), ""=-4"") + COUNTIF(ARRAYFORMULA(HLOOKUP($"&amp;"B54, IMPORTRANGE('Match Names'!$F$23, CONCAT(VLOOKUP($C54, 'Match Names'!$1:$22, 6, FALSE), ""!C3:R29"")), {5;11;17;23}, FALSE)), ""=-4"") + COUNTIF(ARRAYFORMULA(HLOOKUP($B54, IMPORTRANGE('Match Names'!$G$23, CONCAT(VLOOKUP($C54, 'Match Names'!$1:$22, 7, "&amp;"FALSE), ""!C3:R29"")), {5;10;14;22}, FALSE)), ""=-4"") + COUNTIF(ARRAYFORMULA(HLOOKUP($B54, IMPORTRANGE('Match Names'!$H$23, CONCAT(VLOOKUP($C54, 'Match Names'!$1:$22, 8, FALSE), ""!C3:R29"")), {5;11;17;23}, FALSE)), ""=-4"")"),0.0)</f>
        <v>0</v>
      </c>
      <c r="H54" s="33">
        <f t="shared" si="2"/>
        <v>1.6</v>
      </c>
    </row>
    <row r="55">
      <c r="A55" s="21" t="s">
        <v>190</v>
      </c>
      <c r="B55" s="31" t="str">
        <f>VLOOKUP(CONCAT(A55, C55), 'Discord Username to Real Name'!C:D, 2, FALSE)</f>
        <v>bread#1582</v>
      </c>
      <c r="C55" s="21" t="s">
        <v>29</v>
      </c>
      <c r="D55" s="32">
        <f>IFERROR(__xludf.DUMMYFUNCTION("(4 - COUNTIF(IFERROR(ARRAYFORMULA(HLOOKUP($B55, IMPORTRANGE('Prelim Rankings Unsorted'!$B$40, CONCAT(VLOOKUP($C55, 'Match Names'!$A$1:$D$22, 2, FALSE), ""!C3:R29"")), {6;11;17;23}, FALSE)), 'Player Overall Stats Unsorted'!$AA$9:$AA$12), ""=X"")) + (4 - CO"&amp;"UNTIF(IFERROR(ARRAYFORMULA(HLOOKUP($B55, IMPORTRANGE('Prelim Rankings Unsorted'!$B$41, CONCAT(VLOOKUP($C55, 'Match Names'!$A$1:$D$22, 3, FALSE), ""!C3:R29"")), {5;11;17;23}, FALSE)), 'Player Overall Stats Unsorted'!$AA$9:$AA$12), ""=X"")) + (4 - COUNTIF(I"&amp;"FERROR(ARRAYFORMULA(HLOOKUP($B55, IMPORTRANGE('Prelim Rankings Unsorted'!$B$42, CONCAT(VLOOKUP($C55, 'Match Names'!$A$1:$D$22, 4, FALSE), ""!C3:R29"")), {5;11;17;23}, FALSE)), 'Player Overall Stats Unsorted'!$AA$9:$AA$12), ""=X"")) + (4 - COUNTIF(IFERROR("&amp;"ARRAYFORMULA(HLOOKUP($B55, IMPORTRANGE('Match Names'!$E$23, CONCAT(VLOOKUP($C55, 'Match Names'!$1:$22, 5, FALSE), ""!C3:R29"")), {5;11;16;21}, FALSE)), 'Player Overall Stats Unsorted'!$AA$9:$AA$12), ""=X"")) + (4 - COUNTIF(IFERROR(ARRAYFORMULA(HLOOKUP($B5"&amp;"5, IMPORTRANGE('Match Names'!$F$23, CONCAT(VLOOKUP($C55, 'Match Names'!$1:$22, 6, FALSE), ""!C3:R29"")), {5;11;17;23}, FALSE)), 'Player Overall Stats Unsorted'!$AA$9:$AA$12), ""=X"")) + (4 - COUNTIF(IFERROR(ARRAYFORMULA(HLOOKUP($B55, IMPORTRANGE('Match Na"&amp;"mes'!$G$23, CONCAT(VLOOKUP($C55, 'Match Names'!$1:$22, 7, FALSE), ""!C3:R29"")), {5;10;14;23}, FALSE)), 'Player Overall Stats Unsorted'!$AA$9:$AA$12), ""=X"")) + (4 - COUNTIF(IFERROR(ARRAYFORMULA(HLOOKUP($B55, IMPORTRANGE('Match Names'!$H$23, CONCAT(VLOOK"&amp;"UP($C55, 'Match Names'!$1:$22, 8, FALSE), ""!C3:R29"")), {5;11;17;23}, FALSE)), 'Player Overall Stats Unsorted'!$AA$9:$AA$12), ""=X""))"),4.0)</f>
        <v>4</v>
      </c>
      <c r="E55" s="32">
        <f>IFERROR(__xludf.DUMMYFUNCTION("COUNTIF(ARRAYFORMULA(HLOOKUP($B55, IMPORTRANGE('Prelim Rankings Unsorted'!$B$40, CONCAT(VLOOKUP($C55, 'Match Names'!$A$1:$D$22, 2, FALSE), ""!C3:R29"")), {6;11;17;23}, FALSE)), ""=4"") + COUNTIF(ARRAYFORMULA(HLOOKUP($B55, IMPORTRANGE('Prelim Rankings Unso"&amp;"rted'!$B$41, CONCAT(VLOOKUP($C55, 'Match Names'!$A$1:$D$22, 3, FALSE), ""!C3:R29"")), {5;11;17;23}, FALSE)), ""=4"") + COUNTIF(ARRAYFORMULA(HLOOKUP($B55, IMPORTRANGE('Prelim Rankings Unsorted'!$B$42, CONCAT(VLOOKUP($C55, 'Match Names'!$A$1:$D$22, 4, FALSE"&amp;"), ""!C3:R29"")), {5;11;17;23}, FALSE)), ""=4"") + COUNTIF(ARRAYFORMULA(HLOOKUP($B55, IMPORTRANGE('Match Names'!$E$23, CONCAT(VLOOKUP($C55, 'Match Names'!$1:$22, 5, FALSE), ""!C3:R29"")), {6;11;16;21}, FALSE)), ""=4"") + COUNTIF(ARRAYFORMULA(HLOOKUP($B55,"&amp;" IMPORTRANGE('Match Names'!$F$23, CONCAT(VLOOKUP($C55, 'Match Names'!$1:$22, 6, FALSE), ""!C3:R29"")), {5;11;17;23}, FALSE)), ""=4"") + COUNTIF(ARRAYFORMULA(HLOOKUP($B55, IMPORTRANGE('Match Names'!$G$23, CONCAT(VLOOKUP($C55, 'Match Names'!$1:$22, 7, FALSE"&amp;"), ""!C3:R29"")), {5;10;14;22}, FALSE)), ""=4"") + COUNTIF(ARRAYFORMULA(HLOOKUP($B55, IMPORTRANGE('Match Names'!$H$23, CONCAT(VLOOKUP($C55, 'Match Names'!$1:$22, 8, FALSE), ""!C3:R29"")), {5;11;17;23}, FALSE)), ""=4"")"),0.0)</f>
        <v>0</v>
      </c>
      <c r="F55" s="32">
        <f>IFERROR(__xludf.DUMMYFUNCTION("COUNTIF(ARRAYFORMULA(HLOOKUP($B55, IMPORTRANGE('Prelim Rankings Unsorted'!$B$40, CONCAT(VLOOKUP($C55, 'Match Names'!$A$1:$D$22, 2, FALSE), ""!C3:R29"")), {6;11;17;23}, FALSE)), ""=0"") + COUNTIF(ARRAYFORMULA(HLOOKUP($B55, IMPORTRANGE('Prelim Rankings Unso"&amp;"rted'!$B$41, CONCAT(VLOOKUP($C55, 'Match Names'!$A$1:$D$22, 3, FALSE), ""!C3:R29"")), {5;11;17;23}, FALSE)), ""=0"") + COUNTIF(ARRAYFORMULA(HLOOKUP($B55, IMPORTRANGE('Prelim Rankings Unsorted'!$B$42, CONCAT(VLOOKUP($C55, 'Match Names'!$A$1:$D$22, 4, FALSE"&amp;"), ""!C3:R29"")), {5;11;17;23}, FALSE)), ""=0"") + COUNTIF(ARRAYFORMULA(HLOOKUP($B55, IMPORTRANGE('Match Names'!$E$23, CONCAT(VLOOKUP($C55, 'Match Names'!$1:$22, 5, FALSE), ""!C3:R29"")), {6;11;16;21}, FALSE)), ""=0"") + COUNTIF(ARRAYFORMULA(HLOOKUP($B55,"&amp;" IMPORTRANGE('Match Names'!$F$23, CONCAT(VLOOKUP($C55, 'Match Names'!$1:$22, 6, FALSE), ""!C3:R29"")), {5;11;17;23}, FALSE)), ""=0"") + COUNTIF(ARRAYFORMULA(HLOOKUP($B55, IMPORTRANGE('Match Names'!$G$23, CONCAT(VLOOKUP($C55, 'Match Names'!$1:$22, 7, FALSE"&amp;"), ""!C3:R29"")), {5;10;14;22}, FALSE)), ""=0"") + COUNTIF(ARRAYFORMULA(HLOOKUP($B55, IMPORTRANGE('Match Names'!$H$23, CONCAT(VLOOKUP($C55, 'Match Names'!$1:$22, 8, FALSE), ""!C3:R29"")), {5;11;17;23}, FALSE)), ""=0"")"),0.0)</f>
        <v>0</v>
      </c>
      <c r="G55" s="32">
        <f>IFERROR(__xludf.DUMMYFUNCTION("COUNTIF(ARRAYFORMULA(HLOOKUP($B55, IMPORTRANGE('Prelim Rankings Unsorted'!$B$40, CONCAT(VLOOKUP($C55, 'Match Names'!$A$1:$D$22, 2, FALSE), ""!C3:R29"")), {6;11;17;23}, FALSE)), ""=-4"") + COUNTIF(ARRAYFORMULA(HLOOKUP($B55, IMPORTRANGE('Prelim Rankings Uns"&amp;"orted'!$B$41, CONCAT(VLOOKUP($C55, 'Match Names'!$A$1:$D$22, 3, FALSE), ""!C3:R29"")), {5;11;17;23}, FALSE)), ""=-4"") + COUNTIF(ARRAYFORMULA(HLOOKUP($B55, IMPORTRANGE('Prelim Rankings Unsorted'!$B$42, CONCAT(VLOOKUP($C55, 'Match Names'!$A$1:$D$22, 4, FAL"&amp;"SE), ""!C3:R29"")), {5;11;17;23}, FALSE)), ""=-4"") + COUNTIF(ARRAYFORMULA(HLOOKUP($B55, IMPORTRANGE('Match Names'!$E$23, CONCAT(VLOOKUP($C55, 'Match Names'!$1:$22, 5, FALSE), ""!C3:R29"")), {6;11;16;21}, FALSE)), ""=-4"") + COUNTIF(ARRAYFORMULA(HLOOKUP($"&amp;"B55, IMPORTRANGE('Match Names'!$F$23, CONCAT(VLOOKUP($C55, 'Match Names'!$1:$22, 6, FALSE), ""!C3:R29"")), {5;11;17;23}, FALSE)), ""=-4"") + COUNTIF(ARRAYFORMULA(HLOOKUP($B55, IMPORTRANGE('Match Names'!$G$23, CONCAT(VLOOKUP($C55, 'Match Names'!$1:$22, 7, "&amp;"FALSE), ""!C3:R29"")), {5;10;14;22}, FALSE)), ""=-4"") + COUNTIF(ARRAYFORMULA(HLOOKUP($B55, IMPORTRANGE('Match Names'!$H$23, CONCAT(VLOOKUP($C55, 'Match Names'!$1:$22, 8, FALSE), ""!C3:R29"")), {5;11;17;23}, FALSE)), ""=-4"")"),0.0)</f>
        <v>0</v>
      </c>
      <c r="H55" s="33">
        <f t="shared" si="2"/>
        <v>0</v>
      </c>
    </row>
    <row r="56">
      <c r="A56" s="21" t="s">
        <v>140</v>
      </c>
      <c r="B56" s="31" t="str">
        <f>VLOOKUP(CONCAT(A56, C56), 'Discord Username to Real Name'!C:D, 2, FALSE)</f>
        <v>Jonathan Hu#9386</v>
      </c>
      <c r="C56" s="21" t="s">
        <v>29</v>
      </c>
      <c r="D56" s="32">
        <f>IFERROR(__xludf.DUMMYFUNCTION("(4 - COUNTIF(IFERROR(ARRAYFORMULA(HLOOKUP($B56, IMPORTRANGE('Prelim Rankings Unsorted'!$B$40, CONCAT(VLOOKUP($C56, 'Match Names'!$A$1:$D$22, 2, FALSE), ""!C3:R29"")), {6;11;17;23}, FALSE)), 'Player Overall Stats Unsorted'!$AA$9:$AA$12), ""=X"")) + (4 - CO"&amp;"UNTIF(IFERROR(ARRAYFORMULA(HLOOKUP($B56, IMPORTRANGE('Prelim Rankings Unsorted'!$B$41, CONCAT(VLOOKUP($C56, 'Match Names'!$A$1:$D$22, 3, FALSE), ""!C3:R29"")), {5;11;17;23}, FALSE)), 'Player Overall Stats Unsorted'!$AA$9:$AA$12), ""=X"")) + (4 - COUNTIF(I"&amp;"FERROR(ARRAYFORMULA(HLOOKUP($B56, IMPORTRANGE('Prelim Rankings Unsorted'!$B$42, CONCAT(VLOOKUP($C56, 'Match Names'!$A$1:$D$22, 4, FALSE), ""!C3:R29"")), {5;11;17;23}, FALSE)), 'Player Overall Stats Unsorted'!$AA$9:$AA$12), ""=X"")) + (4 - COUNTIF(IFERROR("&amp;"ARRAYFORMULA(HLOOKUP($B56, IMPORTRANGE('Match Names'!$E$23, CONCAT(VLOOKUP($C56, 'Match Names'!$1:$22, 5, FALSE), ""!C3:R29"")), {5;11;16;21}, FALSE)), 'Player Overall Stats Unsorted'!$AA$9:$AA$12), ""=X"")) + (4 - COUNTIF(IFERROR(ARRAYFORMULA(HLOOKUP($B5"&amp;"6, IMPORTRANGE('Match Names'!$F$23, CONCAT(VLOOKUP($C56, 'Match Names'!$1:$22, 6, FALSE), ""!C3:R29"")), {5;11;17;23}, FALSE)), 'Player Overall Stats Unsorted'!$AA$9:$AA$12), ""=X"")) + (4 - COUNTIF(IFERROR(ARRAYFORMULA(HLOOKUP($B56, IMPORTRANGE('Match Na"&amp;"mes'!$G$23, CONCAT(VLOOKUP($C56, 'Match Names'!$1:$22, 7, FALSE), ""!C3:R29"")), {5;10;14;23}, FALSE)), 'Player Overall Stats Unsorted'!$AA$9:$AA$12), ""=X"")) + (4 - COUNTIF(IFERROR(ARRAYFORMULA(HLOOKUP($B56, IMPORTRANGE('Match Names'!$H$23, CONCAT(VLOOK"&amp;"UP($C56, 'Match Names'!$1:$22, 8, FALSE), ""!C3:R29"")), {5;11;17;23}, FALSE)), 'Player Overall Stats Unsorted'!$AA$9:$AA$12), ""=X""))"),16.0)</f>
        <v>16</v>
      </c>
      <c r="E56" s="32">
        <f>IFERROR(__xludf.DUMMYFUNCTION("COUNTIF(ARRAYFORMULA(HLOOKUP($B56, IMPORTRANGE('Prelim Rankings Unsorted'!$B$40, CONCAT(VLOOKUP($C56, 'Match Names'!$A$1:$D$22, 2, FALSE), ""!C3:R29"")), {6;11;17;23}, FALSE)), ""=4"") + COUNTIF(ARRAYFORMULA(HLOOKUP($B56, IMPORTRANGE('Prelim Rankings Unso"&amp;"rted'!$B$41, CONCAT(VLOOKUP($C56, 'Match Names'!$A$1:$D$22, 3, FALSE), ""!C3:R29"")), {5;11;17;23}, FALSE)), ""=4"") + COUNTIF(ARRAYFORMULA(HLOOKUP($B56, IMPORTRANGE('Prelim Rankings Unsorted'!$B$42, CONCAT(VLOOKUP($C56, 'Match Names'!$A$1:$D$22, 4, FALSE"&amp;"), ""!C3:R29"")), {5;11;17;23}, FALSE)), ""=4"") + COUNTIF(ARRAYFORMULA(HLOOKUP($B56, IMPORTRANGE('Match Names'!$E$23, CONCAT(VLOOKUP($C56, 'Match Names'!$1:$22, 5, FALSE), ""!C3:R29"")), {6;11;16;21}, FALSE)), ""=4"") + COUNTIF(ARRAYFORMULA(HLOOKUP($B56,"&amp;" IMPORTRANGE('Match Names'!$F$23, CONCAT(VLOOKUP($C56, 'Match Names'!$1:$22, 6, FALSE), ""!C3:R29"")), {5;11;17;23}, FALSE)), ""=4"") + COUNTIF(ARRAYFORMULA(HLOOKUP($B56, IMPORTRANGE('Match Names'!$G$23, CONCAT(VLOOKUP($C56, 'Match Names'!$1:$22, 7, FALSE"&amp;"), ""!C3:R29"")), {5;10;14;22}, FALSE)), ""=4"") + COUNTIF(ARRAYFORMULA(HLOOKUP($B56, IMPORTRANGE('Match Names'!$H$23, CONCAT(VLOOKUP($C56, 'Match Names'!$1:$22, 8, FALSE), ""!C3:R29"")), {5;11;17;23}, FALSE)), ""=4"")"),0.0)</f>
        <v>0</v>
      </c>
      <c r="F56" s="32">
        <f>IFERROR(__xludf.DUMMYFUNCTION("COUNTIF(ARRAYFORMULA(HLOOKUP($B56, IMPORTRANGE('Prelim Rankings Unsorted'!$B$40, CONCAT(VLOOKUP($C56, 'Match Names'!$A$1:$D$22, 2, FALSE), ""!C3:R29"")), {6;11;17;23}, FALSE)), ""=0"") + COUNTIF(ARRAYFORMULA(HLOOKUP($B56, IMPORTRANGE('Prelim Rankings Unso"&amp;"rted'!$B$41, CONCAT(VLOOKUP($C56, 'Match Names'!$A$1:$D$22, 3, FALSE), ""!C3:R29"")), {5;11;17;23}, FALSE)), ""=0"") + COUNTIF(ARRAYFORMULA(HLOOKUP($B56, IMPORTRANGE('Prelim Rankings Unsorted'!$B$42, CONCAT(VLOOKUP($C56, 'Match Names'!$A$1:$D$22, 4, FALSE"&amp;"), ""!C3:R29"")), {5;11;17;23}, FALSE)), ""=0"") + COUNTIF(ARRAYFORMULA(HLOOKUP($B56, IMPORTRANGE('Match Names'!$E$23, CONCAT(VLOOKUP($C56, 'Match Names'!$1:$22, 5, FALSE), ""!C3:R29"")), {6;11;16;21}, FALSE)), ""=0"") + COUNTIF(ARRAYFORMULA(HLOOKUP($B56,"&amp;" IMPORTRANGE('Match Names'!$F$23, CONCAT(VLOOKUP($C56, 'Match Names'!$1:$22, 6, FALSE), ""!C3:R29"")), {5;11;17;23}, FALSE)), ""=0"") + COUNTIF(ARRAYFORMULA(HLOOKUP($B56, IMPORTRANGE('Match Names'!$G$23, CONCAT(VLOOKUP($C56, 'Match Names'!$1:$22, 7, FALSE"&amp;"), ""!C3:R29"")), {5;10;14;22}, FALSE)), ""=0"") + COUNTIF(ARRAYFORMULA(HLOOKUP($B56, IMPORTRANGE('Match Names'!$H$23, CONCAT(VLOOKUP($C56, 'Match Names'!$1:$22, 8, FALSE), ""!C3:R29"")), {5;11;17;23}, FALSE)), ""=0"")"),0.0)</f>
        <v>0</v>
      </c>
      <c r="G56" s="32">
        <f>IFERROR(__xludf.DUMMYFUNCTION("COUNTIF(ARRAYFORMULA(HLOOKUP($B56, IMPORTRANGE('Prelim Rankings Unsorted'!$B$40, CONCAT(VLOOKUP($C56, 'Match Names'!$A$1:$D$22, 2, FALSE), ""!C3:R29"")), {6;11;17;23}, FALSE)), ""=-4"") + COUNTIF(ARRAYFORMULA(HLOOKUP($B56, IMPORTRANGE('Prelim Rankings Uns"&amp;"orted'!$B$41, CONCAT(VLOOKUP($C56, 'Match Names'!$A$1:$D$22, 3, FALSE), ""!C3:R29"")), {5;11;17;23}, FALSE)), ""=-4"") + COUNTIF(ARRAYFORMULA(HLOOKUP($B56, IMPORTRANGE('Prelim Rankings Unsorted'!$B$42, CONCAT(VLOOKUP($C56, 'Match Names'!$A$1:$D$22, 4, FAL"&amp;"SE), ""!C3:R29"")), {5;11;17;23}, FALSE)), ""=-4"") + COUNTIF(ARRAYFORMULA(HLOOKUP($B56, IMPORTRANGE('Match Names'!$E$23, CONCAT(VLOOKUP($C56, 'Match Names'!$1:$22, 5, FALSE), ""!C3:R29"")), {6;11;16;21}, FALSE)), ""=-4"") + COUNTIF(ARRAYFORMULA(HLOOKUP($"&amp;"B56, IMPORTRANGE('Match Names'!$F$23, CONCAT(VLOOKUP($C56, 'Match Names'!$1:$22, 6, FALSE), ""!C3:R29"")), {5;11;17;23}, FALSE)), ""=-4"") + COUNTIF(ARRAYFORMULA(HLOOKUP($B56, IMPORTRANGE('Match Names'!$G$23, CONCAT(VLOOKUP($C56, 'Match Names'!$1:$22, 7, "&amp;"FALSE), ""!C3:R29"")), {5;10;14;22}, FALSE)), ""=-4"") + COUNTIF(ARRAYFORMULA(HLOOKUP($B56, IMPORTRANGE('Match Names'!$H$23, CONCAT(VLOOKUP($C56, 'Match Names'!$1:$22, 8, FALSE), ""!C3:R29"")), {5;11;17;23}, FALSE)), ""=-4"")"),0.0)</f>
        <v>0</v>
      </c>
      <c r="H56" s="33">
        <f t="shared" si="2"/>
        <v>0</v>
      </c>
    </row>
    <row r="57">
      <c r="A57" s="21" t="s">
        <v>154</v>
      </c>
      <c r="B57" s="31" t="str">
        <f>VLOOKUP(CONCAT(A57, C57), 'Discord Username to Real Name'!C:D, 2, FALSE)</f>
        <v>Shinybro64#1122</v>
      </c>
      <c r="C57" s="21" t="s">
        <v>29</v>
      </c>
      <c r="D57" s="32">
        <f>IFERROR(__xludf.DUMMYFUNCTION("(4 - COUNTIF(IFERROR(ARRAYFORMULA(HLOOKUP($B57, IMPORTRANGE('Prelim Rankings Unsorted'!$B$40, CONCAT(VLOOKUP($C57, 'Match Names'!$A$1:$D$22, 2, FALSE), ""!C3:R29"")), {6;11;17;23}, FALSE)), 'Player Overall Stats Unsorted'!$AA$9:$AA$12), ""=X"")) + (4 - CO"&amp;"UNTIF(IFERROR(ARRAYFORMULA(HLOOKUP($B57, IMPORTRANGE('Prelim Rankings Unsorted'!$B$41, CONCAT(VLOOKUP($C57, 'Match Names'!$A$1:$D$22, 3, FALSE), ""!C3:R29"")), {5;11;17;23}, FALSE)), 'Player Overall Stats Unsorted'!$AA$9:$AA$12), ""=X"")) + (4 - COUNTIF(I"&amp;"FERROR(ARRAYFORMULA(HLOOKUP($B57, IMPORTRANGE('Prelim Rankings Unsorted'!$B$42, CONCAT(VLOOKUP($C57, 'Match Names'!$A$1:$D$22, 4, FALSE), ""!C3:R29"")), {5;11;17;23}, FALSE)), 'Player Overall Stats Unsorted'!$AA$9:$AA$12), ""=X"")) + (4 - COUNTIF(IFERROR("&amp;"ARRAYFORMULA(HLOOKUP($B57, IMPORTRANGE('Match Names'!$E$23, CONCAT(VLOOKUP($C57, 'Match Names'!$1:$22, 5, FALSE), ""!C3:R29"")), {5;11;16;21}, FALSE)), 'Player Overall Stats Unsorted'!$AA$9:$AA$12), ""=X"")) + (4 - COUNTIF(IFERROR(ARRAYFORMULA(HLOOKUP($B5"&amp;"7, IMPORTRANGE('Match Names'!$F$23, CONCAT(VLOOKUP($C57, 'Match Names'!$1:$22, 6, FALSE), ""!C3:R29"")), {5;11;17;23}, FALSE)), 'Player Overall Stats Unsorted'!$AA$9:$AA$12), ""=X"")) + (4 - COUNTIF(IFERROR(ARRAYFORMULA(HLOOKUP($B57, IMPORTRANGE('Match Na"&amp;"mes'!$G$23, CONCAT(VLOOKUP($C57, 'Match Names'!$1:$22, 7, FALSE), ""!C3:R29"")), {5;10;14;23}, FALSE)), 'Player Overall Stats Unsorted'!$AA$9:$AA$12), ""=X"")) + (4 - COUNTIF(IFERROR(ARRAYFORMULA(HLOOKUP($B57, IMPORTRANGE('Match Names'!$H$23, CONCAT(VLOOK"&amp;"UP($C57, 'Match Names'!$1:$22, 8, FALSE), ""!C3:R29"")), {5;11;17;23}, FALSE)), 'Player Overall Stats Unsorted'!$AA$9:$AA$12), ""=X""))"),16.0)</f>
        <v>16</v>
      </c>
      <c r="E57" s="32">
        <f>IFERROR(__xludf.DUMMYFUNCTION("COUNTIF(ARRAYFORMULA(HLOOKUP($B57, IMPORTRANGE('Prelim Rankings Unsorted'!$B$40, CONCAT(VLOOKUP($C57, 'Match Names'!$A$1:$D$22, 2, FALSE), ""!C3:R29"")), {6;11;17;23}, FALSE)), ""=4"") + COUNTIF(ARRAYFORMULA(HLOOKUP($B57, IMPORTRANGE('Prelim Rankings Unso"&amp;"rted'!$B$41, CONCAT(VLOOKUP($C57, 'Match Names'!$A$1:$D$22, 3, FALSE), ""!C3:R29"")), {5;11;17;23}, FALSE)), ""=4"") + COUNTIF(ARRAYFORMULA(HLOOKUP($B57, IMPORTRANGE('Prelim Rankings Unsorted'!$B$42, CONCAT(VLOOKUP($C57, 'Match Names'!$A$1:$D$22, 4, FALSE"&amp;"), ""!C3:R29"")), {5;11;17;23}, FALSE)), ""=4"") + COUNTIF(ARRAYFORMULA(HLOOKUP($B57, IMPORTRANGE('Match Names'!$E$23, CONCAT(VLOOKUP($C57, 'Match Names'!$1:$22, 5, FALSE), ""!C3:R29"")), {6;11;16;21}, FALSE)), ""=4"") + COUNTIF(ARRAYFORMULA(HLOOKUP($B57,"&amp;" IMPORTRANGE('Match Names'!$F$23, CONCAT(VLOOKUP($C57, 'Match Names'!$1:$22, 6, FALSE), ""!C3:R29"")), {5;11;17;23}, FALSE)), ""=4"") + COUNTIF(ARRAYFORMULA(HLOOKUP($B57, IMPORTRANGE('Match Names'!$G$23, CONCAT(VLOOKUP($C57, 'Match Names'!$1:$22, 7, FALSE"&amp;"), ""!C3:R29"")), {5;10;14;22}, FALSE)), ""=4"") + COUNTIF(ARRAYFORMULA(HLOOKUP($B57, IMPORTRANGE('Match Names'!$H$23, CONCAT(VLOOKUP($C57, 'Match Names'!$1:$22, 8, FALSE), ""!C3:R29"")), {5;11;17;23}, FALSE)), ""=4"")"),0.0)</f>
        <v>0</v>
      </c>
      <c r="F57" s="32">
        <f>IFERROR(__xludf.DUMMYFUNCTION("COUNTIF(ARRAYFORMULA(HLOOKUP($B57, IMPORTRANGE('Prelim Rankings Unsorted'!$B$40, CONCAT(VLOOKUP($C57, 'Match Names'!$A$1:$D$22, 2, FALSE), ""!C3:R29"")), {6;11;17;23}, FALSE)), ""=0"") + COUNTIF(ARRAYFORMULA(HLOOKUP($B57, IMPORTRANGE('Prelim Rankings Unso"&amp;"rted'!$B$41, CONCAT(VLOOKUP($C57, 'Match Names'!$A$1:$D$22, 3, FALSE), ""!C3:R29"")), {5;11;17;23}, FALSE)), ""=0"") + COUNTIF(ARRAYFORMULA(HLOOKUP($B57, IMPORTRANGE('Prelim Rankings Unsorted'!$B$42, CONCAT(VLOOKUP($C57, 'Match Names'!$A$1:$D$22, 4, FALSE"&amp;"), ""!C3:R29"")), {5;11;17;23}, FALSE)), ""=0"") + COUNTIF(ARRAYFORMULA(HLOOKUP($B57, IMPORTRANGE('Match Names'!$E$23, CONCAT(VLOOKUP($C57, 'Match Names'!$1:$22, 5, FALSE), ""!C3:R29"")), {6;11;16;21}, FALSE)), ""=0"") + COUNTIF(ARRAYFORMULA(HLOOKUP($B57,"&amp;" IMPORTRANGE('Match Names'!$F$23, CONCAT(VLOOKUP($C57, 'Match Names'!$1:$22, 6, FALSE), ""!C3:R29"")), {5;11;17;23}, FALSE)), ""=0"") + COUNTIF(ARRAYFORMULA(HLOOKUP($B57, IMPORTRANGE('Match Names'!$G$23, CONCAT(VLOOKUP($C57, 'Match Names'!$1:$22, 7, FALSE"&amp;"), ""!C3:R29"")), {5;10;14;22}, FALSE)), ""=0"") + COUNTIF(ARRAYFORMULA(HLOOKUP($B57, IMPORTRANGE('Match Names'!$H$23, CONCAT(VLOOKUP($C57, 'Match Names'!$1:$22, 8, FALSE), ""!C3:R29"")), {5;11;17;23}, FALSE)), ""=0"")"),1.0)</f>
        <v>1</v>
      </c>
      <c r="G57" s="32">
        <f>IFERROR(__xludf.DUMMYFUNCTION("COUNTIF(ARRAYFORMULA(HLOOKUP($B57, IMPORTRANGE('Prelim Rankings Unsorted'!$B$40, CONCAT(VLOOKUP($C57, 'Match Names'!$A$1:$D$22, 2, FALSE), ""!C3:R29"")), {6;11;17;23}, FALSE)), ""=-4"") + COUNTIF(ARRAYFORMULA(HLOOKUP($B57, IMPORTRANGE('Prelim Rankings Uns"&amp;"orted'!$B$41, CONCAT(VLOOKUP($C57, 'Match Names'!$A$1:$D$22, 3, FALSE), ""!C3:R29"")), {5;11;17;23}, FALSE)), ""=-4"") + COUNTIF(ARRAYFORMULA(HLOOKUP($B57, IMPORTRANGE('Prelim Rankings Unsorted'!$B$42, CONCAT(VLOOKUP($C57, 'Match Names'!$A$1:$D$22, 4, FAL"&amp;"SE), ""!C3:R29"")), {5;11;17;23}, FALSE)), ""=-4"") + COUNTIF(ARRAYFORMULA(HLOOKUP($B57, IMPORTRANGE('Match Names'!$E$23, CONCAT(VLOOKUP($C57, 'Match Names'!$1:$22, 5, FALSE), ""!C3:R29"")), {6;11;16;21}, FALSE)), ""=-4"") + COUNTIF(ARRAYFORMULA(HLOOKUP($"&amp;"B57, IMPORTRANGE('Match Names'!$F$23, CONCAT(VLOOKUP($C57, 'Match Names'!$1:$22, 6, FALSE), ""!C3:R29"")), {5;11;17;23}, FALSE)), ""=-4"") + COUNTIF(ARRAYFORMULA(HLOOKUP($B57, IMPORTRANGE('Match Names'!$G$23, CONCAT(VLOOKUP($C57, 'Match Names'!$1:$22, 7, "&amp;"FALSE), ""!C3:R29"")), {5;10;14;22}, FALSE)), ""=-4"") + COUNTIF(ARRAYFORMULA(HLOOKUP($B57, IMPORTRANGE('Match Names'!$H$23, CONCAT(VLOOKUP($C57, 'Match Names'!$1:$22, 8, FALSE), ""!C3:R29"")), {5;11;17;23}, FALSE)), ""=-4"")"),0.0)</f>
        <v>0</v>
      </c>
      <c r="H57" s="33">
        <f t="shared" si="2"/>
        <v>0</v>
      </c>
    </row>
    <row r="58">
      <c r="A58" s="21" t="s">
        <v>82</v>
      </c>
      <c r="B58" s="31" t="str">
        <f>VLOOKUP(CONCAT(A58, C58), 'Discord Username to Real Name'!C:D, 2, FALSE)</f>
        <v>Cemo475#3867</v>
      </c>
      <c r="C58" s="21" t="s">
        <v>19</v>
      </c>
      <c r="D58" s="32">
        <f>IFERROR(__xludf.DUMMYFUNCTION("(4 - COUNTIF(IFERROR(ARRAYFORMULA(HLOOKUP($B58, IMPORTRANGE('Prelim Rankings Unsorted'!$B$40, CONCAT(VLOOKUP($C58, 'Match Names'!$A$1:$D$22, 2, FALSE), ""!C3:R29"")), {6;11;17;23}, FALSE)), 'Player Overall Stats Unsorted'!$AA$9:$AA$12), ""=X"")) + (4 - CO"&amp;"UNTIF(IFERROR(ARRAYFORMULA(HLOOKUP($B58, IMPORTRANGE('Prelim Rankings Unsorted'!$B$41, CONCAT(VLOOKUP($C58, 'Match Names'!$A$1:$D$22, 3, FALSE), ""!C3:R29"")), {5;11;17;23}, FALSE)), 'Player Overall Stats Unsorted'!$AA$9:$AA$12), ""=X"")) + (4 - COUNTIF(I"&amp;"FERROR(ARRAYFORMULA(HLOOKUP($B58, IMPORTRANGE('Prelim Rankings Unsorted'!$B$42, CONCAT(VLOOKUP($C58, 'Match Names'!$A$1:$D$22, 4, FALSE), ""!C3:R29"")), {5;11;17;23}, FALSE)), 'Player Overall Stats Unsorted'!$AA$9:$AA$12), ""=X"")) + (4 - COUNTIF(IFERROR("&amp;"ARRAYFORMULA(HLOOKUP($B58, IMPORTRANGE('Match Names'!$E$23, CONCAT(VLOOKUP($C58, 'Match Names'!$1:$22, 5, FALSE), ""!C3:R29"")), {5;11;16;21}, FALSE)), 'Player Overall Stats Unsorted'!$AA$9:$AA$12), ""=X"")) + (4 - COUNTIF(IFERROR(ARRAYFORMULA(HLOOKUP($B5"&amp;"8, IMPORTRANGE('Match Names'!$F$23, CONCAT(VLOOKUP($C58, 'Match Names'!$1:$22, 6, FALSE), ""!C3:R29"")), {5;11;17;23}, FALSE)), 'Player Overall Stats Unsorted'!$AA$9:$AA$12), ""=X"")) + (4 - COUNTIF(IFERROR(ARRAYFORMULA(HLOOKUP($B58, IMPORTRANGE('Match Na"&amp;"mes'!$G$23, CONCAT(VLOOKUP($C58, 'Match Names'!$1:$22, 7, FALSE), ""!C3:R29"")), {5;10;14;23}, FALSE)), 'Player Overall Stats Unsorted'!$AA$9:$AA$12), ""=X"")) + (4 - COUNTIF(IFERROR(ARRAYFORMULA(HLOOKUP($B58, IMPORTRANGE('Match Names'!$H$23, CONCAT(VLOOK"&amp;"UP($C58, 'Match Names'!$1:$22, 8, FALSE), ""!C3:R29"")), {5;11;17;23}, FALSE)), 'Player Overall Stats Unsorted'!$AA$9:$AA$12), ""=X""))"),12.0)</f>
        <v>12</v>
      </c>
      <c r="E58" s="32">
        <f>IFERROR(__xludf.DUMMYFUNCTION("COUNTIF(ARRAYFORMULA(HLOOKUP($B58, IMPORTRANGE('Prelim Rankings Unsorted'!$B$40, CONCAT(VLOOKUP($C58, 'Match Names'!$A$1:$D$22, 2, FALSE), ""!C3:R29"")), {6;11;17;23}, FALSE)), ""=4"") + COUNTIF(ARRAYFORMULA(HLOOKUP($B58, IMPORTRANGE('Prelim Rankings Unso"&amp;"rted'!$B$41, CONCAT(VLOOKUP($C58, 'Match Names'!$A$1:$D$22, 3, FALSE), ""!C3:R29"")), {5;11;17;23}, FALSE)), ""=4"") + COUNTIF(ARRAYFORMULA(HLOOKUP($B58, IMPORTRANGE('Prelim Rankings Unsorted'!$B$42, CONCAT(VLOOKUP($C58, 'Match Names'!$A$1:$D$22, 4, FALSE"&amp;"), ""!C3:R29"")), {5;11;17;23}, FALSE)), ""=4"") + COUNTIF(ARRAYFORMULA(HLOOKUP($B58, IMPORTRANGE('Match Names'!$E$23, CONCAT(VLOOKUP($C58, 'Match Names'!$1:$22, 5, FALSE), ""!C3:R29"")), {6;11;16;21}, FALSE)), ""=4"") + COUNTIF(ARRAYFORMULA(HLOOKUP($B58,"&amp;" IMPORTRANGE('Match Names'!$F$23, CONCAT(VLOOKUP($C58, 'Match Names'!$1:$22, 6, FALSE), ""!C3:R29"")), {5;11;17;23}, FALSE)), ""=4"") + COUNTIF(ARRAYFORMULA(HLOOKUP($B58, IMPORTRANGE('Match Names'!$G$23, CONCAT(VLOOKUP($C58, 'Match Names'!$1:$22, 7, FALSE"&amp;"), ""!C3:R29"")), {5;10;14;22}, FALSE)), ""=4"") + COUNTIF(ARRAYFORMULA(HLOOKUP($B58, IMPORTRANGE('Match Names'!$H$23, CONCAT(VLOOKUP($C58, 'Match Names'!$1:$22, 8, FALSE), ""!C3:R29"")), {5;11;17;23}, FALSE)), ""=4"")"),1.0)</f>
        <v>1</v>
      </c>
      <c r="F58" s="32">
        <f>IFERROR(__xludf.DUMMYFUNCTION("COUNTIF(ARRAYFORMULA(HLOOKUP($B58, IMPORTRANGE('Prelim Rankings Unsorted'!$B$40, CONCAT(VLOOKUP($C58, 'Match Names'!$A$1:$D$22, 2, FALSE), ""!C3:R29"")), {6;11;17;23}, FALSE)), ""=0"") + COUNTIF(ARRAYFORMULA(HLOOKUP($B58, IMPORTRANGE('Prelim Rankings Unso"&amp;"rted'!$B$41, CONCAT(VLOOKUP($C58, 'Match Names'!$A$1:$D$22, 3, FALSE), ""!C3:R29"")), {5;11;17;23}, FALSE)), ""=0"") + COUNTIF(ARRAYFORMULA(HLOOKUP($B58, IMPORTRANGE('Prelim Rankings Unsorted'!$B$42, CONCAT(VLOOKUP($C58, 'Match Names'!$A$1:$D$22, 4, FALSE"&amp;"), ""!C3:R29"")), {5;11;17;23}, FALSE)), ""=0"") + COUNTIF(ARRAYFORMULA(HLOOKUP($B58, IMPORTRANGE('Match Names'!$E$23, CONCAT(VLOOKUP($C58, 'Match Names'!$1:$22, 5, FALSE), ""!C3:R29"")), {6;11;16;21}, FALSE)), ""=0"") + COUNTIF(ARRAYFORMULA(HLOOKUP($B58,"&amp;" IMPORTRANGE('Match Names'!$F$23, CONCAT(VLOOKUP($C58, 'Match Names'!$1:$22, 6, FALSE), ""!C3:R29"")), {5;11;17;23}, FALSE)), ""=0"") + COUNTIF(ARRAYFORMULA(HLOOKUP($B58, IMPORTRANGE('Match Names'!$G$23, CONCAT(VLOOKUP($C58, 'Match Names'!$1:$22, 7, FALSE"&amp;"), ""!C3:R29"")), {5;10;14;22}, FALSE)), ""=0"") + COUNTIF(ARRAYFORMULA(HLOOKUP($B58, IMPORTRANGE('Match Names'!$H$23, CONCAT(VLOOKUP($C58, 'Match Names'!$1:$22, 8, FALSE), ""!C3:R29"")), {5;11;17;23}, FALSE)), ""=0"")"),1.0)</f>
        <v>1</v>
      </c>
      <c r="G58" s="32">
        <f>IFERROR(__xludf.DUMMYFUNCTION("COUNTIF(ARRAYFORMULA(HLOOKUP($B58, IMPORTRANGE('Prelim Rankings Unsorted'!$B$40, CONCAT(VLOOKUP($C58, 'Match Names'!$A$1:$D$22, 2, FALSE), ""!C3:R29"")), {6;11;17;23}, FALSE)), ""=-4"") + COUNTIF(ARRAYFORMULA(HLOOKUP($B58, IMPORTRANGE('Prelim Rankings Uns"&amp;"orted'!$B$41, CONCAT(VLOOKUP($C58, 'Match Names'!$A$1:$D$22, 3, FALSE), ""!C3:R29"")), {5;11;17;23}, FALSE)), ""=-4"") + COUNTIF(ARRAYFORMULA(HLOOKUP($B58, IMPORTRANGE('Prelim Rankings Unsorted'!$B$42, CONCAT(VLOOKUP($C58, 'Match Names'!$A$1:$D$22, 4, FAL"&amp;"SE), ""!C3:R29"")), {5;11;17;23}, FALSE)), ""=-4"") + COUNTIF(ARRAYFORMULA(HLOOKUP($B58, IMPORTRANGE('Match Names'!$E$23, CONCAT(VLOOKUP($C58, 'Match Names'!$1:$22, 5, FALSE), ""!C3:R29"")), {6;11;16;21}, FALSE)), ""=-4"") + COUNTIF(ARRAYFORMULA(HLOOKUP($"&amp;"B58, IMPORTRANGE('Match Names'!$F$23, CONCAT(VLOOKUP($C58, 'Match Names'!$1:$22, 6, FALSE), ""!C3:R29"")), {5;11;17;23}, FALSE)), ""=-4"") + COUNTIF(ARRAYFORMULA(HLOOKUP($B58, IMPORTRANGE('Match Names'!$G$23, CONCAT(VLOOKUP($C58, 'Match Names'!$1:$22, 7, "&amp;"FALSE), ""!C3:R29"")), {5;10;14;22}, FALSE)), ""=-4"") + COUNTIF(ARRAYFORMULA(HLOOKUP($B58, IMPORTRANGE('Match Names'!$H$23, CONCAT(VLOOKUP($C58, 'Match Names'!$1:$22, 8, FALSE), ""!C3:R29"")), {5;11;17;23}, FALSE)), ""=-4"")"),0.0)</f>
        <v>0</v>
      </c>
      <c r="H58" s="33">
        <f t="shared" si="2"/>
        <v>1.33</v>
      </c>
    </row>
    <row r="59">
      <c r="A59" s="21" t="s">
        <v>74</v>
      </c>
      <c r="B59" s="31" t="str">
        <f>VLOOKUP(CONCAT(A59, C59), 'Discord Username to Real Name'!C:D, 2, FALSE)</f>
        <v>Chris Ge#6364</v>
      </c>
      <c r="C59" s="21" t="s">
        <v>19</v>
      </c>
      <c r="D59" s="32">
        <f>IFERROR(__xludf.DUMMYFUNCTION("(4 - COUNTIF(IFERROR(ARRAYFORMULA(HLOOKUP($B59, IMPORTRANGE('Prelim Rankings Unsorted'!$B$40, CONCAT(VLOOKUP($C59, 'Match Names'!$A$1:$D$22, 2, FALSE), ""!C3:R29"")), {6;11;17;23}, FALSE)), 'Player Overall Stats Unsorted'!$AA$9:$AA$12), ""=X"")) + (4 - CO"&amp;"UNTIF(IFERROR(ARRAYFORMULA(HLOOKUP($B59, IMPORTRANGE('Prelim Rankings Unsorted'!$B$41, CONCAT(VLOOKUP($C59, 'Match Names'!$A$1:$D$22, 3, FALSE), ""!C3:R29"")), {5;11;17;23}, FALSE)), 'Player Overall Stats Unsorted'!$AA$9:$AA$12), ""=X"")) + (4 - COUNTIF(I"&amp;"FERROR(ARRAYFORMULA(HLOOKUP($B59, IMPORTRANGE('Prelim Rankings Unsorted'!$B$42, CONCAT(VLOOKUP($C59, 'Match Names'!$A$1:$D$22, 4, FALSE), ""!C3:R29"")), {5;11;17;23}, FALSE)), 'Player Overall Stats Unsorted'!$AA$9:$AA$12), ""=X"")) + (4 - COUNTIF(IFERROR("&amp;"ARRAYFORMULA(HLOOKUP($B59, IMPORTRANGE('Match Names'!$E$23, CONCAT(VLOOKUP($C59, 'Match Names'!$1:$22, 5, FALSE), ""!C3:R29"")), {5;11;16;21}, FALSE)), 'Player Overall Stats Unsorted'!$AA$9:$AA$12), ""=X"")) + (4 - COUNTIF(IFERROR(ARRAYFORMULA(HLOOKUP($B5"&amp;"9, IMPORTRANGE('Match Names'!$F$23, CONCAT(VLOOKUP($C59, 'Match Names'!$1:$22, 6, FALSE), ""!C3:R29"")), {5;11;17;23}, FALSE)), 'Player Overall Stats Unsorted'!$AA$9:$AA$12), ""=X"")) + (4 - COUNTIF(IFERROR(ARRAYFORMULA(HLOOKUP($B59, IMPORTRANGE('Match Na"&amp;"mes'!$G$23, CONCAT(VLOOKUP($C59, 'Match Names'!$1:$22, 7, FALSE), ""!C3:R29"")), {5;10;14;23}, FALSE)), 'Player Overall Stats Unsorted'!$AA$9:$AA$12), ""=X"")) + (4 - COUNTIF(IFERROR(ARRAYFORMULA(HLOOKUP($B59, IMPORTRANGE('Match Names'!$H$23, CONCAT(VLOOK"&amp;"UP($C59, 'Match Names'!$1:$22, 8, FALSE), ""!C3:R29"")), {5;11;17;23}, FALSE)), 'Player Overall Stats Unsorted'!$AA$9:$AA$12), ""=X""))"),16.0)</f>
        <v>16</v>
      </c>
      <c r="E59" s="32">
        <f>IFERROR(__xludf.DUMMYFUNCTION("COUNTIF(ARRAYFORMULA(HLOOKUP($B59, IMPORTRANGE('Prelim Rankings Unsorted'!$B$40, CONCAT(VLOOKUP($C59, 'Match Names'!$A$1:$D$22, 2, FALSE), ""!C3:R29"")), {6;11;17;23}, FALSE)), ""=4"") + COUNTIF(ARRAYFORMULA(HLOOKUP($B59, IMPORTRANGE('Prelim Rankings Unso"&amp;"rted'!$B$41, CONCAT(VLOOKUP($C59, 'Match Names'!$A$1:$D$22, 3, FALSE), ""!C3:R29"")), {5;11;17;23}, FALSE)), ""=4"") + COUNTIF(ARRAYFORMULA(HLOOKUP($B59, IMPORTRANGE('Prelim Rankings Unsorted'!$B$42, CONCAT(VLOOKUP($C59, 'Match Names'!$A$1:$D$22, 4, FALSE"&amp;"), ""!C3:R29"")), {5;11;17;23}, FALSE)), ""=4"") + COUNTIF(ARRAYFORMULA(HLOOKUP($B59, IMPORTRANGE('Match Names'!$E$23, CONCAT(VLOOKUP($C59, 'Match Names'!$1:$22, 5, FALSE), ""!C3:R29"")), {6;11;16;21}, FALSE)), ""=4"") + COUNTIF(ARRAYFORMULA(HLOOKUP($B59,"&amp;" IMPORTRANGE('Match Names'!$F$23, CONCAT(VLOOKUP($C59, 'Match Names'!$1:$22, 6, FALSE), ""!C3:R29"")), {5;11;17;23}, FALSE)), ""=4"") + COUNTIF(ARRAYFORMULA(HLOOKUP($B59, IMPORTRANGE('Match Names'!$G$23, CONCAT(VLOOKUP($C59, 'Match Names'!$1:$22, 7, FALSE"&amp;"), ""!C3:R29"")), {5;10;14;22}, FALSE)), ""=4"") + COUNTIF(ARRAYFORMULA(HLOOKUP($B59, IMPORTRANGE('Match Names'!$H$23, CONCAT(VLOOKUP($C59, 'Match Names'!$1:$22, 8, FALSE), ""!C3:R29"")), {5;11;17;23}, FALSE)), ""=4"")"),7.0)</f>
        <v>7</v>
      </c>
      <c r="F59" s="32">
        <f>IFERROR(__xludf.DUMMYFUNCTION("COUNTIF(ARRAYFORMULA(HLOOKUP($B59, IMPORTRANGE('Prelim Rankings Unsorted'!$B$40, CONCAT(VLOOKUP($C59, 'Match Names'!$A$1:$D$22, 2, FALSE), ""!C3:R29"")), {6;11;17;23}, FALSE)), ""=0"") + COUNTIF(ARRAYFORMULA(HLOOKUP($B59, IMPORTRANGE('Prelim Rankings Unso"&amp;"rted'!$B$41, CONCAT(VLOOKUP($C59, 'Match Names'!$A$1:$D$22, 3, FALSE), ""!C3:R29"")), {5;11;17;23}, FALSE)), ""=0"") + COUNTIF(ARRAYFORMULA(HLOOKUP($B59, IMPORTRANGE('Prelim Rankings Unsorted'!$B$42, CONCAT(VLOOKUP($C59, 'Match Names'!$A$1:$D$22, 4, FALSE"&amp;"), ""!C3:R29"")), {5;11;17;23}, FALSE)), ""=0"") + COUNTIF(ARRAYFORMULA(HLOOKUP($B59, IMPORTRANGE('Match Names'!$E$23, CONCAT(VLOOKUP($C59, 'Match Names'!$1:$22, 5, FALSE), ""!C3:R29"")), {6;11;16;21}, FALSE)), ""=0"") + COUNTIF(ARRAYFORMULA(HLOOKUP($B59,"&amp;" IMPORTRANGE('Match Names'!$F$23, CONCAT(VLOOKUP($C59, 'Match Names'!$1:$22, 6, FALSE), ""!C3:R29"")), {5;11;17;23}, FALSE)), ""=0"") + COUNTIF(ARRAYFORMULA(HLOOKUP($B59, IMPORTRANGE('Match Names'!$G$23, CONCAT(VLOOKUP($C59, 'Match Names'!$1:$22, 7, FALSE"&amp;"), ""!C3:R29"")), {5;10;14;22}, FALSE)), ""=0"") + COUNTIF(ARRAYFORMULA(HLOOKUP($B59, IMPORTRANGE('Match Names'!$H$23, CONCAT(VLOOKUP($C59, 'Match Names'!$1:$22, 8, FALSE), ""!C3:R29"")), {5;11;17;23}, FALSE)), ""=0"")"),2.0)</f>
        <v>2</v>
      </c>
      <c r="G59" s="32">
        <f>IFERROR(__xludf.DUMMYFUNCTION("COUNTIF(ARRAYFORMULA(HLOOKUP($B59, IMPORTRANGE('Prelim Rankings Unsorted'!$B$40, CONCAT(VLOOKUP($C59, 'Match Names'!$A$1:$D$22, 2, FALSE), ""!C3:R29"")), {6;11;17;23}, FALSE)), ""=-4"") + COUNTIF(ARRAYFORMULA(HLOOKUP($B59, IMPORTRANGE('Prelim Rankings Uns"&amp;"orted'!$B$41, CONCAT(VLOOKUP($C59, 'Match Names'!$A$1:$D$22, 3, FALSE), ""!C3:R29"")), {5;11;17;23}, FALSE)), ""=-4"") + COUNTIF(ARRAYFORMULA(HLOOKUP($B59, IMPORTRANGE('Prelim Rankings Unsorted'!$B$42, CONCAT(VLOOKUP($C59, 'Match Names'!$A$1:$D$22, 4, FAL"&amp;"SE), ""!C3:R29"")), {5;11;17;23}, FALSE)), ""=-4"") + COUNTIF(ARRAYFORMULA(HLOOKUP($B59, IMPORTRANGE('Match Names'!$E$23, CONCAT(VLOOKUP($C59, 'Match Names'!$1:$22, 5, FALSE), ""!C3:R29"")), {6;11;16;21}, FALSE)), ""=-4"") + COUNTIF(ARRAYFORMULA(HLOOKUP($"&amp;"B59, IMPORTRANGE('Match Names'!$F$23, CONCAT(VLOOKUP($C59, 'Match Names'!$1:$22, 6, FALSE), ""!C3:R29"")), {5;11;17;23}, FALSE)), ""=-4"") + COUNTIF(ARRAYFORMULA(HLOOKUP($B59, IMPORTRANGE('Match Names'!$G$23, CONCAT(VLOOKUP($C59, 'Match Names'!$1:$22, 7, "&amp;"FALSE), ""!C3:R29"")), {5;10;14;22}, FALSE)), ""=-4"") + COUNTIF(ARRAYFORMULA(HLOOKUP($B59, IMPORTRANGE('Match Names'!$H$23, CONCAT(VLOOKUP($C59, 'Match Names'!$1:$22, 8, FALSE), ""!C3:R29"")), {5;11;17;23}, FALSE)), ""=-4"")"),0.0)</f>
        <v>0</v>
      </c>
      <c r="H59" s="33">
        <f t="shared" si="2"/>
        <v>7</v>
      </c>
    </row>
    <row r="60">
      <c r="A60" s="21" t="s">
        <v>61</v>
      </c>
      <c r="B60" s="31" t="str">
        <f>VLOOKUP(CONCAT(A60, C60), 'Discord Username to Real Name'!C:D, 2, FALSE)</f>
        <v>chalk#0845</v>
      </c>
      <c r="C60" s="21" t="s">
        <v>19</v>
      </c>
      <c r="D60" s="32">
        <f>IFERROR(__xludf.DUMMYFUNCTION("(4 - COUNTIF(IFERROR(ARRAYFORMULA(HLOOKUP($B60, IMPORTRANGE('Prelim Rankings Unsorted'!$B$40, CONCAT(VLOOKUP($C60, 'Match Names'!$A$1:$D$22, 2, FALSE), ""!C3:R29"")), {6;11;17;23}, FALSE)), 'Player Overall Stats Unsorted'!$AA$9:$AA$12), ""=X"")) + (4 - CO"&amp;"UNTIF(IFERROR(ARRAYFORMULA(HLOOKUP($B60, IMPORTRANGE('Prelim Rankings Unsorted'!$B$41, CONCAT(VLOOKUP($C60, 'Match Names'!$A$1:$D$22, 3, FALSE), ""!C3:R29"")), {5;11;17;23}, FALSE)), 'Player Overall Stats Unsorted'!$AA$9:$AA$12), ""=X"")) + (4 - COUNTIF(I"&amp;"FERROR(ARRAYFORMULA(HLOOKUP($B60, IMPORTRANGE('Prelim Rankings Unsorted'!$B$42, CONCAT(VLOOKUP($C60, 'Match Names'!$A$1:$D$22, 4, FALSE), ""!C3:R29"")), {5;11;17;23}, FALSE)), 'Player Overall Stats Unsorted'!$AA$9:$AA$12), ""=X"")) + (4 - COUNTIF(IFERROR("&amp;"ARRAYFORMULA(HLOOKUP($B60, IMPORTRANGE('Match Names'!$E$23, CONCAT(VLOOKUP($C60, 'Match Names'!$1:$22, 5, FALSE), ""!C3:R29"")), {5;11;16;21}, FALSE)), 'Player Overall Stats Unsorted'!$AA$9:$AA$12), ""=X"")) + (4 - COUNTIF(IFERROR(ARRAYFORMULA(HLOOKUP($B6"&amp;"0, IMPORTRANGE('Match Names'!$F$23, CONCAT(VLOOKUP($C60, 'Match Names'!$1:$22, 6, FALSE), ""!C3:R29"")), {5;11;17;23}, FALSE)), 'Player Overall Stats Unsorted'!$AA$9:$AA$12), ""=X"")) + (4 - COUNTIF(IFERROR(ARRAYFORMULA(HLOOKUP($B60, IMPORTRANGE('Match Na"&amp;"mes'!$G$23, CONCAT(VLOOKUP($C60, 'Match Names'!$1:$22, 7, FALSE), ""!C3:R29"")), {5;10;14;23}, FALSE)), 'Player Overall Stats Unsorted'!$AA$9:$AA$12), ""=X"")) + (4 - COUNTIF(IFERROR(ARRAYFORMULA(HLOOKUP($B60, IMPORTRANGE('Match Names'!$H$23, CONCAT(VLOOK"&amp;"UP($C60, 'Match Names'!$1:$22, 8, FALSE), ""!C3:R29"")), {5;11;17;23}, FALSE)), 'Player Overall Stats Unsorted'!$AA$9:$AA$12), ""=X""))"),12.0)</f>
        <v>12</v>
      </c>
      <c r="E60" s="32">
        <f>IFERROR(__xludf.DUMMYFUNCTION("COUNTIF(ARRAYFORMULA(HLOOKUP($B60, IMPORTRANGE('Prelim Rankings Unsorted'!$B$40, CONCAT(VLOOKUP($C60, 'Match Names'!$A$1:$D$22, 2, FALSE), ""!C3:R29"")), {6;11;17;23}, FALSE)), ""=4"") + COUNTIF(ARRAYFORMULA(HLOOKUP($B60, IMPORTRANGE('Prelim Rankings Unso"&amp;"rted'!$B$41, CONCAT(VLOOKUP($C60, 'Match Names'!$A$1:$D$22, 3, FALSE), ""!C3:R29"")), {5;11;17;23}, FALSE)), ""=4"") + COUNTIF(ARRAYFORMULA(HLOOKUP($B60, IMPORTRANGE('Prelim Rankings Unsorted'!$B$42, CONCAT(VLOOKUP($C60, 'Match Names'!$A$1:$D$22, 4, FALSE"&amp;"), ""!C3:R29"")), {5;11;17;23}, FALSE)), ""=4"") + COUNTIF(ARRAYFORMULA(HLOOKUP($B60, IMPORTRANGE('Match Names'!$E$23, CONCAT(VLOOKUP($C60, 'Match Names'!$1:$22, 5, FALSE), ""!C3:R29"")), {6;11;16;21}, FALSE)), ""=4"") + COUNTIF(ARRAYFORMULA(HLOOKUP($B60,"&amp;" IMPORTRANGE('Match Names'!$F$23, CONCAT(VLOOKUP($C60, 'Match Names'!$1:$22, 6, FALSE), ""!C3:R29"")), {5;11;17;23}, FALSE)), ""=4"") + COUNTIF(ARRAYFORMULA(HLOOKUP($B60, IMPORTRANGE('Match Names'!$G$23, CONCAT(VLOOKUP($C60, 'Match Names'!$1:$22, 7, FALSE"&amp;"), ""!C3:R29"")), {5;10;14;22}, FALSE)), ""=4"") + COUNTIF(ARRAYFORMULA(HLOOKUP($B60, IMPORTRANGE('Match Names'!$H$23, CONCAT(VLOOKUP($C60, 'Match Names'!$1:$22, 8, FALSE), ""!C3:R29"")), {5;11;17;23}, FALSE)), ""=4"")"),0.0)</f>
        <v>0</v>
      </c>
      <c r="F60" s="32">
        <f>IFERROR(__xludf.DUMMYFUNCTION("COUNTIF(ARRAYFORMULA(HLOOKUP($B60, IMPORTRANGE('Prelim Rankings Unsorted'!$B$40, CONCAT(VLOOKUP($C60, 'Match Names'!$A$1:$D$22, 2, FALSE), ""!C3:R29"")), {6;11;17;23}, FALSE)), ""=0"") + COUNTIF(ARRAYFORMULA(HLOOKUP($B60, IMPORTRANGE('Prelim Rankings Unso"&amp;"rted'!$B$41, CONCAT(VLOOKUP($C60, 'Match Names'!$A$1:$D$22, 3, FALSE), ""!C3:R29"")), {5;11;17;23}, FALSE)), ""=0"") + COUNTIF(ARRAYFORMULA(HLOOKUP($B60, IMPORTRANGE('Prelim Rankings Unsorted'!$B$42, CONCAT(VLOOKUP($C60, 'Match Names'!$A$1:$D$22, 4, FALSE"&amp;"), ""!C3:R29"")), {5;11;17;23}, FALSE)), ""=0"") + COUNTIF(ARRAYFORMULA(HLOOKUP($B60, IMPORTRANGE('Match Names'!$E$23, CONCAT(VLOOKUP($C60, 'Match Names'!$1:$22, 5, FALSE), ""!C3:R29"")), {6;11;16;21}, FALSE)), ""=0"") + COUNTIF(ARRAYFORMULA(HLOOKUP($B60,"&amp;" IMPORTRANGE('Match Names'!$F$23, CONCAT(VLOOKUP($C60, 'Match Names'!$1:$22, 6, FALSE), ""!C3:R29"")), {5;11;17;23}, FALSE)), ""=0"") + COUNTIF(ARRAYFORMULA(HLOOKUP($B60, IMPORTRANGE('Match Names'!$G$23, CONCAT(VLOOKUP($C60, 'Match Names'!$1:$22, 7, FALSE"&amp;"), ""!C3:R29"")), {5;10;14;22}, FALSE)), ""=0"") + COUNTIF(ARRAYFORMULA(HLOOKUP($B60, IMPORTRANGE('Match Names'!$H$23, CONCAT(VLOOKUP($C60, 'Match Names'!$1:$22, 8, FALSE), ""!C3:R29"")), {5;11;17;23}, FALSE)), ""=0"")"),0.0)</f>
        <v>0</v>
      </c>
      <c r="G60" s="32">
        <f>IFERROR(__xludf.DUMMYFUNCTION("COUNTIF(ARRAYFORMULA(HLOOKUP($B60, IMPORTRANGE('Prelim Rankings Unsorted'!$B$40, CONCAT(VLOOKUP($C60, 'Match Names'!$A$1:$D$22, 2, FALSE), ""!C3:R29"")), {6;11;17;23}, FALSE)), ""=-4"") + COUNTIF(ARRAYFORMULA(HLOOKUP($B60, IMPORTRANGE('Prelim Rankings Uns"&amp;"orted'!$B$41, CONCAT(VLOOKUP($C60, 'Match Names'!$A$1:$D$22, 3, FALSE), ""!C3:R29"")), {5;11;17;23}, FALSE)), ""=-4"") + COUNTIF(ARRAYFORMULA(HLOOKUP($B60, IMPORTRANGE('Prelim Rankings Unsorted'!$B$42, CONCAT(VLOOKUP($C60, 'Match Names'!$A$1:$D$22, 4, FAL"&amp;"SE), ""!C3:R29"")), {5;11;17;23}, FALSE)), ""=-4"") + COUNTIF(ARRAYFORMULA(HLOOKUP($B60, IMPORTRANGE('Match Names'!$E$23, CONCAT(VLOOKUP($C60, 'Match Names'!$1:$22, 5, FALSE), ""!C3:R29"")), {6;11;16;21}, FALSE)), ""=-4"") + COUNTIF(ARRAYFORMULA(HLOOKUP($"&amp;"B60, IMPORTRANGE('Match Names'!$F$23, CONCAT(VLOOKUP($C60, 'Match Names'!$1:$22, 6, FALSE), ""!C3:R29"")), {5;11;17;23}, FALSE)), ""=-4"") + COUNTIF(ARRAYFORMULA(HLOOKUP($B60, IMPORTRANGE('Match Names'!$G$23, CONCAT(VLOOKUP($C60, 'Match Names'!$1:$22, 7, "&amp;"FALSE), ""!C3:R29"")), {5;10;14;22}, FALSE)), ""=-4"") + COUNTIF(ARRAYFORMULA(HLOOKUP($B60, IMPORTRANGE('Match Names'!$H$23, CONCAT(VLOOKUP($C60, 'Match Names'!$1:$22, 8, FALSE), ""!C3:R29"")), {5;11;17;23}, FALSE)), ""=-4"")"),0.0)</f>
        <v>0</v>
      </c>
      <c r="H60" s="33">
        <f t="shared" si="2"/>
        <v>0</v>
      </c>
    </row>
    <row r="61">
      <c r="A61" s="21" t="s">
        <v>106</v>
      </c>
      <c r="B61" s="31" t="str">
        <f>VLOOKUP(CONCAT(A61, C61), 'Discord Username to Real Name'!C:D, 2, FALSE)</f>
        <v>banane#7103</v>
      </c>
      <c r="C61" s="21" t="s">
        <v>19</v>
      </c>
      <c r="D61" s="32">
        <f>IFERROR(__xludf.DUMMYFUNCTION("(4 - COUNTIF(IFERROR(ARRAYFORMULA(HLOOKUP($B61, IMPORTRANGE('Prelim Rankings Unsorted'!$B$40, CONCAT(VLOOKUP($C61, 'Match Names'!$A$1:$D$22, 2, FALSE), ""!C3:R29"")), {6;11;17;23}, FALSE)), 'Player Overall Stats Unsorted'!$AA$9:$AA$12), ""=X"")) + (4 - CO"&amp;"UNTIF(IFERROR(ARRAYFORMULA(HLOOKUP($B61, IMPORTRANGE('Prelim Rankings Unsorted'!$B$41, CONCAT(VLOOKUP($C61, 'Match Names'!$A$1:$D$22, 3, FALSE), ""!C3:R29"")), {5;11;17;23}, FALSE)), 'Player Overall Stats Unsorted'!$AA$9:$AA$12), ""=X"")) + (4 - COUNTIF(I"&amp;"FERROR(ARRAYFORMULA(HLOOKUP($B61, IMPORTRANGE('Prelim Rankings Unsorted'!$B$42, CONCAT(VLOOKUP($C61, 'Match Names'!$A$1:$D$22, 4, FALSE), ""!C3:R29"")), {5;11;17;23}, FALSE)), 'Player Overall Stats Unsorted'!$AA$9:$AA$12), ""=X"")) + (4 - COUNTIF(IFERROR("&amp;"ARRAYFORMULA(HLOOKUP($B61, IMPORTRANGE('Match Names'!$E$23, CONCAT(VLOOKUP($C61, 'Match Names'!$1:$22, 5, FALSE), ""!C3:R29"")), {5;11;16;21}, FALSE)), 'Player Overall Stats Unsorted'!$AA$9:$AA$12), ""=X"")) + (4 - COUNTIF(IFERROR(ARRAYFORMULA(HLOOKUP($B6"&amp;"1, IMPORTRANGE('Match Names'!$F$23, CONCAT(VLOOKUP($C61, 'Match Names'!$1:$22, 6, FALSE), ""!C3:R29"")), {5;11;17;23}, FALSE)), 'Player Overall Stats Unsorted'!$AA$9:$AA$12), ""=X"")) + (4 - COUNTIF(IFERROR(ARRAYFORMULA(HLOOKUP($B61, IMPORTRANGE('Match Na"&amp;"mes'!$G$23, CONCAT(VLOOKUP($C61, 'Match Names'!$1:$22, 7, FALSE), ""!C3:R29"")), {5;10;14;23}, FALSE)), 'Player Overall Stats Unsorted'!$AA$9:$AA$12), ""=X"")) + (4 - COUNTIF(IFERROR(ARRAYFORMULA(HLOOKUP($B61, IMPORTRANGE('Match Names'!$H$23, CONCAT(VLOOK"&amp;"UP($C61, 'Match Names'!$1:$22, 8, FALSE), ""!C3:R29"")), {5;11;17;23}, FALSE)), 'Player Overall Stats Unsorted'!$AA$9:$AA$12), ""=X""))"),14.0)</f>
        <v>14</v>
      </c>
      <c r="E61" s="32">
        <f>IFERROR(__xludf.DUMMYFUNCTION("COUNTIF(ARRAYFORMULA(HLOOKUP($B61, IMPORTRANGE('Prelim Rankings Unsorted'!$B$40, CONCAT(VLOOKUP($C61, 'Match Names'!$A$1:$D$22, 2, FALSE), ""!C3:R29"")), {6;11;17;23}, FALSE)), ""=4"") + COUNTIF(ARRAYFORMULA(HLOOKUP($B61, IMPORTRANGE('Prelim Rankings Unso"&amp;"rted'!$B$41, CONCAT(VLOOKUP($C61, 'Match Names'!$A$1:$D$22, 3, FALSE), ""!C3:R29"")), {5;11;17;23}, FALSE)), ""=4"") + COUNTIF(ARRAYFORMULA(HLOOKUP($B61, IMPORTRANGE('Prelim Rankings Unsorted'!$B$42, CONCAT(VLOOKUP($C61, 'Match Names'!$A$1:$D$22, 4, FALSE"&amp;"), ""!C3:R29"")), {5;11;17;23}, FALSE)), ""=4"") + COUNTIF(ARRAYFORMULA(HLOOKUP($B61, IMPORTRANGE('Match Names'!$E$23, CONCAT(VLOOKUP($C61, 'Match Names'!$1:$22, 5, FALSE), ""!C3:R29"")), {6;11;16;21}, FALSE)), ""=4"") + COUNTIF(ARRAYFORMULA(HLOOKUP($B61,"&amp;" IMPORTRANGE('Match Names'!$F$23, CONCAT(VLOOKUP($C61, 'Match Names'!$1:$22, 6, FALSE), ""!C3:R29"")), {5;11;17;23}, FALSE)), ""=4"") + COUNTIF(ARRAYFORMULA(HLOOKUP($B61, IMPORTRANGE('Match Names'!$G$23, CONCAT(VLOOKUP($C61, 'Match Names'!$1:$22, 7, FALSE"&amp;"), ""!C3:R29"")), {5;10;14;22}, FALSE)), ""=4"") + COUNTIF(ARRAYFORMULA(HLOOKUP($B61, IMPORTRANGE('Match Names'!$H$23, CONCAT(VLOOKUP($C61, 'Match Names'!$1:$22, 8, FALSE), ""!C3:R29"")), {5;11;17;23}, FALSE)), ""=4"")"),1.0)</f>
        <v>1</v>
      </c>
      <c r="F61" s="32">
        <f>IFERROR(__xludf.DUMMYFUNCTION("COUNTIF(ARRAYFORMULA(HLOOKUP($B61, IMPORTRANGE('Prelim Rankings Unsorted'!$B$40, CONCAT(VLOOKUP($C61, 'Match Names'!$A$1:$D$22, 2, FALSE), ""!C3:R29"")), {6;11;17;23}, FALSE)), ""=0"") + COUNTIF(ARRAYFORMULA(HLOOKUP($B61, IMPORTRANGE('Prelim Rankings Unso"&amp;"rted'!$B$41, CONCAT(VLOOKUP($C61, 'Match Names'!$A$1:$D$22, 3, FALSE), ""!C3:R29"")), {5;11;17;23}, FALSE)), ""=0"") + COUNTIF(ARRAYFORMULA(HLOOKUP($B61, IMPORTRANGE('Prelim Rankings Unsorted'!$B$42, CONCAT(VLOOKUP($C61, 'Match Names'!$A$1:$D$22, 4, FALSE"&amp;"), ""!C3:R29"")), {5;11;17;23}, FALSE)), ""=0"") + COUNTIF(ARRAYFORMULA(HLOOKUP($B61, IMPORTRANGE('Match Names'!$E$23, CONCAT(VLOOKUP($C61, 'Match Names'!$1:$22, 5, FALSE), ""!C3:R29"")), {6;11;16;21}, FALSE)), ""=0"") + COUNTIF(ARRAYFORMULA(HLOOKUP($B61,"&amp;" IMPORTRANGE('Match Names'!$F$23, CONCAT(VLOOKUP($C61, 'Match Names'!$1:$22, 6, FALSE), ""!C3:R29"")), {5;11;17;23}, FALSE)), ""=0"") + COUNTIF(ARRAYFORMULA(HLOOKUP($B61, IMPORTRANGE('Match Names'!$G$23, CONCAT(VLOOKUP($C61, 'Match Names'!$1:$22, 7, FALSE"&amp;"), ""!C3:R29"")), {5;10;14;22}, FALSE)), ""=0"") + COUNTIF(ARRAYFORMULA(HLOOKUP($B61, IMPORTRANGE('Match Names'!$H$23, CONCAT(VLOOKUP($C61, 'Match Names'!$1:$22, 8, FALSE), ""!C3:R29"")), {5;11;17;23}, FALSE)), ""=0"")"),0.0)</f>
        <v>0</v>
      </c>
      <c r="G61" s="32">
        <f>IFERROR(__xludf.DUMMYFUNCTION("COUNTIF(ARRAYFORMULA(HLOOKUP($B61, IMPORTRANGE('Prelim Rankings Unsorted'!$B$40, CONCAT(VLOOKUP($C61, 'Match Names'!$A$1:$D$22, 2, FALSE), ""!C3:R29"")), {6;11;17;23}, FALSE)), ""=-4"") + COUNTIF(ARRAYFORMULA(HLOOKUP($B61, IMPORTRANGE('Prelim Rankings Uns"&amp;"orted'!$B$41, CONCAT(VLOOKUP($C61, 'Match Names'!$A$1:$D$22, 3, FALSE), ""!C3:R29"")), {5;11;17;23}, FALSE)), ""=-4"") + COUNTIF(ARRAYFORMULA(HLOOKUP($B61, IMPORTRANGE('Prelim Rankings Unsorted'!$B$42, CONCAT(VLOOKUP($C61, 'Match Names'!$A$1:$D$22, 4, FAL"&amp;"SE), ""!C3:R29"")), {5;11;17;23}, FALSE)), ""=-4"") + COUNTIF(ARRAYFORMULA(HLOOKUP($B61, IMPORTRANGE('Match Names'!$E$23, CONCAT(VLOOKUP($C61, 'Match Names'!$1:$22, 5, FALSE), ""!C3:R29"")), {6;11;16;21}, FALSE)), ""=-4"") + COUNTIF(ARRAYFORMULA(HLOOKUP($"&amp;"B61, IMPORTRANGE('Match Names'!$F$23, CONCAT(VLOOKUP($C61, 'Match Names'!$1:$22, 6, FALSE), ""!C3:R29"")), {5;11;17;23}, FALSE)), ""=-4"") + COUNTIF(ARRAYFORMULA(HLOOKUP($B61, IMPORTRANGE('Match Names'!$G$23, CONCAT(VLOOKUP($C61, 'Match Names'!$1:$22, 7, "&amp;"FALSE), ""!C3:R29"")), {5;10;14;22}, FALSE)), ""=-4"") + COUNTIF(ARRAYFORMULA(HLOOKUP($B61, IMPORTRANGE('Match Names'!$H$23, CONCAT(VLOOKUP($C61, 'Match Names'!$1:$22, 8, FALSE), ""!C3:R29"")), {5;11;17;23}, FALSE)), ""=-4"")"),0.0)</f>
        <v>0</v>
      </c>
      <c r="H61" s="33">
        <f t="shared" si="2"/>
        <v>1.14</v>
      </c>
    </row>
    <row r="62">
      <c r="A62" s="21" t="s">
        <v>65</v>
      </c>
      <c r="B62" s="31" t="str">
        <f>VLOOKUP(CONCAT(A62, C62), 'Discord Username to Real Name'!C:D, 2, FALSE)</f>
        <v>Sahas#5704</v>
      </c>
      <c r="C62" s="21" t="s">
        <v>19</v>
      </c>
      <c r="D62" s="32">
        <f>IFERROR(__xludf.DUMMYFUNCTION("(4 - COUNTIF(IFERROR(ARRAYFORMULA(HLOOKUP($B62, IMPORTRANGE('Prelim Rankings Unsorted'!$B$40, CONCAT(VLOOKUP($C62, 'Match Names'!$A$1:$D$22, 2, FALSE), ""!C3:R29"")), {6;11;17;23}, FALSE)), 'Player Overall Stats Unsorted'!$AA$9:$AA$12), ""=X"")) + (4 - CO"&amp;"UNTIF(IFERROR(ARRAYFORMULA(HLOOKUP($B62, IMPORTRANGE('Prelim Rankings Unsorted'!$B$41, CONCAT(VLOOKUP($C62, 'Match Names'!$A$1:$D$22, 3, FALSE), ""!C3:R29"")), {5;11;17;23}, FALSE)), 'Player Overall Stats Unsorted'!$AA$9:$AA$12), ""=X"")) + (4 - COUNTIF(I"&amp;"FERROR(ARRAYFORMULA(HLOOKUP($B62, IMPORTRANGE('Prelim Rankings Unsorted'!$B$42, CONCAT(VLOOKUP($C62, 'Match Names'!$A$1:$D$22, 4, FALSE), ""!C3:R29"")), {5;11;17;23}, FALSE)), 'Player Overall Stats Unsorted'!$AA$9:$AA$12), ""=X"")) + (4 - COUNTIF(IFERROR("&amp;"ARRAYFORMULA(HLOOKUP($B62, IMPORTRANGE('Match Names'!$E$23, CONCAT(VLOOKUP($C62, 'Match Names'!$1:$22, 5, FALSE), ""!C3:R29"")), {5;11;16;21}, FALSE)), 'Player Overall Stats Unsorted'!$AA$9:$AA$12), ""=X"")) + (4 - COUNTIF(IFERROR(ARRAYFORMULA(HLOOKUP($B6"&amp;"2, IMPORTRANGE('Match Names'!$F$23, CONCAT(VLOOKUP($C62, 'Match Names'!$1:$22, 6, FALSE), ""!C3:R29"")), {5;11;17;23}, FALSE)), 'Player Overall Stats Unsorted'!$AA$9:$AA$12), ""=X"")) + (4 - COUNTIF(IFERROR(ARRAYFORMULA(HLOOKUP($B62, IMPORTRANGE('Match Na"&amp;"mes'!$G$23, CONCAT(VLOOKUP($C62, 'Match Names'!$1:$22, 7, FALSE), ""!C3:R29"")), {5;10;14;23}, FALSE)), 'Player Overall Stats Unsorted'!$AA$9:$AA$12), ""=X"")) + (4 - COUNTIF(IFERROR(ARRAYFORMULA(HLOOKUP($B62, IMPORTRANGE('Match Names'!$H$23, CONCAT(VLOOK"&amp;"UP($C62, 'Match Names'!$1:$22, 8, FALSE), ""!C3:R29"")), {5;11;17;23}, FALSE)), 'Player Overall Stats Unsorted'!$AA$9:$AA$12), ""=X""))"),16.0)</f>
        <v>16</v>
      </c>
      <c r="E62" s="32">
        <f>IFERROR(__xludf.DUMMYFUNCTION("COUNTIF(ARRAYFORMULA(HLOOKUP($B62, IMPORTRANGE('Prelim Rankings Unsorted'!$B$40, CONCAT(VLOOKUP($C62, 'Match Names'!$A$1:$D$22, 2, FALSE), ""!C3:R29"")), {6;11;17;23}, FALSE)), ""=4"") + COUNTIF(ARRAYFORMULA(HLOOKUP($B62, IMPORTRANGE('Prelim Rankings Unso"&amp;"rted'!$B$41, CONCAT(VLOOKUP($C62, 'Match Names'!$A$1:$D$22, 3, FALSE), ""!C3:R29"")), {5;11;17;23}, FALSE)), ""=4"") + COUNTIF(ARRAYFORMULA(HLOOKUP($B62, IMPORTRANGE('Prelim Rankings Unsorted'!$B$42, CONCAT(VLOOKUP($C62, 'Match Names'!$A$1:$D$22, 4, FALSE"&amp;"), ""!C3:R29"")), {5;11;17;23}, FALSE)), ""=4"") + COUNTIF(ARRAYFORMULA(HLOOKUP($B62, IMPORTRANGE('Match Names'!$E$23, CONCAT(VLOOKUP($C62, 'Match Names'!$1:$22, 5, FALSE), ""!C3:R29"")), {6;11;16;21}, FALSE)), ""=4"") + COUNTIF(ARRAYFORMULA(HLOOKUP($B62,"&amp;" IMPORTRANGE('Match Names'!$F$23, CONCAT(VLOOKUP($C62, 'Match Names'!$1:$22, 6, FALSE), ""!C3:R29"")), {5;11;17;23}, FALSE)), ""=4"") + COUNTIF(ARRAYFORMULA(HLOOKUP($B62, IMPORTRANGE('Match Names'!$G$23, CONCAT(VLOOKUP($C62, 'Match Names'!$1:$22, 7, FALSE"&amp;"), ""!C3:R29"")), {5;10;14;22}, FALSE)), ""=4"") + COUNTIF(ARRAYFORMULA(HLOOKUP($B62, IMPORTRANGE('Match Names'!$H$23, CONCAT(VLOOKUP($C62, 'Match Names'!$1:$22, 8, FALSE), ""!C3:R29"")), {5;11;17;23}, FALSE)), ""=4"")"),0.0)</f>
        <v>0</v>
      </c>
      <c r="F62" s="32">
        <f>IFERROR(__xludf.DUMMYFUNCTION("COUNTIF(ARRAYFORMULA(HLOOKUP($B62, IMPORTRANGE('Prelim Rankings Unsorted'!$B$40, CONCAT(VLOOKUP($C62, 'Match Names'!$A$1:$D$22, 2, FALSE), ""!C3:R29"")), {6;11;17;23}, FALSE)), ""=0"") + COUNTIF(ARRAYFORMULA(HLOOKUP($B62, IMPORTRANGE('Prelim Rankings Unso"&amp;"rted'!$B$41, CONCAT(VLOOKUP($C62, 'Match Names'!$A$1:$D$22, 3, FALSE), ""!C3:R29"")), {5;11;17;23}, FALSE)), ""=0"") + COUNTIF(ARRAYFORMULA(HLOOKUP($B62, IMPORTRANGE('Prelim Rankings Unsorted'!$B$42, CONCAT(VLOOKUP($C62, 'Match Names'!$A$1:$D$22, 4, FALSE"&amp;"), ""!C3:R29"")), {5;11;17;23}, FALSE)), ""=0"") + COUNTIF(ARRAYFORMULA(HLOOKUP($B62, IMPORTRANGE('Match Names'!$E$23, CONCAT(VLOOKUP($C62, 'Match Names'!$1:$22, 5, FALSE), ""!C3:R29"")), {6;11;16;21}, FALSE)), ""=0"") + COUNTIF(ARRAYFORMULA(HLOOKUP($B62,"&amp;" IMPORTRANGE('Match Names'!$F$23, CONCAT(VLOOKUP($C62, 'Match Names'!$1:$22, 6, FALSE), ""!C3:R29"")), {5;11;17;23}, FALSE)), ""=0"") + COUNTIF(ARRAYFORMULA(HLOOKUP($B62, IMPORTRANGE('Match Names'!$G$23, CONCAT(VLOOKUP($C62, 'Match Names'!$1:$22, 7, FALSE"&amp;"), ""!C3:R29"")), {5;10;14;22}, FALSE)), ""=0"") + COUNTIF(ARRAYFORMULA(HLOOKUP($B62, IMPORTRANGE('Match Names'!$H$23, CONCAT(VLOOKUP($C62, 'Match Names'!$1:$22, 8, FALSE), ""!C3:R29"")), {5;11;17;23}, FALSE)), ""=0"")"),0.0)</f>
        <v>0</v>
      </c>
      <c r="G62" s="32">
        <f>IFERROR(__xludf.DUMMYFUNCTION("COUNTIF(ARRAYFORMULA(HLOOKUP($B62, IMPORTRANGE('Prelim Rankings Unsorted'!$B$40, CONCAT(VLOOKUP($C62, 'Match Names'!$A$1:$D$22, 2, FALSE), ""!C3:R29"")), {6;11;17;23}, FALSE)), ""=-4"") + COUNTIF(ARRAYFORMULA(HLOOKUP($B62, IMPORTRANGE('Prelim Rankings Uns"&amp;"orted'!$B$41, CONCAT(VLOOKUP($C62, 'Match Names'!$A$1:$D$22, 3, FALSE), ""!C3:R29"")), {5;11;17;23}, FALSE)), ""=-4"") + COUNTIF(ARRAYFORMULA(HLOOKUP($B62, IMPORTRANGE('Prelim Rankings Unsorted'!$B$42, CONCAT(VLOOKUP($C62, 'Match Names'!$A$1:$D$22, 4, FAL"&amp;"SE), ""!C3:R29"")), {5;11;17;23}, FALSE)), ""=-4"") + COUNTIF(ARRAYFORMULA(HLOOKUP($B62, IMPORTRANGE('Match Names'!$E$23, CONCAT(VLOOKUP($C62, 'Match Names'!$1:$22, 5, FALSE), ""!C3:R29"")), {6;11;16;21}, FALSE)), ""=-4"") + COUNTIF(ARRAYFORMULA(HLOOKUP($"&amp;"B62, IMPORTRANGE('Match Names'!$F$23, CONCAT(VLOOKUP($C62, 'Match Names'!$1:$22, 6, FALSE), ""!C3:R29"")), {5;11;17;23}, FALSE)), ""=-4"") + COUNTIF(ARRAYFORMULA(HLOOKUP($B62, IMPORTRANGE('Match Names'!$G$23, CONCAT(VLOOKUP($C62, 'Match Names'!$1:$22, 7, "&amp;"FALSE), ""!C3:R29"")), {5;10;14;22}, FALSE)), ""=-4"") + COUNTIF(ARRAYFORMULA(HLOOKUP($B62, IMPORTRANGE('Match Names'!$H$23, CONCAT(VLOOKUP($C62, 'Match Names'!$1:$22, 8, FALSE), ""!C3:R29"")), {5;11;17;23}, FALSE)), ""=-4"")"),0.0)</f>
        <v>0</v>
      </c>
      <c r="H62" s="33">
        <f t="shared" si="2"/>
        <v>0</v>
      </c>
    </row>
    <row r="63">
      <c r="A63" s="21" t="s">
        <v>134</v>
      </c>
      <c r="B63" s="31" t="str">
        <f>VLOOKUP(CONCAT(A63, C63), 'Discord Username to Real Name'!C:D, 2, FALSE)</f>
        <v>Jeffrey Li#1694</v>
      </c>
      <c r="C63" s="21" t="s">
        <v>22</v>
      </c>
      <c r="D63" s="32">
        <f>IFERROR(__xludf.DUMMYFUNCTION("(4 - COUNTIF(IFERROR(ARRAYFORMULA(HLOOKUP($B63, IMPORTRANGE('Prelim Rankings Unsorted'!$B$40, CONCAT(VLOOKUP($C63, 'Match Names'!$A$1:$D$22, 2, FALSE), ""!C3:R29"")), {6;11;17;23}, FALSE)), 'Player Overall Stats Unsorted'!$AA$9:$AA$12), ""=X"")) + (4 - CO"&amp;"UNTIF(IFERROR(ARRAYFORMULA(HLOOKUP($B63, IMPORTRANGE('Prelim Rankings Unsorted'!$B$41, CONCAT(VLOOKUP($C63, 'Match Names'!$A$1:$D$22, 3, FALSE), ""!C3:R29"")), {5;11;17;23}, FALSE)), 'Player Overall Stats Unsorted'!$AA$9:$AA$12), ""=X"")) + (4 - COUNTIF(I"&amp;"FERROR(ARRAYFORMULA(HLOOKUP($B63, IMPORTRANGE('Prelim Rankings Unsorted'!$B$42, CONCAT(VLOOKUP($C63, 'Match Names'!$A$1:$D$22, 4, FALSE), ""!C3:R29"")), {5;11;17;23}, FALSE)), 'Player Overall Stats Unsorted'!$AA$9:$AA$12), ""=X"")) + (4 - COUNTIF(IFERROR("&amp;"ARRAYFORMULA(HLOOKUP($B63, IMPORTRANGE('Match Names'!$E$23, CONCAT(VLOOKUP($C63, 'Match Names'!$1:$22, 5, FALSE), ""!C3:R29"")), {5;11;16;21}, FALSE)), 'Player Overall Stats Unsorted'!$AA$9:$AA$12), ""=X"")) + (4 - COUNTIF(IFERROR(ARRAYFORMULA(HLOOKUP($B6"&amp;"3, IMPORTRANGE('Match Names'!$F$23, CONCAT(VLOOKUP($C63, 'Match Names'!$1:$22, 6, FALSE), ""!C3:R29"")), {5;11;17;23}, FALSE)), 'Player Overall Stats Unsorted'!$AA$9:$AA$12), ""=X"")) + (4 - COUNTIF(IFERROR(ARRAYFORMULA(HLOOKUP($B63, IMPORTRANGE('Match Na"&amp;"mes'!$G$23, CONCAT(VLOOKUP($C63, 'Match Names'!$1:$22, 7, FALSE), ""!C3:R29"")), {5;10;14;23}, FALSE)), 'Player Overall Stats Unsorted'!$AA$9:$AA$12), ""=X"")) + (4 - COUNTIF(IFERROR(ARRAYFORMULA(HLOOKUP($B63, IMPORTRANGE('Match Names'!$H$23, CONCAT(VLOOK"&amp;"UP($C63, 'Match Names'!$1:$22, 8, FALSE), ""!C3:R29"")), {5;11;17;23}, FALSE)), 'Player Overall Stats Unsorted'!$AA$9:$AA$12), ""=X""))"),22.0)</f>
        <v>22</v>
      </c>
      <c r="E63" s="32">
        <f>IFERROR(__xludf.DUMMYFUNCTION("COUNTIF(ARRAYFORMULA(HLOOKUP($B63, IMPORTRANGE('Prelim Rankings Unsorted'!$B$40, CONCAT(VLOOKUP($C63, 'Match Names'!$A$1:$D$22, 2, FALSE), ""!C3:R29"")), {6;11;17;23}, FALSE)), ""=4"") + COUNTIF(ARRAYFORMULA(HLOOKUP($B63, IMPORTRANGE('Prelim Rankings Unso"&amp;"rted'!$B$41, CONCAT(VLOOKUP($C63, 'Match Names'!$A$1:$D$22, 3, FALSE), ""!C3:R29"")), {5;11;17;23}, FALSE)), ""=4"") + COUNTIF(ARRAYFORMULA(HLOOKUP($B63, IMPORTRANGE('Prelim Rankings Unsorted'!$B$42, CONCAT(VLOOKUP($C63, 'Match Names'!$A$1:$D$22, 4, FALSE"&amp;"), ""!C3:R29"")), {5;11;17;23}, FALSE)), ""=4"") + COUNTIF(ARRAYFORMULA(HLOOKUP($B63, IMPORTRANGE('Match Names'!$E$23, CONCAT(VLOOKUP($C63, 'Match Names'!$1:$22, 5, FALSE), ""!C3:R29"")), {6;11;16;21}, FALSE)), ""=4"") + COUNTIF(ARRAYFORMULA(HLOOKUP($B63,"&amp;" IMPORTRANGE('Match Names'!$F$23, CONCAT(VLOOKUP($C63, 'Match Names'!$1:$22, 6, FALSE), ""!C3:R29"")), {5;11;17;23}, FALSE)), ""=4"") + COUNTIF(ARRAYFORMULA(HLOOKUP($B63, IMPORTRANGE('Match Names'!$G$23, CONCAT(VLOOKUP($C63, 'Match Names'!$1:$22, 7, FALSE"&amp;"), ""!C3:R29"")), {5;10;14;22}, FALSE)), ""=4"") + COUNTIF(ARRAYFORMULA(HLOOKUP($B63, IMPORTRANGE('Match Names'!$H$23, CONCAT(VLOOKUP($C63, 'Match Names'!$1:$22, 8, FALSE), ""!C3:R29"")), {5;11;17;23}, FALSE)), ""=4"")"),1.0)</f>
        <v>1</v>
      </c>
      <c r="F63" s="32">
        <f>IFERROR(__xludf.DUMMYFUNCTION("COUNTIF(ARRAYFORMULA(HLOOKUP($B63, IMPORTRANGE('Prelim Rankings Unsorted'!$B$40, CONCAT(VLOOKUP($C63, 'Match Names'!$A$1:$D$22, 2, FALSE), ""!C3:R29"")), {6;11;17;23}, FALSE)), ""=0"") + COUNTIF(ARRAYFORMULA(HLOOKUP($B63, IMPORTRANGE('Prelim Rankings Unso"&amp;"rted'!$B$41, CONCAT(VLOOKUP($C63, 'Match Names'!$A$1:$D$22, 3, FALSE), ""!C3:R29"")), {5;11;17;23}, FALSE)), ""=0"") + COUNTIF(ARRAYFORMULA(HLOOKUP($B63, IMPORTRANGE('Prelim Rankings Unsorted'!$B$42, CONCAT(VLOOKUP($C63, 'Match Names'!$A$1:$D$22, 4, FALSE"&amp;"), ""!C3:R29"")), {5;11;17;23}, FALSE)), ""=0"") + COUNTIF(ARRAYFORMULA(HLOOKUP($B63, IMPORTRANGE('Match Names'!$E$23, CONCAT(VLOOKUP($C63, 'Match Names'!$1:$22, 5, FALSE), ""!C3:R29"")), {6;11;16;21}, FALSE)), ""=0"") + COUNTIF(ARRAYFORMULA(HLOOKUP($B63,"&amp;" IMPORTRANGE('Match Names'!$F$23, CONCAT(VLOOKUP($C63, 'Match Names'!$1:$22, 6, FALSE), ""!C3:R29"")), {5;11;17;23}, FALSE)), ""=0"") + COUNTIF(ARRAYFORMULA(HLOOKUP($B63, IMPORTRANGE('Match Names'!$G$23, CONCAT(VLOOKUP($C63, 'Match Names'!$1:$22, 7, FALSE"&amp;"), ""!C3:R29"")), {5;10;14;22}, FALSE)), ""=0"") + COUNTIF(ARRAYFORMULA(HLOOKUP($B63, IMPORTRANGE('Match Names'!$H$23, CONCAT(VLOOKUP($C63, 'Match Names'!$1:$22, 8, FALSE), ""!C3:R29"")), {5;11;17;23}, FALSE)), ""=0"")"),2.0)</f>
        <v>2</v>
      </c>
      <c r="G63" s="32">
        <f>IFERROR(__xludf.DUMMYFUNCTION("COUNTIF(ARRAYFORMULA(HLOOKUP($B63, IMPORTRANGE('Prelim Rankings Unsorted'!$B$40, CONCAT(VLOOKUP($C63, 'Match Names'!$A$1:$D$22, 2, FALSE), ""!C3:R29"")), {6;11;17;23}, FALSE)), ""=-4"") + COUNTIF(ARRAYFORMULA(HLOOKUP($B63, IMPORTRANGE('Prelim Rankings Uns"&amp;"orted'!$B$41, CONCAT(VLOOKUP($C63, 'Match Names'!$A$1:$D$22, 3, FALSE), ""!C3:R29"")), {5;11;17;23}, FALSE)), ""=-4"") + COUNTIF(ARRAYFORMULA(HLOOKUP($B63, IMPORTRANGE('Prelim Rankings Unsorted'!$B$42, CONCAT(VLOOKUP($C63, 'Match Names'!$A$1:$D$22, 4, FAL"&amp;"SE), ""!C3:R29"")), {5;11;17;23}, FALSE)), ""=-4"") + COUNTIF(ARRAYFORMULA(HLOOKUP($B63, IMPORTRANGE('Match Names'!$E$23, CONCAT(VLOOKUP($C63, 'Match Names'!$1:$22, 5, FALSE), ""!C3:R29"")), {6;11;16;21}, FALSE)), ""=-4"") + COUNTIF(ARRAYFORMULA(HLOOKUP($"&amp;"B63, IMPORTRANGE('Match Names'!$F$23, CONCAT(VLOOKUP($C63, 'Match Names'!$1:$22, 6, FALSE), ""!C3:R29"")), {5;11;17;23}, FALSE)), ""=-4"") + COUNTIF(ARRAYFORMULA(HLOOKUP($B63, IMPORTRANGE('Match Names'!$G$23, CONCAT(VLOOKUP($C63, 'Match Names'!$1:$22, 7, "&amp;"FALSE), ""!C3:R29"")), {5;10;14;22}, FALSE)), ""=-4"") + COUNTIF(ARRAYFORMULA(HLOOKUP($B63, IMPORTRANGE('Match Names'!$H$23, CONCAT(VLOOKUP($C63, 'Match Names'!$1:$22, 8, FALSE), ""!C3:R29"")), {5;11;17;23}, FALSE)), ""=-4"")"),0.0)</f>
        <v>0</v>
      </c>
      <c r="H63" s="33">
        <f t="shared" si="2"/>
        <v>0.73</v>
      </c>
    </row>
    <row r="64">
      <c r="A64" s="21" t="s">
        <v>13</v>
      </c>
      <c r="B64" s="31" t="str">
        <f>VLOOKUP(CONCAT(A64, C64), 'Discord Username to Real Name'!C:D, 2, FALSE)</f>
        <v>danliu488#6963</v>
      </c>
      <c r="C64" s="21" t="s">
        <v>22</v>
      </c>
      <c r="D64" s="32">
        <f>IFERROR(__xludf.DUMMYFUNCTION("(4 - COUNTIF(IFERROR(ARRAYFORMULA(HLOOKUP($B64, IMPORTRANGE('Prelim Rankings Unsorted'!$B$40, CONCAT(VLOOKUP($C64, 'Match Names'!$A$1:$D$22, 2, FALSE), ""!C3:R29"")), {6;11;17;23}, FALSE)), 'Player Overall Stats Unsorted'!$AA$9:$AA$12), ""=X"")) + (4 - CO"&amp;"UNTIF(IFERROR(ARRAYFORMULA(HLOOKUP($B64, IMPORTRANGE('Prelim Rankings Unsorted'!$B$41, CONCAT(VLOOKUP($C64, 'Match Names'!$A$1:$D$22, 3, FALSE), ""!C3:R29"")), {5;11;17;23}, FALSE)), 'Player Overall Stats Unsorted'!$AA$9:$AA$12), ""=X"")) + (4 - COUNTIF(I"&amp;"FERROR(ARRAYFORMULA(HLOOKUP($B64, IMPORTRANGE('Prelim Rankings Unsorted'!$B$42, CONCAT(VLOOKUP($C64, 'Match Names'!$A$1:$D$22, 4, FALSE), ""!C3:R29"")), {5;11;17;23}, FALSE)), 'Player Overall Stats Unsorted'!$AA$9:$AA$12), ""=X"")) + (4 - COUNTIF(IFERROR("&amp;"ARRAYFORMULA(HLOOKUP($B64, IMPORTRANGE('Match Names'!$E$23, CONCAT(VLOOKUP($C64, 'Match Names'!$1:$22, 5, FALSE), ""!C3:R29"")), {5;11;16;21}, FALSE)), 'Player Overall Stats Unsorted'!$AA$9:$AA$12), ""=X"")) + (4 - COUNTIF(IFERROR(ARRAYFORMULA(HLOOKUP($B6"&amp;"4, IMPORTRANGE('Match Names'!$F$23, CONCAT(VLOOKUP($C64, 'Match Names'!$1:$22, 6, FALSE), ""!C3:R29"")), {5;11;17;23}, FALSE)), 'Player Overall Stats Unsorted'!$AA$9:$AA$12), ""=X"")) + (4 - COUNTIF(IFERROR(ARRAYFORMULA(HLOOKUP($B64, IMPORTRANGE('Match Na"&amp;"mes'!$G$23, CONCAT(VLOOKUP($C64, 'Match Names'!$1:$22, 7, FALSE), ""!C3:R29"")), {5;10;14;23}, FALSE)), 'Player Overall Stats Unsorted'!$AA$9:$AA$12), ""=X"")) + (4 - COUNTIF(IFERROR(ARRAYFORMULA(HLOOKUP($B64, IMPORTRANGE('Match Names'!$H$23, CONCAT(VLOOK"&amp;"UP($C64, 'Match Names'!$1:$22, 8, FALSE), ""!C3:R29"")), {5;11;17;23}, FALSE)), 'Player Overall Stats Unsorted'!$AA$9:$AA$12), ""=X""))"),24.0)</f>
        <v>24</v>
      </c>
      <c r="E64" s="32">
        <f>IFERROR(__xludf.DUMMYFUNCTION("COUNTIF(ARRAYFORMULA(HLOOKUP($B64, IMPORTRANGE('Prelim Rankings Unsorted'!$B$40, CONCAT(VLOOKUP($C64, 'Match Names'!$A$1:$D$22, 2, FALSE), ""!C3:R29"")), {6;11;17;23}, FALSE)), ""=4"") + COUNTIF(ARRAYFORMULA(HLOOKUP($B64, IMPORTRANGE('Prelim Rankings Unso"&amp;"rted'!$B$41, CONCAT(VLOOKUP($C64, 'Match Names'!$A$1:$D$22, 3, FALSE), ""!C3:R29"")), {5;11;17;23}, FALSE)), ""=4"") + COUNTIF(ARRAYFORMULA(HLOOKUP($B64, IMPORTRANGE('Prelim Rankings Unsorted'!$B$42, CONCAT(VLOOKUP($C64, 'Match Names'!$A$1:$D$22, 4, FALSE"&amp;"), ""!C3:R29"")), {5;11;17;23}, FALSE)), ""=4"") + COUNTIF(ARRAYFORMULA(HLOOKUP($B64, IMPORTRANGE('Match Names'!$E$23, CONCAT(VLOOKUP($C64, 'Match Names'!$1:$22, 5, FALSE), ""!C3:R29"")), {6;11;16;21}, FALSE)), ""=4"") + COUNTIF(ARRAYFORMULA(HLOOKUP($B64,"&amp;" IMPORTRANGE('Match Names'!$F$23, CONCAT(VLOOKUP($C64, 'Match Names'!$1:$22, 6, FALSE), ""!C3:R29"")), {5;11;17;23}, FALSE)), ""=4"") + COUNTIF(ARRAYFORMULA(HLOOKUP($B64, IMPORTRANGE('Match Names'!$G$23, CONCAT(VLOOKUP($C64, 'Match Names'!$1:$22, 7, FALSE"&amp;"), ""!C3:R29"")), {5;10;14;22}, FALSE)), ""=4"") + COUNTIF(ARRAYFORMULA(HLOOKUP($B64, IMPORTRANGE('Match Names'!$H$23, CONCAT(VLOOKUP($C64, 'Match Names'!$1:$22, 8, FALSE), ""!C3:R29"")), {5;11;17;23}, FALSE)), ""=4"")"),2.0)</f>
        <v>2</v>
      </c>
      <c r="F64" s="32">
        <f>IFERROR(__xludf.DUMMYFUNCTION("COUNTIF(ARRAYFORMULA(HLOOKUP($B64, IMPORTRANGE('Prelim Rankings Unsorted'!$B$40, CONCAT(VLOOKUP($C64, 'Match Names'!$A$1:$D$22, 2, FALSE), ""!C3:R29"")), {6;11;17;23}, FALSE)), ""=0"") + COUNTIF(ARRAYFORMULA(HLOOKUP($B64, IMPORTRANGE('Prelim Rankings Unso"&amp;"rted'!$B$41, CONCAT(VLOOKUP($C64, 'Match Names'!$A$1:$D$22, 3, FALSE), ""!C3:R29"")), {5;11;17;23}, FALSE)), ""=0"") + COUNTIF(ARRAYFORMULA(HLOOKUP($B64, IMPORTRANGE('Prelim Rankings Unsorted'!$B$42, CONCAT(VLOOKUP($C64, 'Match Names'!$A$1:$D$22, 4, FALSE"&amp;"), ""!C3:R29"")), {5;11;17;23}, FALSE)), ""=0"") + COUNTIF(ARRAYFORMULA(HLOOKUP($B64, IMPORTRANGE('Match Names'!$E$23, CONCAT(VLOOKUP($C64, 'Match Names'!$1:$22, 5, FALSE), ""!C3:R29"")), {6;11;16;21}, FALSE)), ""=0"") + COUNTIF(ARRAYFORMULA(HLOOKUP($B64,"&amp;" IMPORTRANGE('Match Names'!$F$23, CONCAT(VLOOKUP($C64, 'Match Names'!$1:$22, 6, FALSE), ""!C3:R29"")), {5;11;17;23}, FALSE)), ""=0"") + COUNTIF(ARRAYFORMULA(HLOOKUP($B64, IMPORTRANGE('Match Names'!$G$23, CONCAT(VLOOKUP($C64, 'Match Names'!$1:$22, 7, FALSE"&amp;"), ""!C3:R29"")), {5;10;14;22}, FALSE)), ""=0"") + COUNTIF(ARRAYFORMULA(HLOOKUP($B64, IMPORTRANGE('Match Names'!$H$23, CONCAT(VLOOKUP($C64, 'Match Names'!$1:$22, 8, FALSE), ""!C3:R29"")), {5;11;17;23}, FALSE)), ""=0"")"),1.0)</f>
        <v>1</v>
      </c>
      <c r="G64" s="32">
        <f>IFERROR(__xludf.DUMMYFUNCTION("COUNTIF(ARRAYFORMULA(HLOOKUP($B64, IMPORTRANGE('Prelim Rankings Unsorted'!$B$40, CONCAT(VLOOKUP($C64, 'Match Names'!$A$1:$D$22, 2, FALSE), ""!C3:R29"")), {6;11;17;23}, FALSE)), ""=-4"") + COUNTIF(ARRAYFORMULA(HLOOKUP($B64, IMPORTRANGE('Prelim Rankings Uns"&amp;"orted'!$B$41, CONCAT(VLOOKUP($C64, 'Match Names'!$A$1:$D$22, 3, FALSE), ""!C3:R29"")), {5;11;17;23}, FALSE)), ""=-4"") + COUNTIF(ARRAYFORMULA(HLOOKUP($B64, IMPORTRANGE('Prelim Rankings Unsorted'!$B$42, CONCAT(VLOOKUP($C64, 'Match Names'!$A$1:$D$22, 4, FAL"&amp;"SE), ""!C3:R29"")), {5;11;17;23}, FALSE)), ""=-4"") + COUNTIF(ARRAYFORMULA(HLOOKUP($B64, IMPORTRANGE('Match Names'!$E$23, CONCAT(VLOOKUP($C64, 'Match Names'!$1:$22, 5, FALSE), ""!C3:R29"")), {6;11;16;21}, FALSE)), ""=-4"") + COUNTIF(ARRAYFORMULA(HLOOKUP($"&amp;"B64, IMPORTRANGE('Match Names'!$F$23, CONCAT(VLOOKUP($C64, 'Match Names'!$1:$22, 6, FALSE), ""!C3:R29"")), {5;11;17;23}, FALSE)), ""=-4"") + COUNTIF(ARRAYFORMULA(HLOOKUP($B64, IMPORTRANGE('Match Names'!$G$23, CONCAT(VLOOKUP($C64, 'Match Names'!$1:$22, 7, "&amp;"FALSE), ""!C3:R29"")), {5;10;14;22}, FALSE)), ""=-4"") + COUNTIF(ARRAYFORMULA(HLOOKUP($B64, IMPORTRANGE('Match Names'!$H$23, CONCAT(VLOOKUP($C64, 'Match Names'!$1:$22, 8, FALSE), ""!C3:R29"")), {5;11;17;23}, FALSE)), ""=-4"")"),0.0)</f>
        <v>0</v>
      </c>
      <c r="H64" s="33">
        <f t="shared" si="2"/>
        <v>1.33</v>
      </c>
    </row>
    <row r="65">
      <c r="A65" s="21" t="s">
        <v>99</v>
      </c>
      <c r="B65" s="31" t="str">
        <f>VLOOKUP(CONCAT(A65, C65), 'Discord Username to Real Name'!C:D, 2, FALSE)</f>
        <v>prr#4609</v>
      </c>
      <c r="C65" s="21" t="s">
        <v>22</v>
      </c>
      <c r="D65" s="32">
        <f>IFERROR(__xludf.DUMMYFUNCTION("(4 - COUNTIF(IFERROR(ARRAYFORMULA(HLOOKUP($B65, IMPORTRANGE('Prelim Rankings Unsorted'!$B$40, CONCAT(VLOOKUP($C65, 'Match Names'!$A$1:$D$22, 2, FALSE), ""!C3:R29"")), {6;11;17;23}, FALSE)), 'Player Overall Stats Unsorted'!$AA$9:$AA$12), ""=X"")) + (4 - CO"&amp;"UNTIF(IFERROR(ARRAYFORMULA(HLOOKUP($B65, IMPORTRANGE('Prelim Rankings Unsorted'!$B$41, CONCAT(VLOOKUP($C65, 'Match Names'!$A$1:$D$22, 3, FALSE), ""!C3:R29"")), {5;11;17;23}, FALSE)), 'Player Overall Stats Unsorted'!$AA$9:$AA$12), ""=X"")) + (4 - COUNTIF(I"&amp;"FERROR(ARRAYFORMULA(HLOOKUP($B65, IMPORTRANGE('Prelim Rankings Unsorted'!$B$42, CONCAT(VLOOKUP($C65, 'Match Names'!$A$1:$D$22, 4, FALSE), ""!C3:R29"")), {5;11;17;23}, FALSE)), 'Player Overall Stats Unsorted'!$AA$9:$AA$12), ""=X"")) + (4 - COUNTIF(IFERROR("&amp;"ARRAYFORMULA(HLOOKUP($B65, IMPORTRANGE('Match Names'!$E$23, CONCAT(VLOOKUP($C65, 'Match Names'!$1:$22, 5, FALSE), ""!C3:R29"")), {5;11;16;21}, FALSE)), 'Player Overall Stats Unsorted'!$AA$9:$AA$12), ""=X"")) + (4 - COUNTIF(IFERROR(ARRAYFORMULA(HLOOKUP($B6"&amp;"5, IMPORTRANGE('Match Names'!$F$23, CONCAT(VLOOKUP($C65, 'Match Names'!$1:$22, 6, FALSE), ""!C3:R29"")), {5;11;17;23}, FALSE)), 'Player Overall Stats Unsorted'!$AA$9:$AA$12), ""=X"")) + (4 - COUNTIF(IFERROR(ARRAYFORMULA(HLOOKUP($B65, IMPORTRANGE('Match Na"&amp;"mes'!$G$23, CONCAT(VLOOKUP($C65, 'Match Names'!$1:$22, 7, FALSE), ""!C3:R29"")), {5;10;14;23}, FALSE)), 'Player Overall Stats Unsorted'!$AA$9:$AA$12), ""=X"")) + (4 - COUNTIF(IFERROR(ARRAYFORMULA(HLOOKUP($B65, IMPORTRANGE('Match Names'!$H$23, CONCAT(VLOOK"&amp;"UP($C65, 'Match Names'!$1:$22, 8, FALSE), ""!C3:R29"")), {5;11;17;23}, FALSE)), 'Player Overall Stats Unsorted'!$AA$9:$AA$12), ""=X""))"),18.0)</f>
        <v>18</v>
      </c>
      <c r="E65" s="32">
        <f>IFERROR(__xludf.DUMMYFUNCTION("COUNTIF(ARRAYFORMULA(HLOOKUP($B65, IMPORTRANGE('Prelim Rankings Unsorted'!$B$40, CONCAT(VLOOKUP($C65, 'Match Names'!$A$1:$D$22, 2, FALSE), ""!C3:R29"")), {6;11;17;23}, FALSE)), ""=4"") + COUNTIF(ARRAYFORMULA(HLOOKUP($B65, IMPORTRANGE('Prelim Rankings Unso"&amp;"rted'!$B$41, CONCAT(VLOOKUP($C65, 'Match Names'!$A$1:$D$22, 3, FALSE), ""!C3:R29"")), {5;11;17;23}, FALSE)), ""=4"") + COUNTIF(ARRAYFORMULA(HLOOKUP($B65, IMPORTRANGE('Prelim Rankings Unsorted'!$B$42, CONCAT(VLOOKUP($C65, 'Match Names'!$A$1:$D$22, 4, FALSE"&amp;"), ""!C3:R29"")), {5;11;17;23}, FALSE)), ""=4"") + COUNTIF(ARRAYFORMULA(HLOOKUP($B65, IMPORTRANGE('Match Names'!$E$23, CONCAT(VLOOKUP($C65, 'Match Names'!$1:$22, 5, FALSE), ""!C3:R29"")), {6;11;16;21}, FALSE)), ""=4"") + COUNTIF(ARRAYFORMULA(HLOOKUP($B65,"&amp;" IMPORTRANGE('Match Names'!$F$23, CONCAT(VLOOKUP($C65, 'Match Names'!$1:$22, 6, FALSE), ""!C3:R29"")), {5;11;17;23}, FALSE)), ""=4"") + COUNTIF(ARRAYFORMULA(HLOOKUP($B65, IMPORTRANGE('Match Names'!$G$23, CONCAT(VLOOKUP($C65, 'Match Names'!$1:$22, 7, FALSE"&amp;"), ""!C3:R29"")), {5;10;14;22}, FALSE)), ""=4"") + COUNTIF(ARRAYFORMULA(HLOOKUP($B65, IMPORTRANGE('Match Names'!$H$23, CONCAT(VLOOKUP($C65, 'Match Names'!$1:$22, 8, FALSE), ""!C3:R29"")), {5;11;17;23}, FALSE)), ""=4"")"),1.0)</f>
        <v>1</v>
      </c>
      <c r="F65" s="32">
        <f>IFERROR(__xludf.DUMMYFUNCTION("COUNTIF(ARRAYFORMULA(HLOOKUP($B65, IMPORTRANGE('Prelim Rankings Unsorted'!$B$40, CONCAT(VLOOKUP($C65, 'Match Names'!$A$1:$D$22, 2, FALSE), ""!C3:R29"")), {6;11;17;23}, FALSE)), ""=0"") + COUNTIF(ARRAYFORMULA(HLOOKUP($B65, IMPORTRANGE('Prelim Rankings Unso"&amp;"rted'!$B$41, CONCAT(VLOOKUP($C65, 'Match Names'!$A$1:$D$22, 3, FALSE), ""!C3:R29"")), {5;11;17;23}, FALSE)), ""=0"") + COUNTIF(ARRAYFORMULA(HLOOKUP($B65, IMPORTRANGE('Prelim Rankings Unsorted'!$B$42, CONCAT(VLOOKUP($C65, 'Match Names'!$A$1:$D$22, 4, FALSE"&amp;"), ""!C3:R29"")), {5;11;17;23}, FALSE)), ""=0"") + COUNTIF(ARRAYFORMULA(HLOOKUP($B65, IMPORTRANGE('Match Names'!$E$23, CONCAT(VLOOKUP($C65, 'Match Names'!$1:$22, 5, FALSE), ""!C3:R29"")), {6;11;16;21}, FALSE)), ""=0"") + COUNTIF(ARRAYFORMULA(HLOOKUP($B65,"&amp;" IMPORTRANGE('Match Names'!$F$23, CONCAT(VLOOKUP($C65, 'Match Names'!$1:$22, 6, FALSE), ""!C3:R29"")), {5;11;17;23}, FALSE)), ""=0"") + COUNTIF(ARRAYFORMULA(HLOOKUP($B65, IMPORTRANGE('Match Names'!$G$23, CONCAT(VLOOKUP($C65, 'Match Names'!$1:$22, 7, FALSE"&amp;"), ""!C3:R29"")), {5;10;14;22}, FALSE)), ""=0"") + COUNTIF(ARRAYFORMULA(HLOOKUP($B65, IMPORTRANGE('Match Names'!$H$23, CONCAT(VLOOKUP($C65, 'Match Names'!$1:$22, 8, FALSE), ""!C3:R29"")), {5;11;17;23}, FALSE)), ""=0"")"),0.0)</f>
        <v>0</v>
      </c>
      <c r="G65" s="32">
        <f>IFERROR(__xludf.DUMMYFUNCTION("COUNTIF(ARRAYFORMULA(HLOOKUP($B65, IMPORTRANGE('Prelim Rankings Unsorted'!$B$40, CONCAT(VLOOKUP($C65, 'Match Names'!$A$1:$D$22, 2, FALSE), ""!C3:R29"")), {6;11;17;23}, FALSE)), ""=-4"") + COUNTIF(ARRAYFORMULA(HLOOKUP($B65, IMPORTRANGE('Prelim Rankings Uns"&amp;"orted'!$B$41, CONCAT(VLOOKUP($C65, 'Match Names'!$A$1:$D$22, 3, FALSE), ""!C3:R29"")), {5;11;17;23}, FALSE)), ""=-4"") + COUNTIF(ARRAYFORMULA(HLOOKUP($B65, IMPORTRANGE('Prelim Rankings Unsorted'!$B$42, CONCAT(VLOOKUP($C65, 'Match Names'!$A$1:$D$22, 4, FAL"&amp;"SE), ""!C3:R29"")), {5;11;17;23}, FALSE)), ""=-4"") + COUNTIF(ARRAYFORMULA(HLOOKUP($B65, IMPORTRANGE('Match Names'!$E$23, CONCAT(VLOOKUP($C65, 'Match Names'!$1:$22, 5, FALSE), ""!C3:R29"")), {6;11;16;21}, FALSE)), ""=-4"") + COUNTIF(ARRAYFORMULA(HLOOKUP($"&amp;"B65, IMPORTRANGE('Match Names'!$F$23, CONCAT(VLOOKUP($C65, 'Match Names'!$1:$22, 6, FALSE), ""!C3:R29"")), {5;11;17;23}, FALSE)), ""=-4"") + COUNTIF(ARRAYFORMULA(HLOOKUP($B65, IMPORTRANGE('Match Names'!$G$23, CONCAT(VLOOKUP($C65, 'Match Names'!$1:$22, 7, "&amp;"FALSE), ""!C3:R29"")), {5;10;14;22}, FALSE)), ""=-4"") + COUNTIF(ARRAYFORMULA(HLOOKUP($B65, IMPORTRANGE('Match Names'!$H$23, CONCAT(VLOOKUP($C65, 'Match Names'!$1:$22, 8, FALSE), ""!C3:R29"")), {5;11;17;23}, FALSE)), ""=-4"")"),0.0)</f>
        <v>0</v>
      </c>
      <c r="H65" s="33">
        <f t="shared" si="2"/>
        <v>0.89</v>
      </c>
    </row>
    <row r="66">
      <c r="A66" s="21" t="s">
        <v>174</v>
      </c>
      <c r="B66" s="31" t="str">
        <f>VLOOKUP(CONCAT(A66, C66), 'Discord Username to Real Name'!C:D, 2, FALSE)</f>
        <v>Static#2349</v>
      </c>
      <c r="C66" s="21" t="s">
        <v>22</v>
      </c>
      <c r="D66" s="32">
        <f>IFERROR(__xludf.DUMMYFUNCTION("(4 - COUNTIF(IFERROR(ARRAYFORMULA(HLOOKUP($B66, IMPORTRANGE('Prelim Rankings Unsorted'!$B$40, CONCAT(VLOOKUP($C66, 'Match Names'!$A$1:$D$22, 2, FALSE), ""!C3:R29"")), {6;11;17;23}, FALSE)), 'Player Overall Stats Unsorted'!$AA$9:$AA$12), ""=X"")) + (4 - CO"&amp;"UNTIF(IFERROR(ARRAYFORMULA(HLOOKUP($B66, IMPORTRANGE('Prelim Rankings Unsorted'!$B$41, CONCAT(VLOOKUP($C66, 'Match Names'!$A$1:$D$22, 3, FALSE), ""!C3:R29"")), {5;11;17;23}, FALSE)), 'Player Overall Stats Unsorted'!$AA$9:$AA$12), ""=X"")) + (4 - COUNTIF(I"&amp;"FERROR(ARRAYFORMULA(HLOOKUP($B66, IMPORTRANGE('Prelim Rankings Unsorted'!$B$42, CONCAT(VLOOKUP($C66, 'Match Names'!$A$1:$D$22, 4, FALSE), ""!C3:R29"")), {5;11;17;23}, FALSE)), 'Player Overall Stats Unsorted'!$AA$9:$AA$12), ""=X"")) + (4 - COUNTIF(IFERROR("&amp;"ARRAYFORMULA(HLOOKUP($B66, IMPORTRANGE('Match Names'!$E$23, CONCAT(VLOOKUP($C66, 'Match Names'!$1:$22, 5, FALSE), ""!C3:R29"")), {5;11;16;21}, FALSE)), 'Player Overall Stats Unsorted'!$AA$9:$AA$12), ""=X"")) + (4 - COUNTIF(IFERROR(ARRAYFORMULA(HLOOKUP($B6"&amp;"6, IMPORTRANGE('Match Names'!$F$23, CONCAT(VLOOKUP($C66, 'Match Names'!$1:$22, 6, FALSE), ""!C3:R29"")), {5;11;17;23}, FALSE)), 'Player Overall Stats Unsorted'!$AA$9:$AA$12), ""=X"")) + (4 - COUNTIF(IFERROR(ARRAYFORMULA(HLOOKUP($B66, IMPORTRANGE('Match Na"&amp;"mes'!$G$23, CONCAT(VLOOKUP($C66, 'Match Names'!$1:$22, 7, FALSE), ""!C3:R29"")), {5;10;14;23}, FALSE)), 'Player Overall Stats Unsorted'!$AA$9:$AA$12), ""=X"")) + (4 - COUNTIF(IFERROR(ARRAYFORMULA(HLOOKUP($B66, IMPORTRANGE('Match Names'!$H$23, CONCAT(VLOOK"&amp;"UP($C66, 'Match Names'!$1:$22, 8, FALSE), ""!C3:R29"")), {5;11;17;23}, FALSE)), 'Player Overall Stats Unsorted'!$AA$9:$AA$12), ""=X""))"),16.0)</f>
        <v>16</v>
      </c>
      <c r="E66" s="32">
        <f>IFERROR(__xludf.DUMMYFUNCTION("COUNTIF(ARRAYFORMULA(HLOOKUP($B66, IMPORTRANGE('Prelim Rankings Unsorted'!$B$40, CONCAT(VLOOKUP($C66, 'Match Names'!$A$1:$D$22, 2, FALSE), ""!C3:R29"")), {6;11;17;23}, FALSE)), ""=4"") + COUNTIF(ARRAYFORMULA(HLOOKUP($B66, IMPORTRANGE('Prelim Rankings Unso"&amp;"rted'!$B$41, CONCAT(VLOOKUP($C66, 'Match Names'!$A$1:$D$22, 3, FALSE), ""!C3:R29"")), {5;11;17;23}, FALSE)), ""=4"") + COUNTIF(ARRAYFORMULA(HLOOKUP($B66, IMPORTRANGE('Prelim Rankings Unsorted'!$B$42, CONCAT(VLOOKUP($C66, 'Match Names'!$A$1:$D$22, 4, FALSE"&amp;"), ""!C3:R29"")), {5;11;17;23}, FALSE)), ""=4"") + COUNTIF(ARRAYFORMULA(HLOOKUP($B66, IMPORTRANGE('Match Names'!$E$23, CONCAT(VLOOKUP($C66, 'Match Names'!$1:$22, 5, FALSE), ""!C3:R29"")), {6;11;16;21}, FALSE)), ""=4"") + COUNTIF(ARRAYFORMULA(HLOOKUP($B66,"&amp;" IMPORTRANGE('Match Names'!$F$23, CONCAT(VLOOKUP($C66, 'Match Names'!$1:$22, 6, FALSE), ""!C3:R29"")), {5;11;17;23}, FALSE)), ""=4"") + COUNTIF(ARRAYFORMULA(HLOOKUP($B66, IMPORTRANGE('Match Names'!$G$23, CONCAT(VLOOKUP($C66, 'Match Names'!$1:$22, 7, FALSE"&amp;"), ""!C3:R29"")), {5;10;14;22}, FALSE)), ""=4"") + COUNTIF(ARRAYFORMULA(HLOOKUP($B66, IMPORTRANGE('Match Names'!$H$23, CONCAT(VLOOKUP($C66, 'Match Names'!$1:$22, 8, FALSE), ""!C3:R29"")), {5;11;17;23}, FALSE)), ""=4"")"),0.0)</f>
        <v>0</v>
      </c>
      <c r="F66" s="32">
        <f>IFERROR(__xludf.DUMMYFUNCTION("COUNTIF(ARRAYFORMULA(HLOOKUP($B66, IMPORTRANGE('Prelim Rankings Unsorted'!$B$40, CONCAT(VLOOKUP($C66, 'Match Names'!$A$1:$D$22, 2, FALSE), ""!C3:R29"")), {6;11;17;23}, FALSE)), ""=0"") + COUNTIF(ARRAYFORMULA(HLOOKUP($B66, IMPORTRANGE('Prelim Rankings Unso"&amp;"rted'!$B$41, CONCAT(VLOOKUP($C66, 'Match Names'!$A$1:$D$22, 3, FALSE), ""!C3:R29"")), {5;11;17;23}, FALSE)), ""=0"") + COUNTIF(ARRAYFORMULA(HLOOKUP($B66, IMPORTRANGE('Prelim Rankings Unsorted'!$B$42, CONCAT(VLOOKUP($C66, 'Match Names'!$A$1:$D$22, 4, FALSE"&amp;"), ""!C3:R29"")), {5;11;17;23}, FALSE)), ""=0"") + COUNTIF(ARRAYFORMULA(HLOOKUP($B66, IMPORTRANGE('Match Names'!$E$23, CONCAT(VLOOKUP($C66, 'Match Names'!$1:$22, 5, FALSE), ""!C3:R29"")), {6;11;16;21}, FALSE)), ""=0"") + COUNTIF(ARRAYFORMULA(HLOOKUP($B66,"&amp;" IMPORTRANGE('Match Names'!$F$23, CONCAT(VLOOKUP($C66, 'Match Names'!$1:$22, 6, FALSE), ""!C3:R29"")), {5;11;17;23}, FALSE)), ""=0"") + COUNTIF(ARRAYFORMULA(HLOOKUP($B66, IMPORTRANGE('Match Names'!$G$23, CONCAT(VLOOKUP($C66, 'Match Names'!$1:$22, 7, FALSE"&amp;"), ""!C3:R29"")), {5;10;14;22}, FALSE)), ""=0"") + COUNTIF(ARRAYFORMULA(HLOOKUP($B66, IMPORTRANGE('Match Names'!$H$23, CONCAT(VLOOKUP($C66, 'Match Names'!$1:$22, 8, FALSE), ""!C3:R29"")), {5;11;17;23}, FALSE)), ""=0"")"),0.0)</f>
        <v>0</v>
      </c>
      <c r="G66" s="32">
        <f>IFERROR(__xludf.DUMMYFUNCTION("COUNTIF(ARRAYFORMULA(HLOOKUP($B66, IMPORTRANGE('Prelim Rankings Unsorted'!$B$40, CONCAT(VLOOKUP($C66, 'Match Names'!$A$1:$D$22, 2, FALSE), ""!C3:R29"")), {6;11;17;23}, FALSE)), ""=-4"") + COUNTIF(ARRAYFORMULA(HLOOKUP($B66, IMPORTRANGE('Prelim Rankings Uns"&amp;"orted'!$B$41, CONCAT(VLOOKUP($C66, 'Match Names'!$A$1:$D$22, 3, FALSE), ""!C3:R29"")), {5;11;17;23}, FALSE)), ""=-4"") + COUNTIF(ARRAYFORMULA(HLOOKUP($B66, IMPORTRANGE('Prelim Rankings Unsorted'!$B$42, CONCAT(VLOOKUP($C66, 'Match Names'!$A$1:$D$22, 4, FAL"&amp;"SE), ""!C3:R29"")), {5;11;17;23}, FALSE)), ""=-4"") + COUNTIF(ARRAYFORMULA(HLOOKUP($B66, IMPORTRANGE('Match Names'!$E$23, CONCAT(VLOOKUP($C66, 'Match Names'!$1:$22, 5, FALSE), ""!C3:R29"")), {6;11;16;21}, FALSE)), ""=-4"") + COUNTIF(ARRAYFORMULA(HLOOKUP($"&amp;"B66, IMPORTRANGE('Match Names'!$F$23, CONCAT(VLOOKUP($C66, 'Match Names'!$1:$22, 6, FALSE), ""!C3:R29"")), {5;11;17;23}, FALSE)), ""=-4"") + COUNTIF(ARRAYFORMULA(HLOOKUP($B66, IMPORTRANGE('Match Names'!$G$23, CONCAT(VLOOKUP($C66, 'Match Names'!$1:$22, 7, "&amp;"FALSE), ""!C3:R29"")), {5;10;14;22}, FALSE)), ""=-4"") + COUNTIF(ARRAYFORMULA(HLOOKUP($B66, IMPORTRANGE('Match Names'!$H$23, CONCAT(VLOOKUP($C66, 'Match Names'!$1:$22, 8, FALSE), ""!C3:R29"")), {5;11;17;23}, FALSE)), ""=-4"")"),0.0)</f>
        <v>0</v>
      </c>
      <c r="H66" s="33">
        <f t="shared" si="2"/>
        <v>0</v>
      </c>
    </row>
    <row r="67">
      <c r="A67" s="21" t="s">
        <v>79</v>
      </c>
      <c r="B67" s="31" t="str">
        <f>VLOOKUP(CONCAT(A67, C67), 'Discord Username to Real Name'!C:D, 2, FALSE)</f>
        <v>Serferducter#1979</v>
      </c>
      <c r="C67" s="21" t="s">
        <v>22</v>
      </c>
      <c r="D67" s="32">
        <f>IFERROR(__xludf.DUMMYFUNCTION("(4 - COUNTIF(IFERROR(ARRAYFORMULA(HLOOKUP($B67, IMPORTRANGE('Prelim Rankings Unsorted'!$B$40, CONCAT(VLOOKUP($C67, 'Match Names'!$A$1:$D$22, 2, FALSE), ""!C3:R29"")), {6;11;17;23}, FALSE)), 'Player Overall Stats Unsorted'!$AA$9:$AA$12), ""=X"")) + (4 - CO"&amp;"UNTIF(IFERROR(ARRAYFORMULA(HLOOKUP($B67, IMPORTRANGE('Prelim Rankings Unsorted'!$B$41, CONCAT(VLOOKUP($C67, 'Match Names'!$A$1:$D$22, 3, FALSE), ""!C3:R29"")), {5;11;17;23}, FALSE)), 'Player Overall Stats Unsorted'!$AA$9:$AA$12), ""=X"")) + (4 - COUNTIF(I"&amp;"FERROR(ARRAYFORMULA(HLOOKUP($B67, IMPORTRANGE('Prelim Rankings Unsorted'!$B$42, CONCAT(VLOOKUP($C67, 'Match Names'!$A$1:$D$22, 4, FALSE), ""!C3:R29"")), {5;11;17;23}, FALSE)), 'Player Overall Stats Unsorted'!$AA$9:$AA$12), ""=X"")) + (4 - COUNTIF(IFERROR("&amp;"ARRAYFORMULA(HLOOKUP($B67, IMPORTRANGE('Match Names'!$E$23, CONCAT(VLOOKUP($C67, 'Match Names'!$1:$22, 5, FALSE), ""!C3:R29"")), {5;11;16;21}, FALSE)), 'Player Overall Stats Unsorted'!$AA$9:$AA$12), ""=X"")) + (4 - COUNTIF(IFERROR(ARRAYFORMULA(HLOOKUP($B6"&amp;"7, IMPORTRANGE('Match Names'!$F$23, CONCAT(VLOOKUP($C67, 'Match Names'!$1:$22, 6, FALSE), ""!C3:R29"")), {5;11;17;23}, FALSE)), 'Player Overall Stats Unsorted'!$AA$9:$AA$12), ""=X"")) + (4 - COUNTIF(IFERROR(ARRAYFORMULA(HLOOKUP($B67, IMPORTRANGE('Match Na"&amp;"mes'!$G$23, CONCAT(VLOOKUP($C67, 'Match Names'!$1:$22, 7, FALSE), ""!C3:R29"")), {5;10;14;23}, FALSE)), 'Player Overall Stats Unsorted'!$AA$9:$AA$12), ""=X"")) + (4 - COUNTIF(IFERROR(ARRAYFORMULA(HLOOKUP($B67, IMPORTRANGE('Match Names'!$H$23, CONCAT(VLOOK"&amp;"UP($C67, 'Match Names'!$1:$22, 8, FALSE), ""!C3:R29"")), {5;11;17;23}, FALSE)), 'Player Overall Stats Unsorted'!$AA$9:$AA$12), ""=X""))"),22.0)</f>
        <v>22</v>
      </c>
      <c r="E67" s="32">
        <f>IFERROR(__xludf.DUMMYFUNCTION("COUNTIF(ARRAYFORMULA(HLOOKUP($B67, IMPORTRANGE('Prelim Rankings Unsorted'!$B$40, CONCAT(VLOOKUP($C67, 'Match Names'!$A$1:$D$22, 2, FALSE), ""!C3:R29"")), {6;11;17;23}, FALSE)), ""=4"") + COUNTIF(ARRAYFORMULA(HLOOKUP($B67, IMPORTRANGE('Prelim Rankings Unso"&amp;"rted'!$B$41, CONCAT(VLOOKUP($C67, 'Match Names'!$A$1:$D$22, 3, FALSE), ""!C3:R29"")), {5;11;17;23}, FALSE)), ""=4"") + COUNTIF(ARRAYFORMULA(HLOOKUP($B67, IMPORTRANGE('Prelim Rankings Unsorted'!$B$42, CONCAT(VLOOKUP($C67, 'Match Names'!$A$1:$D$22, 4, FALSE"&amp;"), ""!C3:R29"")), {5;11;17;23}, FALSE)), ""=4"") + COUNTIF(ARRAYFORMULA(HLOOKUP($B67, IMPORTRANGE('Match Names'!$E$23, CONCAT(VLOOKUP($C67, 'Match Names'!$1:$22, 5, FALSE), ""!C3:R29"")), {6;11;16;21}, FALSE)), ""=4"") + COUNTIF(ARRAYFORMULA(HLOOKUP($B67,"&amp;" IMPORTRANGE('Match Names'!$F$23, CONCAT(VLOOKUP($C67, 'Match Names'!$1:$22, 6, FALSE), ""!C3:R29"")), {5;11;17;23}, FALSE)), ""=4"") + COUNTIF(ARRAYFORMULA(HLOOKUP($B67, IMPORTRANGE('Match Names'!$G$23, CONCAT(VLOOKUP($C67, 'Match Names'!$1:$22, 7, FALSE"&amp;"), ""!C3:R29"")), {5;10;14;22}, FALSE)), ""=4"") + COUNTIF(ARRAYFORMULA(HLOOKUP($B67, IMPORTRANGE('Match Names'!$H$23, CONCAT(VLOOKUP($C67, 'Match Names'!$1:$22, 8, FALSE), ""!C3:R29"")), {5;11;17;23}, FALSE)), ""=4"")"),3.0)</f>
        <v>3</v>
      </c>
      <c r="F67" s="32">
        <f>IFERROR(__xludf.DUMMYFUNCTION("COUNTIF(ARRAYFORMULA(HLOOKUP($B67, IMPORTRANGE('Prelim Rankings Unsorted'!$B$40, CONCAT(VLOOKUP($C67, 'Match Names'!$A$1:$D$22, 2, FALSE), ""!C3:R29"")), {6;11;17;23}, FALSE)), ""=0"") + COUNTIF(ARRAYFORMULA(HLOOKUP($B67, IMPORTRANGE('Prelim Rankings Unso"&amp;"rted'!$B$41, CONCAT(VLOOKUP($C67, 'Match Names'!$A$1:$D$22, 3, FALSE), ""!C3:R29"")), {5;11;17;23}, FALSE)), ""=0"") + COUNTIF(ARRAYFORMULA(HLOOKUP($B67, IMPORTRANGE('Prelim Rankings Unsorted'!$B$42, CONCAT(VLOOKUP($C67, 'Match Names'!$A$1:$D$22, 4, FALSE"&amp;"), ""!C3:R29"")), {5;11;17;23}, FALSE)), ""=0"") + COUNTIF(ARRAYFORMULA(HLOOKUP($B67, IMPORTRANGE('Match Names'!$E$23, CONCAT(VLOOKUP($C67, 'Match Names'!$1:$22, 5, FALSE), ""!C3:R29"")), {6;11;16;21}, FALSE)), ""=0"") + COUNTIF(ARRAYFORMULA(HLOOKUP($B67,"&amp;" IMPORTRANGE('Match Names'!$F$23, CONCAT(VLOOKUP($C67, 'Match Names'!$1:$22, 6, FALSE), ""!C3:R29"")), {5;11;17;23}, FALSE)), ""=0"") + COUNTIF(ARRAYFORMULA(HLOOKUP($B67, IMPORTRANGE('Match Names'!$G$23, CONCAT(VLOOKUP($C67, 'Match Names'!$1:$22, 7, FALSE"&amp;"), ""!C3:R29"")), {5;10;14;22}, FALSE)), ""=0"") + COUNTIF(ARRAYFORMULA(HLOOKUP($B67, IMPORTRANGE('Match Names'!$H$23, CONCAT(VLOOKUP($C67, 'Match Names'!$1:$22, 8, FALSE), ""!C3:R29"")), {5;11;17;23}, FALSE)), ""=0"")"),3.0)</f>
        <v>3</v>
      </c>
      <c r="G67" s="32">
        <f>IFERROR(__xludf.DUMMYFUNCTION("COUNTIF(ARRAYFORMULA(HLOOKUP($B67, IMPORTRANGE('Prelim Rankings Unsorted'!$B$40, CONCAT(VLOOKUP($C67, 'Match Names'!$A$1:$D$22, 2, FALSE), ""!C3:R29"")), {6;11;17;23}, FALSE)), ""=-4"") + COUNTIF(ARRAYFORMULA(HLOOKUP($B67, IMPORTRANGE('Prelim Rankings Uns"&amp;"orted'!$B$41, CONCAT(VLOOKUP($C67, 'Match Names'!$A$1:$D$22, 3, FALSE), ""!C3:R29"")), {5;11;17;23}, FALSE)), ""=-4"") + COUNTIF(ARRAYFORMULA(HLOOKUP($B67, IMPORTRANGE('Prelim Rankings Unsorted'!$B$42, CONCAT(VLOOKUP($C67, 'Match Names'!$A$1:$D$22, 4, FAL"&amp;"SE), ""!C3:R29"")), {5;11;17;23}, FALSE)), ""=-4"") + COUNTIF(ARRAYFORMULA(HLOOKUP($B67, IMPORTRANGE('Match Names'!$E$23, CONCAT(VLOOKUP($C67, 'Match Names'!$1:$22, 5, FALSE), ""!C3:R29"")), {6;11;16;21}, FALSE)), ""=-4"") + COUNTIF(ARRAYFORMULA(HLOOKUP($"&amp;"B67, IMPORTRANGE('Match Names'!$F$23, CONCAT(VLOOKUP($C67, 'Match Names'!$1:$22, 6, FALSE), ""!C3:R29"")), {5;11;17;23}, FALSE)), ""=-4"") + COUNTIF(ARRAYFORMULA(HLOOKUP($B67, IMPORTRANGE('Match Names'!$G$23, CONCAT(VLOOKUP($C67, 'Match Names'!$1:$22, 7, "&amp;"FALSE), ""!C3:R29"")), {5;10;14;22}, FALSE)), ""=-4"") + COUNTIF(ARRAYFORMULA(HLOOKUP($B67, IMPORTRANGE('Match Names'!$H$23, CONCAT(VLOOKUP($C67, 'Match Names'!$1:$22, 8, FALSE), ""!C3:R29"")), {5;11;17;23}, FALSE)), ""=-4"")"),3.0)</f>
        <v>3</v>
      </c>
      <c r="H67" s="33">
        <f t="shared" si="2"/>
        <v>0</v>
      </c>
    </row>
    <row r="68">
      <c r="A68" s="21" t="s">
        <v>93</v>
      </c>
      <c r="B68" s="31" t="str">
        <f>VLOOKUP(CONCAT(A68, C68), 'Discord Username to Real Name'!C:D, 2, FALSE)</f>
        <v>Hyperion#5422</v>
      </c>
      <c r="C68" s="21" t="s">
        <v>30</v>
      </c>
      <c r="D68" s="32">
        <f>IFERROR(__xludf.DUMMYFUNCTION("(4 - COUNTIF(IFERROR(ARRAYFORMULA(HLOOKUP($B68, IMPORTRANGE('Prelim Rankings Unsorted'!$B$40, CONCAT(VLOOKUP($C68, 'Match Names'!$A$1:$D$22, 2, FALSE), ""!C3:R29"")), {6;11;17;23}, FALSE)), 'Player Overall Stats Unsorted'!$AA$9:$AA$12), ""=X"")) + (4 - CO"&amp;"UNTIF(IFERROR(ARRAYFORMULA(HLOOKUP($B68, IMPORTRANGE('Prelim Rankings Unsorted'!$B$41, CONCAT(VLOOKUP($C68, 'Match Names'!$A$1:$D$22, 3, FALSE), ""!C3:R29"")), {5;11;17;23}, FALSE)), 'Player Overall Stats Unsorted'!$AA$9:$AA$12), ""=X"")) + (4 - COUNTIF(I"&amp;"FERROR(ARRAYFORMULA(HLOOKUP($B68, IMPORTRANGE('Prelim Rankings Unsorted'!$B$42, CONCAT(VLOOKUP($C68, 'Match Names'!$A$1:$D$22, 4, FALSE), ""!C3:R29"")), {5;11;17;23}, FALSE)), 'Player Overall Stats Unsorted'!$AA$9:$AA$12), ""=X"")) + (4 - COUNTIF(IFERROR("&amp;"ARRAYFORMULA(HLOOKUP($B68, IMPORTRANGE('Match Names'!$E$23, CONCAT(VLOOKUP($C68, 'Match Names'!$1:$22, 5, FALSE), ""!C3:R29"")), {5;11;16;21}, FALSE)), 'Player Overall Stats Unsorted'!$AA$9:$AA$12), ""=X"")) + (4 - COUNTIF(IFERROR(ARRAYFORMULA(HLOOKUP($B6"&amp;"8, IMPORTRANGE('Match Names'!$F$23, CONCAT(VLOOKUP($C68, 'Match Names'!$1:$22, 6, FALSE), ""!C3:R29"")), {5;11;17;23}, FALSE)), 'Player Overall Stats Unsorted'!$AA$9:$AA$12), ""=X"")) + (4 - COUNTIF(IFERROR(ARRAYFORMULA(HLOOKUP($B68, IMPORTRANGE('Match Na"&amp;"mes'!$G$23, CONCAT(VLOOKUP($C68, 'Match Names'!$1:$22, 7, FALSE), ""!C3:R29"")), {5;10;14;23}, FALSE)), 'Player Overall Stats Unsorted'!$AA$9:$AA$12), ""=X"")) + (4 - COUNTIF(IFERROR(ARRAYFORMULA(HLOOKUP($B68, IMPORTRANGE('Match Names'!$H$23, CONCAT(VLOOK"&amp;"UP($C68, 'Match Names'!$1:$22, 8, FALSE), ""!C3:R29"")), {5;11;17;23}, FALSE)), 'Player Overall Stats Unsorted'!$AA$9:$AA$12), ""=X""))"),16.0)</f>
        <v>16</v>
      </c>
      <c r="E68" s="32">
        <f>IFERROR(__xludf.DUMMYFUNCTION("COUNTIF(ARRAYFORMULA(HLOOKUP($B68, IMPORTRANGE('Prelim Rankings Unsorted'!$B$40, CONCAT(VLOOKUP($C68, 'Match Names'!$A$1:$D$22, 2, FALSE), ""!C3:R29"")), {6;11;17;23}, FALSE)), ""=4"") + COUNTIF(ARRAYFORMULA(HLOOKUP($B68, IMPORTRANGE('Prelim Rankings Unso"&amp;"rted'!$B$41, CONCAT(VLOOKUP($C68, 'Match Names'!$A$1:$D$22, 3, FALSE), ""!C3:R29"")), {5;11;17;23}, FALSE)), ""=4"") + COUNTIF(ARRAYFORMULA(HLOOKUP($B68, IMPORTRANGE('Prelim Rankings Unsorted'!$B$42, CONCAT(VLOOKUP($C68, 'Match Names'!$A$1:$D$22, 4, FALSE"&amp;"), ""!C3:R29"")), {5;11;17;23}, FALSE)), ""=4"") + COUNTIF(ARRAYFORMULA(HLOOKUP($B68, IMPORTRANGE('Match Names'!$E$23, CONCAT(VLOOKUP($C68, 'Match Names'!$1:$22, 5, FALSE), ""!C3:R29"")), {6;11;16;21}, FALSE)), ""=4"") + COUNTIF(ARRAYFORMULA(HLOOKUP($B68,"&amp;" IMPORTRANGE('Match Names'!$F$23, CONCAT(VLOOKUP($C68, 'Match Names'!$1:$22, 6, FALSE), ""!C3:R29"")), {5;11;17;23}, FALSE)), ""=4"") + COUNTIF(ARRAYFORMULA(HLOOKUP($B68, IMPORTRANGE('Match Names'!$G$23, CONCAT(VLOOKUP($C68, 'Match Names'!$1:$22, 7, FALSE"&amp;"), ""!C3:R29"")), {5;10;14;22}, FALSE)), ""=4"") + COUNTIF(ARRAYFORMULA(HLOOKUP($B68, IMPORTRANGE('Match Names'!$H$23, CONCAT(VLOOKUP($C68, 'Match Names'!$1:$22, 8, FALSE), ""!C3:R29"")), {5;11;17;23}, FALSE)), ""=4"")"),0.0)</f>
        <v>0</v>
      </c>
      <c r="F68" s="32">
        <f>IFERROR(__xludf.DUMMYFUNCTION("COUNTIF(ARRAYFORMULA(HLOOKUP($B68, IMPORTRANGE('Prelim Rankings Unsorted'!$B$40, CONCAT(VLOOKUP($C68, 'Match Names'!$A$1:$D$22, 2, FALSE), ""!C3:R29"")), {6;11;17;23}, FALSE)), ""=0"") + COUNTIF(ARRAYFORMULA(HLOOKUP($B68, IMPORTRANGE('Prelim Rankings Unso"&amp;"rted'!$B$41, CONCAT(VLOOKUP($C68, 'Match Names'!$A$1:$D$22, 3, FALSE), ""!C3:R29"")), {5;11;17;23}, FALSE)), ""=0"") + COUNTIF(ARRAYFORMULA(HLOOKUP($B68, IMPORTRANGE('Prelim Rankings Unsorted'!$B$42, CONCAT(VLOOKUP($C68, 'Match Names'!$A$1:$D$22, 4, FALSE"&amp;"), ""!C3:R29"")), {5;11;17;23}, FALSE)), ""=0"") + COUNTIF(ARRAYFORMULA(HLOOKUP($B68, IMPORTRANGE('Match Names'!$E$23, CONCAT(VLOOKUP($C68, 'Match Names'!$1:$22, 5, FALSE), ""!C3:R29"")), {6;11;16;21}, FALSE)), ""=0"") + COUNTIF(ARRAYFORMULA(HLOOKUP($B68,"&amp;" IMPORTRANGE('Match Names'!$F$23, CONCAT(VLOOKUP($C68, 'Match Names'!$1:$22, 6, FALSE), ""!C3:R29"")), {5;11;17;23}, FALSE)), ""=0"") + COUNTIF(ARRAYFORMULA(HLOOKUP($B68, IMPORTRANGE('Match Names'!$G$23, CONCAT(VLOOKUP($C68, 'Match Names'!$1:$22, 7, FALSE"&amp;"), ""!C3:R29"")), {5;10;14;22}, FALSE)), ""=0"") + COUNTIF(ARRAYFORMULA(HLOOKUP($B68, IMPORTRANGE('Match Names'!$H$23, CONCAT(VLOOKUP($C68, 'Match Names'!$1:$22, 8, FALSE), ""!C3:R29"")), {5;11;17;23}, FALSE)), ""=0"")"),0.0)</f>
        <v>0</v>
      </c>
      <c r="G68" s="32">
        <f>IFERROR(__xludf.DUMMYFUNCTION("COUNTIF(ARRAYFORMULA(HLOOKUP($B68, IMPORTRANGE('Prelim Rankings Unsorted'!$B$40, CONCAT(VLOOKUP($C68, 'Match Names'!$A$1:$D$22, 2, FALSE), ""!C3:R29"")), {6;11;17;23}, FALSE)), ""=-4"") + COUNTIF(ARRAYFORMULA(HLOOKUP($B68, IMPORTRANGE('Prelim Rankings Uns"&amp;"orted'!$B$41, CONCAT(VLOOKUP($C68, 'Match Names'!$A$1:$D$22, 3, FALSE), ""!C3:R29"")), {5;11;17;23}, FALSE)), ""=-4"") + COUNTIF(ARRAYFORMULA(HLOOKUP($B68, IMPORTRANGE('Prelim Rankings Unsorted'!$B$42, CONCAT(VLOOKUP($C68, 'Match Names'!$A$1:$D$22, 4, FAL"&amp;"SE), ""!C3:R29"")), {5;11;17;23}, FALSE)), ""=-4"") + COUNTIF(ARRAYFORMULA(HLOOKUP($B68, IMPORTRANGE('Match Names'!$E$23, CONCAT(VLOOKUP($C68, 'Match Names'!$1:$22, 5, FALSE), ""!C3:R29"")), {6;11;16;21}, FALSE)), ""=-4"") + COUNTIF(ARRAYFORMULA(HLOOKUP($"&amp;"B68, IMPORTRANGE('Match Names'!$F$23, CONCAT(VLOOKUP($C68, 'Match Names'!$1:$22, 6, FALSE), ""!C3:R29"")), {5;11;17;23}, FALSE)), ""=-4"") + COUNTIF(ARRAYFORMULA(HLOOKUP($B68, IMPORTRANGE('Match Names'!$G$23, CONCAT(VLOOKUP($C68, 'Match Names'!$1:$22, 7, "&amp;"FALSE), ""!C3:R29"")), {5;10;14;22}, FALSE)), ""=-4"") + COUNTIF(ARRAYFORMULA(HLOOKUP($B68, IMPORTRANGE('Match Names'!$H$23, CONCAT(VLOOKUP($C68, 'Match Names'!$1:$22, 8, FALSE), ""!C3:R29"")), {5;11;17;23}, FALSE)), ""=-4"")"),0.0)</f>
        <v>0</v>
      </c>
      <c r="H68" s="33">
        <f t="shared" si="2"/>
        <v>0</v>
      </c>
    </row>
    <row r="69">
      <c r="A69" s="21" t="s">
        <v>160</v>
      </c>
      <c r="B69" s="31" t="str">
        <f>VLOOKUP(CONCAT(A69, C69), 'Discord Username to Real Name'!C:D, 2, FALSE)</f>
        <v>luczha003#3376</v>
      </c>
      <c r="C69" s="21" t="s">
        <v>30</v>
      </c>
      <c r="D69" s="32">
        <f>IFERROR(__xludf.DUMMYFUNCTION("(4 - COUNTIF(IFERROR(ARRAYFORMULA(HLOOKUP($B69, IMPORTRANGE('Prelim Rankings Unsorted'!$B$40, CONCAT(VLOOKUP($C69, 'Match Names'!$A$1:$D$22, 2, FALSE), ""!C3:R29"")), {6;11;17;23}, FALSE)), 'Player Overall Stats Unsorted'!$AA$9:$AA$12), ""=X"")) + (4 - CO"&amp;"UNTIF(IFERROR(ARRAYFORMULA(HLOOKUP($B69, IMPORTRANGE('Prelim Rankings Unsorted'!$B$41, CONCAT(VLOOKUP($C69, 'Match Names'!$A$1:$D$22, 3, FALSE), ""!C3:R29"")), {5;11;17;23}, FALSE)), 'Player Overall Stats Unsorted'!$AA$9:$AA$12), ""=X"")) + (4 - COUNTIF(I"&amp;"FERROR(ARRAYFORMULA(HLOOKUP($B69, IMPORTRANGE('Prelim Rankings Unsorted'!$B$42, CONCAT(VLOOKUP($C69, 'Match Names'!$A$1:$D$22, 4, FALSE), ""!C3:R29"")), {5;11;17;23}, FALSE)), 'Player Overall Stats Unsorted'!$AA$9:$AA$12), ""=X"")) + (4 - COUNTIF(IFERROR("&amp;"ARRAYFORMULA(HLOOKUP($B69, IMPORTRANGE('Match Names'!$E$23, CONCAT(VLOOKUP($C69, 'Match Names'!$1:$22, 5, FALSE), ""!C3:R29"")), {5;11;16;21}, FALSE)), 'Player Overall Stats Unsorted'!$AA$9:$AA$12), ""=X"")) + (4 - COUNTIF(IFERROR(ARRAYFORMULA(HLOOKUP($B6"&amp;"9, IMPORTRANGE('Match Names'!$F$23, CONCAT(VLOOKUP($C69, 'Match Names'!$1:$22, 6, FALSE), ""!C3:R29"")), {5;11;17;23}, FALSE)), 'Player Overall Stats Unsorted'!$AA$9:$AA$12), ""=X"")) + (4 - COUNTIF(IFERROR(ARRAYFORMULA(HLOOKUP($B69, IMPORTRANGE('Match Na"&amp;"mes'!$G$23, CONCAT(VLOOKUP($C69, 'Match Names'!$1:$22, 7, FALSE), ""!C3:R29"")), {5;10;14;23}, FALSE)), 'Player Overall Stats Unsorted'!$AA$9:$AA$12), ""=X"")) + (4 - COUNTIF(IFERROR(ARRAYFORMULA(HLOOKUP($B69, IMPORTRANGE('Match Names'!$H$23, CONCAT(VLOOK"&amp;"UP($C69, 'Match Names'!$1:$22, 8, FALSE), ""!C3:R29"")), {5;11;17;23}, FALSE)), 'Player Overall Stats Unsorted'!$AA$9:$AA$12), ""=X""))"),12.0)</f>
        <v>12</v>
      </c>
      <c r="E69" s="32">
        <f>IFERROR(__xludf.DUMMYFUNCTION("COUNTIF(ARRAYFORMULA(HLOOKUP($B69, IMPORTRANGE('Prelim Rankings Unsorted'!$B$40, CONCAT(VLOOKUP($C69, 'Match Names'!$A$1:$D$22, 2, FALSE), ""!C3:R29"")), {6;11;17;23}, FALSE)), ""=4"") + COUNTIF(ARRAYFORMULA(HLOOKUP($B69, IMPORTRANGE('Prelim Rankings Unso"&amp;"rted'!$B$41, CONCAT(VLOOKUP($C69, 'Match Names'!$A$1:$D$22, 3, FALSE), ""!C3:R29"")), {5;11;17;23}, FALSE)), ""=4"") + COUNTIF(ARRAYFORMULA(HLOOKUP($B69, IMPORTRANGE('Prelim Rankings Unsorted'!$B$42, CONCAT(VLOOKUP($C69, 'Match Names'!$A$1:$D$22, 4, FALSE"&amp;"), ""!C3:R29"")), {5;11;17;23}, FALSE)), ""=4"") + COUNTIF(ARRAYFORMULA(HLOOKUP($B69, IMPORTRANGE('Match Names'!$E$23, CONCAT(VLOOKUP($C69, 'Match Names'!$1:$22, 5, FALSE), ""!C3:R29"")), {6;11;16;21}, FALSE)), ""=4"") + COUNTIF(ARRAYFORMULA(HLOOKUP($B69,"&amp;" IMPORTRANGE('Match Names'!$F$23, CONCAT(VLOOKUP($C69, 'Match Names'!$1:$22, 6, FALSE), ""!C3:R29"")), {5;11;17;23}, FALSE)), ""=4"") + COUNTIF(ARRAYFORMULA(HLOOKUP($B69, IMPORTRANGE('Match Names'!$G$23, CONCAT(VLOOKUP($C69, 'Match Names'!$1:$22, 7, FALSE"&amp;"), ""!C3:R29"")), {5;10;14;22}, FALSE)), ""=4"") + COUNTIF(ARRAYFORMULA(HLOOKUP($B69, IMPORTRANGE('Match Names'!$H$23, CONCAT(VLOOKUP($C69, 'Match Names'!$1:$22, 8, FALSE), ""!C3:R29"")), {5;11;17;23}, FALSE)), ""=4"")"),1.0)</f>
        <v>1</v>
      </c>
      <c r="F69" s="32">
        <f>IFERROR(__xludf.DUMMYFUNCTION("COUNTIF(ARRAYFORMULA(HLOOKUP($B69, IMPORTRANGE('Prelim Rankings Unsorted'!$B$40, CONCAT(VLOOKUP($C69, 'Match Names'!$A$1:$D$22, 2, FALSE), ""!C3:R29"")), {6;11;17;23}, FALSE)), ""=0"") + COUNTIF(ARRAYFORMULA(HLOOKUP($B69, IMPORTRANGE('Prelim Rankings Unso"&amp;"rted'!$B$41, CONCAT(VLOOKUP($C69, 'Match Names'!$A$1:$D$22, 3, FALSE), ""!C3:R29"")), {5;11;17;23}, FALSE)), ""=0"") + COUNTIF(ARRAYFORMULA(HLOOKUP($B69, IMPORTRANGE('Prelim Rankings Unsorted'!$B$42, CONCAT(VLOOKUP($C69, 'Match Names'!$A$1:$D$22, 4, FALSE"&amp;"), ""!C3:R29"")), {5;11;17;23}, FALSE)), ""=0"") + COUNTIF(ARRAYFORMULA(HLOOKUP($B69, IMPORTRANGE('Match Names'!$E$23, CONCAT(VLOOKUP($C69, 'Match Names'!$1:$22, 5, FALSE), ""!C3:R29"")), {6;11;16;21}, FALSE)), ""=0"") + COUNTIF(ARRAYFORMULA(HLOOKUP($B69,"&amp;" IMPORTRANGE('Match Names'!$F$23, CONCAT(VLOOKUP($C69, 'Match Names'!$1:$22, 6, FALSE), ""!C3:R29"")), {5;11;17;23}, FALSE)), ""=0"") + COUNTIF(ARRAYFORMULA(HLOOKUP($B69, IMPORTRANGE('Match Names'!$G$23, CONCAT(VLOOKUP($C69, 'Match Names'!$1:$22, 7, FALSE"&amp;"), ""!C3:R29"")), {5;10;14;22}, FALSE)), ""=0"") + COUNTIF(ARRAYFORMULA(HLOOKUP($B69, IMPORTRANGE('Match Names'!$H$23, CONCAT(VLOOKUP($C69, 'Match Names'!$1:$22, 8, FALSE), ""!C3:R29"")), {5;11;17;23}, FALSE)), ""=0"")"),1.0)</f>
        <v>1</v>
      </c>
      <c r="G69" s="32">
        <f>IFERROR(__xludf.DUMMYFUNCTION("COUNTIF(ARRAYFORMULA(HLOOKUP($B69, IMPORTRANGE('Prelim Rankings Unsorted'!$B$40, CONCAT(VLOOKUP($C69, 'Match Names'!$A$1:$D$22, 2, FALSE), ""!C3:R29"")), {6;11;17;23}, FALSE)), ""=-4"") + COUNTIF(ARRAYFORMULA(HLOOKUP($B69, IMPORTRANGE('Prelim Rankings Uns"&amp;"orted'!$B$41, CONCAT(VLOOKUP($C69, 'Match Names'!$A$1:$D$22, 3, FALSE), ""!C3:R29"")), {5;11;17;23}, FALSE)), ""=-4"") + COUNTIF(ARRAYFORMULA(HLOOKUP($B69, IMPORTRANGE('Prelim Rankings Unsorted'!$B$42, CONCAT(VLOOKUP($C69, 'Match Names'!$A$1:$D$22, 4, FAL"&amp;"SE), ""!C3:R29"")), {5;11;17;23}, FALSE)), ""=-4"") + COUNTIF(ARRAYFORMULA(HLOOKUP($B69, IMPORTRANGE('Match Names'!$E$23, CONCAT(VLOOKUP($C69, 'Match Names'!$1:$22, 5, FALSE), ""!C3:R29"")), {6;11;16;21}, FALSE)), ""=-4"") + COUNTIF(ARRAYFORMULA(HLOOKUP($"&amp;"B69, IMPORTRANGE('Match Names'!$F$23, CONCAT(VLOOKUP($C69, 'Match Names'!$1:$22, 6, FALSE), ""!C3:R29"")), {5;11;17;23}, FALSE)), ""=-4"") + COUNTIF(ARRAYFORMULA(HLOOKUP($B69, IMPORTRANGE('Match Names'!$G$23, CONCAT(VLOOKUP($C69, 'Match Names'!$1:$22, 7, "&amp;"FALSE), ""!C3:R29"")), {5;10;14;22}, FALSE)), ""=-4"") + COUNTIF(ARRAYFORMULA(HLOOKUP($B69, IMPORTRANGE('Match Names'!$H$23, CONCAT(VLOOKUP($C69, 'Match Names'!$1:$22, 8, FALSE), ""!C3:R29"")), {5;11;17;23}, FALSE)), ""=-4"")"),0.0)</f>
        <v>0</v>
      </c>
      <c r="H69" s="33">
        <f t="shared" si="2"/>
        <v>1.33</v>
      </c>
    </row>
    <row r="70">
      <c r="A70" s="21" t="s">
        <v>202</v>
      </c>
      <c r="B70" s="31" t="str">
        <f>VLOOKUP(CONCAT(A70, C70), 'Discord Username to Real Name'!C:D, 2, FALSE)</f>
        <v>Ritz#0792</v>
      </c>
      <c r="C70" s="21" t="s">
        <v>30</v>
      </c>
      <c r="D70" s="32">
        <f>IFERROR(__xludf.DUMMYFUNCTION("(4 - COUNTIF(IFERROR(ARRAYFORMULA(HLOOKUP($B70, IMPORTRANGE('Prelim Rankings Unsorted'!$B$40, CONCAT(VLOOKUP($C70, 'Match Names'!$A$1:$D$22, 2, FALSE), ""!C3:R29"")), {6;11;17;23}, FALSE)), 'Player Overall Stats Unsorted'!$AA$9:$AA$12), ""=X"")) + (4 - CO"&amp;"UNTIF(IFERROR(ARRAYFORMULA(HLOOKUP($B70, IMPORTRANGE('Prelim Rankings Unsorted'!$B$41, CONCAT(VLOOKUP($C70, 'Match Names'!$A$1:$D$22, 3, FALSE), ""!C3:R29"")), {5;11;17;23}, FALSE)), 'Player Overall Stats Unsorted'!$AA$9:$AA$12), ""=X"")) + (4 - COUNTIF(I"&amp;"FERROR(ARRAYFORMULA(HLOOKUP($B70, IMPORTRANGE('Prelim Rankings Unsorted'!$B$42, CONCAT(VLOOKUP($C70, 'Match Names'!$A$1:$D$22, 4, FALSE), ""!C3:R29"")), {5;11;17;23}, FALSE)), 'Player Overall Stats Unsorted'!$AA$9:$AA$12), ""=X"")) + (4 - COUNTIF(IFERROR("&amp;"ARRAYFORMULA(HLOOKUP($B70, IMPORTRANGE('Match Names'!$E$23, CONCAT(VLOOKUP($C70, 'Match Names'!$1:$22, 5, FALSE), ""!C3:R29"")), {5;11;16;21}, FALSE)), 'Player Overall Stats Unsorted'!$AA$9:$AA$12), ""=X"")) + (4 - COUNTIF(IFERROR(ARRAYFORMULA(HLOOKUP($B7"&amp;"0, IMPORTRANGE('Match Names'!$F$23, CONCAT(VLOOKUP($C70, 'Match Names'!$1:$22, 6, FALSE), ""!C3:R29"")), {5;11;17;23}, FALSE)), 'Player Overall Stats Unsorted'!$AA$9:$AA$12), ""=X"")) + (4 - COUNTIF(IFERROR(ARRAYFORMULA(HLOOKUP($B70, IMPORTRANGE('Match Na"&amp;"mes'!$G$23, CONCAT(VLOOKUP($C70, 'Match Names'!$1:$22, 7, FALSE), ""!C3:R29"")), {5;10;14;23}, FALSE)), 'Player Overall Stats Unsorted'!$AA$9:$AA$12), ""=X"")) + (4 - COUNTIF(IFERROR(ARRAYFORMULA(HLOOKUP($B70, IMPORTRANGE('Match Names'!$H$23, CONCAT(VLOOK"&amp;"UP($C70, 'Match Names'!$1:$22, 8, FALSE), ""!C3:R29"")), {5;11;17;23}, FALSE)), 'Player Overall Stats Unsorted'!$AA$9:$AA$12), ""=X""))"),0.0)</f>
        <v>0</v>
      </c>
      <c r="E70" s="32">
        <f>IFERROR(__xludf.DUMMYFUNCTION("COUNTIF(ARRAYFORMULA(HLOOKUP($B70, IMPORTRANGE('Prelim Rankings Unsorted'!$B$40, CONCAT(VLOOKUP($C70, 'Match Names'!$A$1:$D$22, 2, FALSE), ""!C3:R29"")), {6;11;17;23}, FALSE)), ""=4"") + COUNTIF(ARRAYFORMULA(HLOOKUP($B70, IMPORTRANGE('Prelim Rankings Unso"&amp;"rted'!$B$41, CONCAT(VLOOKUP($C70, 'Match Names'!$A$1:$D$22, 3, FALSE), ""!C3:R29"")), {5;11;17;23}, FALSE)), ""=4"") + COUNTIF(ARRAYFORMULA(HLOOKUP($B70, IMPORTRANGE('Prelim Rankings Unsorted'!$B$42, CONCAT(VLOOKUP($C70, 'Match Names'!$A$1:$D$22, 4, FALSE"&amp;"), ""!C3:R29"")), {5;11;17;23}, FALSE)), ""=4"") + COUNTIF(ARRAYFORMULA(HLOOKUP($B70, IMPORTRANGE('Match Names'!$E$23, CONCAT(VLOOKUP($C70, 'Match Names'!$1:$22, 5, FALSE), ""!C3:R29"")), {6;11;16;21}, FALSE)), ""=4"") + COUNTIF(ARRAYFORMULA(HLOOKUP($B70,"&amp;" IMPORTRANGE('Match Names'!$F$23, CONCAT(VLOOKUP($C70, 'Match Names'!$1:$22, 6, FALSE), ""!C3:R29"")), {5;11;17;23}, FALSE)), ""=4"") + COUNTIF(ARRAYFORMULA(HLOOKUP($B70, IMPORTRANGE('Match Names'!$G$23, CONCAT(VLOOKUP($C70, 'Match Names'!$1:$22, 7, FALSE"&amp;"), ""!C3:R29"")), {5;10;14;22}, FALSE)), ""=4"") + COUNTIF(ARRAYFORMULA(HLOOKUP($B70, IMPORTRANGE('Match Names'!$H$23, CONCAT(VLOOKUP($C70, 'Match Names'!$1:$22, 8, FALSE), ""!C3:R29"")), {5;11;17;23}, FALSE)), ""=4"")"),0.0)</f>
        <v>0</v>
      </c>
      <c r="F70" s="32">
        <f>IFERROR(__xludf.DUMMYFUNCTION("COUNTIF(ARRAYFORMULA(HLOOKUP($B70, IMPORTRANGE('Prelim Rankings Unsorted'!$B$40, CONCAT(VLOOKUP($C70, 'Match Names'!$A$1:$D$22, 2, FALSE), ""!C3:R29"")), {6;11;17;23}, FALSE)), ""=0"") + COUNTIF(ARRAYFORMULA(HLOOKUP($B70, IMPORTRANGE('Prelim Rankings Unso"&amp;"rted'!$B$41, CONCAT(VLOOKUP($C70, 'Match Names'!$A$1:$D$22, 3, FALSE), ""!C3:R29"")), {5;11;17;23}, FALSE)), ""=0"") + COUNTIF(ARRAYFORMULA(HLOOKUP($B70, IMPORTRANGE('Prelim Rankings Unsorted'!$B$42, CONCAT(VLOOKUP($C70, 'Match Names'!$A$1:$D$22, 4, FALSE"&amp;"), ""!C3:R29"")), {5;11;17;23}, FALSE)), ""=0"") + COUNTIF(ARRAYFORMULA(HLOOKUP($B70, IMPORTRANGE('Match Names'!$E$23, CONCAT(VLOOKUP($C70, 'Match Names'!$1:$22, 5, FALSE), ""!C3:R29"")), {6;11;16;21}, FALSE)), ""=0"") + COUNTIF(ARRAYFORMULA(HLOOKUP($B70,"&amp;" IMPORTRANGE('Match Names'!$F$23, CONCAT(VLOOKUP($C70, 'Match Names'!$1:$22, 6, FALSE), ""!C3:R29"")), {5;11;17;23}, FALSE)), ""=0"") + COUNTIF(ARRAYFORMULA(HLOOKUP($B70, IMPORTRANGE('Match Names'!$G$23, CONCAT(VLOOKUP($C70, 'Match Names'!$1:$22, 7, FALSE"&amp;"), ""!C3:R29"")), {5;10;14;22}, FALSE)), ""=0"") + COUNTIF(ARRAYFORMULA(HLOOKUP($B70, IMPORTRANGE('Match Names'!$H$23, CONCAT(VLOOKUP($C70, 'Match Names'!$1:$22, 8, FALSE), ""!C3:R29"")), {5;11;17;23}, FALSE)), ""=0"")"),0.0)</f>
        <v>0</v>
      </c>
      <c r="G70" s="32">
        <f>IFERROR(__xludf.DUMMYFUNCTION("COUNTIF(ARRAYFORMULA(HLOOKUP($B70, IMPORTRANGE('Prelim Rankings Unsorted'!$B$40, CONCAT(VLOOKUP($C70, 'Match Names'!$A$1:$D$22, 2, FALSE), ""!C3:R29"")), {6;11;17;23}, FALSE)), ""=-4"") + COUNTIF(ARRAYFORMULA(HLOOKUP($B70, IMPORTRANGE('Prelim Rankings Uns"&amp;"orted'!$B$41, CONCAT(VLOOKUP($C70, 'Match Names'!$A$1:$D$22, 3, FALSE), ""!C3:R29"")), {5;11;17;23}, FALSE)), ""=-4"") + COUNTIF(ARRAYFORMULA(HLOOKUP($B70, IMPORTRANGE('Prelim Rankings Unsorted'!$B$42, CONCAT(VLOOKUP($C70, 'Match Names'!$A$1:$D$22, 4, FAL"&amp;"SE), ""!C3:R29"")), {5;11;17;23}, FALSE)), ""=-4"") + COUNTIF(ARRAYFORMULA(HLOOKUP($B70, IMPORTRANGE('Match Names'!$E$23, CONCAT(VLOOKUP($C70, 'Match Names'!$1:$22, 5, FALSE), ""!C3:R29"")), {6;11;16;21}, FALSE)), ""=-4"") + COUNTIF(ARRAYFORMULA(HLOOKUP($"&amp;"B70, IMPORTRANGE('Match Names'!$F$23, CONCAT(VLOOKUP($C70, 'Match Names'!$1:$22, 6, FALSE), ""!C3:R29"")), {5;11;17;23}, FALSE)), ""=-4"") + COUNTIF(ARRAYFORMULA(HLOOKUP($B70, IMPORTRANGE('Match Names'!$G$23, CONCAT(VLOOKUP($C70, 'Match Names'!$1:$22, 7, "&amp;"FALSE), ""!C3:R29"")), {5;10;14;22}, FALSE)), ""=-4"") + COUNTIF(ARRAYFORMULA(HLOOKUP($B70, IMPORTRANGE('Match Names'!$H$23, CONCAT(VLOOKUP($C70, 'Match Names'!$1:$22, 8, FALSE), ""!C3:R29"")), {5;11;17;23}, FALSE)), ""=-4"")"),0.0)</f>
        <v>0</v>
      </c>
      <c r="H70" s="33">
        <f t="shared" si="2"/>
        <v>0</v>
      </c>
    </row>
    <row r="71">
      <c r="A71" s="21" t="s">
        <v>148</v>
      </c>
      <c r="B71" s="31" t="str">
        <f>VLOOKUP(CONCAT(A71, C71), 'Discord Username to Real Name'!C:D, 2, FALSE)</f>
        <v>RR#5337</v>
      </c>
      <c r="C71" s="21" t="s">
        <v>30</v>
      </c>
      <c r="D71" s="32">
        <f>IFERROR(__xludf.DUMMYFUNCTION("(4 - COUNTIF(IFERROR(ARRAYFORMULA(HLOOKUP($B71, IMPORTRANGE('Prelim Rankings Unsorted'!$B$40, CONCAT(VLOOKUP($C71, 'Match Names'!$A$1:$D$22, 2, FALSE), ""!C3:R29"")), {6;11;17;23}, FALSE)), 'Player Overall Stats Unsorted'!$AA$9:$AA$12), ""=X"")) + (4 - CO"&amp;"UNTIF(IFERROR(ARRAYFORMULA(HLOOKUP($B71, IMPORTRANGE('Prelim Rankings Unsorted'!$B$41, CONCAT(VLOOKUP($C71, 'Match Names'!$A$1:$D$22, 3, FALSE), ""!C3:R29"")), {5;11;17;23}, FALSE)), 'Player Overall Stats Unsorted'!$AA$9:$AA$12), ""=X"")) + (4 - COUNTIF(I"&amp;"FERROR(ARRAYFORMULA(HLOOKUP($B71, IMPORTRANGE('Prelim Rankings Unsorted'!$B$42, CONCAT(VLOOKUP($C71, 'Match Names'!$A$1:$D$22, 4, FALSE), ""!C3:R29"")), {5;11;17;23}, FALSE)), 'Player Overall Stats Unsorted'!$AA$9:$AA$12), ""=X"")) + (4 - COUNTIF(IFERROR("&amp;"ARRAYFORMULA(HLOOKUP($B71, IMPORTRANGE('Match Names'!$E$23, CONCAT(VLOOKUP($C71, 'Match Names'!$1:$22, 5, FALSE), ""!C3:R29"")), {5;11;16;21}, FALSE)), 'Player Overall Stats Unsorted'!$AA$9:$AA$12), ""=X"")) + (4 - COUNTIF(IFERROR(ARRAYFORMULA(HLOOKUP($B7"&amp;"1, IMPORTRANGE('Match Names'!$F$23, CONCAT(VLOOKUP($C71, 'Match Names'!$1:$22, 6, FALSE), ""!C3:R29"")), {5;11;17;23}, FALSE)), 'Player Overall Stats Unsorted'!$AA$9:$AA$12), ""=X"")) + (4 - COUNTIF(IFERROR(ARRAYFORMULA(HLOOKUP($B71, IMPORTRANGE('Match Na"&amp;"mes'!$G$23, CONCAT(VLOOKUP($C71, 'Match Names'!$1:$22, 7, FALSE), ""!C3:R29"")), {5;10;14;23}, FALSE)), 'Player Overall Stats Unsorted'!$AA$9:$AA$12), ""=X"")) + (4 - COUNTIF(IFERROR(ARRAYFORMULA(HLOOKUP($B71, IMPORTRANGE('Match Names'!$H$23, CONCAT(VLOOK"&amp;"UP($C71, 'Match Names'!$1:$22, 8, FALSE), ""!C3:R29"")), {5;11;17;23}, FALSE)), 'Player Overall Stats Unsorted'!$AA$9:$AA$12), ""=X""))"),12.0)</f>
        <v>12</v>
      </c>
      <c r="E71" s="32">
        <f>IFERROR(__xludf.DUMMYFUNCTION("COUNTIF(ARRAYFORMULA(HLOOKUP($B71, IMPORTRANGE('Prelim Rankings Unsorted'!$B$40, CONCAT(VLOOKUP($C71, 'Match Names'!$A$1:$D$22, 2, FALSE), ""!C3:R29"")), {6;11;17;23}, FALSE)), ""=4"") + COUNTIF(ARRAYFORMULA(HLOOKUP($B71, IMPORTRANGE('Prelim Rankings Unso"&amp;"rted'!$B$41, CONCAT(VLOOKUP($C71, 'Match Names'!$A$1:$D$22, 3, FALSE), ""!C3:R29"")), {5;11;17;23}, FALSE)), ""=4"") + COUNTIF(ARRAYFORMULA(HLOOKUP($B71, IMPORTRANGE('Prelim Rankings Unsorted'!$B$42, CONCAT(VLOOKUP($C71, 'Match Names'!$A$1:$D$22, 4, FALSE"&amp;"), ""!C3:R29"")), {5;11;17;23}, FALSE)), ""=4"") + COUNTIF(ARRAYFORMULA(HLOOKUP($B71, IMPORTRANGE('Match Names'!$E$23, CONCAT(VLOOKUP($C71, 'Match Names'!$1:$22, 5, FALSE), ""!C3:R29"")), {6;11;16;21}, FALSE)), ""=4"") + COUNTIF(ARRAYFORMULA(HLOOKUP($B71,"&amp;" IMPORTRANGE('Match Names'!$F$23, CONCAT(VLOOKUP($C71, 'Match Names'!$1:$22, 6, FALSE), ""!C3:R29"")), {5;11;17;23}, FALSE)), ""=4"") + COUNTIF(ARRAYFORMULA(HLOOKUP($B71, IMPORTRANGE('Match Names'!$G$23, CONCAT(VLOOKUP($C71, 'Match Names'!$1:$22, 7, FALSE"&amp;"), ""!C3:R29"")), {5;10;14;22}, FALSE)), ""=4"") + COUNTIF(ARRAYFORMULA(HLOOKUP($B71, IMPORTRANGE('Match Names'!$H$23, CONCAT(VLOOKUP($C71, 'Match Names'!$1:$22, 8, FALSE), ""!C3:R29"")), {5;11;17;23}, FALSE)), ""=4"")"),3.0)</f>
        <v>3</v>
      </c>
      <c r="F71" s="32">
        <f>IFERROR(__xludf.DUMMYFUNCTION("COUNTIF(ARRAYFORMULA(HLOOKUP($B71, IMPORTRANGE('Prelim Rankings Unsorted'!$B$40, CONCAT(VLOOKUP($C71, 'Match Names'!$A$1:$D$22, 2, FALSE), ""!C3:R29"")), {6;11;17;23}, FALSE)), ""=0"") + COUNTIF(ARRAYFORMULA(HLOOKUP($B71, IMPORTRANGE('Prelim Rankings Unso"&amp;"rted'!$B$41, CONCAT(VLOOKUP($C71, 'Match Names'!$A$1:$D$22, 3, FALSE), ""!C3:R29"")), {5;11;17;23}, FALSE)), ""=0"") + COUNTIF(ARRAYFORMULA(HLOOKUP($B71, IMPORTRANGE('Prelim Rankings Unsorted'!$B$42, CONCAT(VLOOKUP($C71, 'Match Names'!$A$1:$D$22, 4, FALSE"&amp;"), ""!C3:R29"")), {5;11;17;23}, FALSE)), ""=0"") + COUNTIF(ARRAYFORMULA(HLOOKUP($B71, IMPORTRANGE('Match Names'!$E$23, CONCAT(VLOOKUP($C71, 'Match Names'!$1:$22, 5, FALSE), ""!C3:R29"")), {6;11;16;21}, FALSE)), ""=0"") + COUNTIF(ARRAYFORMULA(HLOOKUP($B71,"&amp;" IMPORTRANGE('Match Names'!$F$23, CONCAT(VLOOKUP($C71, 'Match Names'!$1:$22, 6, FALSE), ""!C3:R29"")), {5;11;17;23}, FALSE)), ""=0"") + COUNTIF(ARRAYFORMULA(HLOOKUP($B71, IMPORTRANGE('Match Names'!$G$23, CONCAT(VLOOKUP($C71, 'Match Names'!$1:$22, 7, FALSE"&amp;"), ""!C3:R29"")), {5;10;14;22}, FALSE)), ""=0"") + COUNTIF(ARRAYFORMULA(HLOOKUP($B71, IMPORTRANGE('Match Names'!$H$23, CONCAT(VLOOKUP($C71, 'Match Names'!$1:$22, 8, FALSE), ""!C3:R29"")), {5;11;17;23}, FALSE)), ""=0"")"),1.0)</f>
        <v>1</v>
      </c>
      <c r="G71" s="32">
        <f>IFERROR(__xludf.DUMMYFUNCTION("COUNTIF(ARRAYFORMULA(HLOOKUP($B71, IMPORTRANGE('Prelim Rankings Unsorted'!$B$40, CONCAT(VLOOKUP($C71, 'Match Names'!$A$1:$D$22, 2, FALSE), ""!C3:R29"")), {6;11;17;23}, FALSE)), ""=-4"") + COUNTIF(ARRAYFORMULA(HLOOKUP($B71, IMPORTRANGE('Prelim Rankings Uns"&amp;"orted'!$B$41, CONCAT(VLOOKUP($C71, 'Match Names'!$A$1:$D$22, 3, FALSE), ""!C3:R29"")), {5;11;17;23}, FALSE)), ""=-4"") + COUNTIF(ARRAYFORMULA(HLOOKUP($B71, IMPORTRANGE('Prelim Rankings Unsorted'!$B$42, CONCAT(VLOOKUP($C71, 'Match Names'!$A$1:$D$22, 4, FAL"&amp;"SE), ""!C3:R29"")), {5;11;17;23}, FALSE)), ""=-4"") + COUNTIF(ARRAYFORMULA(HLOOKUP($B71, IMPORTRANGE('Match Names'!$E$23, CONCAT(VLOOKUP($C71, 'Match Names'!$1:$22, 5, FALSE), ""!C3:R29"")), {6;11;16;21}, FALSE)), ""=-4"") + COUNTIF(ARRAYFORMULA(HLOOKUP($"&amp;"B71, IMPORTRANGE('Match Names'!$F$23, CONCAT(VLOOKUP($C71, 'Match Names'!$1:$22, 6, FALSE), ""!C3:R29"")), {5;11;17;23}, FALSE)), ""=-4"") + COUNTIF(ARRAYFORMULA(HLOOKUP($B71, IMPORTRANGE('Match Names'!$G$23, CONCAT(VLOOKUP($C71, 'Match Names'!$1:$22, 7, "&amp;"FALSE), ""!C3:R29"")), {5;10;14;22}, FALSE)), ""=-4"") + COUNTIF(ARRAYFORMULA(HLOOKUP($B71, IMPORTRANGE('Match Names'!$H$23, CONCAT(VLOOKUP($C71, 'Match Names'!$1:$22, 8, FALSE), ""!C3:R29"")), {5;11;17;23}, FALSE)), ""=-4"")"),0.0)</f>
        <v>0</v>
      </c>
      <c r="H71" s="33">
        <f t="shared" si="2"/>
        <v>4</v>
      </c>
    </row>
    <row r="72">
      <c r="A72" s="21" t="s">
        <v>130</v>
      </c>
      <c r="B72" s="31" t="str">
        <f>VLOOKUP(CONCAT(A72, C72), 'Discord Username to Real Name'!C:D, 2, FALSE)</f>
        <v>crebz#4622</v>
      </c>
      <c r="C72" s="21" t="s">
        <v>30</v>
      </c>
      <c r="D72" s="32">
        <f>IFERROR(__xludf.DUMMYFUNCTION("(4 - COUNTIF(IFERROR(ARRAYFORMULA(HLOOKUP($B72, IMPORTRANGE('Prelim Rankings Unsorted'!$B$40, CONCAT(VLOOKUP($C72, 'Match Names'!$A$1:$D$22, 2, FALSE), ""!C3:R29"")), {6;11;17;23}, FALSE)), 'Player Overall Stats Unsorted'!$AA$9:$AA$12), ""=X"")) + (4 - CO"&amp;"UNTIF(IFERROR(ARRAYFORMULA(HLOOKUP($B72, IMPORTRANGE('Prelim Rankings Unsorted'!$B$41, CONCAT(VLOOKUP($C72, 'Match Names'!$A$1:$D$22, 3, FALSE), ""!C3:R29"")), {5;11;17;23}, FALSE)), 'Player Overall Stats Unsorted'!$AA$9:$AA$12), ""=X"")) + (4 - COUNTIF(I"&amp;"FERROR(ARRAYFORMULA(HLOOKUP($B72, IMPORTRANGE('Prelim Rankings Unsorted'!$B$42, CONCAT(VLOOKUP($C72, 'Match Names'!$A$1:$D$22, 4, FALSE), ""!C3:R29"")), {5;11;17;23}, FALSE)), 'Player Overall Stats Unsorted'!$AA$9:$AA$12), ""=X"")) + (4 - COUNTIF(IFERROR("&amp;"ARRAYFORMULA(HLOOKUP($B72, IMPORTRANGE('Match Names'!$E$23, CONCAT(VLOOKUP($C72, 'Match Names'!$1:$22, 5, FALSE), ""!C3:R29"")), {5;11;16;21}, FALSE)), 'Player Overall Stats Unsorted'!$AA$9:$AA$12), ""=X"")) + (4 - COUNTIF(IFERROR(ARRAYFORMULA(HLOOKUP($B7"&amp;"2, IMPORTRANGE('Match Names'!$F$23, CONCAT(VLOOKUP($C72, 'Match Names'!$1:$22, 6, FALSE), ""!C3:R29"")), {5;11;17;23}, FALSE)), 'Player Overall Stats Unsorted'!$AA$9:$AA$12), ""=X"")) + (4 - COUNTIF(IFERROR(ARRAYFORMULA(HLOOKUP($B72, IMPORTRANGE('Match Na"&amp;"mes'!$G$23, CONCAT(VLOOKUP($C72, 'Match Names'!$1:$22, 7, FALSE), ""!C3:R29"")), {5;10;14;23}, FALSE)), 'Player Overall Stats Unsorted'!$AA$9:$AA$12), ""=X"")) + (4 - COUNTIF(IFERROR(ARRAYFORMULA(HLOOKUP($B72, IMPORTRANGE('Match Names'!$H$23, CONCAT(VLOOK"&amp;"UP($C72, 'Match Names'!$1:$22, 8, FALSE), ""!C3:R29"")), {5;11;17;23}, FALSE)), 'Player Overall Stats Unsorted'!$AA$9:$AA$12), ""=X""))"),12.0)</f>
        <v>12</v>
      </c>
      <c r="E72" s="32">
        <f>IFERROR(__xludf.DUMMYFUNCTION("COUNTIF(ARRAYFORMULA(HLOOKUP($B72, IMPORTRANGE('Prelim Rankings Unsorted'!$B$40, CONCAT(VLOOKUP($C72, 'Match Names'!$A$1:$D$22, 2, FALSE), ""!C3:R29"")), {6;11;17;23}, FALSE)), ""=4"") + COUNTIF(ARRAYFORMULA(HLOOKUP($B72, IMPORTRANGE('Prelim Rankings Unso"&amp;"rted'!$B$41, CONCAT(VLOOKUP($C72, 'Match Names'!$A$1:$D$22, 3, FALSE), ""!C3:R29"")), {5;11;17;23}, FALSE)), ""=4"") + COUNTIF(ARRAYFORMULA(HLOOKUP($B72, IMPORTRANGE('Prelim Rankings Unsorted'!$B$42, CONCAT(VLOOKUP($C72, 'Match Names'!$A$1:$D$22, 4, FALSE"&amp;"), ""!C3:R29"")), {5;11;17;23}, FALSE)), ""=4"") + COUNTIF(ARRAYFORMULA(HLOOKUP($B72, IMPORTRANGE('Match Names'!$E$23, CONCAT(VLOOKUP($C72, 'Match Names'!$1:$22, 5, FALSE), ""!C3:R29"")), {6;11;16;21}, FALSE)), ""=4"") + COUNTIF(ARRAYFORMULA(HLOOKUP($B72,"&amp;" IMPORTRANGE('Match Names'!$F$23, CONCAT(VLOOKUP($C72, 'Match Names'!$1:$22, 6, FALSE), ""!C3:R29"")), {5;11;17;23}, FALSE)), ""=4"") + COUNTIF(ARRAYFORMULA(HLOOKUP($B72, IMPORTRANGE('Match Names'!$G$23, CONCAT(VLOOKUP($C72, 'Match Names'!$1:$22, 7, FALSE"&amp;"), ""!C3:R29"")), {5;10;14;22}, FALSE)), ""=4"") + COUNTIF(ARRAYFORMULA(HLOOKUP($B72, IMPORTRANGE('Match Names'!$H$23, CONCAT(VLOOKUP($C72, 'Match Names'!$1:$22, 8, FALSE), ""!C3:R29"")), {5;11;17;23}, FALSE)), ""=4"")"),4.0)</f>
        <v>4</v>
      </c>
      <c r="F72" s="32">
        <f>IFERROR(__xludf.DUMMYFUNCTION("COUNTIF(ARRAYFORMULA(HLOOKUP($B72, IMPORTRANGE('Prelim Rankings Unsorted'!$B$40, CONCAT(VLOOKUP($C72, 'Match Names'!$A$1:$D$22, 2, FALSE), ""!C3:R29"")), {6;11;17;23}, FALSE)), ""=0"") + COUNTIF(ARRAYFORMULA(HLOOKUP($B72, IMPORTRANGE('Prelim Rankings Unso"&amp;"rted'!$B$41, CONCAT(VLOOKUP($C72, 'Match Names'!$A$1:$D$22, 3, FALSE), ""!C3:R29"")), {5;11;17;23}, FALSE)), ""=0"") + COUNTIF(ARRAYFORMULA(HLOOKUP($B72, IMPORTRANGE('Prelim Rankings Unsorted'!$B$42, CONCAT(VLOOKUP($C72, 'Match Names'!$A$1:$D$22, 4, FALSE"&amp;"), ""!C3:R29"")), {5;11;17;23}, FALSE)), ""=0"") + COUNTIF(ARRAYFORMULA(HLOOKUP($B72, IMPORTRANGE('Match Names'!$E$23, CONCAT(VLOOKUP($C72, 'Match Names'!$1:$22, 5, FALSE), ""!C3:R29"")), {6;11;16;21}, FALSE)), ""=0"") + COUNTIF(ARRAYFORMULA(HLOOKUP($B72,"&amp;" IMPORTRANGE('Match Names'!$F$23, CONCAT(VLOOKUP($C72, 'Match Names'!$1:$22, 6, FALSE), ""!C3:R29"")), {5;11;17;23}, FALSE)), ""=0"") + COUNTIF(ARRAYFORMULA(HLOOKUP($B72, IMPORTRANGE('Match Names'!$G$23, CONCAT(VLOOKUP($C72, 'Match Names'!$1:$22, 7, FALSE"&amp;"), ""!C3:R29"")), {5;10;14;22}, FALSE)), ""=0"") + COUNTIF(ARRAYFORMULA(HLOOKUP($B72, IMPORTRANGE('Match Names'!$H$23, CONCAT(VLOOKUP($C72, 'Match Names'!$1:$22, 8, FALSE), ""!C3:R29"")), {5;11;17;23}, FALSE)), ""=0"")"),1.0)</f>
        <v>1</v>
      </c>
      <c r="G72" s="32">
        <f>IFERROR(__xludf.DUMMYFUNCTION("COUNTIF(ARRAYFORMULA(HLOOKUP($B72, IMPORTRANGE('Prelim Rankings Unsorted'!$B$40, CONCAT(VLOOKUP($C72, 'Match Names'!$A$1:$D$22, 2, FALSE), ""!C3:R29"")), {6;11;17;23}, FALSE)), ""=-4"") + COUNTIF(ARRAYFORMULA(HLOOKUP($B72, IMPORTRANGE('Prelim Rankings Uns"&amp;"orted'!$B$41, CONCAT(VLOOKUP($C72, 'Match Names'!$A$1:$D$22, 3, FALSE), ""!C3:R29"")), {5;11;17;23}, FALSE)), ""=-4"") + COUNTIF(ARRAYFORMULA(HLOOKUP($B72, IMPORTRANGE('Prelim Rankings Unsorted'!$B$42, CONCAT(VLOOKUP($C72, 'Match Names'!$A$1:$D$22, 4, FAL"&amp;"SE), ""!C3:R29"")), {5;11;17;23}, FALSE)), ""=-4"") + COUNTIF(ARRAYFORMULA(HLOOKUP($B72, IMPORTRANGE('Match Names'!$E$23, CONCAT(VLOOKUP($C72, 'Match Names'!$1:$22, 5, FALSE), ""!C3:R29"")), {6;11;16;21}, FALSE)), ""=-4"") + COUNTIF(ARRAYFORMULA(HLOOKUP($"&amp;"B72, IMPORTRANGE('Match Names'!$F$23, CONCAT(VLOOKUP($C72, 'Match Names'!$1:$22, 6, FALSE), ""!C3:R29"")), {5;11;17;23}, FALSE)), ""=-4"") + COUNTIF(ARRAYFORMULA(HLOOKUP($B72, IMPORTRANGE('Match Names'!$G$23, CONCAT(VLOOKUP($C72, 'Match Names'!$1:$22, 7, "&amp;"FALSE), ""!C3:R29"")), {5;10;14;22}, FALSE)), ""=-4"") + COUNTIF(ARRAYFORMULA(HLOOKUP($B72, IMPORTRANGE('Match Names'!$H$23, CONCAT(VLOOKUP($C72, 'Match Names'!$1:$22, 8, FALSE), ""!C3:R29"")), {5;11;17;23}, FALSE)), ""=-4"")"),1.0)</f>
        <v>1</v>
      </c>
      <c r="H72" s="33">
        <f t="shared" si="2"/>
        <v>4</v>
      </c>
    </row>
    <row r="73">
      <c r="A73" s="21" t="s">
        <v>53</v>
      </c>
      <c r="B73" s="31" t="str">
        <f>VLOOKUP(CONCAT(A73, C73), 'Discord Username to Real Name'!C:D, 2, FALSE)</f>
        <v>brandon.chang#3043</v>
      </c>
      <c r="C73" s="21" t="s">
        <v>24</v>
      </c>
      <c r="D73" s="32">
        <f>IFERROR(__xludf.DUMMYFUNCTION("(4 - COUNTIF(IFERROR(ARRAYFORMULA(HLOOKUP($B73, IMPORTRANGE('Prelim Rankings Unsorted'!$B$40, CONCAT(VLOOKUP($C73, 'Match Names'!$A$1:$D$22, 2, FALSE), ""!C3:R29"")), {6;11;17;23}, FALSE)), 'Player Overall Stats Unsorted'!$AA$9:$AA$12), ""=X"")) + (4 - CO"&amp;"UNTIF(IFERROR(ARRAYFORMULA(HLOOKUP($B73, IMPORTRANGE('Prelim Rankings Unsorted'!$B$41, CONCAT(VLOOKUP($C73, 'Match Names'!$A$1:$D$22, 3, FALSE), ""!C3:R29"")), {5;11;17;23}, FALSE)), 'Player Overall Stats Unsorted'!$AA$9:$AA$12), ""=X"")) + (4 - COUNTIF(I"&amp;"FERROR(ARRAYFORMULA(HLOOKUP($B73, IMPORTRANGE('Prelim Rankings Unsorted'!$B$42, CONCAT(VLOOKUP($C73, 'Match Names'!$A$1:$D$22, 4, FALSE), ""!C3:R29"")), {5;11;17;23}, FALSE)), 'Player Overall Stats Unsorted'!$AA$9:$AA$12), ""=X"")) + (4 - COUNTIF(IFERROR("&amp;"ARRAYFORMULA(HLOOKUP($B73, IMPORTRANGE('Match Names'!$E$23, CONCAT(VLOOKUP($C73, 'Match Names'!$1:$22, 5, FALSE), ""!C3:R29"")), {5;11;16;21}, FALSE)), 'Player Overall Stats Unsorted'!$AA$9:$AA$12), ""=X"")) + (4 - COUNTIF(IFERROR(ARRAYFORMULA(HLOOKUP($B7"&amp;"3, IMPORTRANGE('Match Names'!$F$23, CONCAT(VLOOKUP($C73, 'Match Names'!$1:$22, 6, FALSE), ""!C3:R29"")), {5;11;17;23}, FALSE)), 'Player Overall Stats Unsorted'!$AA$9:$AA$12), ""=X"")) + (4 - COUNTIF(IFERROR(ARRAYFORMULA(HLOOKUP($B73, IMPORTRANGE('Match Na"&amp;"mes'!$G$23, CONCAT(VLOOKUP($C73, 'Match Names'!$1:$22, 7, FALSE), ""!C3:R29"")), {5;10;14;23}, FALSE)), 'Player Overall Stats Unsorted'!$AA$9:$AA$12), ""=X"")) + (4 - COUNTIF(IFERROR(ARRAYFORMULA(HLOOKUP($B73, IMPORTRANGE('Match Names'!$H$23, CONCAT(VLOOK"&amp;"UP($C73, 'Match Names'!$1:$22, 8, FALSE), ""!C3:R29"")), {5;11;17;23}, FALSE)), 'Player Overall Stats Unsorted'!$AA$9:$AA$12), ""=X""))"),18.0)</f>
        <v>18</v>
      </c>
      <c r="E73" s="32">
        <f>IFERROR(__xludf.DUMMYFUNCTION("COUNTIF(ARRAYFORMULA(HLOOKUP($B73, IMPORTRANGE('Prelim Rankings Unsorted'!$B$40, CONCAT(VLOOKUP($C73, 'Match Names'!$A$1:$D$22, 2, FALSE), ""!C3:R29"")), {6;11;17;23}, FALSE)), ""=4"") + COUNTIF(ARRAYFORMULA(HLOOKUP($B73, IMPORTRANGE('Prelim Rankings Unso"&amp;"rted'!$B$41, CONCAT(VLOOKUP($C73, 'Match Names'!$A$1:$D$22, 3, FALSE), ""!C3:R29"")), {5;11;17;23}, FALSE)), ""=4"") + COUNTIF(ARRAYFORMULA(HLOOKUP($B73, IMPORTRANGE('Prelim Rankings Unsorted'!$B$42, CONCAT(VLOOKUP($C73, 'Match Names'!$A$1:$D$22, 4, FALSE"&amp;"), ""!C3:R29"")), {5;11;17;23}, FALSE)), ""=4"") + COUNTIF(ARRAYFORMULA(HLOOKUP($B73, IMPORTRANGE('Match Names'!$E$23, CONCAT(VLOOKUP($C73, 'Match Names'!$1:$22, 5, FALSE), ""!C3:R29"")), {6;11;16;21}, FALSE)), ""=4"") + COUNTIF(ARRAYFORMULA(HLOOKUP($B73,"&amp;" IMPORTRANGE('Match Names'!$F$23, CONCAT(VLOOKUP($C73, 'Match Names'!$1:$22, 6, FALSE), ""!C3:R29"")), {5;11;17;23}, FALSE)), ""=4"") + COUNTIF(ARRAYFORMULA(HLOOKUP($B73, IMPORTRANGE('Match Names'!$G$23, CONCAT(VLOOKUP($C73, 'Match Names'!$1:$22, 7, FALSE"&amp;"), ""!C3:R29"")), {5;10;14;22}, FALSE)), ""=4"") + COUNTIF(ARRAYFORMULA(HLOOKUP($B73, IMPORTRANGE('Match Names'!$H$23, CONCAT(VLOOKUP($C73, 'Match Names'!$1:$22, 8, FALSE), ""!C3:R29"")), {5;11;17;23}, FALSE)), ""=4"")"),1.0)</f>
        <v>1</v>
      </c>
      <c r="F73" s="32">
        <f>IFERROR(__xludf.DUMMYFUNCTION("COUNTIF(ARRAYFORMULA(HLOOKUP($B73, IMPORTRANGE('Prelim Rankings Unsorted'!$B$40, CONCAT(VLOOKUP($C73, 'Match Names'!$A$1:$D$22, 2, FALSE), ""!C3:R29"")), {6;11;17;23}, FALSE)), ""=0"") + COUNTIF(ARRAYFORMULA(HLOOKUP($B73, IMPORTRANGE('Prelim Rankings Unso"&amp;"rted'!$B$41, CONCAT(VLOOKUP($C73, 'Match Names'!$A$1:$D$22, 3, FALSE), ""!C3:R29"")), {5;11;17;23}, FALSE)), ""=0"") + COUNTIF(ARRAYFORMULA(HLOOKUP($B73, IMPORTRANGE('Prelim Rankings Unsorted'!$B$42, CONCAT(VLOOKUP($C73, 'Match Names'!$A$1:$D$22, 4, FALSE"&amp;"), ""!C3:R29"")), {5;11;17;23}, FALSE)), ""=0"") + COUNTIF(ARRAYFORMULA(HLOOKUP($B73, IMPORTRANGE('Match Names'!$E$23, CONCAT(VLOOKUP($C73, 'Match Names'!$1:$22, 5, FALSE), ""!C3:R29"")), {6;11;16;21}, FALSE)), ""=0"") + COUNTIF(ARRAYFORMULA(HLOOKUP($B73,"&amp;" IMPORTRANGE('Match Names'!$F$23, CONCAT(VLOOKUP($C73, 'Match Names'!$1:$22, 6, FALSE), ""!C3:R29"")), {5;11;17;23}, FALSE)), ""=0"") + COUNTIF(ARRAYFORMULA(HLOOKUP($B73, IMPORTRANGE('Match Names'!$G$23, CONCAT(VLOOKUP($C73, 'Match Names'!$1:$22, 7, FALSE"&amp;"), ""!C3:R29"")), {5;10;14;22}, FALSE)), ""=0"") + COUNTIF(ARRAYFORMULA(HLOOKUP($B73, IMPORTRANGE('Match Names'!$H$23, CONCAT(VLOOKUP($C73, 'Match Names'!$1:$22, 8, FALSE), ""!C3:R29"")), {5;11;17;23}, FALSE)), ""=0"")"),0.0)</f>
        <v>0</v>
      </c>
      <c r="G73" s="32">
        <f>IFERROR(__xludf.DUMMYFUNCTION("COUNTIF(ARRAYFORMULA(HLOOKUP($B73, IMPORTRANGE('Prelim Rankings Unsorted'!$B$40, CONCAT(VLOOKUP($C73, 'Match Names'!$A$1:$D$22, 2, FALSE), ""!C3:R29"")), {6;11;17;23}, FALSE)), ""=-4"") + COUNTIF(ARRAYFORMULA(HLOOKUP($B73, IMPORTRANGE('Prelim Rankings Uns"&amp;"orted'!$B$41, CONCAT(VLOOKUP($C73, 'Match Names'!$A$1:$D$22, 3, FALSE), ""!C3:R29"")), {5;11;17;23}, FALSE)), ""=-4"") + COUNTIF(ARRAYFORMULA(HLOOKUP($B73, IMPORTRANGE('Prelim Rankings Unsorted'!$B$42, CONCAT(VLOOKUP($C73, 'Match Names'!$A$1:$D$22, 4, FAL"&amp;"SE), ""!C3:R29"")), {5;11;17;23}, FALSE)), ""=-4"") + COUNTIF(ARRAYFORMULA(HLOOKUP($B73, IMPORTRANGE('Match Names'!$E$23, CONCAT(VLOOKUP($C73, 'Match Names'!$1:$22, 5, FALSE), ""!C3:R29"")), {6;11;16;21}, FALSE)), ""=-4"") + COUNTIF(ARRAYFORMULA(HLOOKUP($"&amp;"B73, IMPORTRANGE('Match Names'!$F$23, CONCAT(VLOOKUP($C73, 'Match Names'!$1:$22, 6, FALSE), ""!C3:R29"")), {5;11;17;23}, FALSE)), ""=-4"") + COUNTIF(ARRAYFORMULA(HLOOKUP($B73, IMPORTRANGE('Match Names'!$G$23, CONCAT(VLOOKUP($C73, 'Match Names'!$1:$22, 7, "&amp;"FALSE), ""!C3:R29"")), {5;10;14;22}, FALSE)), ""=-4"") + COUNTIF(ARRAYFORMULA(HLOOKUP($B73, IMPORTRANGE('Match Names'!$H$23, CONCAT(VLOOKUP($C73, 'Match Names'!$1:$22, 8, FALSE), ""!C3:R29"")), {5;11;17;23}, FALSE)), ""=-4"")"),0.0)</f>
        <v>0</v>
      </c>
      <c r="H73" s="33">
        <f t="shared" si="2"/>
        <v>0.89</v>
      </c>
    </row>
    <row r="74">
      <c r="A74" s="21" t="s">
        <v>136</v>
      </c>
      <c r="B74" s="31" t="str">
        <f>VLOOKUP(CONCAT(A74, C74), 'Discord Username to Real Name'!C:D, 2, FALSE)</f>
        <v>capriisun#3255</v>
      </c>
      <c r="C74" s="21" t="s">
        <v>24</v>
      </c>
      <c r="D74" s="32">
        <f>IFERROR(__xludf.DUMMYFUNCTION("(4 - COUNTIF(IFERROR(ARRAYFORMULA(HLOOKUP($B74, IMPORTRANGE('Prelim Rankings Unsorted'!$B$40, CONCAT(VLOOKUP($C74, 'Match Names'!$A$1:$D$22, 2, FALSE), ""!C3:R29"")), {6;11;17;23}, FALSE)), 'Player Overall Stats Unsorted'!$AA$9:$AA$12), ""=X"")) + (4 - CO"&amp;"UNTIF(IFERROR(ARRAYFORMULA(HLOOKUP($B74, IMPORTRANGE('Prelim Rankings Unsorted'!$B$41, CONCAT(VLOOKUP($C74, 'Match Names'!$A$1:$D$22, 3, FALSE), ""!C3:R29"")), {5;11;17;23}, FALSE)), 'Player Overall Stats Unsorted'!$AA$9:$AA$12), ""=X"")) + (4 - COUNTIF(I"&amp;"FERROR(ARRAYFORMULA(HLOOKUP($B74, IMPORTRANGE('Prelim Rankings Unsorted'!$B$42, CONCAT(VLOOKUP($C74, 'Match Names'!$A$1:$D$22, 4, FALSE), ""!C3:R29"")), {5;11;17;23}, FALSE)), 'Player Overall Stats Unsorted'!$AA$9:$AA$12), ""=X"")) + (4 - COUNTIF(IFERROR("&amp;"ARRAYFORMULA(HLOOKUP($B74, IMPORTRANGE('Match Names'!$E$23, CONCAT(VLOOKUP($C74, 'Match Names'!$1:$22, 5, FALSE), ""!C3:R29"")), {5;11;16;21}, FALSE)), 'Player Overall Stats Unsorted'!$AA$9:$AA$12), ""=X"")) + (4 - COUNTIF(IFERROR(ARRAYFORMULA(HLOOKUP($B7"&amp;"4, IMPORTRANGE('Match Names'!$F$23, CONCAT(VLOOKUP($C74, 'Match Names'!$1:$22, 6, FALSE), ""!C3:R29"")), {5;11;17;23}, FALSE)), 'Player Overall Stats Unsorted'!$AA$9:$AA$12), ""=X"")) + (4 - COUNTIF(IFERROR(ARRAYFORMULA(HLOOKUP($B74, IMPORTRANGE('Match Na"&amp;"mes'!$G$23, CONCAT(VLOOKUP($C74, 'Match Names'!$1:$22, 7, FALSE), ""!C3:R29"")), {5;10;14;23}, FALSE)), 'Player Overall Stats Unsorted'!$AA$9:$AA$12), ""=X"")) + (4 - COUNTIF(IFERROR(ARRAYFORMULA(HLOOKUP($B74, IMPORTRANGE('Match Names'!$H$23, CONCAT(VLOOK"&amp;"UP($C74, 'Match Names'!$1:$22, 8, FALSE), ""!C3:R29"")), {5;11;17;23}, FALSE)), 'Player Overall Stats Unsorted'!$AA$9:$AA$12), ""=X""))"),14.0)</f>
        <v>14</v>
      </c>
      <c r="E74" s="32">
        <f>IFERROR(__xludf.DUMMYFUNCTION("COUNTIF(ARRAYFORMULA(HLOOKUP($B74, IMPORTRANGE('Prelim Rankings Unsorted'!$B$40, CONCAT(VLOOKUP($C74, 'Match Names'!$A$1:$D$22, 2, FALSE), ""!C3:R29"")), {6;11;17;23}, FALSE)), ""=4"") + COUNTIF(ARRAYFORMULA(HLOOKUP($B74, IMPORTRANGE('Prelim Rankings Unso"&amp;"rted'!$B$41, CONCAT(VLOOKUP($C74, 'Match Names'!$A$1:$D$22, 3, FALSE), ""!C3:R29"")), {5;11;17;23}, FALSE)), ""=4"") + COUNTIF(ARRAYFORMULA(HLOOKUP($B74, IMPORTRANGE('Prelim Rankings Unsorted'!$B$42, CONCAT(VLOOKUP($C74, 'Match Names'!$A$1:$D$22, 4, FALSE"&amp;"), ""!C3:R29"")), {5;11;17;23}, FALSE)), ""=4"") + COUNTIF(ARRAYFORMULA(HLOOKUP($B74, IMPORTRANGE('Match Names'!$E$23, CONCAT(VLOOKUP($C74, 'Match Names'!$1:$22, 5, FALSE), ""!C3:R29"")), {6;11;16;21}, FALSE)), ""=4"") + COUNTIF(ARRAYFORMULA(HLOOKUP($B74,"&amp;" IMPORTRANGE('Match Names'!$F$23, CONCAT(VLOOKUP($C74, 'Match Names'!$1:$22, 6, FALSE), ""!C3:R29"")), {5;11;17;23}, FALSE)), ""=4"") + COUNTIF(ARRAYFORMULA(HLOOKUP($B74, IMPORTRANGE('Match Names'!$G$23, CONCAT(VLOOKUP($C74, 'Match Names'!$1:$22, 7, FALSE"&amp;"), ""!C3:R29"")), {5;10;14;22}, FALSE)), ""=4"") + COUNTIF(ARRAYFORMULA(HLOOKUP($B74, IMPORTRANGE('Match Names'!$H$23, CONCAT(VLOOKUP($C74, 'Match Names'!$1:$22, 8, FALSE), ""!C3:R29"")), {5;11;17;23}, FALSE)), ""=4"")"),0.0)</f>
        <v>0</v>
      </c>
      <c r="F74" s="32">
        <f>IFERROR(__xludf.DUMMYFUNCTION("COUNTIF(ARRAYFORMULA(HLOOKUP($B74, IMPORTRANGE('Prelim Rankings Unsorted'!$B$40, CONCAT(VLOOKUP($C74, 'Match Names'!$A$1:$D$22, 2, FALSE), ""!C3:R29"")), {6;11;17;23}, FALSE)), ""=0"") + COUNTIF(ARRAYFORMULA(HLOOKUP($B74, IMPORTRANGE('Prelim Rankings Unso"&amp;"rted'!$B$41, CONCAT(VLOOKUP($C74, 'Match Names'!$A$1:$D$22, 3, FALSE), ""!C3:R29"")), {5;11;17;23}, FALSE)), ""=0"") + COUNTIF(ARRAYFORMULA(HLOOKUP($B74, IMPORTRANGE('Prelim Rankings Unsorted'!$B$42, CONCAT(VLOOKUP($C74, 'Match Names'!$A$1:$D$22, 4, FALSE"&amp;"), ""!C3:R29"")), {5;11;17;23}, FALSE)), ""=0"") + COUNTIF(ARRAYFORMULA(HLOOKUP($B74, IMPORTRANGE('Match Names'!$E$23, CONCAT(VLOOKUP($C74, 'Match Names'!$1:$22, 5, FALSE), ""!C3:R29"")), {6;11;16;21}, FALSE)), ""=0"") + COUNTIF(ARRAYFORMULA(HLOOKUP($B74,"&amp;" IMPORTRANGE('Match Names'!$F$23, CONCAT(VLOOKUP($C74, 'Match Names'!$1:$22, 6, FALSE), ""!C3:R29"")), {5;11;17;23}, FALSE)), ""=0"") + COUNTIF(ARRAYFORMULA(HLOOKUP($B74, IMPORTRANGE('Match Names'!$G$23, CONCAT(VLOOKUP($C74, 'Match Names'!$1:$22, 7, FALSE"&amp;"), ""!C3:R29"")), {5;10;14;22}, FALSE)), ""=0"") + COUNTIF(ARRAYFORMULA(HLOOKUP($B74, IMPORTRANGE('Match Names'!$H$23, CONCAT(VLOOKUP($C74, 'Match Names'!$1:$22, 8, FALSE), ""!C3:R29"")), {5;11;17;23}, FALSE)), ""=0"")"),1.0)</f>
        <v>1</v>
      </c>
      <c r="G74" s="32">
        <f>IFERROR(__xludf.DUMMYFUNCTION("COUNTIF(ARRAYFORMULA(HLOOKUP($B74, IMPORTRANGE('Prelim Rankings Unsorted'!$B$40, CONCAT(VLOOKUP($C74, 'Match Names'!$A$1:$D$22, 2, FALSE), ""!C3:R29"")), {6;11;17;23}, FALSE)), ""=-4"") + COUNTIF(ARRAYFORMULA(HLOOKUP($B74, IMPORTRANGE('Prelim Rankings Uns"&amp;"orted'!$B$41, CONCAT(VLOOKUP($C74, 'Match Names'!$A$1:$D$22, 3, FALSE), ""!C3:R29"")), {5;11;17;23}, FALSE)), ""=-4"") + COUNTIF(ARRAYFORMULA(HLOOKUP($B74, IMPORTRANGE('Prelim Rankings Unsorted'!$B$42, CONCAT(VLOOKUP($C74, 'Match Names'!$A$1:$D$22, 4, FAL"&amp;"SE), ""!C3:R29"")), {5;11;17;23}, FALSE)), ""=-4"") + COUNTIF(ARRAYFORMULA(HLOOKUP($B74, IMPORTRANGE('Match Names'!$E$23, CONCAT(VLOOKUP($C74, 'Match Names'!$1:$22, 5, FALSE), ""!C3:R29"")), {6;11;16;21}, FALSE)), ""=-4"") + COUNTIF(ARRAYFORMULA(HLOOKUP($"&amp;"B74, IMPORTRANGE('Match Names'!$F$23, CONCAT(VLOOKUP($C74, 'Match Names'!$1:$22, 6, FALSE), ""!C3:R29"")), {5;11;17;23}, FALSE)), ""=-4"") + COUNTIF(ARRAYFORMULA(HLOOKUP($B74, IMPORTRANGE('Match Names'!$G$23, CONCAT(VLOOKUP($C74, 'Match Names'!$1:$22, 7, "&amp;"FALSE), ""!C3:R29"")), {5;10;14;22}, FALSE)), ""=-4"") + COUNTIF(ARRAYFORMULA(HLOOKUP($B74, IMPORTRANGE('Match Names'!$H$23, CONCAT(VLOOKUP($C74, 'Match Names'!$1:$22, 8, FALSE), ""!C3:R29"")), {5;11;17;23}, FALSE)), ""=-4"")"),0.0)</f>
        <v>0</v>
      </c>
      <c r="H74" s="33">
        <f t="shared" si="2"/>
        <v>0</v>
      </c>
    </row>
    <row r="75">
      <c r="A75" s="21" t="s">
        <v>52</v>
      </c>
      <c r="B75" s="31" t="str">
        <f>VLOOKUP(CONCAT(A75, C75), 'Discord Username to Real Name'!C:D, 2, FALSE)</f>
        <v>cindyhlu#0060</v>
      </c>
      <c r="C75" s="21" t="s">
        <v>24</v>
      </c>
      <c r="D75" s="32">
        <f>IFERROR(__xludf.DUMMYFUNCTION("(4 - COUNTIF(IFERROR(ARRAYFORMULA(HLOOKUP($B75, IMPORTRANGE('Prelim Rankings Unsorted'!$B$40, CONCAT(VLOOKUP($C75, 'Match Names'!$A$1:$D$22, 2, FALSE), ""!C3:R29"")), {6;11;17;23}, FALSE)), 'Player Overall Stats Unsorted'!$AA$9:$AA$12), ""=X"")) + (4 - CO"&amp;"UNTIF(IFERROR(ARRAYFORMULA(HLOOKUP($B75, IMPORTRANGE('Prelim Rankings Unsorted'!$B$41, CONCAT(VLOOKUP($C75, 'Match Names'!$A$1:$D$22, 3, FALSE), ""!C3:R29"")), {5;11;17;23}, FALSE)), 'Player Overall Stats Unsorted'!$AA$9:$AA$12), ""=X"")) + (4 - COUNTIF(I"&amp;"FERROR(ARRAYFORMULA(HLOOKUP($B75, IMPORTRANGE('Prelim Rankings Unsorted'!$B$42, CONCAT(VLOOKUP($C75, 'Match Names'!$A$1:$D$22, 4, FALSE), ""!C3:R29"")), {5;11;17;23}, FALSE)), 'Player Overall Stats Unsorted'!$AA$9:$AA$12), ""=X"")) + (4 - COUNTIF(IFERROR("&amp;"ARRAYFORMULA(HLOOKUP($B75, IMPORTRANGE('Match Names'!$E$23, CONCAT(VLOOKUP($C75, 'Match Names'!$1:$22, 5, FALSE), ""!C3:R29"")), {5;11;16;21}, FALSE)), 'Player Overall Stats Unsorted'!$AA$9:$AA$12), ""=X"")) + (4 - COUNTIF(IFERROR(ARRAYFORMULA(HLOOKUP($B7"&amp;"5, IMPORTRANGE('Match Names'!$F$23, CONCAT(VLOOKUP($C75, 'Match Names'!$1:$22, 6, FALSE), ""!C3:R29"")), {5;11;17;23}, FALSE)), 'Player Overall Stats Unsorted'!$AA$9:$AA$12), ""=X"")) + (4 - COUNTIF(IFERROR(ARRAYFORMULA(HLOOKUP($B75, IMPORTRANGE('Match Na"&amp;"mes'!$G$23, CONCAT(VLOOKUP($C75, 'Match Names'!$1:$22, 7, FALSE), ""!C3:R29"")), {5;10;14;23}, FALSE)), 'Player Overall Stats Unsorted'!$AA$9:$AA$12), ""=X"")) + (4 - COUNTIF(IFERROR(ARRAYFORMULA(HLOOKUP($B75, IMPORTRANGE('Match Names'!$H$23, CONCAT(VLOOK"&amp;"UP($C75, 'Match Names'!$1:$22, 8, FALSE), ""!C3:R29"")), {5;11;17;23}, FALSE)), 'Player Overall Stats Unsorted'!$AA$9:$AA$12), ""=X""))"),14.0)</f>
        <v>14</v>
      </c>
      <c r="E75" s="32">
        <f>IFERROR(__xludf.DUMMYFUNCTION("COUNTIF(ARRAYFORMULA(HLOOKUP($B75, IMPORTRANGE('Prelim Rankings Unsorted'!$B$40, CONCAT(VLOOKUP($C75, 'Match Names'!$A$1:$D$22, 2, FALSE), ""!C3:R29"")), {6;11;17;23}, FALSE)), ""=4"") + COUNTIF(ARRAYFORMULA(HLOOKUP($B75, IMPORTRANGE('Prelim Rankings Unso"&amp;"rted'!$B$41, CONCAT(VLOOKUP($C75, 'Match Names'!$A$1:$D$22, 3, FALSE), ""!C3:R29"")), {5;11;17;23}, FALSE)), ""=4"") + COUNTIF(ARRAYFORMULA(HLOOKUP($B75, IMPORTRANGE('Prelim Rankings Unsorted'!$B$42, CONCAT(VLOOKUP($C75, 'Match Names'!$A$1:$D$22, 4, FALSE"&amp;"), ""!C3:R29"")), {5;11;17;23}, FALSE)), ""=4"") + COUNTIF(ARRAYFORMULA(HLOOKUP($B75, IMPORTRANGE('Match Names'!$E$23, CONCAT(VLOOKUP($C75, 'Match Names'!$1:$22, 5, FALSE), ""!C3:R29"")), {6;11;16;21}, FALSE)), ""=4"") + COUNTIF(ARRAYFORMULA(HLOOKUP($B75,"&amp;" IMPORTRANGE('Match Names'!$F$23, CONCAT(VLOOKUP($C75, 'Match Names'!$1:$22, 6, FALSE), ""!C3:R29"")), {5;11;17;23}, FALSE)), ""=4"") + COUNTIF(ARRAYFORMULA(HLOOKUP($B75, IMPORTRANGE('Match Names'!$G$23, CONCAT(VLOOKUP($C75, 'Match Names'!$1:$22, 7, FALSE"&amp;"), ""!C3:R29"")), {5;10;14;22}, FALSE)), ""=4"") + COUNTIF(ARRAYFORMULA(HLOOKUP($B75, IMPORTRANGE('Match Names'!$H$23, CONCAT(VLOOKUP($C75, 'Match Names'!$1:$22, 8, FALSE), ""!C3:R29"")), {5;11;17;23}, FALSE)), ""=4"")"),0.0)</f>
        <v>0</v>
      </c>
      <c r="F75" s="32">
        <f>IFERROR(__xludf.DUMMYFUNCTION("COUNTIF(ARRAYFORMULA(HLOOKUP($B75, IMPORTRANGE('Prelim Rankings Unsorted'!$B$40, CONCAT(VLOOKUP($C75, 'Match Names'!$A$1:$D$22, 2, FALSE), ""!C3:R29"")), {6;11;17;23}, FALSE)), ""=0"") + COUNTIF(ARRAYFORMULA(HLOOKUP($B75, IMPORTRANGE('Prelim Rankings Unso"&amp;"rted'!$B$41, CONCAT(VLOOKUP($C75, 'Match Names'!$A$1:$D$22, 3, FALSE), ""!C3:R29"")), {5;11;17;23}, FALSE)), ""=0"") + COUNTIF(ARRAYFORMULA(HLOOKUP($B75, IMPORTRANGE('Prelim Rankings Unsorted'!$B$42, CONCAT(VLOOKUP($C75, 'Match Names'!$A$1:$D$22, 4, FALSE"&amp;"), ""!C3:R29"")), {5;11;17;23}, FALSE)), ""=0"") + COUNTIF(ARRAYFORMULA(HLOOKUP($B75, IMPORTRANGE('Match Names'!$E$23, CONCAT(VLOOKUP($C75, 'Match Names'!$1:$22, 5, FALSE), ""!C3:R29"")), {6;11;16;21}, FALSE)), ""=0"") + COUNTIF(ARRAYFORMULA(HLOOKUP($B75,"&amp;" IMPORTRANGE('Match Names'!$F$23, CONCAT(VLOOKUP($C75, 'Match Names'!$1:$22, 6, FALSE), ""!C3:R29"")), {5;11;17;23}, FALSE)), ""=0"") + COUNTIF(ARRAYFORMULA(HLOOKUP($B75, IMPORTRANGE('Match Names'!$G$23, CONCAT(VLOOKUP($C75, 'Match Names'!$1:$22, 7, FALSE"&amp;"), ""!C3:R29"")), {5;10;14;22}, FALSE)), ""=0"") + COUNTIF(ARRAYFORMULA(HLOOKUP($B75, IMPORTRANGE('Match Names'!$H$23, CONCAT(VLOOKUP($C75, 'Match Names'!$1:$22, 8, FALSE), ""!C3:R29"")), {5;11;17;23}, FALSE)), ""=0"")"),0.0)</f>
        <v>0</v>
      </c>
      <c r="G75" s="32">
        <f>IFERROR(__xludf.DUMMYFUNCTION("COUNTIF(ARRAYFORMULA(HLOOKUP($B75, IMPORTRANGE('Prelim Rankings Unsorted'!$B$40, CONCAT(VLOOKUP($C75, 'Match Names'!$A$1:$D$22, 2, FALSE), ""!C3:R29"")), {6;11;17;23}, FALSE)), ""=-4"") + COUNTIF(ARRAYFORMULA(HLOOKUP($B75, IMPORTRANGE('Prelim Rankings Uns"&amp;"orted'!$B$41, CONCAT(VLOOKUP($C75, 'Match Names'!$A$1:$D$22, 3, FALSE), ""!C3:R29"")), {5;11;17;23}, FALSE)), ""=-4"") + COUNTIF(ARRAYFORMULA(HLOOKUP($B75, IMPORTRANGE('Prelim Rankings Unsorted'!$B$42, CONCAT(VLOOKUP($C75, 'Match Names'!$A$1:$D$22, 4, FAL"&amp;"SE), ""!C3:R29"")), {5;11;17;23}, FALSE)), ""=-4"") + COUNTIF(ARRAYFORMULA(HLOOKUP($B75, IMPORTRANGE('Match Names'!$E$23, CONCAT(VLOOKUP($C75, 'Match Names'!$1:$22, 5, FALSE), ""!C3:R29"")), {6;11;16;21}, FALSE)), ""=-4"") + COUNTIF(ARRAYFORMULA(HLOOKUP($"&amp;"B75, IMPORTRANGE('Match Names'!$F$23, CONCAT(VLOOKUP($C75, 'Match Names'!$1:$22, 6, FALSE), ""!C3:R29"")), {5;11;17;23}, FALSE)), ""=-4"") + COUNTIF(ARRAYFORMULA(HLOOKUP($B75, IMPORTRANGE('Match Names'!$G$23, CONCAT(VLOOKUP($C75, 'Match Names'!$1:$22, 7, "&amp;"FALSE), ""!C3:R29"")), {5;10;14;22}, FALSE)), ""=-4"") + COUNTIF(ARRAYFORMULA(HLOOKUP($B75, IMPORTRANGE('Match Names'!$H$23, CONCAT(VLOOKUP($C75, 'Match Names'!$1:$22, 8, FALSE), ""!C3:R29"")), {5;11;17;23}, FALSE)), ""=-4"")"),0.0)</f>
        <v>0</v>
      </c>
      <c r="H75" s="33">
        <f t="shared" si="2"/>
        <v>0</v>
      </c>
    </row>
    <row r="76">
      <c r="A76" s="21" t="s">
        <v>13</v>
      </c>
      <c r="B76" s="31" t="str">
        <f>VLOOKUP(CONCAT(A76, C76), 'Discord Username to Real Name'!C:D, 2, FALSE)</f>
        <v>alienated#7505</v>
      </c>
      <c r="C76" s="21" t="s">
        <v>24</v>
      </c>
      <c r="D76" s="32">
        <f>IFERROR(__xludf.DUMMYFUNCTION("(4 - COUNTIF(IFERROR(ARRAYFORMULA(HLOOKUP($B76, IMPORTRANGE('Prelim Rankings Unsorted'!$B$40, CONCAT(VLOOKUP($C76, 'Match Names'!$A$1:$D$22, 2, FALSE), ""!C3:R29"")), {6;11;17;23}, FALSE)), 'Player Overall Stats Unsorted'!$AA$9:$AA$12), ""=X"")) + (4 - CO"&amp;"UNTIF(IFERROR(ARRAYFORMULA(HLOOKUP($B76, IMPORTRANGE('Prelim Rankings Unsorted'!$B$41, CONCAT(VLOOKUP($C76, 'Match Names'!$A$1:$D$22, 3, FALSE), ""!C3:R29"")), {5;11;17;23}, FALSE)), 'Player Overall Stats Unsorted'!$AA$9:$AA$12), ""=X"")) + (4 - COUNTIF(I"&amp;"FERROR(ARRAYFORMULA(HLOOKUP($B76, IMPORTRANGE('Prelim Rankings Unsorted'!$B$42, CONCAT(VLOOKUP($C76, 'Match Names'!$A$1:$D$22, 4, FALSE), ""!C3:R29"")), {5;11;17;23}, FALSE)), 'Player Overall Stats Unsorted'!$AA$9:$AA$12), ""=X"")) + (4 - COUNTIF(IFERROR("&amp;"ARRAYFORMULA(HLOOKUP($B76, IMPORTRANGE('Match Names'!$E$23, CONCAT(VLOOKUP($C76, 'Match Names'!$1:$22, 5, FALSE), ""!C3:R29"")), {5;11;16;21}, FALSE)), 'Player Overall Stats Unsorted'!$AA$9:$AA$12), ""=X"")) + (4 - COUNTIF(IFERROR(ARRAYFORMULA(HLOOKUP($B7"&amp;"6, IMPORTRANGE('Match Names'!$F$23, CONCAT(VLOOKUP($C76, 'Match Names'!$1:$22, 6, FALSE), ""!C3:R29"")), {5;11;17;23}, FALSE)), 'Player Overall Stats Unsorted'!$AA$9:$AA$12), ""=X"")) + (4 - COUNTIF(IFERROR(ARRAYFORMULA(HLOOKUP($B76, IMPORTRANGE('Match Na"&amp;"mes'!$G$23, CONCAT(VLOOKUP($C76, 'Match Names'!$1:$22, 7, FALSE), ""!C3:R29"")), {5;10;14;23}, FALSE)), 'Player Overall Stats Unsorted'!$AA$9:$AA$12), ""=X"")) + (4 - COUNTIF(IFERROR(ARRAYFORMULA(HLOOKUP($B76, IMPORTRANGE('Match Names'!$H$23, CONCAT(VLOOK"&amp;"UP($C76, 'Match Names'!$1:$22, 8, FALSE), ""!C3:R29"")), {5;11;17;23}, FALSE)), 'Player Overall Stats Unsorted'!$AA$9:$AA$12), ""=X""))"),16.0)</f>
        <v>16</v>
      </c>
      <c r="E76" s="32">
        <f>IFERROR(__xludf.DUMMYFUNCTION("COUNTIF(ARRAYFORMULA(HLOOKUP($B76, IMPORTRANGE('Prelim Rankings Unsorted'!$B$40, CONCAT(VLOOKUP($C76, 'Match Names'!$A$1:$D$22, 2, FALSE), ""!C3:R29"")), {6;11;17;23}, FALSE)), ""=4"") + COUNTIF(ARRAYFORMULA(HLOOKUP($B76, IMPORTRANGE('Prelim Rankings Unso"&amp;"rted'!$B$41, CONCAT(VLOOKUP($C76, 'Match Names'!$A$1:$D$22, 3, FALSE), ""!C3:R29"")), {5;11;17;23}, FALSE)), ""=4"") + COUNTIF(ARRAYFORMULA(HLOOKUP($B76, IMPORTRANGE('Prelim Rankings Unsorted'!$B$42, CONCAT(VLOOKUP($C76, 'Match Names'!$A$1:$D$22, 4, FALSE"&amp;"), ""!C3:R29"")), {5;11;17;23}, FALSE)), ""=4"") + COUNTIF(ARRAYFORMULA(HLOOKUP($B76, IMPORTRANGE('Match Names'!$E$23, CONCAT(VLOOKUP($C76, 'Match Names'!$1:$22, 5, FALSE), ""!C3:R29"")), {6;11;16;21}, FALSE)), ""=4"") + COUNTIF(ARRAYFORMULA(HLOOKUP($B76,"&amp;" IMPORTRANGE('Match Names'!$F$23, CONCAT(VLOOKUP($C76, 'Match Names'!$1:$22, 6, FALSE), ""!C3:R29"")), {5;11;17;23}, FALSE)), ""=4"") + COUNTIF(ARRAYFORMULA(HLOOKUP($B76, IMPORTRANGE('Match Names'!$G$23, CONCAT(VLOOKUP($C76, 'Match Names'!$1:$22, 7, FALSE"&amp;"), ""!C3:R29"")), {5;10;14;22}, FALSE)), ""=4"") + COUNTIF(ARRAYFORMULA(HLOOKUP($B76, IMPORTRANGE('Match Names'!$H$23, CONCAT(VLOOKUP($C76, 'Match Names'!$1:$22, 8, FALSE), ""!C3:R29"")), {5;11;17;23}, FALSE)), ""=4"")"),0.0)</f>
        <v>0</v>
      </c>
      <c r="F76" s="32">
        <f>IFERROR(__xludf.DUMMYFUNCTION("COUNTIF(ARRAYFORMULA(HLOOKUP($B76, IMPORTRANGE('Prelim Rankings Unsorted'!$B$40, CONCAT(VLOOKUP($C76, 'Match Names'!$A$1:$D$22, 2, FALSE), ""!C3:R29"")), {6;11;17;23}, FALSE)), ""=0"") + COUNTIF(ARRAYFORMULA(HLOOKUP($B76, IMPORTRANGE('Prelim Rankings Unso"&amp;"rted'!$B$41, CONCAT(VLOOKUP($C76, 'Match Names'!$A$1:$D$22, 3, FALSE), ""!C3:R29"")), {5;11;17;23}, FALSE)), ""=0"") + COUNTIF(ARRAYFORMULA(HLOOKUP($B76, IMPORTRANGE('Prelim Rankings Unsorted'!$B$42, CONCAT(VLOOKUP($C76, 'Match Names'!$A$1:$D$22, 4, FALSE"&amp;"), ""!C3:R29"")), {5;11;17;23}, FALSE)), ""=0"") + COUNTIF(ARRAYFORMULA(HLOOKUP($B76, IMPORTRANGE('Match Names'!$E$23, CONCAT(VLOOKUP($C76, 'Match Names'!$1:$22, 5, FALSE), ""!C3:R29"")), {6;11;16;21}, FALSE)), ""=0"") + COUNTIF(ARRAYFORMULA(HLOOKUP($B76,"&amp;" IMPORTRANGE('Match Names'!$F$23, CONCAT(VLOOKUP($C76, 'Match Names'!$1:$22, 6, FALSE), ""!C3:R29"")), {5;11;17;23}, FALSE)), ""=0"") + COUNTIF(ARRAYFORMULA(HLOOKUP($B76, IMPORTRANGE('Match Names'!$G$23, CONCAT(VLOOKUP($C76, 'Match Names'!$1:$22, 7, FALSE"&amp;"), ""!C3:R29"")), {5;10;14;22}, FALSE)), ""=0"") + COUNTIF(ARRAYFORMULA(HLOOKUP($B76, IMPORTRANGE('Match Names'!$H$23, CONCAT(VLOOKUP($C76, 'Match Names'!$1:$22, 8, FALSE), ""!C3:R29"")), {5;11;17;23}, FALSE)), ""=0"")"),0.0)</f>
        <v>0</v>
      </c>
      <c r="G76" s="32">
        <f>IFERROR(__xludf.DUMMYFUNCTION("COUNTIF(ARRAYFORMULA(HLOOKUP($B76, IMPORTRANGE('Prelim Rankings Unsorted'!$B$40, CONCAT(VLOOKUP($C76, 'Match Names'!$A$1:$D$22, 2, FALSE), ""!C3:R29"")), {6;11;17;23}, FALSE)), ""=-4"") + COUNTIF(ARRAYFORMULA(HLOOKUP($B76, IMPORTRANGE('Prelim Rankings Uns"&amp;"orted'!$B$41, CONCAT(VLOOKUP($C76, 'Match Names'!$A$1:$D$22, 3, FALSE), ""!C3:R29"")), {5;11;17;23}, FALSE)), ""=-4"") + COUNTIF(ARRAYFORMULA(HLOOKUP($B76, IMPORTRANGE('Prelim Rankings Unsorted'!$B$42, CONCAT(VLOOKUP($C76, 'Match Names'!$A$1:$D$22, 4, FAL"&amp;"SE), ""!C3:R29"")), {5;11;17;23}, FALSE)), ""=-4"") + COUNTIF(ARRAYFORMULA(HLOOKUP($B76, IMPORTRANGE('Match Names'!$E$23, CONCAT(VLOOKUP($C76, 'Match Names'!$1:$22, 5, FALSE), ""!C3:R29"")), {6;11;16;21}, FALSE)), ""=-4"") + COUNTIF(ARRAYFORMULA(HLOOKUP($"&amp;"B76, IMPORTRANGE('Match Names'!$F$23, CONCAT(VLOOKUP($C76, 'Match Names'!$1:$22, 6, FALSE), ""!C3:R29"")), {5;11;17;23}, FALSE)), ""=-4"") + COUNTIF(ARRAYFORMULA(HLOOKUP($B76, IMPORTRANGE('Match Names'!$G$23, CONCAT(VLOOKUP($C76, 'Match Names'!$1:$22, 7, "&amp;"FALSE), ""!C3:R29"")), {5;10;14;22}, FALSE)), ""=-4"") + COUNTIF(ARRAYFORMULA(HLOOKUP($B76, IMPORTRANGE('Match Names'!$H$23, CONCAT(VLOOKUP($C76, 'Match Names'!$1:$22, 8, FALSE), ""!C3:R29"")), {5;11;17;23}, FALSE)), ""=-4"")"),0.0)</f>
        <v>0</v>
      </c>
      <c r="H76" s="33">
        <f t="shared" si="2"/>
        <v>0</v>
      </c>
    </row>
    <row r="77">
      <c r="A77" s="21" t="s">
        <v>155</v>
      </c>
      <c r="B77" s="31" t="str">
        <f>VLOOKUP(CONCAT(A77, C77), 'Discord Username to Real Name'!C:D, 2, FALSE)</f>
        <v>xplt#4416</v>
      </c>
      <c r="C77" s="21" t="s">
        <v>24</v>
      </c>
      <c r="D77" s="32">
        <f>IFERROR(__xludf.DUMMYFUNCTION("(4 - COUNTIF(IFERROR(ARRAYFORMULA(HLOOKUP($B77, IMPORTRANGE('Prelim Rankings Unsorted'!$B$40, CONCAT(VLOOKUP($C77, 'Match Names'!$A$1:$D$22, 2, FALSE), ""!C3:R29"")), {6;11;17;23}, FALSE)), 'Player Overall Stats Unsorted'!$AA$9:$AA$12), ""=X"")) + (4 - CO"&amp;"UNTIF(IFERROR(ARRAYFORMULA(HLOOKUP($B77, IMPORTRANGE('Prelim Rankings Unsorted'!$B$41, CONCAT(VLOOKUP($C77, 'Match Names'!$A$1:$D$22, 3, FALSE), ""!C3:R29"")), {5;11;17;23}, FALSE)), 'Player Overall Stats Unsorted'!$AA$9:$AA$12), ""=X"")) + (4 - COUNTIF(I"&amp;"FERROR(ARRAYFORMULA(HLOOKUP($B77, IMPORTRANGE('Prelim Rankings Unsorted'!$B$42, CONCAT(VLOOKUP($C77, 'Match Names'!$A$1:$D$22, 4, FALSE), ""!C3:R29"")), {5;11;17;23}, FALSE)), 'Player Overall Stats Unsorted'!$AA$9:$AA$12), ""=X"")) + (4 - COUNTIF(IFERROR("&amp;"ARRAYFORMULA(HLOOKUP($B77, IMPORTRANGE('Match Names'!$E$23, CONCAT(VLOOKUP($C77, 'Match Names'!$1:$22, 5, FALSE), ""!C3:R29"")), {5;11;16;21}, FALSE)), 'Player Overall Stats Unsorted'!$AA$9:$AA$12), ""=X"")) + (4 - COUNTIF(IFERROR(ARRAYFORMULA(HLOOKUP($B7"&amp;"7, IMPORTRANGE('Match Names'!$F$23, CONCAT(VLOOKUP($C77, 'Match Names'!$1:$22, 6, FALSE), ""!C3:R29"")), {5;11;17;23}, FALSE)), 'Player Overall Stats Unsorted'!$AA$9:$AA$12), ""=X"")) + (4 - COUNTIF(IFERROR(ARRAYFORMULA(HLOOKUP($B77, IMPORTRANGE('Match Na"&amp;"mes'!$G$23, CONCAT(VLOOKUP($C77, 'Match Names'!$1:$22, 7, FALSE), ""!C3:R29"")), {5;10;14;23}, FALSE)), 'Player Overall Stats Unsorted'!$AA$9:$AA$12), ""=X"")) + (4 - COUNTIF(IFERROR(ARRAYFORMULA(HLOOKUP($B77, IMPORTRANGE('Match Names'!$H$23, CONCAT(VLOOK"&amp;"UP($C77, 'Match Names'!$1:$22, 8, FALSE), ""!C3:R29"")), {5;11;17;23}, FALSE)), 'Player Overall Stats Unsorted'!$AA$9:$AA$12), ""=X""))"),16.0)</f>
        <v>16</v>
      </c>
      <c r="E77" s="32">
        <f>IFERROR(__xludf.DUMMYFUNCTION("COUNTIF(ARRAYFORMULA(HLOOKUP($B77, IMPORTRANGE('Prelim Rankings Unsorted'!$B$40, CONCAT(VLOOKUP($C77, 'Match Names'!$A$1:$D$22, 2, FALSE), ""!C3:R29"")), {6;11;17;23}, FALSE)), ""=4"") + COUNTIF(ARRAYFORMULA(HLOOKUP($B77, IMPORTRANGE('Prelim Rankings Unso"&amp;"rted'!$B$41, CONCAT(VLOOKUP($C77, 'Match Names'!$A$1:$D$22, 3, FALSE), ""!C3:R29"")), {5;11;17;23}, FALSE)), ""=4"") + COUNTIF(ARRAYFORMULA(HLOOKUP($B77, IMPORTRANGE('Prelim Rankings Unsorted'!$B$42, CONCAT(VLOOKUP($C77, 'Match Names'!$A$1:$D$22, 4, FALSE"&amp;"), ""!C3:R29"")), {5;11;17;23}, FALSE)), ""=4"") + COUNTIF(ARRAYFORMULA(HLOOKUP($B77, IMPORTRANGE('Match Names'!$E$23, CONCAT(VLOOKUP($C77, 'Match Names'!$1:$22, 5, FALSE), ""!C3:R29"")), {6;11;16;21}, FALSE)), ""=4"") + COUNTIF(ARRAYFORMULA(HLOOKUP($B77,"&amp;" IMPORTRANGE('Match Names'!$F$23, CONCAT(VLOOKUP($C77, 'Match Names'!$1:$22, 6, FALSE), ""!C3:R29"")), {5;11;17;23}, FALSE)), ""=4"") + COUNTIF(ARRAYFORMULA(HLOOKUP($B77, IMPORTRANGE('Match Names'!$G$23, CONCAT(VLOOKUP($C77, 'Match Names'!$1:$22, 7, FALSE"&amp;"), ""!C3:R29"")), {5;10;14;22}, FALSE)), ""=4"") + COUNTIF(ARRAYFORMULA(HLOOKUP($B77, IMPORTRANGE('Match Names'!$H$23, CONCAT(VLOOKUP($C77, 'Match Names'!$1:$22, 8, FALSE), ""!C3:R29"")), {5;11;17;23}, FALSE)), ""=4"")"),3.0)</f>
        <v>3</v>
      </c>
      <c r="F77" s="32">
        <f>IFERROR(__xludf.DUMMYFUNCTION("COUNTIF(ARRAYFORMULA(HLOOKUP($B77, IMPORTRANGE('Prelim Rankings Unsorted'!$B$40, CONCAT(VLOOKUP($C77, 'Match Names'!$A$1:$D$22, 2, FALSE), ""!C3:R29"")), {6;11;17;23}, FALSE)), ""=0"") + COUNTIF(ARRAYFORMULA(HLOOKUP($B77, IMPORTRANGE('Prelim Rankings Unso"&amp;"rted'!$B$41, CONCAT(VLOOKUP($C77, 'Match Names'!$A$1:$D$22, 3, FALSE), ""!C3:R29"")), {5;11;17;23}, FALSE)), ""=0"") + COUNTIF(ARRAYFORMULA(HLOOKUP($B77, IMPORTRANGE('Prelim Rankings Unsorted'!$B$42, CONCAT(VLOOKUP($C77, 'Match Names'!$A$1:$D$22, 4, FALSE"&amp;"), ""!C3:R29"")), {5;11;17;23}, FALSE)), ""=0"") + COUNTIF(ARRAYFORMULA(HLOOKUP($B77, IMPORTRANGE('Match Names'!$E$23, CONCAT(VLOOKUP($C77, 'Match Names'!$1:$22, 5, FALSE), ""!C3:R29"")), {6;11;16;21}, FALSE)), ""=0"") + COUNTIF(ARRAYFORMULA(HLOOKUP($B77,"&amp;" IMPORTRANGE('Match Names'!$F$23, CONCAT(VLOOKUP($C77, 'Match Names'!$1:$22, 6, FALSE), ""!C3:R29"")), {5;11;17;23}, FALSE)), ""=0"") + COUNTIF(ARRAYFORMULA(HLOOKUP($B77, IMPORTRANGE('Match Names'!$G$23, CONCAT(VLOOKUP($C77, 'Match Names'!$1:$22, 7, FALSE"&amp;"), ""!C3:R29"")), {5;10;14;22}, FALSE)), ""=0"") + COUNTIF(ARRAYFORMULA(HLOOKUP($B77, IMPORTRANGE('Match Names'!$H$23, CONCAT(VLOOKUP($C77, 'Match Names'!$1:$22, 8, FALSE), ""!C3:R29"")), {5;11;17;23}, FALSE)), ""=0"")"),1.0)</f>
        <v>1</v>
      </c>
      <c r="G77" s="32">
        <f>IFERROR(__xludf.DUMMYFUNCTION("COUNTIF(ARRAYFORMULA(HLOOKUP($B77, IMPORTRANGE('Prelim Rankings Unsorted'!$B$40, CONCAT(VLOOKUP($C77, 'Match Names'!$A$1:$D$22, 2, FALSE), ""!C3:R29"")), {6;11;17;23}, FALSE)), ""=-4"") + COUNTIF(ARRAYFORMULA(HLOOKUP($B77, IMPORTRANGE('Prelim Rankings Uns"&amp;"orted'!$B$41, CONCAT(VLOOKUP($C77, 'Match Names'!$A$1:$D$22, 3, FALSE), ""!C3:R29"")), {5;11;17;23}, FALSE)), ""=-4"") + COUNTIF(ARRAYFORMULA(HLOOKUP($B77, IMPORTRANGE('Prelim Rankings Unsorted'!$B$42, CONCAT(VLOOKUP($C77, 'Match Names'!$A$1:$D$22, 4, FAL"&amp;"SE), ""!C3:R29"")), {5;11;17;23}, FALSE)), ""=-4"") + COUNTIF(ARRAYFORMULA(HLOOKUP($B77, IMPORTRANGE('Match Names'!$E$23, CONCAT(VLOOKUP($C77, 'Match Names'!$1:$22, 5, FALSE), ""!C3:R29"")), {6;11;16;21}, FALSE)), ""=-4"") + COUNTIF(ARRAYFORMULA(HLOOKUP($"&amp;"B77, IMPORTRANGE('Match Names'!$F$23, CONCAT(VLOOKUP($C77, 'Match Names'!$1:$22, 6, FALSE), ""!C3:R29"")), {5;11;17;23}, FALSE)), ""=-4"") + COUNTIF(ARRAYFORMULA(HLOOKUP($B77, IMPORTRANGE('Match Names'!$G$23, CONCAT(VLOOKUP($C77, 'Match Names'!$1:$22, 7, "&amp;"FALSE), ""!C3:R29"")), {5;10;14;22}, FALSE)), ""=-4"") + COUNTIF(ARRAYFORMULA(HLOOKUP($B77, IMPORTRANGE('Match Names'!$H$23, CONCAT(VLOOKUP($C77, 'Match Names'!$1:$22, 8, FALSE), ""!C3:R29"")), {5;11;17;23}, FALSE)), ""=-4"")"),0.0)</f>
        <v>0</v>
      </c>
      <c r="H77" s="33">
        <f t="shared" si="2"/>
        <v>3</v>
      </c>
    </row>
    <row r="78">
      <c r="A78" s="21" t="s">
        <v>150</v>
      </c>
      <c r="B78" s="31" t="str">
        <f>VLOOKUP(CONCAT(A78, C78), 'Discord Username to Real Name'!C:D, 2, FALSE)</f>
        <v>aaron0109#6251</v>
      </c>
      <c r="C78" s="21" t="s">
        <v>23</v>
      </c>
      <c r="D78" s="32">
        <f>IFERROR(__xludf.DUMMYFUNCTION("(4 - COUNTIF(IFERROR(ARRAYFORMULA(HLOOKUP($B78, IMPORTRANGE('Prelim Rankings Unsorted'!$B$40, CONCAT(VLOOKUP($C78, 'Match Names'!$A$1:$D$22, 2, FALSE), ""!C3:R29"")), {6;11;17;23}, FALSE)), 'Player Overall Stats Unsorted'!$AA$9:$AA$12), ""=X"")) + (4 - CO"&amp;"UNTIF(IFERROR(ARRAYFORMULA(HLOOKUP($B78, IMPORTRANGE('Prelim Rankings Unsorted'!$B$41, CONCAT(VLOOKUP($C78, 'Match Names'!$A$1:$D$22, 3, FALSE), ""!C3:R29"")), {5;11;17;23}, FALSE)), 'Player Overall Stats Unsorted'!$AA$9:$AA$12), ""=X"")) + (4 - COUNTIF(I"&amp;"FERROR(ARRAYFORMULA(HLOOKUP($B78, IMPORTRANGE('Prelim Rankings Unsorted'!$B$42, CONCAT(VLOOKUP($C78, 'Match Names'!$A$1:$D$22, 4, FALSE), ""!C3:R29"")), {5;11;17;23}, FALSE)), 'Player Overall Stats Unsorted'!$AA$9:$AA$12), ""=X"")) + (4 - COUNTIF(IFERROR("&amp;"ARRAYFORMULA(HLOOKUP($B78, IMPORTRANGE('Match Names'!$E$23, CONCAT(VLOOKUP($C78, 'Match Names'!$1:$22, 5, FALSE), ""!C3:R29"")), {5;11;16;21}, FALSE)), 'Player Overall Stats Unsorted'!$AA$9:$AA$12), ""=X"")) + (4 - COUNTIF(IFERROR(ARRAYFORMULA(HLOOKUP($B7"&amp;"8, IMPORTRANGE('Match Names'!$F$23, CONCAT(VLOOKUP($C78, 'Match Names'!$1:$22, 6, FALSE), ""!C3:R29"")), {5;11;17;23}, FALSE)), 'Player Overall Stats Unsorted'!$AA$9:$AA$12), ""=X"")) + (4 - COUNTIF(IFERROR(ARRAYFORMULA(HLOOKUP($B78, IMPORTRANGE('Match Na"&amp;"mes'!$G$23, CONCAT(VLOOKUP($C78, 'Match Names'!$1:$22, 7, FALSE), ""!C3:R29"")), {5;10;14;23}, FALSE)), 'Player Overall Stats Unsorted'!$AA$9:$AA$12), ""=X"")) + (4 - COUNTIF(IFERROR(ARRAYFORMULA(HLOOKUP($B78, IMPORTRANGE('Match Names'!$H$23, CONCAT(VLOOK"&amp;"UP($C78, 'Match Names'!$1:$22, 8, FALSE), ""!C3:R29"")), {5;11;17;23}, FALSE)), 'Player Overall Stats Unsorted'!$AA$9:$AA$12), ""=X""))"),8.0)</f>
        <v>8</v>
      </c>
      <c r="E78" s="32">
        <f>IFERROR(__xludf.DUMMYFUNCTION("COUNTIF(ARRAYFORMULA(HLOOKUP($B78, IMPORTRANGE('Prelim Rankings Unsorted'!$B$40, CONCAT(VLOOKUP($C78, 'Match Names'!$A$1:$D$22, 2, FALSE), ""!C3:R29"")), {6;11;17;23}, FALSE)), ""=4"") + COUNTIF(ARRAYFORMULA(HLOOKUP($B78, IMPORTRANGE('Prelim Rankings Unso"&amp;"rted'!$B$41, CONCAT(VLOOKUP($C78, 'Match Names'!$A$1:$D$22, 3, FALSE), ""!C3:R29"")), {5;11;17;23}, FALSE)), ""=4"") + COUNTIF(ARRAYFORMULA(HLOOKUP($B78, IMPORTRANGE('Prelim Rankings Unsorted'!$B$42, CONCAT(VLOOKUP($C78, 'Match Names'!$A$1:$D$22, 4, FALSE"&amp;"), ""!C3:R29"")), {5;11;17;23}, FALSE)), ""=4"") + COUNTIF(ARRAYFORMULA(HLOOKUP($B78, IMPORTRANGE('Match Names'!$E$23, CONCAT(VLOOKUP($C78, 'Match Names'!$1:$22, 5, FALSE), ""!C3:R29"")), {6;11;16;21}, FALSE)), ""=4"") + COUNTIF(ARRAYFORMULA(HLOOKUP($B78,"&amp;" IMPORTRANGE('Match Names'!$F$23, CONCAT(VLOOKUP($C78, 'Match Names'!$1:$22, 6, FALSE), ""!C3:R29"")), {5;11;17;23}, FALSE)), ""=4"") + COUNTIF(ARRAYFORMULA(HLOOKUP($B78, IMPORTRANGE('Match Names'!$G$23, CONCAT(VLOOKUP($C78, 'Match Names'!$1:$22, 7, FALSE"&amp;"), ""!C3:R29"")), {5;10;14;22}, FALSE)), ""=4"") + COUNTIF(ARRAYFORMULA(HLOOKUP($B78, IMPORTRANGE('Match Names'!$H$23, CONCAT(VLOOKUP($C78, 'Match Names'!$1:$22, 8, FALSE), ""!C3:R29"")), {5;11;17;23}, FALSE)), ""=4"")"),2.0)</f>
        <v>2</v>
      </c>
      <c r="F78" s="32">
        <f>IFERROR(__xludf.DUMMYFUNCTION("COUNTIF(ARRAYFORMULA(HLOOKUP($B78, IMPORTRANGE('Prelim Rankings Unsorted'!$B$40, CONCAT(VLOOKUP($C78, 'Match Names'!$A$1:$D$22, 2, FALSE), ""!C3:R29"")), {6;11;17;23}, FALSE)), ""=0"") + COUNTIF(ARRAYFORMULA(HLOOKUP($B78, IMPORTRANGE('Prelim Rankings Unso"&amp;"rted'!$B$41, CONCAT(VLOOKUP($C78, 'Match Names'!$A$1:$D$22, 3, FALSE), ""!C3:R29"")), {5;11;17;23}, FALSE)), ""=0"") + COUNTIF(ARRAYFORMULA(HLOOKUP($B78, IMPORTRANGE('Prelim Rankings Unsorted'!$B$42, CONCAT(VLOOKUP($C78, 'Match Names'!$A$1:$D$22, 4, FALSE"&amp;"), ""!C3:R29"")), {5;11;17;23}, FALSE)), ""=0"") + COUNTIF(ARRAYFORMULA(HLOOKUP($B78, IMPORTRANGE('Match Names'!$E$23, CONCAT(VLOOKUP($C78, 'Match Names'!$1:$22, 5, FALSE), ""!C3:R29"")), {6;11;16;21}, FALSE)), ""=0"") + COUNTIF(ARRAYFORMULA(HLOOKUP($B78,"&amp;" IMPORTRANGE('Match Names'!$F$23, CONCAT(VLOOKUP($C78, 'Match Names'!$1:$22, 6, FALSE), ""!C3:R29"")), {5;11;17;23}, FALSE)), ""=0"") + COUNTIF(ARRAYFORMULA(HLOOKUP($B78, IMPORTRANGE('Match Names'!$G$23, CONCAT(VLOOKUP($C78, 'Match Names'!$1:$22, 7, FALSE"&amp;"), ""!C3:R29"")), {5;10;14;22}, FALSE)), ""=0"") + COUNTIF(ARRAYFORMULA(HLOOKUP($B78, IMPORTRANGE('Match Names'!$H$23, CONCAT(VLOOKUP($C78, 'Match Names'!$1:$22, 8, FALSE), ""!C3:R29"")), {5;11;17;23}, FALSE)), ""=0"")"),0.0)</f>
        <v>0</v>
      </c>
      <c r="G78" s="32">
        <f>IFERROR(__xludf.DUMMYFUNCTION("COUNTIF(ARRAYFORMULA(HLOOKUP($B78, IMPORTRANGE('Prelim Rankings Unsorted'!$B$40, CONCAT(VLOOKUP($C78, 'Match Names'!$A$1:$D$22, 2, FALSE), ""!C3:R29"")), {6;11;17;23}, FALSE)), ""=-4"") + COUNTIF(ARRAYFORMULA(HLOOKUP($B78, IMPORTRANGE('Prelim Rankings Uns"&amp;"orted'!$B$41, CONCAT(VLOOKUP($C78, 'Match Names'!$A$1:$D$22, 3, FALSE), ""!C3:R29"")), {5;11;17;23}, FALSE)), ""=-4"") + COUNTIF(ARRAYFORMULA(HLOOKUP($B78, IMPORTRANGE('Prelim Rankings Unsorted'!$B$42, CONCAT(VLOOKUP($C78, 'Match Names'!$A$1:$D$22, 4, FAL"&amp;"SE), ""!C3:R29"")), {5;11;17;23}, FALSE)), ""=-4"") + COUNTIF(ARRAYFORMULA(HLOOKUP($B78, IMPORTRANGE('Match Names'!$E$23, CONCAT(VLOOKUP($C78, 'Match Names'!$1:$22, 5, FALSE), ""!C3:R29"")), {6;11;16;21}, FALSE)), ""=-4"") + COUNTIF(ARRAYFORMULA(HLOOKUP($"&amp;"B78, IMPORTRANGE('Match Names'!$F$23, CONCAT(VLOOKUP($C78, 'Match Names'!$1:$22, 6, FALSE), ""!C3:R29"")), {5;11;17;23}, FALSE)), ""=-4"") + COUNTIF(ARRAYFORMULA(HLOOKUP($B78, IMPORTRANGE('Match Names'!$G$23, CONCAT(VLOOKUP($C78, 'Match Names'!$1:$22, 7, "&amp;"FALSE), ""!C3:R29"")), {5;10;14;22}, FALSE)), ""=-4"") + COUNTIF(ARRAYFORMULA(HLOOKUP($B78, IMPORTRANGE('Match Names'!$H$23, CONCAT(VLOOKUP($C78, 'Match Names'!$1:$22, 8, FALSE), ""!C3:R29"")), {5;11;17;23}, FALSE)), ""=-4"")"),0.0)</f>
        <v>0</v>
      </c>
      <c r="H78" s="33">
        <f t="shared" si="2"/>
        <v>4</v>
      </c>
    </row>
    <row r="79">
      <c r="A79" s="21" t="s">
        <v>49</v>
      </c>
      <c r="B79" s="31" t="str">
        <f>VLOOKUP(CONCAT(A79, C79), 'Discord Username to Real Name'!C:D, 2, FALSE)</f>
        <v>avani#8445</v>
      </c>
      <c r="C79" s="21" t="s">
        <v>23</v>
      </c>
      <c r="D79" s="32">
        <f>IFERROR(__xludf.DUMMYFUNCTION("(4 - COUNTIF(IFERROR(ARRAYFORMULA(HLOOKUP($B79, IMPORTRANGE('Prelim Rankings Unsorted'!$B$40, CONCAT(VLOOKUP($C79, 'Match Names'!$A$1:$D$22, 2, FALSE), ""!C3:R29"")), {6;11;17;23}, FALSE)), 'Player Overall Stats Unsorted'!$AA$9:$AA$12), ""=X"")) + (4 - CO"&amp;"UNTIF(IFERROR(ARRAYFORMULA(HLOOKUP($B79, IMPORTRANGE('Prelim Rankings Unsorted'!$B$41, CONCAT(VLOOKUP($C79, 'Match Names'!$A$1:$D$22, 3, FALSE), ""!C3:R29"")), {5;11;17;23}, FALSE)), 'Player Overall Stats Unsorted'!$AA$9:$AA$12), ""=X"")) + (4 - COUNTIF(I"&amp;"FERROR(ARRAYFORMULA(HLOOKUP($B79, IMPORTRANGE('Prelim Rankings Unsorted'!$B$42, CONCAT(VLOOKUP($C79, 'Match Names'!$A$1:$D$22, 4, FALSE), ""!C3:R29"")), {5;11;17;23}, FALSE)), 'Player Overall Stats Unsorted'!$AA$9:$AA$12), ""=X"")) + (4 - COUNTIF(IFERROR("&amp;"ARRAYFORMULA(HLOOKUP($B79, IMPORTRANGE('Match Names'!$E$23, CONCAT(VLOOKUP($C79, 'Match Names'!$1:$22, 5, FALSE), ""!C3:R29"")), {5;11;16;21}, FALSE)), 'Player Overall Stats Unsorted'!$AA$9:$AA$12), ""=X"")) + (4 - COUNTIF(IFERROR(ARRAYFORMULA(HLOOKUP($B7"&amp;"9, IMPORTRANGE('Match Names'!$F$23, CONCAT(VLOOKUP($C79, 'Match Names'!$1:$22, 6, FALSE), ""!C3:R29"")), {5;11;17;23}, FALSE)), 'Player Overall Stats Unsorted'!$AA$9:$AA$12), ""=X"")) + (4 - COUNTIF(IFERROR(ARRAYFORMULA(HLOOKUP($B79, IMPORTRANGE('Match Na"&amp;"mes'!$G$23, CONCAT(VLOOKUP($C79, 'Match Names'!$1:$22, 7, FALSE), ""!C3:R29"")), {5;10;14;23}, FALSE)), 'Player Overall Stats Unsorted'!$AA$9:$AA$12), ""=X"")) + (4 - COUNTIF(IFERROR(ARRAYFORMULA(HLOOKUP($B79, IMPORTRANGE('Match Names'!$H$23, CONCAT(VLOOK"&amp;"UP($C79, 'Match Names'!$1:$22, 8, FALSE), ""!C3:R29"")), {5;11;17;23}, FALSE)), 'Player Overall Stats Unsorted'!$AA$9:$AA$12), ""=X""))"),20.0)</f>
        <v>20</v>
      </c>
      <c r="E79" s="32">
        <f>IFERROR(__xludf.DUMMYFUNCTION("COUNTIF(ARRAYFORMULA(HLOOKUP($B79, IMPORTRANGE('Prelim Rankings Unsorted'!$B$40, CONCAT(VLOOKUP($C79, 'Match Names'!$A$1:$D$22, 2, FALSE), ""!C3:R29"")), {6;11;17;23}, FALSE)), ""=4"") + COUNTIF(ARRAYFORMULA(HLOOKUP($B79, IMPORTRANGE('Prelim Rankings Unso"&amp;"rted'!$B$41, CONCAT(VLOOKUP($C79, 'Match Names'!$A$1:$D$22, 3, FALSE), ""!C3:R29"")), {5;11;17;23}, FALSE)), ""=4"") + COUNTIF(ARRAYFORMULA(HLOOKUP($B79, IMPORTRANGE('Prelim Rankings Unsorted'!$B$42, CONCAT(VLOOKUP($C79, 'Match Names'!$A$1:$D$22, 4, FALSE"&amp;"), ""!C3:R29"")), {5;11;17;23}, FALSE)), ""=4"") + COUNTIF(ARRAYFORMULA(HLOOKUP($B79, IMPORTRANGE('Match Names'!$E$23, CONCAT(VLOOKUP($C79, 'Match Names'!$1:$22, 5, FALSE), ""!C3:R29"")), {6;11;16;21}, FALSE)), ""=4"") + COUNTIF(ARRAYFORMULA(HLOOKUP($B79,"&amp;" IMPORTRANGE('Match Names'!$F$23, CONCAT(VLOOKUP($C79, 'Match Names'!$1:$22, 6, FALSE), ""!C3:R29"")), {5;11;17;23}, FALSE)), ""=4"") + COUNTIF(ARRAYFORMULA(HLOOKUP($B79, IMPORTRANGE('Match Names'!$G$23, CONCAT(VLOOKUP($C79, 'Match Names'!$1:$22, 7, FALSE"&amp;"), ""!C3:R29"")), {5;10;14;22}, FALSE)), ""=4"") + COUNTIF(ARRAYFORMULA(HLOOKUP($B79, IMPORTRANGE('Match Names'!$H$23, CONCAT(VLOOKUP($C79, 'Match Names'!$1:$22, 8, FALSE), ""!C3:R29"")), {5;11;17;23}, FALSE)), ""=4"")"),1.0)</f>
        <v>1</v>
      </c>
      <c r="F79" s="32">
        <f>IFERROR(__xludf.DUMMYFUNCTION("COUNTIF(ARRAYFORMULA(HLOOKUP($B79, IMPORTRANGE('Prelim Rankings Unsorted'!$B$40, CONCAT(VLOOKUP($C79, 'Match Names'!$A$1:$D$22, 2, FALSE), ""!C3:R29"")), {6;11;17;23}, FALSE)), ""=0"") + COUNTIF(ARRAYFORMULA(HLOOKUP($B79, IMPORTRANGE('Prelim Rankings Unso"&amp;"rted'!$B$41, CONCAT(VLOOKUP($C79, 'Match Names'!$A$1:$D$22, 3, FALSE), ""!C3:R29"")), {5;11;17;23}, FALSE)), ""=0"") + COUNTIF(ARRAYFORMULA(HLOOKUP($B79, IMPORTRANGE('Prelim Rankings Unsorted'!$B$42, CONCAT(VLOOKUP($C79, 'Match Names'!$A$1:$D$22, 4, FALSE"&amp;"), ""!C3:R29"")), {5;11;17;23}, FALSE)), ""=0"") + COUNTIF(ARRAYFORMULA(HLOOKUP($B79, IMPORTRANGE('Match Names'!$E$23, CONCAT(VLOOKUP($C79, 'Match Names'!$1:$22, 5, FALSE), ""!C3:R29"")), {6;11;16;21}, FALSE)), ""=0"") + COUNTIF(ARRAYFORMULA(HLOOKUP($B79,"&amp;" IMPORTRANGE('Match Names'!$F$23, CONCAT(VLOOKUP($C79, 'Match Names'!$1:$22, 6, FALSE), ""!C3:R29"")), {5;11;17;23}, FALSE)), ""=0"") + COUNTIF(ARRAYFORMULA(HLOOKUP($B79, IMPORTRANGE('Match Names'!$G$23, CONCAT(VLOOKUP($C79, 'Match Names'!$1:$22, 7, FALSE"&amp;"), ""!C3:R29"")), {5;10;14;22}, FALSE)), ""=0"") + COUNTIF(ARRAYFORMULA(HLOOKUP($B79, IMPORTRANGE('Match Names'!$H$23, CONCAT(VLOOKUP($C79, 'Match Names'!$1:$22, 8, FALSE), ""!C3:R29"")), {5;11;17;23}, FALSE)), ""=0"")"),1.0)</f>
        <v>1</v>
      </c>
      <c r="G79" s="32">
        <f>IFERROR(__xludf.DUMMYFUNCTION("COUNTIF(ARRAYFORMULA(HLOOKUP($B79, IMPORTRANGE('Prelim Rankings Unsorted'!$B$40, CONCAT(VLOOKUP($C79, 'Match Names'!$A$1:$D$22, 2, FALSE), ""!C3:R29"")), {6;11;17;23}, FALSE)), ""=-4"") + COUNTIF(ARRAYFORMULA(HLOOKUP($B79, IMPORTRANGE('Prelim Rankings Uns"&amp;"orted'!$B$41, CONCAT(VLOOKUP($C79, 'Match Names'!$A$1:$D$22, 3, FALSE), ""!C3:R29"")), {5;11;17;23}, FALSE)), ""=-4"") + COUNTIF(ARRAYFORMULA(HLOOKUP($B79, IMPORTRANGE('Prelim Rankings Unsorted'!$B$42, CONCAT(VLOOKUP($C79, 'Match Names'!$A$1:$D$22, 4, FAL"&amp;"SE), ""!C3:R29"")), {5;11;17;23}, FALSE)), ""=-4"") + COUNTIF(ARRAYFORMULA(HLOOKUP($B79, IMPORTRANGE('Match Names'!$E$23, CONCAT(VLOOKUP($C79, 'Match Names'!$1:$22, 5, FALSE), ""!C3:R29"")), {6;11;16;21}, FALSE)), ""=-4"") + COUNTIF(ARRAYFORMULA(HLOOKUP($"&amp;"B79, IMPORTRANGE('Match Names'!$F$23, CONCAT(VLOOKUP($C79, 'Match Names'!$1:$22, 6, FALSE), ""!C3:R29"")), {5;11;17;23}, FALSE)), ""=-4"") + COUNTIF(ARRAYFORMULA(HLOOKUP($B79, IMPORTRANGE('Match Names'!$G$23, CONCAT(VLOOKUP($C79, 'Match Names'!$1:$22, 7, "&amp;"FALSE), ""!C3:R29"")), {5;10;14;22}, FALSE)), ""=-4"") + COUNTIF(ARRAYFORMULA(HLOOKUP($B79, IMPORTRANGE('Match Names'!$H$23, CONCAT(VLOOKUP($C79, 'Match Names'!$1:$22, 8, FALSE), ""!C3:R29"")), {5;11;17;23}, FALSE)), ""=-4"")"),0.0)</f>
        <v>0</v>
      </c>
      <c r="H79" s="33">
        <f t="shared" si="2"/>
        <v>0.8</v>
      </c>
    </row>
    <row r="80">
      <c r="A80" s="21" t="s">
        <v>142</v>
      </c>
      <c r="B80" s="31" t="str">
        <f>VLOOKUP(CONCAT(A80, C80), 'Discord Username to Real Name'!C:D, 2, FALSE)</f>
        <v>Char#5513</v>
      </c>
      <c r="C80" s="21" t="s">
        <v>23</v>
      </c>
      <c r="D80" s="32">
        <f>IFERROR(__xludf.DUMMYFUNCTION("(4 - COUNTIF(IFERROR(ARRAYFORMULA(HLOOKUP($B80, IMPORTRANGE('Prelim Rankings Unsorted'!$B$40, CONCAT(VLOOKUP($C80, 'Match Names'!$A$1:$D$22, 2, FALSE), ""!C3:R29"")), {6;11;17;23}, FALSE)), 'Player Overall Stats Unsorted'!$AA$9:$AA$12), ""=X"")) + (4 - CO"&amp;"UNTIF(IFERROR(ARRAYFORMULA(HLOOKUP($B80, IMPORTRANGE('Prelim Rankings Unsorted'!$B$41, CONCAT(VLOOKUP($C80, 'Match Names'!$A$1:$D$22, 3, FALSE), ""!C3:R29"")), {5;11;17;23}, FALSE)), 'Player Overall Stats Unsorted'!$AA$9:$AA$12), ""=X"")) + (4 - COUNTIF(I"&amp;"FERROR(ARRAYFORMULA(HLOOKUP($B80, IMPORTRANGE('Prelim Rankings Unsorted'!$B$42, CONCAT(VLOOKUP($C80, 'Match Names'!$A$1:$D$22, 4, FALSE), ""!C3:R29"")), {5;11;17;23}, FALSE)), 'Player Overall Stats Unsorted'!$AA$9:$AA$12), ""=X"")) + (4 - COUNTIF(IFERROR("&amp;"ARRAYFORMULA(HLOOKUP($B80, IMPORTRANGE('Match Names'!$E$23, CONCAT(VLOOKUP($C80, 'Match Names'!$1:$22, 5, FALSE), ""!C3:R29"")), {5;11;16;21}, FALSE)), 'Player Overall Stats Unsorted'!$AA$9:$AA$12), ""=X"")) + (4 - COUNTIF(IFERROR(ARRAYFORMULA(HLOOKUP($B8"&amp;"0, IMPORTRANGE('Match Names'!$F$23, CONCAT(VLOOKUP($C80, 'Match Names'!$1:$22, 6, FALSE), ""!C3:R29"")), {5;11;17;23}, FALSE)), 'Player Overall Stats Unsorted'!$AA$9:$AA$12), ""=X"")) + (4 - COUNTIF(IFERROR(ARRAYFORMULA(HLOOKUP($B80, IMPORTRANGE('Match Na"&amp;"mes'!$G$23, CONCAT(VLOOKUP($C80, 'Match Names'!$1:$22, 7, FALSE), ""!C3:R29"")), {5;10;14;23}, FALSE)), 'Player Overall Stats Unsorted'!$AA$9:$AA$12), ""=X"")) + (4 - COUNTIF(IFERROR(ARRAYFORMULA(HLOOKUP($B80, IMPORTRANGE('Match Names'!$H$23, CONCAT(VLOOK"&amp;"UP($C80, 'Match Names'!$1:$22, 8, FALSE), ""!C3:R29"")), {5;11;17;23}, FALSE)), 'Player Overall Stats Unsorted'!$AA$9:$AA$12), ""=X""))"),16.0)</f>
        <v>16</v>
      </c>
      <c r="E80" s="32">
        <f>IFERROR(__xludf.DUMMYFUNCTION("COUNTIF(ARRAYFORMULA(HLOOKUP($B80, IMPORTRANGE('Prelim Rankings Unsorted'!$B$40, CONCAT(VLOOKUP($C80, 'Match Names'!$A$1:$D$22, 2, FALSE), ""!C3:R29"")), {6;11;17;23}, FALSE)), ""=4"") + COUNTIF(ARRAYFORMULA(HLOOKUP($B80, IMPORTRANGE('Prelim Rankings Unso"&amp;"rted'!$B$41, CONCAT(VLOOKUP($C80, 'Match Names'!$A$1:$D$22, 3, FALSE), ""!C3:R29"")), {5;11;17;23}, FALSE)), ""=4"") + COUNTIF(ARRAYFORMULA(HLOOKUP($B80, IMPORTRANGE('Prelim Rankings Unsorted'!$B$42, CONCAT(VLOOKUP($C80, 'Match Names'!$A$1:$D$22, 4, FALSE"&amp;"), ""!C3:R29"")), {5;11;17;23}, FALSE)), ""=4"") + COUNTIF(ARRAYFORMULA(HLOOKUP($B80, IMPORTRANGE('Match Names'!$E$23, CONCAT(VLOOKUP($C80, 'Match Names'!$1:$22, 5, FALSE), ""!C3:R29"")), {6;11;16;21}, FALSE)), ""=4"") + COUNTIF(ARRAYFORMULA(HLOOKUP($B80,"&amp;" IMPORTRANGE('Match Names'!$F$23, CONCAT(VLOOKUP($C80, 'Match Names'!$1:$22, 6, FALSE), ""!C3:R29"")), {5;11;17;23}, FALSE)), ""=4"") + COUNTIF(ARRAYFORMULA(HLOOKUP($B80, IMPORTRANGE('Match Names'!$G$23, CONCAT(VLOOKUP($C80, 'Match Names'!$1:$22, 7, FALSE"&amp;"), ""!C3:R29"")), {5;10;14;22}, FALSE)), ""=4"") + COUNTIF(ARRAYFORMULA(HLOOKUP($B80, IMPORTRANGE('Match Names'!$H$23, CONCAT(VLOOKUP($C80, 'Match Names'!$1:$22, 8, FALSE), ""!C3:R29"")), {5;11;17;23}, FALSE)), ""=4"")"),0.0)</f>
        <v>0</v>
      </c>
      <c r="F80" s="32">
        <f>IFERROR(__xludf.DUMMYFUNCTION("COUNTIF(ARRAYFORMULA(HLOOKUP($B80, IMPORTRANGE('Prelim Rankings Unsorted'!$B$40, CONCAT(VLOOKUP($C80, 'Match Names'!$A$1:$D$22, 2, FALSE), ""!C3:R29"")), {6;11;17;23}, FALSE)), ""=0"") + COUNTIF(ARRAYFORMULA(HLOOKUP($B80, IMPORTRANGE('Prelim Rankings Unso"&amp;"rted'!$B$41, CONCAT(VLOOKUP($C80, 'Match Names'!$A$1:$D$22, 3, FALSE), ""!C3:R29"")), {5;11;17;23}, FALSE)), ""=0"") + COUNTIF(ARRAYFORMULA(HLOOKUP($B80, IMPORTRANGE('Prelim Rankings Unsorted'!$B$42, CONCAT(VLOOKUP($C80, 'Match Names'!$A$1:$D$22, 4, FALSE"&amp;"), ""!C3:R29"")), {5;11;17;23}, FALSE)), ""=0"") + COUNTIF(ARRAYFORMULA(HLOOKUP($B80, IMPORTRANGE('Match Names'!$E$23, CONCAT(VLOOKUP($C80, 'Match Names'!$1:$22, 5, FALSE), ""!C3:R29"")), {6;11;16;21}, FALSE)), ""=0"") + COUNTIF(ARRAYFORMULA(HLOOKUP($B80,"&amp;" IMPORTRANGE('Match Names'!$F$23, CONCAT(VLOOKUP($C80, 'Match Names'!$1:$22, 6, FALSE), ""!C3:R29"")), {5;11;17;23}, FALSE)), ""=0"") + COUNTIF(ARRAYFORMULA(HLOOKUP($B80, IMPORTRANGE('Match Names'!$G$23, CONCAT(VLOOKUP($C80, 'Match Names'!$1:$22, 7, FALSE"&amp;"), ""!C3:R29"")), {5;10;14;22}, FALSE)), ""=0"") + COUNTIF(ARRAYFORMULA(HLOOKUP($B80, IMPORTRANGE('Match Names'!$H$23, CONCAT(VLOOKUP($C80, 'Match Names'!$1:$22, 8, FALSE), ""!C3:R29"")), {5;11;17;23}, FALSE)), ""=0"")"),0.0)</f>
        <v>0</v>
      </c>
      <c r="G80" s="32">
        <f>IFERROR(__xludf.DUMMYFUNCTION("COUNTIF(ARRAYFORMULA(HLOOKUP($B80, IMPORTRANGE('Prelim Rankings Unsorted'!$B$40, CONCAT(VLOOKUP($C80, 'Match Names'!$A$1:$D$22, 2, FALSE), ""!C3:R29"")), {6;11;17;23}, FALSE)), ""=-4"") + COUNTIF(ARRAYFORMULA(HLOOKUP($B80, IMPORTRANGE('Prelim Rankings Uns"&amp;"orted'!$B$41, CONCAT(VLOOKUP($C80, 'Match Names'!$A$1:$D$22, 3, FALSE), ""!C3:R29"")), {5;11;17;23}, FALSE)), ""=-4"") + COUNTIF(ARRAYFORMULA(HLOOKUP($B80, IMPORTRANGE('Prelim Rankings Unsorted'!$B$42, CONCAT(VLOOKUP($C80, 'Match Names'!$A$1:$D$22, 4, FAL"&amp;"SE), ""!C3:R29"")), {5;11;17;23}, FALSE)), ""=-4"") + COUNTIF(ARRAYFORMULA(HLOOKUP($B80, IMPORTRANGE('Match Names'!$E$23, CONCAT(VLOOKUP($C80, 'Match Names'!$1:$22, 5, FALSE), ""!C3:R29"")), {6;11;16;21}, FALSE)), ""=-4"") + COUNTIF(ARRAYFORMULA(HLOOKUP($"&amp;"B80, IMPORTRANGE('Match Names'!$F$23, CONCAT(VLOOKUP($C80, 'Match Names'!$1:$22, 6, FALSE), ""!C3:R29"")), {5;11;17;23}, FALSE)), ""=-4"") + COUNTIF(ARRAYFORMULA(HLOOKUP($B80, IMPORTRANGE('Match Names'!$G$23, CONCAT(VLOOKUP($C80, 'Match Names'!$1:$22, 7, "&amp;"FALSE), ""!C3:R29"")), {5;10;14;22}, FALSE)), ""=-4"") + COUNTIF(ARRAYFORMULA(HLOOKUP($B80, IMPORTRANGE('Match Names'!$H$23, CONCAT(VLOOKUP($C80, 'Match Names'!$1:$22, 8, FALSE), ""!C3:R29"")), {5;11;17;23}, FALSE)), ""=-4"")"),0.0)</f>
        <v>0</v>
      </c>
      <c r="H80" s="33">
        <f t="shared" si="2"/>
        <v>0</v>
      </c>
    </row>
    <row r="81">
      <c r="A81" s="21" t="s">
        <v>102</v>
      </c>
      <c r="B81" s="31" t="str">
        <f>VLOOKUP(CONCAT(A81, C81), 'Discord Username to Real Name'!C:D, 2, FALSE)</f>
        <v>Weber_Lin#5389</v>
      </c>
      <c r="C81" s="21" t="s">
        <v>23</v>
      </c>
      <c r="D81" s="32">
        <f>IFERROR(__xludf.DUMMYFUNCTION("(4 - COUNTIF(IFERROR(ARRAYFORMULA(HLOOKUP($B81, IMPORTRANGE('Prelim Rankings Unsorted'!$B$40, CONCAT(VLOOKUP($C81, 'Match Names'!$A$1:$D$22, 2, FALSE), ""!C3:R29"")), {6;11;17;23}, FALSE)), 'Player Overall Stats Unsorted'!$AA$9:$AA$12), ""=X"")) + (4 - CO"&amp;"UNTIF(IFERROR(ARRAYFORMULA(HLOOKUP($B81, IMPORTRANGE('Prelim Rankings Unsorted'!$B$41, CONCAT(VLOOKUP($C81, 'Match Names'!$A$1:$D$22, 3, FALSE), ""!C3:R29"")), {5;11;17;23}, FALSE)), 'Player Overall Stats Unsorted'!$AA$9:$AA$12), ""=X"")) + (4 - COUNTIF(I"&amp;"FERROR(ARRAYFORMULA(HLOOKUP($B81, IMPORTRANGE('Prelim Rankings Unsorted'!$B$42, CONCAT(VLOOKUP($C81, 'Match Names'!$A$1:$D$22, 4, FALSE), ""!C3:R29"")), {5;11;17;23}, FALSE)), 'Player Overall Stats Unsorted'!$AA$9:$AA$12), ""=X"")) + (4 - COUNTIF(IFERROR("&amp;"ARRAYFORMULA(HLOOKUP($B81, IMPORTRANGE('Match Names'!$E$23, CONCAT(VLOOKUP($C81, 'Match Names'!$1:$22, 5, FALSE), ""!C3:R29"")), {5;11;16;21}, FALSE)), 'Player Overall Stats Unsorted'!$AA$9:$AA$12), ""=X"")) + (4 - COUNTIF(IFERROR(ARRAYFORMULA(HLOOKUP($B8"&amp;"1, IMPORTRANGE('Match Names'!$F$23, CONCAT(VLOOKUP($C81, 'Match Names'!$1:$22, 6, FALSE), ""!C3:R29"")), {5;11;17;23}, FALSE)), 'Player Overall Stats Unsorted'!$AA$9:$AA$12), ""=X"")) + (4 - COUNTIF(IFERROR(ARRAYFORMULA(HLOOKUP($B81, IMPORTRANGE('Match Na"&amp;"mes'!$G$23, CONCAT(VLOOKUP($C81, 'Match Names'!$1:$22, 7, FALSE), ""!C3:R29"")), {5;10;14;23}, FALSE)), 'Player Overall Stats Unsorted'!$AA$9:$AA$12), ""=X"")) + (4 - COUNTIF(IFERROR(ARRAYFORMULA(HLOOKUP($B81, IMPORTRANGE('Match Names'!$H$23, CONCAT(VLOOK"&amp;"UP($C81, 'Match Names'!$1:$22, 8, FALSE), ""!C3:R29"")), {5;11;17;23}, FALSE)), 'Player Overall Stats Unsorted'!$AA$9:$AA$12), ""=X""))"),20.0)</f>
        <v>20</v>
      </c>
      <c r="E81" s="32">
        <f>IFERROR(__xludf.DUMMYFUNCTION("COUNTIF(ARRAYFORMULA(HLOOKUP($B81, IMPORTRANGE('Prelim Rankings Unsorted'!$B$40, CONCAT(VLOOKUP($C81, 'Match Names'!$A$1:$D$22, 2, FALSE), ""!C3:R29"")), {6;11;17;23}, FALSE)), ""=4"") + COUNTIF(ARRAYFORMULA(HLOOKUP($B81, IMPORTRANGE('Prelim Rankings Unso"&amp;"rted'!$B$41, CONCAT(VLOOKUP($C81, 'Match Names'!$A$1:$D$22, 3, FALSE), ""!C3:R29"")), {5;11;17;23}, FALSE)), ""=4"") + COUNTIF(ARRAYFORMULA(HLOOKUP($B81, IMPORTRANGE('Prelim Rankings Unsorted'!$B$42, CONCAT(VLOOKUP($C81, 'Match Names'!$A$1:$D$22, 4, FALSE"&amp;"), ""!C3:R29"")), {5;11;17;23}, FALSE)), ""=4"") + COUNTIF(ARRAYFORMULA(HLOOKUP($B81, IMPORTRANGE('Match Names'!$E$23, CONCAT(VLOOKUP($C81, 'Match Names'!$1:$22, 5, FALSE), ""!C3:R29"")), {6;11;16;21}, FALSE)), ""=4"") + COUNTIF(ARRAYFORMULA(HLOOKUP($B81,"&amp;" IMPORTRANGE('Match Names'!$F$23, CONCAT(VLOOKUP($C81, 'Match Names'!$1:$22, 6, FALSE), ""!C3:R29"")), {5;11;17;23}, FALSE)), ""=4"") + COUNTIF(ARRAYFORMULA(HLOOKUP($B81, IMPORTRANGE('Match Names'!$G$23, CONCAT(VLOOKUP($C81, 'Match Names'!$1:$22, 7, FALSE"&amp;"), ""!C3:R29"")), {5;10;14;22}, FALSE)), ""=4"") + COUNTIF(ARRAYFORMULA(HLOOKUP($B81, IMPORTRANGE('Match Names'!$H$23, CONCAT(VLOOKUP($C81, 'Match Names'!$1:$22, 8, FALSE), ""!C3:R29"")), {5;11;17;23}, FALSE)), ""=4"")"),0.0)</f>
        <v>0</v>
      </c>
      <c r="F81" s="32">
        <f>IFERROR(__xludf.DUMMYFUNCTION("COUNTIF(ARRAYFORMULA(HLOOKUP($B81, IMPORTRANGE('Prelim Rankings Unsorted'!$B$40, CONCAT(VLOOKUP($C81, 'Match Names'!$A$1:$D$22, 2, FALSE), ""!C3:R29"")), {6;11;17;23}, FALSE)), ""=0"") + COUNTIF(ARRAYFORMULA(HLOOKUP($B81, IMPORTRANGE('Prelim Rankings Unso"&amp;"rted'!$B$41, CONCAT(VLOOKUP($C81, 'Match Names'!$A$1:$D$22, 3, FALSE), ""!C3:R29"")), {5;11;17;23}, FALSE)), ""=0"") + COUNTIF(ARRAYFORMULA(HLOOKUP($B81, IMPORTRANGE('Prelim Rankings Unsorted'!$B$42, CONCAT(VLOOKUP($C81, 'Match Names'!$A$1:$D$22, 4, FALSE"&amp;"), ""!C3:R29"")), {5;11;17;23}, FALSE)), ""=0"") + COUNTIF(ARRAYFORMULA(HLOOKUP($B81, IMPORTRANGE('Match Names'!$E$23, CONCAT(VLOOKUP($C81, 'Match Names'!$1:$22, 5, FALSE), ""!C3:R29"")), {6;11;16;21}, FALSE)), ""=0"") + COUNTIF(ARRAYFORMULA(HLOOKUP($B81,"&amp;" IMPORTRANGE('Match Names'!$F$23, CONCAT(VLOOKUP($C81, 'Match Names'!$1:$22, 6, FALSE), ""!C3:R29"")), {5;11;17;23}, FALSE)), ""=0"") + COUNTIF(ARRAYFORMULA(HLOOKUP($B81, IMPORTRANGE('Match Names'!$G$23, CONCAT(VLOOKUP($C81, 'Match Names'!$1:$22, 7, FALSE"&amp;"), ""!C3:R29"")), {5;10;14;22}, FALSE)), ""=0"") + COUNTIF(ARRAYFORMULA(HLOOKUP($B81, IMPORTRANGE('Match Names'!$H$23, CONCAT(VLOOKUP($C81, 'Match Names'!$1:$22, 8, FALSE), ""!C3:R29"")), {5;11;17;23}, FALSE)), ""=0"")"),2.0)</f>
        <v>2</v>
      </c>
      <c r="G81" s="32">
        <f>IFERROR(__xludf.DUMMYFUNCTION("COUNTIF(ARRAYFORMULA(HLOOKUP($B81, IMPORTRANGE('Prelim Rankings Unsorted'!$B$40, CONCAT(VLOOKUP($C81, 'Match Names'!$A$1:$D$22, 2, FALSE), ""!C3:R29"")), {6;11;17;23}, FALSE)), ""=-4"") + COUNTIF(ARRAYFORMULA(HLOOKUP($B81, IMPORTRANGE('Prelim Rankings Uns"&amp;"orted'!$B$41, CONCAT(VLOOKUP($C81, 'Match Names'!$A$1:$D$22, 3, FALSE), ""!C3:R29"")), {5;11;17;23}, FALSE)), ""=-4"") + COUNTIF(ARRAYFORMULA(HLOOKUP($B81, IMPORTRANGE('Prelim Rankings Unsorted'!$B$42, CONCAT(VLOOKUP($C81, 'Match Names'!$A$1:$D$22, 4, FAL"&amp;"SE), ""!C3:R29"")), {5;11;17;23}, FALSE)), ""=-4"") + COUNTIF(ARRAYFORMULA(HLOOKUP($B81, IMPORTRANGE('Match Names'!$E$23, CONCAT(VLOOKUP($C81, 'Match Names'!$1:$22, 5, FALSE), ""!C3:R29"")), {6;11;16;21}, FALSE)), ""=-4"") + COUNTIF(ARRAYFORMULA(HLOOKUP($"&amp;"B81, IMPORTRANGE('Match Names'!$F$23, CONCAT(VLOOKUP($C81, 'Match Names'!$1:$22, 6, FALSE), ""!C3:R29"")), {5;11;17;23}, FALSE)), ""=-4"") + COUNTIF(ARRAYFORMULA(HLOOKUP($B81, IMPORTRANGE('Match Names'!$G$23, CONCAT(VLOOKUP($C81, 'Match Names'!$1:$22, 7, "&amp;"FALSE), ""!C3:R29"")), {5;10;14;22}, FALSE)), ""=-4"") + COUNTIF(ARRAYFORMULA(HLOOKUP($B81, IMPORTRANGE('Match Names'!$H$23, CONCAT(VLOOKUP($C81, 'Match Names'!$1:$22, 8, FALSE), ""!C3:R29"")), {5;11;17;23}, FALSE)), ""=-4"")"),0.0)</f>
        <v>0</v>
      </c>
      <c r="H81" s="33">
        <f t="shared" si="2"/>
        <v>0</v>
      </c>
    </row>
    <row r="82">
      <c r="A82" s="21" t="s">
        <v>43</v>
      </c>
      <c r="B82" s="31" t="str">
        <f>VLOOKUP(CONCAT(A82, C82), 'Discord Username to Real Name'!C:D, 2, FALSE)</f>
        <v>Xing#7270</v>
      </c>
      <c r="C82" s="21" t="s">
        <v>23</v>
      </c>
      <c r="D82" s="32">
        <f>IFERROR(__xludf.DUMMYFUNCTION("(4 - COUNTIF(IFERROR(ARRAYFORMULA(HLOOKUP($B82, IMPORTRANGE('Prelim Rankings Unsorted'!$B$40, CONCAT(VLOOKUP($C82, 'Match Names'!$A$1:$D$22, 2, FALSE), ""!C3:R29"")), {6;11;17;23}, FALSE)), 'Player Overall Stats Unsorted'!$AA$9:$AA$12), ""=X"")) + (4 - CO"&amp;"UNTIF(IFERROR(ARRAYFORMULA(HLOOKUP($B82, IMPORTRANGE('Prelim Rankings Unsorted'!$B$41, CONCAT(VLOOKUP($C82, 'Match Names'!$A$1:$D$22, 3, FALSE), ""!C3:R29"")), {5;11;17;23}, FALSE)), 'Player Overall Stats Unsorted'!$AA$9:$AA$12), ""=X"")) + (4 - COUNTIF(I"&amp;"FERROR(ARRAYFORMULA(HLOOKUP($B82, IMPORTRANGE('Prelim Rankings Unsorted'!$B$42, CONCAT(VLOOKUP($C82, 'Match Names'!$A$1:$D$22, 4, FALSE), ""!C3:R29"")), {5;11;17;23}, FALSE)), 'Player Overall Stats Unsorted'!$AA$9:$AA$12), ""=X"")) + (4 - COUNTIF(IFERROR("&amp;"ARRAYFORMULA(HLOOKUP($B82, IMPORTRANGE('Match Names'!$E$23, CONCAT(VLOOKUP($C82, 'Match Names'!$1:$22, 5, FALSE), ""!C3:R29"")), {5;11;16;21}, FALSE)), 'Player Overall Stats Unsorted'!$AA$9:$AA$12), ""=X"")) + (4 - COUNTIF(IFERROR(ARRAYFORMULA(HLOOKUP($B8"&amp;"2, IMPORTRANGE('Match Names'!$F$23, CONCAT(VLOOKUP($C82, 'Match Names'!$1:$22, 6, FALSE), ""!C3:R29"")), {5;11;17;23}, FALSE)), 'Player Overall Stats Unsorted'!$AA$9:$AA$12), ""=X"")) + (4 - COUNTIF(IFERROR(ARRAYFORMULA(HLOOKUP($B82, IMPORTRANGE('Match Na"&amp;"mes'!$G$23, CONCAT(VLOOKUP($C82, 'Match Names'!$1:$22, 7, FALSE), ""!C3:R29"")), {5;10;14;23}, FALSE)), 'Player Overall Stats Unsorted'!$AA$9:$AA$12), ""=X"")) + (4 - COUNTIF(IFERROR(ARRAYFORMULA(HLOOKUP($B82, IMPORTRANGE('Match Names'!$H$23, CONCAT(VLOOK"&amp;"UP($C82, 'Match Names'!$1:$22, 8, FALSE), ""!C3:R29"")), {5;11;17;23}, FALSE)), 'Player Overall Stats Unsorted'!$AA$9:$AA$12), ""=X""))"),20.0)</f>
        <v>20</v>
      </c>
      <c r="E82" s="32">
        <f>IFERROR(__xludf.DUMMYFUNCTION("COUNTIF(ARRAYFORMULA(HLOOKUP($B82, IMPORTRANGE('Prelim Rankings Unsorted'!$B$40, CONCAT(VLOOKUP($C82, 'Match Names'!$A$1:$D$22, 2, FALSE), ""!C3:R29"")), {6;11;17;23}, FALSE)), ""=4"") + COUNTIF(ARRAYFORMULA(HLOOKUP($B82, IMPORTRANGE('Prelim Rankings Unso"&amp;"rted'!$B$41, CONCAT(VLOOKUP($C82, 'Match Names'!$A$1:$D$22, 3, FALSE), ""!C3:R29"")), {5;11;17;23}, FALSE)), ""=4"") + COUNTIF(ARRAYFORMULA(HLOOKUP($B82, IMPORTRANGE('Prelim Rankings Unsorted'!$B$42, CONCAT(VLOOKUP($C82, 'Match Names'!$A$1:$D$22, 4, FALSE"&amp;"), ""!C3:R29"")), {5;11;17;23}, FALSE)), ""=4"") + COUNTIF(ARRAYFORMULA(HLOOKUP($B82, IMPORTRANGE('Match Names'!$E$23, CONCAT(VLOOKUP($C82, 'Match Names'!$1:$22, 5, FALSE), ""!C3:R29"")), {6;11;16;21}, FALSE)), ""=4"") + COUNTIF(ARRAYFORMULA(HLOOKUP($B82,"&amp;" IMPORTRANGE('Match Names'!$F$23, CONCAT(VLOOKUP($C82, 'Match Names'!$1:$22, 6, FALSE), ""!C3:R29"")), {5;11;17;23}, FALSE)), ""=4"") + COUNTIF(ARRAYFORMULA(HLOOKUP($B82, IMPORTRANGE('Match Names'!$G$23, CONCAT(VLOOKUP($C82, 'Match Names'!$1:$22, 7, FALSE"&amp;"), ""!C3:R29"")), {5;10;14;22}, FALSE)), ""=4"") + COUNTIF(ARRAYFORMULA(HLOOKUP($B82, IMPORTRANGE('Match Names'!$H$23, CONCAT(VLOOKUP($C82, 'Match Names'!$1:$22, 8, FALSE), ""!C3:R29"")), {5;11;17;23}, FALSE)), ""=4"")"),3.0)</f>
        <v>3</v>
      </c>
      <c r="F82" s="32">
        <f>IFERROR(__xludf.DUMMYFUNCTION("COUNTIF(ARRAYFORMULA(HLOOKUP($B82, IMPORTRANGE('Prelim Rankings Unsorted'!$B$40, CONCAT(VLOOKUP($C82, 'Match Names'!$A$1:$D$22, 2, FALSE), ""!C3:R29"")), {6;11;17;23}, FALSE)), ""=0"") + COUNTIF(ARRAYFORMULA(HLOOKUP($B82, IMPORTRANGE('Prelim Rankings Unso"&amp;"rted'!$B$41, CONCAT(VLOOKUP($C82, 'Match Names'!$A$1:$D$22, 3, FALSE), ""!C3:R29"")), {5;11;17;23}, FALSE)), ""=0"") + COUNTIF(ARRAYFORMULA(HLOOKUP($B82, IMPORTRANGE('Prelim Rankings Unsorted'!$B$42, CONCAT(VLOOKUP($C82, 'Match Names'!$A$1:$D$22, 4, FALSE"&amp;"), ""!C3:R29"")), {5;11;17;23}, FALSE)), ""=0"") + COUNTIF(ARRAYFORMULA(HLOOKUP($B82, IMPORTRANGE('Match Names'!$E$23, CONCAT(VLOOKUP($C82, 'Match Names'!$1:$22, 5, FALSE), ""!C3:R29"")), {6;11;16;21}, FALSE)), ""=0"") + COUNTIF(ARRAYFORMULA(HLOOKUP($B82,"&amp;" IMPORTRANGE('Match Names'!$F$23, CONCAT(VLOOKUP($C82, 'Match Names'!$1:$22, 6, FALSE), ""!C3:R29"")), {5;11;17;23}, FALSE)), ""=0"") + COUNTIF(ARRAYFORMULA(HLOOKUP($B82, IMPORTRANGE('Match Names'!$G$23, CONCAT(VLOOKUP($C82, 'Match Names'!$1:$22, 7, FALSE"&amp;"), ""!C3:R29"")), {5;10;14;22}, FALSE)), ""=0"") + COUNTIF(ARRAYFORMULA(HLOOKUP($B82, IMPORTRANGE('Match Names'!$H$23, CONCAT(VLOOKUP($C82, 'Match Names'!$1:$22, 8, FALSE), ""!C3:R29"")), {5;11;17;23}, FALSE)), ""=0"")"),3.0)</f>
        <v>3</v>
      </c>
      <c r="G82" s="32">
        <f>IFERROR(__xludf.DUMMYFUNCTION("COUNTIF(ARRAYFORMULA(HLOOKUP($B82, IMPORTRANGE('Prelim Rankings Unsorted'!$B$40, CONCAT(VLOOKUP($C82, 'Match Names'!$A$1:$D$22, 2, FALSE), ""!C3:R29"")), {6;11;17;23}, FALSE)), ""=-4"") + COUNTIF(ARRAYFORMULA(HLOOKUP($B82, IMPORTRANGE('Prelim Rankings Uns"&amp;"orted'!$B$41, CONCAT(VLOOKUP($C82, 'Match Names'!$A$1:$D$22, 3, FALSE), ""!C3:R29"")), {5;11;17;23}, FALSE)), ""=-4"") + COUNTIF(ARRAYFORMULA(HLOOKUP($B82, IMPORTRANGE('Prelim Rankings Unsorted'!$B$42, CONCAT(VLOOKUP($C82, 'Match Names'!$A$1:$D$22, 4, FAL"&amp;"SE), ""!C3:R29"")), {5;11;17;23}, FALSE)), ""=-4"") + COUNTIF(ARRAYFORMULA(HLOOKUP($B82, IMPORTRANGE('Match Names'!$E$23, CONCAT(VLOOKUP($C82, 'Match Names'!$1:$22, 5, FALSE), ""!C3:R29"")), {6;11;16;21}, FALSE)), ""=-4"") + COUNTIF(ARRAYFORMULA(HLOOKUP($"&amp;"B82, IMPORTRANGE('Match Names'!$F$23, CONCAT(VLOOKUP($C82, 'Match Names'!$1:$22, 6, FALSE), ""!C3:R29"")), {5;11;17;23}, FALSE)), ""=-4"") + COUNTIF(ARRAYFORMULA(HLOOKUP($B82, IMPORTRANGE('Match Names'!$G$23, CONCAT(VLOOKUP($C82, 'Match Names'!$1:$22, 7, "&amp;"FALSE), ""!C3:R29"")), {5;10;14;22}, FALSE)), ""=-4"") + COUNTIF(ARRAYFORMULA(HLOOKUP($B82, IMPORTRANGE('Match Names'!$H$23, CONCAT(VLOOKUP($C82, 'Match Names'!$1:$22, 8, FALSE), ""!C3:R29"")), {5;11;17;23}, FALSE)), ""=-4"")"),0.0)</f>
        <v>0</v>
      </c>
      <c r="H82" s="33">
        <f t="shared" si="2"/>
        <v>2.4</v>
      </c>
    </row>
    <row r="83">
      <c r="A83" s="21" t="s">
        <v>76</v>
      </c>
      <c r="B83" s="31" t="str">
        <f>VLOOKUP(CONCAT(A83, C83), 'Discord Username to Real Name'!C:D, 2, FALSE)</f>
        <v>Dr. Jess#0829</v>
      </c>
      <c r="C83" s="21" t="s">
        <v>26</v>
      </c>
      <c r="D83" s="32">
        <f>IFERROR(__xludf.DUMMYFUNCTION("(4 - COUNTIF(IFERROR(ARRAYFORMULA(HLOOKUP($B83, IMPORTRANGE('Prelim Rankings Unsorted'!$B$40, CONCAT(VLOOKUP($C83, 'Match Names'!$A$1:$D$22, 2, FALSE), ""!C3:R29"")), {6;11;17;23}, FALSE)), 'Player Overall Stats Unsorted'!$AA$9:$AA$12), ""=X"")) + (4 - CO"&amp;"UNTIF(IFERROR(ARRAYFORMULA(HLOOKUP($B83, IMPORTRANGE('Prelim Rankings Unsorted'!$B$41, CONCAT(VLOOKUP($C83, 'Match Names'!$A$1:$D$22, 3, FALSE), ""!C3:R29"")), {5;11;17;23}, FALSE)), 'Player Overall Stats Unsorted'!$AA$9:$AA$12), ""=X"")) + (4 - COUNTIF(I"&amp;"FERROR(ARRAYFORMULA(HLOOKUP($B83, IMPORTRANGE('Prelim Rankings Unsorted'!$B$42, CONCAT(VLOOKUP($C83, 'Match Names'!$A$1:$D$22, 4, FALSE), ""!C3:R29"")), {5;11;17;23}, FALSE)), 'Player Overall Stats Unsorted'!$AA$9:$AA$12), ""=X"")) + (4 - COUNTIF(IFERROR("&amp;"ARRAYFORMULA(HLOOKUP($B83, IMPORTRANGE('Match Names'!$E$23, CONCAT(VLOOKUP($C83, 'Match Names'!$1:$22, 5, FALSE), ""!C3:R29"")), {5;11;16;21}, FALSE)), 'Player Overall Stats Unsorted'!$AA$9:$AA$12), ""=X"")) + (4 - COUNTIF(IFERROR(ARRAYFORMULA(HLOOKUP($B8"&amp;"3, IMPORTRANGE('Match Names'!$F$23, CONCAT(VLOOKUP($C83, 'Match Names'!$1:$22, 6, FALSE), ""!C3:R29"")), {5;11;17;23}, FALSE)), 'Player Overall Stats Unsorted'!$AA$9:$AA$12), ""=X"")) + (4 - COUNTIF(IFERROR(ARRAYFORMULA(HLOOKUP($B83, IMPORTRANGE('Match Na"&amp;"mes'!$G$23, CONCAT(VLOOKUP($C83, 'Match Names'!$1:$22, 7, FALSE), ""!C3:R29"")), {5;10;14;23}, FALSE)), 'Player Overall Stats Unsorted'!$AA$9:$AA$12), ""=X"")) + (4 - COUNTIF(IFERROR(ARRAYFORMULA(HLOOKUP($B83, IMPORTRANGE('Match Names'!$H$23, CONCAT(VLOOK"&amp;"UP($C83, 'Match Names'!$1:$22, 8, FALSE), ""!C3:R29"")), {5;11;17;23}, FALSE)), 'Player Overall Stats Unsorted'!$AA$9:$AA$12), ""=X""))"),12.0)</f>
        <v>12</v>
      </c>
      <c r="E83" s="32">
        <f>IFERROR(__xludf.DUMMYFUNCTION("COUNTIF(ARRAYFORMULA(HLOOKUP($B83, IMPORTRANGE('Prelim Rankings Unsorted'!$B$40, CONCAT(VLOOKUP($C83, 'Match Names'!$A$1:$D$22, 2, FALSE), ""!C3:R29"")), {6;11;17;23}, FALSE)), ""=4"") + COUNTIF(ARRAYFORMULA(HLOOKUP($B83, IMPORTRANGE('Prelim Rankings Unso"&amp;"rted'!$B$41, CONCAT(VLOOKUP($C83, 'Match Names'!$A$1:$D$22, 3, FALSE), ""!C3:R29"")), {5;11;17;23}, FALSE)), ""=4"") + COUNTIF(ARRAYFORMULA(HLOOKUP($B83, IMPORTRANGE('Prelim Rankings Unsorted'!$B$42, CONCAT(VLOOKUP($C83, 'Match Names'!$A$1:$D$22, 4, FALSE"&amp;"), ""!C3:R29"")), {5;11;17;23}, FALSE)), ""=4"") + COUNTIF(ARRAYFORMULA(HLOOKUP($B83, IMPORTRANGE('Match Names'!$E$23, CONCAT(VLOOKUP($C83, 'Match Names'!$1:$22, 5, FALSE), ""!C3:R29"")), {6;11;16;21}, FALSE)), ""=4"") + COUNTIF(ARRAYFORMULA(HLOOKUP($B83,"&amp;" IMPORTRANGE('Match Names'!$F$23, CONCAT(VLOOKUP($C83, 'Match Names'!$1:$22, 6, FALSE), ""!C3:R29"")), {5;11;17;23}, FALSE)), ""=4"") + COUNTIF(ARRAYFORMULA(HLOOKUP($B83, IMPORTRANGE('Match Names'!$G$23, CONCAT(VLOOKUP($C83, 'Match Names'!$1:$22, 7, FALSE"&amp;"), ""!C3:R29"")), {5;10;14;22}, FALSE)), ""=4"") + COUNTIF(ARRAYFORMULA(HLOOKUP($B83, IMPORTRANGE('Match Names'!$H$23, CONCAT(VLOOKUP($C83, 'Match Names'!$1:$22, 8, FALSE), ""!C3:R29"")), {5;11;17;23}, FALSE)), ""=4"")"),1.0)</f>
        <v>1</v>
      </c>
      <c r="F83" s="32">
        <f>IFERROR(__xludf.DUMMYFUNCTION("COUNTIF(ARRAYFORMULA(HLOOKUP($B83, IMPORTRANGE('Prelim Rankings Unsorted'!$B$40, CONCAT(VLOOKUP($C83, 'Match Names'!$A$1:$D$22, 2, FALSE), ""!C3:R29"")), {6;11;17;23}, FALSE)), ""=0"") + COUNTIF(ARRAYFORMULA(HLOOKUP($B83, IMPORTRANGE('Prelim Rankings Unso"&amp;"rted'!$B$41, CONCAT(VLOOKUP($C83, 'Match Names'!$A$1:$D$22, 3, FALSE), ""!C3:R29"")), {5;11;17;23}, FALSE)), ""=0"") + COUNTIF(ARRAYFORMULA(HLOOKUP($B83, IMPORTRANGE('Prelim Rankings Unsorted'!$B$42, CONCAT(VLOOKUP($C83, 'Match Names'!$A$1:$D$22, 4, FALSE"&amp;"), ""!C3:R29"")), {5;11;17;23}, FALSE)), ""=0"") + COUNTIF(ARRAYFORMULA(HLOOKUP($B83, IMPORTRANGE('Match Names'!$E$23, CONCAT(VLOOKUP($C83, 'Match Names'!$1:$22, 5, FALSE), ""!C3:R29"")), {6;11;16;21}, FALSE)), ""=0"") + COUNTIF(ARRAYFORMULA(HLOOKUP($B83,"&amp;" IMPORTRANGE('Match Names'!$F$23, CONCAT(VLOOKUP($C83, 'Match Names'!$1:$22, 6, FALSE), ""!C3:R29"")), {5;11;17;23}, FALSE)), ""=0"") + COUNTIF(ARRAYFORMULA(HLOOKUP($B83, IMPORTRANGE('Match Names'!$G$23, CONCAT(VLOOKUP($C83, 'Match Names'!$1:$22, 7, FALSE"&amp;"), ""!C3:R29"")), {5;10;14;22}, FALSE)), ""=0"") + COUNTIF(ARRAYFORMULA(HLOOKUP($B83, IMPORTRANGE('Match Names'!$H$23, CONCAT(VLOOKUP($C83, 'Match Names'!$1:$22, 8, FALSE), ""!C3:R29"")), {5;11;17;23}, FALSE)), ""=0"")"),2.0)</f>
        <v>2</v>
      </c>
      <c r="G83" s="32">
        <f>IFERROR(__xludf.DUMMYFUNCTION("COUNTIF(ARRAYFORMULA(HLOOKUP($B83, IMPORTRANGE('Prelim Rankings Unsorted'!$B$40, CONCAT(VLOOKUP($C83, 'Match Names'!$A$1:$D$22, 2, FALSE), ""!C3:R29"")), {6;11;17;23}, FALSE)), ""=-4"") + COUNTIF(ARRAYFORMULA(HLOOKUP($B83, IMPORTRANGE('Prelim Rankings Uns"&amp;"orted'!$B$41, CONCAT(VLOOKUP($C83, 'Match Names'!$A$1:$D$22, 3, FALSE), ""!C3:R29"")), {5;11;17;23}, FALSE)), ""=-4"") + COUNTIF(ARRAYFORMULA(HLOOKUP($B83, IMPORTRANGE('Prelim Rankings Unsorted'!$B$42, CONCAT(VLOOKUP($C83, 'Match Names'!$A$1:$D$22, 4, FAL"&amp;"SE), ""!C3:R29"")), {5;11;17;23}, FALSE)), ""=-4"") + COUNTIF(ARRAYFORMULA(HLOOKUP($B83, IMPORTRANGE('Match Names'!$E$23, CONCAT(VLOOKUP($C83, 'Match Names'!$1:$22, 5, FALSE), ""!C3:R29"")), {6;11;16;21}, FALSE)), ""=-4"") + COUNTIF(ARRAYFORMULA(HLOOKUP($"&amp;"B83, IMPORTRANGE('Match Names'!$F$23, CONCAT(VLOOKUP($C83, 'Match Names'!$1:$22, 6, FALSE), ""!C3:R29"")), {5;11;17;23}, FALSE)), ""=-4"") + COUNTIF(ARRAYFORMULA(HLOOKUP($B83, IMPORTRANGE('Match Names'!$G$23, CONCAT(VLOOKUP($C83, 'Match Names'!$1:$22, 7, "&amp;"FALSE), ""!C3:R29"")), {5;10;14;22}, FALSE)), ""=-4"") + COUNTIF(ARRAYFORMULA(HLOOKUP($B83, IMPORTRANGE('Match Names'!$H$23, CONCAT(VLOOKUP($C83, 'Match Names'!$1:$22, 8, FALSE), ""!C3:R29"")), {5;11;17;23}, FALSE)), ""=-4"")"),0.0)</f>
        <v>0</v>
      </c>
      <c r="H83" s="33">
        <f t="shared" si="2"/>
        <v>1.33</v>
      </c>
    </row>
    <row r="84">
      <c r="A84" s="21" t="s">
        <v>181</v>
      </c>
      <c r="B84" s="31" t="str">
        <f>VLOOKUP(CONCAT(A84, C84), 'Discord Username to Real Name'!C:D, 2, FALSE)</f>
        <v>ronster#8561</v>
      </c>
      <c r="C84" s="21" t="s">
        <v>26</v>
      </c>
      <c r="D84" s="32">
        <f>IFERROR(__xludf.DUMMYFUNCTION("(4 - COUNTIF(IFERROR(ARRAYFORMULA(HLOOKUP($B84, IMPORTRANGE('Prelim Rankings Unsorted'!$B$40, CONCAT(VLOOKUP($C84, 'Match Names'!$A$1:$D$22, 2, FALSE), ""!C3:R29"")), {6;11;17;23}, FALSE)), 'Player Overall Stats Unsorted'!$AA$9:$AA$12), ""=X"")) + (4 - CO"&amp;"UNTIF(IFERROR(ARRAYFORMULA(HLOOKUP($B84, IMPORTRANGE('Prelim Rankings Unsorted'!$B$41, CONCAT(VLOOKUP($C84, 'Match Names'!$A$1:$D$22, 3, FALSE), ""!C3:R29"")), {5;11;17;23}, FALSE)), 'Player Overall Stats Unsorted'!$AA$9:$AA$12), ""=X"")) + (4 - COUNTIF(I"&amp;"FERROR(ARRAYFORMULA(HLOOKUP($B84, IMPORTRANGE('Prelim Rankings Unsorted'!$B$42, CONCAT(VLOOKUP($C84, 'Match Names'!$A$1:$D$22, 4, FALSE), ""!C3:R29"")), {5;11;17;23}, FALSE)), 'Player Overall Stats Unsorted'!$AA$9:$AA$12), ""=X"")) + (4 - COUNTIF(IFERROR("&amp;"ARRAYFORMULA(HLOOKUP($B84, IMPORTRANGE('Match Names'!$E$23, CONCAT(VLOOKUP($C84, 'Match Names'!$1:$22, 5, FALSE), ""!C3:R29"")), {5;11;16;21}, FALSE)), 'Player Overall Stats Unsorted'!$AA$9:$AA$12), ""=X"")) + (4 - COUNTIF(IFERROR(ARRAYFORMULA(HLOOKUP($B8"&amp;"4, IMPORTRANGE('Match Names'!$F$23, CONCAT(VLOOKUP($C84, 'Match Names'!$1:$22, 6, FALSE), ""!C3:R29"")), {5;11;17;23}, FALSE)), 'Player Overall Stats Unsorted'!$AA$9:$AA$12), ""=X"")) + (4 - COUNTIF(IFERROR(ARRAYFORMULA(HLOOKUP($B84, IMPORTRANGE('Match Na"&amp;"mes'!$G$23, CONCAT(VLOOKUP($C84, 'Match Names'!$1:$22, 7, FALSE), ""!C3:R29"")), {5;10;14;23}, FALSE)), 'Player Overall Stats Unsorted'!$AA$9:$AA$12), ""=X"")) + (4 - COUNTIF(IFERROR(ARRAYFORMULA(HLOOKUP($B84, IMPORTRANGE('Match Names'!$H$23, CONCAT(VLOOK"&amp;"UP($C84, 'Match Names'!$1:$22, 8, FALSE), ""!C3:R29"")), {5;11;17;23}, FALSE)), 'Player Overall Stats Unsorted'!$AA$9:$AA$12), ""=X""))"),8.0)</f>
        <v>8</v>
      </c>
      <c r="E84" s="32">
        <f>IFERROR(__xludf.DUMMYFUNCTION("COUNTIF(ARRAYFORMULA(HLOOKUP($B84, IMPORTRANGE('Prelim Rankings Unsorted'!$B$40, CONCAT(VLOOKUP($C84, 'Match Names'!$A$1:$D$22, 2, FALSE), ""!C3:R29"")), {6;11;17;23}, FALSE)), ""=4"") + COUNTIF(ARRAYFORMULA(HLOOKUP($B84, IMPORTRANGE('Prelim Rankings Unso"&amp;"rted'!$B$41, CONCAT(VLOOKUP($C84, 'Match Names'!$A$1:$D$22, 3, FALSE), ""!C3:R29"")), {5;11;17;23}, FALSE)), ""=4"") + COUNTIF(ARRAYFORMULA(HLOOKUP($B84, IMPORTRANGE('Prelim Rankings Unsorted'!$B$42, CONCAT(VLOOKUP($C84, 'Match Names'!$A$1:$D$22, 4, FALSE"&amp;"), ""!C3:R29"")), {5;11;17;23}, FALSE)), ""=4"") + COUNTIF(ARRAYFORMULA(HLOOKUP($B84, IMPORTRANGE('Match Names'!$E$23, CONCAT(VLOOKUP($C84, 'Match Names'!$1:$22, 5, FALSE), ""!C3:R29"")), {6;11;16;21}, FALSE)), ""=4"") + COUNTIF(ARRAYFORMULA(HLOOKUP($B84,"&amp;" IMPORTRANGE('Match Names'!$F$23, CONCAT(VLOOKUP($C84, 'Match Names'!$1:$22, 6, FALSE), ""!C3:R29"")), {5;11;17;23}, FALSE)), ""=4"") + COUNTIF(ARRAYFORMULA(HLOOKUP($B84, IMPORTRANGE('Match Names'!$G$23, CONCAT(VLOOKUP($C84, 'Match Names'!$1:$22, 7, FALSE"&amp;"), ""!C3:R29"")), {5;10;14;22}, FALSE)), ""=4"") + COUNTIF(ARRAYFORMULA(HLOOKUP($B84, IMPORTRANGE('Match Names'!$H$23, CONCAT(VLOOKUP($C84, 'Match Names'!$1:$22, 8, FALSE), ""!C3:R29"")), {5;11;17;23}, FALSE)), ""=4"")"),0.0)</f>
        <v>0</v>
      </c>
      <c r="F84" s="32">
        <f>IFERROR(__xludf.DUMMYFUNCTION("COUNTIF(ARRAYFORMULA(HLOOKUP($B84, IMPORTRANGE('Prelim Rankings Unsorted'!$B$40, CONCAT(VLOOKUP($C84, 'Match Names'!$A$1:$D$22, 2, FALSE), ""!C3:R29"")), {6;11;17;23}, FALSE)), ""=0"") + COUNTIF(ARRAYFORMULA(HLOOKUP($B84, IMPORTRANGE('Prelim Rankings Unso"&amp;"rted'!$B$41, CONCAT(VLOOKUP($C84, 'Match Names'!$A$1:$D$22, 3, FALSE), ""!C3:R29"")), {5;11;17;23}, FALSE)), ""=0"") + COUNTIF(ARRAYFORMULA(HLOOKUP($B84, IMPORTRANGE('Prelim Rankings Unsorted'!$B$42, CONCAT(VLOOKUP($C84, 'Match Names'!$A$1:$D$22, 4, FALSE"&amp;"), ""!C3:R29"")), {5;11;17;23}, FALSE)), ""=0"") + COUNTIF(ARRAYFORMULA(HLOOKUP($B84, IMPORTRANGE('Match Names'!$E$23, CONCAT(VLOOKUP($C84, 'Match Names'!$1:$22, 5, FALSE), ""!C3:R29"")), {6;11;16;21}, FALSE)), ""=0"") + COUNTIF(ARRAYFORMULA(HLOOKUP($B84,"&amp;" IMPORTRANGE('Match Names'!$F$23, CONCAT(VLOOKUP($C84, 'Match Names'!$1:$22, 6, FALSE), ""!C3:R29"")), {5;11;17;23}, FALSE)), ""=0"") + COUNTIF(ARRAYFORMULA(HLOOKUP($B84, IMPORTRANGE('Match Names'!$G$23, CONCAT(VLOOKUP($C84, 'Match Names'!$1:$22, 7, FALSE"&amp;"), ""!C3:R29"")), {5;10;14;22}, FALSE)), ""=0"") + COUNTIF(ARRAYFORMULA(HLOOKUP($B84, IMPORTRANGE('Match Names'!$H$23, CONCAT(VLOOKUP($C84, 'Match Names'!$1:$22, 8, FALSE), ""!C3:R29"")), {5;11;17;23}, FALSE)), ""=0"")"),0.0)</f>
        <v>0</v>
      </c>
      <c r="G84" s="32">
        <f>IFERROR(__xludf.DUMMYFUNCTION("COUNTIF(ARRAYFORMULA(HLOOKUP($B84, IMPORTRANGE('Prelim Rankings Unsorted'!$B$40, CONCAT(VLOOKUP($C84, 'Match Names'!$A$1:$D$22, 2, FALSE), ""!C3:R29"")), {6;11;17;23}, FALSE)), ""=-4"") + COUNTIF(ARRAYFORMULA(HLOOKUP($B84, IMPORTRANGE('Prelim Rankings Uns"&amp;"orted'!$B$41, CONCAT(VLOOKUP($C84, 'Match Names'!$A$1:$D$22, 3, FALSE), ""!C3:R29"")), {5;11;17;23}, FALSE)), ""=-4"") + COUNTIF(ARRAYFORMULA(HLOOKUP($B84, IMPORTRANGE('Prelim Rankings Unsorted'!$B$42, CONCAT(VLOOKUP($C84, 'Match Names'!$A$1:$D$22, 4, FAL"&amp;"SE), ""!C3:R29"")), {5;11;17;23}, FALSE)), ""=-4"") + COUNTIF(ARRAYFORMULA(HLOOKUP($B84, IMPORTRANGE('Match Names'!$E$23, CONCAT(VLOOKUP($C84, 'Match Names'!$1:$22, 5, FALSE), ""!C3:R29"")), {6;11;16;21}, FALSE)), ""=-4"") + COUNTIF(ARRAYFORMULA(HLOOKUP($"&amp;"B84, IMPORTRANGE('Match Names'!$F$23, CONCAT(VLOOKUP($C84, 'Match Names'!$1:$22, 6, FALSE), ""!C3:R29"")), {5;11;17;23}, FALSE)), ""=-4"") + COUNTIF(ARRAYFORMULA(HLOOKUP($B84, IMPORTRANGE('Match Names'!$G$23, CONCAT(VLOOKUP($C84, 'Match Names'!$1:$22, 7, "&amp;"FALSE), ""!C3:R29"")), {5;10;14;22}, FALSE)), ""=-4"") + COUNTIF(ARRAYFORMULA(HLOOKUP($B84, IMPORTRANGE('Match Names'!$H$23, CONCAT(VLOOKUP($C84, 'Match Names'!$1:$22, 8, FALSE), ""!C3:R29"")), {5;11;17;23}, FALSE)), ""=-4"")"),0.0)</f>
        <v>0</v>
      </c>
      <c r="H84" s="33">
        <f t="shared" si="2"/>
        <v>0</v>
      </c>
    </row>
    <row r="85">
      <c r="A85" s="21" t="s">
        <v>192</v>
      </c>
      <c r="B85" s="31" t="str">
        <f>VLOOKUP(CONCAT(A85, C85), 'Discord Username to Real Name'!C:D, 2, FALSE)</f>
        <v>aditi#0716</v>
      </c>
      <c r="C85" s="21" t="s">
        <v>26</v>
      </c>
      <c r="D85" s="32">
        <f>IFERROR(__xludf.DUMMYFUNCTION("(4 - COUNTIF(IFERROR(ARRAYFORMULA(HLOOKUP($B85, IMPORTRANGE('Prelim Rankings Unsorted'!$B$40, CONCAT(VLOOKUP($C85, 'Match Names'!$A$1:$D$22, 2, FALSE), ""!C3:R29"")), {6;11;17;23}, FALSE)), 'Player Overall Stats Unsorted'!$AA$9:$AA$12), ""=X"")) + (4 - CO"&amp;"UNTIF(IFERROR(ARRAYFORMULA(HLOOKUP($B85, IMPORTRANGE('Prelim Rankings Unsorted'!$B$41, CONCAT(VLOOKUP($C85, 'Match Names'!$A$1:$D$22, 3, FALSE), ""!C3:R29"")), {5;11;17;23}, FALSE)), 'Player Overall Stats Unsorted'!$AA$9:$AA$12), ""=X"")) + (4 - COUNTIF(I"&amp;"FERROR(ARRAYFORMULA(HLOOKUP($B85, IMPORTRANGE('Prelim Rankings Unsorted'!$B$42, CONCAT(VLOOKUP($C85, 'Match Names'!$A$1:$D$22, 4, FALSE), ""!C3:R29"")), {5;11;17;23}, FALSE)), 'Player Overall Stats Unsorted'!$AA$9:$AA$12), ""=X"")) + (4 - COUNTIF(IFERROR("&amp;"ARRAYFORMULA(HLOOKUP($B85, IMPORTRANGE('Match Names'!$E$23, CONCAT(VLOOKUP($C85, 'Match Names'!$1:$22, 5, FALSE), ""!C3:R29"")), {5;11;16;21}, FALSE)), 'Player Overall Stats Unsorted'!$AA$9:$AA$12), ""=X"")) + (4 - COUNTIF(IFERROR(ARRAYFORMULA(HLOOKUP($B8"&amp;"5, IMPORTRANGE('Match Names'!$F$23, CONCAT(VLOOKUP($C85, 'Match Names'!$1:$22, 6, FALSE), ""!C3:R29"")), {5;11;17;23}, FALSE)), 'Player Overall Stats Unsorted'!$AA$9:$AA$12), ""=X"")) + (4 - COUNTIF(IFERROR(ARRAYFORMULA(HLOOKUP($B85, IMPORTRANGE('Match Na"&amp;"mes'!$G$23, CONCAT(VLOOKUP($C85, 'Match Names'!$1:$22, 7, FALSE), ""!C3:R29"")), {5;10;14;23}, FALSE)), 'Player Overall Stats Unsorted'!$AA$9:$AA$12), ""=X"")) + (4 - COUNTIF(IFERROR(ARRAYFORMULA(HLOOKUP($B85, IMPORTRANGE('Match Names'!$H$23, CONCAT(VLOOK"&amp;"UP($C85, 'Match Names'!$1:$22, 8, FALSE), ""!C3:R29"")), {5;11;17;23}, FALSE)), 'Player Overall Stats Unsorted'!$AA$9:$AA$12), ""=X""))"),4.0)</f>
        <v>4</v>
      </c>
      <c r="E85" s="32">
        <f>IFERROR(__xludf.DUMMYFUNCTION("COUNTIF(ARRAYFORMULA(HLOOKUP($B85, IMPORTRANGE('Prelim Rankings Unsorted'!$B$40, CONCAT(VLOOKUP($C85, 'Match Names'!$A$1:$D$22, 2, FALSE), ""!C3:R29"")), {6;11;17;23}, FALSE)), ""=4"") + COUNTIF(ARRAYFORMULA(HLOOKUP($B85, IMPORTRANGE('Prelim Rankings Unso"&amp;"rted'!$B$41, CONCAT(VLOOKUP($C85, 'Match Names'!$A$1:$D$22, 3, FALSE), ""!C3:R29"")), {5;11;17;23}, FALSE)), ""=4"") + COUNTIF(ARRAYFORMULA(HLOOKUP($B85, IMPORTRANGE('Prelim Rankings Unsorted'!$B$42, CONCAT(VLOOKUP($C85, 'Match Names'!$A$1:$D$22, 4, FALSE"&amp;"), ""!C3:R29"")), {5;11;17;23}, FALSE)), ""=4"") + COUNTIF(ARRAYFORMULA(HLOOKUP($B85, IMPORTRANGE('Match Names'!$E$23, CONCAT(VLOOKUP($C85, 'Match Names'!$1:$22, 5, FALSE), ""!C3:R29"")), {6;11;16;21}, FALSE)), ""=4"") + COUNTIF(ARRAYFORMULA(HLOOKUP($B85,"&amp;" IMPORTRANGE('Match Names'!$F$23, CONCAT(VLOOKUP($C85, 'Match Names'!$1:$22, 6, FALSE), ""!C3:R29"")), {5;11;17;23}, FALSE)), ""=4"") + COUNTIF(ARRAYFORMULA(HLOOKUP($B85, IMPORTRANGE('Match Names'!$G$23, CONCAT(VLOOKUP($C85, 'Match Names'!$1:$22, 7, FALSE"&amp;"), ""!C3:R29"")), {5;10;14;22}, FALSE)), ""=4"") + COUNTIF(ARRAYFORMULA(HLOOKUP($B85, IMPORTRANGE('Match Names'!$H$23, CONCAT(VLOOKUP($C85, 'Match Names'!$1:$22, 8, FALSE), ""!C3:R29"")), {5;11;17;23}, FALSE)), ""=4"")"),0.0)</f>
        <v>0</v>
      </c>
      <c r="F85" s="32">
        <f>IFERROR(__xludf.DUMMYFUNCTION("COUNTIF(ARRAYFORMULA(HLOOKUP($B85, IMPORTRANGE('Prelim Rankings Unsorted'!$B$40, CONCAT(VLOOKUP($C85, 'Match Names'!$A$1:$D$22, 2, FALSE), ""!C3:R29"")), {6;11;17;23}, FALSE)), ""=0"") + COUNTIF(ARRAYFORMULA(HLOOKUP($B85, IMPORTRANGE('Prelim Rankings Unso"&amp;"rted'!$B$41, CONCAT(VLOOKUP($C85, 'Match Names'!$A$1:$D$22, 3, FALSE), ""!C3:R29"")), {5;11;17;23}, FALSE)), ""=0"") + COUNTIF(ARRAYFORMULA(HLOOKUP($B85, IMPORTRANGE('Prelim Rankings Unsorted'!$B$42, CONCAT(VLOOKUP($C85, 'Match Names'!$A$1:$D$22, 4, FALSE"&amp;"), ""!C3:R29"")), {5;11;17;23}, FALSE)), ""=0"") + COUNTIF(ARRAYFORMULA(HLOOKUP($B85, IMPORTRANGE('Match Names'!$E$23, CONCAT(VLOOKUP($C85, 'Match Names'!$1:$22, 5, FALSE), ""!C3:R29"")), {6;11;16;21}, FALSE)), ""=0"") + COUNTIF(ARRAYFORMULA(HLOOKUP($B85,"&amp;" IMPORTRANGE('Match Names'!$F$23, CONCAT(VLOOKUP($C85, 'Match Names'!$1:$22, 6, FALSE), ""!C3:R29"")), {5;11;17;23}, FALSE)), ""=0"") + COUNTIF(ARRAYFORMULA(HLOOKUP($B85, IMPORTRANGE('Match Names'!$G$23, CONCAT(VLOOKUP($C85, 'Match Names'!$1:$22, 7, FALSE"&amp;"), ""!C3:R29"")), {5;10;14;22}, FALSE)), ""=0"") + COUNTIF(ARRAYFORMULA(HLOOKUP($B85, IMPORTRANGE('Match Names'!$H$23, CONCAT(VLOOKUP($C85, 'Match Names'!$1:$22, 8, FALSE), ""!C3:R29"")), {5;11;17;23}, FALSE)), ""=0"")"),0.0)</f>
        <v>0</v>
      </c>
      <c r="G85" s="32">
        <f>IFERROR(__xludf.DUMMYFUNCTION("COUNTIF(ARRAYFORMULA(HLOOKUP($B85, IMPORTRANGE('Prelim Rankings Unsorted'!$B$40, CONCAT(VLOOKUP($C85, 'Match Names'!$A$1:$D$22, 2, FALSE), ""!C3:R29"")), {6;11;17;23}, FALSE)), ""=-4"") + COUNTIF(ARRAYFORMULA(HLOOKUP($B85, IMPORTRANGE('Prelim Rankings Uns"&amp;"orted'!$B$41, CONCAT(VLOOKUP($C85, 'Match Names'!$A$1:$D$22, 3, FALSE), ""!C3:R29"")), {5;11;17;23}, FALSE)), ""=-4"") + COUNTIF(ARRAYFORMULA(HLOOKUP($B85, IMPORTRANGE('Prelim Rankings Unsorted'!$B$42, CONCAT(VLOOKUP($C85, 'Match Names'!$A$1:$D$22, 4, FAL"&amp;"SE), ""!C3:R29"")), {5;11;17;23}, FALSE)), ""=-4"") + COUNTIF(ARRAYFORMULA(HLOOKUP($B85, IMPORTRANGE('Match Names'!$E$23, CONCAT(VLOOKUP($C85, 'Match Names'!$1:$22, 5, FALSE), ""!C3:R29"")), {6;11;16;21}, FALSE)), ""=-4"") + COUNTIF(ARRAYFORMULA(HLOOKUP($"&amp;"B85, IMPORTRANGE('Match Names'!$F$23, CONCAT(VLOOKUP($C85, 'Match Names'!$1:$22, 6, FALSE), ""!C3:R29"")), {5;11;17;23}, FALSE)), ""=-4"") + COUNTIF(ARRAYFORMULA(HLOOKUP($B85, IMPORTRANGE('Match Names'!$G$23, CONCAT(VLOOKUP($C85, 'Match Names'!$1:$22, 7, "&amp;"FALSE), ""!C3:R29"")), {5;10;14;22}, FALSE)), ""=-4"") + COUNTIF(ARRAYFORMULA(HLOOKUP($B85, IMPORTRANGE('Match Names'!$H$23, CONCAT(VLOOKUP($C85, 'Match Names'!$1:$22, 8, FALSE), ""!C3:R29"")), {5;11;17;23}, FALSE)), ""=-4"")"),0.0)</f>
        <v>0</v>
      </c>
      <c r="H85" s="33">
        <f t="shared" si="2"/>
        <v>0</v>
      </c>
    </row>
    <row r="86">
      <c r="A86" s="21" t="s">
        <v>37</v>
      </c>
      <c r="B86" s="31" t="str">
        <f>VLOOKUP(CONCAT(A86, C86), 'Discord Username to Real Name'!C:D, 2, FALSE)</f>
        <v>aurum#9391</v>
      </c>
      <c r="C86" s="21" t="s">
        <v>18</v>
      </c>
      <c r="D86" s="32">
        <f>IFERROR(__xludf.DUMMYFUNCTION("(4 - COUNTIF(IFERROR(ARRAYFORMULA(HLOOKUP($B86, IMPORTRANGE('Prelim Rankings Unsorted'!$B$40, CONCAT(VLOOKUP($C86, 'Match Names'!$A$1:$D$22, 2, FALSE), ""!C3:R29"")), {6;11;17;23}, FALSE)), 'Player Overall Stats Unsorted'!$AA$9:$AA$12), ""=X"")) + (4 - CO"&amp;"UNTIF(IFERROR(ARRAYFORMULA(HLOOKUP($B86, IMPORTRANGE('Prelim Rankings Unsorted'!$B$41, CONCAT(VLOOKUP($C86, 'Match Names'!$A$1:$D$22, 3, FALSE), ""!C3:R29"")), {5;11;17;23}, FALSE)), 'Player Overall Stats Unsorted'!$AA$9:$AA$12), ""=X"")) + (4 - COUNTIF(I"&amp;"FERROR(ARRAYFORMULA(HLOOKUP($B86, IMPORTRANGE('Prelim Rankings Unsorted'!$B$42, CONCAT(VLOOKUP($C86, 'Match Names'!$A$1:$D$22, 4, FALSE), ""!C3:R29"")), {5;11;17;23}, FALSE)), 'Player Overall Stats Unsorted'!$AA$9:$AA$12), ""=X"")) + (4 - COUNTIF(IFERROR("&amp;"ARRAYFORMULA(HLOOKUP($B86, IMPORTRANGE('Match Names'!$E$23, CONCAT(VLOOKUP($C86, 'Match Names'!$1:$22, 5, FALSE), ""!C3:R29"")), {5;11;16;21}, FALSE)), 'Player Overall Stats Unsorted'!$AA$9:$AA$12), ""=X"")) + (4 - COUNTIF(IFERROR(ARRAYFORMULA(HLOOKUP($B8"&amp;"6, IMPORTRANGE('Match Names'!$F$23, CONCAT(VLOOKUP($C86, 'Match Names'!$1:$22, 6, FALSE), ""!C3:R29"")), {5;11;17;23}, FALSE)), 'Player Overall Stats Unsorted'!$AA$9:$AA$12), ""=X"")) + (4 - COUNTIF(IFERROR(ARRAYFORMULA(HLOOKUP($B86, IMPORTRANGE('Match Na"&amp;"mes'!$G$23, CONCAT(VLOOKUP($C86, 'Match Names'!$1:$22, 7, FALSE), ""!C3:R29"")), {5;10;14;23}, FALSE)), 'Player Overall Stats Unsorted'!$AA$9:$AA$12), ""=X"")) + (4 - COUNTIF(IFERROR(ARRAYFORMULA(HLOOKUP($B86, IMPORTRANGE('Match Names'!$H$23, CONCAT(VLOOK"&amp;"UP($C86, 'Match Names'!$1:$22, 8, FALSE), ""!C3:R29"")), {5;11;17;23}, FALSE)), 'Player Overall Stats Unsorted'!$AA$9:$AA$12), ""=X""))"),20.0)</f>
        <v>20</v>
      </c>
      <c r="E86" s="32">
        <f>IFERROR(__xludf.DUMMYFUNCTION("COUNTIF(ARRAYFORMULA(HLOOKUP($B86, IMPORTRANGE('Prelim Rankings Unsorted'!$B$40, CONCAT(VLOOKUP($C86, 'Match Names'!$A$1:$D$22, 2, FALSE), ""!C3:R29"")), {6;11;17;23}, FALSE)), ""=4"") + COUNTIF(ARRAYFORMULA(HLOOKUP($B86, IMPORTRANGE('Prelim Rankings Unso"&amp;"rted'!$B$41, CONCAT(VLOOKUP($C86, 'Match Names'!$A$1:$D$22, 3, FALSE), ""!C3:R29"")), {5;11;17;23}, FALSE)), ""=4"") + COUNTIF(ARRAYFORMULA(HLOOKUP($B86, IMPORTRANGE('Prelim Rankings Unsorted'!$B$42, CONCAT(VLOOKUP($C86, 'Match Names'!$A$1:$D$22, 4, FALSE"&amp;"), ""!C3:R29"")), {5;11;17;23}, FALSE)), ""=4"") + COUNTIF(ARRAYFORMULA(HLOOKUP($B86, IMPORTRANGE('Match Names'!$E$23, CONCAT(VLOOKUP($C86, 'Match Names'!$1:$22, 5, FALSE), ""!C3:R29"")), {6;11;16;21}, FALSE)), ""=4"") + COUNTIF(ARRAYFORMULA(HLOOKUP($B86,"&amp;" IMPORTRANGE('Match Names'!$F$23, CONCAT(VLOOKUP($C86, 'Match Names'!$1:$22, 6, FALSE), ""!C3:R29"")), {5;11;17;23}, FALSE)), ""=4"") + COUNTIF(ARRAYFORMULA(HLOOKUP($B86, IMPORTRANGE('Match Names'!$G$23, CONCAT(VLOOKUP($C86, 'Match Names'!$1:$22, 7, FALSE"&amp;"), ""!C3:R29"")), {5;10;14;22}, FALSE)), ""=4"") + COUNTIF(ARRAYFORMULA(HLOOKUP($B86, IMPORTRANGE('Match Names'!$H$23, CONCAT(VLOOKUP($C86, 'Match Names'!$1:$22, 8, FALSE), ""!C3:R29"")), {5;11;17;23}, FALSE)), ""=4"")"),8.0)</f>
        <v>8</v>
      </c>
      <c r="F86" s="32">
        <f>IFERROR(__xludf.DUMMYFUNCTION("COUNTIF(ARRAYFORMULA(HLOOKUP($B86, IMPORTRANGE('Prelim Rankings Unsorted'!$B$40, CONCAT(VLOOKUP($C86, 'Match Names'!$A$1:$D$22, 2, FALSE), ""!C3:R29"")), {6;11;17;23}, FALSE)), ""=0"") + COUNTIF(ARRAYFORMULA(HLOOKUP($B86, IMPORTRANGE('Prelim Rankings Unso"&amp;"rted'!$B$41, CONCAT(VLOOKUP($C86, 'Match Names'!$A$1:$D$22, 3, FALSE), ""!C3:R29"")), {5;11;17;23}, FALSE)), ""=0"") + COUNTIF(ARRAYFORMULA(HLOOKUP($B86, IMPORTRANGE('Prelim Rankings Unsorted'!$B$42, CONCAT(VLOOKUP($C86, 'Match Names'!$A$1:$D$22, 4, FALSE"&amp;"), ""!C3:R29"")), {5;11;17;23}, FALSE)), ""=0"") + COUNTIF(ARRAYFORMULA(HLOOKUP($B86, IMPORTRANGE('Match Names'!$E$23, CONCAT(VLOOKUP($C86, 'Match Names'!$1:$22, 5, FALSE), ""!C3:R29"")), {6;11;16;21}, FALSE)), ""=0"") + COUNTIF(ARRAYFORMULA(HLOOKUP($B86,"&amp;" IMPORTRANGE('Match Names'!$F$23, CONCAT(VLOOKUP($C86, 'Match Names'!$1:$22, 6, FALSE), ""!C3:R29"")), {5;11;17;23}, FALSE)), ""=0"") + COUNTIF(ARRAYFORMULA(HLOOKUP($B86, IMPORTRANGE('Match Names'!$G$23, CONCAT(VLOOKUP($C86, 'Match Names'!$1:$22, 7, FALSE"&amp;"), ""!C3:R29"")), {5;10;14;22}, FALSE)), ""=0"") + COUNTIF(ARRAYFORMULA(HLOOKUP($B86, IMPORTRANGE('Match Names'!$H$23, CONCAT(VLOOKUP($C86, 'Match Names'!$1:$22, 8, FALSE), ""!C3:R29"")), {5;11;17;23}, FALSE)), ""=0"")"),4.0)</f>
        <v>4</v>
      </c>
      <c r="G86" s="32">
        <f>IFERROR(__xludf.DUMMYFUNCTION("COUNTIF(ARRAYFORMULA(HLOOKUP($B86, IMPORTRANGE('Prelim Rankings Unsorted'!$B$40, CONCAT(VLOOKUP($C86, 'Match Names'!$A$1:$D$22, 2, FALSE), ""!C3:R29"")), {6;11;17;23}, FALSE)), ""=-4"") + COUNTIF(ARRAYFORMULA(HLOOKUP($B86, IMPORTRANGE('Prelim Rankings Uns"&amp;"orted'!$B$41, CONCAT(VLOOKUP($C86, 'Match Names'!$A$1:$D$22, 3, FALSE), ""!C3:R29"")), {5;11;17;23}, FALSE)), ""=-4"") + COUNTIF(ARRAYFORMULA(HLOOKUP($B86, IMPORTRANGE('Prelim Rankings Unsorted'!$B$42, CONCAT(VLOOKUP($C86, 'Match Names'!$A$1:$D$22, 4, FAL"&amp;"SE), ""!C3:R29"")), {5;11;17;23}, FALSE)), ""=-4"") + COUNTIF(ARRAYFORMULA(HLOOKUP($B86, IMPORTRANGE('Match Names'!$E$23, CONCAT(VLOOKUP($C86, 'Match Names'!$1:$22, 5, FALSE), ""!C3:R29"")), {6;11;16;21}, FALSE)), ""=-4"") + COUNTIF(ARRAYFORMULA(HLOOKUP($"&amp;"B86, IMPORTRANGE('Match Names'!$F$23, CONCAT(VLOOKUP($C86, 'Match Names'!$1:$22, 6, FALSE), ""!C3:R29"")), {5;11;17;23}, FALSE)), ""=-4"") + COUNTIF(ARRAYFORMULA(HLOOKUP($B86, IMPORTRANGE('Match Names'!$G$23, CONCAT(VLOOKUP($C86, 'Match Names'!$1:$22, 7, "&amp;"FALSE), ""!C3:R29"")), {5;10;14;22}, FALSE)), ""=-4"") + COUNTIF(ARRAYFORMULA(HLOOKUP($B86, IMPORTRANGE('Match Names'!$H$23, CONCAT(VLOOKUP($C86, 'Match Names'!$1:$22, 8, FALSE), ""!C3:R29"")), {5;11;17;23}, FALSE)), ""=-4"")"),0.0)</f>
        <v>0</v>
      </c>
      <c r="H86" s="33">
        <f t="shared" si="2"/>
        <v>6.4</v>
      </c>
    </row>
    <row r="87">
      <c r="A87" s="21" t="s">
        <v>45</v>
      </c>
      <c r="B87" s="31" t="str">
        <f>VLOOKUP(CONCAT(A87, C87), 'Discord Username to Real Name'!C:D, 2, FALSE)</f>
        <v>Rosin#8074</v>
      </c>
      <c r="C87" s="21" t="s">
        <v>18</v>
      </c>
      <c r="D87" s="32">
        <f>IFERROR(__xludf.DUMMYFUNCTION("(4 - COUNTIF(IFERROR(ARRAYFORMULA(HLOOKUP($B87, IMPORTRANGE('Prelim Rankings Unsorted'!$B$40, CONCAT(VLOOKUP($C87, 'Match Names'!$A$1:$D$22, 2, FALSE), ""!C3:R29"")), {6;11;17;23}, FALSE)), 'Player Overall Stats Unsorted'!$AA$9:$AA$12), ""=X"")) + (4 - CO"&amp;"UNTIF(IFERROR(ARRAYFORMULA(HLOOKUP($B87, IMPORTRANGE('Prelim Rankings Unsorted'!$B$41, CONCAT(VLOOKUP($C87, 'Match Names'!$A$1:$D$22, 3, FALSE), ""!C3:R29"")), {5;11;17;23}, FALSE)), 'Player Overall Stats Unsorted'!$AA$9:$AA$12), ""=X"")) + (4 - COUNTIF(I"&amp;"FERROR(ARRAYFORMULA(HLOOKUP($B87, IMPORTRANGE('Prelim Rankings Unsorted'!$B$42, CONCAT(VLOOKUP($C87, 'Match Names'!$A$1:$D$22, 4, FALSE), ""!C3:R29"")), {5;11;17;23}, FALSE)), 'Player Overall Stats Unsorted'!$AA$9:$AA$12), ""=X"")) + (4 - COUNTIF(IFERROR("&amp;"ARRAYFORMULA(HLOOKUP($B87, IMPORTRANGE('Match Names'!$E$23, CONCAT(VLOOKUP($C87, 'Match Names'!$1:$22, 5, FALSE), ""!C3:R29"")), {5;11;16;21}, FALSE)), 'Player Overall Stats Unsorted'!$AA$9:$AA$12), ""=X"")) + (4 - COUNTIF(IFERROR(ARRAYFORMULA(HLOOKUP($B8"&amp;"7, IMPORTRANGE('Match Names'!$F$23, CONCAT(VLOOKUP($C87, 'Match Names'!$1:$22, 6, FALSE), ""!C3:R29"")), {5;11;17;23}, FALSE)), 'Player Overall Stats Unsorted'!$AA$9:$AA$12), ""=X"")) + (4 - COUNTIF(IFERROR(ARRAYFORMULA(HLOOKUP($B87, IMPORTRANGE('Match Na"&amp;"mes'!$G$23, CONCAT(VLOOKUP($C87, 'Match Names'!$1:$22, 7, FALSE), ""!C3:R29"")), {5;10;14;23}, FALSE)), 'Player Overall Stats Unsorted'!$AA$9:$AA$12), ""=X"")) + (4 - COUNTIF(IFERROR(ARRAYFORMULA(HLOOKUP($B87, IMPORTRANGE('Match Names'!$H$23, CONCAT(VLOOK"&amp;"UP($C87, 'Match Names'!$1:$22, 8, FALSE), ""!C3:R29"")), {5;11;17;23}, FALSE)), 'Player Overall Stats Unsorted'!$AA$9:$AA$12), ""=X""))"),8.0)</f>
        <v>8</v>
      </c>
      <c r="E87" s="32">
        <f>IFERROR(__xludf.DUMMYFUNCTION("COUNTIF(ARRAYFORMULA(HLOOKUP($B87, IMPORTRANGE('Prelim Rankings Unsorted'!$B$40, CONCAT(VLOOKUP($C87, 'Match Names'!$A$1:$D$22, 2, FALSE), ""!C3:R29"")), {6;11;17;23}, FALSE)), ""=4"") + COUNTIF(ARRAYFORMULA(HLOOKUP($B87, IMPORTRANGE('Prelim Rankings Unso"&amp;"rted'!$B$41, CONCAT(VLOOKUP($C87, 'Match Names'!$A$1:$D$22, 3, FALSE), ""!C3:R29"")), {5;11;17;23}, FALSE)), ""=4"") + COUNTIF(ARRAYFORMULA(HLOOKUP($B87, IMPORTRANGE('Prelim Rankings Unsorted'!$B$42, CONCAT(VLOOKUP($C87, 'Match Names'!$A$1:$D$22, 4, FALSE"&amp;"), ""!C3:R29"")), {5;11;17;23}, FALSE)), ""=4"") + COUNTIF(ARRAYFORMULA(HLOOKUP($B87, IMPORTRANGE('Match Names'!$E$23, CONCAT(VLOOKUP($C87, 'Match Names'!$1:$22, 5, FALSE), ""!C3:R29"")), {6;11;16;21}, FALSE)), ""=4"") + COUNTIF(ARRAYFORMULA(HLOOKUP($B87,"&amp;" IMPORTRANGE('Match Names'!$F$23, CONCAT(VLOOKUP($C87, 'Match Names'!$1:$22, 6, FALSE), ""!C3:R29"")), {5;11;17;23}, FALSE)), ""=4"") + COUNTIF(ARRAYFORMULA(HLOOKUP($B87, IMPORTRANGE('Match Names'!$G$23, CONCAT(VLOOKUP($C87, 'Match Names'!$1:$22, 7, FALSE"&amp;"), ""!C3:R29"")), {5;10;14;22}, FALSE)), ""=4"") + COUNTIF(ARRAYFORMULA(HLOOKUP($B87, IMPORTRANGE('Match Names'!$H$23, CONCAT(VLOOKUP($C87, 'Match Names'!$1:$22, 8, FALSE), ""!C3:R29"")), {5;11;17;23}, FALSE)), ""=4"")"),0.0)</f>
        <v>0</v>
      </c>
      <c r="F87" s="32">
        <f>IFERROR(__xludf.DUMMYFUNCTION("COUNTIF(ARRAYFORMULA(HLOOKUP($B87, IMPORTRANGE('Prelim Rankings Unsorted'!$B$40, CONCAT(VLOOKUP($C87, 'Match Names'!$A$1:$D$22, 2, FALSE), ""!C3:R29"")), {6;11;17;23}, FALSE)), ""=0"") + COUNTIF(ARRAYFORMULA(HLOOKUP($B87, IMPORTRANGE('Prelim Rankings Unso"&amp;"rted'!$B$41, CONCAT(VLOOKUP($C87, 'Match Names'!$A$1:$D$22, 3, FALSE), ""!C3:R29"")), {5;11;17;23}, FALSE)), ""=0"") + COUNTIF(ARRAYFORMULA(HLOOKUP($B87, IMPORTRANGE('Prelim Rankings Unsorted'!$B$42, CONCAT(VLOOKUP($C87, 'Match Names'!$A$1:$D$22, 4, FALSE"&amp;"), ""!C3:R29"")), {5;11;17;23}, FALSE)), ""=0"") + COUNTIF(ARRAYFORMULA(HLOOKUP($B87, IMPORTRANGE('Match Names'!$E$23, CONCAT(VLOOKUP($C87, 'Match Names'!$1:$22, 5, FALSE), ""!C3:R29"")), {6;11;16;21}, FALSE)), ""=0"") + COUNTIF(ARRAYFORMULA(HLOOKUP($B87,"&amp;" IMPORTRANGE('Match Names'!$F$23, CONCAT(VLOOKUP($C87, 'Match Names'!$1:$22, 6, FALSE), ""!C3:R29"")), {5;11;17;23}, FALSE)), ""=0"") + COUNTIF(ARRAYFORMULA(HLOOKUP($B87, IMPORTRANGE('Match Names'!$G$23, CONCAT(VLOOKUP($C87, 'Match Names'!$1:$22, 7, FALSE"&amp;"), ""!C3:R29"")), {5;10;14;22}, FALSE)), ""=0"") + COUNTIF(ARRAYFORMULA(HLOOKUP($B87, IMPORTRANGE('Match Names'!$H$23, CONCAT(VLOOKUP($C87, 'Match Names'!$1:$22, 8, FALSE), ""!C3:R29"")), {5;11;17;23}, FALSE)), ""=0"")"),0.0)</f>
        <v>0</v>
      </c>
      <c r="G87" s="32">
        <f>IFERROR(__xludf.DUMMYFUNCTION("COUNTIF(ARRAYFORMULA(HLOOKUP($B87, IMPORTRANGE('Prelim Rankings Unsorted'!$B$40, CONCAT(VLOOKUP($C87, 'Match Names'!$A$1:$D$22, 2, FALSE), ""!C3:R29"")), {6;11;17;23}, FALSE)), ""=-4"") + COUNTIF(ARRAYFORMULA(HLOOKUP($B87, IMPORTRANGE('Prelim Rankings Uns"&amp;"orted'!$B$41, CONCAT(VLOOKUP($C87, 'Match Names'!$A$1:$D$22, 3, FALSE), ""!C3:R29"")), {5;11;17;23}, FALSE)), ""=-4"") + COUNTIF(ARRAYFORMULA(HLOOKUP($B87, IMPORTRANGE('Prelim Rankings Unsorted'!$B$42, CONCAT(VLOOKUP($C87, 'Match Names'!$A$1:$D$22, 4, FAL"&amp;"SE), ""!C3:R29"")), {5;11;17;23}, FALSE)), ""=-4"") + COUNTIF(ARRAYFORMULA(HLOOKUP($B87, IMPORTRANGE('Match Names'!$E$23, CONCAT(VLOOKUP($C87, 'Match Names'!$1:$22, 5, FALSE), ""!C3:R29"")), {6;11;16;21}, FALSE)), ""=-4"") + COUNTIF(ARRAYFORMULA(HLOOKUP($"&amp;"B87, IMPORTRANGE('Match Names'!$F$23, CONCAT(VLOOKUP($C87, 'Match Names'!$1:$22, 6, FALSE), ""!C3:R29"")), {5;11;17;23}, FALSE)), ""=-4"") + COUNTIF(ARRAYFORMULA(HLOOKUP($B87, IMPORTRANGE('Match Names'!$G$23, CONCAT(VLOOKUP($C87, 'Match Names'!$1:$22, 7, "&amp;"FALSE), ""!C3:R29"")), {5;10;14;22}, FALSE)), ""=-4"") + COUNTIF(ARRAYFORMULA(HLOOKUP($B87, IMPORTRANGE('Match Names'!$H$23, CONCAT(VLOOKUP($C87, 'Match Names'!$1:$22, 8, FALSE), ""!C3:R29"")), {5;11;17;23}, FALSE)), ""=-4"")"),0.0)</f>
        <v>0</v>
      </c>
      <c r="H87" s="33">
        <f t="shared" si="2"/>
        <v>0</v>
      </c>
    </row>
    <row r="88">
      <c r="A88" s="23" t="s">
        <v>204</v>
      </c>
      <c r="B88" s="31" t="str">
        <f>VLOOKUP(CONCAT(A88, C88), 'Discord Username to Real Name'!C:D, 2, FALSE)</f>
        <v/>
      </c>
      <c r="C88" s="23" t="s">
        <v>18</v>
      </c>
      <c r="D88" s="32">
        <f>IFERROR(__xludf.DUMMYFUNCTION("(4 - COUNTIF(IFERROR(ARRAYFORMULA(HLOOKUP($B88, IMPORTRANGE('Prelim Rankings Unsorted'!$B$40, CONCAT(VLOOKUP($C88, 'Match Names'!$A$1:$D$22, 2, FALSE), ""!C3:R29"")), {6;11;17;23}, FALSE)), 'Player Overall Stats Unsorted'!$AA$9:$AA$12), ""=X"")) + (4 - CO"&amp;"UNTIF(IFERROR(ARRAYFORMULA(HLOOKUP($B88, IMPORTRANGE('Prelim Rankings Unsorted'!$B$41, CONCAT(VLOOKUP($C88, 'Match Names'!$A$1:$D$22, 3, FALSE), ""!C3:R29"")), {5;11;17;23}, FALSE)), 'Player Overall Stats Unsorted'!$AA$9:$AA$12), ""=X"")) + (4 - COUNTIF(I"&amp;"FERROR(ARRAYFORMULA(HLOOKUP($B88, IMPORTRANGE('Prelim Rankings Unsorted'!$B$42, CONCAT(VLOOKUP($C88, 'Match Names'!$A$1:$D$22, 4, FALSE), ""!C3:R29"")), {5;11;17;23}, FALSE)), 'Player Overall Stats Unsorted'!$AA$9:$AA$12), ""=X"")) + (4 - COUNTIF(IFERROR("&amp;"ARRAYFORMULA(HLOOKUP($B88, IMPORTRANGE('Match Names'!$E$23, CONCAT(VLOOKUP($C88, 'Match Names'!$1:$22, 5, FALSE), ""!C3:R29"")), {5;11;16;21}, FALSE)), 'Player Overall Stats Unsorted'!$AA$9:$AA$12), ""=X"")) + (4 - COUNTIF(IFERROR(ARRAYFORMULA(HLOOKUP($B8"&amp;"8, IMPORTRANGE('Match Names'!$F$23, CONCAT(VLOOKUP($C88, 'Match Names'!$1:$22, 6, FALSE), ""!C3:R29"")), {5;11;17;23}, FALSE)), 'Player Overall Stats Unsorted'!$AA$9:$AA$12), ""=X"")) + (4 - COUNTIF(IFERROR(ARRAYFORMULA(HLOOKUP($B88, IMPORTRANGE('Match Na"&amp;"mes'!$G$23, CONCAT(VLOOKUP($C88, 'Match Names'!$1:$22, 7, FALSE), ""!C3:R29"")), {5;10;14;23}, FALSE)), 'Player Overall Stats Unsorted'!$AA$9:$AA$12), ""=X"")) + (4 - COUNTIF(IFERROR(ARRAYFORMULA(HLOOKUP($B88, IMPORTRANGE('Match Names'!$H$23, CONCAT(VLOOK"&amp;"UP($C88, 'Match Names'!$1:$22, 8, FALSE), ""!C3:R29"")), {5;11;17;23}, FALSE)), 'Player Overall Stats Unsorted'!$AA$9:$AA$12), ""=X""))"),0.0)</f>
        <v>0</v>
      </c>
      <c r="E88" s="32">
        <f>IFERROR(__xludf.DUMMYFUNCTION("COUNTIF(ARRAYFORMULA(HLOOKUP($B88, IMPORTRANGE('Prelim Rankings Unsorted'!$B$40, CONCAT(VLOOKUP($C88, 'Match Names'!$A$1:$D$22, 2, FALSE), ""!C3:R29"")), {6;11;17;23}, FALSE)), ""=4"") + COUNTIF(ARRAYFORMULA(HLOOKUP($B88, IMPORTRANGE('Prelim Rankings Unso"&amp;"rted'!$B$41, CONCAT(VLOOKUP($C88, 'Match Names'!$A$1:$D$22, 3, FALSE), ""!C3:R29"")), {5;11;17;23}, FALSE)), ""=4"") + COUNTIF(ARRAYFORMULA(HLOOKUP($B88, IMPORTRANGE('Prelim Rankings Unsorted'!$B$42, CONCAT(VLOOKUP($C88, 'Match Names'!$A$1:$D$22, 4, FALSE"&amp;"), ""!C3:R29"")), {5;11;17;23}, FALSE)), ""=4"") + COUNTIF(ARRAYFORMULA(HLOOKUP($B88, IMPORTRANGE('Match Names'!$E$23, CONCAT(VLOOKUP($C88, 'Match Names'!$1:$22, 5, FALSE), ""!C3:R29"")), {6;11;16;21}, FALSE)), ""=4"") + COUNTIF(ARRAYFORMULA(HLOOKUP($B88,"&amp;" IMPORTRANGE('Match Names'!$F$23, CONCAT(VLOOKUP($C88, 'Match Names'!$1:$22, 6, FALSE), ""!C3:R29"")), {5;11;17;23}, FALSE)), ""=4"") + COUNTIF(ARRAYFORMULA(HLOOKUP($B88, IMPORTRANGE('Match Names'!$G$23, CONCAT(VLOOKUP($C88, 'Match Names'!$1:$22, 7, FALSE"&amp;"), ""!C3:R29"")), {5;10;14;22}, FALSE)), ""=4"") + COUNTIF(ARRAYFORMULA(HLOOKUP($B88, IMPORTRANGE('Match Names'!$H$23, CONCAT(VLOOKUP($C88, 'Match Names'!$1:$22, 8, FALSE), ""!C3:R29"")), {5;11;17;23}, FALSE)), ""=4"")"),0.0)</f>
        <v>0</v>
      </c>
      <c r="F88" s="32">
        <f>IFERROR(__xludf.DUMMYFUNCTION("COUNTIF(ARRAYFORMULA(HLOOKUP($B88, IMPORTRANGE('Prelim Rankings Unsorted'!$B$40, CONCAT(VLOOKUP($C88, 'Match Names'!$A$1:$D$22, 2, FALSE), ""!C3:R29"")), {6;11;17;23}, FALSE)), ""=0"") + COUNTIF(ARRAYFORMULA(HLOOKUP($B88, IMPORTRANGE('Prelim Rankings Unso"&amp;"rted'!$B$41, CONCAT(VLOOKUP($C88, 'Match Names'!$A$1:$D$22, 3, FALSE), ""!C3:R29"")), {5;11;17;23}, FALSE)), ""=0"") + COUNTIF(ARRAYFORMULA(HLOOKUP($B88, IMPORTRANGE('Prelim Rankings Unsorted'!$B$42, CONCAT(VLOOKUP($C88, 'Match Names'!$A$1:$D$22, 4, FALSE"&amp;"), ""!C3:R29"")), {5;11;17;23}, FALSE)), ""=0"") + COUNTIF(ARRAYFORMULA(HLOOKUP($B88, IMPORTRANGE('Match Names'!$E$23, CONCAT(VLOOKUP($C88, 'Match Names'!$1:$22, 5, FALSE), ""!C3:R29"")), {6;11;16;21}, FALSE)), ""=0"") + COUNTIF(ARRAYFORMULA(HLOOKUP($B88,"&amp;" IMPORTRANGE('Match Names'!$F$23, CONCAT(VLOOKUP($C88, 'Match Names'!$1:$22, 6, FALSE), ""!C3:R29"")), {5;11;17;23}, FALSE)), ""=0"") + COUNTIF(ARRAYFORMULA(HLOOKUP($B88, IMPORTRANGE('Match Names'!$G$23, CONCAT(VLOOKUP($C88, 'Match Names'!$1:$22, 7, FALSE"&amp;"), ""!C3:R29"")), {5;10;14;22}, FALSE)), ""=0"") + COUNTIF(ARRAYFORMULA(HLOOKUP($B88, IMPORTRANGE('Match Names'!$H$23, CONCAT(VLOOKUP($C88, 'Match Names'!$1:$22, 8, FALSE), ""!C3:R29"")), {5;11;17;23}, FALSE)), ""=0"")"),0.0)</f>
        <v>0</v>
      </c>
      <c r="G88" s="32">
        <f>IFERROR(__xludf.DUMMYFUNCTION("COUNTIF(ARRAYFORMULA(HLOOKUP($B88, IMPORTRANGE('Prelim Rankings Unsorted'!$B$40, CONCAT(VLOOKUP($C88, 'Match Names'!$A$1:$D$22, 2, FALSE), ""!C3:R29"")), {6;11;17;23}, FALSE)), ""=-4"") + COUNTIF(ARRAYFORMULA(HLOOKUP($B88, IMPORTRANGE('Prelim Rankings Uns"&amp;"orted'!$B$41, CONCAT(VLOOKUP($C88, 'Match Names'!$A$1:$D$22, 3, FALSE), ""!C3:R29"")), {5;11;17;23}, FALSE)), ""=-4"") + COUNTIF(ARRAYFORMULA(HLOOKUP($B88, IMPORTRANGE('Prelim Rankings Unsorted'!$B$42, CONCAT(VLOOKUP($C88, 'Match Names'!$A$1:$D$22, 4, FAL"&amp;"SE), ""!C3:R29"")), {5;11;17;23}, FALSE)), ""=-4"") + COUNTIF(ARRAYFORMULA(HLOOKUP($B88, IMPORTRANGE('Match Names'!$E$23, CONCAT(VLOOKUP($C88, 'Match Names'!$1:$22, 5, FALSE), ""!C3:R29"")), {6;11;16;21}, FALSE)), ""=-4"") + COUNTIF(ARRAYFORMULA(HLOOKUP($"&amp;"B88, IMPORTRANGE('Match Names'!$F$23, CONCAT(VLOOKUP($C88, 'Match Names'!$1:$22, 6, FALSE), ""!C3:R29"")), {5;11;17;23}, FALSE)), ""=-4"") + COUNTIF(ARRAYFORMULA(HLOOKUP($B88, IMPORTRANGE('Match Names'!$G$23, CONCAT(VLOOKUP($C88, 'Match Names'!$1:$22, 7, "&amp;"FALSE), ""!C3:R29"")), {5;10;14;22}, FALSE)), ""=-4"") + COUNTIF(ARRAYFORMULA(HLOOKUP($B88, IMPORTRANGE('Match Names'!$H$23, CONCAT(VLOOKUP($C88, 'Match Names'!$1:$22, 8, FALSE), ""!C3:R29"")), {5;11;17;23}, FALSE)), ""=-4"")"),0.0)</f>
        <v>0</v>
      </c>
      <c r="H88" s="33">
        <f t="shared" si="2"/>
        <v>0</v>
      </c>
    </row>
    <row r="89">
      <c r="A89" s="21" t="s">
        <v>117</v>
      </c>
      <c r="B89" s="31" t="str">
        <f>VLOOKUP(CONCAT(A89, C89), 'Discord Username to Real Name'!C:D, 2, FALSE)</f>
        <v>the-wraith#2013</v>
      </c>
      <c r="C89" s="21" t="s">
        <v>18</v>
      </c>
      <c r="D89" s="32">
        <f>IFERROR(__xludf.DUMMYFUNCTION("(4 - COUNTIF(IFERROR(ARRAYFORMULA(HLOOKUP($B89, IMPORTRANGE('Prelim Rankings Unsorted'!$B$40, CONCAT(VLOOKUP($C89, 'Match Names'!$A$1:$D$22, 2, FALSE), ""!C3:R29"")), {6;11;17;23}, FALSE)), 'Player Overall Stats Unsorted'!$AA$9:$AA$12), ""=X"")) + (4 - CO"&amp;"UNTIF(IFERROR(ARRAYFORMULA(HLOOKUP($B89, IMPORTRANGE('Prelim Rankings Unsorted'!$B$41, CONCAT(VLOOKUP($C89, 'Match Names'!$A$1:$D$22, 3, FALSE), ""!C3:R29"")), {5;11;17;23}, FALSE)), 'Player Overall Stats Unsorted'!$AA$9:$AA$12), ""=X"")) + (4 - COUNTIF(I"&amp;"FERROR(ARRAYFORMULA(HLOOKUP($B89, IMPORTRANGE('Prelim Rankings Unsorted'!$B$42, CONCAT(VLOOKUP($C89, 'Match Names'!$A$1:$D$22, 4, FALSE), ""!C3:R29"")), {5;11;17;23}, FALSE)), 'Player Overall Stats Unsorted'!$AA$9:$AA$12), ""=X"")) + (4 - COUNTIF(IFERROR("&amp;"ARRAYFORMULA(HLOOKUP($B89, IMPORTRANGE('Match Names'!$E$23, CONCAT(VLOOKUP($C89, 'Match Names'!$1:$22, 5, FALSE), ""!C3:R29"")), {5;11;16;21}, FALSE)), 'Player Overall Stats Unsorted'!$AA$9:$AA$12), ""=X"")) + (4 - COUNTIF(IFERROR(ARRAYFORMULA(HLOOKUP($B8"&amp;"9, IMPORTRANGE('Match Names'!$F$23, CONCAT(VLOOKUP($C89, 'Match Names'!$1:$22, 6, FALSE), ""!C3:R29"")), {5;11;17;23}, FALSE)), 'Player Overall Stats Unsorted'!$AA$9:$AA$12), ""=X"")) + (4 - COUNTIF(IFERROR(ARRAYFORMULA(HLOOKUP($B89, IMPORTRANGE('Match Na"&amp;"mes'!$G$23, CONCAT(VLOOKUP($C89, 'Match Names'!$1:$22, 7, FALSE), ""!C3:R29"")), {5;10;14;23}, FALSE)), 'Player Overall Stats Unsorted'!$AA$9:$AA$12), ""=X"")) + (4 - COUNTIF(IFERROR(ARRAYFORMULA(HLOOKUP($B89, IMPORTRANGE('Match Names'!$H$23, CONCAT(VLOOK"&amp;"UP($C89, 'Match Names'!$1:$22, 8, FALSE), ""!C3:R29"")), {5;11;17;23}, FALSE)), 'Player Overall Stats Unsorted'!$AA$9:$AA$12), ""=X""))"),20.0)</f>
        <v>20</v>
      </c>
      <c r="E89" s="32">
        <f>IFERROR(__xludf.DUMMYFUNCTION("COUNTIF(ARRAYFORMULA(HLOOKUP($B89, IMPORTRANGE('Prelim Rankings Unsorted'!$B$40, CONCAT(VLOOKUP($C89, 'Match Names'!$A$1:$D$22, 2, FALSE), ""!C3:R29"")), {6;11;17;23}, FALSE)), ""=4"") + COUNTIF(ARRAYFORMULA(HLOOKUP($B89, IMPORTRANGE('Prelim Rankings Unso"&amp;"rted'!$B$41, CONCAT(VLOOKUP($C89, 'Match Names'!$A$1:$D$22, 3, FALSE), ""!C3:R29"")), {5;11;17;23}, FALSE)), ""=4"") + COUNTIF(ARRAYFORMULA(HLOOKUP($B89, IMPORTRANGE('Prelim Rankings Unsorted'!$B$42, CONCAT(VLOOKUP($C89, 'Match Names'!$A$1:$D$22, 4, FALSE"&amp;"), ""!C3:R29"")), {5;11;17;23}, FALSE)), ""=4"") + COUNTIF(ARRAYFORMULA(HLOOKUP($B89, IMPORTRANGE('Match Names'!$E$23, CONCAT(VLOOKUP($C89, 'Match Names'!$1:$22, 5, FALSE), ""!C3:R29"")), {6;11;16;21}, FALSE)), ""=4"") + COUNTIF(ARRAYFORMULA(HLOOKUP($B89,"&amp;" IMPORTRANGE('Match Names'!$F$23, CONCAT(VLOOKUP($C89, 'Match Names'!$1:$22, 6, FALSE), ""!C3:R29"")), {5;11;17;23}, FALSE)), ""=4"") + COUNTIF(ARRAYFORMULA(HLOOKUP($B89, IMPORTRANGE('Match Names'!$G$23, CONCAT(VLOOKUP($C89, 'Match Names'!$1:$22, 7, FALSE"&amp;"), ""!C3:R29"")), {5;10;14;22}, FALSE)), ""=4"") + COUNTIF(ARRAYFORMULA(HLOOKUP($B89, IMPORTRANGE('Match Names'!$H$23, CONCAT(VLOOKUP($C89, 'Match Names'!$1:$22, 8, FALSE), ""!C3:R29"")), {5;11;17;23}, FALSE)), ""=4"")"),1.0)</f>
        <v>1</v>
      </c>
      <c r="F89" s="32">
        <f>IFERROR(__xludf.DUMMYFUNCTION("COUNTIF(ARRAYFORMULA(HLOOKUP($B89, IMPORTRANGE('Prelim Rankings Unsorted'!$B$40, CONCAT(VLOOKUP($C89, 'Match Names'!$A$1:$D$22, 2, FALSE), ""!C3:R29"")), {6;11;17;23}, FALSE)), ""=0"") + COUNTIF(ARRAYFORMULA(HLOOKUP($B89, IMPORTRANGE('Prelim Rankings Unso"&amp;"rted'!$B$41, CONCAT(VLOOKUP($C89, 'Match Names'!$A$1:$D$22, 3, FALSE), ""!C3:R29"")), {5;11;17;23}, FALSE)), ""=0"") + COUNTIF(ARRAYFORMULA(HLOOKUP($B89, IMPORTRANGE('Prelim Rankings Unsorted'!$B$42, CONCAT(VLOOKUP($C89, 'Match Names'!$A$1:$D$22, 4, FALSE"&amp;"), ""!C3:R29"")), {5;11;17;23}, FALSE)), ""=0"") + COUNTIF(ARRAYFORMULA(HLOOKUP($B89, IMPORTRANGE('Match Names'!$E$23, CONCAT(VLOOKUP($C89, 'Match Names'!$1:$22, 5, FALSE), ""!C3:R29"")), {6;11;16;21}, FALSE)), ""=0"") + COUNTIF(ARRAYFORMULA(HLOOKUP($B89,"&amp;" IMPORTRANGE('Match Names'!$F$23, CONCAT(VLOOKUP($C89, 'Match Names'!$1:$22, 6, FALSE), ""!C3:R29"")), {5;11;17;23}, FALSE)), ""=0"") + COUNTIF(ARRAYFORMULA(HLOOKUP($B89, IMPORTRANGE('Match Names'!$G$23, CONCAT(VLOOKUP($C89, 'Match Names'!$1:$22, 7, FALSE"&amp;"), ""!C3:R29"")), {5;10;14;22}, FALSE)), ""=0"") + COUNTIF(ARRAYFORMULA(HLOOKUP($B89, IMPORTRANGE('Match Names'!$H$23, CONCAT(VLOOKUP($C89, 'Match Names'!$1:$22, 8, FALSE), ""!C3:R29"")), {5;11;17;23}, FALSE)), ""=0"")"),0.0)</f>
        <v>0</v>
      </c>
      <c r="G89" s="32">
        <f>IFERROR(__xludf.DUMMYFUNCTION("COUNTIF(ARRAYFORMULA(HLOOKUP($B89, IMPORTRANGE('Prelim Rankings Unsorted'!$B$40, CONCAT(VLOOKUP($C89, 'Match Names'!$A$1:$D$22, 2, FALSE), ""!C3:R29"")), {6;11;17;23}, FALSE)), ""=-4"") + COUNTIF(ARRAYFORMULA(HLOOKUP($B89, IMPORTRANGE('Prelim Rankings Uns"&amp;"orted'!$B$41, CONCAT(VLOOKUP($C89, 'Match Names'!$A$1:$D$22, 3, FALSE), ""!C3:R29"")), {5;11;17;23}, FALSE)), ""=-4"") + COUNTIF(ARRAYFORMULA(HLOOKUP($B89, IMPORTRANGE('Prelim Rankings Unsorted'!$B$42, CONCAT(VLOOKUP($C89, 'Match Names'!$A$1:$D$22, 4, FAL"&amp;"SE), ""!C3:R29"")), {5;11;17;23}, FALSE)), ""=-4"") + COUNTIF(ARRAYFORMULA(HLOOKUP($B89, IMPORTRANGE('Match Names'!$E$23, CONCAT(VLOOKUP($C89, 'Match Names'!$1:$22, 5, FALSE), ""!C3:R29"")), {6;11;16;21}, FALSE)), ""=-4"") + COUNTIF(ARRAYFORMULA(HLOOKUP($"&amp;"B89, IMPORTRANGE('Match Names'!$F$23, CONCAT(VLOOKUP($C89, 'Match Names'!$1:$22, 6, FALSE), ""!C3:R29"")), {5;11;17;23}, FALSE)), ""=-4"") + COUNTIF(ARRAYFORMULA(HLOOKUP($B89, IMPORTRANGE('Match Names'!$G$23, CONCAT(VLOOKUP($C89, 'Match Names'!$1:$22, 7, "&amp;"FALSE), ""!C3:R29"")), {5;10;14;22}, FALSE)), ""=-4"") + COUNTIF(ARRAYFORMULA(HLOOKUP($B89, IMPORTRANGE('Match Names'!$H$23, CONCAT(VLOOKUP($C89, 'Match Names'!$1:$22, 8, FALSE), ""!C3:R29"")), {5;11;17;23}, FALSE)), ""=-4"")"),0.0)</f>
        <v>0</v>
      </c>
      <c r="H89" s="33">
        <f t="shared" si="2"/>
        <v>0.8</v>
      </c>
    </row>
    <row r="90">
      <c r="A90" s="21" t="s">
        <v>78</v>
      </c>
      <c r="B90" s="31" t="str">
        <f>VLOOKUP(CONCAT(A90, C90), 'Discord Username to Real Name'!C:D, 2, FALSE)</f>
        <v>avaebe#2714</v>
      </c>
      <c r="C90" s="21" t="s">
        <v>18</v>
      </c>
      <c r="D90" s="32">
        <f>IFERROR(__xludf.DUMMYFUNCTION("(4 - COUNTIF(IFERROR(ARRAYFORMULA(HLOOKUP($B90, IMPORTRANGE('Prelim Rankings Unsorted'!$B$40, CONCAT(VLOOKUP($C90, 'Match Names'!$A$1:$D$22, 2, FALSE), ""!C3:R29"")), {6;11;17;23}, FALSE)), 'Player Overall Stats Unsorted'!$AA$9:$AA$12), ""=X"")) + (4 - CO"&amp;"UNTIF(IFERROR(ARRAYFORMULA(HLOOKUP($B90, IMPORTRANGE('Prelim Rankings Unsorted'!$B$41, CONCAT(VLOOKUP($C90, 'Match Names'!$A$1:$D$22, 3, FALSE), ""!C3:R29"")), {5;11;17;23}, FALSE)), 'Player Overall Stats Unsorted'!$AA$9:$AA$12), ""=X"")) + (4 - COUNTIF(I"&amp;"FERROR(ARRAYFORMULA(HLOOKUP($B90, IMPORTRANGE('Prelim Rankings Unsorted'!$B$42, CONCAT(VLOOKUP($C90, 'Match Names'!$A$1:$D$22, 4, FALSE), ""!C3:R29"")), {5;11;17;23}, FALSE)), 'Player Overall Stats Unsorted'!$AA$9:$AA$12), ""=X"")) + (4 - COUNTIF(IFERROR("&amp;"ARRAYFORMULA(HLOOKUP($B90, IMPORTRANGE('Match Names'!$E$23, CONCAT(VLOOKUP($C90, 'Match Names'!$1:$22, 5, FALSE), ""!C3:R29"")), {5;11;16;21}, FALSE)), 'Player Overall Stats Unsorted'!$AA$9:$AA$12), ""=X"")) + (4 - COUNTIF(IFERROR(ARRAYFORMULA(HLOOKUP($B9"&amp;"0, IMPORTRANGE('Match Names'!$F$23, CONCAT(VLOOKUP($C90, 'Match Names'!$1:$22, 6, FALSE), ""!C3:R29"")), {5;11;17;23}, FALSE)), 'Player Overall Stats Unsorted'!$AA$9:$AA$12), ""=X"")) + (4 - COUNTIF(IFERROR(ARRAYFORMULA(HLOOKUP($B90, IMPORTRANGE('Match Na"&amp;"mes'!$G$23, CONCAT(VLOOKUP($C90, 'Match Names'!$1:$22, 7, FALSE), ""!C3:R29"")), {5;10;14;23}, FALSE)), 'Player Overall Stats Unsorted'!$AA$9:$AA$12), ""=X"")) + (4 - COUNTIF(IFERROR(ARRAYFORMULA(HLOOKUP($B90, IMPORTRANGE('Match Names'!$H$23, CONCAT(VLOOK"&amp;"UP($C90, 'Match Names'!$1:$22, 8, FALSE), ""!C3:R29"")), {5;11;17;23}, FALSE)), 'Player Overall Stats Unsorted'!$AA$9:$AA$12), ""=X""))"),12.0)</f>
        <v>12</v>
      </c>
      <c r="E90" s="32">
        <f>IFERROR(__xludf.DUMMYFUNCTION("COUNTIF(ARRAYFORMULA(HLOOKUP($B90, IMPORTRANGE('Prelim Rankings Unsorted'!$B$40, CONCAT(VLOOKUP($C90, 'Match Names'!$A$1:$D$22, 2, FALSE), ""!C3:R29"")), {6;11;17;23}, FALSE)), ""=4"") + COUNTIF(ARRAYFORMULA(HLOOKUP($B90, IMPORTRANGE('Prelim Rankings Unso"&amp;"rted'!$B$41, CONCAT(VLOOKUP($C90, 'Match Names'!$A$1:$D$22, 3, FALSE), ""!C3:R29"")), {5;11;17;23}, FALSE)), ""=4"") + COUNTIF(ARRAYFORMULA(HLOOKUP($B90, IMPORTRANGE('Prelim Rankings Unsorted'!$B$42, CONCAT(VLOOKUP($C90, 'Match Names'!$A$1:$D$22, 4, FALSE"&amp;"), ""!C3:R29"")), {5;11;17;23}, FALSE)), ""=4"") + COUNTIF(ARRAYFORMULA(HLOOKUP($B90, IMPORTRANGE('Match Names'!$E$23, CONCAT(VLOOKUP($C90, 'Match Names'!$1:$22, 5, FALSE), ""!C3:R29"")), {6;11;16;21}, FALSE)), ""=4"") + COUNTIF(ARRAYFORMULA(HLOOKUP($B90,"&amp;" IMPORTRANGE('Match Names'!$F$23, CONCAT(VLOOKUP($C90, 'Match Names'!$1:$22, 6, FALSE), ""!C3:R29"")), {5;11;17;23}, FALSE)), ""=4"") + COUNTIF(ARRAYFORMULA(HLOOKUP($B90, IMPORTRANGE('Match Names'!$G$23, CONCAT(VLOOKUP($C90, 'Match Names'!$1:$22, 7, FALSE"&amp;"), ""!C3:R29"")), {5;10;14;22}, FALSE)), ""=4"") + COUNTIF(ARRAYFORMULA(HLOOKUP($B90, IMPORTRANGE('Match Names'!$H$23, CONCAT(VLOOKUP($C90, 'Match Names'!$1:$22, 8, FALSE), ""!C3:R29"")), {5;11;17;23}, FALSE)), ""=4"")"),0.0)</f>
        <v>0</v>
      </c>
      <c r="F90" s="32">
        <f>IFERROR(__xludf.DUMMYFUNCTION("COUNTIF(ARRAYFORMULA(HLOOKUP($B90, IMPORTRANGE('Prelim Rankings Unsorted'!$B$40, CONCAT(VLOOKUP($C90, 'Match Names'!$A$1:$D$22, 2, FALSE), ""!C3:R29"")), {6;11;17;23}, FALSE)), ""=0"") + COUNTIF(ARRAYFORMULA(HLOOKUP($B90, IMPORTRANGE('Prelim Rankings Unso"&amp;"rted'!$B$41, CONCAT(VLOOKUP($C90, 'Match Names'!$A$1:$D$22, 3, FALSE), ""!C3:R29"")), {5;11;17;23}, FALSE)), ""=0"") + COUNTIF(ARRAYFORMULA(HLOOKUP($B90, IMPORTRANGE('Prelim Rankings Unsorted'!$B$42, CONCAT(VLOOKUP($C90, 'Match Names'!$A$1:$D$22, 4, FALSE"&amp;"), ""!C3:R29"")), {5;11;17;23}, FALSE)), ""=0"") + COUNTIF(ARRAYFORMULA(HLOOKUP($B90, IMPORTRANGE('Match Names'!$E$23, CONCAT(VLOOKUP($C90, 'Match Names'!$1:$22, 5, FALSE), ""!C3:R29"")), {6;11;16;21}, FALSE)), ""=0"") + COUNTIF(ARRAYFORMULA(HLOOKUP($B90,"&amp;" IMPORTRANGE('Match Names'!$F$23, CONCAT(VLOOKUP($C90, 'Match Names'!$1:$22, 6, FALSE), ""!C3:R29"")), {5;11;17;23}, FALSE)), ""=0"") + COUNTIF(ARRAYFORMULA(HLOOKUP($B90, IMPORTRANGE('Match Names'!$G$23, CONCAT(VLOOKUP($C90, 'Match Names'!$1:$22, 7, FALSE"&amp;"), ""!C3:R29"")), {5;10;14;22}, FALSE)), ""=0"") + COUNTIF(ARRAYFORMULA(HLOOKUP($B90, IMPORTRANGE('Match Names'!$H$23, CONCAT(VLOOKUP($C90, 'Match Names'!$1:$22, 8, FALSE), ""!C3:R29"")), {5;11;17;23}, FALSE)), ""=0"")"),0.0)</f>
        <v>0</v>
      </c>
      <c r="G90" s="32">
        <f>IFERROR(__xludf.DUMMYFUNCTION("COUNTIF(ARRAYFORMULA(HLOOKUP($B90, IMPORTRANGE('Prelim Rankings Unsorted'!$B$40, CONCAT(VLOOKUP($C90, 'Match Names'!$A$1:$D$22, 2, FALSE), ""!C3:R29"")), {6;11;17;23}, FALSE)), ""=-4"") + COUNTIF(ARRAYFORMULA(HLOOKUP($B90, IMPORTRANGE('Prelim Rankings Uns"&amp;"orted'!$B$41, CONCAT(VLOOKUP($C90, 'Match Names'!$A$1:$D$22, 3, FALSE), ""!C3:R29"")), {5;11;17;23}, FALSE)), ""=-4"") + COUNTIF(ARRAYFORMULA(HLOOKUP($B90, IMPORTRANGE('Prelim Rankings Unsorted'!$B$42, CONCAT(VLOOKUP($C90, 'Match Names'!$A$1:$D$22, 4, FAL"&amp;"SE), ""!C3:R29"")), {5;11;17;23}, FALSE)), ""=-4"") + COUNTIF(ARRAYFORMULA(HLOOKUP($B90, IMPORTRANGE('Match Names'!$E$23, CONCAT(VLOOKUP($C90, 'Match Names'!$1:$22, 5, FALSE), ""!C3:R29"")), {6;11;16;21}, FALSE)), ""=-4"") + COUNTIF(ARRAYFORMULA(HLOOKUP($"&amp;"B90, IMPORTRANGE('Match Names'!$F$23, CONCAT(VLOOKUP($C90, 'Match Names'!$1:$22, 6, FALSE), ""!C3:R29"")), {5;11;17;23}, FALSE)), ""=-4"") + COUNTIF(ARRAYFORMULA(HLOOKUP($B90, IMPORTRANGE('Match Names'!$G$23, CONCAT(VLOOKUP($C90, 'Match Names'!$1:$22, 7, "&amp;"FALSE), ""!C3:R29"")), {5;10;14;22}, FALSE)), ""=-4"") + COUNTIF(ARRAYFORMULA(HLOOKUP($B90, IMPORTRANGE('Match Names'!$H$23, CONCAT(VLOOKUP($C90, 'Match Names'!$1:$22, 8, FALSE), ""!C3:R29"")), {5;11;17;23}, FALSE)), ""=-4"")"),0.0)</f>
        <v>0</v>
      </c>
      <c r="H90" s="33">
        <f t="shared" si="2"/>
        <v>0</v>
      </c>
    </row>
    <row r="91">
      <c r="A91" s="21" t="s">
        <v>70</v>
      </c>
      <c r="B91" s="31" t="str">
        <f>VLOOKUP(CONCAT(A91, C91), 'Discord Username to Real Name'!C:D, 2, FALSE)</f>
        <v>aloevera42#2760</v>
      </c>
      <c r="C91" s="21" t="s">
        <v>28</v>
      </c>
      <c r="D91" s="32">
        <f>IFERROR(__xludf.DUMMYFUNCTION("(4 - COUNTIF(IFERROR(ARRAYFORMULA(HLOOKUP($B91, IMPORTRANGE('Prelim Rankings Unsorted'!$B$40, CONCAT(VLOOKUP($C91, 'Match Names'!$A$1:$D$22, 2, FALSE), ""!C3:R29"")), {6;11;17;23}, FALSE)), 'Player Overall Stats Unsorted'!$AA$9:$AA$12), ""=X"")) + (4 - CO"&amp;"UNTIF(IFERROR(ARRAYFORMULA(HLOOKUP($B91, IMPORTRANGE('Prelim Rankings Unsorted'!$B$41, CONCAT(VLOOKUP($C91, 'Match Names'!$A$1:$D$22, 3, FALSE), ""!C3:R29"")), {5;11;17;23}, FALSE)), 'Player Overall Stats Unsorted'!$AA$9:$AA$12), ""=X"")) + (4 - COUNTIF(I"&amp;"FERROR(ARRAYFORMULA(HLOOKUP($B91, IMPORTRANGE('Prelim Rankings Unsorted'!$B$42, CONCAT(VLOOKUP($C91, 'Match Names'!$A$1:$D$22, 4, FALSE), ""!C3:R29"")), {5;11;17;23}, FALSE)), 'Player Overall Stats Unsorted'!$AA$9:$AA$12), ""=X"")) + (4 - COUNTIF(IFERROR("&amp;"ARRAYFORMULA(HLOOKUP($B91, IMPORTRANGE('Match Names'!$E$23, CONCAT(VLOOKUP($C91, 'Match Names'!$1:$22, 5, FALSE), ""!C3:R29"")), {5;11;16;21}, FALSE)), 'Player Overall Stats Unsorted'!$AA$9:$AA$12), ""=X"")) + (4 - COUNTIF(IFERROR(ARRAYFORMULA(HLOOKUP($B9"&amp;"1, IMPORTRANGE('Match Names'!$F$23, CONCAT(VLOOKUP($C91, 'Match Names'!$1:$22, 6, FALSE), ""!C3:R29"")), {5;11;17;23}, FALSE)), 'Player Overall Stats Unsorted'!$AA$9:$AA$12), ""=X"")) + (4 - COUNTIF(IFERROR(ARRAYFORMULA(HLOOKUP($B91, IMPORTRANGE('Match Na"&amp;"mes'!$G$23, CONCAT(VLOOKUP($C91, 'Match Names'!$1:$22, 7, FALSE), ""!C3:R29"")), {5;10;14;23}, FALSE)), 'Player Overall Stats Unsorted'!$AA$9:$AA$12), ""=X"")) + (4 - COUNTIF(IFERROR(ARRAYFORMULA(HLOOKUP($B91, IMPORTRANGE('Match Names'!$H$23, CONCAT(VLOOK"&amp;"UP($C91, 'Match Names'!$1:$22, 8, FALSE), ""!C3:R29"")), {5;11;17;23}, FALSE)), 'Player Overall Stats Unsorted'!$AA$9:$AA$12), ""=X""))"),16.0)</f>
        <v>16</v>
      </c>
      <c r="E91" s="32">
        <f>IFERROR(__xludf.DUMMYFUNCTION("COUNTIF(ARRAYFORMULA(HLOOKUP($B91, IMPORTRANGE('Prelim Rankings Unsorted'!$B$40, CONCAT(VLOOKUP($C91, 'Match Names'!$A$1:$D$22, 2, FALSE), ""!C3:R29"")), {6;11;17;23}, FALSE)), ""=4"") + COUNTIF(ARRAYFORMULA(HLOOKUP($B91, IMPORTRANGE('Prelim Rankings Unso"&amp;"rted'!$B$41, CONCAT(VLOOKUP($C91, 'Match Names'!$A$1:$D$22, 3, FALSE), ""!C3:R29"")), {5;11;17;23}, FALSE)), ""=4"") + COUNTIF(ARRAYFORMULA(HLOOKUP($B91, IMPORTRANGE('Prelim Rankings Unsorted'!$B$42, CONCAT(VLOOKUP($C91, 'Match Names'!$A$1:$D$22, 4, FALSE"&amp;"), ""!C3:R29"")), {5;11;17;23}, FALSE)), ""=4"") + COUNTIF(ARRAYFORMULA(HLOOKUP($B91, IMPORTRANGE('Match Names'!$E$23, CONCAT(VLOOKUP($C91, 'Match Names'!$1:$22, 5, FALSE), ""!C3:R29"")), {6;11;16;21}, FALSE)), ""=4"") + COUNTIF(ARRAYFORMULA(HLOOKUP($B91,"&amp;" IMPORTRANGE('Match Names'!$F$23, CONCAT(VLOOKUP($C91, 'Match Names'!$1:$22, 6, FALSE), ""!C3:R29"")), {5;11;17;23}, FALSE)), ""=4"") + COUNTIF(ARRAYFORMULA(HLOOKUP($B91, IMPORTRANGE('Match Names'!$G$23, CONCAT(VLOOKUP($C91, 'Match Names'!$1:$22, 7, FALSE"&amp;"), ""!C3:R29"")), {5;10;14;22}, FALSE)), ""=4"") + COUNTIF(ARRAYFORMULA(HLOOKUP($B91, IMPORTRANGE('Match Names'!$H$23, CONCAT(VLOOKUP($C91, 'Match Names'!$1:$22, 8, FALSE), ""!C3:R29"")), {5;11;17;23}, FALSE)), ""=4"")"),0.0)</f>
        <v>0</v>
      </c>
      <c r="F91" s="32">
        <f>IFERROR(__xludf.DUMMYFUNCTION("COUNTIF(ARRAYFORMULA(HLOOKUP($B91, IMPORTRANGE('Prelim Rankings Unsorted'!$B$40, CONCAT(VLOOKUP($C91, 'Match Names'!$A$1:$D$22, 2, FALSE), ""!C3:R29"")), {6;11;17;23}, FALSE)), ""=0"") + COUNTIF(ARRAYFORMULA(HLOOKUP($B91, IMPORTRANGE('Prelim Rankings Unso"&amp;"rted'!$B$41, CONCAT(VLOOKUP($C91, 'Match Names'!$A$1:$D$22, 3, FALSE), ""!C3:R29"")), {5;11;17;23}, FALSE)), ""=0"") + COUNTIF(ARRAYFORMULA(HLOOKUP($B91, IMPORTRANGE('Prelim Rankings Unsorted'!$B$42, CONCAT(VLOOKUP($C91, 'Match Names'!$A$1:$D$22, 4, FALSE"&amp;"), ""!C3:R29"")), {5;11;17;23}, FALSE)), ""=0"") + COUNTIF(ARRAYFORMULA(HLOOKUP($B91, IMPORTRANGE('Match Names'!$E$23, CONCAT(VLOOKUP($C91, 'Match Names'!$1:$22, 5, FALSE), ""!C3:R29"")), {6;11;16;21}, FALSE)), ""=0"") + COUNTIF(ARRAYFORMULA(HLOOKUP($B91,"&amp;" IMPORTRANGE('Match Names'!$F$23, CONCAT(VLOOKUP($C91, 'Match Names'!$1:$22, 6, FALSE), ""!C3:R29"")), {5;11;17;23}, FALSE)), ""=0"") + COUNTIF(ARRAYFORMULA(HLOOKUP($B91, IMPORTRANGE('Match Names'!$G$23, CONCAT(VLOOKUP($C91, 'Match Names'!$1:$22, 7, FALSE"&amp;"), ""!C3:R29"")), {5;10;14;22}, FALSE)), ""=0"") + COUNTIF(ARRAYFORMULA(HLOOKUP($B91, IMPORTRANGE('Match Names'!$H$23, CONCAT(VLOOKUP($C91, 'Match Names'!$1:$22, 8, FALSE), ""!C3:R29"")), {5;11;17;23}, FALSE)), ""=0"")"),0.0)</f>
        <v>0</v>
      </c>
      <c r="G91" s="32">
        <f>IFERROR(__xludf.DUMMYFUNCTION("COUNTIF(ARRAYFORMULA(HLOOKUP($B91, IMPORTRANGE('Prelim Rankings Unsorted'!$B$40, CONCAT(VLOOKUP($C91, 'Match Names'!$A$1:$D$22, 2, FALSE), ""!C3:R29"")), {6;11;17;23}, FALSE)), ""=-4"") + COUNTIF(ARRAYFORMULA(HLOOKUP($B91, IMPORTRANGE('Prelim Rankings Uns"&amp;"orted'!$B$41, CONCAT(VLOOKUP($C91, 'Match Names'!$A$1:$D$22, 3, FALSE), ""!C3:R29"")), {5;11;17;23}, FALSE)), ""=-4"") + COUNTIF(ARRAYFORMULA(HLOOKUP($B91, IMPORTRANGE('Prelim Rankings Unsorted'!$B$42, CONCAT(VLOOKUP($C91, 'Match Names'!$A$1:$D$22, 4, FAL"&amp;"SE), ""!C3:R29"")), {5;11;17;23}, FALSE)), ""=-4"") + COUNTIF(ARRAYFORMULA(HLOOKUP($B91, IMPORTRANGE('Match Names'!$E$23, CONCAT(VLOOKUP($C91, 'Match Names'!$1:$22, 5, FALSE), ""!C3:R29"")), {6;11;16;21}, FALSE)), ""=-4"") + COUNTIF(ARRAYFORMULA(HLOOKUP($"&amp;"B91, IMPORTRANGE('Match Names'!$F$23, CONCAT(VLOOKUP($C91, 'Match Names'!$1:$22, 6, FALSE), ""!C3:R29"")), {5;11;17;23}, FALSE)), ""=-4"") + COUNTIF(ARRAYFORMULA(HLOOKUP($B91, IMPORTRANGE('Match Names'!$G$23, CONCAT(VLOOKUP($C91, 'Match Names'!$1:$22, 7, "&amp;"FALSE), ""!C3:R29"")), {5;10;14;22}, FALSE)), ""=-4"") + COUNTIF(ARRAYFORMULA(HLOOKUP($B91, IMPORTRANGE('Match Names'!$H$23, CONCAT(VLOOKUP($C91, 'Match Names'!$1:$22, 8, FALSE), ""!C3:R29"")), {5;11;17;23}, FALSE)), ""=-4"")"),0.0)</f>
        <v>0</v>
      </c>
      <c r="H91" s="33">
        <f t="shared" si="2"/>
        <v>0</v>
      </c>
    </row>
    <row r="92">
      <c r="A92" s="21" t="s">
        <v>69</v>
      </c>
      <c r="B92" s="31" t="str">
        <f>VLOOKUP(CONCAT(A92, C92), 'Discord Username to Real Name'!C:D, 2, FALSE)</f>
        <v>Cows#0460</v>
      </c>
      <c r="C92" s="21" t="s">
        <v>28</v>
      </c>
      <c r="D92" s="32">
        <f>IFERROR(__xludf.DUMMYFUNCTION("(4 - COUNTIF(IFERROR(ARRAYFORMULA(HLOOKUP($B92, IMPORTRANGE('Prelim Rankings Unsorted'!$B$40, CONCAT(VLOOKUP($C92, 'Match Names'!$A$1:$D$22, 2, FALSE), ""!C3:R29"")), {6;11;17;23}, FALSE)), 'Player Overall Stats Unsorted'!$AA$9:$AA$12), ""=X"")) + (4 - CO"&amp;"UNTIF(IFERROR(ARRAYFORMULA(HLOOKUP($B92, IMPORTRANGE('Prelim Rankings Unsorted'!$B$41, CONCAT(VLOOKUP($C92, 'Match Names'!$A$1:$D$22, 3, FALSE), ""!C3:R29"")), {5;11;17;23}, FALSE)), 'Player Overall Stats Unsorted'!$AA$9:$AA$12), ""=X"")) + (4 - COUNTIF(I"&amp;"FERROR(ARRAYFORMULA(HLOOKUP($B92, IMPORTRANGE('Prelim Rankings Unsorted'!$B$42, CONCAT(VLOOKUP($C92, 'Match Names'!$A$1:$D$22, 4, FALSE), ""!C3:R29"")), {5;11;17;23}, FALSE)), 'Player Overall Stats Unsorted'!$AA$9:$AA$12), ""=X"")) + (4 - COUNTIF(IFERROR("&amp;"ARRAYFORMULA(HLOOKUP($B92, IMPORTRANGE('Match Names'!$E$23, CONCAT(VLOOKUP($C92, 'Match Names'!$1:$22, 5, FALSE), ""!C3:R29"")), {5;11;16;21}, FALSE)), 'Player Overall Stats Unsorted'!$AA$9:$AA$12), ""=X"")) + (4 - COUNTIF(IFERROR(ARRAYFORMULA(HLOOKUP($B9"&amp;"2, IMPORTRANGE('Match Names'!$F$23, CONCAT(VLOOKUP($C92, 'Match Names'!$1:$22, 6, FALSE), ""!C3:R29"")), {5;11;17;23}, FALSE)), 'Player Overall Stats Unsorted'!$AA$9:$AA$12), ""=X"")) + (4 - COUNTIF(IFERROR(ARRAYFORMULA(HLOOKUP($B92, IMPORTRANGE('Match Na"&amp;"mes'!$G$23, CONCAT(VLOOKUP($C92, 'Match Names'!$1:$22, 7, FALSE), ""!C3:R29"")), {5;10;14;23}, FALSE)), 'Player Overall Stats Unsorted'!$AA$9:$AA$12), ""=X"")) + (4 - COUNTIF(IFERROR(ARRAYFORMULA(HLOOKUP($B92, IMPORTRANGE('Match Names'!$H$23, CONCAT(VLOOK"&amp;"UP($C92, 'Match Names'!$1:$22, 8, FALSE), ""!C3:R29"")), {5;11;17;23}, FALSE)), 'Player Overall Stats Unsorted'!$AA$9:$AA$12), ""=X""))"),16.0)</f>
        <v>16</v>
      </c>
      <c r="E92" s="32">
        <f>IFERROR(__xludf.DUMMYFUNCTION("COUNTIF(ARRAYFORMULA(HLOOKUP($B92, IMPORTRANGE('Prelim Rankings Unsorted'!$B$40, CONCAT(VLOOKUP($C92, 'Match Names'!$A$1:$D$22, 2, FALSE), ""!C3:R29"")), {6;11;17;23}, FALSE)), ""=4"") + COUNTIF(ARRAYFORMULA(HLOOKUP($B92, IMPORTRANGE('Prelim Rankings Unso"&amp;"rted'!$B$41, CONCAT(VLOOKUP($C92, 'Match Names'!$A$1:$D$22, 3, FALSE), ""!C3:R29"")), {5;11;17;23}, FALSE)), ""=4"") + COUNTIF(ARRAYFORMULA(HLOOKUP($B92, IMPORTRANGE('Prelim Rankings Unsorted'!$B$42, CONCAT(VLOOKUP($C92, 'Match Names'!$A$1:$D$22, 4, FALSE"&amp;"), ""!C3:R29"")), {5;11;17;23}, FALSE)), ""=4"") + COUNTIF(ARRAYFORMULA(HLOOKUP($B92, IMPORTRANGE('Match Names'!$E$23, CONCAT(VLOOKUP($C92, 'Match Names'!$1:$22, 5, FALSE), ""!C3:R29"")), {6;11;16;21}, FALSE)), ""=4"") + COUNTIF(ARRAYFORMULA(HLOOKUP($B92,"&amp;" IMPORTRANGE('Match Names'!$F$23, CONCAT(VLOOKUP($C92, 'Match Names'!$1:$22, 6, FALSE), ""!C3:R29"")), {5;11;17;23}, FALSE)), ""=4"") + COUNTIF(ARRAYFORMULA(HLOOKUP($B92, IMPORTRANGE('Match Names'!$G$23, CONCAT(VLOOKUP($C92, 'Match Names'!$1:$22, 7, FALSE"&amp;"), ""!C3:R29"")), {5;10;14;22}, FALSE)), ""=4"") + COUNTIF(ARRAYFORMULA(HLOOKUP($B92, IMPORTRANGE('Match Names'!$H$23, CONCAT(VLOOKUP($C92, 'Match Names'!$1:$22, 8, FALSE), ""!C3:R29"")), {5;11;17;23}, FALSE)), ""=4"")"),7.0)</f>
        <v>7</v>
      </c>
      <c r="F92" s="32">
        <f>IFERROR(__xludf.DUMMYFUNCTION("COUNTIF(ARRAYFORMULA(HLOOKUP($B92, IMPORTRANGE('Prelim Rankings Unsorted'!$B$40, CONCAT(VLOOKUP($C92, 'Match Names'!$A$1:$D$22, 2, FALSE), ""!C3:R29"")), {6;11;17;23}, FALSE)), ""=0"") + COUNTIF(ARRAYFORMULA(HLOOKUP($B92, IMPORTRANGE('Prelim Rankings Unso"&amp;"rted'!$B$41, CONCAT(VLOOKUP($C92, 'Match Names'!$A$1:$D$22, 3, FALSE), ""!C3:R29"")), {5;11;17;23}, FALSE)), ""=0"") + COUNTIF(ARRAYFORMULA(HLOOKUP($B92, IMPORTRANGE('Prelim Rankings Unsorted'!$B$42, CONCAT(VLOOKUP($C92, 'Match Names'!$A$1:$D$22, 4, FALSE"&amp;"), ""!C3:R29"")), {5;11;17;23}, FALSE)), ""=0"") + COUNTIF(ARRAYFORMULA(HLOOKUP($B92, IMPORTRANGE('Match Names'!$E$23, CONCAT(VLOOKUP($C92, 'Match Names'!$1:$22, 5, FALSE), ""!C3:R29"")), {6;11;16;21}, FALSE)), ""=0"") + COUNTIF(ARRAYFORMULA(HLOOKUP($B92,"&amp;" IMPORTRANGE('Match Names'!$F$23, CONCAT(VLOOKUP($C92, 'Match Names'!$1:$22, 6, FALSE), ""!C3:R29"")), {5;11;17;23}, FALSE)), ""=0"") + COUNTIF(ARRAYFORMULA(HLOOKUP($B92, IMPORTRANGE('Match Names'!$G$23, CONCAT(VLOOKUP($C92, 'Match Names'!$1:$22, 7, FALSE"&amp;"), ""!C3:R29"")), {5;10;14;22}, FALSE)), ""=0"") + COUNTIF(ARRAYFORMULA(HLOOKUP($B92, IMPORTRANGE('Match Names'!$H$23, CONCAT(VLOOKUP($C92, 'Match Names'!$1:$22, 8, FALSE), ""!C3:R29"")), {5;11;17;23}, FALSE)), ""=0"")"),1.0)</f>
        <v>1</v>
      </c>
      <c r="G92" s="32">
        <f>IFERROR(__xludf.DUMMYFUNCTION("COUNTIF(ARRAYFORMULA(HLOOKUP($B92, IMPORTRANGE('Prelim Rankings Unsorted'!$B$40, CONCAT(VLOOKUP($C92, 'Match Names'!$A$1:$D$22, 2, FALSE), ""!C3:R29"")), {6;11;17;23}, FALSE)), ""=-4"") + COUNTIF(ARRAYFORMULA(HLOOKUP($B92, IMPORTRANGE('Prelim Rankings Uns"&amp;"orted'!$B$41, CONCAT(VLOOKUP($C92, 'Match Names'!$A$1:$D$22, 3, FALSE), ""!C3:R29"")), {5;11;17;23}, FALSE)), ""=-4"") + COUNTIF(ARRAYFORMULA(HLOOKUP($B92, IMPORTRANGE('Prelim Rankings Unsorted'!$B$42, CONCAT(VLOOKUP($C92, 'Match Names'!$A$1:$D$22, 4, FAL"&amp;"SE), ""!C3:R29"")), {5;11;17;23}, FALSE)), ""=-4"") + COUNTIF(ARRAYFORMULA(HLOOKUP($B92, IMPORTRANGE('Match Names'!$E$23, CONCAT(VLOOKUP($C92, 'Match Names'!$1:$22, 5, FALSE), ""!C3:R29"")), {6;11;16;21}, FALSE)), ""=-4"") + COUNTIF(ARRAYFORMULA(HLOOKUP($"&amp;"B92, IMPORTRANGE('Match Names'!$F$23, CONCAT(VLOOKUP($C92, 'Match Names'!$1:$22, 6, FALSE), ""!C3:R29"")), {5;11;17;23}, FALSE)), ""=-4"") + COUNTIF(ARRAYFORMULA(HLOOKUP($B92, IMPORTRANGE('Match Names'!$G$23, CONCAT(VLOOKUP($C92, 'Match Names'!$1:$22, 7, "&amp;"FALSE), ""!C3:R29"")), {5;10;14;22}, FALSE)), ""=-4"") + COUNTIF(ARRAYFORMULA(HLOOKUP($B92, IMPORTRANGE('Match Names'!$H$23, CONCAT(VLOOKUP($C92, 'Match Names'!$1:$22, 8, FALSE), ""!C3:R29"")), {5;11;17;23}, FALSE)), ""=-4"")"),2.0)</f>
        <v>2</v>
      </c>
      <c r="H92" s="33">
        <f t="shared" si="2"/>
        <v>5</v>
      </c>
    </row>
    <row r="93">
      <c r="A93" s="21" t="s">
        <v>176</v>
      </c>
      <c r="B93" s="31" t="str">
        <f>VLOOKUP(CONCAT(A93, C93), 'Discord Username to Real Name'!C:D, 2, FALSE)</f>
        <v>aryc702#7517</v>
      </c>
      <c r="C93" s="21" t="s">
        <v>28</v>
      </c>
      <c r="D93" s="32">
        <f>IFERROR(__xludf.DUMMYFUNCTION("(4 - COUNTIF(IFERROR(ARRAYFORMULA(HLOOKUP($B93, IMPORTRANGE('Prelim Rankings Unsorted'!$B$40, CONCAT(VLOOKUP($C93, 'Match Names'!$A$1:$D$22, 2, FALSE), ""!C3:R29"")), {6;11;17;23}, FALSE)), 'Player Overall Stats Unsorted'!$AA$9:$AA$12), ""=X"")) + (4 - CO"&amp;"UNTIF(IFERROR(ARRAYFORMULA(HLOOKUP($B93, IMPORTRANGE('Prelim Rankings Unsorted'!$B$41, CONCAT(VLOOKUP($C93, 'Match Names'!$A$1:$D$22, 3, FALSE), ""!C3:R29"")), {5;11;17;23}, FALSE)), 'Player Overall Stats Unsorted'!$AA$9:$AA$12), ""=X"")) + (4 - COUNTIF(I"&amp;"FERROR(ARRAYFORMULA(HLOOKUP($B93, IMPORTRANGE('Prelim Rankings Unsorted'!$B$42, CONCAT(VLOOKUP($C93, 'Match Names'!$A$1:$D$22, 4, FALSE), ""!C3:R29"")), {5;11;17;23}, FALSE)), 'Player Overall Stats Unsorted'!$AA$9:$AA$12), ""=X"")) + (4 - COUNTIF(IFERROR("&amp;"ARRAYFORMULA(HLOOKUP($B93, IMPORTRANGE('Match Names'!$E$23, CONCAT(VLOOKUP($C93, 'Match Names'!$1:$22, 5, FALSE), ""!C3:R29"")), {5;11;16;21}, FALSE)), 'Player Overall Stats Unsorted'!$AA$9:$AA$12), ""=X"")) + (4 - COUNTIF(IFERROR(ARRAYFORMULA(HLOOKUP($B9"&amp;"3, IMPORTRANGE('Match Names'!$F$23, CONCAT(VLOOKUP($C93, 'Match Names'!$1:$22, 6, FALSE), ""!C3:R29"")), {5;11;17;23}, FALSE)), 'Player Overall Stats Unsorted'!$AA$9:$AA$12), ""=X"")) + (4 - COUNTIF(IFERROR(ARRAYFORMULA(HLOOKUP($B93, IMPORTRANGE('Match Na"&amp;"mes'!$G$23, CONCAT(VLOOKUP($C93, 'Match Names'!$1:$22, 7, FALSE), ""!C3:R29"")), {5;10;14;23}, FALSE)), 'Player Overall Stats Unsorted'!$AA$9:$AA$12), ""=X"")) + (4 - COUNTIF(IFERROR(ARRAYFORMULA(HLOOKUP($B93, IMPORTRANGE('Match Names'!$H$23, CONCAT(VLOOK"&amp;"UP($C93, 'Match Names'!$1:$22, 8, FALSE), ""!C3:R29"")), {5;11;17;23}, FALSE)), 'Player Overall Stats Unsorted'!$AA$9:$AA$12), ""=X""))"),12.0)</f>
        <v>12</v>
      </c>
      <c r="E93" s="32">
        <f>IFERROR(__xludf.DUMMYFUNCTION("COUNTIF(ARRAYFORMULA(HLOOKUP($B93, IMPORTRANGE('Prelim Rankings Unsorted'!$B$40, CONCAT(VLOOKUP($C93, 'Match Names'!$A$1:$D$22, 2, FALSE), ""!C3:R29"")), {6;11;17;23}, FALSE)), ""=4"") + COUNTIF(ARRAYFORMULA(HLOOKUP($B93, IMPORTRANGE('Prelim Rankings Unso"&amp;"rted'!$B$41, CONCAT(VLOOKUP($C93, 'Match Names'!$A$1:$D$22, 3, FALSE), ""!C3:R29"")), {5;11;17;23}, FALSE)), ""=4"") + COUNTIF(ARRAYFORMULA(HLOOKUP($B93, IMPORTRANGE('Prelim Rankings Unsorted'!$B$42, CONCAT(VLOOKUP($C93, 'Match Names'!$A$1:$D$22, 4, FALSE"&amp;"), ""!C3:R29"")), {5;11;17;23}, FALSE)), ""=4"") + COUNTIF(ARRAYFORMULA(HLOOKUP($B93, IMPORTRANGE('Match Names'!$E$23, CONCAT(VLOOKUP($C93, 'Match Names'!$1:$22, 5, FALSE), ""!C3:R29"")), {6;11;16;21}, FALSE)), ""=4"") + COUNTIF(ARRAYFORMULA(HLOOKUP($B93,"&amp;" IMPORTRANGE('Match Names'!$F$23, CONCAT(VLOOKUP($C93, 'Match Names'!$1:$22, 6, FALSE), ""!C3:R29"")), {5;11;17;23}, FALSE)), ""=4"") + COUNTIF(ARRAYFORMULA(HLOOKUP($B93, IMPORTRANGE('Match Names'!$G$23, CONCAT(VLOOKUP($C93, 'Match Names'!$1:$22, 7, FALSE"&amp;"), ""!C3:R29"")), {5;10;14;22}, FALSE)), ""=4"") + COUNTIF(ARRAYFORMULA(HLOOKUP($B93, IMPORTRANGE('Match Names'!$H$23, CONCAT(VLOOKUP($C93, 'Match Names'!$1:$22, 8, FALSE), ""!C3:R29"")), {5;11;17;23}, FALSE)), ""=4"")"),0.0)</f>
        <v>0</v>
      </c>
      <c r="F93" s="32">
        <f>IFERROR(__xludf.DUMMYFUNCTION("COUNTIF(ARRAYFORMULA(HLOOKUP($B93, IMPORTRANGE('Prelim Rankings Unsorted'!$B$40, CONCAT(VLOOKUP($C93, 'Match Names'!$A$1:$D$22, 2, FALSE), ""!C3:R29"")), {6;11;17;23}, FALSE)), ""=0"") + COUNTIF(ARRAYFORMULA(HLOOKUP($B93, IMPORTRANGE('Prelim Rankings Unso"&amp;"rted'!$B$41, CONCAT(VLOOKUP($C93, 'Match Names'!$A$1:$D$22, 3, FALSE), ""!C3:R29"")), {5;11;17;23}, FALSE)), ""=0"") + COUNTIF(ARRAYFORMULA(HLOOKUP($B93, IMPORTRANGE('Prelim Rankings Unsorted'!$B$42, CONCAT(VLOOKUP($C93, 'Match Names'!$A$1:$D$22, 4, FALSE"&amp;"), ""!C3:R29"")), {5;11;17;23}, FALSE)), ""=0"") + COUNTIF(ARRAYFORMULA(HLOOKUP($B93, IMPORTRANGE('Match Names'!$E$23, CONCAT(VLOOKUP($C93, 'Match Names'!$1:$22, 5, FALSE), ""!C3:R29"")), {6;11;16;21}, FALSE)), ""=0"") + COUNTIF(ARRAYFORMULA(HLOOKUP($B93,"&amp;" IMPORTRANGE('Match Names'!$F$23, CONCAT(VLOOKUP($C93, 'Match Names'!$1:$22, 6, FALSE), ""!C3:R29"")), {5;11;17;23}, FALSE)), ""=0"") + COUNTIF(ARRAYFORMULA(HLOOKUP($B93, IMPORTRANGE('Match Names'!$G$23, CONCAT(VLOOKUP($C93, 'Match Names'!$1:$22, 7, FALSE"&amp;"), ""!C3:R29"")), {5;10;14;22}, FALSE)), ""=0"") + COUNTIF(ARRAYFORMULA(HLOOKUP($B93, IMPORTRANGE('Match Names'!$H$23, CONCAT(VLOOKUP($C93, 'Match Names'!$1:$22, 8, FALSE), ""!C3:R29"")), {5;11;17;23}, FALSE)), ""=0"")"),0.0)</f>
        <v>0</v>
      </c>
      <c r="G93" s="32">
        <f>IFERROR(__xludf.DUMMYFUNCTION("COUNTIF(ARRAYFORMULA(HLOOKUP($B93, IMPORTRANGE('Prelim Rankings Unsorted'!$B$40, CONCAT(VLOOKUP($C93, 'Match Names'!$A$1:$D$22, 2, FALSE), ""!C3:R29"")), {6;11;17;23}, FALSE)), ""=-4"") + COUNTIF(ARRAYFORMULA(HLOOKUP($B93, IMPORTRANGE('Prelim Rankings Uns"&amp;"orted'!$B$41, CONCAT(VLOOKUP($C93, 'Match Names'!$A$1:$D$22, 3, FALSE), ""!C3:R29"")), {5;11;17;23}, FALSE)), ""=-4"") + COUNTIF(ARRAYFORMULA(HLOOKUP($B93, IMPORTRANGE('Prelim Rankings Unsorted'!$B$42, CONCAT(VLOOKUP($C93, 'Match Names'!$A$1:$D$22, 4, FAL"&amp;"SE), ""!C3:R29"")), {5;11;17;23}, FALSE)), ""=-4"") + COUNTIF(ARRAYFORMULA(HLOOKUP($B93, IMPORTRANGE('Match Names'!$E$23, CONCAT(VLOOKUP($C93, 'Match Names'!$1:$22, 5, FALSE), ""!C3:R29"")), {6;11;16;21}, FALSE)), ""=-4"") + COUNTIF(ARRAYFORMULA(HLOOKUP($"&amp;"B93, IMPORTRANGE('Match Names'!$F$23, CONCAT(VLOOKUP($C93, 'Match Names'!$1:$22, 6, FALSE), ""!C3:R29"")), {5;11;17;23}, FALSE)), ""=-4"") + COUNTIF(ARRAYFORMULA(HLOOKUP($B93, IMPORTRANGE('Match Names'!$G$23, CONCAT(VLOOKUP($C93, 'Match Names'!$1:$22, 7, "&amp;"FALSE), ""!C3:R29"")), {5;10;14;22}, FALSE)), ""=-4"") + COUNTIF(ARRAYFORMULA(HLOOKUP($B93, IMPORTRANGE('Match Names'!$H$23, CONCAT(VLOOKUP($C93, 'Match Names'!$1:$22, 8, FALSE), ""!C3:R29"")), {5;11;17;23}, FALSE)), ""=-4"")"),0.0)</f>
        <v>0</v>
      </c>
      <c r="H93" s="33">
        <f t="shared" si="2"/>
        <v>0</v>
      </c>
    </row>
    <row r="94">
      <c r="A94" s="21" t="s">
        <v>97</v>
      </c>
      <c r="B94" s="31" t="str">
        <f>VLOOKUP(CONCAT(A94, C94), 'Discord Username to Real Name'!C:D, 2, FALSE)</f>
        <v>very_creative_name#1358</v>
      </c>
      <c r="C94" s="21" t="s">
        <v>28</v>
      </c>
      <c r="D94" s="32">
        <f>IFERROR(__xludf.DUMMYFUNCTION("(4 - COUNTIF(IFERROR(ARRAYFORMULA(HLOOKUP($B94, IMPORTRANGE('Prelim Rankings Unsorted'!$B$40, CONCAT(VLOOKUP($C94, 'Match Names'!$A$1:$D$22, 2, FALSE), ""!C3:R29"")), {6;11;17;23}, FALSE)), 'Player Overall Stats Unsorted'!$AA$9:$AA$12), ""=X"")) + (4 - CO"&amp;"UNTIF(IFERROR(ARRAYFORMULA(HLOOKUP($B94, IMPORTRANGE('Prelim Rankings Unsorted'!$B$41, CONCAT(VLOOKUP($C94, 'Match Names'!$A$1:$D$22, 3, FALSE), ""!C3:R29"")), {5;11;17;23}, FALSE)), 'Player Overall Stats Unsorted'!$AA$9:$AA$12), ""=X"")) + (4 - COUNTIF(I"&amp;"FERROR(ARRAYFORMULA(HLOOKUP($B94, IMPORTRANGE('Prelim Rankings Unsorted'!$B$42, CONCAT(VLOOKUP($C94, 'Match Names'!$A$1:$D$22, 4, FALSE), ""!C3:R29"")), {5;11;17;23}, FALSE)), 'Player Overall Stats Unsorted'!$AA$9:$AA$12), ""=X"")) + (4 - COUNTIF(IFERROR("&amp;"ARRAYFORMULA(HLOOKUP($B94, IMPORTRANGE('Match Names'!$E$23, CONCAT(VLOOKUP($C94, 'Match Names'!$1:$22, 5, FALSE), ""!C3:R29"")), {5;11;16;21}, FALSE)), 'Player Overall Stats Unsorted'!$AA$9:$AA$12), ""=X"")) + (4 - COUNTIF(IFERROR(ARRAYFORMULA(HLOOKUP($B9"&amp;"4, IMPORTRANGE('Match Names'!$F$23, CONCAT(VLOOKUP($C94, 'Match Names'!$1:$22, 6, FALSE), ""!C3:R29"")), {5;11;17;23}, FALSE)), 'Player Overall Stats Unsorted'!$AA$9:$AA$12), ""=X"")) + (4 - COUNTIF(IFERROR(ARRAYFORMULA(HLOOKUP($B94, IMPORTRANGE('Match Na"&amp;"mes'!$G$23, CONCAT(VLOOKUP($C94, 'Match Names'!$1:$22, 7, FALSE), ""!C3:R29"")), {5;10;14;23}, FALSE)), 'Player Overall Stats Unsorted'!$AA$9:$AA$12), ""=X"")) + (4 - COUNTIF(IFERROR(ARRAYFORMULA(HLOOKUP($B94, IMPORTRANGE('Match Names'!$H$23, CONCAT(VLOOK"&amp;"UP($C94, 'Match Names'!$1:$22, 8, FALSE), ""!C3:R29"")), {5;11;17;23}, FALSE)), 'Player Overall Stats Unsorted'!$AA$9:$AA$12), ""=X""))"),8.0)</f>
        <v>8</v>
      </c>
      <c r="E94" s="32">
        <f>IFERROR(__xludf.DUMMYFUNCTION("COUNTIF(ARRAYFORMULA(HLOOKUP($B94, IMPORTRANGE('Prelim Rankings Unsorted'!$B$40, CONCAT(VLOOKUP($C94, 'Match Names'!$A$1:$D$22, 2, FALSE), ""!C3:R29"")), {6;11;17;23}, FALSE)), ""=4"") + COUNTIF(ARRAYFORMULA(HLOOKUP($B94, IMPORTRANGE('Prelim Rankings Unso"&amp;"rted'!$B$41, CONCAT(VLOOKUP($C94, 'Match Names'!$A$1:$D$22, 3, FALSE), ""!C3:R29"")), {5;11;17;23}, FALSE)), ""=4"") + COUNTIF(ARRAYFORMULA(HLOOKUP($B94, IMPORTRANGE('Prelim Rankings Unsorted'!$B$42, CONCAT(VLOOKUP($C94, 'Match Names'!$A$1:$D$22, 4, FALSE"&amp;"), ""!C3:R29"")), {5;11;17;23}, FALSE)), ""=4"") + COUNTIF(ARRAYFORMULA(HLOOKUP($B94, IMPORTRANGE('Match Names'!$E$23, CONCAT(VLOOKUP($C94, 'Match Names'!$1:$22, 5, FALSE), ""!C3:R29"")), {6;11;16;21}, FALSE)), ""=4"") + COUNTIF(ARRAYFORMULA(HLOOKUP($B94,"&amp;" IMPORTRANGE('Match Names'!$F$23, CONCAT(VLOOKUP($C94, 'Match Names'!$1:$22, 6, FALSE), ""!C3:R29"")), {5;11;17;23}, FALSE)), ""=4"") + COUNTIF(ARRAYFORMULA(HLOOKUP($B94, IMPORTRANGE('Match Names'!$G$23, CONCAT(VLOOKUP($C94, 'Match Names'!$1:$22, 7, FALSE"&amp;"), ""!C3:R29"")), {5;10;14;22}, FALSE)), ""=4"") + COUNTIF(ARRAYFORMULA(HLOOKUP($B94, IMPORTRANGE('Match Names'!$H$23, CONCAT(VLOOKUP($C94, 'Match Names'!$1:$22, 8, FALSE), ""!C3:R29"")), {5;11;17;23}, FALSE)), ""=4"")"),0.0)</f>
        <v>0</v>
      </c>
      <c r="F94" s="32">
        <f>IFERROR(__xludf.DUMMYFUNCTION("COUNTIF(ARRAYFORMULA(HLOOKUP($B94, IMPORTRANGE('Prelim Rankings Unsorted'!$B$40, CONCAT(VLOOKUP($C94, 'Match Names'!$A$1:$D$22, 2, FALSE), ""!C3:R29"")), {6;11;17;23}, FALSE)), ""=0"") + COUNTIF(ARRAYFORMULA(HLOOKUP($B94, IMPORTRANGE('Prelim Rankings Unso"&amp;"rted'!$B$41, CONCAT(VLOOKUP($C94, 'Match Names'!$A$1:$D$22, 3, FALSE), ""!C3:R29"")), {5;11;17;23}, FALSE)), ""=0"") + COUNTIF(ARRAYFORMULA(HLOOKUP($B94, IMPORTRANGE('Prelim Rankings Unsorted'!$B$42, CONCAT(VLOOKUP($C94, 'Match Names'!$A$1:$D$22, 4, FALSE"&amp;"), ""!C3:R29"")), {5;11;17;23}, FALSE)), ""=0"") + COUNTIF(ARRAYFORMULA(HLOOKUP($B94, IMPORTRANGE('Match Names'!$E$23, CONCAT(VLOOKUP($C94, 'Match Names'!$1:$22, 5, FALSE), ""!C3:R29"")), {6;11;16;21}, FALSE)), ""=0"") + COUNTIF(ARRAYFORMULA(HLOOKUP($B94,"&amp;" IMPORTRANGE('Match Names'!$F$23, CONCAT(VLOOKUP($C94, 'Match Names'!$1:$22, 6, FALSE), ""!C3:R29"")), {5;11;17;23}, FALSE)), ""=0"") + COUNTIF(ARRAYFORMULA(HLOOKUP($B94, IMPORTRANGE('Match Names'!$G$23, CONCAT(VLOOKUP($C94, 'Match Names'!$1:$22, 7, FALSE"&amp;"), ""!C3:R29"")), {5;10;14;22}, FALSE)), ""=0"") + COUNTIF(ARRAYFORMULA(HLOOKUP($B94, IMPORTRANGE('Match Names'!$H$23, CONCAT(VLOOKUP($C94, 'Match Names'!$1:$22, 8, FALSE), ""!C3:R29"")), {5;11;17;23}, FALSE)), ""=0"")"),0.0)</f>
        <v>0</v>
      </c>
      <c r="G94" s="32">
        <f>IFERROR(__xludf.DUMMYFUNCTION("COUNTIF(ARRAYFORMULA(HLOOKUP($B94, IMPORTRANGE('Prelim Rankings Unsorted'!$B$40, CONCAT(VLOOKUP($C94, 'Match Names'!$A$1:$D$22, 2, FALSE), ""!C3:R29"")), {6;11;17;23}, FALSE)), ""=-4"") + COUNTIF(ARRAYFORMULA(HLOOKUP($B94, IMPORTRANGE('Prelim Rankings Uns"&amp;"orted'!$B$41, CONCAT(VLOOKUP($C94, 'Match Names'!$A$1:$D$22, 3, FALSE), ""!C3:R29"")), {5;11;17;23}, FALSE)), ""=-4"") + COUNTIF(ARRAYFORMULA(HLOOKUP($B94, IMPORTRANGE('Prelim Rankings Unsorted'!$B$42, CONCAT(VLOOKUP($C94, 'Match Names'!$A$1:$D$22, 4, FAL"&amp;"SE), ""!C3:R29"")), {5;11;17;23}, FALSE)), ""=-4"") + COUNTIF(ARRAYFORMULA(HLOOKUP($B94, IMPORTRANGE('Match Names'!$E$23, CONCAT(VLOOKUP($C94, 'Match Names'!$1:$22, 5, FALSE), ""!C3:R29"")), {6;11;16;21}, FALSE)), ""=-4"") + COUNTIF(ARRAYFORMULA(HLOOKUP($"&amp;"B94, IMPORTRANGE('Match Names'!$F$23, CONCAT(VLOOKUP($C94, 'Match Names'!$1:$22, 6, FALSE), ""!C3:R29"")), {5;11;17;23}, FALSE)), ""=-4"") + COUNTIF(ARRAYFORMULA(HLOOKUP($B94, IMPORTRANGE('Match Names'!$G$23, CONCAT(VLOOKUP($C94, 'Match Names'!$1:$22, 7, "&amp;"FALSE), ""!C3:R29"")), {5;10;14;22}, FALSE)), ""=-4"") + COUNTIF(ARRAYFORMULA(HLOOKUP($B94, IMPORTRANGE('Match Names'!$H$23, CONCAT(VLOOKUP($C94, 'Match Names'!$1:$22, 8, FALSE), ""!C3:R29"")), {5;11;17;23}, FALSE)), ""=-4"")"),0.0)</f>
        <v>0</v>
      </c>
      <c r="H94" s="33">
        <f t="shared" si="2"/>
        <v>0</v>
      </c>
    </row>
    <row r="95">
      <c r="A95" s="21" t="s">
        <v>111</v>
      </c>
      <c r="B95" s="31" t="str">
        <f>VLOOKUP(CONCAT(A95, C95), 'Discord Username to Real Name'!C:D, 2, FALSE)</f>
        <v>margaret#3477</v>
      </c>
      <c r="C95" s="21" t="s">
        <v>28</v>
      </c>
      <c r="D95" s="32">
        <f>IFERROR(__xludf.DUMMYFUNCTION("(4 - COUNTIF(IFERROR(ARRAYFORMULA(HLOOKUP($B95, IMPORTRANGE('Prelim Rankings Unsorted'!$B$40, CONCAT(VLOOKUP($C95, 'Match Names'!$A$1:$D$22, 2, FALSE), ""!C3:R29"")), {6;11;17;23}, FALSE)), 'Player Overall Stats Unsorted'!$AA$9:$AA$12), ""=X"")) + (4 - CO"&amp;"UNTIF(IFERROR(ARRAYFORMULA(HLOOKUP($B95, IMPORTRANGE('Prelim Rankings Unsorted'!$B$41, CONCAT(VLOOKUP($C95, 'Match Names'!$A$1:$D$22, 3, FALSE), ""!C3:R29"")), {5;11;17;23}, FALSE)), 'Player Overall Stats Unsorted'!$AA$9:$AA$12), ""=X"")) + (4 - COUNTIF(I"&amp;"FERROR(ARRAYFORMULA(HLOOKUP($B95, IMPORTRANGE('Prelim Rankings Unsorted'!$B$42, CONCAT(VLOOKUP($C95, 'Match Names'!$A$1:$D$22, 4, FALSE), ""!C3:R29"")), {5;11;17;23}, FALSE)), 'Player Overall Stats Unsorted'!$AA$9:$AA$12), ""=X"")) + (4 - COUNTIF(IFERROR("&amp;"ARRAYFORMULA(HLOOKUP($B95, IMPORTRANGE('Match Names'!$E$23, CONCAT(VLOOKUP($C95, 'Match Names'!$1:$22, 5, FALSE), ""!C3:R29"")), {5;11;16;21}, FALSE)), 'Player Overall Stats Unsorted'!$AA$9:$AA$12), ""=X"")) + (4 - COUNTIF(IFERROR(ARRAYFORMULA(HLOOKUP($B9"&amp;"5, IMPORTRANGE('Match Names'!$F$23, CONCAT(VLOOKUP($C95, 'Match Names'!$1:$22, 6, FALSE), ""!C3:R29"")), {5;11;17;23}, FALSE)), 'Player Overall Stats Unsorted'!$AA$9:$AA$12), ""=X"")) + (4 - COUNTIF(IFERROR(ARRAYFORMULA(HLOOKUP($B95, IMPORTRANGE('Match Na"&amp;"mes'!$G$23, CONCAT(VLOOKUP($C95, 'Match Names'!$1:$22, 7, FALSE), ""!C3:R29"")), {5;10;14;23}, FALSE)), 'Player Overall Stats Unsorted'!$AA$9:$AA$12), ""=X"")) + (4 - COUNTIF(IFERROR(ARRAYFORMULA(HLOOKUP($B95, IMPORTRANGE('Match Names'!$H$23, CONCAT(VLOOK"&amp;"UP($C95, 'Match Names'!$1:$22, 8, FALSE), ""!C3:R29"")), {5;11;17;23}, FALSE)), 'Player Overall Stats Unsorted'!$AA$9:$AA$12), ""=X""))"),12.0)</f>
        <v>12</v>
      </c>
      <c r="E95" s="32">
        <f>IFERROR(__xludf.DUMMYFUNCTION("COUNTIF(ARRAYFORMULA(HLOOKUP($B95, IMPORTRANGE('Prelim Rankings Unsorted'!$B$40, CONCAT(VLOOKUP($C95, 'Match Names'!$A$1:$D$22, 2, FALSE), ""!C3:R29"")), {6;11;17;23}, FALSE)), ""=4"") + COUNTIF(ARRAYFORMULA(HLOOKUP($B95, IMPORTRANGE('Prelim Rankings Unso"&amp;"rted'!$B$41, CONCAT(VLOOKUP($C95, 'Match Names'!$A$1:$D$22, 3, FALSE), ""!C3:R29"")), {5;11;17;23}, FALSE)), ""=4"") + COUNTIF(ARRAYFORMULA(HLOOKUP($B95, IMPORTRANGE('Prelim Rankings Unsorted'!$B$42, CONCAT(VLOOKUP($C95, 'Match Names'!$A$1:$D$22, 4, FALSE"&amp;"), ""!C3:R29"")), {5;11;17;23}, FALSE)), ""=4"") + COUNTIF(ARRAYFORMULA(HLOOKUP($B95, IMPORTRANGE('Match Names'!$E$23, CONCAT(VLOOKUP($C95, 'Match Names'!$1:$22, 5, FALSE), ""!C3:R29"")), {6;11;16;21}, FALSE)), ""=4"") + COUNTIF(ARRAYFORMULA(HLOOKUP($B95,"&amp;" IMPORTRANGE('Match Names'!$F$23, CONCAT(VLOOKUP($C95, 'Match Names'!$1:$22, 6, FALSE), ""!C3:R29"")), {5;11;17;23}, FALSE)), ""=4"") + COUNTIF(ARRAYFORMULA(HLOOKUP($B95, IMPORTRANGE('Match Names'!$G$23, CONCAT(VLOOKUP($C95, 'Match Names'!$1:$22, 7, FALSE"&amp;"), ""!C3:R29"")), {5;10;14;22}, FALSE)), ""=4"") + COUNTIF(ARRAYFORMULA(HLOOKUP($B95, IMPORTRANGE('Match Names'!$H$23, CONCAT(VLOOKUP($C95, 'Match Names'!$1:$22, 8, FALSE), ""!C3:R29"")), {5;11;17;23}, FALSE)), ""=4"")"),0.0)</f>
        <v>0</v>
      </c>
      <c r="F95" s="32">
        <f>IFERROR(__xludf.DUMMYFUNCTION("COUNTIF(ARRAYFORMULA(HLOOKUP($B95, IMPORTRANGE('Prelim Rankings Unsorted'!$B$40, CONCAT(VLOOKUP($C95, 'Match Names'!$A$1:$D$22, 2, FALSE), ""!C3:R29"")), {6;11;17;23}, FALSE)), ""=0"") + COUNTIF(ARRAYFORMULA(HLOOKUP($B95, IMPORTRANGE('Prelim Rankings Unso"&amp;"rted'!$B$41, CONCAT(VLOOKUP($C95, 'Match Names'!$A$1:$D$22, 3, FALSE), ""!C3:R29"")), {5;11;17;23}, FALSE)), ""=0"") + COUNTIF(ARRAYFORMULA(HLOOKUP($B95, IMPORTRANGE('Prelim Rankings Unsorted'!$B$42, CONCAT(VLOOKUP($C95, 'Match Names'!$A$1:$D$22, 4, FALSE"&amp;"), ""!C3:R29"")), {5;11;17;23}, FALSE)), ""=0"") + COUNTIF(ARRAYFORMULA(HLOOKUP($B95, IMPORTRANGE('Match Names'!$E$23, CONCAT(VLOOKUP($C95, 'Match Names'!$1:$22, 5, FALSE), ""!C3:R29"")), {6;11;16;21}, FALSE)), ""=0"") + COUNTIF(ARRAYFORMULA(HLOOKUP($B95,"&amp;" IMPORTRANGE('Match Names'!$F$23, CONCAT(VLOOKUP($C95, 'Match Names'!$1:$22, 6, FALSE), ""!C3:R29"")), {5;11;17;23}, FALSE)), ""=0"") + COUNTIF(ARRAYFORMULA(HLOOKUP($B95, IMPORTRANGE('Match Names'!$G$23, CONCAT(VLOOKUP($C95, 'Match Names'!$1:$22, 7, FALSE"&amp;"), ""!C3:R29"")), {5;10;14;22}, FALSE)), ""=0"") + COUNTIF(ARRAYFORMULA(HLOOKUP($B95, IMPORTRANGE('Match Names'!$H$23, CONCAT(VLOOKUP($C95, 'Match Names'!$1:$22, 8, FALSE), ""!C3:R29"")), {5;11;17;23}, FALSE)), ""=0"")"),0.0)</f>
        <v>0</v>
      </c>
      <c r="G95" s="32">
        <f>IFERROR(__xludf.DUMMYFUNCTION("COUNTIF(ARRAYFORMULA(HLOOKUP($B95, IMPORTRANGE('Prelim Rankings Unsorted'!$B$40, CONCAT(VLOOKUP($C95, 'Match Names'!$A$1:$D$22, 2, FALSE), ""!C3:R29"")), {6;11;17;23}, FALSE)), ""=-4"") + COUNTIF(ARRAYFORMULA(HLOOKUP($B95, IMPORTRANGE('Prelim Rankings Uns"&amp;"orted'!$B$41, CONCAT(VLOOKUP($C95, 'Match Names'!$A$1:$D$22, 3, FALSE), ""!C3:R29"")), {5;11;17;23}, FALSE)), ""=-4"") + COUNTIF(ARRAYFORMULA(HLOOKUP($B95, IMPORTRANGE('Prelim Rankings Unsorted'!$B$42, CONCAT(VLOOKUP($C95, 'Match Names'!$A$1:$D$22, 4, FAL"&amp;"SE), ""!C3:R29"")), {5;11;17;23}, FALSE)), ""=-4"") + COUNTIF(ARRAYFORMULA(HLOOKUP($B95, IMPORTRANGE('Match Names'!$E$23, CONCAT(VLOOKUP($C95, 'Match Names'!$1:$22, 5, FALSE), ""!C3:R29"")), {6;11;16;21}, FALSE)), ""=-4"") + COUNTIF(ARRAYFORMULA(HLOOKUP($"&amp;"B95, IMPORTRANGE('Match Names'!$F$23, CONCAT(VLOOKUP($C95, 'Match Names'!$1:$22, 6, FALSE), ""!C3:R29"")), {5;11;17;23}, FALSE)), ""=-4"") + COUNTIF(ARRAYFORMULA(HLOOKUP($B95, IMPORTRANGE('Match Names'!$G$23, CONCAT(VLOOKUP($C95, 'Match Names'!$1:$22, 7, "&amp;"FALSE), ""!C3:R29"")), {5;10;14;22}, FALSE)), ""=-4"") + COUNTIF(ARRAYFORMULA(HLOOKUP($B95, IMPORTRANGE('Match Names'!$H$23, CONCAT(VLOOKUP($C95, 'Match Names'!$1:$22, 8, FALSE), ""!C3:R29"")), {5;11;17;23}, FALSE)), ""=-4"")"),0.0)</f>
        <v>0</v>
      </c>
      <c r="H95" s="33">
        <f t="shared" si="2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>
      <c r="A3" s="31" t="s">
        <v>13</v>
      </c>
      <c r="B3" s="31" t="str">
        <f>VLOOKUP(CONCAT(A3, C3), 'Discord Username to Real Name'!C:D, 2, FALSE)</f>
        <v>DanielRocks(UrMom)#5639</v>
      </c>
      <c r="C3" s="31" t="s">
        <v>5</v>
      </c>
      <c r="D3" s="32">
        <f>IFERROR(__xludf.DUMMYFUNCTION("(4 - COUNTIF(IFERROR(ARRAYFORMULA(HLOOKUP($B3, IMPORTRANGE('Prelim Rankings Unsorted'!$B$40, CONCAT(VLOOKUP($C3, 'Match Names'!$A$1:$D$22, 2, FALSE), ""!C3:R29"")), {5;10;16;22}, FALSE)), 'Player Overall Stats Unsorted'!$AA$9:$AA$12), ""=X"")) + (4 - COUN"&amp;"TIF(IFERROR(ARRAYFORMULA(HLOOKUP($B3, IMPORTRANGE('Prelim Rankings Unsorted'!$B$41, CONCAT(VLOOKUP($C3, 'Match Names'!$A$1:$D$22, 3, FALSE), ""!C3:R29"")), {2;8;14;20}, FALSE)), 'Player Overall Stats Unsorted'!$AA$9:$AA$12), ""=X"")) + (4 - COUNTIF(IFERRO"&amp;"R(ARRAYFORMULA(HLOOKUP($B3, IMPORTRANGE('Prelim Rankings Unsorted'!$B$42, CONCAT(VLOOKUP($C3, 'Match Names'!$A$1:$D$22, 4, FALSE), ""!C3:R29"")), {4;10;16;22}, FALSE)), 'Player Overall Stats Unsorted'!$AA$9:$AA$12), ""=X"")) + (4 - COUNTIF(IFERROR(ARRAYFO"&amp;"RMULA(HLOOKUP($B3, IMPORTRANGE('Match Names'!$E$23, CONCAT(VLOOKUP($C3, 'Match Names'!$1:$22, 5, FALSE), ""!C3:R29"")), {5;10;15;20}, FALSE)), 'Player Overall Stats Unsorted'!$AA$9:$AA$12), ""=X"")) + (4 - COUNTIF(IFERROR(ARRAYFORMULA(HLOOKUP($B3, IMPORTR"&amp;"ANGE('Match Names'!$F$23, CONCAT(VLOOKUP($C3, 'Match Names'!$1:$22, 6, FALSE), ""!C3:R29"")), {4;10;16;22}, FALSE)), 'Player Overall Stats Unsorted'!$AA$9:$AA$12), ""=X"")) + (4 - COUNTIF(IFERROR(ARRAYFORMULA(HLOOKUP($B3, IMPORTRANGE('Match Names'!$G$23, "&amp;"CONCAT(VLOOKUP($C3, 'Match Names'!$1:$22, 7, FALSE), ""!C3:R29"")), {4;9;13;19}, FALSE)), 'Player Overall Stats Unsorted'!$AA$9:$AA$12), ""=X"")) + (4 - COUNTIF(IFERROR(ARRAYFORMULA(HLOOKUP($B3, IMPORTRANGE('Match Names'!$H$23, CONCAT(VLOOKUP($C3, 'Match "&amp;"Names'!$1:$22, 8, FALSE), ""!C3:R29"")), {3;9;15;21}, FALSE)), 'Player Overall Stats Unsorted'!$AA$9:$AA$12), ""=X""))"),8.0)</f>
        <v>8</v>
      </c>
      <c r="E3" s="32">
        <f>IFERROR(__xludf.DUMMYFUNCTION("COUNTIF(ARRAYFORMULA(HLOOKUP($B3, IMPORTRANGE('Prelim Rankings Unsorted'!$B$40, CONCAT(VLOOKUP($C3, 'Match Names'!$A$1:$D$22, 2, FALSE), ""!C3:R29"")), {5;10;16;22}, FALSE)), ""=4"") + COUNTIF(ARRAYFORMULA(HLOOKUP($B3, IMPORTRANGE('Prelim Rankings Unsorte"&amp;"d'!$B$41, CONCAT(VLOOKUP($C3, 'Match Names'!$A$1:$D$22, 3, FALSE), ""!C3:R29"")), {2;8;14;20}, FALSE)), ""=4"") + COUNTIF(ARRAYFORMULA(HLOOKUP($B3, IMPORTRANGE('Prelim Rankings Unsorted'!$B$42, CONCAT(VLOOKUP($C3, 'Match Names'!$A$1:$D$22, 4, FALSE), ""!C"&amp;"3:R29"")), {4;10;16;22}, FALSE)), ""=4"") + COUNTIF(ARRAYFORMULA(HLOOKUP($B3, IMPORTRANGE('Match Names'!$E$23, CONCAT(VLOOKUP($C3, 'Match Names'!$1:$22, 5, FALSE), ""!C3:R29"")), {5;10;15;20}, FALSE)), ""=4"") + COUNTIF(ARRAYFORMULA(HLOOKUP($B3, IMPORTRAN"&amp;"GE('Match Names'!$F$23, CONCAT(VLOOKUP($C3, 'Match Names'!$1:$22, 6, FALSE), ""!C3:R29"")), {4;10;16;22}, FALSE)), ""=4"") + COUNTIF(ARRAYFORMULA(HLOOKUP($B3, IMPORTRANGE('Match Names'!$G$23, CONCAT(VLOOKUP($C3, 'Match Names'!$1:$22, 7, FALSE), ""!C3:R29"&amp;""")), {4;9;13;19}, FALSE)), ""=4"") + COUNTIF(ARRAYFORMULA(HLOOKUP($B3, IMPORTRANGE('Match Names'!$H$23, CONCAT(VLOOKUP($C3, 'Match Names'!$1:$22, 8, FALSE), ""!C3:R29"")), {3;9;15;21}, FALSE)), ""=4"")"),0.0)</f>
        <v>0</v>
      </c>
      <c r="F3" s="32">
        <f>IFERROR(__xludf.DUMMYFUNCTION("COUNTIF(ARRAYFORMULA(HLOOKUP($B3, IMPORTRANGE('Prelim Rankings Unsorted'!$B$40, CONCAT(VLOOKUP($C3, 'Match Names'!$A$1:$D$22, 2, FALSE), ""!C3:R29"")), {5;10;16;22}, FALSE)), ""=0"") + COUNTIF(ARRAYFORMULA(HLOOKUP($B3, IMPORTRANGE('Prelim Rankings Unsorte"&amp;"d'!$B$41, CONCAT(VLOOKUP($C3, 'Match Names'!$A$1:$D$22, 3, FALSE), ""!C3:R29"")), {2;8;14;20}, FALSE)), ""=0"") + COUNTIF(ARRAYFORMULA(HLOOKUP($B3, IMPORTRANGE('Prelim Rankings Unsorted'!$B$42, CONCAT(VLOOKUP($C3, 'Match Names'!$A$1:$D$22, 4, FALSE), ""!C"&amp;"3:R29"")), {4;10;16;22}, FALSE)), ""=0"") + COUNTIF(ARRAYFORMULA(HLOOKUP($B3, IMPORTRANGE('Match Names'!$E$23, CONCAT(VLOOKUP($C3, 'Match Names'!$1:$22, 5, FALSE), ""!C3:R29"")), {5;10;15;20}, FALSE)), ""=0"") + COUNTIF(ARRAYFORMULA(HLOOKUP($B3, IMPORTRAN"&amp;"GE('Match Names'!$F$23, CONCAT(VLOOKUP($C3, 'Match Names'!$1:$22, 6, FALSE), ""!C3:R29"")), {4;10;16;22}, FALSE)), ""=0"") + COUNTIF(ARRAYFORMULA(HLOOKUP($B3, IMPORTRANGE('Match Names'!$G$23, CONCAT(VLOOKUP($C3, 'Match Names'!$1:$22, 7, FALSE), ""!C3:R29"&amp;""")), {4;9;13;19}, FALSE)), ""=0"") + COUNTIF(ARRAYFORMULA(HLOOKUP($B3, IMPORTRANGE('Match Names'!$H$23, CONCAT(VLOOKUP($C3, 'Match Names'!$1:$22, 8, FALSE), ""!C3:R29"")), {3;9;15;21}, FALSE)), ""=0"")"),1.0)</f>
        <v>1</v>
      </c>
      <c r="G3" s="32">
        <f>IFERROR(__xludf.DUMMYFUNCTION("COUNTIF(ARRAYFORMULA(HLOOKUP($B3, IMPORTRANGE('Prelim Rankings Unsorted'!$B$40, CONCAT(VLOOKUP($C3, 'Match Names'!$A$1:$D$22, 2, FALSE), ""!C3:R29"")), {5;10;16;22}, FALSE)), ""=-4"") + COUNTIF(ARRAYFORMULA(HLOOKUP($B3, IMPORTRANGE('Prelim Rankings Unsort"&amp;"ed'!$B$41, CONCAT(VLOOKUP($C3, 'Match Names'!$A$1:$D$22, 3, FALSE), ""!C3:R29"")), {2;8;14;20}, FALSE)), ""=-4"") + COUNTIF(ARRAYFORMULA(HLOOKUP($B3, IMPORTRANGE('Prelim Rankings Unsorted'!$B$42, CONCAT(VLOOKUP($C3, 'Match Names'!$A$1:$D$22, 4, FALSE), """&amp;"!C3:R29"")), {4;10;16;22}, FALSE)), ""=-4"") + COUNTIF(ARRAYFORMULA(HLOOKUP($B3, IMPORTRANGE('Match Names'!$E$23, CONCAT(VLOOKUP($C3, 'Match Names'!$1:$22, 5, FALSE), ""!C3:R29"")), {5;10;15;20}, FALSE)), ""=-4"") + COUNTIF(ARRAYFORMULA(HLOOKUP($B3, IMPOR"&amp;"TRANGE('Match Names'!$F$23, CONCAT(VLOOKUP($C3, 'Match Names'!$1:$22, 6, FALSE), ""!C3:R29"")), {4;10;16;22}, FALSE)), ""=-4"") + COUNTIF(ARRAYFORMULA(HLOOKUP($B3, IMPORTRANGE('Match Names'!$G$23, CONCAT(VLOOKUP($C3, 'Match Names'!$1:$22, 7, FALSE), ""!C3"&amp;":R29"")), {4;9;13;19}, FALSE)), ""=-4"") + COUNTIF(ARRAYFORMULA(HLOOKUP($B3, IMPORTRANGE('Match Names'!$H$23, CONCAT(VLOOKUP($C3, 'Match Names'!$1:$22, 8, FALSE), ""!C3:R29"")), {3;9;15;21}, FALSE)), ""=-4"")"),0.0)</f>
        <v>0</v>
      </c>
      <c r="H3" s="33">
        <f t="shared" ref="H3:H95" si="1">IFERROR(ROUND(((E3*4)+(G3*-4))/(D3/4), 2), 0)</f>
        <v>0</v>
      </c>
    </row>
    <row r="4">
      <c r="A4" s="32" t="s">
        <v>33</v>
      </c>
      <c r="B4" s="31" t="str">
        <f>VLOOKUP(CONCAT(A4, C4), 'Discord Username to Real Name'!C:D, 2, FALSE)</f>
        <v>Running Runin#5021</v>
      </c>
      <c r="C4" s="31" t="s">
        <v>5</v>
      </c>
      <c r="D4" s="32">
        <f>IFERROR(__xludf.DUMMYFUNCTION("(4 - COUNTIF(IFERROR(ARRAYFORMULA(HLOOKUP($B4, IMPORTRANGE('Prelim Rankings Unsorted'!$B$40, CONCAT(VLOOKUP($C4, 'Match Names'!$A$1:$D$22, 2, FALSE), ""!C3:R29"")), {5;10;16;22}, FALSE)), 'Player Overall Stats Unsorted'!$AA$9:$AA$12), ""=X"")) + (4 - COUN"&amp;"TIF(IFERROR(ARRAYFORMULA(HLOOKUP($B4, IMPORTRANGE('Prelim Rankings Unsorted'!$B$41, CONCAT(VLOOKUP($C4, 'Match Names'!$A$1:$D$22, 3, FALSE), ""!C3:R29"")), {2;8;14;20}, FALSE)), 'Player Overall Stats Unsorted'!$AA$9:$AA$12), ""=X"")) + (4 - COUNTIF(IFERRO"&amp;"R(ARRAYFORMULA(HLOOKUP($B4, IMPORTRANGE('Prelim Rankings Unsorted'!$B$42, CONCAT(VLOOKUP($C4, 'Match Names'!$A$1:$D$22, 4, FALSE), ""!C3:R29"")), {4;10;16;22}, FALSE)), 'Player Overall Stats Unsorted'!$AA$9:$AA$12), ""=X"")) + (4 - COUNTIF(IFERROR(ARRAYFO"&amp;"RMULA(HLOOKUP($B4, IMPORTRANGE('Match Names'!$E$23, CONCAT(VLOOKUP($C4, 'Match Names'!$1:$22, 5, FALSE), ""!C3:R29"")), {5;10;15;20}, FALSE)), 'Player Overall Stats Unsorted'!$AA$9:$AA$12), ""=X"")) + (4 - COUNTIF(IFERROR(ARRAYFORMULA(HLOOKUP($B4, IMPORTR"&amp;"ANGE('Match Names'!$F$23, CONCAT(VLOOKUP($C4, 'Match Names'!$1:$22, 6, FALSE), ""!C3:R29"")), {4;10;16;22}, FALSE)), 'Player Overall Stats Unsorted'!$AA$9:$AA$12), ""=X"")) + (4 - COUNTIF(IFERROR(ARRAYFORMULA(HLOOKUP($B4, IMPORTRANGE('Match Names'!$G$23, "&amp;"CONCAT(VLOOKUP($C4, 'Match Names'!$1:$22, 7, FALSE), ""!C3:R29"")), {4;9;13;19}, FALSE)), 'Player Overall Stats Unsorted'!$AA$9:$AA$12), ""=X"")) + (4 - COUNTIF(IFERROR(ARRAYFORMULA(HLOOKUP($B4, IMPORTRANGE('Match Names'!$H$23, CONCAT(VLOOKUP($C4, 'Match "&amp;"Names'!$1:$22, 8, FALSE), ""!C3:R29"")), {3;9;15;21}, FALSE)), 'Player Overall Stats Unsorted'!$AA$9:$AA$12), ""=X""))"),0.0)</f>
        <v>0</v>
      </c>
      <c r="E4" s="32">
        <f>IFERROR(__xludf.DUMMYFUNCTION("COUNTIF(ARRAYFORMULA(HLOOKUP($B4, IMPORTRANGE('Prelim Rankings Unsorted'!$B$40, CONCAT(VLOOKUP($C4, 'Match Names'!$A$1:$D$22, 2, FALSE), ""!C3:R29"")), {5;10;16;22}, FALSE)), ""=4"") + COUNTIF(ARRAYFORMULA(HLOOKUP($B4, IMPORTRANGE('Prelim Rankings Unsorte"&amp;"d'!$B$41, CONCAT(VLOOKUP($C4, 'Match Names'!$A$1:$D$22, 3, FALSE), ""!C3:R29"")), {2;8;14;20}, FALSE)), ""=4"") + COUNTIF(ARRAYFORMULA(HLOOKUP($B4, IMPORTRANGE('Prelim Rankings Unsorted'!$B$42, CONCAT(VLOOKUP($C4, 'Match Names'!$A$1:$D$22, 4, FALSE), ""!C"&amp;"3:R29"")), {4;10;16;22}, FALSE)), ""=4"") + COUNTIF(ARRAYFORMULA(HLOOKUP($B4, IMPORTRANGE('Match Names'!$E$23, CONCAT(VLOOKUP($C4, 'Match Names'!$1:$22, 5, FALSE), ""!C3:R29"")), {5;10;15;20}, FALSE)), ""=4"") + COUNTIF(ARRAYFORMULA(HLOOKUP($B4, IMPORTRAN"&amp;"GE('Match Names'!$F$23, CONCAT(VLOOKUP($C4, 'Match Names'!$1:$22, 6, FALSE), ""!C3:R29"")), {4;10;16;22}, FALSE)), ""=4"") + COUNTIF(ARRAYFORMULA(HLOOKUP($B4, IMPORTRANGE('Match Names'!$G$23, CONCAT(VLOOKUP($C4, 'Match Names'!$1:$22, 7, FALSE), ""!C3:R29"&amp;""")), {4;9;13;19}, FALSE)), ""=4"") + COUNTIF(ARRAYFORMULA(HLOOKUP($B4, IMPORTRANGE('Match Names'!$H$23, CONCAT(VLOOKUP($C4, 'Match Names'!$1:$22, 8, FALSE), ""!C3:R29"")), {3;9;15;21}, FALSE)), ""=4"")"),0.0)</f>
        <v>0</v>
      </c>
      <c r="F4" s="32">
        <f>IFERROR(__xludf.DUMMYFUNCTION("COUNTIF(ARRAYFORMULA(HLOOKUP($B4, IMPORTRANGE('Prelim Rankings Unsorted'!$B$40, CONCAT(VLOOKUP($C4, 'Match Names'!$A$1:$D$22, 2, FALSE), ""!C3:R29"")), {5;10;16;22}, FALSE)), ""=0"") + COUNTIF(ARRAYFORMULA(HLOOKUP($B4, IMPORTRANGE('Prelim Rankings Unsorte"&amp;"d'!$B$41, CONCAT(VLOOKUP($C4, 'Match Names'!$A$1:$D$22, 3, FALSE), ""!C3:R29"")), {2;8;14;20}, FALSE)), ""=0"") + COUNTIF(ARRAYFORMULA(HLOOKUP($B4, IMPORTRANGE('Prelim Rankings Unsorted'!$B$42, CONCAT(VLOOKUP($C4, 'Match Names'!$A$1:$D$22, 4, FALSE), ""!C"&amp;"3:R29"")), {4;10;16;22}, FALSE)), ""=0"") + COUNTIF(ARRAYFORMULA(HLOOKUP($B4, IMPORTRANGE('Match Names'!$E$23, CONCAT(VLOOKUP($C4, 'Match Names'!$1:$22, 5, FALSE), ""!C3:R29"")), {5;10;15;20}, FALSE)), ""=0"") + COUNTIF(ARRAYFORMULA(HLOOKUP($B4, IMPORTRAN"&amp;"GE('Match Names'!$F$23, CONCAT(VLOOKUP($C4, 'Match Names'!$1:$22, 6, FALSE), ""!C3:R29"")), {4;10;16;22}, FALSE)), ""=0"") + COUNTIF(ARRAYFORMULA(HLOOKUP($B4, IMPORTRANGE('Match Names'!$G$23, CONCAT(VLOOKUP($C4, 'Match Names'!$1:$22, 7, FALSE), ""!C3:R29"&amp;""")), {4;9;13;19}, FALSE)), ""=0"") + COUNTIF(ARRAYFORMULA(HLOOKUP($B4, IMPORTRANGE('Match Names'!$H$23, CONCAT(VLOOKUP($C4, 'Match Names'!$1:$22, 8, FALSE), ""!C3:R29"")), {3;9;15;21}, FALSE)), ""=0"")"),0.0)</f>
        <v>0</v>
      </c>
      <c r="G4" s="32">
        <f>IFERROR(__xludf.DUMMYFUNCTION("COUNTIF(ARRAYFORMULA(HLOOKUP($B4, IMPORTRANGE('Prelim Rankings Unsorted'!$B$40, CONCAT(VLOOKUP($C4, 'Match Names'!$A$1:$D$22, 2, FALSE), ""!C3:R29"")), {5;10;16;22}, FALSE)), ""=-4"") + COUNTIF(ARRAYFORMULA(HLOOKUP($B4, IMPORTRANGE('Prelim Rankings Unsort"&amp;"ed'!$B$41, CONCAT(VLOOKUP($C4, 'Match Names'!$A$1:$D$22, 3, FALSE), ""!C3:R29"")), {2;8;14;20}, FALSE)), ""=-4"") + COUNTIF(ARRAYFORMULA(HLOOKUP($B4, IMPORTRANGE('Prelim Rankings Unsorted'!$B$42, CONCAT(VLOOKUP($C4, 'Match Names'!$A$1:$D$22, 4, FALSE), """&amp;"!C3:R29"")), {4;10;16;22}, FALSE)), ""=-4"") + COUNTIF(ARRAYFORMULA(HLOOKUP($B4, IMPORTRANGE('Match Names'!$E$23, CONCAT(VLOOKUP($C4, 'Match Names'!$1:$22, 5, FALSE), ""!C3:R29"")), {5;10;15;20}, FALSE)), ""=-4"") + COUNTIF(ARRAYFORMULA(HLOOKUP($B4, IMPOR"&amp;"TRANGE('Match Names'!$F$23, CONCAT(VLOOKUP($C4, 'Match Names'!$1:$22, 6, FALSE), ""!C3:R29"")), {4;10;16;22}, FALSE)), ""=-4"") + COUNTIF(ARRAYFORMULA(HLOOKUP($B4, IMPORTRANGE('Match Names'!$G$23, CONCAT(VLOOKUP($C4, 'Match Names'!$1:$22, 7, FALSE), ""!C3"&amp;":R29"")), {4;9;13;19}, FALSE)), ""=-4"") + COUNTIF(ARRAYFORMULA(HLOOKUP($B4, IMPORTRANGE('Match Names'!$H$23, CONCAT(VLOOKUP($C4, 'Match Names'!$1:$22, 8, FALSE), ""!C3:R29"")), {3;9;15;21}, FALSE)), ""=-4"")"),0.0)</f>
        <v>0</v>
      </c>
      <c r="H4" s="33">
        <f t="shared" si="1"/>
        <v>0</v>
      </c>
    </row>
    <row r="5">
      <c r="A5" s="31" t="s">
        <v>78</v>
      </c>
      <c r="B5" s="31" t="str">
        <f>VLOOKUP(CONCAT(A5, C5), 'Discord Username to Real Name'!C:D, 2, FALSE)</f>
        <v>avaa#8678</v>
      </c>
      <c r="C5" s="31" t="s">
        <v>5</v>
      </c>
      <c r="D5" s="32">
        <f>IFERROR(__xludf.DUMMYFUNCTION("(4 - COUNTIF(IFERROR(ARRAYFORMULA(HLOOKUP($B5, IMPORTRANGE('Prelim Rankings Unsorted'!$B$40, CONCAT(VLOOKUP($C5, 'Match Names'!$A$1:$D$22, 2, FALSE), ""!C3:R29"")), {5;10;16;22}, FALSE)), 'Player Overall Stats Unsorted'!$AA$9:$AA$12), ""=X"")) + (4 - COUN"&amp;"TIF(IFERROR(ARRAYFORMULA(HLOOKUP($B5, IMPORTRANGE('Prelim Rankings Unsorted'!$B$41, CONCAT(VLOOKUP($C5, 'Match Names'!$A$1:$D$22, 3, FALSE), ""!C3:R29"")), {2;8;14;20}, FALSE)), 'Player Overall Stats Unsorted'!$AA$9:$AA$12), ""=X"")) + (4 - COUNTIF(IFERRO"&amp;"R(ARRAYFORMULA(HLOOKUP($B5, IMPORTRANGE('Prelim Rankings Unsorted'!$B$42, CONCAT(VLOOKUP($C5, 'Match Names'!$A$1:$D$22, 4, FALSE), ""!C3:R29"")), {4;10;16;22}, FALSE)), 'Player Overall Stats Unsorted'!$AA$9:$AA$12), ""=X"")) + (4 - COUNTIF(IFERROR(ARRAYFO"&amp;"RMULA(HLOOKUP($B5, IMPORTRANGE('Match Names'!$E$23, CONCAT(VLOOKUP($C5, 'Match Names'!$1:$22, 5, FALSE), ""!C3:R29"")), {5;10;15;20}, FALSE)), 'Player Overall Stats Unsorted'!$AA$9:$AA$12), ""=X"")) + (4 - COUNTIF(IFERROR(ARRAYFORMULA(HLOOKUP($B5, IMPORTR"&amp;"ANGE('Match Names'!$F$23, CONCAT(VLOOKUP($C5, 'Match Names'!$1:$22, 6, FALSE), ""!C3:R29"")), {4;10;16;22}, FALSE)), 'Player Overall Stats Unsorted'!$AA$9:$AA$12), ""=X"")) + (4 - COUNTIF(IFERROR(ARRAYFORMULA(HLOOKUP($B5, IMPORTRANGE('Match Names'!$G$23, "&amp;"CONCAT(VLOOKUP($C5, 'Match Names'!$1:$22, 7, FALSE), ""!C3:R29"")), {4;9;13;19}, FALSE)), 'Player Overall Stats Unsorted'!$AA$9:$AA$12), ""=X"")) + (4 - COUNTIF(IFERROR(ARRAYFORMULA(HLOOKUP($B5, IMPORTRANGE('Match Names'!$H$23, CONCAT(VLOOKUP($C5, 'Match "&amp;"Names'!$1:$22, 8, FALSE), ""!C3:R29"")), {3;9;15;21}, FALSE)), 'Player Overall Stats Unsorted'!$AA$9:$AA$12), ""=X""))"),8.0)</f>
        <v>8</v>
      </c>
      <c r="E5" s="32">
        <f>IFERROR(__xludf.DUMMYFUNCTION("COUNTIF(ARRAYFORMULA(HLOOKUP($B5, IMPORTRANGE('Prelim Rankings Unsorted'!$B$40, CONCAT(VLOOKUP($C5, 'Match Names'!$A$1:$D$22, 2, FALSE), ""!C3:R29"")), {5;10;16;22}, FALSE)), ""=4"") + COUNTIF(ARRAYFORMULA(HLOOKUP($B5, IMPORTRANGE('Prelim Rankings Unsorte"&amp;"d'!$B$41, CONCAT(VLOOKUP($C5, 'Match Names'!$A$1:$D$22, 3, FALSE), ""!C3:R29"")), {2;8;14;20}, FALSE)), ""=4"") + COUNTIF(ARRAYFORMULA(HLOOKUP($B5, IMPORTRANGE('Prelim Rankings Unsorted'!$B$42, CONCAT(VLOOKUP($C5, 'Match Names'!$A$1:$D$22, 4, FALSE), ""!C"&amp;"3:R29"")), {4;10;16;22}, FALSE)), ""=4"") + COUNTIF(ARRAYFORMULA(HLOOKUP($B5, IMPORTRANGE('Match Names'!$E$23, CONCAT(VLOOKUP($C5, 'Match Names'!$1:$22, 5, FALSE), ""!C3:R29"")), {5;10;15;20}, FALSE)), ""=4"") + COUNTIF(ARRAYFORMULA(HLOOKUP($B5, IMPORTRAN"&amp;"GE('Match Names'!$F$23, CONCAT(VLOOKUP($C5, 'Match Names'!$1:$22, 6, FALSE), ""!C3:R29"")), {4;10;16;22}, FALSE)), ""=4"") + COUNTIF(ARRAYFORMULA(HLOOKUP($B5, IMPORTRANGE('Match Names'!$G$23, CONCAT(VLOOKUP($C5, 'Match Names'!$1:$22, 7, FALSE), ""!C3:R29"&amp;""")), {4;9;13;19}, FALSE)), ""=4"") + COUNTIF(ARRAYFORMULA(HLOOKUP($B5, IMPORTRANGE('Match Names'!$H$23, CONCAT(VLOOKUP($C5, 'Match Names'!$1:$22, 8, FALSE), ""!C3:R29"")), {3;9;15;21}, FALSE)), ""=4"")"),1.0)</f>
        <v>1</v>
      </c>
      <c r="F5" s="32">
        <f>IFERROR(__xludf.DUMMYFUNCTION("COUNTIF(ARRAYFORMULA(HLOOKUP($B5, IMPORTRANGE('Prelim Rankings Unsorted'!$B$40, CONCAT(VLOOKUP($C5, 'Match Names'!$A$1:$D$22, 2, FALSE), ""!C3:R29"")), {5;10;16;22}, FALSE)), ""=0"") + COUNTIF(ARRAYFORMULA(HLOOKUP($B5, IMPORTRANGE('Prelim Rankings Unsorte"&amp;"d'!$B$41, CONCAT(VLOOKUP($C5, 'Match Names'!$A$1:$D$22, 3, FALSE), ""!C3:R29"")), {2;8;14;20}, FALSE)), ""=0"") + COUNTIF(ARRAYFORMULA(HLOOKUP($B5, IMPORTRANGE('Prelim Rankings Unsorted'!$B$42, CONCAT(VLOOKUP($C5, 'Match Names'!$A$1:$D$22, 4, FALSE), ""!C"&amp;"3:R29"")), {4;10;16;22}, FALSE)), ""=0"") + COUNTIF(ARRAYFORMULA(HLOOKUP($B5, IMPORTRANGE('Match Names'!$E$23, CONCAT(VLOOKUP($C5, 'Match Names'!$1:$22, 5, FALSE), ""!C3:R29"")), {5;10;15;20}, FALSE)), ""=0"") + COUNTIF(ARRAYFORMULA(HLOOKUP($B5, IMPORTRAN"&amp;"GE('Match Names'!$F$23, CONCAT(VLOOKUP($C5, 'Match Names'!$1:$22, 6, FALSE), ""!C3:R29"")), {4;10;16;22}, FALSE)), ""=0"") + COUNTIF(ARRAYFORMULA(HLOOKUP($B5, IMPORTRANGE('Match Names'!$G$23, CONCAT(VLOOKUP($C5, 'Match Names'!$1:$22, 7, FALSE), ""!C3:R29"&amp;""")), {4;9;13;19}, FALSE)), ""=0"") + COUNTIF(ARRAYFORMULA(HLOOKUP($B5, IMPORTRANGE('Match Names'!$H$23, CONCAT(VLOOKUP($C5, 'Match Names'!$1:$22, 8, FALSE), ""!C3:R29"")), {3;9;15;21}, FALSE)), ""=0"")"),0.0)</f>
        <v>0</v>
      </c>
      <c r="G5" s="32">
        <f>IFERROR(__xludf.DUMMYFUNCTION("COUNTIF(ARRAYFORMULA(HLOOKUP($B5, IMPORTRANGE('Prelim Rankings Unsorted'!$B$40, CONCAT(VLOOKUP($C5, 'Match Names'!$A$1:$D$22, 2, FALSE), ""!C3:R29"")), {5;10;16;22}, FALSE)), ""=-4"") + COUNTIF(ARRAYFORMULA(HLOOKUP($B5, IMPORTRANGE('Prelim Rankings Unsort"&amp;"ed'!$B$41, CONCAT(VLOOKUP($C5, 'Match Names'!$A$1:$D$22, 3, FALSE), ""!C3:R29"")), {2;8;14;20}, FALSE)), ""=-4"") + COUNTIF(ARRAYFORMULA(HLOOKUP($B5, IMPORTRANGE('Prelim Rankings Unsorted'!$B$42, CONCAT(VLOOKUP($C5, 'Match Names'!$A$1:$D$22, 4, FALSE), """&amp;"!C3:R29"")), {4;10;16;22}, FALSE)), ""=-4"") + COUNTIF(ARRAYFORMULA(HLOOKUP($B5, IMPORTRANGE('Match Names'!$E$23, CONCAT(VLOOKUP($C5, 'Match Names'!$1:$22, 5, FALSE), ""!C3:R29"")), {5;10;15;20}, FALSE)), ""=-4"") + COUNTIF(ARRAYFORMULA(HLOOKUP($B5, IMPOR"&amp;"TRANGE('Match Names'!$F$23, CONCAT(VLOOKUP($C5, 'Match Names'!$1:$22, 6, FALSE), ""!C3:R29"")), {4;10;16;22}, FALSE)), ""=-4"") + COUNTIF(ARRAYFORMULA(HLOOKUP($B5, IMPORTRANGE('Match Names'!$G$23, CONCAT(VLOOKUP($C5, 'Match Names'!$1:$22, 7, FALSE), ""!C3"&amp;":R29"")), {4;9;13;19}, FALSE)), ""=-4"") + COUNTIF(ARRAYFORMULA(HLOOKUP($B5, IMPORTRANGE('Match Names'!$H$23, CONCAT(VLOOKUP($C5, 'Match Names'!$1:$22, 8, FALSE), ""!C3:R29"")), {3;9;15;21}, FALSE)), ""=-4"")"),0.0)</f>
        <v>0</v>
      </c>
      <c r="H5" s="33">
        <f t="shared" si="1"/>
        <v>2</v>
      </c>
    </row>
    <row r="6">
      <c r="A6" s="31" t="s">
        <v>146</v>
      </c>
      <c r="B6" s="31" t="str">
        <f>VLOOKUP(CONCAT(A6, C6), 'Discord Username to Real Name'!C:D, 2, FALSE)</f>
        <v>Kevin Yang#3870</v>
      </c>
      <c r="C6" s="31" t="s">
        <v>5</v>
      </c>
      <c r="D6" s="32">
        <f>IFERROR(__xludf.DUMMYFUNCTION("(4 - COUNTIF(IFERROR(ARRAYFORMULA(HLOOKUP($B6, IMPORTRANGE('Prelim Rankings Unsorted'!$B$40, CONCAT(VLOOKUP($C6, 'Match Names'!$A$1:$D$22, 2, FALSE), ""!C3:R29"")), {5;10;16;22}, FALSE)), 'Player Overall Stats Unsorted'!$AA$9:$AA$12), ""=X"")) + (4 - COUN"&amp;"TIF(IFERROR(ARRAYFORMULA(HLOOKUP($B6, IMPORTRANGE('Prelim Rankings Unsorted'!$B$41, CONCAT(VLOOKUP($C6, 'Match Names'!$A$1:$D$22, 3, FALSE), ""!C3:R29"")), {2;8;14;20}, FALSE)), 'Player Overall Stats Unsorted'!$AA$9:$AA$12), ""=X"")) + (4 - COUNTIF(IFERRO"&amp;"R(ARRAYFORMULA(HLOOKUP($B6, IMPORTRANGE('Prelim Rankings Unsorted'!$B$42, CONCAT(VLOOKUP($C6, 'Match Names'!$A$1:$D$22, 4, FALSE), ""!C3:R29"")), {4;10;16;22}, FALSE)), 'Player Overall Stats Unsorted'!$AA$9:$AA$12), ""=X"")) + (4 - COUNTIF(IFERROR(ARRAYFO"&amp;"RMULA(HLOOKUP($B6, IMPORTRANGE('Match Names'!$E$23, CONCAT(VLOOKUP($C6, 'Match Names'!$1:$22, 5, FALSE), ""!C3:R29"")), {5;10;15;20}, FALSE)), 'Player Overall Stats Unsorted'!$AA$9:$AA$12), ""=X"")) + (4 - COUNTIF(IFERROR(ARRAYFORMULA(HLOOKUP($B6, IMPORTR"&amp;"ANGE('Match Names'!$F$23, CONCAT(VLOOKUP($C6, 'Match Names'!$1:$22, 6, FALSE), ""!C3:R29"")), {4;10;16;22}, FALSE)), 'Player Overall Stats Unsorted'!$AA$9:$AA$12), ""=X"")) + (4 - COUNTIF(IFERROR(ARRAYFORMULA(HLOOKUP($B6, IMPORTRANGE('Match Names'!$G$23, "&amp;"CONCAT(VLOOKUP($C6, 'Match Names'!$1:$22, 7, FALSE), ""!C3:R29"")), {4;9;13;19}, FALSE)), 'Player Overall Stats Unsorted'!$AA$9:$AA$12), ""=X"")) + (4 - COUNTIF(IFERROR(ARRAYFORMULA(HLOOKUP($B6, IMPORTRANGE('Match Names'!$H$23, CONCAT(VLOOKUP($C6, 'Match "&amp;"Names'!$1:$22, 8, FALSE), ""!C3:R29"")), {3;9;15;21}, FALSE)), 'Player Overall Stats Unsorted'!$AA$9:$AA$12), ""=X""))"),12.0)</f>
        <v>12</v>
      </c>
      <c r="E6" s="32">
        <f>IFERROR(__xludf.DUMMYFUNCTION("COUNTIF(ARRAYFORMULA(HLOOKUP($B6, IMPORTRANGE('Prelim Rankings Unsorted'!$B$40, CONCAT(VLOOKUP($C6, 'Match Names'!$A$1:$D$22, 2, FALSE), ""!C3:R29"")), {5;10;16;22}, FALSE)), ""=4"") + COUNTIF(ARRAYFORMULA(HLOOKUP($B6, IMPORTRANGE('Prelim Rankings Unsorte"&amp;"d'!$B$41, CONCAT(VLOOKUP($C6, 'Match Names'!$A$1:$D$22, 3, FALSE), ""!C3:R29"")), {2;8;14;20}, FALSE)), ""=4"") + COUNTIF(ARRAYFORMULA(HLOOKUP($B6, IMPORTRANGE('Prelim Rankings Unsorted'!$B$42, CONCAT(VLOOKUP($C6, 'Match Names'!$A$1:$D$22, 4, FALSE), ""!C"&amp;"3:R29"")), {4;10;16;22}, FALSE)), ""=4"") + COUNTIF(ARRAYFORMULA(HLOOKUP($B6, IMPORTRANGE('Match Names'!$E$23, CONCAT(VLOOKUP($C6, 'Match Names'!$1:$22, 5, FALSE), ""!C3:R29"")), {5;10;15;20}, FALSE)), ""=4"") + COUNTIF(ARRAYFORMULA(HLOOKUP($B6, IMPORTRAN"&amp;"GE('Match Names'!$F$23, CONCAT(VLOOKUP($C6, 'Match Names'!$1:$22, 6, FALSE), ""!C3:R29"")), {4;10;16;22}, FALSE)), ""=4"") + COUNTIF(ARRAYFORMULA(HLOOKUP($B6, IMPORTRANGE('Match Names'!$G$23, CONCAT(VLOOKUP($C6, 'Match Names'!$1:$22, 7, FALSE), ""!C3:R29"&amp;""")), {4;9;13;19}, FALSE)), ""=4"") + COUNTIF(ARRAYFORMULA(HLOOKUP($B6, IMPORTRANGE('Match Names'!$H$23, CONCAT(VLOOKUP($C6, 'Match Names'!$1:$22, 8, FALSE), ""!C3:R29"")), {3;9;15;21}, FALSE)), ""=4"")"),1.0)</f>
        <v>1</v>
      </c>
      <c r="F6" s="32">
        <f>IFERROR(__xludf.DUMMYFUNCTION("COUNTIF(ARRAYFORMULA(HLOOKUP($B6, IMPORTRANGE('Prelim Rankings Unsorted'!$B$40, CONCAT(VLOOKUP($C6, 'Match Names'!$A$1:$D$22, 2, FALSE), ""!C3:R29"")), {5;10;16;22}, FALSE)), ""=0"") + COUNTIF(ARRAYFORMULA(HLOOKUP($B6, IMPORTRANGE('Prelim Rankings Unsorte"&amp;"d'!$B$41, CONCAT(VLOOKUP($C6, 'Match Names'!$A$1:$D$22, 3, FALSE), ""!C3:R29"")), {2;8;14;20}, FALSE)), ""=0"") + COUNTIF(ARRAYFORMULA(HLOOKUP($B6, IMPORTRANGE('Prelim Rankings Unsorted'!$B$42, CONCAT(VLOOKUP($C6, 'Match Names'!$A$1:$D$22, 4, FALSE), ""!C"&amp;"3:R29"")), {4;10;16;22}, FALSE)), ""=0"") + COUNTIF(ARRAYFORMULA(HLOOKUP($B6, IMPORTRANGE('Match Names'!$E$23, CONCAT(VLOOKUP($C6, 'Match Names'!$1:$22, 5, FALSE), ""!C3:R29"")), {5;10;15;20}, FALSE)), ""=0"") + COUNTIF(ARRAYFORMULA(HLOOKUP($B6, IMPORTRAN"&amp;"GE('Match Names'!$F$23, CONCAT(VLOOKUP($C6, 'Match Names'!$1:$22, 6, FALSE), ""!C3:R29"")), {4;10;16;22}, FALSE)), ""=0"") + COUNTIF(ARRAYFORMULA(HLOOKUP($B6, IMPORTRANGE('Match Names'!$G$23, CONCAT(VLOOKUP($C6, 'Match Names'!$1:$22, 7, FALSE), ""!C3:R29"&amp;""")), {4;9;13;19}, FALSE)), ""=0"") + COUNTIF(ARRAYFORMULA(HLOOKUP($B6, IMPORTRANGE('Match Names'!$H$23, CONCAT(VLOOKUP($C6, 'Match Names'!$1:$22, 8, FALSE), ""!C3:R29"")), {3;9;15;21}, FALSE)), ""=0"")"),0.0)</f>
        <v>0</v>
      </c>
      <c r="G6" s="32">
        <f>IFERROR(__xludf.DUMMYFUNCTION("COUNTIF(ARRAYFORMULA(HLOOKUP($B6, IMPORTRANGE('Prelim Rankings Unsorted'!$B$40, CONCAT(VLOOKUP($C6, 'Match Names'!$A$1:$D$22, 2, FALSE), ""!C3:R29"")), {5;10;16;22}, FALSE)), ""=-4"") + COUNTIF(ARRAYFORMULA(HLOOKUP($B6, IMPORTRANGE('Prelim Rankings Unsort"&amp;"ed'!$B$41, CONCAT(VLOOKUP($C6, 'Match Names'!$A$1:$D$22, 3, FALSE), ""!C3:R29"")), {2;8;14;20}, FALSE)), ""=-4"") + COUNTIF(ARRAYFORMULA(HLOOKUP($B6, IMPORTRANGE('Prelim Rankings Unsorted'!$B$42, CONCAT(VLOOKUP($C6, 'Match Names'!$A$1:$D$22, 4, FALSE), """&amp;"!C3:R29"")), {4;10;16;22}, FALSE)), ""=-4"") + COUNTIF(ARRAYFORMULA(HLOOKUP($B6, IMPORTRANGE('Match Names'!$E$23, CONCAT(VLOOKUP($C6, 'Match Names'!$1:$22, 5, FALSE), ""!C3:R29"")), {5;10;15;20}, FALSE)), ""=-4"") + COUNTIF(ARRAYFORMULA(HLOOKUP($B6, IMPOR"&amp;"TRANGE('Match Names'!$F$23, CONCAT(VLOOKUP($C6, 'Match Names'!$1:$22, 6, FALSE), ""!C3:R29"")), {4;10;16;22}, FALSE)), ""=-4"") + COUNTIF(ARRAYFORMULA(HLOOKUP($B6, IMPORTRANGE('Match Names'!$G$23, CONCAT(VLOOKUP($C6, 'Match Names'!$1:$22, 7, FALSE), ""!C3"&amp;":R29"")), {4;9;13;19}, FALSE)), ""=-4"") + COUNTIF(ARRAYFORMULA(HLOOKUP($B6, IMPORTRANGE('Match Names'!$H$23, CONCAT(VLOOKUP($C6, 'Match Names'!$1:$22, 8, FALSE), ""!C3:R29"")), {3;9;15;21}, FALSE)), ""=-4"")"),0.0)</f>
        <v>0</v>
      </c>
      <c r="H6" s="33">
        <f t="shared" si="1"/>
        <v>1.33</v>
      </c>
    </row>
    <row r="7">
      <c r="A7" s="34" t="s">
        <v>198</v>
      </c>
      <c r="B7" s="35" t="str">
        <f>VLOOKUP(CONCAT(A7, C7), 'Discord Username to Real Name'!C:D, 2, FALSE)</f>
        <v/>
      </c>
      <c r="C7" s="36" t="s">
        <v>5</v>
      </c>
      <c r="D7" s="32">
        <f>IFERROR(__xludf.DUMMYFUNCTION("(4 - COUNTIF(IFERROR(ARRAYFORMULA(HLOOKUP($B7, IMPORTRANGE('Prelim Rankings Unsorted'!$B$40, CONCAT(VLOOKUP($C7, 'Match Names'!$A$1:$D$22, 2, FALSE), ""!C3:R29"")), {5;10;16;22}, FALSE)), 'Player Overall Stats Unsorted'!$AA$9:$AA$12), ""=X"")) + (4 - COUN"&amp;"TIF(IFERROR(ARRAYFORMULA(HLOOKUP($B7, IMPORTRANGE('Prelim Rankings Unsorted'!$B$41, CONCAT(VLOOKUP($C7, 'Match Names'!$A$1:$D$22, 3, FALSE), ""!C3:R29"")), {2;8;14;20}, FALSE)), 'Player Overall Stats Unsorted'!$AA$9:$AA$12), ""=X"")) + (4 - COUNTIF(IFERRO"&amp;"R(ARRAYFORMULA(HLOOKUP($B7, IMPORTRANGE('Prelim Rankings Unsorted'!$B$42, CONCAT(VLOOKUP($C7, 'Match Names'!$A$1:$D$22, 4, FALSE), ""!C3:R29"")), {4;10;16;22}, FALSE)), 'Player Overall Stats Unsorted'!$AA$9:$AA$12), ""=X"")) + (4 - COUNTIF(IFERROR(ARRAYFO"&amp;"RMULA(HLOOKUP($B7, IMPORTRANGE('Match Names'!$E$23, CONCAT(VLOOKUP($C7, 'Match Names'!$1:$22, 5, FALSE), ""!C3:R29"")), {5;10;15;20}, FALSE)), 'Player Overall Stats Unsorted'!$AA$9:$AA$12), ""=X"")) + (4 - COUNTIF(IFERROR(ARRAYFORMULA(HLOOKUP($B7, IMPORTR"&amp;"ANGE('Match Names'!$F$23, CONCAT(VLOOKUP($C7, 'Match Names'!$1:$22, 6, FALSE), ""!C3:R29"")), {4;10;16;22}, FALSE)), 'Player Overall Stats Unsorted'!$AA$9:$AA$12), ""=X"")) + (4 - COUNTIF(IFERROR(ARRAYFORMULA(HLOOKUP($B7, IMPORTRANGE('Match Names'!$G$23, "&amp;"CONCAT(VLOOKUP($C7, 'Match Names'!$1:$22, 7, FALSE), ""!C3:R29"")), {4;9;13;19}, FALSE)), 'Player Overall Stats Unsorted'!$AA$9:$AA$12), ""=X"")) + (4 - COUNTIF(IFERROR(ARRAYFORMULA(HLOOKUP($B7, IMPORTRANGE('Match Names'!$H$23, CONCAT(VLOOKUP($C7, 'Match "&amp;"Names'!$1:$22, 8, FALSE), ""!C3:R29"")), {3;9;15;21}, FALSE)), 'Player Overall Stats Unsorted'!$AA$9:$AA$12), ""=X""))"),0.0)</f>
        <v>0</v>
      </c>
      <c r="E7" s="32">
        <f>IFERROR(__xludf.DUMMYFUNCTION("COUNTIF(ARRAYFORMULA(HLOOKUP($B7, IMPORTRANGE('Prelim Rankings Unsorted'!$B$40, CONCAT(VLOOKUP($C7, 'Match Names'!$A$1:$D$22, 2, FALSE), ""!C3:R29"")), {5;10;16;22}, FALSE)), ""=4"") + COUNTIF(ARRAYFORMULA(HLOOKUP($B7, IMPORTRANGE('Prelim Rankings Unsorte"&amp;"d'!$B$41, CONCAT(VLOOKUP($C7, 'Match Names'!$A$1:$D$22, 3, FALSE), ""!C3:R29"")), {2;8;14;20}, FALSE)), ""=4"") + COUNTIF(ARRAYFORMULA(HLOOKUP($B7, IMPORTRANGE('Prelim Rankings Unsorted'!$B$42, CONCAT(VLOOKUP($C7, 'Match Names'!$A$1:$D$22, 4, FALSE), ""!C"&amp;"3:R29"")), {4;10;16;22}, FALSE)), ""=4"") + COUNTIF(ARRAYFORMULA(HLOOKUP($B7, IMPORTRANGE('Match Names'!$E$23, CONCAT(VLOOKUP($C7, 'Match Names'!$1:$22, 5, FALSE), ""!C3:R29"")), {5;10;15;20}, FALSE)), ""=4"") + COUNTIF(ARRAYFORMULA(HLOOKUP($B7, IMPORTRAN"&amp;"GE('Match Names'!$F$23, CONCAT(VLOOKUP($C7, 'Match Names'!$1:$22, 6, FALSE), ""!C3:R29"")), {4;10;16;22}, FALSE)), ""=4"") + COUNTIF(ARRAYFORMULA(HLOOKUP($B7, IMPORTRANGE('Match Names'!$G$23, CONCAT(VLOOKUP($C7, 'Match Names'!$1:$22, 7, FALSE), ""!C3:R29"&amp;""")), {4;9;13;19}, FALSE)), ""=4"") + COUNTIF(ARRAYFORMULA(HLOOKUP($B7, IMPORTRANGE('Match Names'!$H$23, CONCAT(VLOOKUP($C7, 'Match Names'!$1:$22, 8, FALSE), ""!C3:R29"")), {3;9;15;21}, FALSE)), ""=4"")"),0.0)</f>
        <v>0</v>
      </c>
      <c r="F7" s="32">
        <f>IFERROR(__xludf.DUMMYFUNCTION("COUNTIF(ARRAYFORMULA(HLOOKUP($B7, IMPORTRANGE('Prelim Rankings Unsorted'!$B$40, CONCAT(VLOOKUP($C7, 'Match Names'!$A$1:$D$22, 2, FALSE), ""!C3:R29"")), {5;10;16;22}, FALSE)), ""=0"") + COUNTIF(ARRAYFORMULA(HLOOKUP($B7, IMPORTRANGE('Prelim Rankings Unsorte"&amp;"d'!$B$41, CONCAT(VLOOKUP($C7, 'Match Names'!$A$1:$D$22, 3, FALSE), ""!C3:R29"")), {2;8;14;20}, FALSE)), ""=0"") + COUNTIF(ARRAYFORMULA(HLOOKUP($B7, IMPORTRANGE('Prelim Rankings Unsorted'!$B$42, CONCAT(VLOOKUP($C7, 'Match Names'!$A$1:$D$22, 4, FALSE), ""!C"&amp;"3:R29"")), {4;10;16;22}, FALSE)), ""=0"") + COUNTIF(ARRAYFORMULA(HLOOKUP($B7, IMPORTRANGE('Match Names'!$E$23, CONCAT(VLOOKUP($C7, 'Match Names'!$1:$22, 5, FALSE), ""!C3:R29"")), {5;10;15;20}, FALSE)), ""=0"") + COUNTIF(ARRAYFORMULA(HLOOKUP($B7, IMPORTRAN"&amp;"GE('Match Names'!$F$23, CONCAT(VLOOKUP($C7, 'Match Names'!$1:$22, 6, FALSE), ""!C3:R29"")), {4;10;16;22}, FALSE)), ""=0"") + COUNTIF(ARRAYFORMULA(HLOOKUP($B7, IMPORTRANGE('Match Names'!$G$23, CONCAT(VLOOKUP($C7, 'Match Names'!$1:$22, 7, FALSE), ""!C3:R29"&amp;""")), {4;9;13;19}, FALSE)), ""=0"") + COUNTIF(ARRAYFORMULA(HLOOKUP($B7, IMPORTRANGE('Match Names'!$H$23, CONCAT(VLOOKUP($C7, 'Match Names'!$1:$22, 8, FALSE), ""!C3:R29"")), {3;9;15;21}, FALSE)), ""=0"")"),0.0)</f>
        <v>0</v>
      </c>
      <c r="G7" s="32">
        <f>IFERROR(__xludf.DUMMYFUNCTION("COUNTIF(ARRAYFORMULA(HLOOKUP($B7, IMPORTRANGE('Prelim Rankings Unsorted'!$B$40, CONCAT(VLOOKUP($C7, 'Match Names'!$A$1:$D$22, 2, FALSE), ""!C3:R29"")), {5;10;16;22}, FALSE)), ""=-4"") + COUNTIF(ARRAYFORMULA(HLOOKUP($B7, IMPORTRANGE('Prelim Rankings Unsort"&amp;"ed'!$B$41, CONCAT(VLOOKUP($C7, 'Match Names'!$A$1:$D$22, 3, FALSE), ""!C3:R29"")), {2;8;14;20}, FALSE)), ""=-4"") + COUNTIF(ARRAYFORMULA(HLOOKUP($B7, IMPORTRANGE('Prelim Rankings Unsorted'!$B$42, CONCAT(VLOOKUP($C7, 'Match Names'!$A$1:$D$22, 4, FALSE), """&amp;"!C3:R29"")), {4;10;16;22}, FALSE)), ""=-4"") + COUNTIF(ARRAYFORMULA(HLOOKUP($B7, IMPORTRANGE('Match Names'!$E$23, CONCAT(VLOOKUP($C7, 'Match Names'!$1:$22, 5, FALSE), ""!C3:R29"")), {5;10;15;20}, FALSE)), ""=-4"") + COUNTIF(ARRAYFORMULA(HLOOKUP($B7, IMPOR"&amp;"TRANGE('Match Names'!$F$23, CONCAT(VLOOKUP($C7, 'Match Names'!$1:$22, 6, FALSE), ""!C3:R29"")), {4;10;16;22}, FALSE)), ""=-4"") + COUNTIF(ARRAYFORMULA(HLOOKUP($B7, IMPORTRANGE('Match Names'!$G$23, CONCAT(VLOOKUP($C7, 'Match Names'!$1:$22, 7, FALSE), ""!C3"&amp;":R29"")), {4;9;13;19}, FALSE)), ""=-4"") + COUNTIF(ARRAYFORMULA(HLOOKUP($B7, IMPORTRANGE('Match Names'!$H$23, CONCAT(VLOOKUP($C7, 'Match Names'!$1:$22, 8, FALSE), ""!C3:R29"")), {3;9;15;21}, FALSE)), ""=-4"")"),0.0)</f>
        <v>0</v>
      </c>
      <c r="H7" s="33">
        <f t="shared" si="1"/>
        <v>0</v>
      </c>
    </row>
    <row r="8">
      <c r="A8" s="31" t="s">
        <v>200</v>
      </c>
      <c r="B8" s="31" t="str">
        <f>VLOOKUP(CONCAT(A8, C8), 'Discord Username to Real Name'!C:D, 2, FALSE)</f>
        <v>Victoria123#0687</v>
      </c>
      <c r="C8" s="31" t="s">
        <v>5</v>
      </c>
      <c r="D8" s="32">
        <f>IFERROR(__xludf.DUMMYFUNCTION("(4 - COUNTIF(IFERROR(ARRAYFORMULA(HLOOKUP($B8, IMPORTRANGE('Prelim Rankings Unsorted'!$B$40, CONCAT(VLOOKUP($C8, 'Match Names'!$A$1:$D$22, 2, FALSE), ""!C3:R29"")), {5;10;16;22}, FALSE)), 'Player Overall Stats Unsorted'!$AA$9:$AA$12), ""=X"")) + (4 - COUN"&amp;"TIF(IFERROR(ARRAYFORMULA(HLOOKUP($B8, IMPORTRANGE('Prelim Rankings Unsorted'!$B$41, CONCAT(VLOOKUP($C8, 'Match Names'!$A$1:$D$22, 3, FALSE), ""!C3:R29"")), {2;8;14;20}, FALSE)), 'Player Overall Stats Unsorted'!$AA$9:$AA$12), ""=X"")) + (4 - COUNTIF(IFERRO"&amp;"R(ARRAYFORMULA(HLOOKUP($B8, IMPORTRANGE('Prelim Rankings Unsorted'!$B$42, CONCAT(VLOOKUP($C8, 'Match Names'!$A$1:$D$22, 4, FALSE), ""!C3:R29"")), {4;10;16;22}, FALSE)), 'Player Overall Stats Unsorted'!$AA$9:$AA$12), ""=X"")) + (4 - COUNTIF(IFERROR(ARRAYFO"&amp;"RMULA(HLOOKUP($B8, IMPORTRANGE('Match Names'!$E$23, CONCAT(VLOOKUP($C8, 'Match Names'!$1:$22, 5, FALSE), ""!C3:R29"")), {5;10;15;20}, FALSE)), 'Player Overall Stats Unsorted'!$AA$9:$AA$12), ""=X"")) + (4 - COUNTIF(IFERROR(ARRAYFORMULA(HLOOKUP($B8, IMPORTR"&amp;"ANGE('Match Names'!$F$23, CONCAT(VLOOKUP($C8, 'Match Names'!$1:$22, 6, FALSE), ""!C3:R29"")), {4;10;16;22}, FALSE)), 'Player Overall Stats Unsorted'!$AA$9:$AA$12), ""=X"")) + (4 - COUNTIF(IFERROR(ARRAYFORMULA(HLOOKUP($B8, IMPORTRANGE('Match Names'!$G$23, "&amp;"CONCAT(VLOOKUP($C8, 'Match Names'!$1:$22, 7, FALSE), ""!C3:R29"")), {4;9;13;19}, FALSE)), 'Player Overall Stats Unsorted'!$AA$9:$AA$12), ""=X"")) + (4 - COUNTIF(IFERROR(ARRAYFORMULA(HLOOKUP($B8, IMPORTRANGE('Match Names'!$H$23, CONCAT(VLOOKUP($C8, 'Match "&amp;"Names'!$1:$22, 8, FALSE), ""!C3:R29"")), {3;9;15;21}, FALSE)), 'Player Overall Stats Unsorted'!$AA$9:$AA$12), ""=X""))"),0.0)</f>
        <v>0</v>
      </c>
      <c r="E8" s="32">
        <f>IFERROR(__xludf.DUMMYFUNCTION("COUNTIF(ARRAYFORMULA(HLOOKUP($B8, IMPORTRANGE('Prelim Rankings Unsorted'!$B$40, CONCAT(VLOOKUP($C8, 'Match Names'!$A$1:$D$22, 2, FALSE), ""!C3:R29"")), {5;10;16;22}, FALSE)), ""=4"") + COUNTIF(ARRAYFORMULA(HLOOKUP($B8, IMPORTRANGE('Prelim Rankings Unsorte"&amp;"d'!$B$41, CONCAT(VLOOKUP($C8, 'Match Names'!$A$1:$D$22, 3, FALSE), ""!C3:R29"")), {2;8;14;20}, FALSE)), ""=4"") + COUNTIF(ARRAYFORMULA(HLOOKUP($B8, IMPORTRANGE('Prelim Rankings Unsorted'!$B$42, CONCAT(VLOOKUP($C8, 'Match Names'!$A$1:$D$22, 4, FALSE), ""!C"&amp;"3:R29"")), {4;10;16;22}, FALSE)), ""=4"") + COUNTIF(ARRAYFORMULA(HLOOKUP($B8, IMPORTRANGE('Match Names'!$E$23, CONCAT(VLOOKUP($C8, 'Match Names'!$1:$22, 5, FALSE), ""!C3:R29"")), {5;10;15;20}, FALSE)), ""=4"") + COUNTIF(ARRAYFORMULA(HLOOKUP($B8, IMPORTRAN"&amp;"GE('Match Names'!$F$23, CONCAT(VLOOKUP($C8, 'Match Names'!$1:$22, 6, FALSE), ""!C3:R29"")), {4;10;16;22}, FALSE)), ""=4"") + COUNTIF(ARRAYFORMULA(HLOOKUP($B8, IMPORTRANGE('Match Names'!$G$23, CONCAT(VLOOKUP($C8, 'Match Names'!$1:$22, 7, FALSE), ""!C3:R29"&amp;""")), {4;9;13;19}, FALSE)), ""=4"") + COUNTIF(ARRAYFORMULA(HLOOKUP($B8, IMPORTRANGE('Match Names'!$H$23, CONCAT(VLOOKUP($C8, 'Match Names'!$1:$22, 8, FALSE), ""!C3:R29"")), {3;9;15;21}, FALSE)), ""=4"")"),0.0)</f>
        <v>0</v>
      </c>
      <c r="F8" s="32">
        <f>IFERROR(__xludf.DUMMYFUNCTION("COUNTIF(ARRAYFORMULA(HLOOKUP($B8, IMPORTRANGE('Prelim Rankings Unsorted'!$B$40, CONCAT(VLOOKUP($C8, 'Match Names'!$A$1:$D$22, 2, FALSE), ""!C3:R29"")), {5;10;16;22}, FALSE)), ""=0"") + COUNTIF(ARRAYFORMULA(HLOOKUP($B8, IMPORTRANGE('Prelim Rankings Unsorte"&amp;"d'!$B$41, CONCAT(VLOOKUP($C8, 'Match Names'!$A$1:$D$22, 3, FALSE), ""!C3:R29"")), {2;8;14;20}, FALSE)), ""=0"") + COUNTIF(ARRAYFORMULA(HLOOKUP($B8, IMPORTRANGE('Prelim Rankings Unsorted'!$B$42, CONCAT(VLOOKUP($C8, 'Match Names'!$A$1:$D$22, 4, FALSE), ""!C"&amp;"3:R29"")), {4;10;16;22}, FALSE)), ""=0"") + COUNTIF(ARRAYFORMULA(HLOOKUP($B8, IMPORTRANGE('Match Names'!$E$23, CONCAT(VLOOKUP($C8, 'Match Names'!$1:$22, 5, FALSE), ""!C3:R29"")), {5;10;15;20}, FALSE)), ""=0"") + COUNTIF(ARRAYFORMULA(HLOOKUP($B8, IMPORTRAN"&amp;"GE('Match Names'!$F$23, CONCAT(VLOOKUP($C8, 'Match Names'!$1:$22, 6, FALSE), ""!C3:R29"")), {4;10;16;22}, FALSE)), ""=0"") + COUNTIF(ARRAYFORMULA(HLOOKUP($B8, IMPORTRANGE('Match Names'!$G$23, CONCAT(VLOOKUP($C8, 'Match Names'!$1:$22, 7, FALSE), ""!C3:R29"&amp;""")), {4;9;13;19}, FALSE)), ""=0"") + COUNTIF(ARRAYFORMULA(HLOOKUP($B8, IMPORTRANGE('Match Names'!$H$23, CONCAT(VLOOKUP($C8, 'Match Names'!$1:$22, 8, FALSE), ""!C3:R29"")), {3;9;15;21}, FALSE)), ""=0"")"),0.0)</f>
        <v>0</v>
      </c>
      <c r="G8" s="32">
        <f>IFERROR(__xludf.DUMMYFUNCTION("COUNTIF(ARRAYFORMULA(HLOOKUP($B8, IMPORTRANGE('Prelim Rankings Unsorted'!$B$40, CONCAT(VLOOKUP($C8, 'Match Names'!$A$1:$D$22, 2, FALSE), ""!C3:R29"")), {5;10;16;22}, FALSE)), ""=-4"") + COUNTIF(ARRAYFORMULA(HLOOKUP($B8, IMPORTRANGE('Prelim Rankings Unsort"&amp;"ed'!$B$41, CONCAT(VLOOKUP($C8, 'Match Names'!$A$1:$D$22, 3, FALSE), ""!C3:R29"")), {2;8;14;20}, FALSE)), ""=-4"") + COUNTIF(ARRAYFORMULA(HLOOKUP($B8, IMPORTRANGE('Prelim Rankings Unsorted'!$B$42, CONCAT(VLOOKUP($C8, 'Match Names'!$A$1:$D$22, 4, FALSE), """&amp;"!C3:R29"")), {4;10;16;22}, FALSE)), ""=-4"") + COUNTIF(ARRAYFORMULA(HLOOKUP($B8, IMPORTRANGE('Match Names'!$E$23, CONCAT(VLOOKUP($C8, 'Match Names'!$1:$22, 5, FALSE), ""!C3:R29"")), {5;10;15;20}, FALSE)), ""=-4"") + COUNTIF(ARRAYFORMULA(HLOOKUP($B8, IMPOR"&amp;"TRANGE('Match Names'!$F$23, CONCAT(VLOOKUP($C8, 'Match Names'!$1:$22, 6, FALSE), ""!C3:R29"")), {4;10;16;22}, FALSE)), ""=-4"") + COUNTIF(ARRAYFORMULA(HLOOKUP($B8, IMPORTRANGE('Match Names'!$G$23, CONCAT(VLOOKUP($C8, 'Match Names'!$1:$22, 7, FALSE), ""!C3"&amp;":R29"")), {4;9;13;19}, FALSE)), ""=-4"") + COUNTIF(ARRAYFORMULA(HLOOKUP($B8, IMPORTRANGE('Match Names'!$H$23, CONCAT(VLOOKUP($C8, 'Match Names'!$1:$22, 8, FALSE), ""!C3:R29"")), {3;9;15;21}, FALSE)), ""=-4"")"),0.0)</f>
        <v>0</v>
      </c>
      <c r="H8" s="33">
        <f t="shared" si="1"/>
        <v>0</v>
      </c>
    </row>
    <row r="9">
      <c r="A9" s="31" t="s">
        <v>82</v>
      </c>
      <c r="B9" s="31" t="str">
        <f>VLOOKUP(CONCAT(A9, C9), 'Discord Username to Real Name'!C:D, 2, FALSE)</f>
        <v>IAmNotJerry#6312</v>
      </c>
      <c r="C9" s="31" t="s">
        <v>5</v>
      </c>
      <c r="D9" s="32">
        <f>IFERROR(__xludf.DUMMYFUNCTION("(4 - COUNTIF(IFERROR(ARRAYFORMULA(HLOOKUP($B9, IMPORTRANGE('Prelim Rankings Unsorted'!$B$40, CONCAT(VLOOKUP($C9, 'Match Names'!$A$1:$D$22, 2, FALSE), ""!C3:R29"")), {5;10;16;22}, FALSE)), 'Player Overall Stats Unsorted'!$AA$9:$AA$12), ""=X"")) + (4 - COUN"&amp;"TIF(IFERROR(ARRAYFORMULA(HLOOKUP($B9, IMPORTRANGE('Prelim Rankings Unsorted'!$B$41, CONCAT(VLOOKUP($C9, 'Match Names'!$A$1:$D$22, 3, FALSE), ""!C3:R29"")), {2;8;14;20}, FALSE)), 'Player Overall Stats Unsorted'!$AA$9:$AA$12), ""=X"")) + (4 - COUNTIF(IFERRO"&amp;"R(ARRAYFORMULA(HLOOKUP($B9, IMPORTRANGE('Prelim Rankings Unsorted'!$B$42, CONCAT(VLOOKUP($C9, 'Match Names'!$A$1:$D$22, 4, FALSE), ""!C3:R29"")), {4;10;16;22}, FALSE)), 'Player Overall Stats Unsorted'!$AA$9:$AA$12), ""=X"")) + (4 - COUNTIF(IFERROR(ARRAYFO"&amp;"RMULA(HLOOKUP($B9, IMPORTRANGE('Match Names'!$E$23, CONCAT(VLOOKUP($C9, 'Match Names'!$1:$22, 5, FALSE), ""!C3:R29"")), {5;10;15;20}, FALSE)), 'Player Overall Stats Unsorted'!$AA$9:$AA$12), ""=X"")) + (4 - COUNTIF(IFERROR(ARRAYFORMULA(HLOOKUP($B9, IMPORTR"&amp;"ANGE('Match Names'!$F$23, CONCAT(VLOOKUP($C9, 'Match Names'!$1:$22, 6, FALSE), ""!C3:R29"")), {4;10;16;22}, FALSE)), 'Player Overall Stats Unsorted'!$AA$9:$AA$12), ""=X"")) + (4 - COUNTIF(IFERROR(ARRAYFORMULA(HLOOKUP($B9, IMPORTRANGE('Match Names'!$G$23, "&amp;"CONCAT(VLOOKUP($C9, 'Match Names'!$1:$22, 7, FALSE), ""!C3:R29"")), {4;9;13;19}, FALSE)), 'Player Overall Stats Unsorted'!$AA$9:$AA$12), ""=X"")) + (4 - COUNTIF(IFERROR(ARRAYFORMULA(HLOOKUP($B9, IMPORTRANGE('Match Names'!$H$23, CONCAT(VLOOKUP($C9, 'Match "&amp;"Names'!$1:$22, 8, FALSE), ""!C3:R29"")), {3;9;15;21}, FALSE)), 'Player Overall Stats Unsorted'!$AA$9:$AA$12), ""=X""))"),12.0)</f>
        <v>12</v>
      </c>
      <c r="E9" s="32">
        <f>IFERROR(__xludf.DUMMYFUNCTION("COUNTIF(ARRAYFORMULA(HLOOKUP($B9, IMPORTRANGE('Prelim Rankings Unsorted'!$B$40, CONCAT(VLOOKUP($C9, 'Match Names'!$A$1:$D$22, 2, FALSE), ""!C3:R29"")), {5;10;16;22}, FALSE)), ""=4"") + COUNTIF(ARRAYFORMULA(HLOOKUP($B9, IMPORTRANGE('Prelim Rankings Unsorte"&amp;"d'!$B$41, CONCAT(VLOOKUP($C9, 'Match Names'!$A$1:$D$22, 3, FALSE), ""!C3:R29"")), {2;8;14;20}, FALSE)), ""=4"") + COUNTIF(ARRAYFORMULA(HLOOKUP($B9, IMPORTRANGE('Prelim Rankings Unsorted'!$B$42, CONCAT(VLOOKUP($C9, 'Match Names'!$A$1:$D$22, 4, FALSE), ""!C"&amp;"3:R29"")), {4;10;16;22}, FALSE)), ""=4"") + COUNTIF(ARRAYFORMULA(HLOOKUP($B9, IMPORTRANGE('Match Names'!$E$23, CONCAT(VLOOKUP($C9, 'Match Names'!$1:$22, 5, FALSE), ""!C3:R29"")), {5;10;15;20}, FALSE)), ""=4"") + COUNTIF(ARRAYFORMULA(HLOOKUP($B9, IMPORTRAN"&amp;"GE('Match Names'!$F$23, CONCAT(VLOOKUP($C9, 'Match Names'!$1:$22, 6, FALSE), ""!C3:R29"")), {4;10;16;22}, FALSE)), ""=4"") + COUNTIF(ARRAYFORMULA(HLOOKUP($B9, IMPORTRANGE('Match Names'!$G$23, CONCAT(VLOOKUP($C9, 'Match Names'!$1:$22, 7, FALSE), ""!C3:R29"&amp;""")), {4;9;13;19}, FALSE)), ""=4"") + COUNTIF(ARRAYFORMULA(HLOOKUP($B9, IMPORTRANGE('Match Names'!$H$23, CONCAT(VLOOKUP($C9, 'Match Names'!$1:$22, 8, FALSE), ""!C3:R29"")), {3;9;15;21}, FALSE)), ""=4"")"),0.0)</f>
        <v>0</v>
      </c>
      <c r="F9" s="32">
        <f>IFERROR(__xludf.DUMMYFUNCTION("COUNTIF(ARRAYFORMULA(HLOOKUP($B9, IMPORTRANGE('Prelim Rankings Unsorted'!$B$40, CONCAT(VLOOKUP($C9, 'Match Names'!$A$1:$D$22, 2, FALSE), ""!C3:R29"")), {5;10;16;22}, FALSE)), ""=0"") + COUNTIF(ARRAYFORMULA(HLOOKUP($B9, IMPORTRANGE('Prelim Rankings Unsorte"&amp;"d'!$B$41, CONCAT(VLOOKUP($C9, 'Match Names'!$A$1:$D$22, 3, FALSE), ""!C3:R29"")), {2;8;14;20}, FALSE)), ""=0"") + COUNTIF(ARRAYFORMULA(HLOOKUP($B9, IMPORTRANGE('Prelim Rankings Unsorted'!$B$42, CONCAT(VLOOKUP($C9, 'Match Names'!$A$1:$D$22, 4, FALSE), ""!C"&amp;"3:R29"")), {4;10;16;22}, FALSE)), ""=0"") + COUNTIF(ARRAYFORMULA(HLOOKUP($B9, IMPORTRANGE('Match Names'!$E$23, CONCAT(VLOOKUP($C9, 'Match Names'!$1:$22, 5, FALSE), ""!C3:R29"")), {5;10;15;20}, FALSE)), ""=0"") + COUNTIF(ARRAYFORMULA(HLOOKUP($B9, IMPORTRAN"&amp;"GE('Match Names'!$F$23, CONCAT(VLOOKUP($C9, 'Match Names'!$1:$22, 6, FALSE), ""!C3:R29"")), {4;10;16;22}, FALSE)), ""=0"") + COUNTIF(ARRAYFORMULA(HLOOKUP($B9, IMPORTRANGE('Match Names'!$G$23, CONCAT(VLOOKUP($C9, 'Match Names'!$1:$22, 7, FALSE), ""!C3:R29"&amp;""")), {4;9;13;19}, FALSE)), ""=0"") + COUNTIF(ARRAYFORMULA(HLOOKUP($B9, IMPORTRANGE('Match Names'!$H$23, CONCAT(VLOOKUP($C9, 'Match Names'!$1:$22, 8, FALSE), ""!C3:R29"")), {3;9;15;21}, FALSE)), ""=0"")"),2.0)</f>
        <v>2</v>
      </c>
      <c r="G9" s="32">
        <f>IFERROR(__xludf.DUMMYFUNCTION("COUNTIF(ARRAYFORMULA(HLOOKUP($B9, IMPORTRANGE('Prelim Rankings Unsorted'!$B$40, CONCAT(VLOOKUP($C9, 'Match Names'!$A$1:$D$22, 2, FALSE), ""!C3:R29"")), {5;10;16;22}, FALSE)), ""=-4"") + COUNTIF(ARRAYFORMULA(HLOOKUP($B9, IMPORTRANGE('Prelim Rankings Unsort"&amp;"ed'!$B$41, CONCAT(VLOOKUP($C9, 'Match Names'!$A$1:$D$22, 3, FALSE), ""!C3:R29"")), {2;8;14;20}, FALSE)), ""=-4"") + COUNTIF(ARRAYFORMULA(HLOOKUP($B9, IMPORTRANGE('Prelim Rankings Unsorted'!$B$42, CONCAT(VLOOKUP($C9, 'Match Names'!$A$1:$D$22, 4, FALSE), """&amp;"!C3:R29"")), {4;10;16;22}, FALSE)), ""=-4"") + COUNTIF(ARRAYFORMULA(HLOOKUP($B9, IMPORTRANGE('Match Names'!$E$23, CONCAT(VLOOKUP($C9, 'Match Names'!$1:$22, 5, FALSE), ""!C3:R29"")), {5;10;15;20}, FALSE)), ""=-4"") + COUNTIF(ARRAYFORMULA(HLOOKUP($B9, IMPOR"&amp;"TRANGE('Match Names'!$F$23, CONCAT(VLOOKUP($C9, 'Match Names'!$1:$22, 6, FALSE), ""!C3:R29"")), {4;10;16;22}, FALSE)), ""=-4"") + COUNTIF(ARRAYFORMULA(HLOOKUP($B9, IMPORTRANGE('Match Names'!$G$23, CONCAT(VLOOKUP($C9, 'Match Names'!$1:$22, 7, FALSE), ""!C3"&amp;":R29"")), {4;9;13;19}, FALSE)), ""=-4"") + COUNTIF(ARRAYFORMULA(HLOOKUP($B9, IMPORTRANGE('Match Names'!$H$23, CONCAT(VLOOKUP($C9, 'Match Names'!$1:$22, 8, FALSE), ""!C3:R29"")), {3;9;15;21}, FALSE)), ""=-4"")"),0.0)</f>
        <v>0</v>
      </c>
      <c r="H9" s="33">
        <f t="shared" si="1"/>
        <v>0</v>
      </c>
    </row>
    <row r="10">
      <c r="A10" s="31" t="s">
        <v>196</v>
      </c>
      <c r="B10" s="31" t="str">
        <f>VLOOKUP(CONCAT(A10, C10), 'Discord Username to Real Name'!C:D, 2, FALSE)</f>
        <v>haybales#0656</v>
      </c>
      <c r="C10" s="21" t="s">
        <v>17</v>
      </c>
      <c r="D10" s="32">
        <f>IFERROR(__xludf.DUMMYFUNCTION("(4 - COUNTIF(IFERROR(ARRAYFORMULA(HLOOKUP($B10, IMPORTRANGE('Prelim Rankings Unsorted'!$B$40, CONCAT(VLOOKUP($C10, 'Match Names'!$A$1:$D$22, 2, FALSE), ""!C3:R29"")), {5;10;16;22}, FALSE)), 'Player Overall Stats Unsorted'!$AA$9:$AA$12), ""=X"")) + (4 - CO"&amp;"UNTIF(IFERROR(ARRAYFORMULA(HLOOKUP($B10, IMPORTRANGE('Prelim Rankings Unsorted'!$B$41, CONCAT(VLOOKUP($C10, 'Match Names'!$A$1:$D$22, 3, FALSE), ""!C3:R29"")), {2;8;14;20}, FALSE)), 'Player Overall Stats Unsorted'!$AA$9:$AA$12), ""=X"")) + (4 - COUNTIF(IF"&amp;"ERROR(ARRAYFORMULA(HLOOKUP($B10, IMPORTRANGE('Prelim Rankings Unsorted'!$B$42, CONCAT(VLOOKUP($C10, 'Match Names'!$A$1:$D$22, 4, FALSE), ""!C3:R29"")), {4;10;16;22}, FALSE)), 'Player Overall Stats Unsorted'!$AA$9:$AA$12), ""=X"")) + (4 - COUNTIF(IFERROR(A"&amp;"RRAYFORMULA(HLOOKUP($B10, IMPORTRANGE('Match Names'!$E$23, CONCAT(VLOOKUP($C10, 'Match Names'!$1:$22, 5, FALSE), ""!C3:R29"")), {5;10;15;20}, FALSE)), 'Player Overall Stats Unsorted'!$AA$9:$AA$12), ""=X"")) + (4 - COUNTIF(IFERROR(ARRAYFORMULA(HLOOKUP($B10"&amp;", IMPORTRANGE('Match Names'!$F$23, CONCAT(VLOOKUP($C10, 'Match Names'!$1:$22, 6, FALSE), ""!C3:R29"")), {4;10;16;22}, FALSE)), 'Player Overall Stats Unsorted'!$AA$9:$AA$12), ""=X"")) + (4 - COUNTIF(IFERROR(ARRAYFORMULA(HLOOKUP($B10, IMPORTRANGE('Match Nam"&amp;"es'!$G$23, CONCAT(VLOOKUP($C10, 'Match Names'!$1:$22, 7, FALSE), ""!C3:R29"")), {4;9;13;19}, FALSE)), 'Player Overall Stats Unsorted'!$AA$9:$AA$12), ""=X"")) + (4 - COUNTIF(IFERROR(ARRAYFORMULA(HLOOKUP($B10, IMPORTRANGE('Match Names'!$H$23, CONCAT(VLOOKUP"&amp;"($C10, 'Match Names'!$1:$22, 8, FALSE), ""!C3:R29"")), {3;9;15;21}, FALSE)), 'Player Overall Stats Unsorted'!$AA$9:$AA$12), ""=X""))"),0.0)</f>
        <v>0</v>
      </c>
      <c r="E10" s="32">
        <f>IFERROR(__xludf.DUMMYFUNCTION("COUNTIF(ARRAYFORMULA(HLOOKUP($B10, IMPORTRANGE('Prelim Rankings Unsorted'!$B$40, CONCAT(VLOOKUP($C10, 'Match Names'!$A$1:$D$22, 2, FALSE), ""!C3:R29"")), {5;10;16;22}, FALSE)), ""=4"") + COUNTIF(ARRAYFORMULA(HLOOKUP($B10, IMPORTRANGE('Prelim Rankings Unso"&amp;"rted'!$B$41, CONCAT(VLOOKUP($C10, 'Match Names'!$A$1:$D$22, 3, FALSE), ""!C3:R29"")), {2;8;14;20}, FALSE)), ""=4"") + COUNTIF(ARRAYFORMULA(HLOOKUP($B10, IMPORTRANGE('Prelim Rankings Unsorted'!$B$42, CONCAT(VLOOKUP($C10, 'Match Names'!$A$1:$D$22, 4, FALSE)"&amp;", ""!C3:R29"")), {4;10;16;22}, FALSE)), ""=4"") + COUNTIF(ARRAYFORMULA(HLOOKUP($B10, IMPORTRANGE('Match Names'!$E$23, CONCAT(VLOOKUP($C10, 'Match Names'!$1:$22, 5, FALSE), ""!C3:R29"")), {5;10;15;20}, FALSE)), ""=4"") + COUNTIF(ARRAYFORMULA(HLOOKUP($B10, "&amp;"IMPORTRANGE('Match Names'!$F$23, CONCAT(VLOOKUP($C10, 'Match Names'!$1:$22, 6, FALSE), ""!C3:R29"")), {4;10;16;22}, FALSE)), ""=4"") + COUNTIF(ARRAYFORMULA(HLOOKUP($B10, IMPORTRANGE('Match Names'!$G$23, CONCAT(VLOOKUP($C10, 'Match Names'!$1:$22, 7, FALSE)"&amp;", ""!C3:R29"")), {4;9;13;19}, FALSE)), ""=4"") + COUNTIF(ARRAYFORMULA(HLOOKUP($B10, IMPORTRANGE('Match Names'!$H$23, CONCAT(VLOOKUP($C10, 'Match Names'!$1:$22, 8, FALSE), ""!C3:R29"")), {3;9;15;21}, FALSE)), ""=4"")"),0.0)</f>
        <v>0</v>
      </c>
      <c r="F10" s="32">
        <f>IFERROR(__xludf.DUMMYFUNCTION("COUNTIF(ARRAYFORMULA(HLOOKUP($B10, IMPORTRANGE('Prelim Rankings Unsorted'!$B$40, CONCAT(VLOOKUP($C10, 'Match Names'!$A$1:$D$22, 2, FALSE), ""!C3:R29"")), {5;10;16;22}, FALSE)), ""=0"") + COUNTIF(ARRAYFORMULA(HLOOKUP($B10, IMPORTRANGE('Prelim Rankings Unso"&amp;"rted'!$B$41, CONCAT(VLOOKUP($C10, 'Match Names'!$A$1:$D$22, 3, FALSE), ""!C3:R29"")), {2;8;14;20}, FALSE)), ""=0"") + COUNTIF(ARRAYFORMULA(HLOOKUP($B10, IMPORTRANGE('Prelim Rankings Unsorted'!$B$42, CONCAT(VLOOKUP($C10, 'Match Names'!$A$1:$D$22, 4, FALSE)"&amp;", ""!C3:R29"")), {4;10;16;22}, FALSE)), ""=0"") + COUNTIF(ARRAYFORMULA(HLOOKUP($B10, IMPORTRANGE('Match Names'!$E$23, CONCAT(VLOOKUP($C10, 'Match Names'!$1:$22, 5, FALSE), ""!C3:R29"")), {5;10;15;20}, FALSE)), ""=0"") + COUNTIF(ARRAYFORMULA(HLOOKUP($B10, "&amp;"IMPORTRANGE('Match Names'!$F$23, CONCAT(VLOOKUP($C10, 'Match Names'!$1:$22, 6, FALSE), ""!C3:R29"")), {4;10;16;22}, FALSE)), ""=0"") + COUNTIF(ARRAYFORMULA(HLOOKUP($B10, IMPORTRANGE('Match Names'!$G$23, CONCAT(VLOOKUP($C10, 'Match Names'!$1:$22, 7, FALSE)"&amp;", ""!C3:R29"")), {4;9;13;19}, FALSE)), ""=0"") + COUNTIF(ARRAYFORMULA(HLOOKUP($B10, IMPORTRANGE('Match Names'!$H$23, CONCAT(VLOOKUP($C10, 'Match Names'!$1:$22, 8, FALSE), ""!C3:R29"")), {3;9;15;21}, FALSE)), ""=0"")"),0.0)</f>
        <v>0</v>
      </c>
      <c r="G10" s="32">
        <f>IFERROR(__xludf.DUMMYFUNCTION("COUNTIF(ARRAYFORMULA(HLOOKUP($B10, IMPORTRANGE('Prelim Rankings Unsorted'!$B$40, CONCAT(VLOOKUP($C10, 'Match Names'!$A$1:$D$22, 2, FALSE), ""!C3:R29"")), {5;10;16;22}, FALSE)), ""=-4"") + COUNTIF(ARRAYFORMULA(HLOOKUP($B10, IMPORTRANGE('Prelim Rankings Uns"&amp;"orted'!$B$41, CONCAT(VLOOKUP($C10, 'Match Names'!$A$1:$D$22, 3, FALSE), ""!C3:R29"")), {2;8;14;20}, FALSE)), ""=-4"") + COUNTIF(ARRAYFORMULA(HLOOKUP($B10, IMPORTRANGE('Prelim Rankings Unsorted'!$B$42, CONCAT(VLOOKUP($C10, 'Match Names'!$A$1:$D$22, 4, FALS"&amp;"E), ""!C3:R29"")), {4;10;16;22}, FALSE)), ""=-4"") + COUNTIF(ARRAYFORMULA(HLOOKUP($B10, IMPORTRANGE('Match Names'!$E$23, CONCAT(VLOOKUP($C10, 'Match Names'!$1:$22, 5, FALSE), ""!C3:R29"")), {5;10;15;20}, FALSE)), ""=-4"") + COUNTIF(ARRAYFORMULA(HLOOKUP($B"&amp;"10, IMPORTRANGE('Match Names'!$F$23, CONCAT(VLOOKUP($C10, 'Match Names'!$1:$22, 6, FALSE), ""!C3:R29"")), {4;10;16;22}, FALSE)), ""=-4"") + COUNTIF(ARRAYFORMULA(HLOOKUP($B10, IMPORTRANGE('Match Names'!$G$23, CONCAT(VLOOKUP($C10, 'Match Names'!$1:$22, 7, F"&amp;"ALSE), ""!C3:R29"")), {4;9;13;19}, FALSE)), ""=-4"") + COUNTIF(ARRAYFORMULA(HLOOKUP($B10, IMPORTRANGE('Match Names'!$H$23, CONCAT(VLOOKUP($C10, 'Match Names'!$1:$22, 8, FALSE), ""!C3:R29"")), {3;9;15;21}, FALSE)), ""=-4"")"),0.0)</f>
        <v>0</v>
      </c>
      <c r="H10" s="33">
        <f t="shared" si="1"/>
        <v>0</v>
      </c>
    </row>
    <row r="11">
      <c r="A11" s="31" t="s">
        <v>194</v>
      </c>
      <c r="B11" s="31" t="str">
        <f>VLOOKUP(CONCAT(A11, C11), 'Discord Username to Real Name'!C:D, 2, FALSE)</f>
        <v>ez#5904</v>
      </c>
      <c r="C11" s="21" t="s">
        <v>17</v>
      </c>
      <c r="D11" s="32">
        <f>IFERROR(__xludf.DUMMYFUNCTION("(4 - COUNTIF(IFERROR(ARRAYFORMULA(HLOOKUP($B11, IMPORTRANGE('Prelim Rankings Unsorted'!$B$40, CONCAT(VLOOKUP($C11, 'Match Names'!$A$1:$D$22, 2, FALSE), ""!C3:R29"")), {5;10;16;22}, FALSE)), 'Player Overall Stats Unsorted'!$AA$9:$AA$12), ""=X"")) + (4 - CO"&amp;"UNTIF(IFERROR(ARRAYFORMULA(HLOOKUP($B11, IMPORTRANGE('Prelim Rankings Unsorted'!$B$41, CONCAT(VLOOKUP($C11, 'Match Names'!$A$1:$D$22, 3, FALSE), ""!C3:R29"")), {2;8;14;20}, FALSE)), 'Player Overall Stats Unsorted'!$AA$9:$AA$12), ""=X"")) + (4 - COUNTIF(IF"&amp;"ERROR(ARRAYFORMULA(HLOOKUP($B11, IMPORTRANGE('Prelim Rankings Unsorted'!$B$42, CONCAT(VLOOKUP($C11, 'Match Names'!$A$1:$D$22, 4, FALSE), ""!C3:R29"")), {4;10;16;22}, FALSE)), 'Player Overall Stats Unsorted'!$AA$9:$AA$12), ""=X"")) + (4 - COUNTIF(IFERROR(A"&amp;"RRAYFORMULA(HLOOKUP($B11, IMPORTRANGE('Match Names'!$E$23, CONCAT(VLOOKUP($C11, 'Match Names'!$1:$22, 5, FALSE), ""!C3:R29"")), {5;10;15;20}, FALSE)), 'Player Overall Stats Unsorted'!$AA$9:$AA$12), ""=X"")) + (4 - COUNTIF(IFERROR(ARRAYFORMULA(HLOOKUP($B11"&amp;", IMPORTRANGE('Match Names'!$F$23, CONCAT(VLOOKUP($C11, 'Match Names'!$1:$22, 6, FALSE), ""!C3:R29"")), {4;10;16;22}, FALSE)), 'Player Overall Stats Unsorted'!$AA$9:$AA$12), ""=X"")) + (4 - COUNTIF(IFERROR(ARRAYFORMULA(HLOOKUP($B11, IMPORTRANGE('Match Nam"&amp;"es'!$G$23, CONCAT(VLOOKUP($C11, 'Match Names'!$1:$22, 7, FALSE), ""!C3:R29"")), {4;9;13;19}, FALSE)), 'Player Overall Stats Unsorted'!$AA$9:$AA$12), ""=X"")) + (4 - COUNTIF(IFERROR(ARRAYFORMULA(HLOOKUP($B11, IMPORTRANGE('Match Names'!$H$23, CONCAT(VLOOKUP"&amp;"($C11, 'Match Names'!$1:$22, 8, FALSE), ""!C3:R29"")), {3;9;15;21}, FALSE)), 'Player Overall Stats Unsorted'!$AA$9:$AA$12), ""=X""))"),0.0)</f>
        <v>0</v>
      </c>
      <c r="E11" s="32">
        <f>IFERROR(__xludf.DUMMYFUNCTION("COUNTIF(ARRAYFORMULA(HLOOKUP($B11, IMPORTRANGE('Prelim Rankings Unsorted'!$B$40, CONCAT(VLOOKUP($C11, 'Match Names'!$A$1:$D$22, 2, FALSE), ""!C3:R29"")), {5;10;16;22}, FALSE)), ""=4"") + COUNTIF(ARRAYFORMULA(HLOOKUP($B11, IMPORTRANGE('Prelim Rankings Unso"&amp;"rted'!$B$41, CONCAT(VLOOKUP($C11, 'Match Names'!$A$1:$D$22, 3, FALSE), ""!C3:R29"")), {2;8;14;20}, FALSE)), ""=4"") + COUNTIF(ARRAYFORMULA(HLOOKUP($B11, IMPORTRANGE('Prelim Rankings Unsorted'!$B$42, CONCAT(VLOOKUP($C11, 'Match Names'!$A$1:$D$22, 4, FALSE)"&amp;", ""!C3:R29"")), {4;10;16;22}, FALSE)), ""=4"") + COUNTIF(ARRAYFORMULA(HLOOKUP($B11, IMPORTRANGE('Match Names'!$E$23, CONCAT(VLOOKUP($C11, 'Match Names'!$1:$22, 5, FALSE), ""!C3:R29"")), {5;10;15;20}, FALSE)), ""=4"") + COUNTIF(ARRAYFORMULA(HLOOKUP($B11, "&amp;"IMPORTRANGE('Match Names'!$F$23, CONCAT(VLOOKUP($C11, 'Match Names'!$1:$22, 6, FALSE), ""!C3:R29"")), {4;10;16;22}, FALSE)), ""=4"") + COUNTIF(ARRAYFORMULA(HLOOKUP($B11, IMPORTRANGE('Match Names'!$G$23, CONCAT(VLOOKUP($C11, 'Match Names'!$1:$22, 7, FALSE)"&amp;", ""!C3:R29"")), {4;9;13;19}, FALSE)), ""=4"") + COUNTIF(ARRAYFORMULA(HLOOKUP($B11, IMPORTRANGE('Match Names'!$H$23, CONCAT(VLOOKUP($C11, 'Match Names'!$1:$22, 8, FALSE), ""!C3:R29"")), {3;9;15;21}, FALSE)), ""=4"")"),0.0)</f>
        <v>0</v>
      </c>
      <c r="F11" s="32">
        <f>IFERROR(__xludf.DUMMYFUNCTION("COUNTIF(ARRAYFORMULA(HLOOKUP($B11, IMPORTRANGE('Prelim Rankings Unsorted'!$B$40, CONCAT(VLOOKUP($C11, 'Match Names'!$A$1:$D$22, 2, FALSE), ""!C3:R29"")), {5;10;16;22}, FALSE)), ""=0"") + COUNTIF(ARRAYFORMULA(HLOOKUP($B11, IMPORTRANGE('Prelim Rankings Unso"&amp;"rted'!$B$41, CONCAT(VLOOKUP($C11, 'Match Names'!$A$1:$D$22, 3, FALSE), ""!C3:R29"")), {2;8;14;20}, FALSE)), ""=0"") + COUNTIF(ARRAYFORMULA(HLOOKUP($B11, IMPORTRANGE('Prelim Rankings Unsorted'!$B$42, CONCAT(VLOOKUP($C11, 'Match Names'!$A$1:$D$22, 4, FALSE)"&amp;", ""!C3:R29"")), {4;10;16;22}, FALSE)), ""=0"") + COUNTIF(ARRAYFORMULA(HLOOKUP($B11, IMPORTRANGE('Match Names'!$E$23, CONCAT(VLOOKUP($C11, 'Match Names'!$1:$22, 5, FALSE), ""!C3:R29"")), {5;10;15;20}, FALSE)), ""=0"") + COUNTIF(ARRAYFORMULA(HLOOKUP($B11, "&amp;"IMPORTRANGE('Match Names'!$F$23, CONCAT(VLOOKUP($C11, 'Match Names'!$1:$22, 6, FALSE), ""!C3:R29"")), {4;10;16;22}, FALSE)), ""=0"") + COUNTIF(ARRAYFORMULA(HLOOKUP($B11, IMPORTRANGE('Match Names'!$G$23, CONCAT(VLOOKUP($C11, 'Match Names'!$1:$22, 7, FALSE)"&amp;", ""!C3:R29"")), {4;9;13;19}, FALSE)), ""=0"") + COUNTIF(ARRAYFORMULA(HLOOKUP($B11, IMPORTRANGE('Match Names'!$H$23, CONCAT(VLOOKUP($C11, 'Match Names'!$1:$22, 8, FALSE), ""!C3:R29"")), {3;9;15;21}, FALSE)), ""=0"")"),0.0)</f>
        <v>0</v>
      </c>
      <c r="G11" s="32">
        <f>IFERROR(__xludf.DUMMYFUNCTION("COUNTIF(ARRAYFORMULA(HLOOKUP($B11, IMPORTRANGE('Prelim Rankings Unsorted'!$B$40, CONCAT(VLOOKUP($C11, 'Match Names'!$A$1:$D$22, 2, FALSE), ""!C3:R29"")), {5;10;16;22}, FALSE)), ""=-4"") + COUNTIF(ARRAYFORMULA(HLOOKUP($B11, IMPORTRANGE('Prelim Rankings Uns"&amp;"orted'!$B$41, CONCAT(VLOOKUP($C11, 'Match Names'!$A$1:$D$22, 3, FALSE), ""!C3:R29"")), {2;8;14;20}, FALSE)), ""=-4"") + COUNTIF(ARRAYFORMULA(HLOOKUP($B11, IMPORTRANGE('Prelim Rankings Unsorted'!$B$42, CONCAT(VLOOKUP($C11, 'Match Names'!$A$1:$D$22, 4, FALS"&amp;"E), ""!C3:R29"")), {4;10;16;22}, FALSE)), ""=-4"") + COUNTIF(ARRAYFORMULA(HLOOKUP($B11, IMPORTRANGE('Match Names'!$E$23, CONCAT(VLOOKUP($C11, 'Match Names'!$1:$22, 5, FALSE), ""!C3:R29"")), {5;10;15;20}, FALSE)), ""=-4"") + COUNTIF(ARRAYFORMULA(HLOOKUP($B"&amp;"11, IMPORTRANGE('Match Names'!$F$23, CONCAT(VLOOKUP($C11, 'Match Names'!$1:$22, 6, FALSE), ""!C3:R29"")), {4;10;16;22}, FALSE)), ""=-4"") + COUNTIF(ARRAYFORMULA(HLOOKUP($B11, IMPORTRANGE('Match Names'!$G$23, CONCAT(VLOOKUP($C11, 'Match Names'!$1:$22, 7, F"&amp;"ALSE), ""!C3:R29"")), {4;9;13;19}, FALSE)), ""=-4"") + COUNTIF(ARRAYFORMULA(HLOOKUP($B11, IMPORTRANGE('Match Names'!$H$23, CONCAT(VLOOKUP($C11, 'Match Names'!$1:$22, 8, FALSE), ""!C3:R29"")), {3;9;15;21}, FALSE)), ""=-4"")"),0.0)</f>
        <v>0</v>
      </c>
      <c r="H11" s="33">
        <f t="shared" si="1"/>
        <v>0</v>
      </c>
    </row>
    <row r="12">
      <c r="A12" s="31" t="s">
        <v>35</v>
      </c>
      <c r="B12" s="31" t="str">
        <f>VLOOKUP(CONCAT(A12, C12), 'Discord Username to Real Name'!C:D, 2, FALSE)</f>
        <v>borb#6872</v>
      </c>
      <c r="C12" s="21" t="s">
        <v>17</v>
      </c>
      <c r="D12" s="32">
        <f>IFERROR(__xludf.DUMMYFUNCTION("(4 - COUNTIF(IFERROR(ARRAYFORMULA(HLOOKUP($B12, IMPORTRANGE('Prelim Rankings Unsorted'!$B$40, CONCAT(VLOOKUP($C12, 'Match Names'!$A$1:$D$22, 2, FALSE), ""!C3:R29"")), {5;10;16;22}, FALSE)), 'Player Overall Stats Unsorted'!$AA$9:$AA$12), ""=X"")) + (4 - CO"&amp;"UNTIF(IFERROR(ARRAYFORMULA(HLOOKUP($B12, IMPORTRANGE('Prelim Rankings Unsorted'!$B$41, CONCAT(VLOOKUP($C12, 'Match Names'!$A$1:$D$22, 3, FALSE), ""!C3:R29"")), {2;8;14;20}, FALSE)), 'Player Overall Stats Unsorted'!$AA$9:$AA$12), ""=X"")) + (4 - COUNTIF(IF"&amp;"ERROR(ARRAYFORMULA(HLOOKUP($B12, IMPORTRANGE('Prelim Rankings Unsorted'!$B$42, CONCAT(VLOOKUP($C12, 'Match Names'!$A$1:$D$22, 4, FALSE), ""!C3:R29"")), {4;10;16;22}, FALSE)), 'Player Overall Stats Unsorted'!$AA$9:$AA$12), ""=X"")) + (4 - COUNTIF(IFERROR(A"&amp;"RRAYFORMULA(HLOOKUP($B12, IMPORTRANGE('Match Names'!$E$23, CONCAT(VLOOKUP($C12, 'Match Names'!$1:$22, 5, FALSE), ""!C3:R29"")), {5;10;15;20}, FALSE)), 'Player Overall Stats Unsorted'!$AA$9:$AA$12), ""=X"")) + (4 - COUNTIF(IFERROR(ARRAYFORMULA(HLOOKUP($B12"&amp;", IMPORTRANGE('Match Names'!$F$23, CONCAT(VLOOKUP($C12, 'Match Names'!$1:$22, 6, FALSE), ""!C3:R29"")), {4;10;16;22}, FALSE)), 'Player Overall Stats Unsorted'!$AA$9:$AA$12), ""=X"")) + (4 - COUNTIF(IFERROR(ARRAYFORMULA(HLOOKUP($B12, IMPORTRANGE('Match Nam"&amp;"es'!$G$23, CONCAT(VLOOKUP($C12, 'Match Names'!$1:$22, 7, FALSE), ""!C3:R29"")), {4;9;13;19}, FALSE)), 'Player Overall Stats Unsorted'!$AA$9:$AA$12), ""=X"")) + (4 - COUNTIF(IFERROR(ARRAYFORMULA(HLOOKUP($B12, IMPORTRANGE('Match Names'!$H$23, CONCAT(VLOOKUP"&amp;"($C12, 'Match Names'!$1:$22, 8, FALSE), ""!C3:R29"")), {3;9;15;21}, FALSE)), 'Player Overall Stats Unsorted'!$AA$9:$AA$12), ""=X""))"),16.0)</f>
        <v>16</v>
      </c>
      <c r="E12" s="32">
        <f>IFERROR(__xludf.DUMMYFUNCTION("COUNTIF(ARRAYFORMULA(HLOOKUP($B12, IMPORTRANGE('Prelim Rankings Unsorted'!$B$40, CONCAT(VLOOKUP($C12, 'Match Names'!$A$1:$D$22, 2, FALSE), ""!C3:R29"")), {5;10;16;22}, FALSE)), ""=4"") + COUNTIF(ARRAYFORMULA(HLOOKUP($B12, IMPORTRANGE('Prelim Rankings Unso"&amp;"rted'!$B$41, CONCAT(VLOOKUP($C12, 'Match Names'!$A$1:$D$22, 3, FALSE), ""!C3:R29"")), {2;8;14;20}, FALSE)), ""=4"") + COUNTIF(ARRAYFORMULA(HLOOKUP($B12, IMPORTRANGE('Prelim Rankings Unsorted'!$B$42, CONCAT(VLOOKUP($C12, 'Match Names'!$A$1:$D$22, 4, FALSE)"&amp;", ""!C3:R29"")), {4;10;16;22}, FALSE)), ""=4"") + COUNTIF(ARRAYFORMULA(HLOOKUP($B12, IMPORTRANGE('Match Names'!$E$23, CONCAT(VLOOKUP($C12, 'Match Names'!$1:$22, 5, FALSE), ""!C3:R29"")), {5;10;15;20}, FALSE)), ""=4"") + COUNTIF(ARRAYFORMULA(HLOOKUP($B12, "&amp;"IMPORTRANGE('Match Names'!$F$23, CONCAT(VLOOKUP($C12, 'Match Names'!$1:$22, 6, FALSE), ""!C3:R29"")), {4;10;16;22}, FALSE)), ""=4"") + COUNTIF(ARRAYFORMULA(HLOOKUP($B12, IMPORTRANGE('Match Names'!$G$23, CONCAT(VLOOKUP($C12, 'Match Names'!$1:$22, 7, FALSE)"&amp;", ""!C3:R29"")), {4;9;13;19}, FALSE)), ""=4"") + COUNTIF(ARRAYFORMULA(HLOOKUP($B12, IMPORTRANGE('Match Names'!$H$23, CONCAT(VLOOKUP($C12, 'Match Names'!$1:$22, 8, FALSE), ""!C3:R29"")), {3;9;15;21}, FALSE)), ""=4"")"),4.0)</f>
        <v>4</v>
      </c>
      <c r="F12" s="32">
        <f>IFERROR(__xludf.DUMMYFUNCTION("COUNTIF(ARRAYFORMULA(HLOOKUP($B12, IMPORTRANGE('Prelim Rankings Unsorted'!$B$40, CONCAT(VLOOKUP($C12, 'Match Names'!$A$1:$D$22, 2, FALSE), ""!C3:R29"")), {5;10;16;22}, FALSE)), ""=0"") + COUNTIF(ARRAYFORMULA(HLOOKUP($B12, IMPORTRANGE('Prelim Rankings Unso"&amp;"rted'!$B$41, CONCAT(VLOOKUP($C12, 'Match Names'!$A$1:$D$22, 3, FALSE), ""!C3:R29"")), {2;8;14;20}, FALSE)), ""=0"") + COUNTIF(ARRAYFORMULA(HLOOKUP($B12, IMPORTRANGE('Prelim Rankings Unsorted'!$B$42, CONCAT(VLOOKUP($C12, 'Match Names'!$A$1:$D$22, 4, FALSE)"&amp;", ""!C3:R29"")), {4;10;16;22}, FALSE)), ""=0"") + COUNTIF(ARRAYFORMULA(HLOOKUP($B12, IMPORTRANGE('Match Names'!$E$23, CONCAT(VLOOKUP($C12, 'Match Names'!$1:$22, 5, FALSE), ""!C3:R29"")), {5;10;15;20}, FALSE)), ""=0"") + COUNTIF(ARRAYFORMULA(HLOOKUP($B12, "&amp;"IMPORTRANGE('Match Names'!$F$23, CONCAT(VLOOKUP($C12, 'Match Names'!$1:$22, 6, FALSE), ""!C3:R29"")), {4;10;16;22}, FALSE)), ""=0"") + COUNTIF(ARRAYFORMULA(HLOOKUP($B12, IMPORTRANGE('Match Names'!$G$23, CONCAT(VLOOKUP($C12, 'Match Names'!$1:$22, 7, FALSE)"&amp;", ""!C3:R29"")), {4;9;13;19}, FALSE)), ""=0"") + COUNTIF(ARRAYFORMULA(HLOOKUP($B12, IMPORTRANGE('Match Names'!$H$23, CONCAT(VLOOKUP($C12, 'Match Names'!$1:$22, 8, FALSE), ""!C3:R29"")), {3;9;15;21}, FALSE)), ""=0"")"),2.0)</f>
        <v>2</v>
      </c>
      <c r="G12" s="32">
        <f>IFERROR(__xludf.DUMMYFUNCTION("COUNTIF(ARRAYFORMULA(HLOOKUP($B12, IMPORTRANGE('Prelim Rankings Unsorted'!$B$40, CONCAT(VLOOKUP($C12, 'Match Names'!$A$1:$D$22, 2, FALSE), ""!C3:R29"")), {5;10;16;22}, FALSE)), ""=-4"") + COUNTIF(ARRAYFORMULA(HLOOKUP($B12, IMPORTRANGE('Prelim Rankings Uns"&amp;"orted'!$B$41, CONCAT(VLOOKUP($C12, 'Match Names'!$A$1:$D$22, 3, FALSE), ""!C3:R29"")), {2;8;14;20}, FALSE)), ""=-4"") + COUNTIF(ARRAYFORMULA(HLOOKUP($B12, IMPORTRANGE('Prelim Rankings Unsorted'!$B$42, CONCAT(VLOOKUP($C12, 'Match Names'!$A$1:$D$22, 4, FALS"&amp;"E), ""!C3:R29"")), {4;10;16;22}, FALSE)), ""=-4"") + COUNTIF(ARRAYFORMULA(HLOOKUP($B12, IMPORTRANGE('Match Names'!$E$23, CONCAT(VLOOKUP($C12, 'Match Names'!$1:$22, 5, FALSE), ""!C3:R29"")), {5;10;15;20}, FALSE)), ""=-4"") + COUNTIF(ARRAYFORMULA(HLOOKUP($B"&amp;"12, IMPORTRANGE('Match Names'!$F$23, CONCAT(VLOOKUP($C12, 'Match Names'!$1:$22, 6, FALSE), ""!C3:R29"")), {4;10;16;22}, FALSE)), ""=-4"") + COUNTIF(ARRAYFORMULA(HLOOKUP($B12, IMPORTRANGE('Match Names'!$G$23, CONCAT(VLOOKUP($C12, 'Match Names'!$1:$22, 7, F"&amp;"ALSE), ""!C3:R29"")), {4;9;13;19}, FALSE)), ""=-4"") + COUNTIF(ARRAYFORMULA(HLOOKUP($B12, IMPORTRANGE('Match Names'!$H$23, CONCAT(VLOOKUP($C12, 'Match Names'!$1:$22, 8, FALSE), ""!C3:R29"")), {3;9;15;21}, FALSE)), ""=-4"")"),0.0)</f>
        <v>0</v>
      </c>
      <c r="H12" s="33">
        <f t="shared" si="1"/>
        <v>4</v>
      </c>
    </row>
    <row r="13">
      <c r="A13" s="31" t="s">
        <v>158</v>
      </c>
      <c r="B13" s="31" t="str">
        <f>VLOOKUP(CONCAT(A13, C13), 'Discord Username to Real Name'!C:D, 2, FALSE)</f>
        <v>TreefallGap#0407</v>
      </c>
      <c r="C13" s="21" t="s">
        <v>17</v>
      </c>
      <c r="D13" s="32">
        <f>IFERROR(__xludf.DUMMYFUNCTION("(4 - COUNTIF(IFERROR(ARRAYFORMULA(HLOOKUP($B13, IMPORTRANGE('Prelim Rankings Unsorted'!$B$40, CONCAT(VLOOKUP($C13, 'Match Names'!$A$1:$D$22, 2, FALSE), ""!C3:R29"")), {5;10;16;22}, FALSE)), 'Player Overall Stats Unsorted'!$AA$9:$AA$12), ""=X"")) + (4 - CO"&amp;"UNTIF(IFERROR(ARRAYFORMULA(HLOOKUP($B13, IMPORTRANGE('Prelim Rankings Unsorted'!$B$41, CONCAT(VLOOKUP($C13, 'Match Names'!$A$1:$D$22, 3, FALSE), ""!C3:R29"")), {2;8;14;20}, FALSE)), 'Player Overall Stats Unsorted'!$AA$9:$AA$12), ""=X"")) + (4 - COUNTIF(IF"&amp;"ERROR(ARRAYFORMULA(HLOOKUP($B13, IMPORTRANGE('Prelim Rankings Unsorted'!$B$42, CONCAT(VLOOKUP($C13, 'Match Names'!$A$1:$D$22, 4, FALSE), ""!C3:R29"")), {4;10;16;22}, FALSE)), 'Player Overall Stats Unsorted'!$AA$9:$AA$12), ""=X"")) + (4 - COUNTIF(IFERROR(A"&amp;"RRAYFORMULA(HLOOKUP($B13, IMPORTRANGE('Match Names'!$E$23, CONCAT(VLOOKUP($C13, 'Match Names'!$1:$22, 5, FALSE), ""!C3:R29"")), {5;10;15;20}, FALSE)), 'Player Overall Stats Unsorted'!$AA$9:$AA$12), ""=X"")) + (4 - COUNTIF(IFERROR(ARRAYFORMULA(HLOOKUP($B13"&amp;", IMPORTRANGE('Match Names'!$F$23, CONCAT(VLOOKUP($C13, 'Match Names'!$1:$22, 6, FALSE), ""!C3:R29"")), {4;10;16;22}, FALSE)), 'Player Overall Stats Unsorted'!$AA$9:$AA$12), ""=X"")) + (4 - COUNTIF(IFERROR(ARRAYFORMULA(HLOOKUP($B13, IMPORTRANGE('Match Nam"&amp;"es'!$G$23, CONCAT(VLOOKUP($C13, 'Match Names'!$1:$22, 7, FALSE), ""!C3:R29"")), {4;9;13;19}, FALSE)), 'Player Overall Stats Unsorted'!$AA$9:$AA$12), ""=X"")) + (4 - COUNTIF(IFERROR(ARRAYFORMULA(HLOOKUP($B13, IMPORTRANGE('Match Names'!$H$23, CONCAT(VLOOKUP"&amp;"($C13, 'Match Names'!$1:$22, 8, FALSE), ""!C3:R29"")), {3;9;15;21}, FALSE)), 'Player Overall Stats Unsorted'!$AA$9:$AA$12), ""=X""))"),16.0)</f>
        <v>16</v>
      </c>
      <c r="E13" s="32">
        <f>IFERROR(__xludf.DUMMYFUNCTION("COUNTIF(ARRAYFORMULA(HLOOKUP($B13, IMPORTRANGE('Prelim Rankings Unsorted'!$B$40, CONCAT(VLOOKUP($C13, 'Match Names'!$A$1:$D$22, 2, FALSE), ""!C3:R29"")), {5;10;16;22}, FALSE)), ""=4"") + COUNTIF(ARRAYFORMULA(HLOOKUP($B13, IMPORTRANGE('Prelim Rankings Unso"&amp;"rted'!$B$41, CONCAT(VLOOKUP($C13, 'Match Names'!$A$1:$D$22, 3, FALSE), ""!C3:R29"")), {2;8;14;20}, FALSE)), ""=4"") + COUNTIF(ARRAYFORMULA(HLOOKUP($B13, IMPORTRANGE('Prelim Rankings Unsorted'!$B$42, CONCAT(VLOOKUP($C13, 'Match Names'!$A$1:$D$22, 4, FALSE)"&amp;", ""!C3:R29"")), {4;10;16;22}, FALSE)), ""=4"") + COUNTIF(ARRAYFORMULA(HLOOKUP($B13, IMPORTRANGE('Match Names'!$E$23, CONCAT(VLOOKUP($C13, 'Match Names'!$1:$22, 5, FALSE), ""!C3:R29"")), {5;10;15;20}, FALSE)), ""=4"") + COUNTIF(ARRAYFORMULA(HLOOKUP($B13, "&amp;"IMPORTRANGE('Match Names'!$F$23, CONCAT(VLOOKUP($C13, 'Match Names'!$1:$22, 6, FALSE), ""!C3:R29"")), {4;10;16;22}, FALSE)), ""=4"") + COUNTIF(ARRAYFORMULA(HLOOKUP($B13, IMPORTRANGE('Match Names'!$G$23, CONCAT(VLOOKUP($C13, 'Match Names'!$1:$22, 7, FALSE)"&amp;", ""!C3:R29"")), {4;9;13;19}, FALSE)), ""=4"") + COUNTIF(ARRAYFORMULA(HLOOKUP($B13, IMPORTRANGE('Match Names'!$H$23, CONCAT(VLOOKUP($C13, 'Match Names'!$1:$22, 8, FALSE), ""!C3:R29"")), {3;9;15;21}, FALSE)), ""=4"")"),0.0)</f>
        <v>0</v>
      </c>
      <c r="F13" s="32">
        <f>IFERROR(__xludf.DUMMYFUNCTION("COUNTIF(ARRAYFORMULA(HLOOKUP($B13, IMPORTRANGE('Prelim Rankings Unsorted'!$B$40, CONCAT(VLOOKUP($C13, 'Match Names'!$A$1:$D$22, 2, FALSE), ""!C3:R29"")), {5;10;16;22}, FALSE)), ""=0"") + COUNTIF(ARRAYFORMULA(HLOOKUP($B13, IMPORTRANGE('Prelim Rankings Unso"&amp;"rted'!$B$41, CONCAT(VLOOKUP($C13, 'Match Names'!$A$1:$D$22, 3, FALSE), ""!C3:R29"")), {2;8;14;20}, FALSE)), ""=0"") + COUNTIF(ARRAYFORMULA(HLOOKUP($B13, IMPORTRANGE('Prelim Rankings Unsorted'!$B$42, CONCAT(VLOOKUP($C13, 'Match Names'!$A$1:$D$22, 4, FALSE)"&amp;", ""!C3:R29"")), {4;10;16;22}, FALSE)), ""=0"") + COUNTIF(ARRAYFORMULA(HLOOKUP($B13, IMPORTRANGE('Match Names'!$E$23, CONCAT(VLOOKUP($C13, 'Match Names'!$1:$22, 5, FALSE), ""!C3:R29"")), {5;10;15;20}, FALSE)), ""=0"") + COUNTIF(ARRAYFORMULA(HLOOKUP($B13, "&amp;"IMPORTRANGE('Match Names'!$F$23, CONCAT(VLOOKUP($C13, 'Match Names'!$1:$22, 6, FALSE), ""!C3:R29"")), {4;10;16;22}, FALSE)), ""=0"") + COUNTIF(ARRAYFORMULA(HLOOKUP($B13, IMPORTRANGE('Match Names'!$G$23, CONCAT(VLOOKUP($C13, 'Match Names'!$1:$22, 7, FALSE)"&amp;", ""!C3:R29"")), {4;9;13;19}, FALSE)), ""=0"") + COUNTIF(ARRAYFORMULA(HLOOKUP($B13, IMPORTRANGE('Match Names'!$H$23, CONCAT(VLOOKUP($C13, 'Match Names'!$1:$22, 8, FALSE), ""!C3:R29"")), {3;9;15;21}, FALSE)), ""=0"")"),0.0)</f>
        <v>0</v>
      </c>
      <c r="G13" s="32">
        <f>IFERROR(__xludf.DUMMYFUNCTION("COUNTIF(ARRAYFORMULA(HLOOKUP($B13, IMPORTRANGE('Prelim Rankings Unsorted'!$B$40, CONCAT(VLOOKUP($C13, 'Match Names'!$A$1:$D$22, 2, FALSE), ""!C3:R29"")), {5;10;16;22}, FALSE)), ""=-4"") + COUNTIF(ARRAYFORMULA(HLOOKUP($B13, IMPORTRANGE('Prelim Rankings Uns"&amp;"orted'!$B$41, CONCAT(VLOOKUP($C13, 'Match Names'!$A$1:$D$22, 3, FALSE), ""!C3:R29"")), {2;8;14;20}, FALSE)), ""=-4"") + COUNTIF(ARRAYFORMULA(HLOOKUP($B13, IMPORTRANGE('Prelim Rankings Unsorted'!$B$42, CONCAT(VLOOKUP($C13, 'Match Names'!$A$1:$D$22, 4, FALS"&amp;"E), ""!C3:R29"")), {4;10;16;22}, FALSE)), ""=-4"") + COUNTIF(ARRAYFORMULA(HLOOKUP($B13, IMPORTRANGE('Match Names'!$E$23, CONCAT(VLOOKUP($C13, 'Match Names'!$1:$22, 5, FALSE), ""!C3:R29"")), {5;10;15;20}, FALSE)), ""=-4"") + COUNTIF(ARRAYFORMULA(HLOOKUP($B"&amp;"13, IMPORTRANGE('Match Names'!$F$23, CONCAT(VLOOKUP($C13, 'Match Names'!$1:$22, 6, FALSE), ""!C3:R29"")), {4;10;16;22}, FALSE)), ""=-4"") + COUNTIF(ARRAYFORMULA(HLOOKUP($B13, IMPORTRANGE('Match Names'!$G$23, CONCAT(VLOOKUP($C13, 'Match Names'!$1:$22, 7, F"&amp;"ALSE), ""!C3:R29"")), {4;9;13;19}, FALSE)), ""=-4"") + COUNTIF(ARRAYFORMULA(HLOOKUP($B13, IMPORTRANGE('Match Names'!$H$23, CONCAT(VLOOKUP($C13, 'Match Names'!$1:$22, 8, FALSE), ""!C3:R29"")), {3;9;15;21}, FALSE)), ""=-4"")"),0.0)</f>
        <v>0</v>
      </c>
      <c r="H13" s="33">
        <f t="shared" si="1"/>
        <v>0</v>
      </c>
    </row>
    <row r="14">
      <c r="A14" s="31" t="s">
        <v>39</v>
      </c>
      <c r="B14" s="31" t="str">
        <f>VLOOKUP(CONCAT(A14, C14), 'Discord Username to Real Name'!C:D, 2, FALSE)</f>
        <v>ThisIsDenry#0446</v>
      </c>
      <c r="C14" s="31" t="s">
        <v>21</v>
      </c>
      <c r="D14" s="32">
        <f>IFERROR(__xludf.DUMMYFUNCTION("(4 - COUNTIF(IFERROR(ARRAYFORMULA(HLOOKUP($B14, IMPORTRANGE('Prelim Rankings Unsorted'!$B$40, CONCAT(VLOOKUP($C14, 'Match Names'!$A$1:$D$22, 2, FALSE), ""!C3:R29"")), {5;10;16;22}, FALSE)), 'Player Overall Stats Unsorted'!$AA$9:$AA$12), ""=X"")) + (4 - CO"&amp;"UNTIF(IFERROR(ARRAYFORMULA(HLOOKUP($B14, IMPORTRANGE('Prelim Rankings Unsorted'!$B$41, CONCAT(VLOOKUP($C14, 'Match Names'!$A$1:$D$22, 3, FALSE), ""!C3:R29"")), {2;8;14;20}, FALSE)), 'Player Overall Stats Unsorted'!$AA$9:$AA$12), ""=X"")) + (4 - COUNTIF(IF"&amp;"ERROR(ARRAYFORMULA(HLOOKUP($B14, IMPORTRANGE('Prelim Rankings Unsorted'!$B$42, CONCAT(VLOOKUP($C14, 'Match Names'!$A$1:$D$22, 4, FALSE), ""!C3:R29"")), {4;10;16;22}, FALSE)), 'Player Overall Stats Unsorted'!$AA$9:$AA$12), ""=X"")) + (4 - COUNTIF(IFERROR(A"&amp;"RRAYFORMULA(HLOOKUP($B14, IMPORTRANGE('Match Names'!$E$23, CONCAT(VLOOKUP($C14, 'Match Names'!$1:$22, 5, FALSE), ""!C3:R29"")), {5;10;15;20}, FALSE)), 'Player Overall Stats Unsorted'!$AA$9:$AA$12), ""=X"")) + (4 - COUNTIF(IFERROR(ARRAYFORMULA(HLOOKUP($B14"&amp;", IMPORTRANGE('Match Names'!$F$23, CONCAT(VLOOKUP($C14, 'Match Names'!$1:$22, 6, FALSE), ""!C3:R29"")), {4;10;16;22}, FALSE)), 'Player Overall Stats Unsorted'!$AA$9:$AA$12), ""=X"")) + (4 - COUNTIF(IFERROR(ARRAYFORMULA(HLOOKUP($B14, IMPORTRANGE('Match Nam"&amp;"es'!$G$23, CONCAT(VLOOKUP($C14, 'Match Names'!$1:$22, 7, FALSE), ""!C3:R29"")), {4;9;13;19}, FALSE)), 'Player Overall Stats Unsorted'!$AA$9:$AA$12), ""=X"")) + (4 - COUNTIF(IFERROR(ARRAYFORMULA(HLOOKUP($B14, IMPORTRANGE('Match Names'!$H$23, CONCAT(VLOOKUP"&amp;"($C14, 'Match Names'!$1:$22, 8, FALSE), ""!C3:R29"")), {3;9;15;21}, FALSE)), 'Player Overall Stats Unsorted'!$AA$9:$AA$12), ""=X""))"),20.0)</f>
        <v>20</v>
      </c>
      <c r="E14" s="32">
        <f>IFERROR(__xludf.DUMMYFUNCTION("COUNTIF(ARRAYFORMULA(HLOOKUP($B14, IMPORTRANGE('Prelim Rankings Unsorted'!$B$40, CONCAT(VLOOKUP($C14, 'Match Names'!$A$1:$D$22, 2, FALSE), ""!C3:R29"")), {5;10;16;22}, FALSE)), ""=4"") + COUNTIF(ARRAYFORMULA(HLOOKUP($B14, IMPORTRANGE('Prelim Rankings Unso"&amp;"rted'!$B$41, CONCAT(VLOOKUP($C14, 'Match Names'!$A$1:$D$22, 3, FALSE), ""!C3:R29"")), {2;8;14;20}, FALSE)), ""=4"") + COUNTIF(ARRAYFORMULA(HLOOKUP($B14, IMPORTRANGE('Prelim Rankings Unsorted'!$B$42, CONCAT(VLOOKUP($C14, 'Match Names'!$A$1:$D$22, 4, FALSE)"&amp;", ""!C3:R29"")), {4;10;16;22}, FALSE)), ""=4"") + COUNTIF(ARRAYFORMULA(HLOOKUP($B14, IMPORTRANGE('Match Names'!$E$23, CONCAT(VLOOKUP($C14, 'Match Names'!$1:$22, 5, FALSE), ""!C3:R29"")), {5;10;15;20}, FALSE)), ""=4"") + COUNTIF(ARRAYFORMULA(HLOOKUP($B14, "&amp;"IMPORTRANGE('Match Names'!$F$23, CONCAT(VLOOKUP($C14, 'Match Names'!$1:$22, 6, FALSE), ""!C3:R29"")), {4;10;16;22}, FALSE)), ""=4"") + COUNTIF(ARRAYFORMULA(HLOOKUP($B14, IMPORTRANGE('Match Names'!$G$23, CONCAT(VLOOKUP($C14, 'Match Names'!$1:$22, 7, FALSE)"&amp;", ""!C3:R29"")), {4;9;13;19}, FALSE)), ""=4"") + COUNTIF(ARRAYFORMULA(HLOOKUP($B14, IMPORTRANGE('Match Names'!$H$23, CONCAT(VLOOKUP($C14, 'Match Names'!$1:$22, 8, FALSE), ""!C3:R29"")), {3;9;15;21}, FALSE)), ""=4"")"),1.0)</f>
        <v>1</v>
      </c>
      <c r="F14" s="32">
        <f>IFERROR(__xludf.DUMMYFUNCTION("COUNTIF(ARRAYFORMULA(HLOOKUP($B14, IMPORTRANGE('Prelim Rankings Unsorted'!$B$40, CONCAT(VLOOKUP($C14, 'Match Names'!$A$1:$D$22, 2, FALSE), ""!C3:R29"")), {5;10;16;22}, FALSE)), ""=0"") + COUNTIF(ARRAYFORMULA(HLOOKUP($B14, IMPORTRANGE('Prelim Rankings Unso"&amp;"rted'!$B$41, CONCAT(VLOOKUP($C14, 'Match Names'!$A$1:$D$22, 3, FALSE), ""!C3:R29"")), {2;8;14;20}, FALSE)), ""=0"") + COUNTIF(ARRAYFORMULA(HLOOKUP($B14, IMPORTRANGE('Prelim Rankings Unsorted'!$B$42, CONCAT(VLOOKUP($C14, 'Match Names'!$A$1:$D$22, 4, FALSE)"&amp;", ""!C3:R29"")), {4;10;16;22}, FALSE)), ""=0"") + COUNTIF(ARRAYFORMULA(HLOOKUP($B14, IMPORTRANGE('Match Names'!$E$23, CONCAT(VLOOKUP($C14, 'Match Names'!$1:$22, 5, FALSE), ""!C3:R29"")), {5;10;15;20}, FALSE)), ""=0"") + COUNTIF(ARRAYFORMULA(HLOOKUP($B14, "&amp;"IMPORTRANGE('Match Names'!$F$23, CONCAT(VLOOKUP($C14, 'Match Names'!$1:$22, 6, FALSE), ""!C3:R29"")), {4;10;16;22}, FALSE)), ""=0"") + COUNTIF(ARRAYFORMULA(HLOOKUP($B14, IMPORTRANGE('Match Names'!$G$23, CONCAT(VLOOKUP($C14, 'Match Names'!$1:$22, 7, FALSE)"&amp;", ""!C3:R29"")), {4;9;13;19}, FALSE)), ""=0"") + COUNTIF(ARRAYFORMULA(HLOOKUP($B14, IMPORTRANGE('Match Names'!$H$23, CONCAT(VLOOKUP($C14, 'Match Names'!$1:$22, 8, FALSE), ""!C3:R29"")), {3;9;15;21}, FALSE)), ""=0"")"),2.0)</f>
        <v>2</v>
      </c>
      <c r="G14" s="32">
        <f>IFERROR(__xludf.DUMMYFUNCTION("COUNTIF(ARRAYFORMULA(HLOOKUP($B14, IMPORTRANGE('Prelim Rankings Unsorted'!$B$40, CONCAT(VLOOKUP($C14, 'Match Names'!$A$1:$D$22, 2, FALSE), ""!C3:R29"")), {5;10;16;22}, FALSE)), ""=-4"") + COUNTIF(ARRAYFORMULA(HLOOKUP($B14, IMPORTRANGE('Prelim Rankings Uns"&amp;"orted'!$B$41, CONCAT(VLOOKUP($C14, 'Match Names'!$A$1:$D$22, 3, FALSE), ""!C3:R29"")), {2;8;14;20}, FALSE)), ""=-4"") + COUNTIF(ARRAYFORMULA(HLOOKUP($B14, IMPORTRANGE('Prelim Rankings Unsorted'!$B$42, CONCAT(VLOOKUP($C14, 'Match Names'!$A$1:$D$22, 4, FALS"&amp;"E), ""!C3:R29"")), {4;10;16;22}, FALSE)), ""=-4"") + COUNTIF(ARRAYFORMULA(HLOOKUP($B14, IMPORTRANGE('Match Names'!$E$23, CONCAT(VLOOKUP($C14, 'Match Names'!$1:$22, 5, FALSE), ""!C3:R29"")), {5;10;15;20}, FALSE)), ""=-4"") + COUNTIF(ARRAYFORMULA(HLOOKUP($B"&amp;"14, IMPORTRANGE('Match Names'!$F$23, CONCAT(VLOOKUP($C14, 'Match Names'!$1:$22, 6, FALSE), ""!C3:R29"")), {4;10;16;22}, FALSE)), ""=-4"") + COUNTIF(ARRAYFORMULA(HLOOKUP($B14, IMPORTRANGE('Match Names'!$G$23, CONCAT(VLOOKUP($C14, 'Match Names'!$1:$22, 7, F"&amp;"ALSE), ""!C3:R29"")), {4;9;13;19}, FALSE)), ""=-4"") + COUNTIF(ARRAYFORMULA(HLOOKUP($B14, IMPORTRANGE('Match Names'!$H$23, CONCAT(VLOOKUP($C14, 'Match Names'!$1:$22, 8, FALSE), ""!C3:R29"")), {3;9;15;21}, FALSE)), ""=-4"")"),0.0)</f>
        <v>0</v>
      </c>
      <c r="H14" s="33">
        <f t="shared" si="1"/>
        <v>0.8</v>
      </c>
    </row>
    <row r="15">
      <c r="A15" s="31" t="s">
        <v>152</v>
      </c>
      <c r="B15" s="31" t="str">
        <f>VLOOKUP(CONCAT(A15, C15), 'Discord Username to Real Name'!C:D, 2, FALSE)</f>
        <v>hsuehpooy#7813</v>
      </c>
      <c r="C15" s="31" t="s">
        <v>21</v>
      </c>
      <c r="D15" s="32">
        <f>IFERROR(__xludf.DUMMYFUNCTION("(4 - COUNTIF(IFERROR(ARRAYFORMULA(HLOOKUP($B15, IMPORTRANGE('Prelim Rankings Unsorted'!$B$40, CONCAT(VLOOKUP($C15, 'Match Names'!$A$1:$D$22, 2, FALSE), ""!C3:R29"")), {5;10;16;22}, FALSE)), 'Player Overall Stats Unsorted'!$AA$9:$AA$12), ""=X"")) + (4 - CO"&amp;"UNTIF(IFERROR(ARRAYFORMULA(HLOOKUP($B15, IMPORTRANGE('Prelim Rankings Unsorted'!$B$41, CONCAT(VLOOKUP($C15, 'Match Names'!$A$1:$D$22, 3, FALSE), ""!C3:R29"")), {2;8;14;20}, FALSE)), 'Player Overall Stats Unsorted'!$AA$9:$AA$12), ""=X"")) + (4 - COUNTIF(IF"&amp;"ERROR(ARRAYFORMULA(HLOOKUP($B15, IMPORTRANGE('Prelim Rankings Unsorted'!$B$42, CONCAT(VLOOKUP($C15, 'Match Names'!$A$1:$D$22, 4, FALSE), ""!C3:R29"")), {4;10;16;22}, FALSE)), 'Player Overall Stats Unsorted'!$AA$9:$AA$12), ""=X"")) + (4 - COUNTIF(IFERROR(A"&amp;"RRAYFORMULA(HLOOKUP($B15, IMPORTRANGE('Match Names'!$E$23, CONCAT(VLOOKUP($C15, 'Match Names'!$1:$22, 5, FALSE), ""!C3:R29"")), {5;10;15;20}, FALSE)), 'Player Overall Stats Unsorted'!$AA$9:$AA$12), ""=X"")) + (4 - COUNTIF(IFERROR(ARRAYFORMULA(HLOOKUP($B15"&amp;", IMPORTRANGE('Match Names'!$F$23, CONCAT(VLOOKUP($C15, 'Match Names'!$1:$22, 6, FALSE), ""!C3:R29"")), {4;10;16;22}, FALSE)), 'Player Overall Stats Unsorted'!$AA$9:$AA$12), ""=X"")) + (4 - COUNTIF(IFERROR(ARRAYFORMULA(HLOOKUP($B15, IMPORTRANGE('Match Nam"&amp;"es'!$G$23, CONCAT(VLOOKUP($C15, 'Match Names'!$1:$22, 7, FALSE), ""!C3:R29"")), {4;9;13;19}, FALSE)), 'Player Overall Stats Unsorted'!$AA$9:$AA$12), ""=X"")) + (4 - COUNTIF(IFERROR(ARRAYFORMULA(HLOOKUP($B15, IMPORTRANGE('Match Names'!$H$23, CONCAT(VLOOKUP"&amp;"($C15, 'Match Names'!$1:$22, 8, FALSE), ""!C3:R29"")), {3;9;15;21}, FALSE)), 'Player Overall Stats Unsorted'!$AA$9:$AA$12), ""=X""))"),18.0)</f>
        <v>18</v>
      </c>
      <c r="E15" s="32">
        <f>IFERROR(__xludf.DUMMYFUNCTION("COUNTIF(ARRAYFORMULA(HLOOKUP($B15, IMPORTRANGE('Prelim Rankings Unsorted'!$B$40, CONCAT(VLOOKUP($C15, 'Match Names'!$A$1:$D$22, 2, FALSE), ""!C3:R29"")), {5;10;16;22}, FALSE)), ""=4"") + COUNTIF(ARRAYFORMULA(HLOOKUP($B15, IMPORTRANGE('Prelim Rankings Unso"&amp;"rted'!$B$41, CONCAT(VLOOKUP($C15, 'Match Names'!$A$1:$D$22, 3, FALSE), ""!C3:R29"")), {2;8;14;20}, FALSE)), ""=4"") + COUNTIF(ARRAYFORMULA(HLOOKUP($B15, IMPORTRANGE('Prelim Rankings Unsorted'!$B$42, CONCAT(VLOOKUP($C15, 'Match Names'!$A$1:$D$22, 4, FALSE)"&amp;", ""!C3:R29"")), {4;10;16;22}, FALSE)), ""=4"") + COUNTIF(ARRAYFORMULA(HLOOKUP($B15, IMPORTRANGE('Match Names'!$E$23, CONCAT(VLOOKUP($C15, 'Match Names'!$1:$22, 5, FALSE), ""!C3:R29"")), {5;10;15;20}, FALSE)), ""=4"") + COUNTIF(ARRAYFORMULA(HLOOKUP($B15, "&amp;"IMPORTRANGE('Match Names'!$F$23, CONCAT(VLOOKUP($C15, 'Match Names'!$1:$22, 6, FALSE), ""!C3:R29"")), {4;10;16;22}, FALSE)), ""=4"") + COUNTIF(ARRAYFORMULA(HLOOKUP($B15, IMPORTRANGE('Match Names'!$G$23, CONCAT(VLOOKUP($C15, 'Match Names'!$1:$22, 7, FALSE)"&amp;", ""!C3:R29"")), {4;9;13;19}, FALSE)), ""=4"") + COUNTIF(ARRAYFORMULA(HLOOKUP($B15, IMPORTRANGE('Match Names'!$H$23, CONCAT(VLOOKUP($C15, 'Match Names'!$1:$22, 8, FALSE), ""!C3:R29"")), {3;9;15;21}, FALSE)), ""=4"")"),3.0)</f>
        <v>3</v>
      </c>
      <c r="F15" s="32">
        <f>IFERROR(__xludf.DUMMYFUNCTION("COUNTIF(ARRAYFORMULA(HLOOKUP($B15, IMPORTRANGE('Prelim Rankings Unsorted'!$B$40, CONCAT(VLOOKUP($C15, 'Match Names'!$A$1:$D$22, 2, FALSE), ""!C3:R29"")), {5;10;16;22}, FALSE)), ""=0"") + COUNTIF(ARRAYFORMULA(HLOOKUP($B15, IMPORTRANGE('Prelim Rankings Unso"&amp;"rted'!$B$41, CONCAT(VLOOKUP($C15, 'Match Names'!$A$1:$D$22, 3, FALSE), ""!C3:R29"")), {2;8;14;20}, FALSE)), ""=0"") + COUNTIF(ARRAYFORMULA(HLOOKUP($B15, IMPORTRANGE('Prelim Rankings Unsorted'!$B$42, CONCAT(VLOOKUP($C15, 'Match Names'!$A$1:$D$22, 4, FALSE)"&amp;", ""!C3:R29"")), {4;10;16;22}, FALSE)), ""=0"") + COUNTIF(ARRAYFORMULA(HLOOKUP($B15, IMPORTRANGE('Match Names'!$E$23, CONCAT(VLOOKUP($C15, 'Match Names'!$1:$22, 5, FALSE), ""!C3:R29"")), {5;10;15;20}, FALSE)), ""=0"") + COUNTIF(ARRAYFORMULA(HLOOKUP($B15, "&amp;"IMPORTRANGE('Match Names'!$F$23, CONCAT(VLOOKUP($C15, 'Match Names'!$1:$22, 6, FALSE), ""!C3:R29"")), {4;10;16;22}, FALSE)), ""=0"") + COUNTIF(ARRAYFORMULA(HLOOKUP($B15, IMPORTRANGE('Match Names'!$G$23, CONCAT(VLOOKUP($C15, 'Match Names'!$1:$22, 7, FALSE)"&amp;", ""!C3:R29"")), {4;9;13;19}, FALSE)), ""=0"") + COUNTIF(ARRAYFORMULA(HLOOKUP($B15, IMPORTRANGE('Match Names'!$H$23, CONCAT(VLOOKUP($C15, 'Match Names'!$1:$22, 8, FALSE), ""!C3:R29"")), {3;9;15;21}, FALSE)), ""=0"")"),4.0)</f>
        <v>4</v>
      </c>
      <c r="G15" s="32">
        <f>IFERROR(__xludf.DUMMYFUNCTION("COUNTIF(ARRAYFORMULA(HLOOKUP($B15, IMPORTRANGE('Prelim Rankings Unsorted'!$B$40, CONCAT(VLOOKUP($C15, 'Match Names'!$A$1:$D$22, 2, FALSE), ""!C3:R29"")), {5;10;16;22}, FALSE)), ""=-4"") + COUNTIF(ARRAYFORMULA(HLOOKUP($B15, IMPORTRANGE('Prelim Rankings Uns"&amp;"orted'!$B$41, CONCAT(VLOOKUP($C15, 'Match Names'!$A$1:$D$22, 3, FALSE), ""!C3:R29"")), {2;8;14;20}, FALSE)), ""=-4"") + COUNTIF(ARRAYFORMULA(HLOOKUP($B15, IMPORTRANGE('Prelim Rankings Unsorted'!$B$42, CONCAT(VLOOKUP($C15, 'Match Names'!$A$1:$D$22, 4, FALS"&amp;"E), ""!C3:R29"")), {4;10;16;22}, FALSE)), ""=-4"") + COUNTIF(ARRAYFORMULA(HLOOKUP($B15, IMPORTRANGE('Match Names'!$E$23, CONCAT(VLOOKUP($C15, 'Match Names'!$1:$22, 5, FALSE), ""!C3:R29"")), {5;10;15;20}, FALSE)), ""=-4"") + COUNTIF(ARRAYFORMULA(HLOOKUP($B"&amp;"15, IMPORTRANGE('Match Names'!$F$23, CONCAT(VLOOKUP($C15, 'Match Names'!$1:$22, 6, FALSE), ""!C3:R29"")), {4;10;16;22}, FALSE)), ""=-4"") + COUNTIF(ARRAYFORMULA(HLOOKUP($B15, IMPORTRANGE('Match Names'!$G$23, CONCAT(VLOOKUP($C15, 'Match Names'!$1:$22, 7, F"&amp;"ALSE), ""!C3:R29"")), {4;9;13;19}, FALSE)), ""=-4"") + COUNTIF(ARRAYFORMULA(HLOOKUP($B15, IMPORTRANGE('Match Names'!$H$23, CONCAT(VLOOKUP($C15, 'Match Names'!$1:$22, 8, FALSE), ""!C3:R29"")), {3;9;15;21}, FALSE)), ""=-4"")"),0.0)</f>
        <v>0</v>
      </c>
      <c r="H15" s="33">
        <f t="shared" si="1"/>
        <v>2.67</v>
      </c>
    </row>
    <row r="16">
      <c r="A16" s="31" t="s">
        <v>143</v>
      </c>
      <c r="B16" s="31" t="str">
        <f>VLOOKUP(CONCAT(A16, C16), 'Discord Username to Real Name'!C:D, 2, FALSE)</f>
        <v>CheeseGr8ter#2134</v>
      </c>
      <c r="C16" s="31" t="s">
        <v>21</v>
      </c>
      <c r="D16" s="32">
        <f>IFERROR(__xludf.DUMMYFUNCTION("(4 - COUNTIF(IFERROR(ARRAYFORMULA(HLOOKUP($B16, IMPORTRANGE('Prelim Rankings Unsorted'!$B$40, CONCAT(VLOOKUP($C16, 'Match Names'!$A$1:$D$22, 2, FALSE), ""!C3:R29"")), {5;10;16;22}, FALSE)), 'Player Overall Stats Unsorted'!$AA$9:$AA$12), ""=X"")) + (4 - CO"&amp;"UNTIF(IFERROR(ARRAYFORMULA(HLOOKUP($B16, IMPORTRANGE('Prelim Rankings Unsorted'!$B$41, CONCAT(VLOOKUP($C16, 'Match Names'!$A$1:$D$22, 3, FALSE), ""!C3:R29"")), {2;8;14;20}, FALSE)), 'Player Overall Stats Unsorted'!$AA$9:$AA$12), ""=X"")) + (4 - COUNTIF(IF"&amp;"ERROR(ARRAYFORMULA(HLOOKUP($B16, IMPORTRANGE('Prelim Rankings Unsorted'!$B$42, CONCAT(VLOOKUP($C16, 'Match Names'!$A$1:$D$22, 4, FALSE), ""!C3:R29"")), {4;10;16;22}, FALSE)), 'Player Overall Stats Unsorted'!$AA$9:$AA$12), ""=X"")) + (4 - COUNTIF(IFERROR(A"&amp;"RRAYFORMULA(HLOOKUP($B16, IMPORTRANGE('Match Names'!$E$23, CONCAT(VLOOKUP($C16, 'Match Names'!$1:$22, 5, FALSE), ""!C3:R29"")), {5;10;15;20}, FALSE)), 'Player Overall Stats Unsorted'!$AA$9:$AA$12), ""=X"")) + (4 - COUNTIF(IFERROR(ARRAYFORMULA(HLOOKUP($B16"&amp;", IMPORTRANGE('Match Names'!$F$23, CONCAT(VLOOKUP($C16, 'Match Names'!$1:$22, 6, FALSE), ""!C3:R29"")), {4;10;16;22}, FALSE)), 'Player Overall Stats Unsorted'!$AA$9:$AA$12), ""=X"")) + (4 - COUNTIF(IFERROR(ARRAYFORMULA(HLOOKUP($B16, IMPORTRANGE('Match Nam"&amp;"es'!$G$23, CONCAT(VLOOKUP($C16, 'Match Names'!$1:$22, 7, FALSE), ""!C3:R29"")), {4;9;13;19}, FALSE)), 'Player Overall Stats Unsorted'!$AA$9:$AA$12), ""=X"")) + (4 - COUNTIF(IFERROR(ARRAYFORMULA(HLOOKUP($B16, IMPORTRANGE('Match Names'!$H$23, CONCAT(VLOOKUP"&amp;"($C16, 'Match Names'!$1:$22, 8, FALSE), ""!C3:R29"")), {3;9;15;21}, FALSE)), 'Player Overall Stats Unsorted'!$AA$9:$AA$12), ""=X""))"),20.0)</f>
        <v>20</v>
      </c>
      <c r="E16" s="32">
        <f>IFERROR(__xludf.DUMMYFUNCTION("COUNTIF(ARRAYFORMULA(HLOOKUP($B16, IMPORTRANGE('Prelim Rankings Unsorted'!$B$40, CONCAT(VLOOKUP($C16, 'Match Names'!$A$1:$D$22, 2, FALSE), ""!C3:R29"")), {5;10;16;22}, FALSE)), ""=4"") + COUNTIF(ARRAYFORMULA(HLOOKUP($B16, IMPORTRANGE('Prelim Rankings Unso"&amp;"rted'!$B$41, CONCAT(VLOOKUP($C16, 'Match Names'!$A$1:$D$22, 3, FALSE), ""!C3:R29"")), {2;8;14;20}, FALSE)), ""=4"") + COUNTIF(ARRAYFORMULA(HLOOKUP($B16, IMPORTRANGE('Prelim Rankings Unsorted'!$B$42, CONCAT(VLOOKUP($C16, 'Match Names'!$A$1:$D$22, 4, FALSE)"&amp;", ""!C3:R29"")), {4;10;16;22}, FALSE)), ""=4"") + COUNTIF(ARRAYFORMULA(HLOOKUP($B16, IMPORTRANGE('Match Names'!$E$23, CONCAT(VLOOKUP($C16, 'Match Names'!$1:$22, 5, FALSE), ""!C3:R29"")), {5;10;15;20}, FALSE)), ""=4"") + COUNTIF(ARRAYFORMULA(HLOOKUP($B16, "&amp;"IMPORTRANGE('Match Names'!$F$23, CONCAT(VLOOKUP($C16, 'Match Names'!$1:$22, 6, FALSE), ""!C3:R29"")), {4;10;16;22}, FALSE)), ""=4"") + COUNTIF(ARRAYFORMULA(HLOOKUP($B16, IMPORTRANGE('Match Names'!$G$23, CONCAT(VLOOKUP($C16, 'Match Names'!$1:$22, 7, FALSE)"&amp;", ""!C3:R29"")), {4;9;13;19}, FALSE)), ""=4"") + COUNTIF(ARRAYFORMULA(HLOOKUP($B16, IMPORTRANGE('Match Names'!$H$23, CONCAT(VLOOKUP($C16, 'Match Names'!$1:$22, 8, FALSE), ""!C3:R29"")), {3;9;15;21}, FALSE)), ""=4"")"),0.0)</f>
        <v>0</v>
      </c>
      <c r="F16" s="32">
        <f>IFERROR(__xludf.DUMMYFUNCTION("COUNTIF(ARRAYFORMULA(HLOOKUP($B16, IMPORTRANGE('Prelim Rankings Unsorted'!$B$40, CONCAT(VLOOKUP($C16, 'Match Names'!$A$1:$D$22, 2, FALSE), ""!C3:R29"")), {5;10;16;22}, FALSE)), ""=0"") + COUNTIF(ARRAYFORMULA(HLOOKUP($B16, IMPORTRANGE('Prelim Rankings Unso"&amp;"rted'!$B$41, CONCAT(VLOOKUP($C16, 'Match Names'!$A$1:$D$22, 3, FALSE), ""!C3:R29"")), {2;8;14;20}, FALSE)), ""=0"") + COUNTIF(ARRAYFORMULA(HLOOKUP($B16, IMPORTRANGE('Prelim Rankings Unsorted'!$B$42, CONCAT(VLOOKUP($C16, 'Match Names'!$A$1:$D$22, 4, FALSE)"&amp;", ""!C3:R29"")), {4;10;16;22}, FALSE)), ""=0"") + COUNTIF(ARRAYFORMULA(HLOOKUP($B16, IMPORTRANGE('Match Names'!$E$23, CONCAT(VLOOKUP($C16, 'Match Names'!$1:$22, 5, FALSE), ""!C3:R29"")), {5;10;15;20}, FALSE)), ""=0"") + COUNTIF(ARRAYFORMULA(HLOOKUP($B16, "&amp;"IMPORTRANGE('Match Names'!$F$23, CONCAT(VLOOKUP($C16, 'Match Names'!$1:$22, 6, FALSE), ""!C3:R29"")), {4;10;16;22}, FALSE)), ""=0"") + COUNTIF(ARRAYFORMULA(HLOOKUP($B16, IMPORTRANGE('Match Names'!$G$23, CONCAT(VLOOKUP($C16, 'Match Names'!$1:$22, 7, FALSE)"&amp;", ""!C3:R29"")), {4;9;13;19}, FALSE)), ""=0"") + COUNTIF(ARRAYFORMULA(HLOOKUP($B16, IMPORTRANGE('Match Names'!$H$23, CONCAT(VLOOKUP($C16, 'Match Names'!$1:$22, 8, FALSE), ""!C3:R29"")), {3;9;15;21}, FALSE)), ""=0"")"),1.0)</f>
        <v>1</v>
      </c>
      <c r="G16" s="32">
        <f>IFERROR(__xludf.DUMMYFUNCTION("COUNTIF(ARRAYFORMULA(HLOOKUP($B16, IMPORTRANGE('Prelim Rankings Unsorted'!$B$40, CONCAT(VLOOKUP($C16, 'Match Names'!$A$1:$D$22, 2, FALSE), ""!C3:R29"")), {5;10;16;22}, FALSE)), ""=-4"") + COUNTIF(ARRAYFORMULA(HLOOKUP($B16, IMPORTRANGE('Prelim Rankings Uns"&amp;"orted'!$B$41, CONCAT(VLOOKUP($C16, 'Match Names'!$A$1:$D$22, 3, FALSE), ""!C3:R29"")), {2;8;14;20}, FALSE)), ""=-4"") + COUNTIF(ARRAYFORMULA(HLOOKUP($B16, IMPORTRANGE('Prelim Rankings Unsorted'!$B$42, CONCAT(VLOOKUP($C16, 'Match Names'!$A$1:$D$22, 4, FALS"&amp;"E), ""!C3:R29"")), {4;10;16;22}, FALSE)), ""=-4"") + COUNTIF(ARRAYFORMULA(HLOOKUP($B16, IMPORTRANGE('Match Names'!$E$23, CONCAT(VLOOKUP($C16, 'Match Names'!$1:$22, 5, FALSE), ""!C3:R29"")), {5;10;15;20}, FALSE)), ""=-4"") + COUNTIF(ARRAYFORMULA(HLOOKUP($B"&amp;"16, IMPORTRANGE('Match Names'!$F$23, CONCAT(VLOOKUP($C16, 'Match Names'!$1:$22, 6, FALSE), ""!C3:R29"")), {4;10;16;22}, FALSE)), ""=-4"") + COUNTIF(ARRAYFORMULA(HLOOKUP($B16, IMPORTRANGE('Match Names'!$G$23, CONCAT(VLOOKUP($C16, 'Match Names'!$1:$22, 7, F"&amp;"ALSE), ""!C3:R29"")), {4;9;13;19}, FALSE)), ""=-4"") + COUNTIF(ARRAYFORMULA(HLOOKUP($B16, IMPORTRANGE('Match Names'!$H$23, CONCAT(VLOOKUP($C16, 'Match Names'!$1:$22, 8, FALSE), ""!C3:R29"")), {3;9;15;21}, FALSE)), ""=-4"")"),0.0)</f>
        <v>0</v>
      </c>
      <c r="H16" s="33">
        <f t="shared" si="1"/>
        <v>0</v>
      </c>
    </row>
    <row r="17">
      <c r="A17" s="32" t="s">
        <v>88</v>
      </c>
      <c r="B17" s="31" t="str">
        <f>VLOOKUP(CONCAT(A17, C17), 'Discord Username to Real Name'!C:D, 2, FALSE)</f>
        <v>s0arbeacon#9262</v>
      </c>
      <c r="C17" s="31" t="s">
        <v>31</v>
      </c>
      <c r="D17" s="32">
        <f>IFERROR(__xludf.DUMMYFUNCTION("(4 - COUNTIF(IFERROR(ARRAYFORMULA(HLOOKUP($B17, IMPORTRANGE('Prelim Rankings Unsorted'!$B$40, CONCAT(VLOOKUP($C17, 'Match Names'!$A$1:$D$22, 2, FALSE), ""!C3:R29"")), {5;10;16;22}, FALSE)), 'Player Overall Stats Unsorted'!$AA$9:$AA$12), ""=X"")) + (4 - CO"&amp;"UNTIF(IFERROR(ARRAYFORMULA(HLOOKUP($B17, IMPORTRANGE('Prelim Rankings Unsorted'!$B$41, CONCAT(VLOOKUP($C17, 'Match Names'!$A$1:$D$22, 3, FALSE), ""!C3:R29"")), {2;8;14;20}, FALSE)), 'Player Overall Stats Unsorted'!$AA$9:$AA$12), ""=X"")) + (4 - COUNTIF(IF"&amp;"ERROR(ARRAYFORMULA(HLOOKUP($B17, IMPORTRANGE('Prelim Rankings Unsorted'!$B$42, CONCAT(VLOOKUP($C17, 'Match Names'!$A$1:$D$22, 4, FALSE), ""!C3:R29"")), {4;10;16;22}, FALSE)), 'Player Overall Stats Unsorted'!$AA$9:$AA$12), ""=X"")) + (4 - COUNTIF(IFERROR(A"&amp;"RRAYFORMULA(HLOOKUP($B17, IMPORTRANGE('Match Names'!$E$23, CONCAT(VLOOKUP($C17, 'Match Names'!$1:$22, 5, FALSE), ""!C3:R29"")), {5;10;15;20}, FALSE)), 'Player Overall Stats Unsorted'!$AA$9:$AA$12), ""=X"")) + (4 - COUNTIF(IFERROR(ARRAYFORMULA(HLOOKUP($B17"&amp;", IMPORTRANGE('Match Names'!$F$23, CONCAT(VLOOKUP($C17, 'Match Names'!$1:$22, 6, FALSE), ""!C3:R29"")), {4;10;16;22}, FALSE)), 'Player Overall Stats Unsorted'!$AA$9:$AA$12), ""=X"")) + (4 - COUNTIF(IFERROR(ARRAYFORMULA(HLOOKUP($B17, IMPORTRANGE('Match Nam"&amp;"es'!$G$23, CONCAT(VLOOKUP($C17, 'Match Names'!$1:$22, 7, FALSE), ""!C3:R29"")), {4;9;13;19}, FALSE)), 'Player Overall Stats Unsorted'!$AA$9:$AA$12), ""=X"")) + (4 - COUNTIF(IFERROR(ARRAYFORMULA(HLOOKUP($B17, IMPORTRANGE('Match Names'!$H$23, CONCAT(VLOOKUP"&amp;"($C17, 'Match Names'!$1:$22, 8, FALSE), ""!C3:R29"")), {3;9;15;21}, FALSE)), 'Player Overall Stats Unsorted'!$AA$9:$AA$12), ""=X""))"),16.0)</f>
        <v>16</v>
      </c>
      <c r="E17" s="32">
        <f>IFERROR(__xludf.DUMMYFUNCTION("COUNTIF(ARRAYFORMULA(HLOOKUP($B17, IMPORTRANGE('Prelim Rankings Unsorted'!$B$40, CONCAT(VLOOKUP($C17, 'Match Names'!$A$1:$D$22, 2, FALSE), ""!C3:R29"")), {5;10;16;22}, FALSE)), ""=4"") + COUNTIF(ARRAYFORMULA(HLOOKUP($B17, IMPORTRANGE('Prelim Rankings Unso"&amp;"rted'!$B$41, CONCAT(VLOOKUP($C17, 'Match Names'!$A$1:$D$22, 3, FALSE), ""!C3:R29"")), {2;8;14;20}, FALSE)), ""=4"") + COUNTIF(ARRAYFORMULA(HLOOKUP($B17, IMPORTRANGE('Prelim Rankings Unsorted'!$B$42, CONCAT(VLOOKUP($C17, 'Match Names'!$A$1:$D$22, 4, FALSE)"&amp;", ""!C3:R29"")), {4;10;16;22}, FALSE)), ""=4"") + COUNTIF(ARRAYFORMULA(HLOOKUP($B17, IMPORTRANGE('Match Names'!$E$23, CONCAT(VLOOKUP($C17, 'Match Names'!$1:$22, 5, FALSE), ""!C3:R29"")), {5;10;15;20}, FALSE)), ""=4"") + COUNTIF(ARRAYFORMULA(HLOOKUP($B17, "&amp;"IMPORTRANGE('Match Names'!$F$23, CONCAT(VLOOKUP($C17, 'Match Names'!$1:$22, 6, FALSE), ""!C3:R29"")), {4;10;16;22}, FALSE)), ""=4"") + COUNTIF(ARRAYFORMULA(HLOOKUP($B17, IMPORTRANGE('Match Names'!$G$23, CONCAT(VLOOKUP($C17, 'Match Names'!$1:$22, 7, FALSE)"&amp;", ""!C3:R29"")), {4;9;13;19}, FALSE)), ""=4"") + COUNTIF(ARRAYFORMULA(HLOOKUP($B17, IMPORTRANGE('Match Names'!$H$23, CONCAT(VLOOKUP($C17, 'Match Names'!$1:$22, 8, FALSE), ""!C3:R29"")), {3;9;15;21}, FALSE)), ""=4"")"),2.0)</f>
        <v>2</v>
      </c>
      <c r="F17" s="32">
        <f>IFERROR(__xludf.DUMMYFUNCTION("COUNTIF(ARRAYFORMULA(HLOOKUP($B17, IMPORTRANGE('Prelim Rankings Unsorted'!$B$40, CONCAT(VLOOKUP($C17, 'Match Names'!$A$1:$D$22, 2, FALSE), ""!C3:R29"")), {5;10;16;22}, FALSE)), ""=0"") + COUNTIF(ARRAYFORMULA(HLOOKUP($B17, IMPORTRANGE('Prelim Rankings Unso"&amp;"rted'!$B$41, CONCAT(VLOOKUP($C17, 'Match Names'!$A$1:$D$22, 3, FALSE), ""!C3:R29"")), {2;8;14;20}, FALSE)), ""=0"") + COUNTIF(ARRAYFORMULA(HLOOKUP($B17, IMPORTRANGE('Prelim Rankings Unsorted'!$B$42, CONCAT(VLOOKUP($C17, 'Match Names'!$A$1:$D$22, 4, FALSE)"&amp;", ""!C3:R29"")), {4;10;16;22}, FALSE)), ""=0"") + COUNTIF(ARRAYFORMULA(HLOOKUP($B17, IMPORTRANGE('Match Names'!$E$23, CONCAT(VLOOKUP($C17, 'Match Names'!$1:$22, 5, FALSE), ""!C3:R29"")), {5;10;15;20}, FALSE)), ""=0"") + COUNTIF(ARRAYFORMULA(HLOOKUP($B17, "&amp;"IMPORTRANGE('Match Names'!$F$23, CONCAT(VLOOKUP($C17, 'Match Names'!$1:$22, 6, FALSE), ""!C3:R29"")), {4;10;16;22}, FALSE)), ""=0"") + COUNTIF(ARRAYFORMULA(HLOOKUP($B17, IMPORTRANGE('Match Names'!$G$23, CONCAT(VLOOKUP($C17, 'Match Names'!$1:$22, 7, FALSE)"&amp;", ""!C3:R29"")), {4;9;13;19}, FALSE)), ""=0"") + COUNTIF(ARRAYFORMULA(HLOOKUP($B17, IMPORTRANGE('Match Names'!$H$23, CONCAT(VLOOKUP($C17, 'Match Names'!$1:$22, 8, FALSE), ""!C3:R29"")), {3;9;15;21}, FALSE)), ""=0"")"),1.0)</f>
        <v>1</v>
      </c>
      <c r="G17" s="32">
        <f>IFERROR(__xludf.DUMMYFUNCTION("COUNTIF(ARRAYFORMULA(HLOOKUP($B17, IMPORTRANGE('Prelim Rankings Unsorted'!$B$40, CONCAT(VLOOKUP($C17, 'Match Names'!$A$1:$D$22, 2, FALSE), ""!C3:R29"")), {5;10;16;22}, FALSE)), ""=-4"") + COUNTIF(ARRAYFORMULA(HLOOKUP($B17, IMPORTRANGE('Prelim Rankings Uns"&amp;"orted'!$B$41, CONCAT(VLOOKUP($C17, 'Match Names'!$A$1:$D$22, 3, FALSE), ""!C3:R29"")), {2;8;14;20}, FALSE)), ""=-4"") + COUNTIF(ARRAYFORMULA(HLOOKUP($B17, IMPORTRANGE('Prelim Rankings Unsorted'!$B$42, CONCAT(VLOOKUP($C17, 'Match Names'!$A$1:$D$22, 4, FALS"&amp;"E), ""!C3:R29"")), {4;10;16;22}, FALSE)), ""=-4"") + COUNTIF(ARRAYFORMULA(HLOOKUP($B17, IMPORTRANGE('Match Names'!$E$23, CONCAT(VLOOKUP($C17, 'Match Names'!$1:$22, 5, FALSE), ""!C3:R29"")), {5;10;15;20}, FALSE)), ""=-4"") + COUNTIF(ARRAYFORMULA(HLOOKUP($B"&amp;"17, IMPORTRANGE('Match Names'!$F$23, CONCAT(VLOOKUP($C17, 'Match Names'!$1:$22, 6, FALSE), ""!C3:R29"")), {4;10;16;22}, FALSE)), ""=-4"") + COUNTIF(ARRAYFORMULA(HLOOKUP($B17, IMPORTRANGE('Match Names'!$G$23, CONCAT(VLOOKUP($C17, 'Match Names'!$1:$22, 7, F"&amp;"ALSE), ""!C3:R29"")), {4;9;13;19}, FALSE)), ""=-4"") + COUNTIF(ARRAYFORMULA(HLOOKUP($B17, IMPORTRANGE('Match Names'!$H$23, CONCAT(VLOOKUP($C17, 'Match Names'!$1:$22, 8, FALSE), ""!C3:R29"")), {3;9;15;21}, FALSE)), ""=-4"")"),0.0)</f>
        <v>0</v>
      </c>
      <c r="H17" s="33">
        <f t="shared" si="1"/>
        <v>2</v>
      </c>
    </row>
    <row r="18">
      <c r="A18" s="34" t="s">
        <v>206</v>
      </c>
      <c r="B18" s="31" t="str">
        <f>VLOOKUP(CONCAT(A18, C18), 'Discord Username to Real Name'!C:D, 2, FALSE)</f>
        <v>.penguin#3809</v>
      </c>
      <c r="C18" s="36" t="s">
        <v>31</v>
      </c>
      <c r="D18" s="32">
        <f>IFERROR(__xludf.DUMMYFUNCTION("(4 - COUNTIF(IFERROR(ARRAYFORMULA(HLOOKUP($B18, IMPORTRANGE('Prelim Rankings Unsorted'!$B$40, CONCAT(VLOOKUP($C18, 'Match Names'!$A$1:$D$22, 2, FALSE), ""!C3:R29"")), {5;10;16;22}, FALSE)), 'Player Overall Stats Unsorted'!$AA$9:$AA$12), ""=X"")) + (4 - CO"&amp;"UNTIF(IFERROR(ARRAYFORMULA(HLOOKUP($B18, IMPORTRANGE('Prelim Rankings Unsorted'!$B$41, CONCAT(VLOOKUP($C18, 'Match Names'!$A$1:$D$22, 3, FALSE), ""!C3:R29"")), {2;8;14;20}, FALSE)), 'Player Overall Stats Unsorted'!$AA$9:$AA$12), ""=X"")) + (4 - COUNTIF(IF"&amp;"ERROR(ARRAYFORMULA(HLOOKUP($B18, IMPORTRANGE('Prelim Rankings Unsorted'!$B$42, CONCAT(VLOOKUP($C18, 'Match Names'!$A$1:$D$22, 4, FALSE), ""!C3:R29"")), {4;10;16;22}, FALSE)), 'Player Overall Stats Unsorted'!$AA$9:$AA$12), ""=X"")) + (4 - COUNTIF(IFERROR(A"&amp;"RRAYFORMULA(HLOOKUP($B18, IMPORTRANGE('Match Names'!$E$23, CONCAT(VLOOKUP($C18, 'Match Names'!$1:$22, 5, FALSE), ""!C3:R29"")), {5;10;15;20}, FALSE)), 'Player Overall Stats Unsorted'!$AA$9:$AA$12), ""=X"")) + (4 - COUNTIF(IFERROR(ARRAYFORMULA(HLOOKUP($B18"&amp;", IMPORTRANGE('Match Names'!$F$23, CONCAT(VLOOKUP($C18, 'Match Names'!$1:$22, 6, FALSE), ""!C3:R29"")), {4;10;16;22}, FALSE)), 'Player Overall Stats Unsorted'!$AA$9:$AA$12), ""=X"")) + (4 - COUNTIF(IFERROR(ARRAYFORMULA(HLOOKUP($B18, IMPORTRANGE('Match Nam"&amp;"es'!$G$23, CONCAT(VLOOKUP($C18, 'Match Names'!$1:$22, 7, FALSE), ""!C3:R29"")), {4;9;13;19}, FALSE)), 'Player Overall Stats Unsorted'!$AA$9:$AA$12), ""=X"")) + (4 - COUNTIF(IFERROR(ARRAYFORMULA(HLOOKUP($B18, IMPORTRANGE('Match Names'!$H$23, CONCAT(VLOOKUP"&amp;"($C18, 'Match Names'!$1:$22, 8, FALSE), ""!C3:R29"")), {3;9;15;21}, FALSE)), 'Player Overall Stats Unsorted'!$AA$9:$AA$12), ""=X""))"),0.0)</f>
        <v>0</v>
      </c>
      <c r="E18" s="32">
        <f>IFERROR(__xludf.DUMMYFUNCTION("COUNTIF(ARRAYFORMULA(HLOOKUP($B18, IMPORTRANGE('Prelim Rankings Unsorted'!$B$40, CONCAT(VLOOKUP($C18, 'Match Names'!$A$1:$D$22, 2, FALSE), ""!C3:R29"")), {5;10;16;22}, FALSE)), ""=4"") + COUNTIF(ARRAYFORMULA(HLOOKUP($B18, IMPORTRANGE('Prelim Rankings Unso"&amp;"rted'!$B$41, CONCAT(VLOOKUP($C18, 'Match Names'!$A$1:$D$22, 3, FALSE), ""!C3:R29"")), {2;8;14;20}, FALSE)), ""=4"") + COUNTIF(ARRAYFORMULA(HLOOKUP($B18, IMPORTRANGE('Prelim Rankings Unsorted'!$B$42, CONCAT(VLOOKUP($C18, 'Match Names'!$A$1:$D$22, 4, FALSE)"&amp;", ""!C3:R29"")), {4;10;16;22}, FALSE)), ""=4"") + COUNTIF(ARRAYFORMULA(HLOOKUP($B18, IMPORTRANGE('Match Names'!$E$23, CONCAT(VLOOKUP($C18, 'Match Names'!$1:$22, 5, FALSE), ""!C3:R29"")), {5;10;15;20}, FALSE)), ""=4"") + COUNTIF(ARRAYFORMULA(HLOOKUP($B18, "&amp;"IMPORTRANGE('Match Names'!$F$23, CONCAT(VLOOKUP($C18, 'Match Names'!$1:$22, 6, FALSE), ""!C3:R29"")), {4;10;16;22}, FALSE)), ""=4"") + COUNTIF(ARRAYFORMULA(HLOOKUP($B18, IMPORTRANGE('Match Names'!$G$23, CONCAT(VLOOKUP($C18, 'Match Names'!$1:$22, 7, FALSE)"&amp;", ""!C3:R29"")), {4;9;13;19}, FALSE)), ""=4"") + COUNTIF(ARRAYFORMULA(HLOOKUP($B18, IMPORTRANGE('Match Names'!$H$23, CONCAT(VLOOKUP($C18, 'Match Names'!$1:$22, 8, FALSE), ""!C3:R29"")), {3;9;15;21}, FALSE)), ""=4"")"),0.0)</f>
        <v>0</v>
      </c>
      <c r="F18" s="32">
        <f>IFERROR(__xludf.DUMMYFUNCTION("COUNTIF(ARRAYFORMULA(HLOOKUP($B18, IMPORTRANGE('Prelim Rankings Unsorted'!$B$40, CONCAT(VLOOKUP($C18, 'Match Names'!$A$1:$D$22, 2, FALSE), ""!C3:R29"")), {5;10;16;22}, FALSE)), ""=0"") + COUNTIF(ARRAYFORMULA(HLOOKUP($B18, IMPORTRANGE('Prelim Rankings Unso"&amp;"rted'!$B$41, CONCAT(VLOOKUP($C18, 'Match Names'!$A$1:$D$22, 3, FALSE), ""!C3:R29"")), {2;8;14;20}, FALSE)), ""=0"") + COUNTIF(ARRAYFORMULA(HLOOKUP($B18, IMPORTRANGE('Prelim Rankings Unsorted'!$B$42, CONCAT(VLOOKUP($C18, 'Match Names'!$A$1:$D$22, 4, FALSE)"&amp;", ""!C3:R29"")), {4;10;16;22}, FALSE)), ""=0"") + COUNTIF(ARRAYFORMULA(HLOOKUP($B18, IMPORTRANGE('Match Names'!$E$23, CONCAT(VLOOKUP($C18, 'Match Names'!$1:$22, 5, FALSE), ""!C3:R29"")), {5;10;15;20}, FALSE)), ""=0"") + COUNTIF(ARRAYFORMULA(HLOOKUP($B18, "&amp;"IMPORTRANGE('Match Names'!$F$23, CONCAT(VLOOKUP($C18, 'Match Names'!$1:$22, 6, FALSE), ""!C3:R29"")), {4;10;16;22}, FALSE)), ""=0"") + COUNTIF(ARRAYFORMULA(HLOOKUP($B18, IMPORTRANGE('Match Names'!$G$23, CONCAT(VLOOKUP($C18, 'Match Names'!$1:$22, 7, FALSE)"&amp;", ""!C3:R29"")), {4;9;13;19}, FALSE)), ""=0"") + COUNTIF(ARRAYFORMULA(HLOOKUP($B18, IMPORTRANGE('Match Names'!$H$23, CONCAT(VLOOKUP($C18, 'Match Names'!$1:$22, 8, FALSE), ""!C3:R29"")), {3;9;15;21}, FALSE)), ""=0"")"),0.0)</f>
        <v>0</v>
      </c>
      <c r="G18" s="32">
        <f>IFERROR(__xludf.DUMMYFUNCTION("COUNTIF(ARRAYFORMULA(HLOOKUP($B18, IMPORTRANGE('Prelim Rankings Unsorted'!$B$40, CONCAT(VLOOKUP($C18, 'Match Names'!$A$1:$D$22, 2, FALSE), ""!C3:R29"")), {5;10;16;22}, FALSE)), ""=-4"") + COUNTIF(ARRAYFORMULA(HLOOKUP($B18, IMPORTRANGE('Prelim Rankings Uns"&amp;"orted'!$B$41, CONCAT(VLOOKUP($C18, 'Match Names'!$A$1:$D$22, 3, FALSE), ""!C3:R29"")), {2;8;14;20}, FALSE)), ""=-4"") + COUNTIF(ARRAYFORMULA(HLOOKUP($B18, IMPORTRANGE('Prelim Rankings Unsorted'!$B$42, CONCAT(VLOOKUP($C18, 'Match Names'!$A$1:$D$22, 4, FALS"&amp;"E), ""!C3:R29"")), {4;10;16;22}, FALSE)), ""=-4"") + COUNTIF(ARRAYFORMULA(HLOOKUP($B18, IMPORTRANGE('Match Names'!$E$23, CONCAT(VLOOKUP($C18, 'Match Names'!$1:$22, 5, FALSE), ""!C3:R29"")), {5;10;15;20}, FALSE)), ""=-4"") + COUNTIF(ARRAYFORMULA(HLOOKUP($B"&amp;"18, IMPORTRANGE('Match Names'!$F$23, CONCAT(VLOOKUP($C18, 'Match Names'!$1:$22, 6, FALSE), ""!C3:R29"")), {4;10;16;22}, FALSE)), ""=-4"") + COUNTIF(ARRAYFORMULA(HLOOKUP($B18, IMPORTRANGE('Match Names'!$G$23, CONCAT(VLOOKUP($C18, 'Match Names'!$1:$22, 7, F"&amp;"ALSE), ""!C3:R29"")), {4;9;13;19}, FALSE)), ""=-4"") + COUNTIF(ARRAYFORMULA(HLOOKUP($B18, IMPORTRANGE('Match Names'!$H$23, CONCAT(VLOOKUP($C18, 'Match Names'!$1:$22, 8, FALSE), ""!C3:R29"")), {3;9;15;21}, FALSE)), ""=-4"")"),0.0)</f>
        <v>0</v>
      </c>
      <c r="H18" s="33">
        <f t="shared" si="1"/>
        <v>0</v>
      </c>
    </row>
    <row r="19">
      <c r="A19" s="32" t="s">
        <v>84</v>
      </c>
      <c r="B19" s="31" t="str">
        <f>VLOOKUP(CONCAT(A19, C19), 'Discord Username to Real Name'!C:D, 2, FALSE)</f>
        <v>spongebob#0577</v>
      </c>
      <c r="C19" s="31" t="s">
        <v>31</v>
      </c>
      <c r="D19" s="32">
        <f>IFERROR(__xludf.DUMMYFUNCTION("(4 - COUNTIF(IFERROR(ARRAYFORMULA(HLOOKUP($B19, IMPORTRANGE('Prelim Rankings Unsorted'!$B$40, CONCAT(VLOOKUP($C19, 'Match Names'!$A$1:$D$22, 2, FALSE), ""!C3:R29"")), {5;10;16;22}, FALSE)), 'Player Overall Stats Unsorted'!$AA$9:$AA$12), ""=X"")) + (4 - CO"&amp;"UNTIF(IFERROR(ARRAYFORMULA(HLOOKUP($B19, IMPORTRANGE('Prelim Rankings Unsorted'!$B$41, CONCAT(VLOOKUP($C19, 'Match Names'!$A$1:$D$22, 3, FALSE), ""!C3:R29"")), {2;8;14;20}, FALSE)), 'Player Overall Stats Unsorted'!$AA$9:$AA$12), ""=X"")) + (4 - COUNTIF(IF"&amp;"ERROR(ARRAYFORMULA(HLOOKUP($B19, IMPORTRANGE('Prelim Rankings Unsorted'!$B$42, CONCAT(VLOOKUP($C19, 'Match Names'!$A$1:$D$22, 4, FALSE), ""!C3:R29"")), {4;10;16;22}, FALSE)), 'Player Overall Stats Unsorted'!$AA$9:$AA$12), ""=X"")) + (4 - COUNTIF(IFERROR(A"&amp;"RRAYFORMULA(HLOOKUP($B19, IMPORTRANGE('Match Names'!$E$23, CONCAT(VLOOKUP($C19, 'Match Names'!$1:$22, 5, FALSE), ""!C3:R29"")), {5;10;15;20}, FALSE)), 'Player Overall Stats Unsorted'!$AA$9:$AA$12), ""=X"")) + (4 - COUNTIF(IFERROR(ARRAYFORMULA(HLOOKUP($B19"&amp;", IMPORTRANGE('Match Names'!$F$23, CONCAT(VLOOKUP($C19, 'Match Names'!$1:$22, 6, FALSE), ""!C3:R29"")), {4;10;16;22}, FALSE)), 'Player Overall Stats Unsorted'!$AA$9:$AA$12), ""=X"")) + (4 - COUNTIF(IFERROR(ARRAYFORMULA(HLOOKUP($B19, IMPORTRANGE('Match Nam"&amp;"es'!$G$23, CONCAT(VLOOKUP($C19, 'Match Names'!$1:$22, 7, FALSE), ""!C3:R29"")), {4;9;13;19}, FALSE)), 'Player Overall Stats Unsorted'!$AA$9:$AA$12), ""=X"")) + (4 - COUNTIF(IFERROR(ARRAYFORMULA(HLOOKUP($B19, IMPORTRANGE('Match Names'!$H$23, CONCAT(VLOOKUP"&amp;"($C19, 'Match Names'!$1:$22, 8, FALSE), ""!C3:R29"")), {3;9;15;21}, FALSE)), 'Player Overall Stats Unsorted'!$AA$9:$AA$12), ""=X""))"),12.0)</f>
        <v>12</v>
      </c>
      <c r="E19" s="32">
        <f>IFERROR(__xludf.DUMMYFUNCTION("COUNTIF(ARRAYFORMULA(HLOOKUP($B19, IMPORTRANGE('Prelim Rankings Unsorted'!$B$40, CONCAT(VLOOKUP($C19, 'Match Names'!$A$1:$D$22, 2, FALSE), ""!C3:R29"")), {5;10;16;22}, FALSE)), ""=4"") + COUNTIF(ARRAYFORMULA(HLOOKUP($B19, IMPORTRANGE('Prelim Rankings Unso"&amp;"rted'!$B$41, CONCAT(VLOOKUP($C19, 'Match Names'!$A$1:$D$22, 3, FALSE), ""!C3:R29"")), {2;8;14;20}, FALSE)), ""=4"") + COUNTIF(ARRAYFORMULA(HLOOKUP($B19, IMPORTRANGE('Prelim Rankings Unsorted'!$B$42, CONCAT(VLOOKUP($C19, 'Match Names'!$A$1:$D$22, 4, FALSE)"&amp;", ""!C3:R29"")), {4;10;16;22}, FALSE)), ""=4"") + COUNTIF(ARRAYFORMULA(HLOOKUP($B19, IMPORTRANGE('Match Names'!$E$23, CONCAT(VLOOKUP($C19, 'Match Names'!$1:$22, 5, FALSE), ""!C3:R29"")), {5;10;15;20}, FALSE)), ""=4"") + COUNTIF(ARRAYFORMULA(HLOOKUP($B19, "&amp;"IMPORTRANGE('Match Names'!$F$23, CONCAT(VLOOKUP($C19, 'Match Names'!$1:$22, 6, FALSE), ""!C3:R29"")), {4;10;16;22}, FALSE)), ""=4"") + COUNTIF(ARRAYFORMULA(HLOOKUP($B19, IMPORTRANGE('Match Names'!$G$23, CONCAT(VLOOKUP($C19, 'Match Names'!$1:$22, 7, FALSE)"&amp;", ""!C3:R29"")), {4;9;13;19}, FALSE)), ""=4"") + COUNTIF(ARRAYFORMULA(HLOOKUP($B19, IMPORTRANGE('Match Names'!$H$23, CONCAT(VLOOKUP($C19, 'Match Names'!$1:$22, 8, FALSE), ""!C3:R29"")), {3;9;15;21}, FALSE)), ""=4"")"),1.0)</f>
        <v>1</v>
      </c>
      <c r="F19" s="32">
        <f>IFERROR(__xludf.DUMMYFUNCTION("COUNTIF(ARRAYFORMULA(HLOOKUP($B19, IMPORTRANGE('Prelim Rankings Unsorted'!$B$40, CONCAT(VLOOKUP($C19, 'Match Names'!$A$1:$D$22, 2, FALSE), ""!C3:R29"")), {5;10;16;22}, FALSE)), ""=0"") + COUNTIF(ARRAYFORMULA(HLOOKUP($B19, IMPORTRANGE('Prelim Rankings Unso"&amp;"rted'!$B$41, CONCAT(VLOOKUP($C19, 'Match Names'!$A$1:$D$22, 3, FALSE), ""!C3:R29"")), {2;8;14;20}, FALSE)), ""=0"") + COUNTIF(ARRAYFORMULA(HLOOKUP($B19, IMPORTRANGE('Prelim Rankings Unsorted'!$B$42, CONCAT(VLOOKUP($C19, 'Match Names'!$A$1:$D$22, 4, FALSE)"&amp;", ""!C3:R29"")), {4;10;16;22}, FALSE)), ""=0"") + COUNTIF(ARRAYFORMULA(HLOOKUP($B19, IMPORTRANGE('Match Names'!$E$23, CONCAT(VLOOKUP($C19, 'Match Names'!$1:$22, 5, FALSE), ""!C3:R29"")), {5;10;15;20}, FALSE)), ""=0"") + COUNTIF(ARRAYFORMULA(HLOOKUP($B19, "&amp;"IMPORTRANGE('Match Names'!$F$23, CONCAT(VLOOKUP($C19, 'Match Names'!$1:$22, 6, FALSE), ""!C3:R29"")), {4;10;16;22}, FALSE)), ""=0"") + COUNTIF(ARRAYFORMULA(HLOOKUP($B19, IMPORTRANGE('Match Names'!$G$23, CONCAT(VLOOKUP($C19, 'Match Names'!$1:$22, 7, FALSE)"&amp;", ""!C3:R29"")), {4;9;13;19}, FALSE)), ""=0"") + COUNTIF(ARRAYFORMULA(HLOOKUP($B19, IMPORTRANGE('Match Names'!$H$23, CONCAT(VLOOKUP($C19, 'Match Names'!$1:$22, 8, FALSE), ""!C3:R29"")), {3;9;15;21}, FALSE)), ""=0"")"),1.0)</f>
        <v>1</v>
      </c>
      <c r="G19" s="32">
        <f>IFERROR(__xludf.DUMMYFUNCTION("COUNTIF(ARRAYFORMULA(HLOOKUP($B19, IMPORTRANGE('Prelim Rankings Unsorted'!$B$40, CONCAT(VLOOKUP($C19, 'Match Names'!$A$1:$D$22, 2, FALSE), ""!C3:R29"")), {5;10;16;22}, FALSE)), ""=-4"") + COUNTIF(ARRAYFORMULA(HLOOKUP($B19, IMPORTRANGE('Prelim Rankings Uns"&amp;"orted'!$B$41, CONCAT(VLOOKUP($C19, 'Match Names'!$A$1:$D$22, 3, FALSE), ""!C3:R29"")), {2;8;14;20}, FALSE)), ""=-4"") + COUNTIF(ARRAYFORMULA(HLOOKUP($B19, IMPORTRANGE('Prelim Rankings Unsorted'!$B$42, CONCAT(VLOOKUP($C19, 'Match Names'!$A$1:$D$22, 4, FALS"&amp;"E), ""!C3:R29"")), {4;10;16;22}, FALSE)), ""=-4"") + COUNTIF(ARRAYFORMULA(HLOOKUP($B19, IMPORTRANGE('Match Names'!$E$23, CONCAT(VLOOKUP($C19, 'Match Names'!$1:$22, 5, FALSE), ""!C3:R29"")), {5;10;15;20}, FALSE)), ""=-4"") + COUNTIF(ARRAYFORMULA(HLOOKUP($B"&amp;"19, IMPORTRANGE('Match Names'!$F$23, CONCAT(VLOOKUP($C19, 'Match Names'!$1:$22, 6, FALSE), ""!C3:R29"")), {4;10;16;22}, FALSE)), ""=-4"") + COUNTIF(ARRAYFORMULA(HLOOKUP($B19, IMPORTRANGE('Match Names'!$G$23, CONCAT(VLOOKUP($C19, 'Match Names'!$1:$22, 7, F"&amp;"ALSE), ""!C3:R29"")), {4;9;13;19}, FALSE)), ""=-4"") + COUNTIF(ARRAYFORMULA(HLOOKUP($B19, IMPORTRANGE('Match Names'!$H$23, CONCAT(VLOOKUP($C19, 'Match Names'!$1:$22, 8, FALSE), ""!C3:R29"")), {3;9;15;21}, FALSE)), ""=-4"")"),0.0)</f>
        <v>0</v>
      </c>
      <c r="H19" s="33">
        <f t="shared" si="1"/>
        <v>1.33</v>
      </c>
    </row>
    <row r="20">
      <c r="A20" s="34" t="s">
        <v>100</v>
      </c>
      <c r="B20" s="31" t="str">
        <f>VLOOKUP(CONCAT(A20, C20), 'Discord Username to Real Name'!C:D, 2, FALSE)</f>
        <v>Izwerzx#2598</v>
      </c>
      <c r="C20" s="36" t="s">
        <v>31</v>
      </c>
      <c r="D20" s="32">
        <f>IFERROR(__xludf.DUMMYFUNCTION("(4 - COUNTIF(IFERROR(ARRAYFORMULA(HLOOKUP($B20, IMPORTRANGE('Prelim Rankings Unsorted'!$B$40, CONCAT(VLOOKUP($C20, 'Match Names'!$A$1:$D$22, 2, FALSE), ""!C3:R29"")), {5;10;16;22}, FALSE)), 'Player Overall Stats Unsorted'!$AA$9:$AA$12), ""=X"")) + (4 - CO"&amp;"UNTIF(IFERROR(ARRAYFORMULA(HLOOKUP($B20, IMPORTRANGE('Prelim Rankings Unsorted'!$B$41, CONCAT(VLOOKUP($C20, 'Match Names'!$A$1:$D$22, 3, FALSE), ""!C3:R29"")), {2;8;14;20}, FALSE)), 'Player Overall Stats Unsorted'!$AA$9:$AA$12), ""=X"")) + (4 - COUNTIF(IF"&amp;"ERROR(ARRAYFORMULA(HLOOKUP($B20, IMPORTRANGE('Prelim Rankings Unsorted'!$B$42, CONCAT(VLOOKUP($C20, 'Match Names'!$A$1:$D$22, 4, FALSE), ""!C3:R29"")), {4;10;16;22}, FALSE)), 'Player Overall Stats Unsorted'!$AA$9:$AA$12), ""=X"")) + (4 - COUNTIF(IFERROR(A"&amp;"RRAYFORMULA(HLOOKUP($B20, IMPORTRANGE('Match Names'!$E$23, CONCAT(VLOOKUP($C20, 'Match Names'!$1:$22, 5, FALSE), ""!C3:R29"")), {5;10;15;20}, FALSE)), 'Player Overall Stats Unsorted'!$AA$9:$AA$12), ""=X"")) + (4 - COUNTIF(IFERROR(ARRAYFORMULA(HLOOKUP($B20"&amp;", IMPORTRANGE('Match Names'!$F$23, CONCAT(VLOOKUP($C20, 'Match Names'!$1:$22, 6, FALSE), ""!C3:R29"")), {4;10;16;22}, FALSE)), 'Player Overall Stats Unsorted'!$AA$9:$AA$12), ""=X"")) + (4 - COUNTIF(IFERROR(ARRAYFORMULA(HLOOKUP($B20, IMPORTRANGE('Match Nam"&amp;"es'!$G$23, CONCAT(VLOOKUP($C20, 'Match Names'!$1:$22, 7, FALSE), ""!C3:R29"")), {4;9;13;19}, FALSE)), 'Player Overall Stats Unsorted'!$AA$9:$AA$12), ""=X"")) + (4 - COUNTIF(IFERROR(ARRAYFORMULA(HLOOKUP($B20, IMPORTRANGE('Match Names'!$H$23, CONCAT(VLOOKUP"&amp;"($C20, 'Match Names'!$1:$22, 8, FALSE), ""!C3:R29"")), {3;9;15;21}, FALSE)), 'Player Overall Stats Unsorted'!$AA$9:$AA$12), ""=X""))"),8.0)</f>
        <v>8</v>
      </c>
      <c r="E20" s="32">
        <f>IFERROR(__xludf.DUMMYFUNCTION("COUNTIF(ARRAYFORMULA(HLOOKUP($B20, IMPORTRANGE('Prelim Rankings Unsorted'!$B$40, CONCAT(VLOOKUP($C20, 'Match Names'!$A$1:$D$22, 2, FALSE), ""!C3:R29"")), {5;10;16;22}, FALSE)), ""=4"") + COUNTIF(ARRAYFORMULA(HLOOKUP($B20, IMPORTRANGE('Prelim Rankings Unso"&amp;"rted'!$B$41, CONCAT(VLOOKUP($C20, 'Match Names'!$A$1:$D$22, 3, FALSE), ""!C3:R29"")), {2;8;14;20}, FALSE)), ""=4"") + COUNTIF(ARRAYFORMULA(HLOOKUP($B20, IMPORTRANGE('Prelim Rankings Unsorted'!$B$42, CONCAT(VLOOKUP($C20, 'Match Names'!$A$1:$D$22, 4, FALSE)"&amp;", ""!C3:R29"")), {4;10;16;22}, FALSE)), ""=4"") + COUNTIF(ARRAYFORMULA(HLOOKUP($B20, IMPORTRANGE('Match Names'!$E$23, CONCAT(VLOOKUP($C20, 'Match Names'!$1:$22, 5, FALSE), ""!C3:R29"")), {5;10;15;20}, FALSE)), ""=4"") + COUNTIF(ARRAYFORMULA(HLOOKUP($B20, "&amp;"IMPORTRANGE('Match Names'!$F$23, CONCAT(VLOOKUP($C20, 'Match Names'!$1:$22, 6, FALSE), ""!C3:R29"")), {4;10;16;22}, FALSE)), ""=4"") + COUNTIF(ARRAYFORMULA(HLOOKUP($B20, IMPORTRANGE('Match Names'!$G$23, CONCAT(VLOOKUP($C20, 'Match Names'!$1:$22, 7, FALSE)"&amp;", ""!C3:R29"")), {4;9;13;19}, FALSE)), ""=4"") + COUNTIF(ARRAYFORMULA(HLOOKUP($B20, IMPORTRANGE('Match Names'!$H$23, CONCAT(VLOOKUP($C20, 'Match Names'!$1:$22, 8, FALSE), ""!C3:R29"")), {3;9;15;21}, FALSE)), ""=4"")"),0.0)</f>
        <v>0</v>
      </c>
      <c r="F20" s="32">
        <f>IFERROR(__xludf.DUMMYFUNCTION("COUNTIF(ARRAYFORMULA(HLOOKUP($B20, IMPORTRANGE('Prelim Rankings Unsorted'!$B$40, CONCAT(VLOOKUP($C20, 'Match Names'!$A$1:$D$22, 2, FALSE), ""!C3:R29"")), {5;10;16;22}, FALSE)), ""=0"") + COUNTIF(ARRAYFORMULA(HLOOKUP($B20, IMPORTRANGE('Prelim Rankings Unso"&amp;"rted'!$B$41, CONCAT(VLOOKUP($C20, 'Match Names'!$A$1:$D$22, 3, FALSE), ""!C3:R29"")), {2;8;14;20}, FALSE)), ""=0"") + COUNTIF(ARRAYFORMULA(HLOOKUP($B20, IMPORTRANGE('Prelim Rankings Unsorted'!$B$42, CONCAT(VLOOKUP($C20, 'Match Names'!$A$1:$D$22, 4, FALSE)"&amp;", ""!C3:R29"")), {4;10;16;22}, FALSE)), ""=0"") + COUNTIF(ARRAYFORMULA(HLOOKUP($B20, IMPORTRANGE('Match Names'!$E$23, CONCAT(VLOOKUP($C20, 'Match Names'!$1:$22, 5, FALSE), ""!C3:R29"")), {5;10;15;20}, FALSE)), ""=0"") + COUNTIF(ARRAYFORMULA(HLOOKUP($B20, "&amp;"IMPORTRANGE('Match Names'!$F$23, CONCAT(VLOOKUP($C20, 'Match Names'!$1:$22, 6, FALSE), ""!C3:R29"")), {4;10;16;22}, FALSE)), ""=0"") + COUNTIF(ARRAYFORMULA(HLOOKUP($B20, IMPORTRANGE('Match Names'!$G$23, CONCAT(VLOOKUP($C20, 'Match Names'!$1:$22, 7, FALSE)"&amp;", ""!C3:R29"")), {4;9;13;19}, FALSE)), ""=0"") + COUNTIF(ARRAYFORMULA(HLOOKUP($B20, IMPORTRANGE('Match Names'!$H$23, CONCAT(VLOOKUP($C20, 'Match Names'!$1:$22, 8, FALSE), ""!C3:R29"")), {3;9;15;21}, FALSE)), ""=0"")"),0.0)</f>
        <v>0</v>
      </c>
      <c r="G20" s="32">
        <f>IFERROR(__xludf.DUMMYFUNCTION("COUNTIF(ARRAYFORMULA(HLOOKUP($B20, IMPORTRANGE('Prelim Rankings Unsorted'!$B$40, CONCAT(VLOOKUP($C20, 'Match Names'!$A$1:$D$22, 2, FALSE), ""!C3:R29"")), {5;10;16;22}, FALSE)), ""=-4"") + COUNTIF(ARRAYFORMULA(HLOOKUP($B20, IMPORTRANGE('Prelim Rankings Uns"&amp;"orted'!$B$41, CONCAT(VLOOKUP($C20, 'Match Names'!$A$1:$D$22, 3, FALSE), ""!C3:R29"")), {2;8;14;20}, FALSE)), ""=-4"") + COUNTIF(ARRAYFORMULA(HLOOKUP($B20, IMPORTRANGE('Prelim Rankings Unsorted'!$B$42, CONCAT(VLOOKUP($C20, 'Match Names'!$A$1:$D$22, 4, FALS"&amp;"E), ""!C3:R29"")), {4;10;16;22}, FALSE)), ""=-4"") + COUNTIF(ARRAYFORMULA(HLOOKUP($B20, IMPORTRANGE('Match Names'!$E$23, CONCAT(VLOOKUP($C20, 'Match Names'!$1:$22, 5, FALSE), ""!C3:R29"")), {5;10;15;20}, FALSE)), ""=-4"") + COUNTIF(ARRAYFORMULA(HLOOKUP($B"&amp;"20, IMPORTRANGE('Match Names'!$F$23, CONCAT(VLOOKUP($C20, 'Match Names'!$1:$22, 6, FALSE), ""!C3:R29"")), {4;10;16;22}, FALSE)), ""=-4"") + COUNTIF(ARRAYFORMULA(HLOOKUP($B20, IMPORTRANGE('Match Names'!$G$23, CONCAT(VLOOKUP($C20, 'Match Names'!$1:$22, 7, F"&amp;"ALSE), ""!C3:R29"")), {4;9;13;19}, FALSE)), ""=-4"") + COUNTIF(ARRAYFORMULA(HLOOKUP($B20, IMPORTRANGE('Match Names'!$H$23, CONCAT(VLOOKUP($C20, 'Match Names'!$1:$22, 8, FALSE), ""!C3:R29"")), {3;9;15;21}, FALSE)), ""=-4"")"),0.0)</f>
        <v>0</v>
      </c>
      <c r="H20" s="33">
        <f t="shared" si="1"/>
        <v>0</v>
      </c>
    </row>
    <row r="21">
      <c r="A21" s="31" t="s">
        <v>205</v>
      </c>
      <c r="B21" s="31" t="str">
        <f>VLOOKUP(CONCAT(A21, C21), 'Discord Username to Real Name'!C:D, 2, FALSE)</f>
        <v>Einglass#1845</v>
      </c>
      <c r="C21" s="31" t="s">
        <v>31</v>
      </c>
      <c r="D21" s="32">
        <f>IFERROR(__xludf.DUMMYFUNCTION("(4 - COUNTIF(IFERROR(ARRAYFORMULA(HLOOKUP($B21, IMPORTRANGE('Prelim Rankings Unsorted'!$B$40, CONCAT(VLOOKUP($C21, 'Match Names'!$A$1:$D$22, 2, FALSE), ""!C3:R29"")), {5;10;16;22}, FALSE)), 'Player Overall Stats Unsorted'!$AA$9:$AA$12), ""=X"")) + (4 - CO"&amp;"UNTIF(IFERROR(ARRAYFORMULA(HLOOKUP($B21, IMPORTRANGE('Prelim Rankings Unsorted'!$B$41, CONCAT(VLOOKUP($C21, 'Match Names'!$A$1:$D$22, 3, FALSE), ""!C3:R29"")), {2;8;14;20}, FALSE)), 'Player Overall Stats Unsorted'!$AA$9:$AA$12), ""=X"")) + (4 - COUNTIF(IF"&amp;"ERROR(ARRAYFORMULA(HLOOKUP($B21, IMPORTRANGE('Prelim Rankings Unsorted'!$B$42, CONCAT(VLOOKUP($C21, 'Match Names'!$A$1:$D$22, 4, FALSE), ""!C3:R29"")), {4;10;16;22}, FALSE)), 'Player Overall Stats Unsorted'!$AA$9:$AA$12), ""=X"")) + (4 - COUNTIF(IFERROR(A"&amp;"RRAYFORMULA(HLOOKUP($B21, IMPORTRANGE('Match Names'!$E$23, CONCAT(VLOOKUP($C21, 'Match Names'!$1:$22, 5, FALSE), ""!C3:R29"")), {5;10;15;20}, FALSE)), 'Player Overall Stats Unsorted'!$AA$9:$AA$12), ""=X"")) + (4 - COUNTIF(IFERROR(ARRAYFORMULA(HLOOKUP($B21"&amp;", IMPORTRANGE('Match Names'!$F$23, CONCAT(VLOOKUP($C21, 'Match Names'!$1:$22, 6, FALSE), ""!C3:R29"")), {4;10;16;22}, FALSE)), 'Player Overall Stats Unsorted'!$AA$9:$AA$12), ""=X"")) + (4 - COUNTIF(IFERROR(ARRAYFORMULA(HLOOKUP($B21, IMPORTRANGE('Match Nam"&amp;"es'!$G$23, CONCAT(VLOOKUP($C21, 'Match Names'!$1:$22, 7, FALSE), ""!C3:R29"")), {4;9;13;19}, FALSE)), 'Player Overall Stats Unsorted'!$AA$9:$AA$12), ""=X"")) + (4 - COUNTIF(IFERROR(ARRAYFORMULA(HLOOKUP($B21, IMPORTRANGE('Match Names'!$H$23, CONCAT(VLOOKUP"&amp;"($C21, 'Match Names'!$1:$22, 8, FALSE), ""!C3:R29"")), {3;9;15;21}, FALSE)), 'Player Overall Stats Unsorted'!$AA$9:$AA$12), ""=X""))"),0.0)</f>
        <v>0</v>
      </c>
      <c r="E21" s="32">
        <f>IFERROR(__xludf.DUMMYFUNCTION("COUNTIF(ARRAYFORMULA(HLOOKUP($B21, IMPORTRANGE('Prelim Rankings Unsorted'!$B$40, CONCAT(VLOOKUP($C21, 'Match Names'!$A$1:$D$22, 2, FALSE), ""!C3:R29"")), {5;10;16;22}, FALSE)), ""=4"") + COUNTIF(ARRAYFORMULA(HLOOKUP($B21, IMPORTRANGE('Prelim Rankings Unso"&amp;"rted'!$B$41, CONCAT(VLOOKUP($C21, 'Match Names'!$A$1:$D$22, 3, FALSE), ""!C3:R29"")), {2;8;14;20}, FALSE)), ""=4"") + COUNTIF(ARRAYFORMULA(HLOOKUP($B21, IMPORTRANGE('Prelim Rankings Unsorted'!$B$42, CONCAT(VLOOKUP($C21, 'Match Names'!$A$1:$D$22, 4, FALSE)"&amp;", ""!C3:R29"")), {4;10;16;22}, FALSE)), ""=4"") + COUNTIF(ARRAYFORMULA(HLOOKUP($B21, IMPORTRANGE('Match Names'!$E$23, CONCAT(VLOOKUP($C21, 'Match Names'!$1:$22, 5, FALSE), ""!C3:R29"")), {5;10;15;20}, FALSE)), ""=4"") + COUNTIF(ARRAYFORMULA(HLOOKUP($B21, "&amp;"IMPORTRANGE('Match Names'!$F$23, CONCAT(VLOOKUP($C21, 'Match Names'!$1:$22, 6, FALSE), ""!C3:R29"")), {4;10;16;22}, FALSE)), ""=4"") + COUNTIF(ARRAYFORMULA(HLOOKUP($B21, IMPORTRANGE('Match Names'!$G$23, CONCAT(VLOOKUP($C21, 'Match Names'!$1:$22, 7, FALSE)"&amp;", ""!C3:R29"")), {4;9;13;19}, FALSE)), ""=4"") + COUNTIF(ARRAYFORMULA(HLOOKUP($B21, IMPORTRANGE('Match Names'!$H$23, CONCAT(VLOOKUP($C21, 'Match Names'!$1:$22, 8, FALSE), ""!C3:R29"")), {3;9;15;21}, FALSE)), ""=4"")"),0.0)</f>
        <v>0</v>
      </c>
      <c r="F21" s="32">
        <f>IFERROR(__xludf.DUMMYFUNCTION("COUNTIF(ARRAYFORMULA(HLOOKUP($B21, IMPORTRANGE('Prelim Rankings Unsorted'!$B$40, CONCAT(VLOOKUP($C21, 'Match Names'!$A$1:$D$22, 2, FALSE), ""!C3:R29"")), {5;10;16;22}, FALSE)), ""=0"") + COUNTIF(ARRAYFORMULA(HLOOKUP($B21, IMPORTRANGE('Prelim Rankings Unso"&amp;"rted'!$B$41, CONCAT(VLOOKUP($C21, 'Match Names'!$A$1:$D$22, 3, FALSE), ""!C3:R29"")), {2;8;14;20}, FALSE)), ""=0"") + COUNTIF(ARRAYFORMULA(HLOOKUP($B21, IMPORTRANGE('Prelim Rankings Unsorted'!$B$42, CONCAT(VLOOKUP($C21, 'Match Names'!$A$1:$D$22, 4, FALSE)"&amp;", ""!C3:R29"")), {4;10;16;22}, FALSE)), ""=0"") + COUNTIF(ARRAYFORMULA(HLOOKUP($B21, IMPORTRANGE('Match Names'!$E$23, CONCAT(VLOOKUP($C21, 'Match Names'!$1:$22, 5, FALSE), ""!C3:R29"")), {5;10;15;20}, FALSE)), ""=0"") + COUNTIF(ARRAYFORMULA(HLOOKUP($B21, "&amp;"IMPORTRANGE('Match Names'!$F$23, CONCAT(VLOOKUP($C21, 'Match Names'!$1:$22, 6, FALSE), ""!C3:R29"")), {4;10;16;22}, FALSE)), ""=0"") + COUNTIF(ARRAYFORMULA(HLOOKUP($B21, IMPORTRANGE('Match Names'!$G$23, CONCAT(VLOOKUP($C21, 'Match Names'!$1:$22, 7, FALSE)"&amp;", ""!C3:R29"")), {4;9;13;19}, FALSE)), ""=0"") + COUNTIF(ARRAYFORMULA(HLOOKUP($B21, IMPORTRANGE('Match Names'!$H$23, CONCAT(VLOOKUP($C21, 'Match Names'!$1:$22, 8, FALSE), ""!C3:R29"")), {3;9;15;21}, FALSE)), ""=0"")"),0.0)</f>
        <v>0</v>
      </c>
      <c r="G21" s="32">
        <f>IFERROR(__xludf.DUMMYFUNCTION("COUNTIF(ARRAYFORMULA(HLOOKUP($B21, IMPORTRANGE('Prelim Rankings Unsorted'!$B$40, CONCAT(VLOOKUP($C21, 'Match Names'!$A$1:$D$22, 2, FALSE), ""!C3:R29"")), {5;10;16;22}, FALSE)), ""=-4"") + COUNTIF(ARRAYFORMULA(HLOOKUP($B21, IMPORTRANGE('Prelim Rankings Uns"&amp;"orted'!$B$41, CONCAT(VLOOKUP($C21, 'Match Names'!$A$1:$D$22, 3, FALSE), ""!C3:R29"")), {2;8;14;20}, FALSE)), ""=-4"") + COUNTIF(ARRAYFORMULA(HLOOKUP($B21, IMPORTRANGE('Prelim Rankings Unsorted'!$B$42, CONCAT(VLOOKUP($C21, 'Match Names'!$A$1:$D$22, 4, FALS"&amp;"E), ""!C3:R29"")), {4;10;16;22}, FALSE)), ""=-4"") + COUNTIF(ARRAYFORMULA(HLOOKUP($B21, IMPORTRANGE('Match Names'!$E$23, CONCAT(VLOOKUP($C21, 'Match Names'!$1:$22, 5, FALSE), ""!C3:R29"")), {5;10;15;20}, FALSE)), ""=-4"") + COUNTIF(ARRAYFORMULA(HLOOKUP($B"&amp;"21, IMPORTRANGE('Match Names'!$F$23, CONCAT(VLOOKUP($C21, 'Match Names'!$1:$22, 6, FALSE), ""!C3:R29"")), {4;10;16;22}, FALSE)), ""=-4"") + COUNTIF(ARRAYFORMULA(HLOOKUP($B21, IMPORTRANGE('Match Names'!$G$23, CONCAT(VLOOKUP($C21, 'Match Names'!$1:$22, 7, F"&amp;"ALSE), ""!C3:R29"")), {4;9;13;19}, FALSE)), ""=-4"") + COUNTIF(ARRAYFORMULA(HLOOKUP($B21, IMPORTRANGE('Match Names'!$H$23, CONCAT(VLOOKUP($C21, 'Match Names'!$1:$22, 8, FALSE), ""!C3:R29"")), {3;9;15;21}, FALSE)), ""=-4"")"),0.0)</f>
        <v>0</v>
      </c>
      <c r="H21" s="33">
        <f t="shared" si="1"/>
        <v>0</v>
      </c>
    </row>
    <row r="22">
      <c r="A22" s="31" t="s">
        <v>167</v>
      </c>
      <c r="B22" s="31" t="str">
        <f>VLOOKUP(CONCAT(A22, C22), 'Discord Username to Real Name'!C:D, 2, FALSE)</f>
        <v>KOZlegend#1745</v>
      </c>
      <c r="C22" s="31" t="s">
        <v>31</v>
      </c>
      <c r="D22" s="32">
        <f>IFERROR(__xludf.DUMMYFUNCTION("(4 - COUNTIF(IFERROR(ARRAYFORMULA(HLOOKUP($B22, IMPORTRANGE('Prelim Rankings Unsorted'!$B$40, CONCAT(VLOOKUP($C22, 'Match Names'!$A$1:$D$22, 2, FALSE), ""!C3:R29"")), {5;10;16;22}, FALSE)), 'Player Overall Stats Unsorted'!$AA$9:$AA$12), ""=X"")) + (4 - CO"&amp;"UNTIF(IFERROR(ARRAYFORMULA(HLOOKUP($B22, IMPORTRANGE('Prelim Rankings Unsorted'!$B$41, CONCAT(VLOOKUP($C22, 'Match Names'!$A$1:$D$22, 3, FALSE), ""!C3:R29"")), {2;8;14;20}, FALSE)), 'Player Overall Stats Unsorted'!$AA$9:$AA$12), ""=X"")) + (4 - COUNTIF(IF"&amp;"ERROR(ARRAYFORMULA(HLOOKUP($B22, IMPORTRANGE('Prelim Rankings Unsorted'!$B$42, CONCAT(VLOOKUP($C22, 'Match Names'!$A$1:$D$22, 4, FALSE), ""!C3:R29"")), {4;10;16;22}, FALSE)), 'Player Overall Stats Unsorted'!$AA$9:$AA$12), ""=X"")) + (4 - COUNTIF(IFERROR(A"&amp;"RRAYFORMULA(HLOOKUP($B22, IMPORTRANGE('Match Names'!$E$23, CONCAT(VLOOKUP($C22, 'Match Names'!$1:$22, 5, FALSE), ""!C3:R29"")), {5;10;15;20}, FALSE)), 'Player Overall Stats Unsorted'!$AA$9:$AA$12), ""=X"")) + (4 - COUNTIF(IFERROR(ARRAYFORMULA(HLOOKUP($B22"&amp;", IMPORTRANGE('Match Names'!$F$23, CONCAT(VLOOKUP($C22, 'Match Names'!$1:$22, 6, FALSE), ""!C3:R29"")), {4;10;16;22}, FALSE)), 'Player Overall Stats Unsorted'!$AA$9:$AA$12), ""=X"")) + (4 - COUNTIF(IFERROR(ARRAYFORMULA(HLOOKUP($B22, IMPORTRANGE('Match Nam"&amp;"es'!$G$23, CONCAT(VLOOKUP($C22, 'Match Names'!$1:$22, 7, FALSE), ""!C3:R29"")), {4;9;13;19}, FALSE)), 'Player Overall Stats Unsorted'!$AA$9:$AA$12), ""=X"")) + (4 - COUNTIF(IFERROR(ARRAYFORMULA(HLOOKUP($B22, IMPORTRANGE('Match Names'!$H$23, CONCAT(VLOOKUP"&amp;"($C22, 'Match Names'!$1:$22, 8, FALSE), ""!C3:R29"")), {3;9;15;21}, FALSE)), 'Player Overall Stats Unsorted'!$AA$9:$AA$12), ""=X""))"),16.0)</f>
        <v>16</v>
      </c>
      <c r="E22" s="32">
        <f>IFERROR(__xludf.DUMMYFUNCTION("COUNTIF(ARRAYFORMULA(HLOOKUP($B22, IMPORTRANGE('Prelim Rankings Unsorted'!$B$40, CONCAT(VLOOKUP($C22, 'Match Names'!$A$1:$D$22, 2, FALSE), ""!C3:R29"")), {5;10;16;22}, FALSE)), ""=4"") + COUNTIF(ARRAYFORMULA(HLOOKUP($B22, IMPORTRANGE('Prelim Rankings Unso"&amp;"rted'!$B$41, CONCAT(VLOOKUP($C22, 'Match Names'!$A$1:$D$22, 3, FALSE), ""!C3:R29"")), {2;8;14;20}, FALSE)), ""=4"") + COUNTIF(ARRAYFORMULA(HLOOKUP($B22, IMPORTRANGE('Prelim Rankings Unsorted'!$B$42, CONCAT(VLOOKUP($C22, 'Match Names'!$A$1:$D$22, 4, FALSE)"&amp;", ""!C3:R29"")), {4;10;16;22}, FALSE)), ""=4"") + COUNTIF(ARRAYFORMULA(HLOOKUP($B22, IMPORTRANGE('Match Names'!$E$23, CONCAT(VLOOKUP($C22, 'Match Names'!$1:$22, 5, FALSE), ""!C3:R29"")), {5;10;15;20}, FALSE)), ""=4"") + COUNTIF(ARRAYFORMULA(HLOOKUP($B22, "&amp;"IMPORTRANGE('Match Names'!$F$23, CONCAT(VLOOKUP($C22, 'Match Names'!$1:$22, 6, FALSE), ""!C3:R29"")), {4;10;16;22}, FALSE)), ""=4"") + COUNTIF(ARRAYFORMULA(HLOOKUP($B22, IMPORTRANGE('Match Names'!$G$23, CONCAT(VLOOKUP($C22, 'Match Names'!$1:$22, 7, FALSE)"&amp;", ""!C3:R29"")), {4;9;13;19}, FALSE)), ""=4"") + COUNTIF(ARRAYFORMULA(HLOOKUP($B22, IMPORTRANGE('Match Names'!$H$23, CONCAT(VLOOKUP($C22, 'Match Names'!$1:$22, 8, FALSE), ""!C3:R29"")), {3;9;15;21}, FALSE)), ""=4"")"),0.0)</f>
        <v>0</v>
      </c>
      <c r="F22" s="32">
        <f>IFERROR(__xludf.DUMMYFUNCTION("COUNTIF(ARRAYFORMULA(HLOOKUP($B22, IMPORTRANGE('Prelim Rankings Unsorted'!$B$40, CONCAT(VLOOKUP($C22, 'Match Names'!$A$1:$D$22, 2, FALSE), ""!C3:R29"")), {5;10;16;22}, FALSE)), ""=0"") + COUNTIF(ARRAYFORMULA(HLOOKUP($B22, IMPORTRANGE('Prelim Rankings Unso"&amp;"rted'!$B$41, CONCAT(VLOOKUP($C22, 'Match Names'!$A$1:$D$22, 3, FALSE), ""!C3:R29"")), {2;8;14;20}, FALSE)), ""=0"") + COUNTIF(ARRAYFORMULA(HLOOKUP($B22, IMPORTRANGE('Prelim Rankings Unsorted'!$B$42, CONCAT(VLOOKUP($C22, 'Match Names'!$A$1:$D$22, 4, FALSE)"&amp;", ""!C3:R29"")), {4;10;16;22}, FALSE)), ""=0"") + COUNTIF(ARRAYFORMULA(HLOOKUP($B22, IMPORTRANGE('Match Names'!$E$23, CONCAT(VLOOKUP($C22, 'Match Names'!$1:$22, 5, FALSE), ""!C3:R29"")), {5;10;15;20}, FALSE)), ""=0"") + COUNTIF(ARRAYFORMULA(HLOOKUP($B22, "&amp;"IMPORTRANGE('Match Names'!$F$23, CONCAT(VLOOKUP($C22, 'Match Names'!$1:$22, 6, FALSE), ""!C3:R29"")), {4;10;16;22}, FALSE)), ""=0"") + COUNTIF(ARRAYFORMULA(HLOOKUP($B22, IMPORTRANGE('Match Names'!$G$23, CONCAT(VLOOKUP($C22, 'Match Names'!$1:$22, 7, FALSE)"&amp;", ""!C3:R29"")), {4;9;13;19}, FALSE)), ""=0"") + COUNTIF(ARRAYFORMULA(HLOOKUP($B22, IMPORTRANGE('Match Names'!$H$23, CONCAT(VLOOKUP($C22, 'Match Names'!$1:$22, 8, FALSE), ""!C3:R29"")), {3;9;15;21}, FALSE)), ""=0"")"),2.0)</f>
        <v>2</v>
      </c>
      <c r="G22" s="32">
        <f>IFERROR(__xludf.DUMMYFUNCTION("COUNTIF(ARRAYFORMULA(HLOOKUP($B22, IMPORTRANGE('Prelim Rankings Unsorted'!$B$40, CONCAT(VLOOKUP($C22, 'Match Names'!$A$1:$D$22, 2, FALSE), ""!C3:R29"")), {5;10;16;22}, FALSE)), ""=-4"") + COUNTIF(ARRAYFORMULA(HLOOKUP($B22, IMPORTRANGE('Prelim Rankings Uns"&amp;"orted'!$B$41, CONCAT(VLOOKUP($C22, 'Match Names'!$A$1:$D$22, 3, FALSE), ""!C3:R29"")), {2;8;14;20}, FALSE)), ""=-4"") + COUNTIF(ARRAYFORMULA(HLOOKUP($B22, IMPORTRANGE('Prelim Rankings Unsorted'!$B$42, CONCAT(VLOOKUP($C22, 'Match Names'!$A$1:$D$22, 4, FALS"&amp;"E), ""!C3:R29"")), {4;10;16;22}, FALSE)), ""=-4"") + COUNTIF(ARRAYFORMULA(HLOOKUP($B22, IMPORTRANGE('Match Names'!$E$23, CONCAT(VLOOKUP($C22, 'Match Names'!$1:$22, 5, FALSE), ""!C3:R29"")), {5;10;15;20}, FALSE)), ""=-4"") + COUNTIF(ARRAYFORMULA(HLOOKUP($B"&amp;"22, IMPORTRANGE('Match Names'!$F$23, CONCAT(VLOOKUP($C22, 'Match Names'!$1:$22, 6, FALSE), ""!C3:R29"")), {4;10;16;22}, FALSE)), ""=-4"") + COUNTIF(ARRAYFORMULA(HLOOKUP($B22, IMPORTRANGE('Match Names'!$G$23, CONCAT(VLOOKUP($C22, 'Match Names'!$1:$22, 7, F"&amp;"ALSE), ""!C3:R29"")), {4;9;13;19}, FALSE)), ""=-4"") + COUNTIF(ARRAYFORMULA(HLOOKUP($B22, IMPORTRANGE('Match Names'!$H$23, CONCAT(VLOOKUP($C22, 'Match Names'!$1:$22, 8, FALSE), ""!C3:R29"")), {3;9;15;21}, FALSE)), ""=-4"")"),0.0)</f>
        <v>0</v>
      </c>
      <c r="H22" s="33">
        <f t="shared" si="1"/>
        <v>0</v>
      </c>
    </row>
    <row r="23">
      <c r="A23" s="31" t="s">
        <v>90</v>
      </c>
      <c r="B23" s="31" t="str">
        <f>VLOOKUP(CONCAT(A23, C23), 'Discord Username to Real Name'!C:D, 2, FALSE)</f>
        <v>hriday#5979</v>
      </c>
      <c r="C23" s="31" t="s">
        <v>25</v>
      </c>
      <c r="D23" s="32">
        <f>IFERROR(__xludf.DUMMYFUNCTION("(4 - COUNTIF(IFERROR(ARRAYFORMULA(HLOOKUP($B23, IMPORTRANGE('Prelim Rankings Unsorted'!$B$40, CONCAT(VLOOKUP($C23, 'Match Names'!$A$1:$D$22, 2, FALSE), ""!C3:R29"")), {5;10;16;22}, FALSE)), 'Player Overall Stats Unsorted'!$AA$9:$AA$12), ""=X"")) + (4 - CO"&amp;"UNTIF(IFERROR(ARRAYFORMULA(HLOOKUP($B23, IMPORTRANGE('Prelim Rankings Unsorted'!$B$41, CONCAT(VLOOKUP($C23, 'Match Names'!$A$1:$D$22, 3, FALSE), ""!C3:R29"")), {2;8;14;20}, FALSE)), 'Player Overall Stats Unsorted'!$AA$9:$AA$12), ""=X"")) + (4 - COUNTIF(IF"&amp;"ERROR(ARRAYFORMULA(HLOOKUP($B23, IMPORTRANGE('Prelim Rankings Unsorted'!$B$42, CONCAT(VLOOKUP($C23, 'Match Names'!$A$1:$D$22, 4, FALSE), ""!C3:R29"")), {4;10;16;22}, FALSE)), 'Player Overall Stats Unsorted'!$AA$9:$AA$12), ""=X"")) + (4 - COUNTIF(IFERROR(A"&amp;"RRAYFORMULA(HLOOKUP($B23, IMPORTRANGE('Match Names'!$E$23, CONCAT(VLOOKUP($C23, 'Match Names'!$1:$22, 5, FALSE), ""!C3:R29"")), {5;10;15;20}, FALSE)), 'Player Overall Stats Unsorted'!$AA$9:$AA$12), ""=X"")) + (4 - COUNTIF(IFERROR(ARRAYFORMULA(HLOOKUP($B23"&amp;", IMPORTRANGE('Match Names'!$F$23, CONCAT(VLOOKUP($C23, 'Match Names'!$1:$22, 6, FALSE), ""!C3:R29"")), {4;10;16;22}, FALSE)), 'Player Overall Stats Unsorted'!$AA$9:$AA$12), ""=X"")) + (4 - COUNTIF(IFERROR(ARRAYFORMULA(HLOOKUP($B23, IMPORTRANGE('Match Nam"&amp;"es'!$G$23, CONCAT(VLOOKUP($C23, 'Match Names'!$1:$22, 7, FALSE), ""!C3:R29"")), {4;9;13;19}, FALSE)), 'Player Overall Stats Unsorted'!$AA$9:$AA$12), ""=X"")) + (4 - COUNTIF(IFERROR(ARRAYFORMULA(HLOOKUP($B23, IMPORTRANGE('Match Names'!$H$23, CONCAT(VLOOKUP"&amp;"($C23, 'Match Names'!$1:$22, 8, FALSE), ""!C3:R29"")), {3;9;15;21}, FALSE)), 'Player Overall Stats Unsorted'!$AA$9:$AA$12), ""=X""))"),14.0)</f>
        <v>14</v>
      </c>
      <c r="E23" s="32">
        <f>IFERROR(__xludf.DUMMYFUNCTION("COUNTIF(ARRAYFORMULA(HLOOKUP($B23, IMPORTRANGE('Prelim Rankings Unsorted'!$B$40, CONCAT(VLOOKUP($C23, 'Match Names'!$A$1:$D$22, 2, FALSE), ""!C3:R29"")), {5;10;16;22}, FALSE)), ""=4"") + COUNTIF(ARRAYFORMULA(HLOOKUP($B23, IMPORTRANGE('Prelim Rankings Unso"&amp;"rted'!$B$41, CONCAT(VLOOKUP($C23, 'Match Names'!$A$1:$D$22, 3, FALSE), ""!C3:R29"")), {2;8;14;20}, FALSE)), ""=4"") + COUNTIF(ARRAYFORMULA(HLOOKUP($B23, IMPORTRANGE('Prelim Rankings Unsorted'!$B$42, CONCAT(VLOOKUP($C23, 'Match Names'!$A$1:$D$22, 4, FALSE)"&amp;", ""!C3:R29"")), {4;10;16;22}, FALSE)), ""=4"") + COUNTIF(ARRAYFORMULA(HLOOKUP($B23, IMPORTRANGE('Match Names'!$E$23, CONCAT(VLOOKUP($C23, 'Match Names'!$1:$22, 5, FALSE), ""!C3:R29"")), {5;10;15;20}, FALSE)), ""=4"") + COUNTIF(ARRAYFORMULA(HLOOKUP($B23, "&amp;"IMPORTRANGE('Match Names'!$F$23, CONCAT(VLOOKUP($C23, 'Match Names'!$1:$22, 6, FALSE), ""!C3:R29"")), {4;10;16;22}, FALSE)), ""=4"") + COUNTIF(ARRAYFORMULA(HLOOKUP($B23, IMPORTRANGE('Match Names'!$G$23, CONCAT(VLOOKUP($C23, 'Match Names'!$1:$22, 7, FALSE)"&amp;", ""!C3:R29"")), {4;9;13;19}, FALSE)), ""=4"") + COUNTIF(ARRAYFORMULA(HLOOKUP($B23, IMPORTRANGE('Match Names'!$H$23, CONCAT(VLOOKUP($C23, 'Match Names'!$1:$22, 8, FALSE), ""!C3:R29"")), {3;9;15;21}, FALSE)), ""=4"")"),1.0)</f>
        <v>1</v>
      </c>
      <c r="F23" s="32">
        <f>IFERROR(__xludf.DUMMYFUNCTION("COUNTIF(ARRAYFORMULA(HLOOKUP($B23, IMPORTRANGE('Prelim Rankings Unsorted'!$B$40, CONCAT(VLOOKUP($C23, 'Match Names'!$A$1:$D$22, 2, FALSE), ""!C3:R29"")), {5;10;16;22}, FALSE)), ""=0"") + COUNTIF(ARRAYFORMULA(HLOOKUP($B23, IMPORTRANGE('Prelim Rankings Unso"&amp;"rted'!$B$41, CONCAT(VLOOKUP($C23, 'Match Names'!$A$1:$D$22, 3, FALSE), ""!C3:R29"")), {2;8;14;20}, FALSE)), ""=0"") + COUNTIF(ARRAYFORMULA(HLOOKUP($B23, IMPORTRANGE('Prelim Rankings Unsorted'!$B$42, CONCAT(VLOOKUP($C23, 'Match Names'!$A$1:$D$22, 4, FALSE)"&amp;", ""!C3:R29"")), {4;10;16;22}, FALSE)), ""=0"") + COUNTIF(ARRAYFORMULA(HLOOKUP($B23, IMPORTRANGE('Match Names'!$E$23, CONCAT(VLOOKUP($C23, 'Match Names'!$1:$22, 5, FALSE), ""!C3:R29"")), {5;10;15;20}, FALSE)), ""=0"") + COUNTIF(ARRAYFORMULA(HLOOKUP($B23, "&amp;"IMPORTRANGE('Match Names'!$F$23, CONCAT(VLOOKUP($C23, 'Match Names'!$1:$22, 6, FALSE), ""!C3:R29"")), {4;10;16;22}, FALSE)), ""=0"") + COUNTIF(ARRAYFORMULA(HLOOKUP($B23, IMPORTRANGE('Match Names'!$G$23, CONCAT(VLOOKUP($C23, 'Match Names'!$1:$22, 7, FALSE)"&amp;", ""!C3:R29"")), {4;9;13;19}, FALSE)), ""=0"") + COUNTIF(ARRAYFORMULA(HLOOKUP($B23, IMPORTRANGE('Match Names'!$H$23, CONCAT(VLOOKUP($C23, 'Match Names'!$1:$22, 8, FALSE), ""!C3:R29"")), {3;9;15;21}, FALSE)), ""=0"")"),0.0)</f>
        <v>0</v>
      </c>
      <c r="G23" s="32">
        <f>IFERROR(__xludf.DUMMYFUNCTION("COUNTIF(ARRAYFORMULA(HLOOKUP($B23, IMPORTRANGE('Prelim Rankings Unsorted'!$B$40, CONCAT(VLOOKUP($C23, 'Match Names'!$A$1:$D$22, 2, FALSE), ""!C3:R29"")), {5;10;16;22}, FALSE)), ""=-4"") + COUNTIF(ARRAYFORMULA(HLOOKUP($B23, IMPORTRANGE('Prelim Rankings Uns"&amp;"orted'!$B$41, CONCAT(VLOOKUP($C23, 'Match Names'!$A$1:$D$22, 3, FALSE), ""!C3:R29"")), {2;8;14;20}, FALSE)), ""=-4"") + COUNTIF(ARRAYFORMULA(HLOOKUP($B23, IMPORTRANGE('Prelim Rankings Unsorted'!$B$42, CONCAT(VLOOKUP($C23, 'Match Names'!$A$1:$D$22, 4, FALS"&amp;"E), ""!C3:R29"")), {4;10;16;22}, FALSE)), ""=-4"") + COUNTIF(ARRAYFORMULA(HLOOKUP($B23, IMPORTRANGE('Match Names'!$E$23, CONCAT(VLOOKUP($C23, 'Match Names'!$1:$22, 5, FALSE), ""!C3:R29"")), {5;10;15;20}, FALSE)), ""=-4"") + COUNTIF(ARRAYFORMULA(HLOOKUP($B"&amp;"23, IMPORTRANGE('Match Names'!$F$23, CONCAT(VLOOKUP($C23, 'Match Names'!$1:$22, 6, FALSE), ""!C3:R29"")), {4;10;16;22}, FALSE)), ""=-4"") + COUNTIF(ARRAYFORMULA(HLOOKUP($B23, IMPORTRANGE('Match Names'!$G$23, CONCAT(VLOOKUP($C23, 'Match Names'!$1:$22, 7, F"&amp;"ALSE), ""!C3:R29"")), {4;9;13;19}, FALSE)), ""=-4"") + COUNTIF(ARRAYFORMULA(HLOOKUP($B23, IMPORTRANGE('Match Names'!$H$23, CONCAT(VLOOKUP($C23, 'Match Names'!$1:$22, 8, FALSE), ""!C3:R29"")), {3;9;15;21}, FALSE)), ""=-4"")"),0.0)</f>
        <v>0</v>
      </c>
      <c r="H23" s="33">
        <f t="shared" si="1"/>
        <v>1.14</v>
      </c>
    </row>
    <row r="24">
      <c r="A24" s="31" t="s">
        <v>95</v>
      </c>
      <c r="B24" s="31" t="str">
        <f>VLOOKUP(CONCAT(A24, C24), 'Discord Username to Real Name'!C:D, 2, FALSE)</f>
        <v>ashrug0002#8740</v>
      </c>
      <c r="C24" s="31" t="s">
        <v>25</v>
      </c>
      <c r="D24" s="32">
        <f>IFERROR(__xludf.DUMMYFUNCTION("(4 - COUNTIF(IFERROR(ARRAYFORMULA(HLOOKUP($B24, IMPORTRANGE('Prelim Rankings Unsorted'!$B$40, CONCAT(VLOOKUP($C24, 'Match Names'!$A$1:$D$22, 2, FALSE), ""!C3:R29"")), {5;10;16;22}, FALSE)), 'Player Overall Stats Unsorted'!$AA$9:$AA$12), ""=X"")) + (4 - CO"&amp;"UNTIF(IFERROR(ARRAYFORMULA(HLOOKUP($B24, IMPORTRANGE('Prelim Rankings Unsorted'!$B$41, CONCAT(VLOOKUP($C24, 'Match Names'!$A$1:$D$22, 3, FALSE), ""!C3:R29"")), {2;8;14;20}, FALSE)), 'Player Overall Stats Unsorted'!$AA$9:$AA$12), ""=X"")) + (4 - COUNTIF(IF"&amp;"ERROR(ARRAYFORMULA(HLOOKUP($B24, IMPORTRANGE('Prelim Rankings Unsorted'!$B$42, CONCAT(VLOOKUP($C24, 'Match Names'!$A$1:$D$22, 4, FALSE), ""!C3:R29"")), {4;10;16;22}, FALSE)), 'Player Overall Stats Unsorted'!$AA$9:$AA$12), ""=X"")) + (4 - COUNTIF(IFERROR(A"&amp;"RRAYFORMULA(HLOOKUP($B24, IMPORTRANGE('Match Names'!$E$23, CONCAT(VLOOKUP($C24, 'Match Names'!$1:$22, 5, FALSE), ""!C3:R29"")), {5;10;15;20}, FALSE)), 'Player Overall Stats Unsorted'!$AA$9:$AA$12), ""=X"")) + (4 - COUNTIF(IFERROR(ARRAYFORMULA(HLOOKUP($B24"&amp;", IMPORTRANGE('Match Names'!$F$23, CONCAT(VLOOKUP($C24, 'Match Names'!$1:$22, 6, FALSE), ""!C3:R29"")), {4;10;16;22}, FALSE)), 'Player Overall Stats Unsorted'!$AA$9:$AA$12), ""=X"")) + (4 - COUNTIF(IFERROR(ARRAYFORMULA(HLOOKUP($B24, IMPORTRANGE('Match Nam"&amp;"es'!$G$23, CONCAT(VLOOKUP($C24, 'Match Names'!$1:$22, 7, FALSE), ""!C3:R29"")), {4;9;13;19}, FALSE)), 'Player Overall Stats Unsorted'!$AA$9:$AA$12), ""=X"")) + (4 - COUNTIF(IFERROR(ARRAYFORMULA(HLOOKUP($B24, IMPORTRANGE('Match Names'!$H$23, CONCAT(VLOOKUP"&amp;"($C24, 'Match Names'!$1:$22, 8, FALSE), ""!C3:R29"")), {3;9;15;21}, FALSE)), 'Player Overall Stats Unsorted'!$AA$9:$AA$12), ""=X""))"),24.0)</f>
        <v>24</v>
      </c>
      <c r="E24" s="32">
        <f>IFERROR(__xludf.DUMMYFUNCTION("COUNTIF(ARRAYFORMULA(HLOOKUP($B24, IMPORTRANGE('Prelim Rankings Unsorted'!$B$40, CONCAT(VLOOKUP($C24, 'Match Names'!$A$1:$D$22, 2, FALSE), ""!C3:R29"")), {5;10;16;22}, FALSE)), ""=4"") + COUNTIF(ARRAYFORMULA(HLOOKUP($B24, IMPORTRANGE('Prelim Rankings Unso"&amp;"rted'!$B$41, CONCAT(VLOOKUP($C24, 'Match Names'!$A$1:$D$22, 3, FALSE), ""!C3:R29"")), {2;8;14;20}, FALSE)), ""=4"") + COUNTIF(ARRAYFORMULA(HLOOKUP($B24, IMPORTRANGE('Prelim Rankings Unsorted'!$B$42, CONCAT(VLOOKUP($C24, 'Match Names'!$A$1:$D$22, 4, FALSE)"&amp;", ""!C3:R29"")), {4;10;16;22}, FALSE)), ""=4"") + COUNTIF(ARRAYFORMULA(HLOOKUP($B24, IMPORTRANGE('Match Names'!$E$23, CONCAT(VLOOKUP($C24, 'Match Names'!$1:$22, 5, FALSE), ""!C3:R29"")), {5;10;15;20}, FALSE)), ""=4"") + COUNTIF(ARRAYFORMULA(HLOOKUP($B24, "&amp;"IMPORTRANGE('Match Names'!$F$23, CONCAT(VLOOKUP($C24, 'Match Names'!$1:$22, 6, FALSE), ""!C3:R29"")), {4;10;16;22}, FALSE)), ""=4"") + COUNTIF(ARRAYFORMULA(HLOOKUP($B24, IMPORTRANGE('Match Names'!$G$23, CONCAT(VLOOKUP($C24, 'Match Names'!$1:$22, 7, FALSE)"&amp;", ""!C3:R29"")), {4;9;13;19}, FALSE)), ""=4"") + COUNTIF(ARRAYFORMULA(HLOOKUP($B24, IMPORTRANGE('Match Names'!$H$23, CONCAT(VLOOKUP($C24, 'Match Names'!$1:$22, 8, FALSE), ""!C3:R29"")), {3;9;15;21}, FALSE)), ""=4"")"),3.0)</f>
        <v>3</v>
      </c>
      <c r="F24" s="32">
        <f>IFERROR(__xludf.DUMMYFUNCTION("COUNTIF(ARRAYFORMULA(HLOOKUP($B24, IMPORTRANGE('Prelim Rankings Unsorted'!$B$40, CONCAT(VLOOKUP($C24, 'Match Names'!$A$1:$D$22, 2, FALSE), ""!C3:R29"")), {5;10;16;22}, FALSE)), ""=0"") + COUNTIF(ARRAYFORMULA(HLOOKUP($B24, IMPORTRANGE('Prelim Rankings Unso"&amp;"rted'!$B$41, CONCAT(VLOOKUP($C24, 'Match Names'!$A$1:$D$22, 3, FALSE), ""!C3:R29"")), {2;8;14;20}, FALSE)), ""=0"") + COUNTIF(ARRAYFORMULA(HLOOKUP($B24, IMPORTRANGE('Prelim Rankings Unsorted'!$B$42, CONCAT(VLOOKUP($C24, 'Match Names'!$A$1:$D$22, 4, FALSE)"&amp;", ""!C3:R29"")), {4;10;16;22}, FALSE)), ""=0"") + COUNTIF(ARRAYFORMULA(HLOOKUP($B24, IMPORTRANGE('Match Names'!$E$23, CONCAT(VLOOKUP($C24, 'Match Names'!$1:$22, 5, FALSE), ""!C3:R29"")), {5;10;15;20}, FALSE)), ""=0"") + COUNTIF(ARRAYFORMULA(HLOOKUP($B24, "&amp;"IMPORTRANGE('Match Names'!$F$23, CONCAT(VLOOKUP($C24, 'Match Names'!$1:$22, 6, FALSE), ""!C3:R29"")), {4;10;16;22}, FALSE)), ""=0"") + COUNTIF(ARRAYFORMULA(HLOOKUP($B24, IMPORTRANGE('Match Names'!$G$23, CONCAT(VLOOKUP($C24, 'Match Names'!$1:$22, 7, FALSE)"&amp;", ""!C3:R29"")), {4;9;13;19}, FALSE)), ""=0"") + COUNTIF(ARRAYFORMULA(HLOOKUP($B24, IMPORTRANGE('Match Names'!$H$23, CONCAT(VLOOKUP($C24, 'Match Names'!$1:$22, 8, FALSE), ""!C3:R29"")), {3;9;15;21}, FALSE)), ""=0"")"),2.0)</f>
        <v>2</v>
      </c>
      <c r="G24" s="32">
        <f>IFERROR(__xludf.DUMMYFUNCTION("COUNTIF(ARRAYFORMULA(HLOOKUP($B24, IMPORTRANGE('Prelim Rankings Unsorted'!$B$40, CONCAT(VLOOKUP($C24, 'Match Names'!$A$1:$D$22, 2, FALSE), ""!C3:R29"")), {5;10;16;22}, FALSE)), ""=-4"") + COUNTIF(ARRAYFORMULA(HLOOKUP($B24, IMPORTRANGE('Prelim Rankings Uns"&amp;"orted'!$B$41, CONCAT(VLOOKUP($C24, 'Match Names'!$A$1:$D$22, 3, FALSE), ""!C3:R29"")), {2;8;14;20}, FALSE)), ""=-4"") + COUNTIF(ARRAYFORMULA(HLOOKUP($B24, IMPORTRANGE('Prelim Rankings Unsorted'!$B$42, CONCAT(VLOOKUP($C24, 'Match Names'!$A$1:$D$22, 4, FALS"&amp;"E), ""!C3:R29"")), {4;10;16;22}, FALSE)), ""=-4"") + COUNTIF(ARRAYFORMULA(HLOOKUP($B24, IMPORTRANGE('Match Names'!$E$23, CONCAT(VLOOKUP($C24, 'Match Names'!$1:$22, 5, FALSE), ""!C3:R29"")), {5;10;15;20}, FALSE)), ""=-4"") + COUNTIF(ARRAYFORMULA(HLOOKUP($B"&amp;"24, IMPORTRANGE('Match Names'!$F$23, CONCAT(VLOOKUP($C24, 'Match Names'!$1:$22, 6, FALSE), ""!C3:R29"")), {4;10;16;22}, FALSE)), ""=-4"") + COUNTIF(ARRAYFORMULA(HLOOKUP($B24, IMPORTRANGE('Match Names'!$G$23, CONCAT(VLOOKUP($C24, 'Match Names'!$1:$22, 7, F"&amp;"ALSE), ""!C3:R29"")), {4;9;13;19}, FALSE)), ""=-4"") + COUNTIF(ARRAYFORMULA(HLOOKUP($B24, IMPORTRANGE('Match Names'!$H$23, CONCAT(VLOOKUP($C24, 'Match Names'!$1:$22, 8, FALSE), ""!C3:R29"")), {3;9;15;21}, FALSE)), ""=-4"")"),0.0)</f>
        <v>0</v>
      </c>
      <c r="H24" s="33">
        <f t="shared" si="1"/>
        <v>2</v>
      </c>
    </row>
    <row r="25">
      <c r="A25" s="31" t="s">
        <v>124</v>
      </c>
      <c r="B25" s="31" t="str">
        <f>VLOOKUP(CONCAT(A25, C25), 'Discord Username to Real Name'!C:D, 2, FALSE)</f>
        <v>Connor Zhao#9139</v>
      </c>
      <c r="C25" s="31" t="s">
        <v>25</v>
      </c>
      <c r="D25" s="32">
        <f>IFERROR(__xludf.DUMMYFUNCTION("(4 - COUNTIF(IFERROR(ARRAYFORMULA(HLOOKUP($B25, IMPORTRANGE('Prelim Rankings Unsorted'!$B$40, CONCAT(VLOOKUP($C25, 'Match Names'!$A$1:$D$22, 2, FALSE), ""!C3:R29"")), {5;10;16;22}, FALSE)), 'Player Overall Stats Unsorted'!$AA$9:$AA$12), ""=X"")) + (4 - CO"&amp;"UNTIF(IFERROR(ARRAYFORMULA(HLOOKUP($B25, IMPORTRANGE('Prelim Rankings Unsorted'!$B$41, CONCAT(VLOOKUP($C25, 'Match Names'!$A$1:$D$22, 3, FALSE), ""!C3:R29"")), {2;8;14;20}, FALSE)), 'Player Overall Stats Unsorted'!$AA$9:$AA$12), ""=X"")) + (4 - COUNTIF(IF"&amp;"ERROR(ARRAYFORMULA(HLOOKUP($B25, IMPORTRANGE('Prelim Rankings Unsorted'!$B$42, CONCAT(VLOOKUP($C25, 'Match Names'!$A$1:$D$22, 4, FALSE), ""!C3:R29"")), {4;10;16;22}, FALSE)), 'Player Overall Stats Unsorted'!$AA$9:$AA$12), ""=X"")) + (4 - COUNTIF(IFERROR(A"&amp;"RRAYFORMULA(HLOOKUP($B25, IMPORTRANGE('Match Names'!$E$23, CONCAT(VLOOKUP($C25, 'Match Names'!$1:$22, 5, FALSE), ""!C3:R29"")), {5;10;15;20}, FALSE)), 'Player Overall Stats Unsorted'!$AA$9:$AA$12), ""=X"")) + (4 - COUNTIF(IFERROR(ARRAYFORMULA(HLOOKUP($B25"&amp;", IMPORTRANGE('Match Names'!$F$23, CONCAT(VLOOKUP($C25, 'Match Names'!$1:$22, 6, FALSE), ""!C3:R29"")), {4;10;16;22}, FALSE)), 'Player Overall Stats Unsorted'!$AA$9:$AA$12), ""=X"")) + (4 - COUNTIF(IFERROR(ARRAYFORMULA(HLOOKUP($B25, IMPORTRANGE('Match Nam"&amp;"es'!$G$23, CONCAT(VLOOKUP($C25, 'Match Names'!$1:$22, 7, FALSE), ""!C3:R29"")), {4;9;13;19}, FALSE)), 'Player Overall Stats Unsorted'!$AA$9:$AA$12), ""=X"")) + (4 - COUNTIF(IFERROR(ARRAYFORMULA(HLOOKUP($B25, IMPORTRANGE('Match Names'!$H$23, CONCAT(VLOOKUP"&amp;"($C25, 'Match Names'!$1:$22, 8, FALSE), ""!C3:R29"")), {3;9;15;21}, FALSE)), 'Player Overall Stats Unsorted'!$AA$9:$AA$12), ""=X""))"),22.0)</f>
        <v>22</v>
      </c>
      <c r="E25" s="32">
        <f>IFERROR(__xludf.DUMMYFUNCTION("COUNTIF(ARRAYFORMULA(HLOOKUP($B25, IMPORTRANGE('Prelim Rankings Unsorted'!$B$40, CONCAT(VLOOKUP($C25, 'Match Names'!$A$1:$D$22, 2, FALSE), ""!C3:R29"")), {5;10;16;22}, FALSE)), ""=4"") + COUNTIF(ARRAYFORMULA(HLOOKUP($B25, IMPORTRANGE('Prelim Rankings Unso"&amp;"rted'!$B$41, CONCAT(VLOOKUP($C25, 'Match Names'!$A$1:$D$22, 3, FALSE), ""!C3:R29"")), {2;8;14;20}, FALSE)), ""=4"") + COUNTIF(ARRAYFORMULA(HLOOKUP($B25, IMPORTRANGE('Prelim Rankings Unsorted'!$B$42, CONCAT(VLOOKUP($C25, 'Match Names'!$A$1:$D$22, 4, FALSE)"&amp;", ""!C3:R29"")), {4;10;16;22}, FALSE)), ""=4"") + COUNTIF(ARRAYFORMULA(HLOOKUP($B25, IMPORTRANGE('Match Names'!$E$23, CONCAT(VLOOKUP($C25, 'Match Names'!$1:$22, 5, FALSE), ""!C3:R29"")), {5;10;15;20}, FALSE)), ""=4"") + COUNTIF(ARRAYFORMULA(HLOOKUP($B25, "&amp;"IMPORTRANGE('Match Names'!$F$23, CONCAT(VLOOKUP($C25, 'Match Names'!$1:$22, 6, FALSE), ""!C3:R29"")), {4;10;16;22}, FALSE)), ""=4"") + COUNTIF(ARRAYFORMULA(HLOOKUP($B25, IMPORTRANGE('Match Names'!$G$23, CONCAT(VLOOKUP($C25, 'Match Names'!$1:$22, 7, FALSE)"&amp;", ""!C3:R29"")), {4;9;13;19}, FALSE)), ""=4"") + COUNTIF(ARRAYFORMULA(HLOOKUP($B25, IMPORTRANGE('Match Names'!$H$23, CONCAT(VLOOKUP($C25, 'Match Names'!$1:$22, 8, FALSE), ""!C3:R29"")), {3;9;15;21}, FALSE)), ""=4"")"),0.0)</f>
        <v>0</v>
      </c>
      <c r="F25" s="32">
        <f>IFERROR(__xludf.DUMMYFUNCTION("COUNTIF(ARRAYFORMULA(HLOOKUP($B25, IMPORTRANGE('Prelim Rankings Unsorted'!$B$40, CONCAT(VLOOKUP($C25, 'Match Names'!$A$1:$D$22, 2, FALSE), ""!C3:R29"")), {5;10;16;22}, FALSE)), ""=0"") + COUNTIF(ARRAYFORMULA(HLOOKUP($B25, IMPORTRANGE('Prelim Rankings Unso"&amp;"rted'!$B$41, CONCAT(VLOOKUP($C25, 'Match Names'!$A$1:$D$22, 3, FALSE), ""!C3:R29"")), {2;8;14;20}, FALSE)), ""=0"") + COUNTIF(ARRAYFORMULA(HLOOKUP($B25, IMPORTRANGE('Prelim Rankings Unsorted'!$B$42, CONCAT(VLOOKUP($C25, 'Match Names'!$A$1:$D$22, 4, FALSE)"&amp;", ""!C3:R29"")), {4;10;16;22}, FALSE)), ""=0"") + COUNTIF(ARRAYFORMULA(HLOOKUP($B25, IMPORTRANGE('Match Names'!$E$23, CONCAT(VLOOKUP($C25, 'Match Names'!$1:$22, 5, FALSE), ""!C3:R29"")), {5;10;15;20}, FALSE)), ""=0"") + COUNTIF(ARRAYFORMULA(HLOOKUP($B25, "&amp;"IMPORTRANGE('Match Names'!$F$23, CONCAT(VLOOKUP($C25, 'Match Names'!$1:$22, 6, FALSE), ""!C3:R29"")), {4;10;16;22}, FALSE)), ""=0"") + COUNTIF(ARRAYFORMULA(HLOOKUP($B25, IMPORTRANGE('Match Names'!$G$23, CONCAT(VLOOKUP($C25, 'Match Names'!$1:$22, 7, FALSE)"&amp;", ""!C3:R29"")), {4;9;13;19}, FALSE)), ""=0"") + COUNTIF(ARRAYFORMULA(HLOOKUP($B25, IMPORTRANGE('Match Names'!$H$23, CONCAT(VLOOKUP($C25, 'Match Names'!$1:$22, 8, FALSE), ""!C3:R29"")), {3;9;15;21}, FALSE)), ""=0"")"),1.0)</f>
        <v>1</v>
      </c>
      <c r="G25" s="32">
        <f>IFERROR(__xludf.DUMMYFUNCTION("COUNTIF(ARRAYFORMULA(HLOOKUP($B25, IMPORTRANGE('Prelim Rankings Unsorted'!$B$40, CONCAT(VLOOKUP($C25, 'Match Names'!$A$1:$D$22, 2, FALSE), ""!C3:R29"")), {5;10;16;22}, FALSE)), ""=-4"") + COUNTIF(ARRAYFORMULA(HLOOKUP($B25, IMPORTRANGE('Prelim Rankings Uns"&amp;"orted'!$B$41, CONCAT(VLOOKUP($C25, 'Match Names'!$A$1:$D$22, 3, FALSE), ""!C3:R29"")), {2;8;14;20}, FALSE)), ""=-4"") + COUNTIF(ARRAYFORMULA(HLOOKUP($B25, IMPORTRANGE('Prelim Rankings Unsorted'!$B$42, CONCAT(VLOOKUP($C25, 'Match Names'!$A$1:$D$22, 4, FALS"&amp;"E), ""!C3:R29"")), {4;10;16;22}, FALSE)), ""=-4"") + COUNTIF(ARRAYFORMULA(HLOOKUP($B25, IMPORTRANGE('Match Names'!$E$23, CONCAT(VLOOKUP($C25, 'Match Names'!$1:$22, 5, FALSE), ""!C3:R29"")), {5;10;15;20}, FALSE)), ""=-4"") + COUNTIF(ARRAYFORMULA(HLOOKUP($B"&amp;"25, IMPORTRANGE('Match Names'!$F$23, CONCAT(VLOOKUP($C25, 'Match Names'!$1:$22, 6, FALSE), ""!C3:R29"")), {4;10;16;22}, FALSE)), ""=-4"") + COUNTIF(ARRAYFORMULA(HLOOKUP($B25, IMPORTRANGE('Match Names'!$G$23, CONCAT(VLOOKUP($C25, 'Match Names'!$1:$22, 7, F"&amp;"ALSE), ""!C3:R29"")), {4;9;13;19}, FALSE)), ""=-4"") + COUNTIF(ARRAYFORMULA(HLOOKUP($B25, IMPORTRANGE('Match Names'!$H$23, CONCAT(VLOOKUP($C25, 'Match Names'!$1:$22, 8, FALSE), ""!C3:R29"")), {3;9;15;21}, FALSE)), ""=-4"")"),0.0)</f>
        <v>0</v>
      </c>
      <c r="H25" s="33">
        <f t="shared" si="1"/>
        <v>0</v>
      </c>
    </row>
    <row r="26">
      <c r="A26" s="31" t="s">
        <v>13</v>
      </c>
      <c r="B26" s="31" t="str">
        <f>VLOOKUP(CONCAT(A26, C26), 'Discord Username to Real Name'!C:D, 2, FALSE)</f>
        <v>asiangold#6836</v>
      </c>
      <c r="C26" s="31" t="s">
        <v>25</v>
      </c>
      <c r="D26" s="32">
        <f>IFERROR(__xludf.DUMMYFUNCTION("(4 - COUNTIF(IFERROR(ARRAYFORMULA(HLOOKUP($B26, IMPORTRANGE('Prelim Rankings Unsorted'!$B$40, CONCAT(VLOOKUP($C26, 'Match Names'!$A$1:$D$22, 2, FALSE), ""!C3:R29"")), {5;10;16;22}, FALSE)), 'Player Overall Stats Unsorted'!$AA$9:$AA$12), ""=X"")) + (4 - CO"&amp;"UNTIF(IFERROR(ARRAYFORMULA(HLOOKUP($B26, IMPORTRANGE('Prelim Rankings Unsorted'!$B$41, CONCAT(VLOOKUP($C26, 'Match Names'!$A$1:$D$22, 3, FALSE), ""!C3:R29"")), {2;8;14;20}, FALSE)), 'Player Overall Stats Unsorted'!$AA$9:$AA$12), ""=X"")) + (4 - COUNTIF(IF"&amp;"ERROR(ARRAYFORMULA(HLOOKUP($B26, IMPORTRANGE('Prelim Rankings Unsorted'!$B$42, CONCAT(VLOOKUP($C26, 'Match Names'!$A$1:$D$22, 4, FALSE), ""!C3:R29"")), {4;10;16;22}, FALSE)), 'Player Overall Stats Unsorted'!$AA$9:$AA$12), ""=X"")) + (4 - COUNTIF(IFERROR(A"&amp;"RRAYFORMULA(HLOOKUP($B26, IMPORTRANGE('Match Names'!$E$23, CONCAT(VLOOKUP($C26, 'Match Names'!$1:$22, 5, FALSE), ""!C3:R29"")), {5;10;15;20}, FALSE)), 'Player Overall Stats Unsorted'!$AA$9:$AA$12), ""=X"")) + (4 - COUNTIF(IFERROR(ARRAYFORMULA(HLOOKUP($B26"&amp;", IMPORTRANGE('Match Names'!$F$23, CONCAT(VLOOKUP($C26, 'Match Names'!$1:$22, 6, FALSE), ""!C3:R29"")), {4;10;16;22}, FALSE)), 'Player Overall Stats Unsorted'!$AA$9:$AA$12), ""=X"")) + (4 - COUNTIF(IFERROR(ARRAYFORMULA(HLOOKUP($B26, IMPORTRANGE('Match Nam"&amp;"es'!$G$23, CONCAT(VLOOKUP($C26, 'Match Names'!$1:$22, 7, FALSE), ""!C3:R29"")), {4;9;13;19}, FALSE)), 'Player Overall Stats Unsorted'!$AA$9:$AA$12), ""=X"")) + (4 - COUNTIF(IFERROR(ARRAYFORMULA(HLOOKUP($B26, IMPORTRANGE('Match Names'!$H$23, CONCAT(VLOOKUP"&amp;"($C26, 'Match Names'!$1:$22, 8, FALSE), ""!C3:R29"")), {3;9;15;21}, FALSE)), 'Player Overall Stats Unsorted'!$AA$9:$AA$12), ""=X""))"),24.0)</f>
        <v>24</v>
      </c>
      <c r="E26" s="32">
        <f>IFERROR(__xludf.DUMMYFUNCTION("COUNTIF(ARRAYFORMULA(HLOOKUP($B26, IMPORTRANGE('Prelim Rankings Unsorted'!$B$40, CONCAT(VLOOKUP($C26, 'Match Names'!$A$1:$D$22, 2, FALSE), ""!C3:R29"")), {5;10;16;22}, FALSE)), ""=4"") + COUNTIF(ARRAYFORMULA(HLOOKUP($B26, IMPORTRANGE('Prelim Rankings Unso"&amp;"rted'!$B$41, CONCAT(VLOOKUP($C26, 'Match Names'!$A$1:$D$22, 3, FALSE), ""!C3:R29"")), {2;8;14;20}, FALSE)), ""=4"") + COUNTIF(ARRAYFORMULA(HLOOKUP($B26, IMPORTRANGE('Prelim Rankings Unsorted'!$B$42, CONCAT(VLOOKUP($C26, 'Match Names'!$A$1:$D$22, 4, FALSE)"&amp;", ""!C3:R29"")), {4;10;16;22}, FALSE)), ""=4"") + COUNTIF(ARRAYFORMULA(HLOOKUP($B26, IMPORTRANGE('Match Names'!$E$23, CONCAT(VLOOKUP($C26, 'Match Names'!$1:$22, 5, FALSE), ""!C3:R29"")), {5;10;15;20}, FALSE)), ""=4"") + COUNTIF(ARRAYFORMULA(HLOOKUP($B26, "&amp;"IMPORTRANGE('Match Names'!$F$23, CONCAT(VLOOKUP($C26, 'Match Names'!$1:$22, 6, FALSE), ""!C3:R29"")), {4;10;16;22}, FALSE)), ""=4"") + COUNTIF(ARRAYFORMULA(HLOOKUP($B26, IMPORTRANGE('Match Names'!$G$23, CONCAT(VLOOKUP($C26, 'Match Names'!$1:$22, 7, FALSE)"&amp;", ""!C3:R29"")), {4;9;13;19}, FALSE)), ""=4"") + COUNTIF(ARRAYFORMULA(HLOOKUP($B26, IMPORTRANGE('Match Names'!$H$23, CONCAT(VLOOKUP($C26, 'Match Names'!$1:$22, 8, FALSE), ""!C3:R29"")), {3;9;15;21}, FALSE)), ""=4"")"),1.0)</f>
        <v>1</v>
      </c>
      <c r="F26" s="32">
        <f>IFERROR(__xludf.DUMMYFUNCTION("COUNTIF(ARRAYFORMULA(HLOOKUP($B26, IMPORTRANGE('Prelim Rankings Unsorted'!$B$40, CONCAT(VLOOKUP($C26, 'Match Names'!$A$1:$D$22, 2, FALSE), ""!C3:R29"")), {5;10;16;22}, FALSE)), ""=0"") + COUNTIF(ARRAYFORMULA(HLOOKUP($B26, IMPORTRANGE('Prelim Rankings Unso"&amp;"rted'!$B$41, CONCAT(VLOOKUP($C26, 'Match Names'!$A$1:$D$22, 3, FALSE), ""!C3:R29"")), {2;8;14;20}, FALSE)), ""=0"") + COUNTIF(ARRAYFORMULA(HLOOKUP($B26, IMPORTRANGE('Prelim Rankings Unsorted'!$B$42, CONCAT(VLOOKUP($C26, 'Match Names'!$A$1:$D$22, 4, FALSE)"&amp;", ""!C3:R29"")), {4;10;16;22}, FALSE)), ""=0"") + COUNTIF(ARRAYFORMULA(HLOOKUP($B26, IMPORTRANGE('Match Names'!$E$23, CONCAT(VLOOKUP($C26, 'Match Names'!$1:$22, 5, FALSE), ""!C3:R29"")), {5;10;15;20}, FALSE)), ""=0"") + COUNTIF(ARRAYFORMULA(HLOOKUP($B26, "&amp;"IMPORTRANGE('Match Names'!$F$23, CONCAT(VLOOKUP($C26, 'Match Names'!$1:$22, 6, FALSE), ""!C3:R29"")), {4;10;16;22}, FALSE)), ""=0"") + COUNTIF(ARRAYFORMULA(HLOOKUP($B26, IMPORTRANGE('Match Names'!$G$23, CONCAT(VLOOKUP($C26, 'Match Names'!$1:$22, 7, FALSE)"&amp;", ""!C3:R29"")), {4;9;13;19}, FALSE)), ""=0"") + COUNTIF(ARRAYFORMULA(HLOOKUP($B26, IMPORTRANGE('Match Names'!$H$23, CONCAT(VLOOKUP($C26, 'Match Names'!$1:$22, 8, FALSE), ""!C3:R29"")), {3;9;15;21}, FALSE)), ""=0"")"),3.0)</f>
        <v>3</v>
      </c>
      <c r="G26" s="32">
        <f>IFERROR(__xludf.DUMMYFUNCTION("COUNTIF(ARRAYFORMULA(HLOOKUP($B26, IMPORTRANGE('Prelim Rankings Unsorted'!$B$40, CONCAT(VLOOKUP($C26, 'Match Names'!$A$1:$D$22, 2, FALSE), ""!C3:R29"")), {5;10;16;22}, FALSE)), ""=-4"") + COUNTIF(ARRAYFORMULA(HLOOKUP($B26, IMPORTRANGE('Prelim Rankings Uns"&amp;"orted'!$B$41, CONCAT(VLOOKUP($C26, 'Match Names'!$A$1:$D$22, 3, FALSE), ""!C3:R29"")), {2;8;14;20}, FALSE)), ""=-4"") + COUNTIF(ARRAYFORMULA(HLOOKUP($B26, IMPORTRANGE('Prelim Rankings Unsorted'!$B$42, CONCAT(VLOOKUP($C26, 'Match Names'!$A$1:$D$22, 4, FALS"&amp;"E), ""!C3:R29"")), {4;10;16;22}, FALSE)), ""=-4"") + COUNTIF(ARRAYFORMULA(HLOOKUP($B26, IMPORTRANGE('Match Names'!$E$23, CONCAT(VLOOKUP($C26, 'Match Names'!$1:$22, 5, FALSE), ""!C3:R29"")), {5;10;15;20}, FALSE)), ""=-4"") + COUNTIF(ARRAYFORMULA(HLOOKUP($B"&amp;"26, IMPORTRANGE('Match Names'!$F$23, CONCAT(VLOOKUP($C26, 'Match Names'!$1:$22, 6, FALSE), ""!C3:R29"")), {4;10;16;22}, FALSE)), ""=-4"") + COUNTIF(ARRAYFORMULA(HLOOKUP($B26, IMPORTRANGE('Match Names'!$G$23, CONCAT(VLOOKUP($C26, 'Match Names'!$1:$22, 7, F"&amp;"ALSE), ""!C3:R29"")), {4;9;13;19}, FALSE)), ""=-4"") + COUNTIF(ARRAYFORMULA(HLOOKUP($B26, IMPORTRANGE('Match Names'!$H$23, CONCAT(VLOOKUP($C26, 'Match Names'!$1:$22, 8, FALSE), ""!C3:R29"")), {3;9;15;21}, FALSE)), ""=-4"")"),0.0)</f>
        <v>0</v>
      </c>
      <c r="H26" s="33">
        <f t="shared" si="1"/>
        <v>0.67</v>
      </c>
    </row>
    <row r="27">
      <c r="A27" s="31" t="s">
        <v>179</v>
      </c>
      <c r="B27" s="31" t="str">
        <f>VLOOKUP(CONCAT(A27, C27), 'Discord Username to Real Name'!C:D, 2, FALSE)</f>
        <v>Nutritious Soup#4238</v>
      </c>
      <c r="C27" s="31" t="s">
        <v>25</v>
      </c>
      <c r="D27" s="32">
        <f>IFERROR(__xludf.DUMMYFUNCTION("(4 - COUNTIF(IFERROR(ARRAYFORMULA(HLOOKUP($B27, IMPORTRANGE('Prelim Rankings Unsorted'!$B$40, CONCAT(VLOOKUP($C27, 'Match Names'!$A$1:$D$22, 2, FALSE), ""!C3:R29"")), {5;10;16;22}, FALSE)), 'Player Overall Stats Unsorted'!$AA$9:$AA$12), ""=X"")) + (4 - CO"&amp;"UNTIF(IFERROR(ARRAYFORMULA(HLOOKUP($B27, IMPORTRANGE('Prelim Rankings Unsorted'!$B$41, CONCAT(VLOOKUP($C27, 'Match Names'!$A$1:$D$22, 3, FALSE), ""!C3:R29"")), {2;8;14;20}, FALSE)), 'Player Overall Stats Unsorted'!$AA$9:$AA$12), ""=X"")) + (4 - COUNTIF(IF"&amp;"ERROR(ARRAYFORMULA(HLOOKUP($B27, IMPORTRANGE('Prelim Rankings Unsorted'!$B$42, CONCAT(VLOOKUP($C27, 'Match Names'!$A$1:$D$22, 4, FALSE), ""!C3:R29"")), {4;10;16;22}, FALSE)), 'Player Overall Stats Unsorted'!$AA$9:$AA$12), ""=X"")) + (4 - COUNTIF(IFERROR(A"&amp;"RRAYFORMULA(HLOOKUP($B27, IMPORTRANGE('Match Names'!$E$23, CONCAT(VLOOKUP($C27, 'Match Names'!$1:$22, 5, FALSE), ""!C3:R29"")), {5;10;15;20}, FALSE)), 'Player Overall Stats Unsorted'!$AA$9:$AA$12), ""=X"")) + (4 - COUNTIF(IFERROR(ARRAYFORMULA(HLOOKUP($B27"&amp;", IMPORTRANGE('Match Names'!$F$23, CONCAT(VLOOKUP($C27, 'Match Names'!$1:$22, 6, FALSE), ""!C3:R29"")), {4;10;16;22}, FALSE)), 'Player Overall Stats Unsorted'!$AA$9:$AA$12), ""=X"")) + (4 - COUNTIF(IFERROR(ARRAYFORMULA(HLOOKUP($B27, IMPORTRANGE('Match Nam"&amp;"es'!$G$23, CONCAT(VLOOKUP($C27, 'Match Names'!$1:$22, 7, FALSE), ""!C3:R29"")), {4;9;13;19}, FALSE)), 'Player Overall Stats Unsorted'!$AA$9:$AA$12), ""=X"")) + (4 - COUNTIF(IFERROR(ARRAYFORMULA(HLOOKUP($B27, IMPORTRANGE('Match Names'!$H$23, CONCAT(VLOOKUP"&amp;"($C27, 'Match Names'!$1:$22, 8, FALSE), ""!C3:R29"")), {3;9;15;21}, FALSE)), 'Player Overall Stats Unsorted'!$AA$9:$AA$12), ""=X""))"),12.0)</f>
        <v>12</v>
      </c>
      <c r="E27" s="32">
        <f>IFERROR(__xludf.DUMMYFUNCTION("COUNTIF(ARRAYFORMULA(HLOOKUP($B27, IMPORTRANGE('Prelim Rankings Unsorted'!$B$40, CONCAT(VLOOKUP($C27, 'Match Names'!$A$1:$D$22, 2, FALSE), ""!C3:R29"")), {5;10;16;22}, FALSE)), ""=4"") + COUNTIF(ARRAYFORMULA(HLOOKUP($B27, IMPORTRANGE('Prelim Rankings Unso"&amp;"rted'!$B$41, CONCAT(VLOOKUP($C27, 'Match Names'!$A$1:$D$22, 3, FALSE), ""!C3:R29"")), {2;8;14;20}, FALSE)), ""=4"") + COUNTIF(ARRAYFORMULA(HLOOKUP($B27, IMPORTRANGE('Prelim Rankings Unsorted'!$B$42, CONCAT(VLOOKUP($C27, 'Match Names'!$A$1:$D$22, 4, FALSE)"&amp;", ""!C3:R29"")), {4;10;16;22}, FALSE)), ""=4"") + COUNTIF(ARRAYFORMULA(HLOOKUP($B27, IMPORTRANGE('Match Names'!$E$23, CONCAT(VLOOKUP($C27, 'Match Names'!$1:$22, 5, FALSE), ""!C3:R29"")), {5;10;15;20}, FALSE)), ""=4"") + COUNTIF(ARRAYFORMULA(HLOOKUP($B27, "&amp;"IMPORTRANGE('Match Names'!$F$23, CONCAT(VLOOKUP($C27, 'Match Names'!$1:$22, 6, FALSE), ""!C3:R29"")), {4;10;16;22}, FALSE)), ""=4"") + COUNTIF(ARRAYFORMULA(HLOOKUP($B27, IMPORTRANGE('Match Names'!$G$23, CONCAT(VLOOKUP($C27, 'Match Names'!$1:$22, 7, FALSE)"&amp;", ""!C3:R29"")), {4;9;13;19}, FALSE)), ""=4"") + COUNTIF(ARRAYFORMULA(HLOOKUP($B27, IMPORTRANGE('Match Names'!$H$23, CONCAT(VLOOKUP($C27, 'Match Names'!$1:$22, 8, FALSE), ""!C3:R29"")), {3;9;15;21}, FALSE)), ""=4"")"),0.0)</f>
        <v>0</v>
      </c>
      <c r="F27" s="32">
        <f>IFERROR(__xludf.DUMMYFUNCTION("COUNTIF(ARRAYFORMULA(HLOOKUP($B27, IMPORTRANGE('Prelim Rankings Unsorted'!$B$40, CONCAT(VLOOKUP($C27, 'Match Names'!$A$1:$D$22, 2, FALSE), ""!C3:R29"")), {5;10;16;22}, FALSE)), ""=0"") + COUNTIF(ARRAYFORMULA(HLOOKUP($B27, IMPORTRANGE('Prelim Rankings Unso"&amp;"rted'!$B$41, CONCAT(VLOOKUP($C27, 'Match Names'!$A$1:$D$22, 3, FALSE), ""!C3:R29"")), {2;8;14;20}, FALSE)), ""=0"") + COUNTIF(ARRAYFORMULA(HLOOKUP($B27, IMPORTRANGE('Prelim Rankings Unsorted'!$B$42, CONCAT(VLOOKUP($C27, 'Match Names'!$A$1:$D$22, 4, FALSE)"&amp;", ""!C3:R29"")), {4;10;16;22}, FALSE)), ""=0"") + COUNTIF(ARRAYFORMULA(HLOOKUP($B27, IMPORTRANGE('Match Names'!$E$23, CONCAT(VLOOKUP($C27, 'Match Names'!$1:$22, 5, FALSE), ""!C3:R29"")), {5;10;15;20}, FALSE)), ""=0"") + COUNTIF(ARRAYFORMULA(HLOOKUP($B27, "&amp;"IMPORTRANGE('Match Names'!$F$23, CONCAT(VLOOKUP($C27, 'Match Names'!$1:$22, 6, FALSE), ""!C3:R29"")), {4;10;16;22}, FALSE)), ""=0"") + COUNTIF(ARRAYFORMULA(HLOOKUP($B27, IMPORTRANGE('Match Names'!$G$23, CONCAT(VLOOKUP($C27, 'Match Names'!$1:$22, 7, FALSE)"&amp;", ""!C3:R29"")), {4;9;13;19}, FALSE)), ""=0"") + COUNTIF(ARRAYFORMULA(HLOOKUP($B27, IMPORTRANGE('Match Names'!$H$23, CONCAT(VLOOKUP($C27, 'Match Names'!$1:$22, 8, FALSE), ""!C3:R29"")), {3;9;15;21}, FALSE)), ""=0"")"),0.0)</f>
        <v>0</v>
      </c>
      <c r="G27" s="32">
        <f>IFERROR(__xludf.DUMMYFUNCTION("COUNTIF(ARRAYFORMULA(HLOOKUP($B27, IMPORTRANGE('Prelim Rankings Unsorted'!$B$40, CONCAT(VLOOKUP($C27, 'Match Names'!$A$1:$D$22, 2, FALSE), ""!C3:R29"")), {5;10;16;22}, FALSE)), ""=-4"") + COUNTIF(ARRAYFORMULA(HLOOKUP($B27, IMPORTRANGE('Prelim Rankings Uns"&amp;"orted'!$B$41, CONCAT(VLOOKUP($C27, 'Match Names'!$A$1:$D$22, 3, FALSE), ""!C3:R29"")), {2;8;14;20}, FALSE)), ""=-4"") + COUNTIF(ARRAYFORMULA(HLOOKUP($B27, IMPORTRANGE('Prelim Rankings Unsorted'!$B$42, CONCAT(VLOOKUP($C27, 'Match Names'!$A$1:$D$22, 4, FALS"&amp;"E), ""!C3:R29"")), {4;10;16;22}, FALSE)), ""=-4"") + COUNTIF(ARRAYFORMULA(HLOOKUP($B27, IMPORTRANGE('Match Names'!$E$23, CONCAT(VLOOKUP($C27, 'Match Names'!$1:$22, 5, FALSE), ""!C3:R29"")), {5;10;15;20}, FALSE)), ""=-4"") + COUNTIF(ARRAYFORMULA(HLOOKUP($B"&amp;"27, IMPORTRANGE('Match Names'!$F$23, CONCAT(VLOOKUP($C27, 'Match Names'!$1:$22, 6, FALSE), ""!C3:R29"")), {4;10;16;22}, FALSE)), ""=-4"") + COUNTIF(ARRAYFORMULA(HLOOKUP($B27, IMPORTRANGE('Match Names'!$G$23, CONCAT(VLOOKUP($C27, 'Match Names'!$1:$22, 7, F"&amp;"ALSE), ""!C3:R29"")), {4;9;13;19}, FALSE)), ""=-4"") + COUNTIF(ARRAYFORMULA(HLOOKUP($B27, IMPORTRANGE('Match Names'!$H$23, CONCAT(VLOOKUP($C27, 'Match Names'!$1:$22, 8, FALSE), ""!C3:R29"")), {3;9;15;21}, FALSE)), ""=-4"")"),0.0)</f>
        <v>0</v>
      </c>
      <c r="H27" s="33">
        <f t="shared" si="1"/>
        <v>0</v>
      </c>
    </row>
    <row r="28">
      <c r="A28" s="31" t="s">
        <v>48</v>
      </c>
      <c r="B28" s="31" t="str">
        <f>VLOOKUP(CONCAT(A28, C28), 'Discord Username to Real Name'!C:D, 2, FALSE)</f>
        <v>a Aquilae#6100</v>
      </c>
      <c r="C28" s="21" t="s">
        <v>27</v>
      </c>
      <c r="D28" s="32">
        <f>IFERROR(__xludf.DUMMYFUNCTION("(4 - COUNTIF(IFERROR(ARRAYFORMULA(HLOOKUP($B28, IMPORTRANGE('Prelim Rankings Unsorted'!$B$40, CONCAT(VLOOKUP($C28, 'Match Names'!$A$1:$D$22, 2, FALSE), ""!C3:R29"")), {5;10;16;22}, FALSE)), 'Player Overall Stats Unsorted'!$AA$9:$AA$12), ""=X"")) + (4 - CO"&amp;"UNTIF(IFERROR(ARRAYFORMULA(HLOOKUP($B28, IMPORTRANGE('Prelim Rankings Unsorted'!$B$41, CONCAT(VLOOKUP($C28, 'Match Names'!$A$1:$D$22, 3, FALSE), ""!C3:R29"")), {2;8;14;20}, FALSE)), 'Player Overall Stats Unsorted'!$AA$9:$AA$12), ""=X"")) + (4 - COUNTIF(IF"&amp;"ERROR(ARRAYFORMULA(HLOOKUP($B28, IMPORTRANGE('Prelim Rankings Unsorted'!$B$42, CONCAT(VLOOKUP($C28, 'Match Names'!$A$1:$D$22, 4, FALSE), ""!C3:R29"")), {4;10;16;22}, FALSE)), 'Player Overall Stats Unsorted'!$AA$9:$AA$12), ""=X"")) + (4 - COUNTIF(IFERROR(A"&amp;"RRAYFORMULA(HLOOKUP($B28, IMPORTRANGE('Match Names'!$E$23, CONCAT(VLOOKUP($C28, 'Match Names'!$1:$22, 5, FALSE), ""!C3:R29"")), {5;10;15;20}, FALSE)), 'Player Overall Stats Unsorted'!$AA$9:$AA$12), ""=X"")) + (4 - COUNTIF(IFERROR(ARRAYFORMULA(HLOOKUP($B28"&amp;", IMPORTRANGE('Match Names'!$F$23, CONCAT(VLOOKUP($C28, 'Match Names'!$1:$22, 6, FALSE), ""!C3:R29"")), {4;10;16;22}, FALSE)), 'Player Overall Stats Unsorted'!$AA$9:$AA$12), ""=X"")) + (4 - COUNTIF(IFERROR(ARRAYFORMULA(HLOOKUP($B28, IMPORTRANGE('Match Nam"&amp;"es'!$G$23, CONCAT(VLOOKUP($C28, 'Match Names'!$1:$22, 7, FALSE), ""!C3:R29"")), {4;9;13;19}, FALSE)), 'Player Overall Stats Unsorted'!$AA$9:$AA$12), ""=X"")) + (4 - COUNTIF(IFERROR(ARRAYFORMULA(HLOOKUP($B28, IMPORTRANGE('Match Names'!$H$23, CONCAT(VLOOKUP"&amp;"($C28, 'Match Names'!$1:$22, 8, FALSE), ""!C3:R29"")), {3;9;15;21}, FALSE)), 'Player Overall Stats Unsorted'!$AA$9:$AA$12), ""=X""))"),24.0)</f>
        <v>24</v>
      </c>
      <c r="E28" s="32">
        <f>IFERROR(__xludf.DUMMYFUNCTION("COUNTIF(ARRAYFORMULA(HLOOKUP($B28, IMPORTRANGE('Prelim Rankings Unsorted'!$B$40, CONCAT(VLOOKUP($C28, 'Match Names'!$A$1:$D$22, 2, FALSE), ""!C3:R29"")), {5;10;16;22}, FALSE)), ""=4"") + COUNTIF(ARRAYFORMULA(HLOOKUP($B28, IMPORTRANGE('Prelim Rankings Unso"&amp;"rted'!$B$41, CONCAT(VLOOKUP($C28, 'Match Names'!$A$1:$D$22, 3, FALSE), ""!C3:R29"")), {2;8;14;20}, FALSE)), ""=4"") + COUNTIF(ARRAYFORMULA(HLOOKUP($B28, IMPORTRANGE('Prelim Rankings Unsorted'!$B$42, CONCAT(VLOOKUP($C28, 'Match Names'!$A$1:$D$22, 4, FALSE)"&amp;", ""!C3:R29"")), {4;10;16;22}, FALSE)), ""=4"") + COUNTIF(ARRAYFORMULA(HLOOKUP($B28, IMPORTRANGE('Match Names'!$E$23, CONCAT(VLOOKUP($C28, 'Match Names'!$1:$22, 5, FALSE), ""!C3:R29"")), {5;10;15;20}, FALSE)), ""=4"") + COUNTIF(ARRAYFORMULA(HLOOKUP($B28, "&amp;"IMPORTRANGE('Match Names'!$F$23, CONCAT(VLOOKUP($C28, 'Match Names'!$1:$22, 6, FALSE), ""!C3:R29"")), {4;10;16;22}, FALSE)), ""=4"") + COUNTIF(ARRAYFORMULA(HLOOKUP($B28, IMPORTRANGE('Match Names'!$G$23, CONCAT(VLOOKUP($C28, 'Match Names'!$1:$22, 7, FALSE)"&amp;", ""!C3:R29"")), {4;9;13;19}, FALSE)), ""=4"") + COUNTIF(ARRAYFORMULA(HLOOKUP($B28, IMPORTRANGE('Match Names'!$H$23, CONCAT(VLOOKUP($C28, 'Match Names'!$1:$22, 8, FALSE), ""!C3:R29"")), {3;9;15;21}, FALSE)), ""=4"")"),6.0)</f>
        <v>6</v>
      </c>
      <c r="F28" s="32">
        <f>IFERROR(__xludf.DUMMYFUNCTION("COUNTIF(ARRAYFORMULA(HLOOKUP($B28, IMPORTRANGE('Prelim Rankings Unsorted'!$B$40, CONCAT(VLOOKUP($C28, 'Match Names'!$A$1:$D$22, 2, FALSE), ""!C3:R29"")), {5;10;16;22}, FALSE)), ""=0"") + COUNTIF(ARRAYFORMULA(HLOOKUP($B28, IMPORTRANGE('Prelim Rankings Unso"&amp;"rted'!$B$41, CONCAT(VLOOKUP($C28, 'Match Names'!$A$1:$D$22, 3, FALSE), ""!C3:R29"")), {2;8;14;20}, FALSE)), ""=0"") + COUNTIF(ARRAYFORMULA(HLOOKUP($B28, IMPORTRANGE('Prelim Rankings Unsorted'!$B$42, CONCAT(VLOOKUP($C28, 'Match Names'!$A$1:$D$22, 4, FALSE)"&amp;", ""!C3:R29"")), {4;10;16;22}, FALSE)), ""=0"") + COUNTIF(ARRAYFORMULA(HLOOKUP($B28, IMPORTRANGE('Match Names'!$E$23, CONCAT(VLOOKUP($C28, 'Match Names'!$1:$22, 5, FALSE), ""!C3:R29"")), {5;10;15;20}, FALSE)), ""=0"") + COUNTIF(ARRAYFORMULA(HLOOKUP($B28, "&amp;"IMPORTRANGE('Match Names'!$F$23, CONCAT(VLOOKUP($C28, 'Match Names'!$1:$22, 6, FALSE), ""!C3:R29"")), {4;10;16;22}, FALSE)), ""=0"") + COUNTIF(ARRAYFORMULA(HLOOKUP($B28, IMPORTRANGE('Match Names'!$G$23, CONCAT(VLOOKUP($C28, 'Match Names'!$1:$22, 7, FALSE)"&amp;", ""!C3:R29"")), {4;9;13;19}, FALSE)), ""=0"") + COUNTIF(ARRAYFORMULA(HLOOKUP($B28, IMPORTRANGE('Match Names'!$H$23, CONCAT(VLOOKUP($C28, 'Match Names'!$1:$22, 8, FALSE), ""!C3:R29"")), {3;9;15;21}, FALSE)), ""=0"")"),1.0)</f>
        <v>1</v>
      </c>
      <c r="G28" s="32">
        <f>IFERROR(__xludf.DUMMYFUNCTION("COUNTIF(ARRAYFORMULA(HLOOKUP($B28, IMPORTRANGE('Prelim Rankings Unsorted'!$B$40, CONCAT(VLOOKUP($C28, 'Match Names'!$A$1:$D$22, 2, FALSE), ""!C3:R29"")), {5;10;16;22}, FALSE)), ""=-4"") + COUNTIF(ARRAYFORMULA(HLOOKUP($B28, IMPORTRANGE('Prelim Rankings Uns"&amp;"orted'!$B$41, CONCAT(VLOOKUP($C28, 'Match Names'!$A$1:$D$22, 3, FALSE), ""!C3:R29"")), {2;8;14;20}, FALSE)), ""=-4"") + COUNTIF(ARRAYFORMULA(HLOOKUP($B28, IMPORTRANGE('Prelim Rankings Unsorted'!$B$42, CONCAT(VLOOKUP($C28, 'Match Names'!$A$1:$D$22, 4, FALS"&amp;"E), ""!C3:R29"")), {4;10;16;22}, FALSE)), ""=-4"") + COUNTIF(ARRAYFORMULA(HLOOKUP($B28, IMPORTRANGE('Match Names'!$E$23, CONCAT(VLOOKUP($C28, 'Match Names'!$1:$22, 5, FALSE), ""!C3:R29"")), {5;10;15;20}, FALSE)), ""=-4"") + COUNTIF(ARRAYFORMULA(HLOOKUP($B"&amp;"28, IMPORTRANGE('Match Names'!$F$23, CONCAT(VLOOKUP($C28, 'Match Names'!$1:$22, 6, FALSE), ""!C3:R29"")), {4;10;16;22}, FALSE)), ""=-4"") + COUNTIF(ARRAYFORMULA(HLOOKUP($B28, IMPORTRANGE('Match Names'!$G$23, CONCAT(VLOOKUP($C28, 'Match Names'!$1:$22, 7, F"&amp;"ALSE), ""!C3:R29"")), {4;9;13;19}, FALSE)), ""=-4"") + COUNTIF(ARRAYFORMULA(HLOOKUP($B28, IMPORTRANGE('Match Names'!$H$23, CONCAT(VLOOKUP($C28, 'Match Names'!$1:$22, 8, FALSE), ""!C3:R29"")), {3;9;15;21}, FALSE)), ""=-4"")"),1.0)</f>
        <v>1</v>
      </c>
      <c r="H28" s="33">
        <f t="shared" si="1"/>
        <v>3.33</v>
      </c>
    </row>
    <row r="29">
      <c r="A29" s="31" t="s">
        <v>122</v>
      </c>
      <c r="B29" s="31" t="str">
        <f>VLOOKUP(CONCAT(A29, C29), 'Discord Username to Real Name'!C:D, 2, FALSE)</f>
        <v>emu#0818</v>
      </c>
      <c r="C29" s="21" t="s">
        <v>27</v>
      </c>
      <c r="D29" s="32">
        <f>IFERROR(__xludf.DUMMYFUNCTION("(4 - COUNTIF(IFERROR(ARRAYFORMULA(HLOOKUP($B29, IMPORTRANGE('Prelim Rankings Unsorted'!$B$40, CONCAT(VLOOKUP($C29, 'Match Names'!$A$1:$D$22, 2, FALSE), ""!C3:R29"")), {5;10;16;22}, FALSE)), 'Player Overall Stats Unsorted'!$AA$9:$AA$12), ""=X"")) + (4 - CO"&amp;"UNTIF(IFERROR(ARRAYFORMULA(HLOOKUP($B29, IMPORTRANGE('Prelim Rankings Unsorted'!$B$41, CONCAT(VLOOKUP($C29, 'Match Names'!$A$1:$D$22, 3, FALSE), ""!C3:R29"")), {2;8;14;20}, FALSE)), 'Player Overall Stats Unsorted'!$AA$9:$AA$12), ""=X"")) + (4 - COUNTIF(IF"&amp;"ERROR(ARRAYFORMULA(HLOOKUP($B29, IMPORTRANGE('Prelim Rankings Unsorted'!$B$42, CONCAT(VLOOKUP($C29, 'Match Names'!$A$1:$D$22, 4, FALSE), ""!C3:R29"")), {4;10;16;22}, FALSE)), 'Player Overall Stats Unsorted'!$AA$9:$AA$12), ""=X"")) + (4 - COUNTIF(IFERROR(A"&amp;"RRAYFORMULA(HLOOKUP($B29, IMPORTRANGE('Match Names'!$E$23, CONCAT(VLOOKUP($C29, 'Match Names'!$1:$22, 5, FALSE), ""!C3:R29"")), {5;10;15;20}, FALSE)), 'Player Overall Stats Unsorted'!$AA$9:$AA$12), ""=X"")) + (4 - COUNTIF(IFERROR(ARRAYFORMULA(HLOOKUP($B29"&amp;", IMPORTRANGE('Match Names'!$F$23, CONCAT(VLOOKUP($C29, 'Match Names'!$1:$22, 6, FALSE), ""!C3:R29"")), {4;10;16;22}, FALSE)), 'Player Overall Stats Unsorted'!$AA$9:$AA$12), ""=X"")) + (4 - COUNTIF(IFERROR(ARRAYFORMULA(HLOOKUP($B29, IMPORTRANGE('Match Nam"&amp;"es'!$G$23, CONCAT(VLOOKUP($C29, 'Match Names'!$1:$22, 7, FALSE), ""!C3:R29"")), {4;9;13;19}, FALSE)), 'Player Overall Stats Unsorted'!$AA$9:$AA$12), ""=X"")) + (4 - COUNTIF(IFERROR(ARRAYFORMULA(HLOOKUP($B29, IMPORTRANGE('Match Names'!$H$23, CONCAT(VLOOKUP"&amp;"($C29, 'Match Names'!$1:$22, 8, FALSE), ""!C3:R29"")), {3;9;15;21}, FALSE)), 'Player Overall Stats Unsorted'!$AA$9:$AA$12), ""=X""))"),20.0)</f>
        <v>20</v>
      </c>
      <c r="E29" s="32">
        <f>IFERROR(__xludf.DUMMYFUNCTION("COUNTIF(ARRAYFORMULA(HLOOKUP($B29, IMPORTRANGE('Prelim Rankings Unsorted'!$B$40, CONCAT(VLOOKUP($C29, 'Match Names'!$A$1:$D$22, 2, FALSE), ""!C3:R29"")), {5;10;16;22}, FALSE)), ""=4"") + COUNTIF(ARRAYFORMULA(HLOOKUP($B29, IMPORTRANGE('Prelim Rankings Unso"&amp;"rted'!$B$41, CONCAT(VLOOKUP($C29, 'Match Names'!$A$1:$D$22, 3, FALSE), ""!C3:R29"")), {2;8;14;20}, FALSE)), ""=4"") + COUNTIF(ARRAYFORMULA(HLOOKUP($B29, IMPORTRANGE('Prelim Rankings Unsorted'!$B$42, CONCAT(VLOOKUP($C29, 'Match Names'!$A$1:$D$22, 4, FALSE)"&amp;", ""!C3:R29"")), {4;10;16;22}, FALSE)), ""=4"") + COUNTIF(ARRAYFORMULA(HLOOKUP($B29, IMPORTRANGE('Match Names'!$E$23, CONCAT(VLOOKUP($C29, 'Match Names'!$1:$22, 5, FALSE), ""!C3:R29"")), {5;10;15;20}, FALSE)), ""=4"") + COUNTIF(ARRAYFORMULA(HLOOKUP($B29, "&amp;"IMPORTRANGE('Match Names'!$F$23, CONCAT(VLOOKUP($C29, 'Match Names'!$1:$22, 6, FALSE), ""!C3:R29"")), {4;10;16;22}, FALSE)), ""=4"") + COUNTIF(ARRAYFORMULA(HLOOKUP($B29, IMPORTRANGE('Match Names'!$G$23, CONCAT(VLOOKUP($C29, 'Match Names'!$1:$22, 7, FALSE)"&amp;", ""!C3:R29"")), {4;9;13;19}, FALSE)), ""=4"") + COUNTIF(ARRAYFORMULA(HLOOKUP($B29, IMPORTRANGE('Match Names'!$H$23, CONCAT(VLOOKUP($C29, 'Match Names'!$1:$22, 8, FALSE), ""!C3:R29"")), {3;9;15;21}, FALSE)), ""=4"")"),1.0)</f>
        <v>1</v>
      </c>
      <c r="F29" s="32">
        <f>IFERROR(__xludf.DUMMYFUNCTION("COUNTIF(ARRAYFORMULA(HLOOKUP($B29, IMPORTRANGE('Prelim Rankings Unsorted'!$B$40, CONCAT(VLOOKUP($C29, 'Match Names'!$A$1:$D$22, 2, FALSE), ""!C3:R29"")), {5;10;16;22}, FALSE)), ""=0"") + COUNTIF(ARRAYFORMULA(HLOOKUP($B29, IMPORTRANGE('Prelim Rankings Unso"&amp;"rted'!$B$41, CONCAT(VLOOKUP($C29, 'Match Names'!$A$1:$D$22, 3, FALSE), ""!C3:R29"")), {2;8;14;20}, FALSE)), ""=0"") + COUNTIF(ARRAYFORMULA(HLOOKUP($B29, IMPORTRANGE('Prelim Rankings Unsorted'!$B$42, CONCAT(VLOOKUP($C29, 'Match Names'!$A$1:$D$22, 4, FALSE)"&amp;", ""!C3:R29"")), {4;10;16;22}, FALSE)), ""=0"") + COUNTIF(ARRAYFORMULA(HLOOKUP($B29, IMPORTRANGE('Match Names'!$E$23, CONCAT(VLOOKUP($C29, 'Match Names'!$1:$22, 5, FALSE), ""!C3:R29"")), {5;10;15;20}, FALSE)), ""=0"") + COUNTIF(ARRAYFORMULA(HLOOKUP($B29, "&amp;"IMPORTRANGE('Match Names'!$F$23, CONCAT(VLOOKUP($C29, 'Match Names'!$1:$22, 6, FALSE), ""!C3:R29"")), {4;10;16;22}, FALSE)), ""=0"") + COUNTIF(ARRAYFORMULA(HLOOKUP($B29, IMPORTRANGE('Match Names'!$G$23, CONCAT(VLOOKUP($C29, 'Match Names'!$1:$22, 7, FALSE)"&amp;", ""!C3:R29"")), {4;9;13;19}, FALSE)), ""=0"") + COUNTIF(ARRAYFORMULA(HLOOKUP($B29, IMPORTRANGE('Match Names'!$H$23, CONCAT(VLOOKUP($C29, 'Match Names'!$1:$22, 8, FALSE), ""!C3:R29"")), {3;9;15;21}, FALSE)), ""=0"")"),1.0)</f>
        <v>1</v>
      </c>
      <c r="G29" s="32">
        <f>IFERROR(__xludf.DUMMYFUNCTION("COUNTIF(ARRAYFORMULA(HLOOKUP($B29, IMPORTRANGE('Prelim Rankings Unsorted'!$B$40, CONCAT(VLOOKUP($C29, 'Match Names'!$A$1:$D$22, 2, FALSE), ""!C3:R29"")), {5;10;16;22}, FALSE)), ""=-4"") + COUNTIF(ARRAYFORMULA(HLOOKUP($B29, IMPORTRANGE('Prelim Rankings Uns"&amp;"orted'!$B$41, CONCAT(VLOOKUP($C29, 'Match Names'!$A$1:$D$22, 3, FALSE), ""!C3:R29"")), {2;8;14;20}, FALSE)), ""=-4"") + COUNTIF(ARRAYFORMULA(HLOOKUP($B29, IMPORTRANGE('Prelim Rankings Unsorted'!$B$42, CONCAT(VLOOKUP($C29, 'Match Names'!$A$1:$D$22, 4, FALS"&amp;"E), ""!C3:R29"")), {4;10;16;22}, FALSE)), ""=-4"") + COUNTIF(ARRAYFORMULA(HLOOKUP($B29, IMPORTRANGE('Match Names'!$E$23, CONCAT(VLOOKUP($C29, 'Match Names'!$1:$22, 5, FALSE), ""!C3:R29"")), {5;10;15;20}, FALSE)), ""=-4"") + COUNTIF(ARRAYFORMULA(HLOOKUP($B"&amp;"29, IMPORTRANGE('Match Names'!$F$23, CONCAT(VLOOKUP($C29, 'Match Names'!$1:$22, 6, FALSE), ""!C3:R29"")), {4;10;16;22}, FALSE)), ""=-4"") + COUNTIF(ARRAYFORMULA(HLOOKUP($B29, IMPORTRANGE('Match Names'!$G$23, CONCAT(VLOOKUP($C29, 'Match Names'!$1:$22, 7, F"&amp;"ALSE), ""!C3:R29"")), {4;9;13;19}, FALSE)), ""=-4"") + COUNTIF(ARRAYFORMULA(HLOOKUP($B29, IMPORTRANGE('Match Names'!$H$23, CONCAT(VLOOKUP($C29, 'Match Names'!$1:$22, 8, FALSE), ""!C3:R29"")), {3;9;15;21}, FALSE)), ""=-4"")"),0.0)</f>
        <v>0</v>
      </c>
      <c r="H29" s="33">
        <f t="shared" si="1"/>
        <v>0.8</v>
      </c>
    </row>
    <row r="30">
      <c r="A30" s="31" t="s">
        <v>138</v>
      </c>
      <c r="B30" s="31" t="str">
        <f>VLOOKUP(CONCAT(A30, C30), 'Discord Username to Real Name'!C:D, 2, FALSE)</f>
        <v>sachiko#9539</v>
      </c>
      <c r="C30" s="21" t="s">
        <v>27</v>
      </c>
      <c r="D30" s="32">
        <f>IFERROR(__xludf.DUMMYFUNCTION("(4 - COUNTIF(IFERROR(ARRAYFORMULA(HLOOKUP($B30, IMPORTRANGE('Prelim Rankings Unsorted'!$B$40, CONCAT(VLOOKUP($C30, 'Match Names'!$A$1:$D$22, 2, FALSE), ""!C3:R29"")), {5;10;16;22}, FALSE)), 'Player Overall Stats Unsorted'!$AA$9:$AA$12), ""=X"")) + (4 - CO"&amp;"UNTIF(IFERROR(ARRAYFORMULA(HLOOKUP($B30, IMPORTRANGE('Prelim Rankings Unsorted'!$B$41, CONCAT(VLOOKUP($C30, 'Match Names'!$A$1:$D$22, 3, FALSE), ""!C3:R29"")), {2;8;14;20}, FALSE)), 'Player Overall Stats Unsorted'!$AA$9:$AA$12), ""=X"")) + (4 - COUNTIF(IF"&amp;"ERROR(ARRAYFORMULA(HLOOKUP($B30, IMPORTRANGE('Prelim Rankings Unsorted'!$B$42, CONCAT(VLOOKUP($C30, 'Match Names'!$A$1:$D$22, 4, FALSE), ""!C3:R29"")), {4;10;16;22}, FALSE)), 'Player Overall Stats Unsorted'!$AA$9:$AA$12), ""=X"")) + (4 - COUNTIF(IFERROR(A"&amp;"RRAYFORMULA(HLOOKUP($B30, IMPORTRANGE('Match Names'!$E$23, CONCAT(VLOOKUP($C30, 'Match Names'!$1:$22, 5, FALSE), ""!C3:R29"")), {5;10;15;20}, FALSE)), 'Player Overall Stats Unsorted'!$AA$9:$AA$12), ""=X"")) + (4 - COUNTIF(IFERROR(ARRAYFORMULA(HLOOKUP($B30"&amp;", IMPORTRANGE('Match Names'!$F$23, CONCAT(VLOOKUP($C30, 'Match Names'!$1:$22, 6, FALSE), ""!C3:R29"")), {4;10;16;22}, FALSE)), 'Player Overall Stats Unsorted'!$AA$9:$AA$12), ""=X"")) + (4 - COUNTIF(IFERROR(ARRAYFORMULA(HLOOKUP($B30, IMPORTRANGE('Match Nam"&amp;"es'!$G$23, CONCAT(VLOOKUP($C30, 'Match Names'!$1:$22, 7, FALSE), ""!C3:R29"")), {4;9;13;19}, FALSE)), 'Player Overall Stats Unsorted'!$AA$9:$AA$12), ""=X"")) + (4 - COUNTIF(IFERROR(ARRAYFORMULA(HLOOKUP($B30, IMPORTRANGE('Match Names'!$H$23, CONCAT(VLOOKUP"&amp;"($C30, 'Match Names'!$1:$22, 8, FALSE), ""!C3:R29"")), {3;9;15;21}, FALSE)), 'Player Overall Stats Unsorted'!$AA$9:$AA$12), ""=X""))"),22.0)</f>
        <v>22</v>
      </c>
      <c r="E30" s="32">
        <f>IFERROR(__xludf.DUMMYFUNCTION("COUNTIF(ARRAYFORMULA(HLOOKUP($B30, IMPORTRANGE('Prelim Rankings Unsorted'!$B$40, CONCAT(VLOOKUP($C30, 'Match Names'!$A$1:$D$22, 2, FALSE), ""!C3:R29"")), {5;10;16;22}, FALSE)), ""=4"") + COUNTIF(ARRAYFORMULA(HLOOKUP($B30, IMPORTRANGE('Prelim Rankings Unso"&amp;"rted'!$B$41, CONCAT(VLOOKUP($C30, 'Match Names'!$A$1:$D$22, 3, FALSE), ""!C3:R29"")), {2;8;14;20}, FALSE)), ""=4"") + COUNTIF(ARRAYFORMULA(HLOOKUP($B30, IMPORTRANGE('Prelim Rankings Unsorted'!$B$42, CONCAT(VLOOKUP($C30, 'Match Names'!$A$1:$D$22, 4, FALSE)"&amp;", ""!C3:R29"")), {4;10;16;22}, FALSE)), ""=4"") + COUNTIF(ARRAYFORMULA(HLOOKUP($B30, IMPORTRANGE('Match Names'!$E$23, CONCAT(VLOOKUP($C30, 'Match Names'!$1:$22, 5, FALSE), ""!C3:R29"")), {5;10;15;20}, FALSE)), ""=4"") + COUNTIF(ARRAYFORMULA(HLOOKUP($B30, "&amp;"IMPORTRANGE('Match Names'!$F$23, CONCAT(VLOOKUP($C30, 'Match Names'!$1:$22, 6, FALSE), ""!C3:R29"")), {4;10;16;22}, FALSE)), ""=4"") + COUNTIF(ARRAYFORMULA(HLOOKUP($B30, IMPORTRANGE('Match Names'!$G$23, CONCAT(VLOOKUP($C30, 'Match Names'!$1:$22, 7, FALSE)"&amp;", ""!C3:R29"")), {4;9;13;19}, FALSE)), ""=4"") + COUNTIF(ARRAYFORMULA(HLOOKUP($B30, IMPORTRANGE('Match Names'!$H$23, CONCAT(VLOOKUP($C30, 'Match Names'!$1:$22, 8, FALSE), ""!C3:R29"")), {3;9;15;21}, FALSE)), ""=4"")"),1.0)</f>
        <v>1</v>
      </c>
      <c r="F30" s="32">
        <f>IFERROR(__xludf.DUMMYFUNCTION("COUNTIF(ARRAYFORMULA(HLOOKUP($B30, IMPORTRANGE('Prelim Rankings Unsorted'!$B$40, CONCAT(VLOOKUP($C30, 'Match Names'!$A$1:$D$22, 2, FALSE), ""!C3:R29"")), {5;10;16;22}, FALSE)), ""=0"") + COUNTIF(ARRAYFORMULA(HLOOKUP($B30, IMPORTRANGE('Prelim Rankings Unso"&amp;"rted'!$B$41, CONCAT(VLOOKUP($C30, 'Match Names'!$A$1:$D$22, 3, FALSE), ""!C3:R29"")), {2;8;14;20}, FALSE)), ""=0"") + COUNTIF(ARRAYFORMULA(HLOOKUP($B30, IMPORTRANGE('Prelim Rankings Unsorted'!$B$42, CONCAT(VLOOKUP($C30, 'Match Names'!$A$1:$D$22, 4, FALSE)"&amp;", ""!C3:R29"")), {4;10;16;22}, FALSE)), ""=0"") + COUNTIF(ARRAYFORMULA(HLOOKUP($B30, IMPORTRANGE('Match Names'!$E$23, CONCAT(VLOOKUP($C30, 'Match Names'!$1:$22, 5, FALSE), ""!C3:R29"")), {5;10;15;20}, FALSE)), ""=0"") + COUNTIF(ARRAYFORMULA(HLOOKUP($B30, "&amp;"IMPORTRANGE('Match Names'!$F$23, CONCAT(VLOOKUP($C30, 'Match Names'!$1:$22, 6, FALSE), ""!C3:R29"")), {4;10;16;22}, FALSE)), ""=0"") + COUNTIF(ARRAYFORMULA(HLOOKUP($B30, IMPORTRANGE('Match Names'!$G$23, CONCAT(VLOOKUP($C30, 'Match Names'!$1:$22, 7, FALSE)"&amp;", ""!C3:R29"")), {4;9;13;19}, FALSE)), ""=0"") + COUNTIF(ARRAYFORMULA(HLOOKUP($B30, IMPORTRANGE('Match Names'!$H$23, CONCAT(VLOOKUP($C30, 'Match Names'!$1:$22, 8, FALSE), ""!C3:R29"")), {3;9;15;21}, FALSE)), ""=0"")"),0.0)</f>
        <v>0</v>
      </c>
      <c r="G30" s="32">
        <f>IFERROR(__xludf.DUMMYFUNCTION("COUNTIF(ARRAYFORMULA(HLOOKUP($B30, IMPORTRANGE('Prelim Rankings Unsorted'!$B$40, CONCAT(VLOOKUP($C30, 'Match Names'!$A$1:$D$22, 2, FALSE), ""!C3:R29"")), {5;10;16;22}, FALSE)), ""=-4"") + COUNTIF(ARRAYFORMULA(HLOOKUP($B30, IMPORTRANGE('Prelim Rankings Uns"&amp;"orted'!$B$41, CONCAT(VLOOKUP($C30, 'Match Names'!$A$1:$D$22, 3, FALSE), ""!C3:R29"")), {2;8;14;20}, FALSE)), ""=-4"") + COUNTIF(ARRAYFORMULA(HLOOKUP($B30, IMPORTRANGE('Prelim Rankings Unsorted'!$B$42, CONCAT(VLOOKUP($C30, 'Match Names'!$A$1:$D$22, 4, FALS"&amp;"E), ""!C3:R29"")), {4;10;16;22}, FALSE)), ""=-4"") + COUNTIF(ARRAYFORMULA(HLOOKUP($B30, IMPORTRANGE('Match Names'!$E$23, CONCAT(VLOOKUP($C30, 'Match Names'!$1:$22, 5, FALSE), ""!C3:R29"")), {5;10;15;20}, FALSE)), ""=-4"") + COUNTIF(ARRAYFORMULA(HLOOKUP($B"&amp;"30, IMPORTRANGE('Match Names'!$F$23, CONCAT(VLOOKUP($C30, 'Match Names'!$1:$22, 6, FALSE), ""!C3:R29"")), {4;10;16;22}, FALSE)), ""=-4"") + COUNTIF(ARRAYFORMULA(HLOOKUP($B30, IMPORTRANGE('Match Names'!$G$23, CONCAT(VLOOKUP($C30, 'Match Names'!$1:$22, 7, F"&amp;"ALSE), ""!C3:R29"")), {4;9;13;19}, FALSE)), ""=-4"") + COUNTIF(ARRAYFORMULA(HLOOKUP($B30, IMPORTRANGE('Match Names'!$H$23, CONCAT(VLOOKUP($C30, 'Match Names'!$1:$22, 8, FALSE), ""!C3:R29"")), {3;9;15;21}, FALSE)), ""=-4"")"),0.0)</f>
        <v>0</v>
      </c>
      <c r="H30" s="33">
        <f t="shared" si="1"/>
        <v>0.73</v>
      </c>
    </row>
    <row r="31">
      <c r="A31" s="31" t="s">
        <v>186</v>
      </c>
      <c r="B31" s="31" t="str">
        <f>VLOOKUP(CONCAT(A31, C31), 'Discord Username to Real Name'!C:D, 2, FALSE)</f>
        <v>audrey#4828</v>
      </c>
      <c r="C31" s="21" t="s">
        <v>27</v>
      </c>
      <c r="D31" s="32">
        <f>IFERROR(__xludf.DUMMYFUNCTION("(4 - COUNTIF(IFERROR(ARRAYFORMULA(HLOOKUP($B31, IMPORTRANGE('Prelim Rankings Unsorted'!$B$40, CONCAT(VLOOKUP($C31, 'Match Names'!$A$1:$D$22, 2, FALSE), ""!C3:R29"")), {5;10;16;22}, FALSE)), 'Player Overall Stats Unsorted'!$AA$9:$AA$12), ""=X"")) + (4 - CO"&amp;"UNTIF(IFERROR(ARRAYFORMULA(HLOOKUP($B31, IMPORTRANGE('Prelim Rankings Unsorted'!$B$41, CONCAT(VLOOKUP($C31, 'Match Names'!$A$1:$D$22, 3, FALSE), ""!C3:R29"")), {2;8;14;20}, FALSE)), 'Player Overall Stats Unsorted'!$AA$9:$AA$12), ""=X"")) + (4 - COUNTIF(IF"&amp;"ERROR(ARRAYFORMULA(HLOOKUP($B31, IMPORTRANGE('Prelim Rankings Unsorted'!$B$42, CONCAT(VLOOKUP($C31, 'Match Names'!$A$1:$D$22, 4, FALSE), ""!C3:R29"")), {4;10;16;22}, FALSE)), 'Player Overall Stats Unsorted'!$AA$9:$AA$12), ""=X"")) + (4 - COUNTIF(IFERROR(A"&amp;"RRAYFORMULA(HLOOKUP($B31, IMPORTRANGE('Match Names'!$E$23, CONCAT(VLOOKUP($C31, 'Match Names'!$1:$22, 5, FALSE), ""!C3:R29"")), {5;10;15;20}, FALSE)), 'Player Overall Stats Unsorted'!$AA$9:$AA$12), ""=X"")) + (4 - COUNTIF(IFERROR(ARRAYFORMULA(HLOOKUP($B31"&amp;", IMPORTRANGE('Match Names'!$F$23, CONCAT(VLOOKUP($C31, 'Match Names'!$1:$22, 6, FALSE), ""!C3:R29"")), {4;10;16;22}, FALSE)), 'Player Overall Stats Unsorted'!$AA$9:$AA$12), ""=X"")) + (4 - COUNTIF(IFERROR(ARRAYFORMULA(HLOOKUP($B31, IMPORTRANGE('Match Nam"&amp;"es'!$G$23, CONCAT(VLOOKUP($C31, 'Match Names'!$1:$22, 7, FALSE), ""!C3:R29"")), {4;9;13;19}, FALSE)), 'Player Overall Stats Unsorted'!$AA$9:$AA$12), ""=X"")) + (4 - COUNTIF(IFERROR(ARRAYFORMULA(HLOOKUP($B31, IMPORTRANGE('Match Names'!$H$23, CONCAT(VLOOKUP"&amp;"($C31, 'Match Names'!$1:$22, 8, FALSE), ""!C3:R29"")), {3;9;15;21}, FALSE)), 'Player Overall Stats Unsorted'!$AA$9:$AA$12), ""=X""))"),6.0)</f>
        <v>6</v>
      </c>
      <c r="E31" s="32">
        <f>IFERROR(__xludf.DUMMYFUNCTION("COUNTIF(ARRAYFORMULA(HLOOKUP($B31, IMPORTRANGE('Prelim Rankings Unsorted'!$B$40, CONCAT(VLOOKUP($C31, 'Match Names'!$A$1:$D$22, 2, FALSE), ""!C3:R29"")), {5;10;16;22}, FALSE)), ""=4"") + COUNTIF(ARRAYFORMULA(HLOOKUP($B31, IMPORTRANGE('Prelim Rankings Unso"&amp;"rted'!$B$41, CONCAT(VLOOKUP($C31, 'Match Names'!$A$1:$D$22, 3, FALSE), ""!C3:R29"")), {2;8;14;20}, FALSE)), ""=4"") + COUNTIF(ARRAYFORMULA(HLOOKUP($B31, IMPORTRANGE('Prelim Rankings Unsorted'!$B$42, CONCAT(VLOOKUP($C31, 'Match Names'!$A$1:$D$22, 4, FALSE)"&amp;", ""!C3:R29"")), {4;10;16;22}, FALSE)), ""=4"") + COUNTIF(ARRAYFORMULA(HLOOKUP($B31, IMPORTRANGE('Match Names'!$E$23, CONCAT(VLOOKUP($C31, 'Match Names'!$1:$22, 5, FALSE), ""!C3:R29"")), {5;10;15;20}, FALSE)), ""=4"") + COUNTIF(ARRAYFORMULA(HLOOKUP($B31, "&amp;"IMPORTRANGE('Match Names'!$F$23, CONCAT(VLOOKUP($C31, 'Match Names'!$1:$22, 6, FALSE), ""!C3:R29"")), {4;10;16;22}, FALSE)), ""=4"") + COUNTIF(ARRAYFORMULA(HLOOKUP($B31, IMPORTRANGE('Match Names'!$G$23, CONCAT(VLOOKUP($C31, 'Match Names'!$1:$22, 7, FALSE)"&amp;", ""!C3:R29"")), {4;9;13;19}, FALSE)), ""=4"") + COUNTIF(ARRAYFORMULA(HLOOKUP($B31, IMPORTRANGE('Match Names'!$H$23, CONCAT(VLOOKUP($C31, 'Match Names'!$1:$22, 8, FALSE), ""!C3:R29"")), {3;9;15;21}, FALSE)), ""=4"")"),0.0)</f>
        <v>0</v>
      </c>
      <c r="F31" s="32">
        <f>IFERROR(__xludf.DUMMYFUNCTION("COUNTIF(ARRAYFORMULA(HLOOKUP($B31, IMPORTRANGE('Prelim Rankings Unsorted'!$B$40, CONCAT(VLOOKUP($C31, 'Match Names'!$A$1:$D$22, 2, FALSE), ""!C3:R29"")), {5;10;16;22}, FALSE)), ""=0"") + COUNTIF(ARRAYFORMULA(HLOOKUP($B31, IMPORTRANGE('Prelim Rankings Unso"&amp;"rted'!$B$41, CONCAT(VLOOKUP($C31, 'Match Names'!$A$1:$D$22, 3, FALSE), ""!C3:R29"")), {2;8;14;20}, FALSE)), ""=0"") + COUNTIF(ARRAYFORMULA(HLOOKUP($B31, IMPORTRANGE('Prelim Rankings Unsorted'!$B$42, CONCAT(VLOOKUP($C31, 'Match Names'!$A$1:$D$22, 4, FALSE)"&amp;", ""!C3:R29"")), {4;10;16;22}, FALSE)), ""=0"") + COUNTIF(ARRAYFORMULA(HLOOKUP($B31, IMPORTRANGE('Match Names'!$E$23, CONCAT(VLOOKUP($C31, 'Match Names'!$1:$22, 5, FALSE), ""!C3:R29"")), {5;10;15;20}, FALSE)), ""=0"") + COUNTIF(ARRAYFORMULA(HLOOKUP($B31, "&amp;"IMPORTRANGE('Match Names'!$F$23, CONCAT(VLOOKUP($C31, 'Match Names'!$1:$22, 6, FALSE), ""!C3:R29"")), {4;10;16;22}, FALSE)), ""=0"") + COUNTIF(ARRAYFORMULA(HLOOKUP($B31, IMPORTRANGE('Match Names'!$G$23, CONCAT(VLOOKUP($C31, 'Match Names'!$1:$22, 7, FALSE)"&amp;", ""!C3:R29"")), {4;9;13;19}, FALSE)), ""=0"") + COUNTIF(ARRAYFORMULA(HLOOKUP($B31, IMPORTRANGE('Match Names'!$H$23, CONCAT(VLOOKUP($C31, 'Match Names'!$1:$22, 8, FALSE), ""!C3:R29"")), {3;9;15;21}, FALSE)), ""=0"")"),0.0)</f>
        <v>0</v>
      </c>
      <c r="G31" s="32">
        <f>IFERROR(__xludf.DUMMYFUNCTION("COUNTIF(ARRAYFORMULA(HLOOKUP($B31, IMPORTRANGE('Prelim Rankings Unsorted'!$B$40, CONCAT(VLOOKUP($C31, 'Match Names'!$A$1:$D$22, 2, FALSE), ""!C3:R29"")), {5;10;16;22}, FALSE)), ""=-4"") + COUNTIF(ARRAYFORMULA(HLOOKUP($B31, IMPORTRANGE('Prelim Rankings Uns"&amp;"orted'!$B$41, CONCAT(VLOOKUP($C31, 'Match Names'!$A$1:$D$22, 3, FALSE), ""!C3:R29"")), {2;8;14;20}, FALSE)), ""=-4"") + COUNTIF(ARRAYFORMULA(HLOOKUP($B31, IMPORTRANGE('Prelim Rankings Unsorted'!$B$42, CONCAT(VLOOKUP($C31, 'Match Names'!$A$1:$D$22, 4, FALS"&amp;"E), ""!C3:R29"")), {4;10;16;22}, FALSE)), ""=-4"") + COUNTIF(ARRAYFORMULA(HLOOKUP($B31, IMPORTRANGE('Match Names'!$E$23, CONCAT(VLOOKUP($C31, 'Match Names'!$1:$22, 5, FALSE), ""!C3:R29"")), {5;10;15;20}, FALSE)), ""=-4"") + COUNTIF(ARRAYFORMULA(HLOOKUP($B"&amp;"31, IMPORTRANGE('Match Names'!$F$23, CONCAT(VLOOKUP($C31, 'Match Names'!$1:$22, 6, FALSE), ""!C3:R29"")), {4;10;16;22}, FALSE)), ""=-4"") + COUNTIF(ARRAYFORMULA(HLOOKUP($B31, IMPORTRANGE('Match Names'!$G$23, CONCAT(VLOOKUP($C31, 'Match Names'!$1:$22, 7, F"&amp;"ALSE), ""!C3:R29"")), {4;9;13;19}, FALSE)), ""=-4"") + COUNTIF(ARRAYFORMULA(HLOOKUP($B31, IMPORTRANGE('Match Names'!$H$23, CONCAT(VLOOKUP($C31, 'Match Names'!$1:$22, 8, FALSE), ""!C3:R29"")), {3;9;15;21}, FALSE)), ""=-4"")"),0.0)</f>
        <v>0</v>
      </c>
      <c r="H31" s="33">
        <f t="shared" si="1"/>
        <v>0</v>
      </c>
    </row>
    <row r="32">
      <c r="A32" s="31" t="s">
        <v>104</v>
      </c>
      <c r="B32" s="31" t="str">
        <f>VLOOKUP(CONCAT(A32, C32), 'Discord Username to Real Name'!C:D, 2, FALSE)</f>
        <v>Logan L.#8589</v>
      </c>
      <c r="C32" s="21" t="s">
        <v>27</v>
      </c>
      <c r="D32" s="32">
        <f>IFERROR(__xludf.DUMMYFUNCTION("(4 - COUNTIF(IFERROR(ARRAYFORMULA(HLOOKUP($B32, IMPORTRANGE('Prelim Rankings Unsorted'!$B$40, CONCAT(VLOOKUP($C32, 'Match Names'!$A$1:$D$22, 2, FALSE), ""!C3:R29"")), {5;10;16;22}, FALSE)), 'Player Overall Stats Unsorted'!$AA$9:$AA$12), ""=X"")) + (4 - CO"&amp;"UNTIF(IFERROR(ARRAYFORMULA(HLOOKUP($B32, IMPORTRANGE('Prelim Rankings Unsorted'!$B$41, CONCAT(VLOOKUP($C32, 'Match Names'!$A$1:$D$22, 3, FALSE), ""!C3:R29"")), {2;8;14;20}, FALSE)), 'Player Overall Stats Unsorted'!$AA$9:$AA$12), ""=X"")) + (4 - COUNTIF(IF"&amp;"ERROR(ARRAYFORMULA(HLOOKUP($B32, IMPORTRANGE('Prelim Rankings Unsorted'!$B$42, CONCAT(VLOOKUP($C32, 'Match Names'!$A$1:$D$22, 4, FALSE), ""!C3:R29"")), {4;10;16;22}, FALSE)), 'Player Overall Stats Unsorted'!$AA$9:$AA$12), ""=X"")) + (4 - COUNTIF(IFERROR(A"&amp;"RRAYFORMULA(HLOOKUP($B32, IMPORTRANGE('Match Names'!$E$23, CONCAT(VLOOKUP($C32, 'Match Names'!$1:$22, 5, FALSE), ""!C3:R29"")), {5;10;15;20}, FALSE)), 'Player Overall Stats Unsorted'!$AA$9:$AA$12), ""=X"")) + (4 - COUNTIF(IFERROR(ARRAYFORMULA(HLOOKUP($B32"&amp;", IMPORTRANGE('Match Names'!$F$23, CONCAT(VLOOKUP($C32, 'Match Names'!$1:$22, 6, FALSE), ""!C3:R29"")), {4;10;16;22}, FALSE)), 'Player Overall Stats Unsorted'!$AA$9:$AA$12), ""=X"")) + (4 - COUNTIF(IFERROR(ARRAYFORMULA(HLOOKUP($B32, IMPORTRANGE('Match Nam"&amp;"es'!$G$23, CONCAT(VLOOKUP($C32, 'Match Names'!$1:$22, 7, FALSE), ""!C3:R29"")), {4;9;13;19}, FALSE)), 'Player Overall Stats Unsorted'!$AA$9:$AA$12), ""=X"")) + (4 - COUNTIF(IFERROR(ARRAYFORMULA(HLOOKUP($B32, IMPORTRANGE('Match Names'!$H$23, CONCAT(VLOOKUP"&amp;"($C32, 'Match Names'!$1:$22, 8, FALSE), ""!C3:R29"")), {3;9;15;21}, FALSE)), 'Player Overall Stats Unsorted'!$AA$9:$AA$12), ""=X""))"),22.0)</f>
        <v>22</v>
      </c>
      <c r="E32" s="32">
        <f>IFERROR(__xludf.DUMMYFUNCTION("COUNTIF(ARRAYFORMULA(HLOOKUP($B32, IMPORTRANGE('Prelim Rankings Unsorted'!$B$40, CONCAT(VLOOKUP($C32, 'Match Names'!$A$1:$D$22, 2, FALSE), ""!C3:R29"")), {5;10;16;22}, FALSE)), ""=4"") + COUNTIF(ARRAYFORMULA(HLOOKUP($B32, IMPORTRANGE('Prelim Rankings Unso"&amp;"rted'!$B$41, CONCAT(VLOOKUP($C32, 'Match Names'!$A$1:$D$22, 3, FALSE), ""!C3:R29"")), {2;8;14;20}, FALSE)), ""=4"") + COUNTIF(ARRAYFORMULA(HLOOKUP($B32, IMPORTRANGE('Prelim Rankings Unsorted'!$B$42, CONCAT(VLOOKUP($C32, 'Match Names'!$A$1:$D$22, 4, FALSE)"&amp;", ""!C3:R29"")), {4;10;16;22}, FALSE)), ""=4"") + COUNTIF(ARRAYFORMULA(HLOOKUP($B32, IMPORTRANGE('Match Names'!$E$23, CONCAT(VLOOKUP($C32, 'Match Names'!$1:$22, 5, FALSE), ""!C3:R29"")), {5;10;15;20}, FALSE)), ""=4"") + COUNTIF(ARRAYFORMULA(HLOOKUP($B32, "&amp;"IMPORTRANGE('Match Names'!$F$23, CONCAT(VLOOKUP($C32, 'Match Names'!$1:$22, 6, FALSE), ""!C3:R29"")), {4;10;16;22}, FALSE)), ""=4"") + COUNTIF(ARRAYFORMULA(HLOOKUP($B32, IMPORTRANGE('Match Names'!$G$23, CONCAT(VLOOKUP($C32, 'Match Names'!$1:$22, 7, FALSE)"&amp;", ""!C3:R29"")), {4;9;13;19}, FALSE)), ""=4"") + COUNTIF(ARRAYFORMULA(HLOOKUP($B32, IMPORTRANGE('Match Names'!$H$23, CONCAT(VLOOKUP($C32, 'Match Names'!$1:$22, 8, FALSE), ""!C3:R29"")), {3;9;15;21}, FALSE)), ""=4"")"),2.0)</f>
        <v>2</v>
      </c>
      <c r="F32" s="32">
        <f>IFERROR(__xludf.DUMMYFUNCTION("COUNTIF(ARRAYFORMULA(HLOOKUP($B32, IMPORTRANGE('Prelim Rankings Unsorted'!$B$40, CONCAT(VLOOKUP($C32, 'Match Names'!$A$1:$D$22, 2, FALSE), ""!C3:R29"")), {5;10;16;22}, FALSE)), ""=0"") + COUNTIF(ARRAYFORMULA(HLOOKUP($B32, IMPORTRANGE('Prelim Rankings Unso"&amp;"rted'!$B$41, CONCAT(VLOOKUP($C32, 'Match Names'!$A$1:$D$22, 3, FALSE), ""!C3:R29"")), {2;8;14;20}, FALSE)), ""=0"") + COUNTIF(ARRAYFORMULA(HLOOKUP($B32, IMPORTRANGE('Prelim Rankings Unsorted'!$B$42, CONCAT(VLOOKUP($C32, 'Match Names'!$A$1:$D$22, 4, FALSE)"&amp;", ""!C3:R29"")), {4;10;16;22}, FALSE)), ""=0"") + COUNTIF(ARRAYFORMULA(HLOOKUP($B32, IMPORTRANGE('Match Names'!$E$23, CONCAT(VLOOKUP($C32, 'Match Names'!$1:$22, 5, FALSE), ""!C3:R29"")), {5;10;15;20}, FALSE)), ""=0"") + COUNTIF(ARRAYFORMULA(HLOOKUP($B32, "&amp;"IMPORTRANGE('Match Names'!$F$23, CONCAT(VLOOKUP($C32, 'Match Names'!$1:$22, 6, FALSE), ""!C3:R29"")), {4;10;16;22}, FALSE)), ""=0"") + COUNTIF(ARRAYFORMULA(HLOOKUP($B32, IMPORTRANGE('Match Names'!$G$23, CONCAT(VLOOKUP($C32, 'Match Names'!$1:$22, 7, FALSE)"&amp;", ""!C3:R29"")), {4;9;13;19}, FALSE)), ""=0"") + COUNTIF(ARRAYFORMULA(HLOOKUP($B32, IMPORTRANGE('Match Names'!$H$23, CONCAT(VLOOKUP($C32, 'Match Names'!$1:$22, 8, FALSE), ""!C3:R29"")), {3;9;15;21}, FALSE)), ""=0"")"),2.0)</f>
        <v>2</v>
      </c>
      <c r="G32" s="32">
        <f>IFERROR(__xludf.DUMMYFUNCTION("COUNTIF(ARRAYFORMULA(HLOOKUP($B32, IMPORTRANGE('Prelim Rankings Unsorted'!$B$40, CONCAT(VLOOKUP($C32, 'Match Names'!$A$1:$D$22, 2, FALSE), ""!C3:R29"")), {5;10;16;22}, FALSE)), ""=-4"") + COUNTIF(ARRAYFORMULA(HLOOKUP($B32, IMPORTRANGE('Prelim Rankings Uns"&amp;"orted'!$B$41, CONCAT(VLOOKUP($C32, 'Match Names'!$A$1:$D$22, 3, FALSE), ""!C3:R29"")), {2;8;14;20}, FALSE)), ""=-4"") + COUNTIF(ARRAYFORMULA(HLOOKUP($B32, IMPORTRANGE('Prelim Rankings Unsorted'!$B$42, CONCAT(VLOOKUP($C32, 'Match Names'!$A$1:$D$22, 4, FALS"&amp;"E), ""!C3:R29"")), {4;10;16;22}, FALSE)), ""=-4"") + COUNTIF(ARRAYFORMULA(HLOOKUP($B32, IMPORTRANGE('Match Names'!$E$23, CONCAT(VLOOKUP($C32, 'Match Names'!$1:$22, 5, FALSE), ""!C3:R29"")), {5;10;15;20}, FALSE)), ""=-4"") + COUNTIF(ARRAYFORMULA(HLOOKUP($B"&amp;"32, IMPORTRANGE('Match Names'!$F$23, CONCAT(VLOOKUP($C32, 'Match Names'!$1:$22, 6, FALSE), ""!C3:R29"")), {4;10;16;22}, FALSE)), ""=-4"") + COUNTIF(ARRAYFORMULA(HLOOKUP($B32, IMPORTRANGE('Match Names'!$G$23, CONCAT(VLOOKUP($C32, 'Match Names'!$1:$22, 7, F"&amp;"ALSE), ""!C3:R29"")), {4;9;13;19}, FALSE)), ""=-4"") + COUNTIF(ARRAYFORMULA(HLOOKUP($B32, IMPORTRANGE('Match Names'!$H$23, CONCAT(VLOOKUP($C32, 'Match Names'!$1:$22, 8, FALSE), ""!C3:R29"")), {3;9;15;21}, FALSE)), ""=-4"")"),0.0)</f>
        <v>0</v>
      </c>
      <c r="H32" s="33">
        <f t="shared" si="1"/>
        <v>1.45</v>
      </c>
    </row>
    <row r="33">
      <c r="A33" s="31" t="s">
        <v>45</v>
      </c>
      <c r="B33" s="31" t="str">
        <f>VLOOKUP(CONCAT(A33, C33), 'Discord Username to Real Name'!C:D, 2, FALSE)</f>
        <v>(Stitch)^2#3169</v>
      </c>
      <c r="C33" s="31" t="s">
        <v>20</v>
      </c>
      <c r="D33" s="32">
        <f>IFERROR(__xludf.DUMMYFUNCTION("(4 - COUNTIF(IFERROR(ARRAYFORMULA(HLOOKUP($B33, IMPORTRANGE('Prelim Rankings Unsorted'!$B$40, CONCAT(VLOOKUP($C33, 'Match Names'!$A$1:$D$22, 2, FALSE), ""!C3:R29"")), {5;10;16;22}, FALSE)), 'Player Overall Stats Unsorted'!$AA$9:$AA$12), ""=X"")) + (4 - CO"&amp;"UNTIF(IFERROR(ARRAYFORMULA(HLOOKUP($B33, IMPORTRANGE('Prelim Rankings Unsorted'!$B$41, CONCAT(VLOOKUP($C33, 'Match Names'!$A$1:$D$22, 3, FALSE), ""!C3:R29"")), {2;8;14;20}, FALSE)), 'Player Overall Stats Unsorted'!$AA$9:$AA$12), ""=X"")) + (4 - COUNTIF(IF"&amp;"ERROR(ARRAYFORMULA(HLOOKUP($B33, IMPORTRANGE('Prelim Rankings Unsorted'!$B$42, CONCAT(VLOOKUP($C33, 'Match Names'!$A$1:$D$22, 4, FALSE), ""!C3:R29"")), {4;10;16;22}, FALSE)), 'Player Overall Stats Unsorted'!$AA$9:$AA$12), ""=X"")) + (4 - COUNTIF(IFERROR(A"&amp;"RRAYFORMULA(HLOOKUP($B33, IMPORTRANGE('Match Names'!$E$23, CONCAT(VLOOKUP($C33, 'Match Names'!$1:$22, 5, FALSE), ""!C3:R29"")), {5;10;15;20}, FALSE)), 'Player Overall Stats Unsorted'!$AA$9:$AA$12), ""=X"")) + (4 - COUNTIF(IFERROR(ARRAYFORMULA(HLOOKUP($B33"&amp;", IMPORTRANGE('Match Names'!$F$23, CONCAT(VLOOKUP($C33, 'Match Names'!$1:$22, 6, FALSE), ""!C3:R29"")), {4;10;16;22}, FALSE)), 'Player Overall Stats Unsorted'!$AA$9:$AA$12), ""=X"")) + (4 - COUNTIF(IFERROR(ARRAYFORMULA(HLOOKUP($B33, IMPORTRANGE('Match Nam"&amp;"es'!$G$23, CONCAT(VLOOKUP($C33, 'Match Names'!$1:$22, 7, FALSE), ""!C3:R29"")), {4;9;13;19}, FALSE)), 'Player Overall Stats Unsorted'!$AA$9:$AA$12), ""=X"")) + (4 - COUNTIF(IFERROR(ARRAYFORMULA(HLOOKUP($B33, IMPORTRANGE('Match Names'!$H$23, CONCAT(VLOOKUP"&amp;"($C33, 'Match Names'!$1:$22, 8, FALSE), ""!C3:R29"")), {3;9;15;21}, FALSE)), 'Player Overall Stats Unsorted'!$AA$9:$AA$12), ""=X""))"),24.0)</f>
        <v>24</v>
      </c>
      <c r="E33" s="32">
        <f>IFERROR(__xludf.DUMMYFUNCTION("COUNTIF(ARRAYFORMULA(HLOOKUP($B33, IMPORTRANGE('Prelim Rankings Unsorted'!$B$40, CONCAT(VLOOKUP($C33, 'Match Names'!$A$1:$D$22, 2, FALSE), ""!C3:R29"")), {5;10;16;22}, FALSE)), ""=4"") + COUNTIF(ARRAYFORMULA(HLOOKUP($B33, IMPORTRANGE('Prelim Rankings Unso"&amp;"rted'!$B$41, CONCAT(VLOOKUP($C33, 'Match Names'!$A$1:$D$22, 3, FALSE), ""!C3:R29"")), {2;8;14;20}, FALSE)), ""=4"") + COUNTIF(ARRAYFORMULA(HLOOKUP($B33, IMPORTRANGE('Prelim Rankings Unsorted'!$B$42, CONCAT(VLOOKUP($C33, 'Match Names'!$A$1:$D$22, 4, FALSE)"&amp;", ""!C3:R29"")), {4;10;16;22}, FALSE)), ""=4"") + COUNTIF(ARRAYFORMULA(HLOOKUP($B33, IMPORTRANGE('Match Names'!$E$23, CONCAT(VLOOKUP($C33, 'Match Names'!$1:$22, 5, FALSE), ""!C3:R29"")), {5;10;15;20}, FALSE)), ""=4"") + COUNTIF(ARRAYFORMULA(HLOOKUP($B33, "&amp;"IMPORTRANGE('Match Names'!$F$23, CONCAT(VLOOKUP($C33, 'Match Names'!$1:$22, 6, FALSE), ""!C3:R29"")), {4;10;16;22}, FALSE)), ""=4"") + COUNTIF(ARRAYFORMULA(HLOOKUP($B33, IMPORTRANGE('Match Names'!$G$23, CONCAT(VLOOKUP($C33, 'Match Names'!$1:$22, 7, FALSE)"&amp;", ""!C3:R29"")), {4;9;13;19}, FALSE)), ""=4"") + COUNTIF(ARRAYFORMULA(HLOOKUP($B33, IMPORTRANGE('Match Names'!$H$23, CONCAT(VLOOKUP($C33, 'Match Names'!$1:$22, 8, FALSE), ""!C3:R29"")), {3;9;15;21}, FALSE)), ""=4"")"),11.0)</f>
        <v>11</v>
      </c>
      <c r="F33" s="32">
        <f>IFERROR(__xludf.DUMMYFUNCTION("COUNTIF(ARRAYFORMULA(HLOOKUP($B33, IMPORTRANGE('Prelim Rankings Unsorted'!$B$40, CONCAT(VLOOKUP($C33, 'Match Names'!$A$1:$D$22, 2, FALSE), ""!C3:R29"")), {5;10;16;22}, FALSE)), ""=0"") + COUNTIF(ARRAYFORMULA(HLOOKUP($B33, IMPORTRANGE('Prelim Rankings Unso"&amp;"rted'!$B$41, CONCAT(VLOOKUP($C33, 'Match Names'!$A$1:$D$22, 3, FALSE), ""!C3:R29"")), {2;8;14;20}, FALSE)), ""=0"") + COUNTIF(ARRAYFORMULA(HLOOKUP($B33, IMPORTRANGE('Prelim Rankings Unsorted'!$B$42, CONCAT(VLOOKUP($C33, 'Match Names'!$A$1:$D$22, 4, FALSE)"&amp;", ""!C3:R29"")), {4;10;16;22}, FALSE)), ""=0"") + COUNTIF(ARRAYFORMULA(HLOOKUP($B33, IMPORTRANGE('Match Names'!$E$23, CONCAT(VLOOKUP($C33, 'Match Names'!$1:$22, 5, FALSE), ""!C3:R29"")), {5;10;15;20}, FALSE)), ""=0"") + COUNTIF(ARRAYFORMULA(HLOOKUP($B33, "&amp;"IMPORTRANGE('Match Names'!$F$23, CONCAT(VLOOKUP($C33, 'Match Names'!$1:$22, 6, FALSE), ""!C3:R29"")), {4;10;16;22}, FALSE)), ""=0"") + COUNTIF(ARRAYFORMULA(HLOOKUP($B33, IMPORTRANGE('Match Names'!$G$23, CONCAT(VLOOKUP($C33, 'Match Names'!$1:$22, 7, FALSE)"&amp;", ""!C3:R29"")), {4;9;13;19}, FALSE)), ""=0"") + COUNTIF(ARRAYFORMULA(HLOOKUP($B33, IMPORTRANGE('Match Names'!$H$23, CONCAT(VLOOKUP($C33, 'Match Names'!$1:$22, 8, FALSE), ""!C3:R29"")), {3;9;15;21}, FALSE)), ""=0"")"),4.0)</f>
        <v>4</v>
      </c>
      <c r="G33" s="32">
        <f>IFERROR(__xludf.DUMMYFUNCTION("COUNTIF(ARRAYFORMULA(HLOOKUP($B33, IMPORTRANGE('Prelim Rankings Unsorted'!$B$40, CONCAT(VLOOKUP($C33, 'Match Names'!$A$1:$D$22, 2, FALSE), ""!C3:R29"")), {5;10;16;22}, FALSE)), ""=-4"") + COUNTIF(ARRAYFORMULA(HLOOKUP($B33, IMPORTRANGE('Prelim Rankings Uns"&amp;"orted'!$B$41, CONCAT(VLOOKUP($C33, 'Match Names'!$A$1:$D$22, 3, FALSE), ""!C3:R29"")), {2;8;14;20}, FALSE)), ""=-4"") + COUNTIF(ARRAYFORMULA(HLOOKUP($B33, IMPORTRANGE('Prelim Rankings Unsorted'!$B$42, CONCAT(VLOOKUP($C33, 'Match Names'!$A$1:$D$22, 4, FALS"&amp;"E), ""!C3:R29"")), {4;10;16;22}, FALSE)), ""=-4"") + COUNTIF(ARRAYFORMULA(HLOOKUP($B33, IMPORTRANGE('Match Names'!$E$23, CONCAT(VLOOKUP($C33, 'Match Names'!$1:$22, 5, FALSE), ""!C3:R29"")), {5;10;15;20}, FALSE)), ""=-4"") + COUNTIF(ARRAYFORMULA(HLOOKUP($B"&amp;"33, IMPORTRANGE('Match Names'!$F$23, CONCAT(VLOOKUP($C33, 'Match Names'!$1:$22, 6, FALSE), ""!C3:R29"")), {4;10;16;22}, FALSE)), ""=-4"") + COUNTIF(ARRAYFORMULA(HLOOKUP($B33, IMPORTRANGE('Match Names'!$G$23, CONCAT(VLOOKUP($C33, 'Match Names'!$1:$22, 7, F"&amp;"ALSE), ""!C3:R29"")), {4;9;13;19}, FALSE)), ""=-4"") + COUNTIF(ARRAYFORMULA(HLOOKUP($B33, IMPORTRANGE('Match Names'!$H$23, CONCAT(VLOOKUP($C33, 'Match Names'!$1:$22, 8, FALSE), ""!C3:R29"")), {3;9;15;21}, FALSE)), ""=-4"")"),0.0)</f>
        <v>0</v>
      </c>
      <c r="H33" s="33">
        <f t="shared" si="1"/>
        <v>7.33</v>
      </c>
    </row>
    <row r="34">
      <c r="A34" s="31" t="s">
        <v>108</v>
      </c>
      <c r="B34" s="31" t="str">
        <f>VLOOKUP(CONCAT(A34, C34), 'Discord Username to Real Name'!C:D, 2, FALSE)</f>
        <v>Oshimimers#4758</v>
      </c>
      <c r="C34" s="31" t="s">
        <v>20</v>
      </c>
      <c r="D34" s="32">
        <f>IFERROR(__xludf.DUMMYFUNCTION("(4 - COUNTIF(IFERROR(ARRAYFORMULA(HLOOKUP($B34, IMPORTRANGE('Prelim Rankings Unsorted'!$B$40, CONCAT(VLOOKUP($C34, 'Match Names'!$A$1:$D$22, 2, FALSE), ""!C3:R29"")), {5;10;16;22}, FALSE)), 'Player Overall Stats Unsorted'!$AA$9:$AA$12), ""=X"")) + (4 - CO"&amp;"UNTIF(IFERROR(ARRAYFORMULA(HLOOKUP($B34, IMPORTRANGE('Prelim Rankings Unsorted'!$B$41, CONCAT(VLOOKUP($C34, 'Match Names'!$A$1:$D$22, 3, FALSE), ""!C3:R29"")), {2;8;14;20}, FALSE)), 'Player Overall Stats Unsorted'!$AA$9:$AA$12), ""=X"")) + (4 - COUNTIF(IF"&amp;"ERROR(ARRAYFORMULA(HLOOKUP($B34, IMPORTRANGE('Prelim Rankings Unsorted'!$B$42, CONCAT(VLOOKUP($C34, 'Match Names'!$A$1:$D$22, 4, FALSE), ""!C3:R29"")), {4;10;16;22}, FALSE)), 'Player Overall Stats Unsorted'!$AA$9:$AA$12), ""=X"")) + (4 - COUNTIF(IFERROR(A"&amp;"RRAYFORMULA(HLOOKUP($B34, IMPORTRANGE('Match Names'!$E$23, CONCAT(VLOOKUP($C34, 'Match Names'!$1:$22, 5, FALSE), ""!C3:R29"")), {5;10;15;20}, FALSE)), 'Player Overall Stats Unsorted'!$AA$9:$AA$12), ""=X"")) + (4 - COUNTIF(IFERROR(ARRAYFORMULA(HLOOKUP($B34"&amp;", IMPORTRANGE('Match Names'!$F$23, CONCAT(VLOOKUP($C34, 'Match Names'!$1:$22, 6, FALSE), ""!C3:R29"")), {4;10;16;22}, FALSE)), 'Player Overall Stats Unsorted'!$AA$9:$AA$12), ""=X"")) + (4 - COUNTIF(IFERROR(ARRAYFORMULA(HLOOKUP($B34, IMPORTRANGE('Match Nam"&amp;"es'!$G$23, CONCAT(VLOOKUP($C34, 'Match Names'!$1:$22, 7, FALSE), ""!C3:R29"")), {4;9;13;19}, FALSE)), 'Player Overall Stats Unsorted'!$AA$9:$AA$12), ""=X"")) + (4 - COUNTIF(IFERROR(ARRAYFORMULA(HLOOKUP($B34, IMPORTRANGE('Match Names'!$H$23, CONCAT(VLOOKUP"&amp;"($C34, 'Match Names'!$1:$22, 8, FALSE), ""!C3:R29"")), {3;9;15;21}, FALSE)), 'Player Overall Stats Unsorted'!$AA$9:$AA$12), ""=X""))"),24.0)</f>
        <v>24</v>
      </c>
      <c r="E34" s="32">
        <f>IFERROR(__xludf.DUMMYFUNCTION("COUNTIF(ARRAYFORMULA(HLOOKUP($B34, IMPORTRANGE('Prelim Rankings Unsorted'!$B$40, CONCAT(VLOOKUP($C34, 'Match Names'!$A$1:$D$22, 2, FALSE), ""!C3:R29"")), {5;10;16;22}, FALSE)), ""=4"") + COUNTIF(ARRAYFORMULA(HLOOKUP($B34, IMPORTRANGE('Prelim Rankings Unso"&amp;"rted'!$B$41, CONCAT(VLOOKUP($C34, 'Match Names'!$A$1:$D$22, 3, FALSE), ""!C3:R29"")), {2;8;14;20}, FALSE)), ""=4"") + COUNTIF(ARRAYFORMULA(HLOOKUP($B34, IMPORTRANGE('Prelim Rankings Unsorted'!$B$42, CONCAT(VLOOKUP($C34, 'Match Names'!$A$1:$D$22, 4, FALSE)"&amp;", ""!C3:R29"")), {4;10;16;22}, FALSE)), ""=4"") + COUNTIF(ARRAYFORMULA(HLOOKUP($B34, IMPORTRANGE('Match Names'!$E$23, CONCAT(VLOOKUP($C34, 'Match Names'!$1:$22, 5, FALSE), ""!C3:R29"")), {5;10;15;20}, FALSE)), ""=4"") + COUNTIF(ARRAYFORMULA(HLOOKUP($B34, "&amp;"IMPORTRANGE('Match Names'!$F$23, CONCAT(VLOOKUP($C34, 'Match Names'!$1:$22, 6, FALSE), ""!C3:R29"")), {4;10;16;22}, FALSE)), ""=4"") + COUNTIF(ARRAYFORMULA(HLOOKUP($B34, IMPORTRANGE('Match Names'!$G$23, CONCAT(VLOOKUP($C34, 'Match Names'!$1:$22, 7, FALSE)"&amp;", ""!C3:R29"")), {4;9;13;19}, FALSE)), ""=4"") + COUNTIF(ARRAYFORMULA(HLOOKUP($B34, IMPORTRANGE('Match Names'!$H$23, CONCAT(VLOOKUP($C34, 'Match Names'!$1:$22, 8, FALSE), ""!C3:R29"")), {3;9;15;21}, FALSE)), ""=4"")"),0.0)</f>
        <v>0</v>
      </c>
      <c r="F34" s="32">
        <f>IFERROR(__xludf.DUMMYFUNCTION("COUNTIF(ARRAYFORMULA(HLOOKUP($B34, IMPORTRANGE('Prelim Rankings Unsorted'!$B$40, CONCAT(VLOOKUP($C34, 'Match Names'!$A$1:$D$22, 2, FALSE), ""!C3:R29"")), {5;10;16;22}, FALSE)), ""=0"") + COUNTIF(ARRAYFORMULA(HLOOKUP($B34, IMPORTRANGE('Prelim Rankings Unso"&amp;"rted'!$B$41, CONCAT(VLOOKUP($C34, 'Match Names'!$A$1:$D$22, 3, FALSE), ""!C3:R29"")), {2;8;14;20}, FALSE)), ""=0"") + COUNTIF(ARRAYFORMULA(HLOOKUP($B34, IMPORTRANGE('Prelim Rankings Unsorted'!$B$42, CONCAT(VLOOKUP($C34, 'Match Names'!$A$1:$D$22, 4, FALSE)"&amp;", ""!C3:R29"")), {4;10;16;22}, FALSE)), ""=0"") + COUNTIF(ARRAYFORMULA(HLOOKUP($B34, IMPORTRANGE('Match Names'!$E$23, CONCAT(VLOOKUP($C34, 'Match Names'!$1:$22, 5, FALSE), ""!C3:R29"")), {5;10;15;20}, FALSE)), ""=0"") + COUNTIF(ARRAYFORMULA(HLOOKUP($B34, "&amp;"IMPORTRANGE('Match Names'!$F$23, CONCAT(VLOOKUP($C34, 'Match Names'!$1:$22, 6, FALSE), ""!C3:R29"")), {4;10;16;22}, FALSE)), ""=0"") + COUNTIF(ARRAYFORMULA(HLOOKUP($B34, IMPORTRANGE('Match Names'!$G$23, CONCAT(VLOOKUP($C34, 'Match Names'!$1:$22, 7, FALSE)"&amp;", ""!C3:R29"")), {4;9;13;19}, FALSE)), ""=0"") + COUNTIF(ARRAYFORMULA(HLOOKUP($B34, IMPORTRANGE('Match Names'!$H$23, CONCAT(VLOOKUP($C34, 'Match Names'!$1:$22, 8, FALSE), ""!C3:R29"")), {3;9;15;21}, FALSE)), ""=0"")"),0.0)</f>
        <v>0</v>
      </c>
      <c r="G34" s="32">
        <f>IFERROR(__xludf.DUMMYFUNCTION("COUNTIF(ARRAYFORMULA(HLOOKUP($B34, IMPORTRANGE('Prelim Rankings Unsorted'!$B$40, CONCAT(VLOOKUP($C34, 'Match Names'!$A$1:$D$22, 2, FALSE), ""!C3:R29"")), {5;10;16;22}, FALSE)), ""=-4"") + COUNTIF(ARRAYFORMULA(HLOOKUP($B34, IMPORTRANGE('Prelim Rankings Uns"&amp;"orted'!$B$41, CONCAT(VLOOKUP($C34, 'Match Names'!$A$1:$D$22, 3, FALSE), ""!C3:R29"")), {2;8;14;20}, FALSE)), ""=-4"") + COUNTIF(ARRAYFORMULA(HLOOKUP($B34, IMPORTRANGE('Prelim Rankings Unsorted'!$B$42, CONCAT(VLOOKUP($C34, 'Match Names'!$A$1:$D$22, 4, FALS"&amp;"E), ""!C3:R29"")), {4;10;16;22}, FALSE)), ""=-4"") + COUNTIF(ARRAYFORMULA(HLOOKUP($B34, IMPORTRANGE('Match Names'!$E$23, CONCAT(VLOOKUP($C34, 'Match Names'!$1:$22, 5, FALSE), ""!C3:R29"")), {5;10;15;20}, FALSE)), ""=-4"") + COUNTIF(ARRAYFORMULA(HLOOKUP($B"&amp;"34, IMPORTRANGE('Match Names'!$F$23, CONCAT(VLOOKUP($C34, 'Match Names'!$1:$22, 6, FALSE), ""!C3:R29"")), {4;10;16;22}, FALSE)), ""=-4"") + COUNTIF(ARRAYFORMULA(HLOOKUP($B34, IMPORTRANGE('Match Names'!$G$23, CONCAT(VLOOKUP($C34, 'Match Names'!$1:$22, 7, F"&amp;"ALSE), ""!C3:R29"")), {4;9;13;19}, FALSE)), ""=-4"") + COUNTIF(ARRAYFORMULA(HLOOKUP($B34, IMPORTRANGE('Match Names'!$H$23, CONCAT(VLOOKUP($C34, 'Match Names'!$1:$22, 8, FALSE), ""!C3:R29"")), {3;9;15;21}, FALSE)), ""=-4"")"),0.0)</f>
        <v>0</v>
      </c>
      <c r="H34" s="33">
        <f t="shared" si="1"/>
        <v>0</v>
      </c>
    </row>
    <row r="35">
      <c r="A35" s="31" t="s">
        <v>183</v>
      </c>
      <c r="B35" s="31" t="str">
        <f>VLOOKUP(CONCAT(A35, C35), 'Discord Username to Real Name'!C:D, 2, FALSE)</f>
        <v>Paradoxygen#5753</v>
      </c>
      <c r="C35" s="31" t="s">
        <v>20</v>
      </c>
      <c r="D35" s="32">
        <f>IFERROR(__xludf.DUMMYFUNCTION("(4 - COUNTIF(IFERROR(ARRAYFORMULA(HLOOKUP($B35, IMPORTRANGE('Prelim Rankings Unsorted'!$B$40, CONCAT(VLOOKUP($C35, 'Match Names'!$A$1:$D$22, 2, FALSE), ""!C3:R29"")), {5;10;16;22}, FALSE)), 'Player Overall Stats Unsorted'!$AA$9:$AA$12), ""=X"")) + (4 - CO"&amp;"UNTIF(IFERROR(ARRAYFORMULA(HLOOKUP($B35, IMPORTRANGE('Prelim Rankings Unsorted'!$B$41, CONCAT(VLOOKUP($C35, 'Match Names'!$A$1:$D$22, 3, FALSE), ""!C3:R29"")), {2;8;14;20}, FALSE)), 'Player Overall Stats Unsorted'!$AA$9:$AA$12), ""=X"")) + (4 - COUNTIF(IF"&amp;"ERROR(ARRAYFORMULA(HLOOKUP($B35, IMPORTRANGE('Prelim Rankings Unsorted'!$B$42, CONCAT(VLOOKUP($C35, 'Match Names'!$A$1:$D$22, 4, FALSE), ""!C3:R29"")), {4;10;16;22}, FALSE)), 'Player Overall Stats Unsorted'!$AA$9:$AA$12), ""=X"")) + (4 - COUNTIF(IFERROR(A"&amp;"RRAYFORMULA(HLOOKUP($B35, IMPORTRANGE('Match Names'!$E$23, CONCAT(VLOOKUP($C35, 'Match Names'!$1:$22, 5, FALSE), ""!C3:R29"")), {5;10;15;20}, FALSE)), 'Player Overall Stats Unsorted'!$AA$9:$AA$12), ""=X"")) + (4 - COUNTIF(IFERROR(ARRAYFORMULA(HLOOKUP($B35"&amp;", IMPORTRANGE('Match Names'!$F$23, CONCAT(VLOOKUP($C35, 'Match Names'!$1:$22, 6, FALSE), ""!C3:R29"")), {4;10;16;22}, FALSE)), 'Player Overall Stats Unsorted'!$AA$9:$AA$12), ""=X"")) + (4 - COUNTIF(IFERROR(ARRAYFORMULA(HLOOKUP($B35, IMPORTRANGE('Match Nam"&amp;"es'!$G$23, CONCAT(VLOOKUP($C35, 'Match Names'!$1:$22, 7, FALSE), ""!C3:R29"")), {4;9;13;19}, FALSE)), 'Player Overall Stats Unsorted'!$AA$9:$AA$12), ""=X"")) + (4 - COUNTIF(IFERROR(ARRAYFORMULA(HLOOKUP($B35, IMPORTRANGE('Match Names'!$H$23, CONCAT(VLOOKUP"&amp;"($C35, 'Match Names'!$1:$22, 8, FALSE), ""!C3:R29"")), {3;9;15;21}, FALSE)), 'Player Overall Stats Unsorted'!$AA$9:$AA$12), ""=X""))"),8.0)</f>
        <v>8</v>
      </c>
      <c r="E35" s="32">
        <f>IFERROR(__xludf.DUMMYFUNCTION("COUNTIF(ARRAYFORMULA(HLOOKUP($B35, IMPORTRANGE('Prelim Rankings Unsorted'!$B$40, CONCAT(VLOOKUP($C35, 'Match Names'!$A$1:$D$22, 2, FALSE), ""!C3:R29"")), {5;10;16;22}, FALSE)), ""=4"") + COUNTIF(ARRAYFORMULA(HLOOKUP($B35, IMPORTRANGE('Prelim Rankings Unso"&amp;"rted'!$B$41, CONCAT(VLOOKUP($C35, 'Match Names'!$A$1:$D$22, 3, FALSE), ""!C3:R29"")), {2;8;14;20}, FALSE)), ""=4"") + COUNTIF(ARRAYFORMULA(HLOOKUP($B35, IMPORTRANGE('Prelim Rankings Unsorted'!$B$42, CONCAT(VLOOKUP($C35, 'Match Names'!$A$1:$D$22, 4, FALSE)"&amp;", ""!C3:R29"")), {4;10;16;22}, FALSE)), ""=4"") + COUNTIF(ARRAYFORMULA(HLOOKUP($B35, IMPORTRANGE('Match Names'!$E$23, CONCAT(VLOOKUP($C35, 'Match Names'!$1:$22, 5, FALSE), ""!C3:R29"")), {5;10;15;20}, FALSE)), ""=4"") + COUNTIF(ARRAYFORMULA(HLOOKUP($B35, "&amp;"IMPORTRANGE('Match Names'!$F$23, CONCAT(VLOOKUP($C35, 'Match Names'!$1:$22, 6, FALSE), ""!C3:R29"")), {4;10;16;22}, FALSE)), ""=4"") + COUNTIF(ARRAYFORMULA(HLOOKUP($B35, IMPORTRANGE('Match Names'!$G$23, CONCAT(VLOOKUP($C35, 'Match Names'!$1:$22, 7, FALSE)"&amp;", ""!C3:R29"")), {4;9;13;19}, FALSE)), ""=4"") + COUNTIF(ARRAYFORMULA(HLOOKUP($B35, IMPORTRANGE('Match Names'!$H$23, CONCAT(VLOOKUP($C35, 'Match Names'!$1:$22, 8, FALSE), ""!C3:R29"")), {3;9;15;21}, FALSE)), ""=4"")"),0.0)</f>
        <v>0</v>
      </c>
      <c r="F35" s="32">
        <f>IFERROR(__xludf.DUMMYFUNCTION("COUNTIF(ARRAYFORMULA(HLOOKUP($B35, IMPORTRANGE('Prelim Rankings Unsorted'!$B$40, CONCAT(VLOOKUP($C35, 'Match Names'!$A$1:$D$22, 2, FALSE), ""!C3:R29"")), {5;10;16;22}, FALSE)), ""=0"") + COUNTIF(ARRAYFORMULA(HLOOKUP($B35, IMPORTRANGE('Prelim Rankings Unso"&amp;"rted'!$B$41, CONCAT(VLOOKUP($C35, 'Match Names'!$A$1:$D$22, 3, FALSE), ""!C3:R29"")), {2;8;14;20}, FALSE)), ""=0"") + COUNTIF(ARRAYFORMULA(HLOOKUP($B35, IMPORTRANGE('Prelim Rankings Unsorted'!$B$42, CONCAT(VLOOKUP($C35, 'Match Names'!$A$1:$D$22, 4, FALSE)"&amp;", ""!C3:R29"")), {4;10;16;22}, FALSE)), ""=0"") + COUNTIF(ARRAYFORMULA(HLOOKUP($B35, IMPORTRANGE('Match Names'!$E$23, CONCAT(VLOOKUP($C35, 'Match Names'!$1:$22, 5, FALSE), ""!C3:R29"")), {5;10;15;20}, FALSE)), ""=0"") + COUNTIF(ARRAYFORMULA(HLOOKUP($B35, "&amp;"IMPORTRANGE('Match Names'!$F$23, CONCAT(VLOOKUP($C35, 'Match Names'!$1:$22, 6, FALSE), ""!C3:R29"")), {4;10;16;22}, FALSE)), ""=0"") + COUNTIF(ARRAYFORMULA(HLOOKUP($B35, IMPORTRANGE('Match Names'!$G$23, CONCAT(VLOOKUP($C35, 'Match Names'!$1:$22, 7, FALSE)"&amp;", ""!C3:R29"")), {4;9;13;19}, FALSE)), ""=0"") + COUNTIF(ARRAYFORMULA(HLOOKUP($B35, IMPORTRANGE('Match Names'!$H$23, CONCAT(VLOOKUP($C35, 'Match Names'!$1:$22, 8, FALSE), ""!C3:R29"")), {3;9;15;21}, FALSE)), ""=0"")"),0.0)</f>
        <v>0</v>
      </c>
      <c r="G35" s="32">
        <f>IFERROR(__xludf.DUMMYFUNCTION("COUNTIF(ARRAYFORMULA(HLOOKUP($B35, IMPORTRANGE('Prelim Rankings Unsorted'!$B$40, CONCAT(VLOOKUP($C35, 'Match Names'!$A$1:$D$22, 2, FALSE), ""!C3:R29"")), {5;10;16;22}, FALSE)), ""=-4"") + COUNTIF(ARRAYFORMULA(HLOOKUP($B35, IMPORTRANGE('Prelim Rankings Uns"&amp;"orted'!$B$41, CONCAT(VLOOKUP($C35, 'Match Names'!$A$1:$D$22, 3, FALSE), ""!C3:R29"")), {2;8;14;20}, FALSE)), ""=-4"") + COUNTIF(ARRAYFORMULA(HLOOKUP($B35, IMPORTRANGE('Prelim Rankings Unsorted'!$B$42, CONCAT(VLOOKUP($C35, 'Match Names'!$A$1:$D$22, 4, FALS"&amp;"E), ""!C3:R29"")), {4;10;16;22}, FALSE)), ""=-4"") + COUNTIF(ARRAYFORMULA(HLOOKUP($B35, IMPORTRANGE('Match Names'!$E$23, CONCAT(VLOOKUP($C35, 'Match Names'!$1:$22, 5, FALSE), ""!C3:R29"")), {5;10;15;20}, FALSE)), ""=-4"") + COUNTIF(ARRAYFORMULA(HLOOKUP($B"&amp;"35, IMPORTRANGE('Match Names'!$F$23, CONCAT(VLOOKUP($C35, 'Match Names'!$1:$22, 6, FALSE), ""!C3:R29"")), {4;10;16;22}, FALSE)), ""=-4"") + COUNTIF(ARRAYFORMULA(HLOOKUP($B35, IMPORTRANGE('Match Names'!$G$23, CONCAT(VLOOKUP($C35, 'Match Names'!$1:$22, 7, F"&amp;"ALSE), ""!C3:R29"")), {4;9;13;19}, FALSE)), ""=-4"") + COUNTIF(ARRAYFORMULA(HLOOKUP($B35, IMPORTRANGE('Match Names'!$H$23, CONCAT(VLOOKUP($C35, 'Match Names'!$1:$22, 8, FALSE), ""!C3:R29"")), {3;9;15;21}, FALSE)), ""=-4"")"),0.0)</f>
        <v>0</v>
      </c>
      <c r="H35" s="33">
        <f t="shared" si="1"/>
        <v>0</v>
      </c>
    </row>
    <row r="36">
      <c r="A36" s="31" t="s">
        <v>126</v>
      </c>
      <c r="B36" s="31" t="str">
        <f>VLOOKUP(CONCAT(A36, C36), 'Discord Username to Real Name'!C:D, 2, FALSE)</f>
        <v>MR_67#1546</v>
      </c>
      <c r="C36" s="31" t="s">
        <v>20</v>
      </c>
      <c r="D36" s="32">
        <f>IFERROR(__xludf.DUMMYFUNCTION("(4 - COUNTIF(IFERROR(ARRAYFORMULA(HLOOKUP($B36, IMPORTRANGE('Prelim Rankings Unsorted'!$B$40, CONCAT(VLOOKUP($C36, 'Match Names'!$A$1:$D$22, 2, FALSE), ""!C3:R29"")), {5;10;16;22}, FALSE)), 'Player Overall Stats Unsorted'!$AA$9:$AA$12), ""=X"")) + (4 - CO"&amp;"UNTIF(IFERROR(ARRAYFORMULA(HLOOKUP($B36, IMPORTRANGE('Prelim Rankings Unsorted'!$B$41, CONCAT(VLOOKUP($C36, 'Match Names'!$A$1:$D$22, 3, FALSE), ""!C3:R29"")), {2;8;14;20}, FALSE)), 'Player Overall Stats Unsorted'!$AA$9:$AA$12), ""=X"")) + (4 - COUNTIF(IF"&amp;"ERROR(ARRAYFORMULA(HLOOKUP($B36, IMPORTRANGE('Prelim Rankings Unsorted'!$B$42, CONCAT(VLOOKUP($C36, 'Match Names'!$A$1:$D$22, 4, FALSE), ""!C3:R29"")), {4;10;16;22}, FALSE)), 'Player Overall Stats Unsorted'!$AA$9:$AA$12), ""=X"")) + (4 - COUNTIF(IFERROR(A"&amp;"RRAYFORMULA(HLOOKUP($B36, IMPORTRANGE('Match Names'!$E$23, CONCAT(VLOOKUP($C36, 'Match Names'!$1:$22, 5, FALSE), ""!C3:R29"")), {5;10;15;20}, FALSE)), 'Player Overall Stats Unsorted'!$AA$9:$AA$12), ""=X"")) + (4 - COUNTIF(IFERROR(ARRAYFORMULA(HLOOKUP($B36"&amp;", IMPORTRANGE('Match Names'!$F$23, CONCAT(VLOOKUP($C36, 'Match Names'!$1:$22, 6, FALSE), ""!C3:R29"")), {4;10;16;22}, FALSE)), 'Player Overall Stats Unsorted'!$AA$9:$AA$12), ""=X"")) + (4 - COUNTIF(IFERROR(ARRAYFORMULA(HLOOKUP($B36, IMPORTRANGE('Match Nam"&amp;"es'!$G$23, CONCAT(VLOOKUP($C36, 'Match Names'!$1:$22, 7, FALSE), ""!C3:R29"")), {4;9;13;19}, FALSE)), 'Player Overall Stats Unsorted'!$AA$9:$AA$12), ""=X"")) + (4 - COUNTIF(IFERROR(ARRAYFORMULA(HLOOKUP($B36, IMPORTRANGE('Match Names'!$H$23, CONCAT(VLOOKUP"&amp;"($C36, 'Match Names'!$1:$22, 8, FALSE), ""!C3:R29"")), {3;9;15;21}, FALSE)), 'Player Overall Stats Unsorted'!$AA$9:$AA$12), ""=X""))"),20.0)</f>
        <v>20</v>
      </c>
      <c r="E36" s="32">
        <f>IFERROR(__xludf.DUMMYFUNCTION("COUNTIF(ARRAYFORMULA(HLOOKUP($B36, IMPORTRANGE('Prelim Rankings Unsorted'!$B$40, CONCAT(VLOOKUP($C36, 'Match Names'!$A$1:$D$22, 2, FALSE), ""!C3:R29"")), {5;10;16;22}, FALSE)), ""=4"") + COUNTIF(ARRAYFORMULA(HLOOKUP($B36, IMPORTRANGE('Prelim Rankings Unso"&amp;"rted'!$B$41, CONCAT(VLOOKUP($C36, 'Match Names'!$A$1:$D$22, 3, FALSE), ""!C3:R29"")), {2;8;14;20}, FALSE)), ""=4"") + COUNTIF(ARRAYFORMULA(HLOOKUP($B36, IMPORTRANGE('Prelim Rankings Unsorted'!$B$42, CONCAT(VLOOKUP($C36, 'Match Names'!$A$1:$D$22, 4, FALSE)"&amp;", ""!C3:R29"")), {4;10;16;22}, FALSE)), ""=4"") + COUNTIF(ARRAYFORMULA(HLOOKUP($B36, IMPORTRANGE('Match Names'!$E$23, CONCAT(VLOOKUP($C36, 'Match Names'!$1:$22, 5, FALSE), ""!C3:R29"")), {5;10;15;20}, FALSE)), ""=4"") + COUNTIF(ARRAYFORMULA(HLOOKUP($B36, "&amp;"IMPORTRANGE('Match Names'!$F$23, CONCAT(VLOOKUP($C36, 'Match Names'!$1:$22, 6, FALSE), ""!C3:R29"")), {4;10;16;22}, FALSE)), ""=4"") + COUNTIF(ARRAYFORMULA(HLOOKUP($B36, IMPORTRANGE('Match Names'!$G$23, CONCAT(VLOOKUP($C36, 'Match Names'!$1:$22, 7, FALSE)"&amp;", ""!C3:R29"")), {4;9;13;19}, FALSE)), ""=4"") + COUNTIF(ARRAYFORMULA(HLOOKUP($B36, IMPORTRANGE('Match Names'!$H$23, CONCAT(VLOOKUP($C36, 'Match Names'!$1:$22, 8, FALSE), ""!C3:R29"")), {3;9;15;21}, FALSE)), ""=4"")"),0.0)</f>
        <v>0</v>
      </c>
      <c r="F36" s="32">
        <f>IFERROR(__xludf.DUMMYFUNCTION("COUNTIF(ARRAYFORMULA(HLOOKUP($B36, IMPORTRANGE('Prelim Rankings Unsorted'!$B$40, CONCAT(VLOOKUP($C36, 'Match Names'!$A$1:$D$22, 2, FALSE), ""!C3:R29"")), {5;10;16;22}, FALSE)), ""=0"") + COUNTIF(ARRAYFORMULA(HLOOKUP($B36, IMPORTRANGE('Prelim Rankings Unso"&amp;"rted'!$B$41, CONCAT(VLOOKUP($C36, 'Match Names'!$A$1:$D$22, 3, FALSE), ""!C3:R29"")), {2;8;14;20}, FALSE)), ""=0"") + COUNTIF(ARRAYFORMULA(HLOOKUP($B36, IMPORTRANGE('Prelim Rankings Unsorted'!$B$42, CONCAT(VLOOKUP($C36, 'Match Names'!$A$1:$D$22, 4, FALSE)"&amp;", ""!C3:R29"")), {4;10;16;22}, FALSE)), ""=0"") + COUNTIF(ARRAYFORMULA(HLOOKUP($B36, IMPORTRANGE('Match Names'!$E$23, CONCAT(VLOOKUP($C36, 'Match Names'!$1:$22, 5, FALSE), ""!C3:R29"")), {5;10;15;20}, FALSE)), ""=0"") + COUNTIF(ARRAYFORMULA(HLOOKUP($B36, "&amp;"IMPORTRANGE('Match Names'!$F$23, CONCAT(VLOOKUP($C36, 'Match Names'!$1:$22, 6, FALSE), ""!C3:R29"")), {4;10;16;22}, FALSE)), ""=0"") + COUNTIF(ARRAYFORMULA(HLOOKUP($B36, IMPORTRANGE('Match Names'!$G$23, CONCAT(VLOOKUP($C36, 'Match Names'!$1:$22, 7, FALSE)"&amp;", ""!C3:R29"")), {4;9;13;19}, FALSE)), ""=0"") + COUNTIF(ARRAYFORMULA(HLOOKUP($B36, IMPORTRANGE('Match Names'!$H$23, CONCAT(VLOOKUP($C36, 'Match Names'!$1:$22, 8, FALSE), ""!C3:R29"")), {3;9;15;21}, FALSE)), ""=0"")"),0.0)</f>
        <v>0</v>
      </c>
      <c r="G36" s="32">
        <f>IFERROR(__xludf.DUMMYFUNCTION("COUNTIF(ARRAYFORMULA(HLOOKUP($B36, IMPORTRANGE('Prelim Rankings Unsorted'!$B$40, CONCAT(VLOOKUP($C36, 'Match Names'!$A$1:$D$22, 2, FALSE), ""!C3:R29"")), {5;10;16;22}, FALSE)), ""=-4"") + COUNTIF(ARRAYFORMULA(HLOOKUP($B36, IMPORTRANGE('Prelim Rankings Uns"&amp;"orted'!$B$41, CONCAT(VLOOKUP($C36, 'Match Names'!$A$1:$D$22, 3, FALSE), ""!C3:R29"")), {2;8;14;20}, FALSE)), ""=-4"") + COUNTIF(ARRAYFORMULA(HLOOKUP($B36, IMPORTRANGE('Prelim Rankings Unsorted'!$B$42, CONCAT(VLOOKUP($C36, 'Match Names'!$A$1:$D$22, 4, FALS"&amp;"E), ""!C3:R29"")), {4;10;16;22}, FALSE)), ""=-4"") + COUNTIF(ARRAYFORMULA(HLOOKUP($B36, IMPORTRANGE('Match Names'!$E$23, CONCAT(VLOOKUP($C36, 'Match Names'!$1:$22, 5, FALSE), ""!C3:R29"")), {5;10;15;20}, FALSE)), ""=-4"") + COUNTIF(ARRAYFORMULA(HLOOKUP($B"&amp;"36, IMPORTRANGE('Match Names'!$F$23, CONCAT(VLOOKUP($C36, 'Match Names'!$1:$22, 6, FALSE), ""!C3:R29"")), {4;10;16;22}, FALSE)), ""=-4"") + COUNTIF(ARRAYFORMULA(HLOOKUP($B36, IMPORTRANGE('Match Names'!$G$23, CONCAT(VLOOKUP($C36, 'Match Names'!$1:$22, 7, F"&amp;"ALSE), ""!C3:R29"")), {4;9;13;19}, FALSE)), ""=-4"") + COUNTIF(ARRAYFORMULA(HLOOKUP($B36, IMPORTRANGE('Match Names'!$H$23, CONCAT(VLOOKUP($C36, 'Match Names'!$1:$22, 8, FALSE), ""!C3:R29"")), {3;9;15;21}, FALSE)), ""=-4"")"),0.0)</f>
        <v>0</v>
      </c>
      <c r="H36" s="33">
        <f t="shared" si="1"/>
        <v>0</v>
      </c>
    </row>
    <row r="37">
      <c r="A37" s="31" t="s">
        <v>115</v>
      </c>
      <c r="B37" s="31" t="str">
        <f>VLOOKUP(CONCAT(A37, C37), 'Discord Username to Real Name'!C:D, 2, FALSE)</f>
        <v>choiboi#3455</v>
      </c>
      <c r="C37" s="31" t="s">
        <v>20</v>
      </c>
      <c r="D37" s="32">
        <f>IFERROR(__xludf.DUMMYFUNCTION("(4 - COUNTIF(IFERROR(ARRAYFORMULA(HLOOKUP($B37, IMPORTRANGE('Prelim Rankings Unsorted'!$B$40, CONCAT(VLOOKUP($C37, 'Match Names'!$A$1:$D$22, 2, FALSE), ""!C3:R29"")), {5;10;16;22}, FALSE)), 'Player Overall Stats Unsorted'!$AA$9:$AA$12), ""=X"")) + (4 - CO"&amp;"UNTIF(IFERROR(ARRAYFORMULA(HLOOKUP($B37, IMPORTRANGE('Prelim Rankings Unsorted'!$B$41, CONCAT(VLOOKUP($C37, 'Match Names'!$A$1:$D$22, 3, FALSE), ""!C3:R29"")), {2;8;14;20}, FALSE)), 'Player Overall Stats Unsorted'!$AA$9:$AA$12), ""=X"")) + (4 - COUNTIF(IF"&amp;"ERROR(ARRAYFORMULA(HLOOKUP($B37, IMPORTRANGE('Prelim Rankings Unsorted'!$B$42, CONCAT(VLOOKUP($C37, 'Match Names'!$A$1:$D$22, 4, FALSE), ""!C3:R29"")), {4;10;16;22}, FALSE)), 'Player Overall Stats Unsorted'!$AA$9:$AA$12), ""=X"")) + (4 - COUNTIF(IFERROR(A"&amp;"RRAYFORMULA(HLOOKUP($B37, IMPORTRANGE('Match Names'!$E$23, CONCAT(VLOOKUP($C37, 'Match Names'!$1:$22, 5, FALSE), ""!C3:R29"")), {5;10;15;20}, FALSE)), 'Player Overall Stats Unsorted'!$AA$9:$AA$12), ""=X"")) + (4 - COUNTIF(IFERROR(ARRAYFORMULA(HLOOKUP($B37"&amp;", IMPORTRANGE('Match Names'!$F$23, CONCAT(VLOOKUP($C37, 'Match Names'!$1:$22, 6, FALSE), ""!C3:R29"")), {4;10;16;22}, FALSE)), 'Player Overall Stats Unsorted'!$AA$9:$AA$12), ""=X"")) + (4 - COUNTIF(IFERROR(ARRAYFORMULA(HLOOKUP($B37, IMPORTRANGE('Match Nam"&amp;"es'!$G$23, CONCAT(VLOOKUP($C37, 'Match Names'!$1:$22, 7, FALSE), ""!C3:R29"")), {4;9;13;19}, FALSE)), 'Player Overall Stats Unsorted'!$AA$9:$AA$12), ""=X"")) + (4 - COUNTIF(IFERROR(ARRAYFORMULA(HLOOKUP($B37, IMPORTRANGE('Match Names'!$H$23, CONCAT(VLOOKUP"&amp;"($C37, 'Match Names'!$1:$22, 8, FALSE), ""!C3:R29"")), {3;9;15;21}, FALSE)), 'Player Overall Stats Unsorted'!$AA$9:$AA$12), ""=X""))"),16.0)</f>
        <v>16</v>
      </c>
      <c r="E37" s="32">
        <f>IFERROR(__xludf.DUMMYFUNCTION("COUNTIF(ARRAYFORMULA(HLOOKUP($B37, IMPORTRANGE('Prelim Rankings Unsorted'!$B$40, CONCAT(VLOOKUP($C37, 'Match Names'!$A$1:$D$22, 2, FALSE), ""!C3:R29"")), {5;10;16;22}, FALSE)), ""=4"") + COUNTIF(ARRAYFORMULA(HLOOKUP($B37, IMPORTRANGE('Prelim Rankings Unso"&amp;"rted'!$B$41, CONCAT(VLOOKUP($C37, 'Match Names'!$A$1:$D$22, 3, FALSE), ""!C3:R29"")), {2;8;14;20}, FALSE)), ""=4"") + COUNTIF(ARRAYFORMULA(HLOOKUP($B37, IMPORTRANGE('Prelim Rankings Unsorted'!$B$42, CONCAT(VLOOKUP($C37, 'Match Names'!$A$1:$D$22, 4, FALSE)"&amp;", ""!C3:R29"")), {4;10;16;22}, FALSE)), ""=4"") + COUNTIF(ARRAYFORMULA(HLOOKUP($B37, IMPORTRANGE('Match Names'!$E$23, CONCAT(VLOOKUP($C37, 'Match Names'!$1:$22, 5, FALSE), ""!C3:R29"")), {5;10;15;20}, FALSE)), ""=4"") + COUNTIF(ARRAYFORMULA(HLOOKUP($B37, "&amp;"IMPORTRANGE('Match Names'!$F$23, CONCAT(VLOOKUP($C37, 'Match Names'!$1:$22, 6, FALSE), ""!C3:R29"")), {4;10;16;22}, FALSE)), ""=4"") + COUNTIF(ARRAYFORMULA(HLOOKUP($B37, IMPORTRANGE('Match Names'!$G$23, CONCAT(VLOOKUP($C37, 'Match Names'!$1:$22, 7, FALSE)"&amp;", ""!C3:R29"")), {4;9;13;19}, FALSE)), ""=4"") + COUNTIF(ARRAYFORMULA(HLOOKUP($B37, IMPORTRANGE('Match Names'!$H$23, CONCAT(VLOOKUP($C37, 'Match Names'!$1:$22, 8, FALSE), ""!C3:R29"")), {3;9;15;21}, FALSE)), ""=4"")"),0.0)</f>
        <v>0</v>
      </c>
      <c r="F37" s="32">
        <f>IFERROR(__xludf.DUMMYFUNCTION("COUNTIF(ARRAYFORMULA(HLOOKUP($B37, IMPORTRANGE('Prelim Rankings Unsorted'!$B$40, CONCAT(VLOOKUP($C37, 'Match Names'!$A$1:$D$22, 2, FALSE), ""!C3:R29"")), {5;10;16;22}, FALSE)), ""=0"") + COUNTIF(ARRAYFORMULA(HLOOKUP($B37, IMPORTRANGE('Prelim Rankings Unso"&amp;"rted'!$B$41, CONCAT(VLOOKUP($C37, 'Match Names'!$A$1:$D$22, 3, FALSE), ""!C3:R29"")), {2;8;14;20}, FALSE)), ""=0"") + COUNTIF(ARRAYFORMULA(HLOOKUP($B37, IMPORTRANGE('Prelim Rankings Unsorted'!$B$42, CONCAT(VLOOKUP($C37, 'Match Names'!$A$1:$D$22, 4, FALSE)"&amp;", ""!C3:R29"")), {4;10;16;22}, FALSE)), ""=0"") + COUNTIF(ARRAYFORMULA(HLOOKUP($B37, IMPORTRANGE('Match Names'!$E$23, CONCAT(VLOOKUP($C37, 'Match Names'!$1:$22, 5, FALSE), ""!C3:R29"")), {5;10;15;20}, FALSE)), ""=0"") + COUNTIF(ARRAYFORMULA(HLOOKUP($B37, "&amp;"IMPORTRANGE('Match Names'!$F$23, CONCAT(VLOOKUP($C37, 'Match Names'!$1:$22, 6, FALSE), ""!C3:R29"")), {4;10;16;22}, FALSE)), ""=0"") + COUNTIF(ARRAYFORMULA(HLOOKUP($B37, IMPORTRANGE('Match Names'!$G$23, CONCAT(VLOOKUP($C37, 'Match Names'!$1:$22, 7, FALSE)"&amp;", ""!C3:R29"")), {4;9;13;19}, FALSE)), ""=0"") + COUNTIF(ARRAYFORMULA(HLOOKUP($B37, IMPORTRANGE('Match Names'!$H$23, CONCAT(VLOOKUP($C37, 'Match Names'!$1:$22, 8, FALSE), ""!C3:R29"")), {3;9;15;21}, FALSE)), ""=0"")"),0.0)</f>
        <v>0</v>
      </c>
      <c r="G37" s="32">
        <f>IFERROR(__xludf.DUMMYFUNCTION("COUNTIF(ARRAYFORMULA(HLOOKUP($B37, IMPORTRANGE('Prelim Rankings Unsorted'!$B$40, CONCAT(VLOOKUP($C37, 'Match Names'!$A$1:$D$22, 2, FALSE), ""!C3:R29"")), {5;10;16;22}, FALSE)), ""=-4"") + COUNTIF(ARRAYFORMULA(HLOOKUP($B37, IMPORTRANGE('Prelim Rankings Uns"&amp;"orted'!$B$41, CONCAT(VLOOKUP($C37, 'Match Names'!$A$1:$D$22, 3, FALSE), ""!C3:R29"")), {2;8;14;20}, FALSE)), ""=-4"") + COUNTIF(ARRAYFORMULA(HLOOKUP($B37, IMPORTRANGE('Prelim Rankings Unsorted'!$B$42, CONCAT(VLOOKUP($C37, 'Match Names'!$A$1:$D$22, 4, FALS"&amp;"E), ""!C3:R29"")), {4;10;16;22}, FALSE)), ""=-4"") + COUNTIF(ARRAYFORMULA(HLOOKUP($B37, IMPORTRANGE('Match Names'!$E$23, CONCAT(VLOOKUP($C37, 'Match Names'!$1:$22, 5, FALSE), ""!C3:R29"")), {5;10;15;20}, FALSE)), ""=-4"") + COUNTIF(ARRAYFORMULA(HLOOKUP($B"&amp;"37, IMPORTRANGE('Match Names'!$F$23, CONCAT(VLOOKUP($C37, 'Match Names'!$1:$22, 6, FALSE), ""!C3:R29"")), {4;10;16;22}, FALSE)), ""=-4"") + COUNTIF(ARRAYFORMULA(HLOOKUP($B37, IMPORTRANGE('Match Names'!$G$23, CONCAT(VLOOKUP($C37, 'Match Names'!$1:$22, 7, F"&amp;"ALSE), ""!C3:R29"")), {4;9;13;19}, FALSE)), ""=-4"") + COUNTIF(ARRAYFORMULA(HLOOKUP($B37, IMPORTRANGE('Match Names'!$H$23, CONCAT(VLOOKUP($C37, 'Match Names'!$1:$22, 8, FALSE), ""!C3:R29"")), {3;9;15;21}, FALSE)), ""=-4"")"),0.0)</f>
        <v>0</v>
      </c>
      <c r="H37" s="33">
        <f t="shared" si="1"/>
        <v>0</v>
      </c>
    </row>
    <row r="38">
      <c r="A38" s="31" t="s">
        <v>58</v>
      </c>
      <c r="B38" s="31" t="str">
        <f>VLOOKUP(CONCAT(A38, C38), 'Discord Username to Real Name'!C:D, 2, FALSE)</f>
        <v>nshapiro#4660</v>
      </c>
      <c r="C38" s="31" t="s">
        <v>16</v>
      </c>
      <c r="D38" s="32">
        <f>IFERROR(__xludf.DUMMYFUNCTION("(4 - COUNTIF(IFERROR(ARRAYFORMULA(HLOOKUP($B38, IMPORTRANGE('Prelim Rankings Unsorted'!$B$40, CONCAT(VLOOKUP($C38, 'Match Names'!$A$1:$D$22, 2, FALSE), ""!C3:R29"")), {5;10;16;22}, FALSE)), 'Player Overall Stats Unsorted'!$AA$9:$AA$12), ""=X"")) + (4 - CO"&amp;"UNTIF(IFERROR(ARRAYFORMULA(HLOOKUP($B38, IMPORTRANGE('Prelim Rankings Unsorted'!$B$41, CONCAT(VLOOKUP($C38, 'Match Names'!$A$1:$D$22, 3, FALSE), ""!C3:R29"")), {2;8;14;20}, FALSE)), 'Player Overall Stats Unsorted'!$AA$9:$AA$12), ""=X"")) + (4 - COUNTIF(IF"&amp;"ERROR(ARRAYFORMULA(HLOOKUP($B38, IMPORTRANGE('Prelim Rankings Unsorted'!$B$42, CONCAT(VLOOKUP($C38, 'Match Names'!$A$1:$D$22, 4, FALSE), ""!C3:R29"")), {4;10;16;22}, FALSE)), 'Player Overall Stats Unsorted'!$AA$9:$AA$12), ""=X"")) + (4 - COUNTIF(IFERROR(A"&amp;"RRAYFORMULA(HLOOKUP($B38, IMPORTRANGE('Match Names'!$E$23, CONCAT(VLOOKUP($C38, 'Match Names'!$1:$22, 5, FALSE), ""!C3:R29"")), {5;10;15;20}, FALSE)), 'Player Overall Stats Unsorted'!$AA$9:$AA$12), ""=X"")) + (4 - COUNTIF(IFERROR(ARRAYFORMULA(HLOOKUP($B38"&amp;", IMPORTRANGE('Match Names'!$F$23, CONCAT(VLOOKUP($C38, 'Match Names'!$1:$22, 6, FALSE), ""!C3:R29"")), {4;10;16;22}, FALSE)), 'Player Overall Stats Unsorted'!$AA$9:$AA$12), ""=X"")) + (4 - COUNTIF(IFERROR(ARRAYFORMULA(HLOOKUP($B38, IMPORTRANGE('Match Nam"&amp;"es'!$G$23, CONCAT(VLOOKUP($C38, 'Match Names'!$1:$22, 7, FALSE), ""!C3:R29"")), {4;9;13;19}, FALSE)), 'Player Overall Stats Unsorted'!$AA$9:$AA$12), ""=X"")) + (4 - COUNTIF(IFERROR(ARRAYFORMULA(HLOOKUP($B38, IMPORTRANGE('Match Names'!$H$23, CONCAT(VLOOKUP"&amp;"($C38, 'Match Names'!$1:$22, 8, FALSE), ""!C3:R29"")), {3;9;15;21}, FALSE)), 'Player Overall Stats Unsorted'!$AA$9:$AA$12), ""=X""))"),16.0)</f>
        <v>16</v>
      </c>
      <c r="E38" s="32">
        <f>IFERROR(__xludf.DUMMYFUNCTION("COUNTIF(ARRAYFORMULA(HLOOKUP($B38, IMPORTRANGE('Prelim Rankings Unsorted'!$B$40, CONCAT(VLOOKUP($C38, 'Match Names'!$A$1:$D$22, 2, FALSE), ""!C3:R29"")), {5;10;16;22}, FALSE)), ""=4"") + COUNTIF(ARRAYFORMULA(HLOOKUP($B38, IMPORTRANGE('Prelim Rankings Unso"&amp;"rted'!$B$41, CONCAT(VLOOKUP($C38, 'Match Names'!$A$1:$D$22, 3, FALSE), ""!C3:R29"")), {2;8;14;20}, FALSE)), ""=4"") + COUNTIF(ARRAYFORMULA(HLOOKUP($B38, IMPORTRANGE('Prelim Rankings Unsorted'!$B$42, CONCAT(VLOOKUP($C38, 'Match Names'!$A$1:$D$22, 4, FALSE)"&amp;", ""!C3:R29"")), {4;10;16;22}, FALSE)), ""=4"") + COUNTIF(ARRAYFORMULA(HLOOKUP($B38, IMPORTRANGE('Match Names'!$E$23, CONCAT(VLOOKUP($C38, 'Match Names'!$1:$22, 5, FALSE), ""!C3:R29"")), {5;10;15;20}, FALSE)), ""=4"") + COUNTIF(ARRAYFORMULA(HLOOKUP($B38, "&amp;"IMPORTRANGE('Match Names'!$F$23, CONCAT(VLOOKUP($C38, 'Match Names'!$1:$22, 6, FALSE), ""!C3:R29"")), {4;10;16;22}, FALSE)), ""=4"") + COUNTIF(ARRAYFORMULA(HLOOKUP($B38, IMPORTRANGE('Match Names'!$G$23, CONCAT(VLOOKUP($C38, 'Match Names'!$1:$22, 7, FALSE)"&amp;", ""!C3:R29"")), {4;9;13;19}, FALSE)), ""=4"") + COUNTIF(ARRAYFORMULA(HLOOKUP($B38, IMPORTRANGE('Match Names'!$H$23, CONCAT(VLOOKUP($C38, 'Match Names'!$1:$22, 8, FALSE), ""!C3:R29"")), {3;9;15;21}, FALSE)), ""=4"")"),1.0)</f>
        <v>1</v>
      </c>
      <c r="F38" s="32">
        <f>IFERROR(__xludf.DUMMYFUNCTION("COUNTIF(ARRAYFORMULA(HLOOKUP($B38, IMPORTRANGE('Prelim Rankings Unsorted'!$B$40, CONCAT(VLOOKUP($C38, 'Match Names'!$A$1:$D$22, 2, FALSE), ""!C3:R29"")), {5;10;16;22}, FALSE)), ""=0"") + COUNTIF(ARRAYFORMULA(HLOOKUP($B38, IMPORTRANGE('Prelim Rankings Unso"&amp;"rted'!$B$41, CONCAT(VLOOKUP($C38, 'Match Names'!$A$1:$D$22, 3, FALSE), ""!C3:R29"")), {2;8;14;20}, FALSE)), ""=0"") + COUNTIF(ARRAYFORMULA(HLOOKUP($B38, IMPORTRANGE('Prelim Rankings Unsorted'!$B$42, CONCAT(VLOOKUP($C38, 'Match Names'!$A$1:$D$22, 4, FALSE)"&amp;", ""!C3:R29"")), {4;10;16;22}, FALSE)), ""=0"") + COUNTIF(ARRAYFORMULA(HLOOKUP($B38, IMPORTRANGE('Match Names'!$E$23, CONCAT(VLOOKUP($C38, 'Match Names'!$1:$22, 5, FALSE), ""!C3:R29"")), {5;10;15;20}, FALSE)), ""=0"") + COUNTIF(ARRAYFORMULA(HLOOKUP($B38, "&amp;"IMPORTRANGE('Match Names'!$F$23, CONCAT(VLOOKUP($C38, 'Match Names'!$1:$22, 6, FALSE), ""!C3:R29"")), {4;10;16;22}, FALSE)), ""=0"") + COUNTIF(ARRAYFORMULA(HLOOKUP($B38, IMPORTRANGE('Match Names'!$G$23, CONCAT(VLOOKUP($C38, 'Match Names'!$1:$22, 7, FALSE)"&amp;", ""!C3:R29"")), {4;9;13;19}, FALSE)), ""=0"") + COUNTIF(ARRAYFORMULA(HLOOKUP($B38, IMPORTRANGE('Match Names'!$H$23, CONCAT(VLOOKUP($C38, 'Match Names'!$1:$22, 8, FALSE), ""!C3:R29"")), {3;9;15;21}, FALSE)), ""=0"")"),4.0)</f>
        <v>4</v>
      </c>
      <c r="G38" s="32">
        <f>IFERROR(__xludf.DUMMYFUNCTION("COUNTIF(ARRAYFORMULA(HLOOKUP($B38, IMPORTRANGE('Prelim Rankings Unsorted'!$B$40, CONCAT(VLOOKUP($C38, 'Match Names'!$A$1:$D$22, 2, FALSE), ""!C3:R29"")), {5;10;16;22}, FALSE)), ""=-4"") + COUNTIF(ARRAYFORMULA(HLOOKUP($B38, IMPORTRANGE('Prelim Rankings Uns"&amp;"orted'!$B$41, CONCAT(VLOOKUP($C38, 'Match Names'!$A$1:$D$22, 3, FALSE), ""!C3:R29"")), {2;8;14;20}, FALSE)), ""=-4"") + COUNTIF(ARRAYFORMULA(HLOOKUP($B38, IMPORTRANGE('Prelim Rankings Unsorted'!$B$42, CONCAT(VLOOKUP($C38, 'Match Names'!$A$1:$D$22, 4, FALS"&amp;"E), ""!C3:R29"")), {4;10;16;22}, FALSE)), ""=-4"") + COUNTIF(ARRAYFORMULA(HLOOKUP($B38, IMPORTRANGE('Match Names'!$E$23, CONCAT(VLOOKUP($C38, 'Match Names'!$1:$22, 5, FALSE), ""!C3:R29"")), {5;10;15;20}, FALSE)), ""=-4"") + COUNTIF(ARRAYFORMULA(HLOOKUP($B"&amp;"38, IMPORTRANGE('Match Names'!$F$23, CONCAT(VLOOKUP($C38, 'Match Names'!$1:$22, 6, FALSE), ""!C3:R29"")), {4;10;16;22}, FALSE)), ""=-4"") + COUNTIF(ARRAYFORMULA(HLOOKUP($B38, IMPORTRANGE('Match Names'!$G$23, CONCAT(VLOOKUP($C38, 'Match Names'!$1:$22, 7, F"&amp;"ALSE), ""!C3:R29"")), {4;9;13;19}, FALSE)), ""=-4"") + COUNTIF(ARRAYFORMULA(HLOOKUP($B38, IMPORTRANGE('Match Names'!$H$23, CONCAT(VLOOKUP($C38, 'Match Names'!$1:$22, 8, FALSE), ""!C3:R29"")), {3;9;15;21}, FALSE)), ""=-4"")"),1.0)</f>
        <v>1</v>
      </c>
      <c r="H38" s="33">
        <f t="shared" si="1"/>
        <v>0</v>
      </c>
    </row>
    <row r="39">
      <c r="A39" s="31" t="s">
        <v>86</v>
      </c>
      <c r="B39" s="31" t="str">
        <f>VLOOKUP(CONCAT(A39, C39), 'Discord Username to Real Name'!C:D, 2, FALSE)</f>
        <v>Henryb#9686</v>
      </c>
      <c r="C39" s="31" t="s">
        <v>16</v>
      </c>
      <c r="D39" s="32">
        <f>IFERROR(__xludf.DUMMYFUNCTION("(4 - COUNTIF(IFERROR(ARRAYFORMULA(HLOOKUP($B39, IMPORTRANGE('Prelim Rankings Unsorted'!$B$40, CONCAT(VLOOKUP($C39, 'Match Names'!$A$1:$D$22, 2, FALSE), ""!C3:R29"")), {5;10;16;22}, FALSE)), 'Player Overall Stats Unsorted'!$AA$9:$AA$12), ""=X"")) + (4 - CO"&amp;"UNTIF(IFERROR(ARRAYFORMULA(HLOOKUP($B39, IMPORTRANGE('Prelim Rankings Unsorted'!$B$41, CONCAT(VLOOKUP($C39, 'Match Names'!$A$1:$D$22, 3, FALSE), ""!C3:R29"")), {2;8;14;20}, FALSE)), 'Player Overall Stats Unsorted'!$AA$9:$AA$12), ""=X"")) + (4 - COUNTIF(IF"&amp;"ERROR(ARRAYFORMULA(HLOOKUP($B39, IMPORTRANGE('Prelim Rankings Unsorted'!$B$42, CONCAT(VLOOKUP($C39, 'Match Names'!$A$1:$D$22, 4, FALSE), ""!C3:R29"")), {4;10;16;22}, FALSE)), 'Player Overall Stats Unsorted'!$AA$9:$AA$12), ""=X"")) + (4 - COUNTIF(IFERROR(A"&amp;"RRAYFORMULA(HLOOKUP($B39, IMPORTRANGE('Match Names'!$E$23, CONCAT(VLOOKUP($C39, 'Match Names'!$1:$22, 5, FALSE), ""!C3:R29"")), {5;10;15;20}, FALSE)), 'Player Overall Stats Unsorted'!$AA$9:$AA$12), ""=X"")) + (4 - COUNTIF(IFERROR(ARRAYFORMULA(HLOOKUP($B39"&amp;", IMPORTRANGE('Match Names'!$F$23, CONCAT(VLOOKUP($C39, 'Match Names'!$1:$22, 6, FALSE), ""!C3:R29"")), {4;10;16;22}, FALSE)), 'Player Overall Stats Unsorted'!$AA$9:$AA$12), ""=X"")) + (4 - COUNTIF(IFERROR(ARRAYFORMULA(HLOOKUP($B39, IMPORTRANGE('Match Nam"&amp;"es'!$G$23, CONCAT(VLOOKUP($C39, 'Match Names'!$1:$22, 7, FALSE), ""!C3:R29"")), {4;9;13;19}, FALSE)), 'Player Overall Stats Unsorted'!$AA$9:$AA$12), ""=X"")) + (4 - COUNTIF(IFERROR(ARRAYFORMULA(HLOOKUP($B39, IMPORTRANGE('Match Names'!$H$23, CONCAT(VLOOKUP"&amp;"($C39, 'Match Names'!$1:$22, 8, FALSE), ""!C3:R29"")), {3;9;15;21}, FALSE)), 'Player Overall Stats Unsorted'!$AA$9:$AA$12), ""=X""))"),20.0)</f>
        <v>20</v>
      </c>
      <c r="E39" s="32">
        <f>IFERROR(__xludf.DUMMYFUNCTION("COUNTIF(ARRAYFORMULA(HLOOKUP($B39, IMPORTRANGE('Prelim Rankings Unsorted'!$B$40, CONCAT(VLOOKUP($C39, 'Match Names'!$A$1:$D$22, 2, FALSE), ""!C3:R29"")), {5;10;16;22}, FALSE)), ""=4"") + COUNTIF(ARRAYFORMULA(HLOOKUP($B39, IMPORTRANGE('Prelim Rankings Unso"&amp;"rted'!$B$41, CONCAT(VLOOKUP($C39, 'Match Names'!$A$1:$D$22, 3, FALSE), ""!C3:R29"")), {2;8;14;20}, FALSE)), ""=4"") + COUNTIF(ARRAYFORMULA(HLOOKUP($B39, IMPORTRANGE('Prelim Rankings Unsorted'!$B$42, CONCAT(VLOOKUP($C39, 'Match Names'!$A$1:$D$22, 4, FALSE)"&amp;", ""!C3:R29"")), {4;10;16;22}, FALSE)), ""=4"") + COUNTIF(ARRAYFORMULA(HLOOKUP($B39, IMPORTRANGE('Match Names'!$E$23, CONCAT(VLOOKUP($C39, 'Match Names'!$1:$22, 5, FALSE), ""!C3:R29"")), {5;10;15;20}, FALSE)), ""=4"") + COUNTIF(ARRAYFORMULA(HLOOKUP($B39, "&amp;"IMPORTRANGE('Match Names'!$F$23, CONCAT(VLOOKUP($C39, 'Match Names'!$1:$22, 6, FALSE), ""!C3:R29"")), {4;10;16;22}, FALSE)), ""=4"") + COUNTIF(ARRAYFORMULA(HLOOKUP($B39, IMPORTRANGE('Match Names'!$G$23, CONCAT(VLOOKUP($C39, 'Match Names'!$1:$22, 7, FALSE)"&amp;", ""!C3:R29"")), {4;9;13;19}, FALSE)), ""=4"") + COUNTIF(ARRAYFORMULA(HLOOKUP($B39, IMPORTRANGE('Match Names'!$H$23, CONCAT(VLOOKUP($C39, 'Match Names'!$1:$22, 8, FALSE), ""!C3:R29"")), {3;9;15;21}, FALSE)), ""=4"")"),1.0)</f>
        <v>1</v>
      </c>
      <c r="F39" s="32">
        <f>IFERROR(__xludf.DUMMYFUNCTION("COUNTIF(ARRAYFORMULA(HLOOKUP($B39, IMPORTRANGE('Prelim Rankings Unsorted'!$B$40, CONCAT(VLOOKUP($C39, 'Match Names'!$A$1:$D$22, 2, FALSE), ""!C3:R29"")), {5;10;16;22}, FALSE)), ""=0"") + COUNTIF(ARRAYFORMULA(HLOOKUP($B39, IMPORTRANGE('Prelim Rankings Unso"&amp;"rted'!$B$41, CONCAT(VLOOKUP($C39, 'Match Names'!$A$1:$D$22, 3, FALSE), ""!C3:R29"")), {2;8;14;20}, FALSE)), ""=0"") + COUNTIF(ARRAYFORMULA(HLOOKUP($B39, IMPORTRANGE('Prelim Rankings Unsorted'!$B$42, CONCAT(VLOOKUP($C39, 'Match Names'!$A$1:$D$22, 4, FALSE)"&amp;", ""!C3:R29"")), {4;10;16;22}, FALSE)), ""=0"") + COUNTIF(ARRAYFORMULA(HLOOKUP($B39, IMPORTRANGE('Match Names'!$E$23, CONCAT(VLOOKUP($C39, 'Match Names'!$1:$22, 5, FALSE), ""!C3:R29"")), {5;10;15;20}, FALSE)), ""=0"") + COUNTIF(ARRAYFORMULA(HLOOKUP($B39, "&amp;"IMPORTRANGE('Match Names'!$F$23, CONCAT(VLOOKUP($C39, 'Match Names'!$1:$22, 6, FALSE), ""!C3:R29"")), {4;10;16;22}, FALSE)), ""=0"") + COUNTIF(ARRAYFORMULA(HLOOKUP($B39, IMPORTRANGE('Match Names'!$G$23, CONCAT(VLOOKUP($C39, 'Match Names'!$1:$22, 7, FALSE)"&amp;", ""!C3:R29"")), {4;9;13;19}, FALSE)), ""=0"") + COUNTIF(ARRAYFORMULA(HLOOKUP($B39, IMPORTRANGE('Match Names'!$H$23, CONCAT(VLOOKUP($C39, 'Match Names'!$1:$22, 8, FALSE), ""!C3:R29"")), {3;9;15;21}, FALSE)), ""=0"")"),3.0)</f>
        <v>3</v>
      </c>
      <c r="G39" s="32">
        <f>IFERROR(__xludf.DUMMYFUNCTION("COUNTIF(ARRAYFORMULA(HLOOKUP($B39, IMPORTRANGE('Prelim Rankings Unsorted'!$B$40, CONCAT(VLOOKUP($C39, 'Match Names'!$A$1:$D$22, 2, FALSE), ""!C3:R29"")), {5;10;16;22}, FALSE)), ""=-4"") + COUNTIF(ARRAYFORMULA(HLOOKUP($B39, IMPORTRANGE('Prelim Rankings Uns"&amp;"orted'!$B$41, CONCAT(VLOOKUP($C39, 'Match Names'!$A$1:$D$22, 3, FALSE), ""!C3:R29"")), {2;8;14;20}, FALSE)), ""=-4"") + COUNTIF(ARRAYFORMULA(HLOOKUP($B39, IMPORTRANGE('Prelim Rankings Unsorted'!$B$42, CONCAT(VLOOKUP($C39, 'Match Names'!$A$1:$D$22, 4, FALS"&amp;"E), ""!C3:R29"")), {4;10;16;22}, FALSE)), ""=-4"") + COUNTIF(ARRAYFORMULA(HLOOKUP($B39, IMPORTRANGE('Match Names'!$E$23, CONCAT(VLOOKUP($C39, 'Match Names'!$1:$22, 5, FALSE), ""!C3:R29"")), {5;10;15;20}, FALSE)), ""=-4"") + COUNTIF(ARRAYFORMULA(HLOOKUP($B"&amp;"39, IMPORTRANGE('Match Names'!$F$23, CONCAT(VLOOKUP($C39, 'Match Names'!$1:$22, 6, FALSE), ""!C3:R29"")), {4;10;16;22}, FALSE)), ""=-4"") + COUNTIF(ARRAYFORMULA(HLOOKUP($B39, IMPORTRANGE('Match Names'!$G$23, CONCAT(VLOOKUP($C39, 'Match Names'!$1:$22, 7, F"&amp;"ALSE), ""!C3:R29"")), {4;9;13;19}, FALSE)), ""=-4"") + COUNTIF(ARRAYFORMULA(HLOOKUP($B39, IMPORTRANGE('Match Names'!$H$23, CONCAT(VLOOKUP($C39, 'Match Names'!$1:$22, 8, FALSE), ""!C3:R29"")), {3;9;15;21}, FALSE)), ""=-4"")"),0.0)</f>
        <v>0</v>
      </c>
      <c r="H39" s="33">
        <f t="shared" si="1"/>
        <v>0.8</v>
      </c>
    </row>
    <row r="40">
      <c r="A40" s="31" t="s">
        <v>164</v>
      </c>
      <c r="B40" s="31" t="str">
        <f>VLOOKUP(CONCAT(A40, C40), 'Discord Username to Real Name'!C:D, 2, FALSE)</f>
        <v>Teji11#5265</v>
      </c>
      <c r="C40" s="31" t="s">
        <v>16</v>
      </c>
      <c r="D40" s="32">
        <f>IFERROR(__xludf.DUMMYFUNCTION("(4 - COUNTIF(IFERROR(ARRAYFORMULA(HLOOKUP($B40, IMPORTRANGE('Prelim Rankings Unsorted'!$B$40, CONCAT(VLOOKUP($C40, 'Match Names'!$A$1:$D$22, 2, FALSE), ""!C3:R29"")), {5;10;16;22}, FALSE)), 'Player Overall Stats Unsorted'!$AA$9:$AA$12), ""=X"")) + (4 - CO"&amp;"UNTIF(IFERROR(ARRAYFORMULA(HLOOKUP($B40, IMPORTRANGE('Prelim Rankings Unsorted'!$B$41, CONCAT(VLOOKUP($C40, 'Match Names'!$A$1:$D$22, 3, FALSE), ""!C3:R29"")), {2;8;14;20}, FALSE)), 'Player Overall Stats Unsorted'!$AA$9:$AA$12), ""=X"")) + (4 - COUNTIF(IF"&amp;"ERROR(ARRAYFORMULA(HLOOKUP($B40, IMPORTRANGE('Prelim Rankings Unsorted'!$B$42, CONCAT(VLOOKUP($C40, 'Match Names'!$A$1:$D$22, 4, FALSE), ""!C3:R29"")), {4;10;16;22}, FALSE)), 'Player Overall Stats Unsorted'!$AA$9:$AA$12), ""=X"")) + (4 - COUNTIF(IFERROR(A"&amp;"RRAYFORMULA(HLOOKUP($B40, IMPORTRANGE('Match Names'!$E$23, CONCAT(VLOOKUP($C40, 'Match Names'!$1:$22, 5, FALSE), ""!C3:R29"")), {5;10;15;20}, FALSE)), 'Player Overall Stats Unsorted'!$AA$9:$AA$12), ""=X"")) + (4 - COUNTIF(IFERROR(ARRAYFORMULA(HLOOKUP($B40"&amp;", IMPORTRANGE('Match Names'!$F$23, CONCAT(VLOOKUP($C40, 'Match Names'!$1:$22, 6, FALSE), ""!C3:R29"")), {4;10;16;22}, FALSE)), 'Player Overall Stats Unsorted'!$AA$9:$AA$12), ""=X"")) + (4 - COUNTIF(IFERROR(ARRAYFORMULA(HLOOKUP($B40, IMPORTRANGE('Match Nam"&amp;"es'!$G$23, CONCAT(VLOOKUP($C40, 'Match Names'!$1:$22, 7, FALSE), ""!C3:R29"")), {4;9;13;19}, FALSE)), 'Player Overall Stats Unsorted'!$AA$9:$AA$12), ""=X"")) + (4 - COUNTIF(IFERROR(ARRAYFORMULA(HLOOKUP($B40, IMPORTRANGE('Match Names'!$H$23, CONCAT(VLOOKUP"&amp;"($C40, 'Match Names'!$1:$22, 8, FALSE), ""!C3:R29"")), {3;9;15;21}, FALSE)), 'Player Overall Stats Unsorted'!$AA$9:$AA$12), ""=X""))"),16.0)</f>
        <v>16</v>
      </c>
      <c r="E40" s="32">
        <f>IFERROR(__xludf.DUMMYFUNCTION("COUNTIF(ARRAYFORMULA(HLOOKUP($B40, IMPORTRANGE('Prelim Rankings Unsorted'!$B$40, CONCAT(VLOOKUP($C40, 'Match Names'!$A$1:$D$22, 2, FALSE), ""!C3:R29"")), {5;10;16;22}, FALSE)), ""=4"") + COUNTIF(ARRAYFORMULA(HLOOKUP($B40, IMPORTRANGE('Prelim Rankings Unso"&amp;"rted'!$B$41, CONCAT(VLOOKUP($C40, 'Match Names'!$A$1:$D$22, 3, FALSE), ""!C3:R29"")), {2;8;14;20}, FALSE)), ""=4"") + COUNTIF(ARRAYFORMULA(HLOOKUP($B40, IMPORTRANGE('Prelim Rankings Unsorted'!$B$42, CONCAT(VLOOKUP($C40, 'Match Names'!$A$1:$D$22, 4, FALSE)"&amp;", ""!C3:R29"")), {4;10;16;22}, FALSE)), ""=4"") + COUNTIF(ARRAYFORMULA(HLOOKUP($B40, IMPORTRANGE('Match Names'!$E$23, CONCAT(VLOOKUP($C40, 'Match Names'!$1:$22, 5, FALSE), ""!C3:R29"")), {5;10;15;20}, FALSE)), ""=4"") + COUNTIF(ARRAYFORMULA(HLOOKUP($B40, "&amp;"IMPORTRANGE('Match Names'!$F$23, CONCAT(VLOOKUP($C40, 'Match Names'!$1:$22, 6, FALSE), ""!C3:R29"")), {4;10;16;22}, FALSE)), ""=4"") + COUNTIF(ARRAYFORMULA(HLOOKUP($B40, IMPORTRANGE('Match Names'!$G$23, CONCAT(VLOOKUP($C40, 'Match Names'!$1:$22, 7, FALSE)"&amp;", ""!C3:R29"")), {4;9;13;19}, FALSE)), ""=4"") + COUNTIF(ARRAYFORMULA(HLOOKUP($B40, IMPORTRANGE('Match Names'!$H$23, CONCAT(VLOOKUP($C40, 'Match Names'!$1:$22, 8, FALSE), ""!C3:R29"")), {3;9;15;21}, FALSE)), ""=4"")"),0.0)</f>
        <v>0</v>
      </c>
      <c r="F40" s="32">
        <f>IFERROR(__xludf.DUMMYFUNCTION("COUNTIF(ARRAYFORMULA(HLOOKUP($B40, IMPORTRANGE('Prelim Rankings Unsorted'!$B$40, CONCAT(VLOOKUP($C40, 'Match Names'!$A$1:$D$22, 2, FALSE), ""!C3:R29"")), {5;10;16;22}, FALSE)), ""=0"") + COUNTIF(ARRAYFORMULA(HLOOKUP($B40, IMPORTRANGE('Prelim Rankings Unso"&amp;"rted'!$B$41, CONCAT(VLOOKUP($C40, 'Match Names'!$A$1:$D$22, 3, FALSE), ""!C3:R29"")), {2;8;14;20}, FALSE)), ""=0"") + COUNTIF(ARRAYFORMULA(HLOOKUP($B40, IMPORTRANGE('Prelim Rankings Unsorted'!$B$42, CONCAT(VLOOKUP($C40, 'Match Names'!$A$1:$D$22, 4, FALSE)"&amp;", ""!C3:R29"")), {4;10;16;22}, FALSE)), ""=0"") + COUNTIF(ARRAYFORMULA(HLOOKUP($B40, IMPORTRANGE('Match Names'!$E$23, CONCAT(VLOOKUP($C40, 'Match Names'!$1:$22, 5, FALSE), ""!C3:R29"")), {5;10;15;20}, FALSE)), ""=0"") + COUNTIF(ARRAYFORMULA(HLOOKUP($B40, "&amp;"IMPORTRANGE('Match Names'!$F$23, CONCAT(VLOOKUP($C40, 'Match Names'!$1:$22, 6, FALSE), ""!C3:R29"")), {4;10;16;22}, FALSE)), ""=0"") + COUNTIF(ARRAYFORMULA(HLOOKUP($B40, IMPORTRANGE('Match Names'!$G$23, CONCAT(VLOOKUP($C40, 'Match Names'!$1:$22, 7, FALSE)"&amp;", ""!C3:R29"")), {4;9;13;19}, FALSE)), ""=0"") + COUNTIF(ARRAYFORMULA(HLOOKUP($B40, IMPORTRANGE('Match Names'!$H$23, CONCAT(VLOOKUP($C40, 'Match Names'!$1:$22, 8, FALSE), ""!C3:R29"")), {3;9;15;21}, FALSE)), ""=0"")"),0.0)</f>
        <v>0</v>
      </c>
      <c r="G40" s="32">
        <f>IFERROR(__xludf.DUMMYFUNCTION("COUNTIF(ARRAYFORMULA(HLOOKUP($B40, IMPORTRANGE('Prelim Rankings Unsorted'!$B$40, CONCAT(VLOOKUP($C40, 'Match Names'!$A$1:$D$22, 2, FALSE), ""!C3:R29"")), {5;10;16;22}, FALSE)), ""=-4"") + COUNTIF(ARRAYFORMULA(HLOOKUP($B40, IMPORTRANGE('Prelim Rankings Uns"&amp;"orted'!$B$41, CONCAT(VLOOKUP($C40, 'Match Names'!$A$1:$D$22, 3, FALSE), ""!C3:R29"")), {2;8;14;20}, FALSE)), ""=-4"") + COUNTIF(ARRAYFORMULA(HLOOKUP($B40, IMPORTRANGE('Prelim Rankings Unsorted'!$B$42, CONCAT(VLOOKUP($C40, 'Match Names'!$A$1:$D$22, 4, FALS"&amp;"E), ""!C3:R29"")), {4;10;16;22}, FALSE)), ""=-4"") + COUNTIF(ARRAYFORMULA(HLOOKUP($B40, IMPORTRANGE('Match Names'!$E$23, CONCAT(VLOOKUP($C40, 'Match Names'!$1:$22, 5, FALSE), ""!C3:R29"")), {5;10;15;20}, FALSE)), ""=-4"") + COUNTIF(ARRAYFORMULA(HLOOKUP($B"&amp;"40, IMPORTRANGE('Match Names'!$F$23, CONCAT(VLOOKUP($C40, 'Match Names'!$1:$22, 6, FALSE), ""!C3:R29"")), {4;10;16;22}, FALSE)), ""=-4"") + COUNTIF(ARRAYFORMULA(HLOOKUP($B40, IMPORTRANGE('Match Names'!$G$23, CONCAT(VLOOKUP($C40, 'Match Names'!$1:$22, 7, F"&amp;"ALSE), ""!C3:R29"")), {4;9;13;19}, FALSE)), ""=-4"") + COUNTIF(ARRAYFORMULA(HLOOKUP($B40, IMPORTRANGE('Match Names'!$H$23, CONCAT(VLOOKUP($C40, 'Match Names'!$1:$22, 8, FALSE), ""!C3:R29"")), {3;9;15;21}, FALSE)), ""=-4"")"),0.0)</f>
        <v>0</v>
      </c>
      <c r="H40" s="33">
        <f t="shared" si="1"/>
        <v>0</v>
      </c>
    </row>
    <row r="41">
      <c r="A41" s="31" t="s">
        <v>162</v>
      </c>
      <c r="B41" s="31" t="str">
        <f>VLOOKUP(CONCAT(A41, C41), 'Discord Username to Real Name'!C:D, 2, FALSE)</f>
        <v>Ajay G.#0147</v>
      </c>
      <c r="C41" s="31" t="s">
        <v>16</v>
      </c>
      <c r="D41" s="32">
        <f>IFERROR(__xludf.DUMMYFUNCTION("(4 - COUNTIF(IFERROR(ARRAYFORMULA(HLOOKUP($B41, IMPORTRANGE('Prelim Rankings Unsorted'!$B$40, CONCAT(VLOOKUP($C41, 'Match Names'!$A$1:$D$22, 2, FALSE), ""!C3:R29"")), {5;10;16;22}, FALSE)), 'Player Overall Stats Unsorted'!$AA$9:$AA$12), ""=X"")) + (4 - CO"&amp;"UNTIF(IFERROR(ARRAYFORMULA(HLOOKUP($B41, IMPORTRANGE('Prelim Rankings Unsorted'!$B$41, CONCAT(VLOOKUP($C41, 'Match Names'!$A$1:$D$22, 3, FALSE), ""!C3:R29"")), {2;8;14;20}, FALSE)), 'Player Overall Stats Unsorted'!$AA$9:$AA$12), ""=X"")) + (4 - COUNTIF(IF"&amp;"ERROR(ARRAYFORMULA(HLOOKUP($B41, IMPORTRANGE('Prelim Rankings Unsorted'!$B$42, CONCAT(VLOOKUP($C41, 'Match Names'!$A$1:$D$22, 4, FALSE), ""!C3:R29"")), {4;10;16;22}, FALSE)), 'Player Overall Stats Unsorted'!$AA$9:$AA$12), ""=X"")) + (4 - COUNTIF(IFERROR(A"&amp;"RRAYFORMULA(HLOOKUP($B41, IMPORTRANGE('Match Names'!$E$23, CONCAT(VLOOKUP($C41, 'Match Names'!$1:$22, 5, FALSE), ""!C3:R29"")), {5;10;15;20}, FALSE)), 'Player Overall Stats Unsorted'!$AA$9:$AA$12), ""=X"")) + (4 - COUNTIF(IFERROR(ARRAYFORMULA(HLOOKUP($B41"&amp;", IMPORTRANGE('Match Names'!$F$23, CONCAT(VLOOKUP($C41, 'Match Names'!$1:$22, 6, FALSE), ""!C3:R29"")), {4;10;16;22}, FALSE)), 'Player Overall Stats Unsorted'!$AA$9:$AA$12), ""=X"")) + (4 - COUNTIF(IFERROR(ARRAYFORMULA(HLOOKUP($B41, IMPORTRANGE('Match Nam"&amp;"es'!$G$23, CONCAT(VLOOKUP($C41, 'Match Names'!$1:$22, 7, FALSE), ""!C3:R29"")), {4;9;13;19}, FALSE)), 'Player Overall Stats Unsorted'!$AA$9:$AA$12), ""=X"")) + (4 - COUNTIF(IFERROR(ARRAYFORMULA(HLOOKUP($B41, IMPORTRANGE('Match Names'!$H$23, CONCAT(VLOOKUP"&amp;"($C41, 'Match Names'!$1:$22, 8, FALSE), ""!C3:R29"")), {3;9;15;21}, FALSE)), 'Player Overall Stats Unsorted'!$AA$9:$AA$12), ""=X""))"),16.0)</f>
        <v>16</v>
      </c>
      <c r="E41" s="32">
        <f>IFERROR(__xludf.DUMMYFUNCTION("COUNTIF(ARRAYFORMULA(HLOOKUP($B41, IMPORTRANGE('Prelim Rankings Unsorted'!$B$40, CONCAT(VLOOKUP($C41, 'Match Names'!$A$1:$D$22, 2, FALSE), ""!C3:R29"")), {5;10;16;22}, FALSE)), ""=4"") + COUNTIF(ARRAYFORMULA(HLOOKUP($B41, IMPORTRANGE('Prelim Rankings Unso"&amp;"rted'!$B$41, CONCAT(VLOOKUP($C41, 'Match Names'!$A$1:$D$22, 3, FALSE), ""!C3:R29"")), {2;8;14;20}, FALSE)), ""=4"") + COUNTIF(ARRAYFORMULA(HLOOKUP($B41, IMPORTRANGE('Prelim Rankings Unsorted'!$B$42, CONCAT(VLOOKUP($C41, 'Match Names'!$A$1:$D$22, 4, FALSE)"&amp;", ""!C3:R29"")), {4;10;16;22}, FALSE)), ""=4"") + COUNTIF(ARRAYFORMULA(HLOOKUP($B41, IMPORTRANGE('Match Names'!$E$23, CONCAT(VLOOKUP($C41, 'Match Names'!$1:$22, 5, FALSE), ""!C3:R29"")), {5;10;15;20}, FALSE)), ""=4"") + COUNTIF(ARRAYFORMULA(HLOOKUP($B41, "&amp;"IMPORTRANGE('Match Names'!$F$23, CONCAT(VLOOKUP($C41, 'Match Names'!$1:$22, 6, FALSE), ""!C3:R29"")), {4;10;16;22}, FALSE)), ""=4"") + COUNTIF(ARRAYFORMULA(HLOOKUP($B41, IMPORTRANGE('Match Names'!$G$23, CONCAT(VLOOKUP($C41, 'Match Names'!$1:$22, 7, FALSE)"&amp;", ""!C3:R29"")), {4;9;13;19}, FALSE)), ""=4"") + COUNTIF(ARRAYFORMULA(HLOOKUP($B41, IMPORTRANGE('Match Names'!$H$23, CONCAT(VLOOKUP($C41, 'Match Names'!$1:$22, 8, FALSE), ""!C3:R29"")), {3;9;15;21}, FALSE)), ""=4"")"),0.0)</f>
        <v>0</v>
      </c>
      <c r="F41" s="32">
        <f>IFERROR(__xludf.DUMMYFUNCTION("COUNTIF(ARRAYFORMULA(HLOOKUP($B41, IMPORTRANGE('Prelim Rankings Unsorted'!$B$40, CONCAT(VLOOKUP($C41, 'Match Names'!$A$1:$D$22, 2, FALSE), ""!C3:R29"")), {5;10;16;22}, FALSE)), ""=0"") + COUNTIF(ARRAYFORMULA(HLOOKUP($B41, IMPORTRANGE('Prelim Rankings Unso"&amp;"rted'!$B$41, CONCAT(VLOOKUP($C41, 'Match Names'!$A$1:$D$22, 3, FALSE), ""!C3:R29"")), {2;8;14;20}, FALSE)), ""=0"") + COUNTIF(ARRAYFORMULA(HLOOKUP($B41, IMPORTRANGE('Prelim Rankings Unsorted'!$B$42, CONCAT(VLOOKUP($C41, 'Match Names'!$A$1:$D$22, 4, FALSE)"&amp;", ""!C3:R29"")), {4;10;16;22}, FALSE)), ""=0"") + COUNTIF(ARRAYFORMULA(HLOOKUP($B41, IMPORTRANGE('Match Names'!$E$23, CONCAT(VLOOKUP($C41, 'Match Names'!$1:$22, 5, FALSE), ""!C3:R29"")), {5;10;15;20}, FALSE)), ""=0"") + COUNTIF(ARRAYFORMULA(HLOOKUP($B41, "&amp;"IMPORTRANGE('Match Names'!$F$23, CONCAT(VLOOKUP($C41, 'Match Names'!$1:$22, 6, FALSE), ""!C3:R29"")), {4;10;16;22}, FALSE)), ""=0"") + COUNTIF(ARRAYFORMULA(HLOOKUP($B41, IMPORTRANGE('Match Names'!$G$23, CONCAT(VLOOKUP($C41, 'Match Names'!$1:$22, 7, FALSE)"&amp;", ""!C3:R29"")), {4;9;13;19}, FALSE)), ""=0"") + COUNTIF(ARRAYFORMULA(HLOOKUP($B41, IMPORTRANGE('Match Names'!$H$23, CONCAT(VLOOKUP($C41, 'Match Names'!$1:$22, 8, FALSE), ""!C3:R29"")), {3;9;15;21}, FALSE)), ""=0"")"),1.0)</f>
        <v>1</v>
      </c>
      <c r="G41" s="32">
        <f>IFERROR(__xludf.DUMMYFUNCTION("COUNTIF(ARRAYFORMULA(HLOOKUP($B41, IMPORTRANGE('Prelim Rankings Unsorted'!$B$40, CONCAT(VLOOKUP($C41, 'Match Names'!$A$1:$D$22, 2, FALSE), ""!C3:R29"")), {5;10;16;22}, FALSE)), ""=-4"") + COUNTIF(ARRAYFORMULA(HLOOKUP($B41, IMPORTRANGE('Prelim Rankings Uns"&amp;"orted'!$B$41, CONCAT(VLOOKUP($C41, 'Match Names'!$A$1:$D$22, 3, FALSE), ""!C3:R29"")), {2;8;14;20}, FALSE)), ""=-4"") + COUNTIF(ARRAYFORMULA(HLOOKUP($B41, IMPORTRANGE('Prelim Rankings Unsorted'!$B$42, CONCAT(VLOOKUP($C41, 'Match Names'!$A$1:$D$22, 4, FALS"&amp;"E), ""!C3:R29"")), {4;10;16;22}, FALSE)), ""=-4"") + COUNTIF(ARRAYFORMULA(HLOOKUP($B41, IMPORTRANGE('Match Names'!$E$23, CONCAT(VLOOKUP($C41, 'Match Names'!$1:$22, 5, FALSE), ""!C3:R29"")), {5;10;15;20}, FALSE)), ""=-4"") + COUNTIF(ARRAYFORMULA(HLOOKUP($B"&amp;"41, IMPORTRANGE('Match Names'!$F$23, CONCAT(VLOOKUP($C41, 'Match Names'!$1:$22, 6, FALSE), ""!C3:R29"")), {4;10;16;22}, FALSE)), ""=-4"") + COUNTIF(ARRAYFORMULA(HLOOKUP($B41, IMPORTRANGE('Match Names'!$G$23, CONCAT(VLOOKUP($C41, 'Match Names'!$1:$22, 7, F"&amp;"ALSE), ""!C3:R29"")), {4;9;13;19}, FALSE)), ""=-4"") + COUNTIF(ARRAYFORMULA(HLOOKUP($B41, IMPORTRANGE('Match Names'!$H$23, CONCAT(VLOOKUP($C41, 'Match Names'!$1:$22, 8, FALSE), ""!C3:R29"")), {3;9;15;21}, FALSE)), ""=-4"")"),0.0)</f>
        <v>0</v>
      </c>
      <c r="H41" s="33">
        <f t="shared" si="1"/>
        <v>0</v>
      </c>
    </row>
    <row r="42">
      <c r="A42" s="31" t="s">
        <v>171</v>
      </c>
      <c r="B42" s="31" t="str">
        <f>VLOOKUP(CONCAT(A42, C42), 'Discord Username to Real Name'!C:D, 2, FALSE)</f>
        <v>Tencor7144#2297</v>
      </c>
      <c r="C42" s="31" t="s">
        <v>16</v>
      </c>
      <c r="D42" s="32">
        <f>IFERROR(__xludf.DUMMYFUNCTION("(4 - COUNTIF(IFERROR(ARRAYFORMULA(HLOOKUP($B42, IMPORTRANGE('Prelim Rankings Unsorted'!$B$40, CONCAT(VLOOKUP($C42, 'Match Names'!$A$1:$D$22, 2, FALSE), ""!C3:R29"")), {5;10;16;22}, FALSE)), 'Player Overall Stats Unsorted'!$AA$9:$AA$12), ""=X"")) + (4 - CO"&amp;"UNTIF(IFERROR(ARRAYFORMULA(HLOOKUP($B42, IMPORTRANGE('Prelim Rankings Unsorted'!$B$41, CONCAT(VLOOKUP($C42, 'Match Names'!$A$1:$D$22, 3, FALSE), ""!C3:R29"")), {2;8;14;20}, FALSE)), 'Player Overall Stats Unsorted'!$AA$9:$AA$12), ""=X"")) + (4 - COUNTIF(IF"&amp;"ERROR(ARRAYFORMULA(HLOOKUP($B42, IMPORTRANGE('Prelim Rankings Unsorted'!$B$42, CONCAT(VLOOKUP($C42, 'Match Names'!$A$1:$D$22, 4, FALSE), ""!C3:R29"")), {4;10;16;22}, FALSE)), 'Player Overall Stats Unsorted'!$AA$9:$AA$12), ""=X"")) + (4 - COUNTIF(IFERROR(A"&amp;"RRAYFORMULA(HLOOKUP($B42, IMPORTRANGE('Match Names'!$E$23, CONCAT(VLOOKUP($C42, 'Match Names'!$1:$22, 5, FALSE), ""!C3:R29"")), {5;10;15;20}, FALSE)), 'Player Overall Stats Unsorted'!$AA$9:$AA$12), ""=X"")) + (4 - COUNTIF(IFERROR(ARRAYFORMULA(HLOOKUP($B42"&amp;", IMPORTRANGE('Match Names'!$F$23, CONCAT(VLOOKUP($C42, 'Match Names'!$1:$22, 6, FALSE), ""!C3:R29"")), {4;10;16;22}, FALSE)), 'Player Overall Stats Unsorted'!$AA$9:$AA$12), ""=X"")) + (4 - COUNTIF(IFERROR(ARRAYFORMULA(HLOOKUP($B42, IMPORTRANGE('Match Nam"&amp;"es'!$G$23, CONCAT(VLOOKUP($C42, 'Match Names'!$1:$22, 7, FALSE), ""!C3:R29"")), {4;9;13;19}, FALSE)), 'Player Overall Stats Unsorted'!$AA$9:$AA$12), ""=X"")) + (4 - COUNTIF(IFERROR(ARRAYFORMULA(HLOOKUP($B42, IMPORTRANGE('Match Names'!$H$23, CONCAT(VLOOKUP"&amp;"($C42, 'Match Names'!$1:$22, 8, FALSE), ""!C3:R29"")), {3;9;15;21}, FALSE)), 'Player Overall Stats Unsorted'!$AA$9:$AA$12), ""=X""))"),8.0)</f>
        <v>8</v>
      </c>
      <c r="E42" s="32">
        <f>IFERROR(__xludf.DUMMYFUNCTION("COUNTIF(ARRAYFORMULA(HLOOKUP($B42, IMPORTRANGE('Prelim Rankings Unsorted'!$B$40, CONCAT(VLOOKUP($C42, 'Match Names'!$A$1:$D$22, 2, FALSE), ""!C3:R29"")), {5;10;16;22}, FALSE)), ""=4"") + COUNTIF(ARRAYFORMULA(HLOOKUP($B42, IMPORTRANGE('Prelim Rankings Unso"&amp;"rted'!$B$41, CONCAT(VLOOKUP($C42, 'Match Names'!$A$1:$D$22, 3, FALSE), ""!C3:R29"")), {2;8;14;20}, FALSE)), ""=4"") + COUNTIF(ARRAYFORMULA(HLOOKUP($B42, IMPORTRANGE('Prelim Rankings Unsorted'!$B$42, CONCAT(VLOOKUP($C42, 'Match Names'!$A$1:$D$22, 4, FALSE)"&amp;", ""!C3:R29"")), {4;10;16;22}, FALSE)), ""=4"") + COUNTIF(ARRAYFORMULA(HLOOKUP($B42, IMPORTRANGE('Match Names'!$E$23, CONCAT(VLOOKUP($C42, 'Match Names'!$1:$22, 5, FALSE), ""!C3:R29"")), {5;10;15;20}, FALSE)), ""=4"") + COUNTIF(ARRAYFORMULA(HLOOKUP($B42, "&amp;"IMPORTRANGE('Match Names'!$F$23, CONCAT(VLOOKUP($C42, 'Match Names'!$1:$22, 6, FALSE), ""!C3:R29"")), {4;10;16;22}, FALSE)), ""=4"") + COUNTIF(ARRAYFORMULA(HLOOKUP($B42, IMPORTRANGE('Match Names'!$G$23, CONCAT(VLOOKUP($C42, 'Match Names'!$1:$22, 7, FALSE)"&amp;", ""!C3:R29"")), {4;9;13;19}, FALSE)), ""=4"") + COUNTIF(ARRAYFORMULA(HLOOKUP($B42, IMPORTRANGE('Match Names'!$H$23, CONCAT(VLOOKUP($C42, 'Match Names'!$1:$22, 8, FALSE), ""!C3:R29"")), {3;9;15;21}, FALSE)), ""=4"")"),1.0)</f>
        <v>1</v>
      </c>
      <c r="F42" s="32">
        <f>IFERROR(__xludf.DUMMYFUNCTION("COUNTIF(ARRAYFORMULA(HLOOKUP($B42, IMPORTRANGE('Prelim Rankings Unsorted'!$B$40, CONCAT(VLOOKUP($C42, 'Match Names'!$A$1:$D$22, 2, FALSE), ""!C3:R29"")), {5;10;16;22}, FALSE)), ""=0"") + COUNTIF(ARRAYFORMULA(HLOOKUP($B42, IMPORTRANGE('Prelim Rankings Unso"&amp;"rted'!$B$41, CONCAT(VLOOKUP($C42, 'Match Names'!$A$1:$D$22, 3, FALSE), ""!C3:R29"")), {2;8;14;20}, FALSE)), ""=0"") + COUNTIF(ARRAYFORMULA(HLOOKUP($B42, IMPORTRANGE('Prelim Rankings Unsorted'!$B$42, CONCAT(VLOOKUP($C42, 'Match Names'!$A$1:$D$22, 4, FALSE)"&amp;", ""!C3:R29"")), {4;10;16;22}, FALSE)), ""=0"") + COUNTIF(ARRAYFORMULA(HLOOKUP($B42, IMPORTRANGE('Match Names'!$E$23, CONCAT(VLOOKUP($C42, 'Match Names'!$1:$22, 5, FALSE), ""!C3:R29"")), {5;10;15;20}, FALSE)), ""=0"") + COUNTIF(ARRAYFORMULA(HLOOKUP($B42, "&amp;"IMPORTRANGE('Match Names'!$F$23, CONCAT(VLOOKUP($C42, 'Match Names'!$1:$22, 6, FALSE), ""!C3:R29"")), {4;10;16;22}, FALSE)), ""=0"") + COUNTIF(ARRAYFORMULA(HLOOKUP($B42, IMPORTRANGE('Match Names'!$G$23, CONCAT(VLOOKUP($C42, 'Match Names'!$1:$22, 7, FALSE)"&amp;", ""!C3:R29"")), {4;9;13;19}, FALSE)), ""=0"") + COUNTIF(ARRAYFORMULA(HLOOKUP($B42, IMPORTRANGE('Match Names'!$H$23, CONCAT(VLOOKUP($C42, 'Match Names'!$1:$22, 8, FALSE), ""!C3:R29"")), {3;9;15;21}, FALSE)), ""=0"")"),0.0)</f>
        <v>0</v>
      </c>
      <c r="G42" s="32">
        <f>IFERROR(__xludf.DUMMYFUNCTION("COUNTIF(ARRAYFORMULA(HLOOKUP($B42, IMPORTRANGE('Prelim Rankings Unsorted'!$B$40, CONCAT(VLOOKUP($C42, 'Match Names'!$A$1:$D$22, 2, FALSE), ""!C3:R29"")), {5;10;16;22}, FALSE)), ""=-4"") + COUNTIF(ARRAYFORMULA(HLOOKUP($B42, IMPORTRANGE('Prelim Rankings Uns"&amp;"orted'!$B$41, CONCAT(VLOOKUP($C42, 'Match Names'!$A$1:$D$22, 3, FALSE), ""!C3:R29"")), {2;8;14;20}, FALSE)), ""=-4"") + COUNTIF(ARRAYFORMULA(HLOOKUP($B42, IMPORTRANGE('Prelim Rankings Unsorted'!$B$42, CONCAT(VLOOKUP($C42, 'Match Names'!$A$1:$D$22, 4, FALS"&amp;"E), ""!C3:R29"")), {4;10;16;22}, FALSE)), ""=-4"") + COUNTIF(ARRAYFORMULA(HLOOKUP($B42, IMPORTRANGE('Match Names'!$E$23, CONCAT(VLOOKUP($C42, 'Match Names'!$1:$22, 5, FALSE), ""!C3:R29"")), {5;10;15;20}, FALSE)), ""=-4"") + COUNTIF(ARRAYFORMULA(HLOOKUP($B"&amp;"42, IMPORTRANGE('Match Names'!$F$23, CONCAT(VLOOKUP($C42, 'Match Names'!$1:$22, 6, FALSE), ""!C3:R29"")), {4;10;16;22}, FALSE)), ""=-4"") + COUNTIF(ARRAYFORMULA(HLOOKUP($B42, IMPORTRANGE('Match Names'!$G$23, CONCAT(VLOOKUP($C42, 'Match Names'!$1:$22, 7, F"&amp;"ALSE), ""!C3:R29"")), {4;9;13;19}, FALSE)), ""=-4"") + COUNTIF(ARRAYFORMULA(HLOOKUP($B42, IMPORTRANGE('Match Names'!$H$23, CONCAT(VLOOKUP($C42, 'Match Names'!$1:$22, 8, FALSE), ""!C3:R29"")), {3;9;15;21}, FALSE)), ""=-4"")"),0.0)</f>
        <v>0</v>
      </c>
      <c r="H42" s="33">
        <f t="shared" si="1"/>
        <v>2</v>
      </c>
    </row>
    <row r="43">
      <c r="A43" s="31" t="s">
        <v>73</v>
      </c>
      <c r="B43" s="31" t="str">
        <f>VLOOKUP(CONCAT(A43, C43), 'Discord Username to Real Name'!C:D, 2, FALSE)</f>
        <v>oof7373#7373</v>
      </c>
      <c r="C43" s="31" t="s">
        <v>15</v>
      </c>
      <c r="D43" s="32">
        <f>IFERROR(__xludf.DUMMYFUNCTION("(4 - COUNTIF(IFERROR(ARRAYFORMULA(HLOOKUP($B43, IMPORTRANGE('Prelim Rankings Unsorted'!$B$40, CONCAT(VLOOKUP($C43, 'Match Names'!$A$1:$D$22, 2, FALSE), ""!C3:R29"")), {5;10;16;22}, FALSE)), 'Player Overall Stats Unsorted'!$AA$9:$AA$12), ""=X"")) + (4 - CO"&amp;"UNTIF(IFERROR(ARRAYFORMULA(HLOOKUP($B43, IMPORTRANGE('Prelim Rankings Unsorted'!$B$41, CONCAT(VLOOKUP($C43, 'Match Names'!$A$1:$D$22, 3, FALSE), ""!C3:R29"")), {2;8;14;20}, FALSE)), 'Player Overall Stats Unsorted'!$AA$9:$AA$12), ""=X"")) + (4 - COUNTIF(IF"&amp;"ERROR(ARRAYFORMULA(HLOOKUP($B43, IMPORTRANGE('Prelim Rankings Unsorted'!$B$42, CONCAT(VLOOKUP($C43, 'Match Names'!$A$1:$D$22, 4, FALSE), ""!C3:R29"")), {4;10;16;22}, FALSE)), 'Player Overall Stats Unsorted'!$AA$9:$AA$12), ""=X"")) + (4 - COUNTIF(IFERROR(A"&amp;"RRAYFORMULA(HLOOKUP($B43, IMPORTRANGE('Match Names'!$E$23, CONCAT(VLOOKUP($C43, 'Match Names'!$1:$22, 5, FALSE), ""!C3:R29"")), {5;10;15;20}, FALSE)), 'Player Overall Stats Unsorted'!$AA$9:$AA$12), ""=X"")) + (4 - COUNTIF(IFERROR(ARRAYFORMULA(HLOOKUP($B43"&amp;", IMPORTRANGE('Match Names'!$F$23, CONCAT(VLOOKUP($C43, 'Match Names'!$1:$22, 6, FALSE), ""!C3:R29"")), {4;10;16;22}, FALSE)), 'Player Overall Stats Unsorted'!$AA$9:$AA$12), ""=X"")) + (4 - COUNTIF(IFERROR(ARRAYFORMULA(HLOOKUP($B43, IMPORTRANGE('Match Nam"&amp;"es'!$G$23, CONCAT(VLOOKUP($C43, 'Match Names'!$1:$22, 7, FALSE), ""!C3:R29"")), {4;9;13;19}, FALSE)), 'Player Overall Stats Unsorted'!$AA$9:$AA$12), ""=X"")) + (4 - COUNTIF(IFERROR(ARRAYFORMULA(HLOOKUP($B43, IMPORTRANGE('Match Names'!$H$23, CONCAT(VLOOKUP"&amp;"($C43, 'Match Names'!$1:$22, 8, FALSE), ""!C3:R29"")), {3;9;15;21}, FALSE)), 'Player Overall Stats Unsorted'!$AA$9:$AA$12), ""=X""))"),24.0)</f>
        <v>24</v>
      </c>
      <c r="E43" s="32">
        <f>IFERROR(__xludf.DUMMYFUNCTION("COUNTIF(ARRAYFORMULA(HLOOKUP($B43, IMPORTRANGE('Prelim Rankings Unsorted'!$B$40, CONCAT(VLOOKUP($C43, 'Match Names'!$A$1:$D$22, 2, FALSE), ""!C3:R29"")), {5;10;16;22}, FALSE)), ""=4"") + COUNTIF(ARRAYFORMULA(HLOOKUP($B43, IMPORTRANGE('Prelim Rankings Unso"&amp;"rted'!$B$41, CONCAT(VLOOKUP($C43, 'Match Names'!$A$1:$D$22, 3, FALSE), ""!C3:R29"")), {2;8;14;20}, FALSE)), ""=4"") + COUNTIF(ARRAYFORMULA(HLOOKUP($B43, IMPORTRANGE('Prelim Rankings Unsorted'!$B$42, CONCAT(VLOOKUP($C43, 'Match Names'!$A$1:$D$22, 4, FALSE)"&amp;", ""!C3:R29"")), {4;10;16;22}, FALSE)), ""=4"") + COUNTIF(ARRAYFORMULA(HLOOKUP($B43, IMPORTRANGE('Match Names'!$E$23, CONCAT(VLOOKUP($C43, 'Match Names'!$1:$22, 5, FALSE), ""!C3:R29"")), {5;10;15;20}, FALSE)), ""=4"") + COUNTIF(ARRAYFORMULA(HLOOKUP($B43, "&amp;"IMPORTRANGE('Match Names'!$F$23, CONCAT(VLOOKUP($C43, 'Match Names'!$1:$22, 6, FALSE), ""!C3:R29"")), {4;10;16;22}, FALSE)), ""=4"") + COUNTIF(ARRAYFORMULA(HLOOKUP($B43, IMPORTRANGE('Match Names'!$G$23, CONCAT(VLOOKUP($C43, 'Match Names'!$1:$22, 7, FALSE)"&amp;", ""!C3:R29"")), {4;9;13;19}, FALSE)), ""=4"") + COUNTIF(ARRAYFORMULA(HLOOKUP($B43, IMPORTRANGE('Match Names'!$H$23, CONCAT(VLOOKUP($C43, 'Match Names'!$1:$22, 8, FALSE), ""!C3:R29"")), {3;9;15;21}, FALSE)), ""=4"")"),3.0)</f>
        <v>3</v>
      </c>
      <c r="F43" s="32">
        <f>IFERROR(__xludf.DUMMYFUNCTION("COUNTIF(ARRAYFORMULA(HLOOKUP($B43, IMPORTRANGE('Prelim Rankings Unsorted'!$B$40, CONCAT(VLOOKUP($C43, 'Match Names'!$A$1:$D$22, 2, FALSE), ""!C3:R29"")), {5;10;16;22}, FALSE)), ""=0"") + COUNTIF(ARRAYFORMULA(HLOOKUP($B43, IMPORTRANGE('Prelim Rankings Unso"&amp;"rted'!$B$41, CONCAT(VLOOKUP($C43, 'Match Names'!$A$1:$D$22, 3, FALSE), ""!C3:R29"")), {2;8;14;20}, FALSE)), ""=0"") + COUNTIF(ARRAYFORMULA(HLOOKUP($B43, IMPORTRANGE('Prelim Rankings Unsorted'!$B$42, CONCAT(VLOOKUP($C43, 'Match Names'!$A$1:$D$22, 4, FALSE)"&amp;", ""!C3:R29"")), {4;10;16;22}, FALSE)), ""=0"") + COUNTIF(ARRAYFORMULA(HLOOKUP($B43, IMPORTRANGE('Match Names'!$E$23, CONCAT(VLOOKUP($C43, 'Match Names'!$1:$22, 5, FALSE), ""!C3:R29"")), {5;10;15;20}, FALSE)), ""=0"") + COUNTIF(ARRAYFORMULA(HLOOKUP($B43, "&amp;"IMPORTRANGE('Match Names'!$F$23, CONCAT(VLOOKUP($C43, 'Match Names'!$1:$22, 6, FALSE), ""!C3:R29"")), {4;10;16;22}, FALSE)), ""=0"") + COUNTIF(ARRAYFORMULA(HLOOKUP($B43, IMPORTRANGE('Match Names'!$G$23, CONCAT(VLOOKUP($C43, 'Match Names'!$1:$22, 7, FALSE)"&amp;", ""!C3:R29"")), {4;9;13;19}, FALSE)), ""=0"") + COUNTIF(ARRAYFORMULA(HLOOKUP($B43, IMPORTRANGE('Match Names'!$H$23, CONCAT(VLOOKUP($C43, 'Match Names'!$1:$22, 8, FALSE), ""!C3:R29"")), {3;9;15;21}, FALSE)), ""=0"")"),0.0)</f>
        <v>0</v>
      </c>
      <c r="G43" s="32">
        <f>IFERROR(__xludf.DUMMYFUNCTION("COUNTIF(ARRAYFORMULA(HLOOKUP($B43, IMPORTRANGE('Prelim Rankings Unsorted'!$B$40, CONCAT(VLOOKUP($C43, 'Match Names'!$A$1:$D$22, 2, FALSE), ""!C3:R29"")), {5;10;16;22}, FALSE)), ""=-4"") + COUNTIF(ARRAYFORMULA(HLOOKUP($B43, IMPORTRANGE('Prelim Rankings Uns"&amp;"orted'!$B$41, CONCAT(VLOOKUP($C43, 'Match Names'!$A$1:$D$22, 3, FALSE), ""!C3:R29"")), {2;8;14;20}, FALSE)), ""=-4"") + COUNTIF(ARRAYFORMULA(HLOOKUP($B43, IMPORTRANGE('Prelim Rankings Unsorted'!$B$42, CONCAT(VLOOKUP($C43, 'Match Names'!$A$1:$D$22, 4, FALS"&amp;"E), ""!C3:R29"")), {4;10;16;22}, FALSE)), ""=-4"") + COUNTIF(ARRAYFORMULA(HLOOKUP($B43, IMPORTRANGE('Match Names'!$E$23, CONCAT(VLOOKUP($C43, 'Match Names'!$1:$22, 5, FALSE), ""!C3:R29"")), {5;10;15;20}, FALSE)), ""=-4"") + COUNTIF(ARRAYFORMULA(HLOOKUP($B"&amp;"43, IMPORTRANGE('Match Names'!$F$23, CONCAT(VLOOKUP($C43, 'Match Names'!$1:$22, 6, FALSE), ""!C3:R29"")), {4;10;16;22}, FALSE)), ""=-4"") + COUNTIF(ARRAYFORMULA(HLOOKUP($B43, IMPORTRANGE('Match Names'!$G$23, CONCAT(VLOOKUP($C43, 'Match Names'!$1:$22, 7, F"&amp;"ALSE), ""!C3:R29"")), {4;9;13;19}, FALSE)), ""=-4"") + COUNTIF(ARRAYFORMULA(HLOOKUP($B43, IMPORTRANGE('Match Names'!$H$23, CONCAT(VLOOKUP($C43, 'Match Names'!$1:$22, 8, FALSE), ""!C3:R29"")), {3;9;15;21}, FALSE)), ""=-4"")"),0.0)</f>
        <v>0</v>
      </c>
      <c r="H43" s="33">
        <f t="shared" si="1"/>
        <v>2</v>
      </c>
    </row>
    <row r="44">
      <c r="A44" s="31" t="s">
        <v>63</v>
      </c>
      <c r="B44" s="31" t="str">
        <f>VLOOKUP(CONCAT(A44, C44), 'Discord Username to Real Name'!C:D, 2, FALSE)</f>
        <v>effervescence#3904</v>
      </c>
      <c r="C44" s="31" t="s">
        <v>15</v>
      </c>
      <c r="D44" s="32">
        <f>IFERROR(__xludf.DUMMYFUNCTION("(4 - COUNTIF(IFERROR(ARRAYFORMULA(HLOOKUP($B44, IMPORTRANGE('Prelim Rankings Unsorted'!$B$40, CONCAT(VLOOKUP($C44, 'Match Names'!$A$1:$D$22, 2, FALSE), ""!C3:R29"")), {5;10;16;22}, FALSE)), 'Player Overall Stats Unsorted'!$AA$9:$AA$12), ""=X"")) + (4 - CO"&amp;"UNTIF(IFERROR(ARRAYFORMULA(HLOOKUP($B44, IMPORTRANGE('Prelim Rankings Unsorted'!$B$41, CONCAT(VLOOKUP($C44, 'Match Names'!$A$1:$D$22, 3, FALSE), ""!C3:R29"")), {2;8;14;20}, FALSE)), 'Player Overall Stats Unsorted'!$AA$9:$AA$12), ""=X"")) + (4 - COUNTIF(IF"&amp;"ERROR(ARRAYFORMULA(HLOOKUP($B44, IMPORTRANGE('Prelim Rankings Unsorted'!$B$42, CONCAT(VLOOKUP($C44, 'Match Names'!$A$1:$D$22, 4, FALSE), ""!C3:R29"")), {4;10;16;22}, FALSE)), 'Player Overall Stats Unsorted'!$AA$9:$AA$12), ""=X"")) + (4 - COUNTIF(IFERROR(A"&amp;"RRAYFORMULA(HLOOKUP($B44, IMPORTRANGE('Match Names'!$E$23, CONCAT(VLOOKUP($C44, 'Match Names'!$1:$22, 5, FALSE), ""!C3:R29"")), {5;10;15;20}, FALSE)), 'Player Overall Stats Unsorted'!$AA$9:$AA$12), ""=X"")) + (4 - COUNTIF(IFERROR(ARRAYFORMULA(HLOOKUP($B44"&amp;", IMPORTRANGE('Match Names'!$F$23, CONCAT(VLOOKUP($C44, 'Match Names'!$1:$22, 6, FALSE), ""!C3:R29"")), {4;10;16;22}, FALSE)), 'Player Overall Stats Unsorted'!$AA$9:$AA$12), ""=X"")) + (4 - COUNTIF(IFERROR(ARRAYFORMULA(HLOOKUP($B44, IMPORTRANGE('Match Nam"&amp;"es'!$G$23, CONCAT(VLOOKUP($C44, 'Match Names'!$1:$22, 7, FALSE), ""!C3:R29"")), {4;9;13;19}, FALSE)), 'Player Overall Stats Unsorted'!$AA$9:$AA$12), ""=X"")) + (4 - COUNTIF(IFERROR(ARRAYFORMULA(HLOOKUP($B44, IMPORTRANGE('Match Names'!$H$23, CONCAT(VLOOKUP"&amp;"($C44, 'Match Names'!$1:$22, 8, FALSE), ""!C3:R29"")), {3;9;15;21}, FALSE)), 'Player Overall Stats Unsorted'!$AA$9:$AA$12), ""=X""))"),20.0)</f>
        <v>20</v>
      </c>
      <c r="E44" s="32">
        <f>IFERROR(__xludf.DUMMYFUNCTION("COUNTIF(ARRAYFORMULA(HLOOKUP($B44, IMPORTRANGE('Prelim Rankings Unsorted'!$B$40, CONCAT(VLOOKUP($C44, 'Match Names'!$A$1:$D$22, 2, FALSE), ""!C3:R29"")), {5;10;16;22}, FALSE)), ""=4"") + COUNTIF(ARRAYFORMULA(HLOOKUP($B44, IMPORTRANGE('Prelim Rankings Unso"&amp;"rted'!$B$41, CONCAT(VLOOKUP($C44, 'Match Names'!$A$1:$D$22, 3, FALSE), ""!C3:R29"")), {2;8;14;20}, FALSE)), ""=4"") + COUNTIF(ARRAYFORMULA(HLOOKUP($B44, IMPORTRANGE('Prelim Rankings Unsorted'!$B$42, CONCAT(VLOOKUP($C44, 'Match Names'!$A$1:$D$22, 4, FALSE)"&amp;", ""!C3:R29"")), {4;10;16;22}, FALSE)), ""=4"") + COUNTIF(ARRAYFORMULA(HLOOKUP($B44, IMPORTRANGE('Match Names'!$E$23, CONCAT(VLOOKUP($C44, 'Match Names'!$1:$22, 5, FALSE), ""!C3:R29"")), {5;10;15;20}, FALSE)), ""=4"") + COUNTIF(ARRAYFORMULA(HLOOKUP($B44, "&amp;"IMPORTRANGE('Match Names'!$F$23, CONCAT(VLOOKUP($C44, 'Match Names'!$1:$22, 6, FALSE), ""!C3:R29"")), {4;10;16;22}, FALSE)), ""=4"") + COUNTIF(ARRAYFORMULA(HLOOKUP($B44, IMPORTRANGE('Match Names'!$G$23, CONCAT(VLOOKUP($C44, 'Match Names'!$1:$22, 7, FALSE)"&amp;", ""!C3:R29"")), {4;9;13;19}, FALSE)), ""=4"") + COUNTIF(ARRAYFORMULA(HLOOKUP($B44, IMPORTRANGE('Match Names'!$H$23, CONCAT(VLOOKUP($C44, 'Match Names'!$1:$22, 8, FALSE), ""!C3:R29"")), {3;9;15;21}, FALSE)), ""=4"")"),12.0)</f>
        <v>12</v>
      </c>
      <c r="F44" s="32">
        <f>IFERROR(__xludf.DUMMYFUNCTION("COUNTIF(ARRAYFORMULA(HLOOKUP($B44, IMPORTRANGE('Prelim Rankings Unsorted'!$B$40, CONCAT(VLOOKUP($C44, 'Match Names'!$A$1:$D$22, 2, FALSE), ""!C3:R29"")), {5;10;16;22}, FALSE)), ""=0"") + COUNTIF(ARRAYFORMULA(HLOOKUP($B44, IMPORTRANGE('Prelim Rankings Unso"&amp;"rted'!$B$41, CONCAT(VLOOKUP($C44, 'Match Names'!$A$1:$D$22, 3, FALSE), ""!C3:R29"")), {2;8;14;20}, FALSE)), ""=0"") + COUNTIF(ARRAYFORMULA(HLOOKUP($B44, IMPORTRANGE('Prelim Rankings Unsorted'!$B$42, CONCAT(VLOOKUP($C44, 'Match Names'!$A$1:$D$22, 4, FALSE)"&amp;", ""!C3:R29"")), {4;10;16;22}, FALSE)), ""=0"") + COUNTIF(ARRAYFORMULA(HLOOKUP($B44, IMPORTRANGE('Match Names'!$E$23, CONCAT(VLOOKUP($C44, 'Match Names'!$1:$22, 5, FALSE), ""!C3:R29"")), {5;10;15;20}, FALSE)), ""=0"") + COUNTIF(ARRAYFORMULA(HLOOKUP($B44, "&amp;"IMPORTRANGE('Match Names'!$F$23, CONCAT(VLOOKUP($C44, 'Match Names'!$1:$22, 6, FALSE), ""!C3:R29"")), {4;10;16;22}, FALSE)), ""=0"") + COUNTIF(ARRAYFORMULA(HLOOKUP($B44, IMPORTRANGE('Match Names'!$G$23, CONCAT(VLOOKUP($C44, 'Match Names'!$1:$22, 7, FALSE)"&amp;", ""!C3:R29"")), {4;9;13;19}, FALSE)), ""=0"") + COUNTIF(ARRAYFORMULA(HLOOKUP($B44, IMPORTRANGE('Match Names'!$H$23, CONCAT(VLOOKUP($C44, 'Match Names'!$1:$22, 8, FALSE), ""!C3:R29"")), {3;9;15;21}, FALSE)), ""=0"")"),1.0)</f>
        <v>1</v>
      </c>
      <c r="G44" s="32">
        <f>IFERROR(__xludf.DUMMYFUNCTION("COUNTIF(ARRAYFORMULA(HLOOKUP($B44, IMPORTRANGE('Prelim Rankings Unsorted'!$B$40, CONCAT(VLOOKUP($C44, 'Match Names'!$A$1:$D$22, 2, FALSE), ""!C3:R29"")), {5;10;16;22}, FALSE)), ""=-4"") + COUNTIF(ARRAYFORMULA(HLOOKUP($B44, IMPORTRANGE('Prelim Rankings Uns"&amp;"orted'!$B$41, CONCAT(VLOOKUP($C44, 'Match Names'!$A$1:$D$22, 3, FALSE), ""!C3:R29"")), {2;8;14;20}, FALSE)), ""=-4"") + COUNTIF(ARRAYFORMULA(HLOOKUP($B44, IMPORTRANGE('Prelim Rankings Unsorted'!$B$42, CONCAT(VLOOKUP($C44, 'Match Names'!$A$1:$D$22, 4, FALS"&amp;"E), ""!C3:R29"")), {4;10;16;22}, FALSE)), ""=-4"") + COUNTIF(ARRAYFORMULA(HLOOKUP($B44, IMPORTRANGE('Match Names'!$E$23, CONCAT(VLOOKUP($C44, 'Match Names'!$1:$22, 5, FALSE), ""!C3:R29"")), {5;10;15;20}, FALSE)), ""=-4"") + COUNTIF(ARRAYFORMULA(HLOOKUP($B"&amp;"44, IMPORTRANGE('Match Names'!$F$23, CONCAT(VLOOKUP($C44, 'Match Names'!$1:$22, 6, FALSE), ""!C3:R29"")), {4;10;16;22}, FALSE)), ""=-4"") + COUNTIF(ARRAYFORMULA(HLOOKUP($B44, IMPORTRANGE('Match Names'!$G$23, CONCAT(VLOOKUP($C44, 'Match Names'!$1:$22, 7, F"&amp;"ALSE), ""!C3:R29"")), {4;9;13;19}, FALSE)), ""=-4"") + COUNTIF(ARRAYFORMULA(HLOOKUP($B44, IMPORTRANGE('Match Names'!$H$23, CONCAT(VLOOKUP($C44, 'Match Names'!$1:$22, 8, FALSE), ""!C3:R29"")), {3;9;15;21}, FALSE)), ""=-4"")"),0.0)</f>
        <v>0</v>
      </c>
      <c r="H44" s="33">
        <f t="shared" si="1"/>
        <v>9.6</v>
      </c>
    </row>
    <row r="45">
      <c r="A45" s="31" t="s">
        <v>113</v>
      </c>
      <c r="B45" s="31" t="str">
        <f>VLOOKUP(CONCAT(A45, C45), 'Discord Username to Real Name'!C:D, 2, FALSE)</f>
        <v>a5a7#2184</v>
      </c>
      <c r="C45" s="31" t="s">
        <v>15</v>
      </c>
      <c r="D45" s="32">
        <f>IFERROR(__xludf.DUMMYFUNCTION("(4 - COUNTIF(IFERROR(ARRAYFORMULA(HLOOKUP($B45, IMPORTRANGE('Prelim Rankings Unsorted'!$B$40, CONCAT(VLOOKUP($C45, 'Match Names'!$A$1:$D$22, 2, FALSE), ""!C3:R29"")), {5;10;16;22}, FALSE)), 'Player Overall Stats Unsorted'!$AA$9:$AA$12), ""=X"")) + (4 - CO"&amp;"UNTIF(IFERROR(ARRAYFORMULA(HLOOKUP($B45, IMPORTRANGE('Prelim Rankings Unsorted'!$B$41, CONCAT(VLOOKUP($C45, 'Match Names'!$A$1:$D$22, 3, FALSE), ""!C3:R29"")), {2;8;14;20}, FALSE)), 'Player Overall Stats Unsorted'!$AA$9:$AA$12), ""=X"")) + (4 - COUNTIF(IF"&amp;"ERROR(ARRAYFORMULA(HLOOKUP($B45, IMPORTRANGE('Prelim Rankings Unsorted'!$B$42, CONCAT(VLOOKUP($C45, 'Match Names'!$A$1:$D$22, 4, FALSE), ""!C3:R29"")), {4;10;16;22}, FALSE)), 'Player Overall Stats Unsorted'!$AA$9:$AA$12), ""=X"")) + (4 - COUNTIF(IFERROR(A"&amp;"RRAYFORMULA(HLOOKUP($B45, IMPORTRANGE('Match Names'!$E$23, CONCAT(VLOOKUP($C45, 'Match Names'!$1:$22, 5, FALSE), ""!C3:R29"")), {5;10;15;20}, FALSE)), 'Player Overall Stats Unsorted'!$AA$9:$AA$12), ""=X"")) + (4 - COUNTIF(IFERROR(ARRAYFORMULA(HLOOKUP($B45"&amp;", IMPORTRANGE('Match Names'!$F$23, CONCAT(VLOOKUP($C45, 'Match Names'!$1:$22, 6, FALSE), ""!C3:R29"")), {4;10;16;22}, FALSE)), 'Player Overall Stats Unsorted'!$AA$9:$AA$12), ""=X"")) + (4 - COUNTIF(IFERROR(ARRAYFORMULA(HLOOKUP($B45, IMPORTRANGE('Match Nam"&amp;"es'!$G$23, CONCAT(VLOOKUP($C45, 'Match Names'!$1:$22, 7, FALSE), ""!C3:R29"")), {4;9;13;19}, FALSE)), 'Player Overall Stats Unsorted'!$AA$9:$AA$12), ""=X"")) + (4 - COUNTIF(IFERROR(ARRAYFORMULA(HLOOKUP($B45, IMPORTRANGE('Match Names'!$H$23, CONCAT(VLOOKUP"&amp;"($C45, 'Match Names'!$1:$22, 8, FALSE), ""!C3:R29"")), {3;9;15;21}, FALSE)), 'Player Overall Stats Unsorted'!$AA$9:$AA$12), ""=X""))"),15.0)</f>
        <v>15</v>
      </c>
      <c r="E45" s="32">
        <f>IFERROR(__xludf.DUMMYFUNCTION("COUNTIF(ARRAYFORMULA(HLOOKUP($B45, IMPORTRANGE('Prelim Rankings Unsorted'!$B$40, CONCAT(VLOOKUP($C45, 'Match Names'!$A$1:$D$22, 2, FALSE), ""!C3:R29"")), {5;10;16;22}, FALSE)), ""=4"") + COUNTIF(ARRAYFORMULA(HLOOKUP($B45, IMPORTRANGE('Prelim Rankings Unso"&amp;"rted'!$B$41, CONCAT(VLOOKUP($C45, 'Match Names'!$A$1:$D$22, 3, FALSE), ""!C3:R29"")), {2;8;14;20}, FALSE)), ""=4"") + COUNTIF(ARRAYFORMULA(HLOOKUP($B45, IMPORTRANGE('Prelim Rankings Unsorted'!$B$42, CONCAT(VLOOKUP($C45, 'Match Names'!$A$1:$D$22, 4, FALSE)"&amp;", ""!C3:R29"")), {4;10;16;22}, FALSE)), ""=4"") + COUNTIF(ARRAYFORMULA(HLOOKUP($B45, IMPORTRANGE('Match Names'!$E$23, CONCAT(VLOOKUP($C45, 'Match Names'!$1:$22, 5, FALSE), ""!C3:R29"")), {5;10;15;20}, FALSE)), ""=4"") + COUNTIF(ARRAYFORMULA(HLOOKUP($B45, "&amp;"IMPORTRANGE('Match Names'!$F$23, CONCAT(VLOOKUP($C45, 'Match Names'!$1:$22, 6, FALSE), ""!C3:R29"")), {4;10;16;22}, FALSE)), ""=4"") + COUNTIF(ARRAYFORMULA(HLOOKUP($B45, IMPORTRANGE('Match Names'!$G$23, CONCAT(VLOOKUP($C45, 'Match Names'!$1:$22, 7, FALSE)"&amp;", ""!C3:R29"")), {4;9;13;19}, FALSE)), ""=4"") + COUNTIF(ARRAYFORMULA(HLOOKUP($B45, IMPORTRANGE('Match Names'!$H$23, CONCAT(VLOOKUP($C45, 'Match Names'!$1:$22, 8, FALSE), ""!C3:R29"")), {3;9;15;21}, FALSE)), ""=4"")"),1.0)</f>
        <v>1</v>
      </c>
      <c r="F45" s="32">
        <f>IFERROR(__xludf.DUMMYFUNCTION("COUNTIF(ARRAYFORMULA(HLOOKUP($B45, IMPORTRANGE('Prelim Rankings Unsorted'!$B$40, CONCAT(VLOOKUP($C45, 'Match Names'!$A$1:$D$22, 2, FALSE), ""!C3:R29"")), {5;10;16;22}, FALSE)), ""=0"") + COUNTIF(ARRAYFORMULA(HLOOKUP($B45, IMPORTRANGE('Prelim Rankings Unso"&amp;"rted'!$B$41, CONCAT(VLOOKUP($C45, 'Match Names'!$A$1:$D$22, 3, FALSE), ""!C3:R29"")), {2;8;14;20}, FALSE)), ""=0"") + COUNTIF(ARRAYFORMULA(HLOOKUP($B45, IMPORTRANGE('Prelim Rankings Unsorted'!$B$42, CONCAT(VLOOKUP($C45, 'Match Names'!$A$1:$D$22, 4, FALSE)"&amp;", ""!C3:R29"")), {4;10;16;22}, FALSE)), ""=0"") + COUNTIF(ARRAYFORMULA(HLOOKUP($B45, IMPORTRANGE('Match Names'!$E$23, CONCAT(VLOOKUP($C45, 'Match Names'!$1:$22, 5, FALSE), ""!C3:R29"")), {5;10;15;20}, FALSE)), ""=0"") + COUNTIF(ARRAYFORMULA(HLOOKUP($B45, "&amp;"IMPORTRANGE('Match Names'!$F$23, CONCAT(VLOOKUP($C45, 'Match Names'!$1:$22, 6, FALSE), ""!C3:R29"")), {4;10;16;22}, FALSE)), ""=0"") + COUNTIF(ARRAYFORMULA(HLOOKUP($B45, IMPORTRANGE('Match Names'!$G$23, CONCAT(VLOOKUP($C45, 'Match Names'!$1:$22, 7, FALSE)"&amp;", ""!C3:R29"")), {4;9;13;19}, FALSE)), ""=0"") + COUNTIF(ARRAYFORMULA(HLOOKUP($B45, IMPORTRANGE('Match Names'!$H$23, CONCAT(VLOOKUP($C45, 'Match Names'!$1:$22, 8, FALSE), ""!C3:R29"")), {3;9;15;21}, FALSE)), ""=0"")"),1.0)</f>
        <v>1</v>
      </c>
      <c r="G45" s="32">
        <f>IFERROR(__xludf.DUMMYFUNCTION("COUNTIF(ARRAYFORMULA(HLOOKUP($B45, IMPORTRANGE('Prelim Rankings Unsorted'!$B$40, CONCAT(VLOOKUP($C45, 'Match Names'!$A$1:$D$22, 2, FALSE), ""!C3:R29"")), {5;10;16;22}, FALSE)), ""=-4"") + COUNTIF(ARRAYFORMULA(HLOOKUP($B45, IMPORTRANGE('Prelim Rankings Uns"&amp;"orted'!$B$41, CONCAT(VLOOKUP($C45, 'Match Names'!$A$1:$D$22, 3, FALSE), ""!C3:R29"")), {2;8;14;20}, FALSE)), ""=-4"") + COUNTIF(ARRAYFORMULA(HLOOKUP($B45, IMPORTRANGE('Prelim Rankings Unsorted'!$B$42, CONCAT(VLOOKUP($C45, 'Match Names'!$A$1:$D$22, 4, FALS"&amp;"E), ""!C3:R29"")), {4;10;16;22}, FALSE)), ""=-4"") + COUNTIF(ARRAYFORMULA(HLOOKUP($B45, IMPORTRANGE('Match Names'!$E$23, CONCAT(VLOOKUP($C45, 'Match Names'!$1:$22, 5, FALSE), ""!C3:R29"")), {5;10;15;20}, FALSE)), ""=-4"") + COUNTIF(ARRAYFORMULA(HLOOKUP($B"&amp;"45, IMPORTRANGE('Match Names'!$F$23, CONCAT(VLOOKUP($C45, 'Match Names'!$1:$22, 6, FALSE), ""!C3:R29"")), {4;10;16;22}, FALSE)), ""=-4"") + COUNTIF(ARRAYFORMULA(HLOOKUP($B45, IMPORTRANGE('Match Names'!$G$23, CONCAT(VLOOKUP($C45, 'Match Names'!$1:$22, 7, F"&amp;"ALSE), ""!C3:R29"")), {4;9;13;19}, FALSE)), ""=-4"") + COUNTIF(ARRAYFORMULA(HLOOKUP($B45, IMPORTRANGE('Match Names'!$H$23, CONCAT(VLOOKUP($C45, 'Match Names'!$1:$22, 8, FALSE), ""!C3:R29"")), {3;9;15;21}, FALSE)), ""=-4"")"),0.0)</f>
        <v>0</v>
      </c>
      <c r="H45" s="33">
        <f t="shared" si="1"/>
        <v>1.07</v>
      </c>
    </row>
    <row r="46">
      <c r="A46" s="31" t="s">
        <v>169</v>
      </c>
      <c r="B46" s="31" t="str">
        <f>VLOOKUP(CONCAT(A46, C46), 'Discord Username to Real Name'!C:D, 2, FALSE)</f>
        <v>Verisimilitude#2169</v>
      </c>
      <c r="C46" s="31" t="s">
        <v>15</v>
      </c>
      <c r="D46" s="32">
        <f>IFERROR(__xludf.DUMMYFUNCTION("(4 - COUNTIF(IFERROR(ARRAYFORMULA(HLOOKUP($B46, IMPORTRANGE('Prelim Rankings Unsorted'!$B$40, CONCAT(VLOOKUP($C46, 'Match Names'!$A$1:$D$22, 2, FALSE), ""!C3:R29"")), {5;10;16;22}, FALSE)), 'Player Overall Stats Unsorted'!$AA$9:$AA$12), ""=X"")) + (4 - CO"&amp;"UNTIF(IFERROR(ARRAYFORMULA(HLOOKUP($B46, IMPORTRANGE('Prelim Rankings Unsorted'!$B$41, CONCAT(VLOOKUP($C46, 'Match Names'!$A$1:$D$22, 3, FALSE), ""!C3:R29"")), {2;8;14;20}, FALSE)), 'Player Overall Stats Unsorted'!$AA$9:$AA$12), ""=X"")) + (4 - COUNTIF(IF"&amp;"ERROR(ARRAYFORMULA(HLOOKUP($B46, IMPORTRANGE('Prelim Rankings Unsorted'!$B$42, CONCAT(VLOOKUP($C46, 'Match Names'!$A$1:$D$22, 4, FALSE), ""!C3:R29"")), {4;10;16;22}, FALSE)), 'Player Overall Stats Unsorted'!$AA$9:$AA$12), ""=X"")) + (4 - COUNTIF(IFERROR(A"&amp;"RRAYFORMULA(HLOOKUP($B46, IMPORTRANGE('Match Names'!$E$23, CONCAT(VLOOKUP($C46, 'Match Names'!$1:$22, 5, FALSE), ""!C3:R29"")), {5;10;15;20}, FALSE)), 'Player Overall Stats Unsorted'!$AA$9:$AA$12), ""=X"")) + (4 - COUNTIF(IFERROR(ARRAYFORMULA(HLOOKUP($B46"&amp;", IMPORTRANGE('Match Names'!$F$23, CONCAT(VLOOKUP($C46, 'Match Names'!$1:$22, 6, FALSE), ""!C3:R29"")), {4;10;16;22}, FALSE)), 'Player Overall Stats Unsorted'!$AA$9:$AA$12), ""=X"")) + (4 - COUNTIF(IFERROR(ARRAYFORMULA(HLOOKUP($B46, IMPORTRANGE('Match Nam"&amp;"es'!$G$23, CONCAT(VLOOKUP($C46, 'Match Names'!$1:$22, 7, FALSE), ""!C3:R29"")), {4;9;13;19}, FALSE)), 'Player Overall Stats Unsorted'!$AA$9:$AA$12), ""=X"")) + (4 - COUNTIF(IFERROR(ARRAYFORMULA(HLOOKUP($B46, IMPORTRANGE('Match Names'!$H$23, CONCAT(VLOOKUP"&amp;"($C46, 'Match Names'!$1:$22, 8, FALSE), ""!C3:R29"")), {3;9;15;21}, FALSE)), 'Player Overall Stats Unsorted'!$AA$9:$AA$12), ""=X""))"),13.0)</f>
        <v>13</v>
      </c>
      <c r="E46" s="32">
        <f>IFERROR(__xludf.DUMMYFUNCTION("COUNTIF(ARRAYFORMULA(HLOOKUP($B46, IMPORTRANGE('Prelim Rankings Unsorted'!$B$40, CONCAT(VLOOKUP($C46, 'Match Names'!$A$1:$D$22, 2, FALSE), ""!C3:R29"")), {5;10;16;22}, FALSE)), ""=4"") + COUNTIF(ARRAYFORMULA(HLOOKUP($B46, IMPORTRANGE('Prelim Rankings Unso"&amp;"rted'!$B$41, CONCAT(VLOOKUP($C46, 'Match Names'!$A$1:$D$22, 3, FALSE), ""!C3:R29"")), {2;8;14;20}, FALSE)), ""=4"") + COUNTIF(ARRAYFORMULA(HLOOKUP($B46, IMPORTRANGE('Prelim Rankings Unsorted'!$B$42, CONCAT(VLOOKUP($C46, 'Match Names'!$A$1:$D$22, 4, FALSE)"&amp;", ""!C3:R29"")), {4;10;16;22}, FALSE)), ""=4"") + COUNTIF(ARRAYFORMULA(HLOOKUP($B46, IMPORTRANGE('Match Names'!$E$23, CONCAT(VLOOKUP($C46, 'Match Names'!$1:$22, 5, FALSE), ""!C3:R29"")), {5;10;15;20}, FALSE)), ""=4"") + COUNTIF(ARRAYFORMULA(HLOOKUP($B46, "&amp;"IMPORTRANGE('Match Names'!$F$23, CONCAT(VLOOKUP($C46, 'Match Names'!$1:$22, 6, FALSE), ""!C3:R29"")), {4;10;16;22}, FALSE)), ""=4"") + COUNTIF(ARRAYFORMULA(HLOOKUP($B46, IMPORTRANGE('Match Names'!$G$23, CONCAT(VLOOKUP($C46, 'Match Names'!$1:$22, 7, FALSE)"&amp;", ""!C3:R29"")), {4;9;13;19}, FALSE)), ""=4"") + COUNTIF(ARRAYFORMULA(HLOOKUP($B46, IMPORTRANGE('Match Names'!$H$23, CONCAT(VLOOKUP($C46, 'Match Names'!$1:$22, 8, FALSE), ""!C3:R29"")), {3;9;15;21}, FALSE)), ""=4"")"),0.0)</f>
        <v>0</v>
      </c>
      <c r="F46" s="32">
        <f>IFERROR(__xludf.DUMMYFUNCTION("COUNTIF(ARRAYFORMULA(HLOOKUP($B46, IMPORTRANGE('Prelim Rankings Unsorted'!$B$40, CONCAT(VLOOKUP($C46, 'Match Names'!$A$1:$D$22, 2, FALSE), ""!C3:R29"")), {5;10;16;22}, FALSE)), ""=0"") + COUNTIF(ARRAYFORMULA(HLOOKUP($B46, IMPORTRANGE('Prelim Rankings Unso"&amp;"rted'!$B$41, CONCAT(VLOOKUP($C46, 'Match Names'!$A$1:$D$22, 3, FALSE), ""!C3:R29"")), {2;8;14;20}, FALSE)), ""=0"") + COUNTIF(ARRAYFORMULA(HLOOKUP($B46, IMPORTRANGE('Prelim Rankings Unsorted'!$B$42, CONCAT(VLOOKUP($C46, 'Match Names'!$A$1:$D$22, 4, FALSE)"&amp;", ""!C3:R29"")), {4;10;16;22}, FALSE)), ""=0"") + COUNTIF(ARRAYFORMULA(HLOOKUP($B46, IMPORTRANGE('Match Names'!$E$23, CONCAT(VLOOKUP($C46, 'Match Names'!$1:$22, 5, FALSE), ""!C3:R29"")), {5;10;15;20}, FALSE)), ""=0"") + COUNTIF(ARRAYFORMULA(HLOOKUP($B46, "&amp;"IMPORTRANGE('Match Names'!$F$23, CONCAT(VLOOKUP($C46, 'Match Names'!$1:$22, 6, FALSE), ""!C3:R29"")), {4;10;16;22}, FALSE)), ""=0"") + COUNTIF(ARRAYFORMULA(HLOOKUP($B46, IMPORTRANGE('Match Names'!$G$23, CONCAT(VLOOKUP($C46, 'Match Names'!$1:$22, 7, FALSE)"&amp;", ""!C3:R29"")), {4;9;13;19}, FALSE)), ""=0"") + COUNTIF(ARRAYFORMULA(HLOOKUP($B46, IMPORTRANGE('Match Names'!$H$23, CONCAT(VLOOKUP($C46, 'Match Names'!$1:$22, 8, FALSE), ""!C3:R29"")), {3;9;15;21}, FALSE)), ""=0"")"),0.0)</f>
        <v>0</v>
      </c>
      <c r="G46" s="32">
        <f>IFERROR(__xludf.DUMMYFUNCTION("COUNTIF(ARRAYFORMULA(HLOOKUP($B46, IMPORTRANGE('Prelim Rankings Unsorted'!$B$40, CONCAT(VLOOKUP($C46, 'Match Names'!$A$1:$D$22, 2, FALSE), ""!C3:R29"")), {5;10;16;22}, FALSE)), ""=-4"") + COUNTIF(ARRAYFORMULA(HLOOKUP($B46, IMPORTRANGE('Prelim Rankings Uns"&amp;"orted'!$B$41, CONCAT(VLOOKUP($C46, 'Match Names'!$A$1:$D$22, 3, FALSE), ""!C3:R29"")), {2;8;14;20}, FALSE)), ""=-4"") + COUNTIF(ARRAYFORMULA(HLOOKUP($B46, IMPORTRANGE('Prelim Rankings Unsorted'!$B$42, CONCAT(VLOOKUP($C46, 'Match Names'!$A$1:$D$22, 4, FALS"&amp;"E), ""!C3:R29"")), {4;10;16;22}, FALSE)), ""=-4"") + COUNTIF(ARRAYFORMULA(HLOOKUP($B46, IMPORTRANGE('Match Names'!$E$23, CONCAT(VLOOKUP($C46, 'Match Names'!$1:$22, 5, FALSE), ""!C3:R29"")), {5;10;15;20}, FALSE)), ""=-4"") + COUNTIF(ARRAYFORMULA(HLOOKUP($B"&amp;"46, IMPORTRANGE('Match Names'!$F$23, CONCAT(VLOOKUP($C46, 'Match Names'!$1:$22, 6, FALSE), ""!C3:R29"")), {4;10;16;22}, FALSE)), ""=-4"") + COUNTIF(ARRAYFORMULA(HLOOKUP($B46, IMPORTRANGE('Match Names'!$G$23, CONCAT(VLOOKUP($C46, 'Match Names'!$1:$22, 7, F"&amp;"ALSE), ""!C3:R29"")), {4;9;13;19}, FALSE)), ""=-4"") + COUNTIF(ARRAYFORMULA(HLOOKUP($B46, IMPORTRANGE('Match Names'!$H$23, CONCAT(VLOOKUP($C46, 'Match Names'!$1:$22, 8, FALSE), ""!C3:R29"")), {3;9;15;21}, FALSE)), ""=-4"")"),0.0)</f>
        <v>0</v>
      </c>
      <c r="H46" s="33">
        <f t="shared" si="1"/>
        <v>0</v>
      </c>
    </row>
    <row r="47">
      <c r="A47" s="31" t="s">
        <v>127</v>
      </c>
      <c r="B47" s="31" t="str">
        <f>VLOOKUP(CONCAT(A47, C47), 'Discord Username to Real Name'!C:D, 2, FALSE)</f>
        <v>PerfectPenguin#3133</v>
      </c>
      <c r="C47" s="31" t="s">
        <v>15</v>
      </c>
      <c r="D47" s="32">
        <f>IFERROR(__xludf.DUMMYFUNCTION("(4 - COUNTIF(IFERROR(ARRAYFORMULA(HLOOKUP($B47, IMPORTRANGE('Prelim Rankings Unsorted'!$B$40, CONCAT(VLOOKUP($C47, 'Match Names'!$A$1:$D$22, 2, FALSE), ""!C3:R29"")), {5;10;16;22}, FALSE)), 'Player Overall Stats Unsorted'!$AA$9:$AA$12), ""=X"")) + (4 - CO"&amp;"UNTIF(IFERROR(ARRAYFORMULA(HLOOKUP($B47, IMPORTRANGE('Prelim Rankings Unsorted'!$B$41, CONCAT(VLOOKUP($C47, 'Match Names'!$A$1:$D$22, 3, FALSE), ""!C3:R29"")), {2;8;14;20}, FALSE)), 'Player Overall Stats Unsorted'!$AA$9:$AA$12), ""=X"")) + (4 - COUNTIF(IF"&amp;"ERROR(ARRAYFORMULA(HLOOKUP($B47, IMPORTRANGE('Prelim Rankings Unsorted'!$B$42, CONCAT(VLOOKUP($C47, 'Match Names'!$A$1:$D$22, 4, FALSE), ""!C3:R29"")), {4;10;16;22}, FALSE)), 'Player Overall Stats Unsorted'!$AA$9:$AA$12), ""=X"")) + (4 - COUNTIF(IFERROR(A"&amp;"RRAYFORMULA(HLOOKUP($B47, IMPORTRANGE('Match Names'!$E$23, CONCAT(VLOOKUP($C47, 'Match Names'!$1:$22, 5, FALSE), ""!C3:R29"")), {5;10;15;20}, FALSE)), 'Player Overall Stats Unsorted'!$AA$9:$AA$12), ""=X"")) + (4 - COUNTIF(IFERROR(ARRAYFORMULA(HLOOKUP($B47"&amp;", IMPORTRANGE('Match Names'!$F$23, CONCAT(VLOOKUP($C47, 'Match Names'!$1:$22, 6, FALSE), ""!C3:R29"")), {4;10;16;22}, FALSE)), 'Player Overall Stats Unsorted'!$AA$9:$AA$12), ""=X"")) + (4 - COUNTIF(IFERROR(ARRAYFORMULA(HLOOKUP($B47, IMPORTRANGE('Match Nam"&amp;"es'!$G$23, CONCAT(VLOOKUP($C47, 'Match Names'!$1:$22, 7, FALSE), ""!C3:R29"")), {4;9;13;19}, FALSE)), 'Player Overall Stats Unsorted'!$AA$9:$AA$12), ""=X"")) + (4 - COUNTIF(IFERROR(ARRAYFORMULA(HLOOKUP($B47, IMPORTRANGE('Match Names'!$H$23, CONCAT(VLOOKUP"&amp;"($C47, 'Match Names'!$1:$22, 8, FALSE), ""!C3:R29"")), {3;9;15;21}, FALSE)), 'Player Overall Stats Unsorted'!$AA$9:$AA$12), ""=X""))"),24.0)</f>
        <v>24</v>
      </c>
      <c r="E47" s="32">
        <f>IFERROR(__xludf.DUMMYFUNCTION("COUNTIF(ARRAYFORMULA(HLOOKUP($B47, IMPORTRANGE('Prelim Rankings Unsorted'!$B$40, CONCAT(VLOOKUP($C47, 'Match Names'!$A$1:$D$22, 2, FALSE), ""!C3:R29"")), {5;10;16;22}, FALSE)), ""=4"") + COUNTIF(ARRAYFORMULA(HLOOKUP($B47, IMPORTRANGE('Prelim Rankings Unso"&amp;"rted'!$B$41, CONCAT(VLOOKUP($C47, 'Match Names'!$A$1:$D$22, 3, FALSE), ""!C3:R29"")), {2;8;14;20}, FALSE)), ""=4"") + COUNTIF(ARRAYFORMULA(HLOOKUP($B47, IMPORTRANGE('Prelim Rankings Unsorted'!$B$42, CONCAT(VLOOKUP($C47, 'Match Names'!$A$1:$D$22, 4, FALSE)"&amp;", ""!C3:R29"")), {4;10;16;22}, FALSE)), ""=4"") + COUNTIF(ARRAYFORMULA(HLOOKUP($B47, IMPORTRANGE('Match Names'!$E$23, CONCAT(VLOOKUP($C47, 'Match Names'!$1:$22, 5, FALSE), ""!C3:R29"")), {5;10;15;20}, FALSE)), ""=4"") + COUNTIF(ARRAYFORMULA(HLOOKUP($B47, "&amp;"IMPORTRANGE('Match Names'!$F$23, CONCAT(VLOOKUP($C47, 'Match Names'!$1:$22, 6, FALSE), ""!C3:R29"")), {4;10;16;22}, FALSE)), ""=4"") + COUNTIF(ARRAYFORMULA(HLOOKUP($B47, IMPORTRANGE('Match Names'!$G$23, CONCAT(VLOOKUP($C47, 'Match Names'!$1:$22, 7, FALSE)"&amp;", ""!C3:R29"")), {4;9;13;19}, FALSE)), ""=4"") + COUNTIF(ARRAYFORMULA(HLOOKUP($B47, IMPORTRANGE('Match Names'!$H$23, CONCAT(VLOOKUP($C47, 'Match Names'!$1:$22, 8, FALSE), ""!C3:R29"")), {3;9;15;21}, FALSE)), ""=4"")"),0.0)</f>
        <v>0</v>
      </c>
      <c r="F47" s="32">
        <f>IFERROR(__xludf.DUMMYFUNCTION("COUNTIF(ARRAYFORMULA(HLOOKUP($B47, IMPORTRANGE('Prelim Rankings Unsorted'!$B$40, CONCAT(VLOOKUP($C47, 'Match Names'!$A$1:$D$22, 2, FALSE), ""!C3:R29"")), {5;10;16;22}, FALSE)), ""=0"") + COUNTIF(ARRAYFORMULA(HLOOKUP($B47, IMPORTRANGE('Prelim Rankings Unso"&amp;"rted'!$B$41, CONCAT(VLOOKUP($C47, 'Match Names'!$A$1:$D$22, 3, FALSE), ""!C3:R29"")), {2;8;14;20}, FALSE)), ""=0"") + COUNTIF(ARRAYFORMULA(HLOOKUP($B47, IMPORTRANGE('Prelim Rankings Unsorted'!$B$42, CONCAT(VLOOKUP($C47, 'Match Names'!$A$1:$D$22, 4, FALSE)"&amp;", ""!C3:R29"")), {4;10;16;22}, FALSE)), ""=0"") + COUNTIF(ARRAYFORMULA(HLOOKUP($B47, IMPORTRANGE('Match Names'!$E$23, CONCAT(VLOOKUP($C47, 'Match Names'!$1:$22, 5, FALSE), ""!C3:R29"")), {5;10;15;20}, FALSE)), ""=0"") + COUNTIF(ARRAYFORMULA(HLOOKUP($B47, "&amp;"IMPORTRANGE('Match Names'!$F$23, CONCAT(VLOOKUP($C47, 'Match Names'!$1:$22, 6, FALSE), ""!C3:R29"")), {4;10;16;22}, FALSE)), ""=0"") + COUNTIF(ARRAYFORMULA(HLOOKUP($B47, IMPORTRANGE('Match Names'!$G$23, CONCAT(VLOOKUP($C47, 'Match Names'!$1:$22, 7, FALSE)"&amp;", ""!C3:R29"")), {4;9;13;19}, FALSE)), ""=0"") + COUNTIF(ARRAYFORMULA(HLOOKUP($B47, IMPORTRANGE('Match Names'!$H$23, CONCAT(VLOOKUP($C47, 'Match Names'!$1:$22, 8, FALSE), ""!C3:R29"")), {3;9;15;21}, FALSE)), ""=0"")"),0.0)</f>
        <v>0</v>
      </c>
      <c r="G47" s="32">
        <f>IFERROR(__xludf.DUMMYFUNCTION("COUNTIF(ARRAYFORMULA(HLOOKUP($B47, IMPORTRANGE('Prelim Rankings Unsorted'!$B$40, CONCAT(VLOOKUP($C47, 'Match Names'!$A$1:$D$22, 2, FALSE), ""!C3:R29"")), {5;10;16;22}, FALSE)), ""=-4"") + COUNTIF(ARRAYFORMULA(HLOOKUP($B47, IMPORTRANGE('Prelim Rankings Uns"&amp;"orted'!$B$41, CONCAT(VLOOKUP($C47, 'Match Names'!$A$1:$D$22, 3, FALSE), ""!C3:R29"")), {2;8;14;20}, FALSE)), ""=-4"") + COUNTIF(ARRAYFORMULA(HLOOKUP($B47, IMPORTRANGE('Prelim Rankings Unsorted'!$B$42, CONCAT(VLOOKUP($C47, 'Match Names'!$A$1:$D$22, 4, FALS"&amp;"E), ""!C3:R29"")), {4;10;16;22}, FALSE)), ""=-4"") + COUNTIF(ARRAYFORMULA(HLOOKUP($B47, IMPORTRANGE('Match Names'!$E$23, CONCAT(VLOOKUP($C47, 'Match Names'!$1:$22, 5, FALSE), ""!C3:R29"")), {5;10;15;20}, FALSE)), ""=-4"") + COUNTIF(ARRAYFORMULA(HLOOKUP($B"&amp;"47, IMPORTRANGE('Match Names'!$F$23, CONCAT(VLOOKUP($C47, 'Match Names'!$1:$22, 6, FALSE), ""!C3:R29"")), {4;10;16;22}, FALSE)), ""=-4"") + COUNTIF(ARRAYFORMULA(HLOOKUP($B47, IMPORTRANGE('Match Names'!$G$23, CONCAT(VLOOKUP($C47, 'Match Names'!$1:$22, 7, F"&amp;"ALSE), ""!C3:R29"")), {4;9;13;19}, FALSE)), ""=-4"") + COUNTIF(ARRAYFORMULA(HLOOKUP($B47, IMPORTRANGE('Match Names'!$H$23, CONCAT(VLOOKUP($C47, 'Match Names'!$1:$22, 8, FALSE), ""!C3:R29"")), {3;9;15;21}, FALSE)), ""=-4"")"),0.0)</f>
        <v>0</v>
      </c>
      <c r="H47" s="33">
        <f t="shared" si="1"/>
        <v>0</v>
      </c>
    </row>
    <row r="48">
      <c r="A48" s="21" t="s">
        <v>41</v>
      </c>
      <c r="B48" s="31" t="str">
        <f>VLOOKUP(CONCAT(A48, C48), 'Discord Username to Real Name'!C:D, 2, FALSE)</f>
        <v>ClownFrogg𓆏#3571</v>
      </c>
      <c r="C48" s="21" t="s">
        <v>14</v>
      </c>
      <c r="D48" s="32">
        <f>IFERROR(__xludf.DUMMYFUNCTION("(4 - COUNTIF(IFERROR(ARRAYFORMULA(HLOOKUP($B48, IMPORTRANGE('Prelim Rankings Unsorted'!$B$40, CONCAT(VLOOKUP($C48, 'Match Names'!$A$1:$D$22, 2, FALSE), ""!C3:R29"")), {5;10;16;22}, FALSE)), 'Player Overall Stats Unsorted'!$AA$9:$AA$12), ""=X"")) + (4 - CO"&amp;"UNTIF(IFERROR(ARRAYFORMULA(HLOOKUP($B48, IMPORTRANGE('Prelim Rankings Unsorted'!$B$41, CONCAT(VLOOKUP($C48, 'Match Names'!$A$1:$D$22, 3, FALSE), ""!C3:R29"")), {2;8;14;20}, FALSE)), 'Player Overall Stats Unsorted'!$AA$9:$AA$12), ""=X"")) + (4 - COUNTIF(IF"&amp;"ERROR(ARRAYFORMULA(HLOOKUP($B48, IMPORTRANGE('Prelim Rankings Unsorted'!$B$42, CONCAT(VLOOKUP($C48, 'Match Names'!$A$1:$D$22, 4, FALSE), ""!C3:R29"")), {4;10;16;22}, FALSE)), 'Player Overall Stats Unsorted'!$AA$9:$AA$12), ""=X"")) + (4 - COUNTIF(IFERROR(A"&amp;"RRAYFORMULA(HLOOKUP($B48, IMPORTRANGE('Match Names'!$E$23, CONCAT(VLOOKUP($C48, 'Match Names'!$1:$22, 5, FALSE), ""!C3:R29"")), {5;10;15;20}, FALSE)), 'Player Overall Stats Unsorted'!$AA$9:$AA$12), ""=X"")) + (4 - COUNTIF(IFERROR(ARRAYFORMULA(HLOOKUP($B48"&amp;", IMPORTRANGE('Match Names'!$F$23, CONCAT(VLOOKUP($C48, 'Match Names'!$1:$22, 6, FALSE), ""!C3:R29"")), {4;10;16;22}, FALSE)), 'Player Overall Stats Unsorted'!$AA$9:$AA$12), ""=X"")) + (4 - COUNTIF(IFERROR(ARRAYFORMULA(HLOOKUP($B48, IMPORTRANGE('Match Nam"&amp;"es'!$G$23, CONCAT(VLOOKUP($C48, 'Match Names'!$1:$22, 7, FALSE), ""!C3:R29"")), {4;9;13;19}, FALSE)), 'Player Overall Stats Unsorted'!$AA$9:$AA$12), ""=X"")) + (4 - COUNTIF(IFERROR(ARRAYFORMULA(HLOOKUP($B48, IMPORTRANGE('Match Names'!$H$23, CONCAT(VLOOKUP"&amp;"($C48, 'Match Names'!$1:$22, 8, FALSE), ""!C3:R29"")), {3;9;15;21}, FALSE)), 'Player Overall Stats Unsorted'!$AA$9:$AA$12), ""=X""))"),24.0)</f>
        <v>24</v>
      </c>
      <c r="E48" s="32">
        <f>IFERROR(__xludf.DUMMYFUNCTION("COUNTIF(ARRAYFORMULA(HLOOKUP($B48, IMPORTRANGE('Prelim Rankings Unsorted'!$B$40, CONCAT(VLOOKUP($C48, 'Match Names'!$A$1:$D$22, 2, FALSE), ""!C3:R29"")), {5;10;16;22}, FALSE)), ""=4"") + COUNTIF(ARRAYFORMULA(HLOOKUP($B48, IMPORTRANGE('Prelim Rankings Unso"&amp;"rted'!$B$41, CONCAT(VLOOKUP($C48, 'Match Names'!$A$1:$D$22, 3, FALSE), ""!C3:R29"")), {2;8;14;20}, FALSE)), ""=4"") + COUNTIF(ARRAYFORMULA(HLOOKUP($B48, IMPORTRANGE('Prelim Rankings Unsorted'!$B$42, CONCAT(VLOOKUP($C48, 'Match Names'!$A$1:$D$22, 4, FALSE)"&amp;", ""!C3:R29"")), {4;10;16;22}, FALSE)), ""=4"") + COUNTIF(ARRAYFORMULA(HLOOKUP($B48, IMPORTRANGE('Match Names'!$E$23, CONCAT(VLOOKUP($C48, 'Match Names'!$1:$22, 5, FALSE), ""!C3:R29"")), {5;10;15;20}, FALSE)), ""=4"") + COUNTIF(ARRAYFORMULA(HLOOKUP($B48, "&amp;"IMPORTRANGE('Match Names'!$F$23, CONCAT(VLOOKUP($C48, 'Match Names'!$1:$22, 6, FALSE), ""!C3:R29"")), {4;10;16;22}, FALSE)), ""=4"") + COUNTIF(ARRAYFORMULA(HLOOKUP($B48, IMPORTRANGE('Match Names'!$G$23, CONCAT(VLOOKUP($C48, 'Match Names'!$1:$22, 7, FALSE)"&amp;", ""!C3:R29"")), {4;9;13;19}, FALSE)), ""=4"") + COUNTIF(ARRAYFORMULA(HLOOKUP($B48, IMPORTRANGE('Match Names'!$H$23, CONCAT(VLOOKUP($C48, 'Match Names'!$1:$22, 8, FALSE), ""!C3:R29"")), {3;9;15;21}, FALSE)), ""=4"")"),10.0)</f>
        <v>10</v>
      </c>
      <c r="F48" s="32">
        <f>IFERROR(__xludf.DUMMYFUNCTION("COUNTIF(ARRAYFORMULA(HLOOKUP($B48, IMPORTRANGE('Prelim Rankings Unsorted'!$B$40, CONCAT(VLOOKUP($C48, 'Match Names'!$A$1:$D$22, 2, FALSE), ""!C3:R29"")), {5;10;16;22}, FALSE)), ""=0"") + COUNTIF(ARRAYFORMULA(HLOOKUP($B48, IMPORTRANGE('Prelim Rankings Unso"&amp;"rted'!$B$41, CONCAT(VLOOKUP($C48, 'Match Names'!$A$1:$D$22, 3, FALSE), ""!C3:R29"")), {2;8;14;20}, FALSE)), ""=0"") + COUNTIF(ARRAYFORMULA(HLOOKUP($B48, IMPORTRANGE('Prelim Rankings Unsorted'!$B$42, CONCAT(VLOOKUP($C48, 'Match Names'!$A$1:$D$22, 4, FALSE)"&amp;", ""!C3:R29"")), {4;10;16;22}, FALSE)), ""=0"") + COUNTIF(ARRAYFORMULA(HLOOKUP($B48, IMPORTRANGE('Match Names'!$E$23, CONCAT(VLOOKUP($C48, 'Match Names'!$1:$22, 5, FALSE), ""!C3:R29"")), {5;10;15;20}, FALSE)), ""=0"") + COUNTIF(ARRAYFORMULA(HLOOKUP($B48, "&amp;"IMPORTRANGE('Match Names'!$F$23, CONCAT(VLOOKUP($C48, 'Match Names'!$1:$22, 6, FALSE), ""!C3:R29"")), {4;10;16;22}, FALSE)), ""=0"") + COUNTIF(ARRAYFORMULA(HLOOKUP($B48, IMPORTRANGE('Match Names'!$G$23, CONCAT(VLOOKUP($C48, 'Match Names'!$1:$22, 7, FALSE)"&amp;", ""!C3:R29"")), {4;9;13;19}, FALSE)), ""=0"") + COUNTIF(ARRAYFORMULA(HLOOKUP($B48, IMPORTRANGE('Match Names'!$H$23, CONCAT(VLOOKUP($C48, 'Match Names'!$1:$22, 8, FALSE), ""!C3:R29"")), {3;9;15;21}, FALSE)), ""=0"")"),2.0)</f>
        <v>2</v>
      </c>
      <c r="G48" s="32">
        <f>IFERROR(__xludf.DUMMYFUNCTION("COUNTIF(ARRAYFORMULA(HLOOKUP($B48, IMPORTRANGE('Prelim Rankings Unsorted'!$B$40, CONCAT(VLOOKUP($C48, 'Match Names'!$A$1:$D$22, 2, FALSE), ""!C3:R29"")), {5;10;16;22}, FALSE)), ""=-4"") + COUNTIF(ARRAYFORMULA(HLOOKUP($B48, IMPORTRANGE('Prelim Rankings Uns"&amp;"orted'!$B$41, CONCAT(VLOOKUP($C48, 'Match Names'!$A$1:$D$22, 3, FALSE), ""!C3:R29"")), {2;8;14;20}, FALSE)), ""=-4"") + COUNTIF(ARRAYFORMULA(HLOOKUP($B48, IMPORTRANGE('Prelim Rankings Unsorted'!$B$42, CONCAT(VLOOKUP($C48, 'Match Names'!$A$1:$D$22, 4, FALS"&amp;"E), ""!C3:R29"")), {4;10;16;22}, FALSE)), ""=-4"") + COUNTIF(ARRAYFORMULA(HLOOKUP($B48, IMPORTRANGE('Match Names'!$E$23, CONCAT(VLOOKUP($C48, 'Match Names'!$1:$22, 5, FALSE), ""!C3:R29"")), {5;10;15;20}, FALSE)), ""=-4"") + COUNTIF(ARRAYFORMULA(HLOOKUP($B"&amp;"48, IMPORTRANGE('Match Names'!$F$23, CONCAT(VLOOKUP($C48, 'Match Names'!$1:$22, 6, FALSE), ""!C3:R29"")), {4;10;16;22}, FALSE)), ""=-4"") + COUNTIF(ARRAYFORMULA(HLOOKUP($B48, IMPORTRANGE('Match Names'!$G$23, CONCAT(VLOOKUP($C48, 'Match Names'!$1:$22, 7, F"&amp;"ALSE), ""!C3:R29"")), {4;9;13;19}, FALSE)), ""=-4"") + COUNTIF(ARRAYFORMULA(HLOOKUP($B48, IMPORTRANGE('Match Names'!$H$23, CONCAT(VLOOKUP($C48, 'Match Names'!$1:$22, 8, FALSE), ""!C3:R29"")), {3;9;15;21}, FALSE)), ""=-4"")"),1.0)</f>
        <v>1</v>
      </c>
      <c r="H48" s="33">
        <f t="shared" si="1"/>
        <v>6</v>
      </c>
    </row>
    <row r="49">
      <c r="A49" s="21" t="s">
        <v>56</v>
      </c>
      <c r="B49" s="31" t="str">
        <f>VLOOKUP(CONCAT(A49, C49), 'Discord Username to Real Name'!C:D, 2, FALSE)</f>
        <v>WeisPickle#1350</v>
      </c>
      <c r="C49" s="21" t="s">
        <v>14</v>
      </c>
      <c r="D49" s="32">
        <f>IFERROR(__xludf.DUMMYFUNCTION("(4 - COUNTIF(IFERROR(ARRAYFORMULA(HLOOKUP($B49, IMPORTRANGE('Prelim Rankings Unsorted'!$B$40, CONCAT(VLOOKUP($C49, 'Match Names'!$A$1:$D$22, 2, FALSE), ""!C3:R29"")), {5;10;16;22}, FALSE)), 'Player Overall Stats Unsorted'!$AA$9:$AA$12), ""=X"")) + (4 - CO"&amp;"UNTIF(IFERROR(ARRAYFORMULA(HLOOKUP($B49, IMPORTRANGE('Prelim Rankings Unsorted'!$B$41, CONCAT(VLOOKUP($C49, 'Match Names'!$A$1:$D$22, 3, FALSE), ""!C3:R29"")), {2;8;14;20}, FALSE)), 'Player Overall Stats Unsorted'!$AA$9:$AA$12), ""=X"")) + (4 - COUNTIF(IF"&amp;"ERROR(ARRAYFORMULA(HLOOKUP($B49, IMPORTRANGE('Prelim Rankings Unsorted'!$B$42, CONCAT(VLOOKUP($C49, 'Match Names'!$A$1:$D$22, 4, FALSE), ""!C3:R29"")), {4;10;16;22}, FALSE)), 'Player Overall Stats Unsorted'!$AA$9:$AA$12), ""=X"")) + (4 - COUNTIF(IFERROR(A"&amp;"RRAYFORMULA(HLOOKUP($B49, IMPORTRANGE('Match Names'!$E$23, CONCAT(VLOOKUP($C49, 'Match Names'!$1:$22, 5, FALSE), ""!C3:R29"")), {5;10;15;20}, FALSE)), 'Player Overall Stats Unsorted'!$AA$9:$AA$12), ""=X"")) + (4 - COUNTIF(IFERROR(ARRAYFORMULA(HLOOKUP($B49"&amp;", IMPORTRANGE('Match Names'!$F$23, CONCAT(VLOOKUP($C49, 'Match Names'!$1:$22, 6, FALSE), ""!C3:R29"")), {4;10;16;22}, FALSE)), 'Player Overall Stats Unsorted'!$AA$9:$AA$12), ""=X"")) + (4 - COUNTIF(IFERROR(ARRAYFORMULA(HLOOKUP($B49, IMPORTRANGE('Match Nam"&amp;"es'!$G$23, CONCAT(VLOOKUP($C49, 'Match Names'!$1:$22, 7, FALSE), ""!C3:R29"")), {4;9;13;19}, FALSE)), 'Player Overall Stats Unsorted'!$AA$9:$AA$12), ""=X"")) + (4 - COUNTIF(IFERROR(ARRAYFORMULA(HLOOKUP($B49, IMPORTRANGE('Match Names'!$H$23, CONCAT(VLOOKUP"&amp;"($C49, 'Match Names'!$1:$22, 8, FALSE), ""!C3:R29"")), {3;9;15;21}, FALSE)), 'Player Overall Stats Unsorted'!$AA$9:$AA$12), ""=X""))"),24.0)</f>
        <v>24</v>
      </c>
      <c r="E49" s="32">
        <f>IFERROR(__xludf.DUMMYFUNCTION("COUNTIF(ARRAYFORMULA(HLOOKUP($B49, IMPORTRANGE('Prelim Rankings Unsorted'!$B$40, CONCAT(VLOOKUP($C49, 'Match Names'!$A$1:$D$22, 2, FALSE), ""!C3:R29"")), {5;10;16;22}, FALSE)), ""=4"") + COUNTIF(ARRAYFORMULA(HLOOKUP($B49, IMPORTRANGE('Prelim Rankings Unso"&amp;"rted'!$B$41, CONCAT(VLOOKUP($C49, 'Match Names'!$A$1:$D$22, 3, FALSE), ""!C3:R29"")), {2;8;14;20}, FALSE)), ""=4"") + COUNTIF(ARRAYFORMULA(HLOOKUP($B49, IMPORTRANGE('Prelim Rankings Unsorted'!$B$42, CONCAT(VLOOKUP($C49, 'Match Names'!$A$1:$D$22, 4, FALSE)"&amp;", ""!C3:R29"")), {4;10;16;22}, FALSE)), ""=4"") + COUNTIF(ARRAYFORMULA(HLOOKUP($B49, IMPORTRANGE('Match Names'!$E$23, CONCAT(VLOOKUP($C49, 'Match Names'!$1:$22, 5, FALSE), ""!C3:R29"")), {5;10;15;20}, FALSE)), ""=4"") + COUNTIF(ARRAYFORMULA(HLOOKUP($B49, "&amp;"IMPORTRANGE('Match Names'!$F$23, CONCAT(VLOOKUP($C49, 'Match Names'!$1:$22, 6, FALSE), ""!C3:R29"")), {4;10;16;22}, FALSE)), ""=4"") + COUNTIF(ARRAYFORMULA(HLOOKUP($B49, IMPORTRANGE('Match Names'!$G$23, CONCAT(VLOOKUP($C49, 'Match Names'!$1:$22, 7, FALSE)"&amp;", ""!C3:R29"")), {4;9;13;19}, FALSE)), ""=4"") + COUNTIF(ARRAYFORMULA(HLOOKUP($B49, IMPORTRANGE('Match Names'!$H$23, CONCAT(VLOOKUP($C49, 'Match Names'!$1:$22, 8, FALSE), ""!C3:R29"")), {3;9;15;21}, FALSE)), ""=4"")"),0.0)</f>
        <v>0</v>
      </c>
      <c r="F49" s="32">
        <f>IFERROR(__xludf.DUMMYFUNCTION("COUNTIF(ARRAYFORMULA(HLOOKUP($B49, IMPORTRANGE('Prelim Rankings Unsorted'!$B$40, CONCAT(VLOOKUP($C49, 'Match Names'!$A$1:$D$22, 2, FALSE), ""!C3:R29"")), {5;10;16;22}, FALSE)), ""=0"") + COUNTIF(ARRAYFORMULA(HLOOKUP($B49, IMPORTRANGE('Prelim Rankings Unso"&amp;"rted'!$B$41, CONCAT(VLOOKUP($C49, 'Match Names'!$A$1:$D$22, 3, FALSE), ""!C3:R29"")), {2;8;14;20}, FALSE)), ""=0"") + COUNTIF(ARRAYFORMULA(HLOOKUP($B49, IMPORTRANGE('Prelim Rankings Unsorted'!$B$42, CONCAT(VLOOKUP($C49, 'Match Names'!$A$1:$D$22, 4, FALSE)"&amp;", ""!C3:R29"")), {4;10;16;22}, FALSE)), ""=0"") + COUNTIF(ARRAYFORMULA(HLOOKUP($B49, IMPORTRANGE('Match Names'!$E$23, CONCAT(VLOOKUP($C49, 'Match Names'!$1:$22, 5, FALSE), ""!C3:R29"")), {5;10;15;20}, FALSE)), ""=0"") + COUNTIF(ARRAYFORMULA(HLOOKUP($B49, "&amp;"IMPORTRANGE('Match Names'!$F$23, CONCAT(VLOOKUP($C49, 'Match Names'!$1:$22, 6, FALSE), ""!C3:R29"")), {4;10;16;22}, FALSE)), ""=0"") + COUNTIF(ARRAYFORMULA(HLOOKUP($B49, IMPORTRANGE('Match Names'!$G$23, CONCAT(VLOOKUP($C49, 'Match Names'!$1:$22, 7, FALSE)"&amp;", ""!C3:R29"")), {4;9;13;19}, FALSE)), ""=0"") + COUNTIF(ARRAYFORMULA(HLOOKUP($B49, IMPORTRANGE('Match Names'!$H$23, CONCAT(VLOOKUP($C49, 'Match Names'!$1:$22, 8, FALSE), ""!C3:R29"")), {3;9;15;21}, FALSE)), ""=0"")"),0.0)</f>
        <v>0</v>
      </c>
      <c r="G49" s="32">
        <f>IFERROR(__xludf.DUMMYFUNCTION("COUNTIF(ARRAYFORMULA(HLOOKUP($B49, IMPORTRANGE('Prelim Rankings Unsorted'!$B$40, CONCAT(VLOOKUP($C49, 'Match Names'!$A$1:$D$22, 2, FALSE), ""!C3:R29"")), {5;10;16;22}, FALSE)), ""=-4"") + COUNTIF(ARRAYFORMULA(HLOOKUP($B49, IMPORTRANGE('Prelim Rankings Uns"&amp;"orted'!$B$41, CONCAT(VLOOKUP($C49, 'Match Names'!$A$1:$D$22, 3, FALSE), ""!C3:R29"")), {2;8;14;20}, FALSE)), ""=-4"") + COUNTIF(ARRAYFORMULA(HLOOKUP($B49, IMPORTRANGE('Prelim Rankings Unsorted'!$B$42, CONCAT(VLOOKUP($C49, 'Match Names'!$A$1:$D$22, 4, FALS"&amp;"E), ""!C3:R29"")), {4;10;16;22}, FALSE)), ""=-4"") + COUNTIF(ARRAYFORMULA(HLOOKUP($B49, IMPORTRANGE('Match Names'!$E$23, CONCAT(VLOOKUP($C49, 'Match Names'!$1:$22, 5, FALSE), ""!C3:R29"")), {5;10;15;20}, FALSE)), ""=-4"") + COUNTIF(ARRAYFORMULA(HLOOKUP($B"&amp;"49, IMPORTRANGE('Match Names'!$F$23, CONCAT(VLOOKUP($C49, 'Match Names'!$1:$22, 6, FALSE), ""!C3:R29"")), {4;10;16;22}, FALSE)), ""=-4"") + COUNTIF(ARRAYFORMULA(HLOOKUP($B49, IMPORTRANGE('Match Names'!$G$23, CONCAT(VLOOKUP($C49, 'Match Names'!$1:$22, 7, F"&amp;"ALSE), ""!C3:R29"")), {4;9;13;19}, FALSE)), ""=-4"") + COUNTIF(ARRAYFORMULA(HLOOKUP($B49, IMPORTRANGE('Match Names'!$H$23, CONCAT(VLOOKUP($C49, 'Match Names'!$1:$22, 8, FALSE), ""!C3:R29"")), {3;9;15;21}, FALSE)), ""=-4"")"),0.0)</f>
        <v>0</v>
      </c>
      <c r="H49" s="33">
        <f t="shared" si="1"/>
        <v>0</v>
      </c>
    </row>
    <row r="50">
      <c r="A50" s="21" t="s">
        <v>132</v>
      </c>
      <c r="B50" s="31" t="str">
        <f>VLOOKUP(CONCAT(A50, C50), 'Discord Username to Real Name'!C:D, 2, FALSE)</f>
        <v>Endoplasmic Rayticulum#6706</v>
      </c>
      <c r="C50" s="21" t="s">
        <v>14</v>
      </c>
      <c r="D50" s="32">
        <f>IFERROR(__xludf.DUMMYFUNCTION("(4 - COUNTIF(IFERROR(ARRAYFORMULA(HLOOKUP($B50, IMPORTRANGE('Prelim Rankings Unsorted'!$B$40, CONCAT(VLOOKUP($C50, 'Match Names'!$A$1:$D$22, 2, FALSE), ""!C3:R29"")), {5;10;16;22}, FALSE)), 'Player Overall Stats Unsorted'!$AA$9:$AA$12), ""=X"")) + (4 - CO"&amp;"UNTIF(IFERROR(ARRAYFORMULA(HLOOKUP($B50, IMPORTRANGE('Prelim Rankings Unsorted'!$B$41, CONCAT(VLOOKUP($C50, 'Match Names'!$A$1:$D$22, 3, FALSE), ""!C3:R29"")), {2;8;14;20}, FALSE)), 'Player Overall Stats Unsorted'!$AA$9:$AA$12), ""=X"")) + (4 - COUNTIF(IF"&amp;"ERROR(ARRAYFORMULA(HLOOKUP($B50, IMPORTRANGE('Prelim Rankings Unsorted'!$B$42, CONCAT(VLOOKUP($C50, 'Match Names'!$A$1:$D$22, 4, FALSE), ""!C3:R29"")), {4;10;16;22}, FALSE)), 'Player Overall Stats Unsorted'!$AA$9:$AA$12), ""=X"")) + (4 - COUNTIF(IFERROR(A"&amp;"RRAYFORMULA(HLOOKUP($B50, IMPORTRANGE('Match Names'!$E$23, CONCAT(VLOOKUP($C50, 'Match Names'!$1:$22, 5, FALSE), ""!C3:R29"")), {5;10;15;20}, FALSE)), 'Player Overall Stats Unsorted'!$AA$9:$AA$12), ""=X"")) + (4 - COUNTIF(IFERROR(ARRAYFORMULA(HLOOKUP($B50"&amp;", IMPORTRANGE('Match Names'!$F$23, CONCAT(VLOOKUP($C50, 'Match Names'!$1:$22, 6, FALSE), ""!C3:R29"")), {4;10;16;22}, FALSE)), 'Player Overall Stats Unsorted'!$AA$9:$AA$12), ""=X"")) + (4 - COUNTIF(IFERROR(ARRAYFORMULA(HLOOKUP($B50, IMPORTRANGE('Match Nam"&amp;"es'!$G$23, CONCAT(VLOOKUP($C50, 'Match Names'!$1:$22, 7, FALSE), ""!C3:R29"")), {4;9;13;19}, FALSE)), 'Player Overall Stats Unsorted'!$AA$9:$AA$12), ""=X"")) + (4 - COUNTIF(IFERROR(ARRAYFORMULA(HLOOKUP($B50, IMPORTRANGE('Match Names'!$H$23, CONCAT(VLOOKUP"&amp;"($C50, 'Match Names'!$1:$22, 8, FALSE), ""!C3:R29"")), {3;9;15;21}, FALSE)), 'Player Overall Stats Unsorted'!$AA$9:$AA$12), ""=X""))"),24.0)</f>
        <v>24</v>
      </c>
      <c r="E50" s="32">
        <f>IFERROR(__xludf.DUMMYFUNCTION("COUNTIF(ARRAYFORMULA(HLOOKUP($B50, IMPORTRANGE('Prelim Rankings Unsorted'!$B$40, CONCAT(VLOOKUP($C50, 'Match Names'!$A$1:$D$22, 2, FALSE), ""!C3:R29"")), {5;10;16;22}, FALSE)), ""=4"") + COUNTIF(ARRAYFORMULA(HLOOKUP($B50, IMPORTRANGE('Prelim Rankings Unso"&amp;"rted'!$B$41, CONCAT(VLOOKUP($C50, 'Match Names'!$A$1:$D$22, 3, FALSE), ""!C3:R29"")), {2;8;14;20}, FALSE)), ""=4"") + COUNTIF(ARRAYFORMULA(HLOOKUP($B50, IMPORTRANGE('Prelim Rankings Unsorted'!$B$42, CONCAT(VLOOKUP($C50, 'Match Names'!$A$1:$D$22, 4, FALSE)"&amp;", ""!C3:R29"")), {4;10;16;22}, FALSE)), ""=4"") + COUNTIF(ARRAYFORMULA(HLOOKUP($B50, IMPORTRANGE('Match Names'!$E$23, CONCAT(VLOOKUP($C50, 'Match Names'!$1:$22, 5, FALSE), ""!C3:R29"")), {5;10;15;20}, FALSE)), ""=4"") + COUNTIF(ARRAYFORMULA(HLOOKUP($B50, "&amp;"IMPORTRANGE('Match Names'!$F$23, CONCAT(VLOOKUP($C50, 'Match Names'!$1:$22, 6, FALSE), ""!C3:R29"")), {4;10;16;22}, FALSE)), ""=4"") + COUNTIF(ARRAYFORMULA(HLOOKUP($B50, IMPORTRANGE('Match Names'!$G$23, CONCAT(VLOOKUP($C50, 'Match Names'!$1:$22, 7, FALSE)"&amp;", ""!C3:R29"")), {4;9;13;19}, FALSE)), ""=4"") + COUNTIF(ARRAYFORMULA(HLOOKUP($B50, IMPORTRANGE('Match Names'!$H$23, CONCAT(VLOOKUP($C50, 'Match Names'!$1:$22, 8, FALSE), ""!C3:R29"")), {3;9;15;21}, FALSE)), ""=4"")"),6.0)</f>
        <v>6</v>
      </c>
      <c r="F50" s="32">
        <f>IFERROR(__xludf.DUMMYFUNCTION("COUNTIF(ARRAYFORMULA(HLOOKUP($B50, IMPORTRANGE('Prelim Rankings Unsorted'!$B$40, CONCAT(VLOOKUP($C50, 'Match Names'!$A$1:$D$22, 2, FALSE), ""!C3:R29"")), {5;10;16;22}, FALSE)), ""=0"") + COUNTIF(ARRAYFORMULA(HLOOKUP($B50, IMPORTRANGE('Prelim Rankings Unso"&amp;"rted'!$B$41, CONCAT(VLOOKUP($C50, 'Match Names'!$A$1:$D$22, 3, FALSE), ""!C3:R29"")), {2;8;14;20}, FALSE)), ""=0"") + COUNTIF(ARRAYFORMULA(HLOOKUP($B50, IMPORTRANGE('Prelim Rankings Unsorted'!$B$42, CONCAT(VLOOKUP($C50, 'Match Names'!$A$1:$D$22, 4, FALSE)"&amp;", ""!C3:R29"")), {4;10;16;22}, FALSE)), ""=0"") + COUNTIF(ARRAYFORMULA(HLOOKUP($B50, IMPORTRANGE('Match Names'!$E$23, CONCAT(VLOOKUP($C50, 'Match Names'!$1:$22, 5, FALSE), ""!C3:R29"")), {5;10;15;20}, FALSE)), ""=0"") + COUNTIF(ARRAYFORMULA(HLOOKUP($B50, "&amp;"IMPORTRANGE('Match Names'!$F$23, CONCAT(VLOOKUP($C50, 'Match Names'!$1:$22, 6, FALSE), ""!C3:R29"")), {4;10;16;22}, FALSE)), ""=0"") + COUNTIF(ARRAYFORMULA(HLOOKUP($B50, IMPORTRANGE('Match Names'!$G$23, CONCAT(VLOOKUP($C50, 'Match Names'!$1:$22, 7, FALSE)"&amp;", ""!C3:R29"")), {4;9;13;19}, FALSE)), ""=0"") + COUNTIF(ARRAYFORMULA(HLOOKUP($B50, IMPORTRANGE('Match Names'!$H$23, CONCAT(VLOOKUP($C50, 'Match Names'!$1:$22, 8, FALSE), ""!C3:R29"")), {3;9;15;21}, FALSE)), ""=0"")"),1.0)</f>
        <v>1</v>
      </c>
      <c r="G50" s="32">
        <f>IFERROR(__xludf.DUMMYFUNCTION("COUNTIF(ARRAYFORMULA(HLOOKUP($B50, IMPORTRANGE('Prelim Rankings Unsorted'!$B$40, CONCAT(VLOOKUP($C50, 'Match Names'!$A$1:$D$22, 2, FALSE), ""!C3:R29"")), {5;10;16;22}, FALSE)), ""=-4"") + COUNTIF(ARRAYFORMULA(HLOOKUP($B50, IMPORTRANGE('Prelim Rankings Uns"&amp;"orted'!$B$41, CONCAT(VLOOKUP($C50, 'Match Names'!$A$1:$D$22, 3, FALSE), ""!C3:R29"")), {2;8;14;20}, FALSE)), ""=-4"") + COUNTIF(ARRAYFORMULA(HLOOKUP($B50, IMPORTRANGE('Prelim Rankings Unsorted'!$B$42, CONCAT(VLOOKUP($C50, 'Match Names'!$A$1:$D$22, 4, FALS"&amp;"E), ""!C3:R29"")), {4;10;16;22}, FALSE)), ""=-4"") + COUNTIF(ARRAYFORMULA(HLOOKUP($B50, IMPORTRANGE('Match Names'!$E$23, CONCAT(VLOOKUP($C50, 'Match Names'!$1:$22, 5, FALSE), ""!C3:R29"")), {5;10;15;20}, FALSE)), ""=-4"") + COUNTIF(ARRAYFORMULA(HLOOKUP($B"&amp;"50, IMPORTRANGE('Match Names'!$F$23, CONCAT(VLOOKUP($C50, 'Match Names'!$1:$22, 6, FALSE), ""!C3:R29"")), {4;10;16;22}, FALSE)), ""=-4"") + COUNTIF(ARRAYFORMULA(HLOOKUP($B50, IMPORTRANGE('Match Names'!$G$23, CONCAT(VLOOKUP($C50, 'Match Names'!$1:$22, 7, F"&amp;"ALSE), ""!C3:R29"")), {4;9;13;19}, FALSE)), ""=-4"") + COUNTIF(ARRAYFORMULA(HLOOKUP($B50, IMPORTRANGE('Match Names'!$H$23, CONCAT(VLOOKUP($C50, 'Match Names'!$1:$22, 8, FALSE), ""!C3:R29"")), {3;9;15;21}, FALSE)), ""=-4"")"),1.0)</f>
        <v>1</v>
      </c>
      <c r="H50" s="33">
        <f t="shared" si="1"/>
        <v>3.33</v>
      </c>
    </row>
    <row r="51">
      <c r="A51" s="21" t="s">
        <v>119</v>
      </c>
      <c r="B51" s="31" t="str">
        <f>VLOOKUP(CONCAT(A51, C51), 'Discord Username to Real Name'!C:D, 2, FALSE)</f>
        <v>saltwater#3722</v>
      </c>
      <c r="C51" s="21" t="s">
        <v>14</v>
      </c>
      <c r="D51" s="32">
        <f>IFERROR(__xludf.DUMMYFUNCTION("(4 - COUNTIF(IFERROR(ARRAYFORMULA(HLOOKUP($B51, IMPORTRANGE('Prelim Rankings Unsorted'!$B$40, CONCAT(VLOOKUP($C51, 'Match Names'!$A$1:$D$22, 2, FALSE), ""!C3:R29"")), {5;10;16;22}, FALSE)), 'Player Overall Stats Unsorted'!$AA$9:$AA$12), ""=X"")) + (4 - CO"&amp;"UNTIF(IFERROR(ARRAYFORMULA(HLOOKUP($B51, IMPORTRANGE('Prelim Rankings Unsorted'!$B$41, CONCAT(VLOOKUP($C51, 'Match Names'!$A$1:$D$22, 3, FALSE), ""!C3:R29"")), {2;8;14;20}, FALSE)), 'Player Overall Stats Unsorted'!$AA$9:$AA$12), ""=X"")) + (4 - COUNTIF(IF"&amp;"ERROR(ARRAYFORMULA(HLOOKUP($B51, IMPORTRANGE('Prelim Rankings Unsorted'!$B$42, CONCAT(VLOOKUP($C51, 'Match Names'!$A$1:$D$22, 4, FALSE), ""!C3:R29"")), {4;10;16;22}, FALSE)), 'Player Overall Stats Unsorted'!$AA$9:$AA$12), ""=X"")) + (4 - COUNTIF(IFERROR(A"&amp;"RRAYFORMULA(HLOOKUP($B51, IMPORTRANGE('Match Names'!$E$23, CONCAT(VLOOKUP($C51, 'Match Names'!$1:$22, 5, FALSE), ""!C3:R29"")), {5;10;15;20}, FALSE)), 'Player Overall Stats Unsorted'!$AA$9:$AA$12), ""=X"")) + (4 - COUNTIF(IFERROR(ARRAYFORMULA(HLOOKUP($B51"&amp;", IMPORTRANGE('Match Names'!$F$23, CONCAT(VLOOKUP($C51, 'Match Names'!$1:$22, 6, FALSE), ""!C3:R29"")), {4;10;16;22}, FALSE)), 'Player Overall Stats Unsorted'!$AA$9:$AA$12), ""=X"")) + (4 - COUNTIF(IFERROR(ARRAYFORMULA(HLOOKUP($B51, IMPORTRANGE('Match Nam"&amp;"es'!$G$23, CONCAT(VLOOKUP($C51, 'Match Names'!$1:$22, 7, FALSE), ""!C3:R29"")), {4;9;13;19}, FALSE)), 'Player Overall Stats Unsorted'!$AA$9:$AA$12), ""=X"")) + (4 - COUNTIF(IFERROR(ARRAYFORMULA(HLOOKUP($B51, IMPORTRANGE('Match Names'!$H$23, CONCAT(VLOOKUP"&amp;"($C51, 'Match Names'!$1:$22, 8, FALSE), ""!C3:R29"")), {3;9;15;21}, FALSE)), 'Player Overall Stats Unsorted'!$AA$9:$AA$12), ""=X""))"),10.0)</f>
        <v>10</v>
      </c>
      <c r="E51" s="32">
        <f>IFERROR(__xludf.DUMMYFUNCTION("COUNTIF(ARRAYFORMULA(HLOOKUP($B51, IMPORTRANGE('Prelim Rankings Unsorted'!$B$40, CONCAT(VLOOKUP($C51, 'Match Names'!$A$1:$D$22, 2, FALSE), ""!C3:R29"")), {5;10;16;22}, FALSE)), ""=4"") + COUNTIF(ARRAYFORMULA(HLOOKUP($B51, IMPORTRANGE('Prelim Rankings Unso"&amp;"rted'!$B$41, CONCAT(VLOOKUP($C51, 'Match Names'!$A$1:$D$22, 3, FALSE), ""!C3:R29"")), {2;8;14;20}, FALSE)), ""=4"") + COUNTIF(ARRAYFORMULA(HLOOKUP($B51, IMPORTRANGE('Prelim Rankings Unsorted'!$B$42, CONCAT(VLOOKUP($C51, 'Match Names'!$A$1:$D$22, 4, FALSE)"&amp;", ""!C3:R29"")), {4;10;16;22}, FALSE)), ""=4"") + COUNTIF(ARRAYFORMULA(HLOOKUP($B51, IMPORTRANGE('Match Names'!$E$23, CONCAT(VLOOKUP($C51, 'Match Names'!$1:$22, 5, FALSE), ""!C3:R29"")), {5;10;15;20}, FALSE)), ""=4"") + COUNTIF(ARRAYFORMULA(HLOOKUP($B51, "&amp;"IMPORTRANGE('Match Names'!$F$23, CONCAT(VLOOKUP($C51, 'Match Names'!$1:$22, 6, FALSE), ""!C3:R29"")), {4;10;16;22}, FALSE)), ""=4"") + COUNTIF(ARRAYFORMULA(HLOOKUP($B51, IMPORTRANGE('Match Names'!$G$23, CONCAT(VLOOKUP($C51, 'Match Names'!$1:$22, 7, FALSE)"&amp;", ""!C3:R29"")), {4;9;13;19}, FALSE)), ""=4"") + COUNTIF(ARRAYFORMULA(HLOOKUP($B51, IMPORTRANGE('Match Names'!$H$23, CONCAT(VLOOKUP($C51, 'Match Names'!$1:$22, 8, FALSE), ""!C3:R29"")), {3;9;15;21}, FALSE)), ""=4"")"),0.0)</f>
        <v>0</v>
      </c>
      <c r="F51" s="32">
        <f>IFERROR(__xludf.DUMMYFUNCTION("COUNTIF(ARRAYFORMULA(HLOOKUP($B51, IMPORTRANGE('Prelim Rankings Unsorted'!$B$40, CONCAT(VLOOKUP($C51, 'Match Names'!$A$1:$D$22, 2, FALSE), ""!C3:R29"")), {5;10;16;22}, FALSE)), ""=0"") + COUNTIF(ARRAYFORMULA(HLOOKUP($B51, IMPORTRANGE('Prelim Rankings Unso"&amp;"rted'!$B$41, CONCAT(VLOOKUP($C51, 'Match Names'!$A$1:$D$22, 3, FALSE), ""!C3:R29"")), {2;8;14;20}, FALSE)), ""=0"") + COUNTIF(ARRAYFORMULA(HLOOKUP($B51, IMPORTRANGE('Prelim Rankings Unsorted'!$B$42, CONCAT(VLOOKUP($C51, 'Match Names'!$A$1:$D$22, 4, FALSE)"&amp;", ""!C3:R29"")), {4;10;16;22}, FALSE)), ""=0"") + COUNTIF(ARRAYFORMULA(HLOOKUP($B51, IMPORTRANGE('Match Names'!$E$23, CONCAT(VLOOKUP($C51, 'Match Names'!$1:$22, 5, FALSE), ""!C3:R29"")), {5;10;15;20}, FALSE)), ""=0"") + COUNTIF(ARRAYFORMULA(HLOOKUP($B51, "&amp;"IMPORTRANGE('Match Names'!$F$23, CONCAT(VLOOKUP($C51, 'Match Names'!$1:$22, 6, FALSE), ""!C3:R29"")), {4;10;16;22}, FALSE)), ""=0"") + COUNTIF(ARRAYFORMULA(HLOOKUP($B51, IMPORTRANGE('Match Names'!$G$23, CONCAT(VLOOKUP($C51, 'Match Names'!$1:$22, 7, FALSE)"&amp;", ""!C3:R29"")), {4;9;13;19}, FALSE)), ""=0"") + COUNTIF(ARRAYFORMULA(HLOOKUP($B51, IMPORTRANGE('Match Names'!$H$23, CONCAT(VLOOKUP($C51, 'Match Names'!$1:$22, 8, FALSE), ""!C3:R29"")), {3;9;15;21}, FALSE)), ""=0"")"),0.0)</f>
        <v>0</v>
      </c>
      <c r="G51" s="32">
        <f>IFERROR(__xludf.DUMMYFUNCTION("COUNTIF(ARRAYFORMULA(HLOOKUP($B51, IMPORTRANGE('Prelim Rankings Unsorted'!$B$40, CONCAT(VLOOKUP($C51, 'Match Names'!$A$1:$D$22, 2, FALSE), ""!C3:R29"")), {5;10;16;22}, FALSE)), ""=-4"") + COUNTIF(ARRAYFORMULA(HLOOKUP($B51, IMPORTRANGE('Prelim Rankings Uns"&amp;"orted'!$B$41, CONCAT(VLOOKUP($C51, 'Match Names'!$A$1:$D$22, 3, FALSE), ""!C3:R29"")), {2;8;14;20}, FALSE)), ""=-4"") + COUNTIF(ARRAYFORMULA(HLOOKUP($B51, IMPORTRANGE('Prelim Rankings Unsorted'!$B$42, CONCAT(VLOOKUP($C51, 'Match Names'!$A$1:$D$22, 4, FALS"&amp;"E), ""!C3:R29"")), {4;10;16;22}, FALSE)), ""=-4"") + COUNTIF(ARRAYFORMULA(HLOOKUP($B51, IMPORTRANGE('Match Names'!$E$23, CONCAT(VLOOKUP($C51, 'Match Names'!$1:$22, 5, FALSE), ""!C3:R29"")), {5;10;15;20}, FALSE)), ""=-4"") + COUNTIF(ARRAYFORMULA(HLOOKUP($B"&amp;"51, IMPORTRANGE('Match Names'!$F$23, CONCAT(VLOOKUP($C51, 'Match Names'!$1:$22, 6, FALSE), ""!C3:R29"")), {4;10;16;22}, FALSE)), ""=-4"") + COUNTIF(ARRAYFORMULA(HLOOKUP($B51, IMPORTRANGE('Match Names'!$G$23, CONCAT(VLOOKUP($C51, 'Match Names'!$1:$22, 7, F"&amp;"ALSE), ""!C3:R29"")), {4;9;13;19}, FALSE)), ""=-4"") + COUNTIF(ARRAYFORMULA(HLOOKUP($B51, IMPORTRANGE('Match Names'!$H$23, CONCAT(VLOOKUP($C51, 'Match Names'!$1:$22, 8, FALSE), ""!C3:R29"")), {3;9;15;21}, FALSE)), ""=-4"")"),0.0)</f>
        <v>0</v>
      </c>
      <c r="H51" s="33">
        <f t="shared" si="1"/>
        <v>0</v>
      </c>
    </row>
    <row r="52">
      <c r="A52" s="21" t="s">
        <v>67</v>
      </c>
      <c r="B52" s="31" t="str">
        <f>VLOOKUP(CONCAT(A52, C52), 'Discord Username to Real Name'!C:D, 2, FALSE)</f>
        <v>dannyridel#2256</v>
      </c>
      <c r="C52" s="21" t="s">
        <v>29</v>
      </c>
      <c r="D52" s="32">
        <f>IFERROR(__xludf.DUMMYFUNCTION("(4 - COUNTIF(IFERROR(ARRAYFORMULA(HLOOKUP($B52, IMPORTRANGE('Prelim Rankings Unsorted'!$B$40, CONCAT(VLOOKUP($C52, 'Match Names'!$A$1:$D$22, 2, FALSE), ""!C3:R29"")), {5;10;16;22}, FALSE)), 'Player Overall Stats Unsorted'!$AA$9:$AA$12), ""=X"")) + (4 - CO"&amp;"UNTIF(IFERROR(ARRAYFORMULA(HLOOKUP($B52, IMPORTRANGE('Prelim Rankings Unsorted'!$B$41, CONCAT(VLOOKUP($C52, 'Match Names'!$A$1:$D$22, 3, FALSE), ""!C3:R29"")), {2;8;14;20}, FALSE)), 'Player Overall Stats Unsorted'!$AA$9:$AA$12), ""=X"")) + (4 - COUNTIF(IF"&amp;"ERROR(ARRAYFORMULA(HLOOKUP($B52, IMPORTRANGE('Prelim Rankings Unsorted'!$B$42, CONCAT(VLOOKUP($C52, 'Match Names'!$A$1:$D$22, 4, FALSE), ""!C3:R29"")), {4;10;16;22}, FALSE)), 'Player Overall Stats Unsorted'!$AA$9:$AA$12), ""=X"")) + (4 - COUNTIF(IFERROR(A"&amp;"RRAYFORMULA(HLOOKUP($B52, IMPORTRANGE('Match Names'!$E$23, CONCAT(VLOOKUP($C52, 'Match Names'!$1:$22, 5, FALSE), ""!C3:R29"")), {5;10;15;20}, FALSE)), 'Player Overall Stats Unsorted'!$AA$9:$AA$12), ""=X"")) + (4 - COUNTIF(IFERROR(ARRAYFORMULA(HLOOKUP($B52"&amp;", IMPORTRANGE('Match Names'!$F$23, CONCAT(VLOOKUP($C52, 'Match Names'!$1:$22, 6, FALSE), ""!C3:R29"")), {4;10;16;22}, FALSE)), 'Player Overall Stats Unsorted'!$AA$9:$AA$12), ""=X"")) + (4 - COUNTIF(IFERROR(ARRAYFORMULA(HLOOKUP($B52, IMPORTRANGE('Match Nam"&amp;"es'!$G$23, CONCAT(VLOOKUP($C52, 'Match Names'!$1:$22, 7, FALSE), ""!C3:R29"")), {4;9;13;19}, FALSE)), 'Player Overall Stats Unsorted'!$AA$9:$AA$12), ""=X"")) + (4 - COUNTIF(IFERROR(ARRAYFORMULA(HLOOKUP($B52, IMPORTRANGE('Match Names'!$H$23, CONCAT(VLOOKUP"&amp;"($C52, 'Match Names'!$1:$22, 8, FALSE), ""!C3:R29"")), {3;9;15;21}, FALSE)), 'Player Overall Stats Unsorted'!$AA$9:$AA$12), ""=X""))"),20.0)</f>
        <v>20</v>
      </c>
      <c r="E52" s="32">
        <f>IFERROR(__xludf.DUMMYFUNCTION("COUNTIF(ARRAYFORMULA(HLOOKUP($B52, IMPORTRANGE('Prelim Rankings Unsorted'!$B$40, CONCAT(VLOOKUP($C52, 'Match Names'!$A$1:$D$22, 2, FALSE), ""!C3:R29"")), {5;10;16;22}, FALSE)), ""=4"") + COUNTIF(ARRAYFORMULA(HLOOKUP($B52, IMPORTRANGE('Prelim Rankings Unso"&amp;"rted'!$B$41, CONCAT(VLOOKUP($C52, 'Match Names'!$A$1:$D$22, 3, FALSE), ""!C3:R29"")), {2;8;14;20}, FALSE)), ""=4"") + COUNTIF(ARRAYFORMULA(HLOOKUP($B52, IMPORTRANGE('Prelim Rankings Unsorted'!$B$42, CONCAT(VLOOKUP($C52, 'Match Names'!$A$1:$D$22, 4, FALSE)"&amp;", ""!C3:R29"")), {4;10;16;22}, FALSE)), ""=4"") + COUNTIF(ARRAYFORMULA(HLOOKUP($B52, IMPORTRANGE('Match Names'!$E$23, CONCAT(VLOOKUP($C52, 'Match Names'!$1:$22, 5, FALSE), ""!C3:R29"")), {5;10;15;20}, FALSE)), ""=4"") + COUNTIF(ARRAYFORMULA(HLOOKUP($B52, "&amp;"IMPORTRANGE('Match Names'!$F$23, CONCAT(VLOOKUP($C52, 'Match Names'!$1:$22, 6, FALSE), ""!C3:R29"")), {4;10;16;22}, FALSE)), ""=4"") + COUNTIF(ARRAYFORMULA(HLOOKUP($B52, IMPORTRANGE('Match Names'!$G$23, CONCAT(VLOOKUP($C52, 'Match Names'!$1:$22, 7, FALSE)"&amp;", ""!C3:R29"")), {4;9;13;19}, FALSE)), ""=4"") + COUNTIF(ARRAYFORMULA(HLOOKUP($B52, IMPORTRANGE('Match Names'!$H$23, CONCAT(VLOOKUP($C52, 'Match Names'!$1:$22, 8, FALSE), ""!C3:R29"")), {3;9;15;21}, FALSE)), ""=4"")"),2.0)</f>
        <v>2</v>
      </c>
      <c r="F52" s="32">
        <f>IFERROR(__xludf.DUMMYFUNCTION("COUNTIF(ARRAYFORMULA(HLOOKUP($B52, IMPORTRANGE('Prelim Rankings Unsorted'!$B$40, CONCAT(VLOOKUP($C52, 'Match Names'!$A$1:$D$22, 2, FALSE), ""!C3:R29"")), {5;10;16;22}, FALSE)), ""=0"") + COUNTIF(ARRAYFORMULA(HLOOKUP($B52, IMPORTRANGE('Prelim Rankings Unso"&amp;"rted'!$B$41, CONCAT(VLOOKUP($C52, 'Match Names'!$A$1:$D$22, 3, FALSE), ""!C3:R29"")), {2;8;14;20}, FALSE)), ""=0"") + COUNTIF(ARRAYFORMULA(HLOOKUP($B52, IMPORTRANGE('Prelim Rankings Unsorted'!$B$42, CONCAT(VLOOKUP($C52, 'Match Names'!$A$1:$D$22, 4, FALSE)"&amp;", ""!C3:R29"")), {4;10;16;22}, FALSE)), ""=0"") + COUNTIF(ARRAYFORMULA(HLOOKUP($B52, IMPORTRANGE('Match Names'!$E$23, CONCAT(VLOOKUP($C52, 'Match Names'!$1:$22, 5, FALSE), ""!C3:R29"")), {5;10;15;20}, FALSE)), ""=0"") + COUNTIF(ARRAYFORMULA(HLOOKUP($B52, "&amp;"IMPORTRANGE('Match Names'!$F$23, CONCAT(VLOOKUP($C52, 'Match Names'!$1:$22, 6, FALSE), ""!C3:R29"")), {4;10;16;22}, FALSE)), ""=0"") + COUNTIF(ARRAYFORMULA(HLOOKUP($B52, IMPORTRANGE('Match Names'!$G$23, CONCAT(VLOOKUP($C52, 'Match Names'!$1:$22, 7, FALSE)"&amp;", ""!C3:R29"")), {4;9;13;19}, FALSE)), ""=0"") + COUNTIF(ARRAYFORMULA(HLOOKUP($B52, IMPORTRANGE('Match Names'!$H$23, CONCAT(VLOOKUP($C52, 'Match Names'!$1:$22, 8, FALSE), ""!C3:R29"")), {3;9;15;21}, FALSE)), ""=0"")"),3.0)</f>
        <v>3</v>
      </c>
      <c r="G52" s="32">
        <f>IFERROR(__xludf.DUMMYFUNCTION("COUNTIF(ARRAYFORMULA(HLOOKUP($B52, IMPORTRANGE('Prelim Rankings Unsorted'!$B$40, CONCAT(VLOOKUP($C52, 'Match Names'!$A$1:$D$22, 2, FALSE), ""!C3:R29"")), {5;10;16;22}, FALSE)), ""=-4"") + COUNTIF(ARRAYFORMULA(HLOOKUP($B52, IMPORTRANGE('Prelim Rankings Uns"&amp;"orted'!$B$41, CONCAT(VLOOKUP($C52, 'Match Names'!$A$1:$D$22, 3, FALSE), ""!C3:R29"")), {2;8;14;20}, FALSE)), ""=-4"") + COUNTIF(ARRAYFORMULA(HLOOKUP($B52, IMPORTRANGE('Prelim Rankings Unsorted'!$B$42, CONCAT(VLOOKUP($C52, 'Match Names'!$A$1:$D$22, 4, FALS"&amp;"E), ""!C3:R29"")), {4;10;16;22}, FALSE)), ""=-4"") + COUNTIF(ARRAYFORMULA(HLOOKUP($B52, IMPORTRANGE('Match Names'!$E$23, CONCAT(VLOOKUP($C52, 'Match Names'!$1:$22, 5, FALSE), ""!C3:R29"")), {5;10;15;20}, FALSE)), ""=-4"") + COUNTIF(ARRAYFORMULA(HLOOKUP($B"&amp;"52, IMPORTRANGE('Match Names'!$F$23, CONCAT(VLOOKUP($C52, 'Match Names'!$1:$22, 6, FALSE), ""!C3:R29"")), {4;10;16;22}, FALSE)), ""=-4"") + COUNTIF(ARRAYFORMULA(HLOOKUP($B52, IMPORTRANGE('Match Names'!$G$23, CONCAT(VLOOKUP($C52, 'Match Names'!$1:$22, 7, F"&amp;"ALSE), ""!C3:R29"")), {4;9;13;19}, FALSE)), ""=-4"") + COUNTIF(ARRAYFORMULA(HLOOKUP($B52, IMPORTRANGE('Match Names'!$H$23, CONCAT(VLOOKUP($C52, 'Match Names'!$1:$22, 8, FALSE), ""!C3:R29"")), {3;9;15;21}, FALSE)), ""=-4"")"),0.0)</f>
        <v>0</v>
      </c>
      <c r="H52" s="33">
        <f t="shared" si="1"/>
        <v>1.6</v>
      </c>
    </row>
    <row r="53">
      <c r="A53" s="21" t="s">
        <v>188</v>
      </c>
      <c r="B53" s="31" t="str">
        <f>VLOOKUP(CONCAT(A53, C53), 'Discord Username to Real Name'!C:D, 2, FALSE)</f>
        <v>Allusion#0092</v>
      </c>
      <c r="C53" s="21" t="s">
        <v>29</v>
      </c>
      <c r="D53" s="32">
        <f>IFERROR(__xludf.DUMMYFUNCTION("(4 - COUNTIF(IFERROR(ARRAYFORMULA(HLOOKUP($B53, IMPORTRANGE('Prelim Rankings Unsorted'!$B$40, CONCAT(VLOOKUP($C53, 'Match Names'!$A$1:$D$22, 2, FALSE), ""!C3:R29"")), {5;10;16;22}, FALSE)), 'Player Overall Stats Unsorted'!$AA$9:$AA$12), ""=X"")) + (4 - CO"&amp;"UNTIF(IFERROR(ARRAYFORMULA(HLOOKUP($B53, IMPORTRANGE('Prelim Rankings Unsorted'!$B$41, CONCAT(VLOOKUP($C53, 'Match Names'!$A$1:$D$22, 3, FALSE), ""!C3:R29"")), {2;8;14;20}, FALSE)), 'Player Overall Stats Unsorted'!$AA$9:$AA$12), ""=X"")) + (4 - COUNTIF(IF"&amp;"ERROR(ARRAYFORMULA(HLOOKUP($B53, IMPORTRANGE('Prelim Rankings Unsorted'!$B$42, CONCAT(VLOOKUP($C53, 'Match Names'!$A$1:$D$22, 4, FALSE), ""!C3:R29"")), {4;10;16;22}, FALSE)), 'Player Overall Stats Unsorted'!$AA$9:$AA$12), ""=X"")) + (4 - COUNTIF(IFERROR(A"&amp;"RRAYFORMULA(HLOOKUP($B53, IMPORTRANGE('Match Names'!$E$23, CONCAT(VLOOKUP($C53, 'Match Names'!$1:$22, 5, FALSE), ""!C3:R29"")), {5;10;15;20}, FALSE)), 'Player Overall Stats Unsorted'!$AA$9:$AA$12), ""=X"")) + (4 - COUNTIF(IFERROR(ARRAYFORMULA(HLOOKUP($B53"&amp;", IMPORTRANGE('Match Names'!$F$23, CONCAT(VLOOKUP($C53, 'Match Names'!$1:$22, 6, FALSE), ""!C3:R29"")), {4;10;16;22}, FALSE)), 'Player Overall Stats Unsorted'!$AA$9:$AA$12), ""=X"")) + (4 - COUNTIF(IFERROR(ARRAYFORMULA(HLOOKUP($B53, IMPORTRANGE('Match Nam"&amp;"es'!$G$23, CONCAT(VLOOKUP($C53, 'Match Names'!$1:$22, 7, FALSE), ""!C3:R29"")), {4;9;13;19}, FALSE)), 'Player Overall Stats Unsorted'!$AA$9:$AA$12), ""=X"")) + (4 - COUNTIF(IFERROR(ARRAYFORMULA(HLOOKUP($B53, IMPORTRANGE('Match Names'!$H$23, CONCAT(VLOOKUP"&amp;"($C53, 'Match Names'!$1:$22, 8, FALSE), ""!C3:R29"")), {3;9;15;21}, FALSE)), 'Player Overall Stats Unsorted'!$AA$9:$AA$12), ""=X""))"),4.0)</f>
        <v>4</v>
      </c>
      <c r="E53" s="32">
        <f>IFERROR(__xludf.DUMMYFUNCTION("COUNTIF(ARRAYFORMULA(HLOOKUP($B53, IMPORTRANGE('Prelim Rankings Unsorted'!$B$40, CONCAT(VLOOKUP($C53, 'Match Names'!$A$1:$D$22, 2, FALSE), ""!C3:R29"")), {5;10;16;22}, FALSE)), ""=4"") + COUNTIF(ARRAYFORMULA(HLOOKUP($B53, IMPORTRANGE('Prelim Rankings Unso"&amp;"rted'!$B$41, CONCAT(VLOOKUP($C53, 'Match Names'!$A$1:$D$22, 3, FALSE), ""!C3:R29"")), {2;8;14;20}, FALSE)), ""=4"") + COUNTIF(ARRAYFORMULA(HLOOKUP($B53, IMPORTRANGE('Prelim Rankings Unsorted'!$B$42, CONCAT(VLOOKUP($C53, 'Match Names'!$A$1:$D$22, 4, FALSE)"&amp;", ""!C3:R29"")), {4;10;16;22}, FALSE)), ""=4"") + COUNTIF(ARRAYFORMULA(HLOOKUP($B53, IMPORTRANGE('Match Names'!$E$23, CONCAT(VLOOKUP($C53, 'Match Names'!$1:$22, 5, FALSE), ""!C3:R29"")), {5;10;15;20}, FALSE)), ""=4"") + COUNTIF(ARRAYFORMULA(HLOOKUP($B53, "&amp;"IMPORTRANGE('Match Names'!$F$23, CONCAT(VLOOKUP($C53, 'Match Names'!$1:$22, 6, FALSE), ""!C3:R29"")), {4;10;16;22}, FALSE)), ""=4"") + COUNTIF(ARRAYFORMULA(HLOOKUP($B53, IMPORTRANGE('Match Names'!$G$23, CONCAT(VLOOKUP($C53, 'Match Names'!$1:$22, 7, FALSE)"&amp;", ""!C3:R29"")), {4;9;13;19}, FALSE)), ""=4"") + COUNTIF(ARRAYFORMULA(HLOOKUP($B53, IMPORTRANGE('Match Names'!$H$23, CONCAT(VLOOKUP($C53, 'Match Names'!$1:$22, 8, FALSE), ""!C3:R29"")), {3;9;15;21}, FALSE)), ""=4"")"),0.0)</f>
        <v>0</v>
      </c>
      <c r="F53" s="32">
        <f>IFERROR(__xludf.DUMMYFUNCTION("COUNTIF(ARRAYFORMULA(HLOOKUP($B53, IMPORTRANGE('Prelim Rankings Unsorted'!$B$40, CONCAT(VLOOKUP($C53, 'Match Names'!$A$1:$D$22, 2, FALSE), ""!C3:R29"")), {5;10;16;22}, FALSE)), ""=0"") + COUNTIF(ARRAYFORMULA(HLOOKUP($B53, IMPORTRANGE('Prelim Rankings Unso"&amp;"rted'!$B$41, CONCAT(VLOOKUP($C53, 'Match Names'!$A$1:$D$22, 3, FALSE), ""!C3:R29"")), {2;8;14;20}, FALSE)), ""=0"") + COUNTIF(ARRAYFORMULA(HLOOKUP($B53, IMPORTRANGE('Prelim Rankings Unsorted'!$B$42, CONCAT(VLOOKUP($C53, 'Match Names'!$A$1:$D$22, 4, FALSE)"&amp;", ""!C3:R29"")), {4;10;16;22}, FALSE)), ""=0"") + COUNTIF(ARRAYFORMULA(HLOOKUP($B53, IMPORTRANGE('Match Names'!$E$23, CONCAT(VLOOKUP($C53, 'Match Names'!$1:$22, 5, FALSE), ""!C3:R29"")), {5;10;15;20}, FALSE)), ""=0"") + COUNTIF(ARRAYFORMULA(HLOOKUP($B53, "&amp;"IMPORTRANGE('Match Names'!$F$23, CONCAT(VLOOKUP($C53, 'Match Names'!$1:$22, 6, FALSE), ""!C3:R29"")), {4;10;16;22}, FALSE)), ""=0"") + COUNTIF(ARRAYFORMULA(HLOOKUP($B53, IMPORTRANGE('Match Names'!$G$23, CONCAT(VLOOKUP($C53, 'Match Names'!$1:$22, 7, FALSE)"&amp;", ""!C3:R29"")), {4;9;13;19}, FALSE)), ""=0"") + COUNTIF(ARRAYFORMULA(HLOOKUP($B53, IMPORTRANGE('Match Names'!$H$23, CONCAT(VLOOKUP($C53, 'Match Names'!$1:$22, 8, FALSE), ""!C3:R29"")), {3;9;15;21}, FALSE)), ""=0"")"),0.0)</f>
        <v>0</v>
      </c>
      <c r="G53" s="32">
        <f>IFERROR(__xludf.DUMMYFUNCTION("COUNTIF(ARRAYFORMULA(HLOOKUP($B53, IMPORTRANGE('Prelim Rankings Unsorted'!$B$40, CONCAT(VLOOKUP($C53, 'Match Names'!$A$1:$D$22, 2, FALSE), ""!C3:R29"")), {5;10;16;22}, FALSE)), ""=-4"") + COUNTIF(ARRAYFORMULA(HLOOKUP($B53, IMPORTRANGE('Prelim Rankings Uns"&amp;"orted'!$B$41, CONCAT(VLOOKUP($C53, 'Match Names'!$A$1:$D$22, 3, FALSE), ""!C3:R29"")), {2;8;14;20}, FALSE)), ""=-4"") + COUNTIF(ARRAYFORMULA(HLOOKUP($B53, IMPORTRANGE('Prelim Rankings Unsorted'!$B$42, CONCAT(VLOOKUP($C53, 'Match Names'!$A$1:$D$22, 4, FALS"&amp;"E), ""!C3:R29"")), {4;10;16;22}, FALSE)), ""=-4"") + COUNTIF(ARRAYFORMULA(HLOOKUP($B53, IMPORTRANGE('Match Names'!$E$23, CONCAT(VLOOKUP($C53, 'Match Names'!$1:$22, 5, FALSE), ""!C3:R29"")), {5;10;15;20}, FALSE)), ""=-4"") + COUNTIF(ARRAYFORMULA(HLOOKUP($B"&amp;"53, IMPORTRANGE('Match Names'!$F$23, CONCAT(VLOOKUP($C53, 'Match Names'!$1:$22, 6, FALSE), ""!C3:R29"")), {4;10;16;22}, FALSE)), ""=-4"") + COUNTIF(ARRAYFORMULA(HLOOKUP($B53, IMPORTRANGE('Match Names'!$G$23, CONCAT(VLOOKUP($C53, 'Match Names'!$1:$22, 7, F"&amp;"ALSE), ""!C3:R29"")), {4;9;13;19}, FALSE)), ""=-4"") + COUNTIF(ARRAYFORMULA(HLOOKUP($B53, IMPORTRANGE('Match Names'!$H$23, CONCAT(VLOOKUP($C53, 'Match Names'!$1:$22, 8, FALSE), ""!C3:R29"")), {3;9;15;21}, FALSE)), ""=-4"")"),0.0)</f>
        <v>0</v>
      </c>
      <c r="H53" s="33">
        <f t="shared" si="1"/>
        <v>0</v>
      </c>
    </row>
    <row r="54">
      <c r="A54" s="21" t="s">
        <v>81</v>
      </c>
      <c r="B54" s="31" t="str">
        <f>VLOOKUP(CONCAT(A54, C54), 'Discord Username to Real Name'!C:D, 2, FALSE)</f>
        <v>grassisgood#9863</v>
      </c>
      <c r="C54" s="21" t="s">
        <v>29</v>
      </c>
      <c r="D54" s="32">
        <f>IFERROR(__xludf.DUMMYFUNCTION("(4 - COUNTIF(IFERROR(ARRAYFORMULA(HLOOKUP($B54, IMPORTRANGE('Prelim Rankings Unsorted'!$B$40, CONCAT(VLOOKUP($C54, 'Match Names'!$A$1:$D$22, 2, FALSE), ""!C3:R29"")), {5;10;16;22}, FALSE)), 'Player Overall Stats Unsorted'!$AA$9:$AA$12), ""=X"")) + (4 - CO"&amp;"UNTIF(IFERROR(ARRAYFORMULA(HLOOKUP($B54, IMPORTRANGE('Prelim Rankings Unsorted'!$B$41, CONCAT(VLOOKUP($C54, 'Match Names'!$A$1:$D$22, 3, FALSE), ""!C3:R29"")), {2;8;14;20}, FALSE)), 'Player Overall Stats Unsorted'!$AA$9:$AA$12), ""=X"")) + (4 - COUNTIF(IF"&amp;"ERROR(ARRAYFORMULA(HLOOKUP($B54, IMPORTRANGE('Prelim Rankings Unsorted'!$B$42, CONCAT(VLOOKUP($C54, 'Match Names'!$A$1:$D$22, 4, FALSE), ""!C3:R29"")), {4;10;16;22}, FALSE)), 'Player Overall Stats Unsorted'!$AA$9:$AA$12), ""=X"")) + (4 - COUNTIF(IFERROR(A"&amp;"RRAYFORMULA(HLOOKUP($B54, IMPORTRANGE('Match Names'!$E$23, CONCAT(VLOOKUP($C54, 'Match Names'!$1:$22, 5, FALSE), ""!C3:R29"")), {5;10;15;20}, FALSE)), 'Player Overall Stats Unsorted'!$AA$9:$AA$12), ""=X"")) + (4 - COUNTIF(IFERROR(ARRAYFORMULA(HLOOKUP($B54"&amp;", IMPORTRANGE('Match Names'!$F$23, CONCAT(VLOOKUP($C54, 'Match Names'!$1:$22, 6, FALSE), ""!C3:R29"")), {4;10;16;22}, FALSE)), 'Player Overall Stats Unsorted'!$AA$9:$AA$12), ""=X"")) + (4 - COUNTIF(IFERROR(ARRAYFORMULA(HLOOKUP($B54, IMPORTRANGE('Match Nam"&amp;"es'!$G$23, CONCAT(VLOOKUP($C54, 'Match Names'!$1:$22, 7, FALSE), ""!C3:R29"")), {4;9;13;19}, FALSE)), 'Player Overall Stats Unsorted'!$AA$9:$AA$12), ""=X"")) + (4 - COUNTIF(IFERROR(ARRAYFORMULA(HLOOKUP($B54, IMPORTRANGE('Match Names'!$H$23, CONCAT(VLOOKUP"&amp;"($C54, 'Match Names'!$1:$22, 8, FALSE), ""!C3:R29"")), {3;9;15;21}, FALSE)), 'Player Overall Stats Unsorted'!$AA$9:$AA$12), ""=X""))"),20.0)</f>
        <v>20</v>
      </c>
      <c r="E54" s="32">
        <f>IFERROR(__xludf.DUMMYFUNCTION("COUNTIF(ARRAYFORMULA(HLOOKUP($B54, IMPORTRANGE('Prelim Rankings Unsorted'!$B$40, CONCAT(VLOOKUP($C54, 'Match Names'!$A$1:$D$22, 2, FALSE), ""!C3:R29"")), {5;10;16;22}, FALSE)), ""=4"") + COUNTIF(ARRAYFORMULA(HLOOKUP($B54, IMPORTRANGE('Prelim Rankings Unso"&amp;"rted'!$B$41, CONCAT(VLOOKUP($C54, 'Match Names'!$A$1:$D$22, 3, FALSE), ""!C3:R29"")), {2;8;14;20}, FALSE)), ""=4"") + COUNTIF(ARRAYFORMULA(HLOOKUP($B54, IMPORTRANGE('Prelim Rankings Unsorted'!$B$42, CONCAT(VLOOKUP($C54, 'Match Names'!$A$1:$D$22, 4, FALSE)"&amp;", ""!C3:R29"")), {4;10;16;22}, FALSE)), ""=4"") + COUNTIF(ARRAYFORMULA(HLOOKUP($B54, IMPORTRANGE('Match Names'!$E$23, CONCAT(VLOOKUP($C54, 'Match Names'!$1:$22, 5, FALSE), ""!C3:R29"")), {5;10;15;20}, FALSE)), ""=4"") + COUNTIF(ARRAYFORMULA(HLOOKUP($B54, "&amp;"IMPORTRANGE('Match Names'!$F$23, CONCAT(VLOOKUP($C54, 'Match Names'!$1:$22, 6, FALSE), ""!C3:R29"")), {4;10;16;22}, FALSE)), ""=4"") + COUNTIF(ARRAYFORMULA(HLOOKUP($B54, IMPORTRANGE('Match Names'!$G$23, CONCAT(VLOOKUP($C54, 'Match Names'!$1:$22, 7, FALSE)"&amp;", ""!C3:R29"")), {4;9;13;19}, FALSE)), ""=4"") + COUNTIF(ARRAYFORMULA(HLOOKUP($B54, IMPORTRANGE('Match Names'!$H$23, CONCAT(VLOOKUP($C54, 'Match Names'!$1:$22, 8, FALSE), ""!C3:R29"")), {3;9;15;21}, FALSE)), ""=4"")"),1.0)</f>
        <v>1</v>
      </c>
      <c r="F54" s="32">
        <f>IFERROR(__xludf.DUMMYFUNCTION("COUNTIF(ARRAYFORMULA(HLOOKUP($B54, IMPORTRANGE('Prelim Rankings Unsorted'!$B$40, CONCAT(VLOOKUP($C54, 'Match Names'!$A$1:$D$22, 2, FALSE), ""!C3:R29"")), {5;10;16;22}, FALSE)), ""=0"") + COUNTIF(ARRAYFORMULA(HLOOKUP($B54, IMPORTRANGE('Prelim Rankings Unso"&amp;"rted'!$B$41, CONCAT(VLOOKUP($C54, 'Match Names'!$A$1:$D$22, 3, FALSE), ""!C3:R29"")), {2;8;14;20}, FALSE)), ""=0"") + COUNTIF(ARRAYFORMULA(HLOOKUP($B54, IMPORTRANGE('Prelim Rankings Unsorted'!$B$42, CONCAT(VLOOKUP($C54, 'Match Names'!$A$1:$D$22, 4, FALSE)"&amp;", ""!C3:R29"")), {4;10;16;22}, FALSE)), ""=0"") + COUNTIF(ARRAYFORMULA(HLOOKUP($B54, IMPORTRANGE('Match Names'!$E$23, CONCAT(VLOOKUP($C54, 'Match Names'!$1:$22, 5, FALSE), ""!C3:R29"")), {5;10;15;20}, FALSE)), ""=0"") + COUNTIF(ARRAYFORMULA(HLOOKUP($B54, "&amp;"IMPORTRANGE('Match Names'!$F$23, CONCAT(VLOOKUP($C54, 'Match Names'!$1:$22, 6, FALSE), ""!C3:R29"")), {4;10;16;22}, FALSE)), ""=0"") + COUNTIF(ARRAYFORMULA(HLOOKUP($B54, IMPORTRANGE('Match Names'!$G$23, CONCAT(VLOOKUP($C54, 'Match Names'!$1:$22, 7, FALSE)"&amp;", ""!C3:R29"")), {4;9;13;19}, FALSE)), ""=0"") + COUNTIF(ARRAYFORMULA(HLOOKUP($B54, IMPORTRANGE('Match Names'!$H$23, CONCAT(VLOOKUP($C54, 'Match Names'!$1:$22, 8, FALSE), ""!C3:R29"")), {3;9;15;21}, FALSE)), ""=0"")"),0.0)</f>
        <v>0</v>
      </c>
      <c r="G54" s="32">
        <f>IFERROR(__xludf.DUMMYFUNCTION("COUNTIF(ARRAYFORMULA(HLOOKUP($B54, IMPORTRANGE('Prelim Rankings Unsorted'!$B$40, CONCAT(VLOOKUP($C54, 'Match Names'!$A$1:$D$22, 2, FALSE), ""!C3:R29"")), {5;10;16;22}, FALSE)), ""=-4"") + COUNTIF(ARRAYFORMULA(HLOOKUP($B54, IMPORTRANGE('Prelim Rankings Uns"&amp;"orted'!$B$41, CONCAT(VLOOKUP($C54, 'Match Names'!$A$1:$D$22, 3, FALSE), ""!C3:R29"")), {2;8;14;20}, FALSE)), ""=-4"") + COUNTIF(ARRAYFORMULA(HLOOKUP($B54, IMPORTRANGE('Prelim Rankings Unsorted'!$B$42, CONCAT(VLOOKUP($C54, 'Match Names'!$A$1:$D$22, 4, FALS"&amp;"E), ""!C3:R29"")), {4;10;16;22}, FALSE)), ""=-4"") + COUNTIF(ARRAYFORMULA(HLOOKUP($B54, IMPORTRANGE('Match Names'!$E$23, CONCAT(VLOOKUP($C54, 'Match Names'!$1:$22, 5, FALSE), ""!C3:R29"")), {5;10;15;20}, FALSE)), ""=-4"") + COUNTIF(ARRAYFORMULA(HLOOKUP($B"&amp;"54, IMPORTRANGE('Match Names'!$F$23, CONCAT(VLOOKUP($C54, 'Match Names'!$1:$22, 6, FALSE), ""!C3:R29"")), {4;10;16;22}, FALSE)), ""=-4"") + COUNTIF(ARRAYFORMULA(HLOOKUP($B54, IMPORTRANGE('Match Names'!$G$23, CONCAT(VLOOKUP($C54, 'Match Names'!$1:$22, 7, F"&amp;"ALSE), ""!C3:R29"")), {4;9;13;19}, FALSE)), ""=-4"") + COUNTIF(ARRAYFORMULA(HLOOKUP($B54, IMPORTRANGE('Match Names'!$H$23, CONCAT(VLOOKUP($C54, 'Match Names'!$1:$22, 8, FALSE), ""!C3:R29"")), {3;9;15;21}, FALSE)), ""=-4"")"),0.0)</f>
        <v>0</v>
      </c>
      <c r="H54" s="33">
        <f t="shared" si="1"/>
        <v>0.8</v>
      </c>
    </row>
    <row r="55">
      <c r="A55" s="21" t="s">
        <v>190</v>
      </c>
      <c r="B55" s="31" t="str">
        <f>VLOOKUP(CONCAT(A55, C55), 'Discord Username to Real Name'!C:D, 2, FALSE)</f>
        <v>bread#1582</v>
      </c>
      <c r="C55" s="21" t="s">
        <v>29</v>
      </c>
      <c r="D55" s="32">
        <f>IFERROR(__xludf.DUMMYFUNCTION("(4 - COUNTIF(IFERROR(ARRAYFORMULA(HLOOKUP($B55, IMPORTRANGE('Prelim Rankings Unsorted'!$B$40, CONCAT(VLOOKUP($C55, 'Match Names'!$A$1:$D$22, 2, FALSE), ""!C3:R29"")), {5;10;16;22}, FALSE)), 'Player Overall Stats Unsorted'!$AA$9:$AA$12), ""=X"")) + (4 - CO"&amp;"UNTIF(IFERROR(ARRAYFORMULA(HLOOKUP($B55, IMPORTRANGE('Prelim Rankings Unsorted'!$B$41, CONCAT(VLOOKUP($C55, 'Match Names'!$A$1:$D$22, 3, FALSE), ""!C3:R29"")), {2;8;14;20}, FALSE)), 'Player Overall Stats Unsorted'!$AA$9:$AA$12), ""=X"")) + (4 - COUNTIF(IF"&amp;"ERROR(ARRAYFORMULA(HLOOKUP($B55, IMPORTRANGE('Prelim Rankings Unsorted'!$B$42, CONCAT(VLOOKUP($C55, 'Match Names'!$A$1:$D$22, 4, FALSE), ""!C3:R29"")), {4;10;16;22}, FALSE)), 'Player Overall Stats Unsorted'!$AA$9:$AA$12), ""=X"")) + (4 - COUNTIF(IFERROR(A"&amp;"RRAYFORMULA(HLOOKUP($B55, IMPORTRANGE('Match Names'!$E$23, CONCAT(VLOOKUP($C55, 'Match Names'!$1:$22, 5, FALSE), ""!C3:R29"")), {5;10;15;20}, FALSE)), 'Player Overall Stats Unsorted'!$AA$9:$AA$12), ""=X"")) + (4 - COUNTIF(IFERROR(ARRAYFORMULA(HLOOKUP($B55"&amp;", IMPORTRANGE('Match Names'!$F$23, CONCAT(VLOOKUP($C55, 'Match Names'!$1:$22, 6, FALSE), ""!C3:R29"")), {4;10;16;22}, FALSE)), 'Player Overall Stats Unsorted'!$AA$9:$AA$12), ""=X"")) + (4 - COUNTIF(IFERROR(ARRAYFORMULA(HLOOKUP($B55, IMPORTRANGE('Match Nam"&amp;"es'!$G$23, CONCAT(VLOOKUP($C55, 'Match Names'!$1:$22, 7, FALSE), ""!C3:R29"")), {4;9;13;19}, FALSE)), 'Player Overall Stats Unsorted'!$AA$9:$AA$12), ""=X"")) + (4 - COUNTIF(IFERROR(ARRAYFORMULA(HLOOKUP($B55, IMPORTRANGE('Match Names'!$H$23, CONCAT(VLOOKUP"&amp;"($C55, 'Match Names'!$1:$22, 8, FALSE), ""!C3:R29"")), {3;9;15;21}, FALSE)), 'Player Overall Stats Unsorted'!$AA$9:$AA$12), ""=X""))"),4.0)</f>
        <v>4</v>
      </c>
      <c r="E55" s="32">
        <f>IFERROR(__xludf.DUMMYFUNCTION("COUNTIF(ARRAYFORMULA(HLOOKUP($B55, IMPORTRANGE('Prelim Rankings Unsorted'!$B$40, CONCAT(VLOOKUP($C55, 'Match Names'!$A$1:$D$22, 2, FALSE), ""!C3:R29"")), {5;10;16;22}, FALSE)), ""=4"") + COUNTIF(ARRAYFORMULA(HLOOKUP($B55, IMPORTRANGE('Prelim Rankings Unso"&amp;"rted'!$B$41, CONCAT(VLOOKUP($C55, 'Match Names'!$A$1:$D$22, 3, FALSE), ""!C3:R29"")), {2;8;14;20}, FALSE)), ""=4"") + COUNTIF(ARRAYFORMULA(HLOOKUP($B55, IMPORTRANGE('Prelim Rankings Unsorted'!$B$42, CONCAT(VLOOKUP($C55, 'Match Names'!$A$1:$D$22, 4, FALSE)"&amp;", ""!C3:R29"")), {4;10;16;22}, FALSE)), ""=4"") + COUNTIF(ARRAYFORMULA(HLOOKUP($B55, IMPORTRANGE('Match Names'!$E$23, CONCAT(VLOOKUP($C55, 'Match Names'!$1:$22, 5, FALSE), ""!C3:R29"")), {5;10;15;20}, FALSE)), ""=4"") + COUNTIF(ARRAYFORMULA(HLOOKUP($B55, "&amp;"IMPORTRANGE('Match Names'!$F$23, CONCAT(VLOOKUP($C55, 'Match Names'!$1:$22, 6, FALSE), ""!C3:R29"")), {4;10;16;22}, FALSE)), ""=4"") + COUNTIF(ARRAYFORMULA(HLOOKUP($B55, IMPORTRANGE('Match Names'!$G$23, CONCAT(VLOOKUP($C55, 'Match Names'!$1:$22, 7, FALSE)"&amp;", ""!C3:R29"")), {4;9;13;19}, FALSE)), ""=4"") + COUNTIF(ARRAYFORMULA(HLOOKUP($B55, IMPORTRANGE('Match Names'!$H$23, CONCAT(VLOOKUP($C55, 'Match Names'!$1:$22, 8, FALSE), ""!C3:R29"")), {3;9;15;21}, FALSE)), ""=4"")"),0.0)</f>
        <v>0</v>
      </c>
      <c r="F55" s="32">
        <f>IFERROR(__xludf.DUMMYFUNCTION("COUNTIF(ARRAYFORMULA(HLOOKUP($B55, IMPORTRANGE('Prelim Rankings Unsorted'!$B$40, CONCAT(VLOOKUP($C55, 'Match Names'!$A$1:$D$22, 2, FALSE), ""!C3:R29"")), {5;10;16;22}, FALSE)), ""=0"") + COUNTIF(ARRAYFORMULA(HLOOKUP($B55, IMPORTRANGE('Prelim Rankings Unso"&amp;"rted'!$B$41, CONCAT(VLOOKUP($C55, 'Match Names'!$A$1:$D$22, 3, FALSE), ""!C3:R29"")), {2;8;14;20}, FALSE)), ""=0"") + COUNTIF(ARRAYFORMULA(HLOOKUP($B55, IMPORTRANGE('Prelim Rankings Unsorted'!$B$42, CONCAT(VLOOKUP($C55, 'Match Names'!$A$1:$D$22, 4, FALSE)"&amp;", ""!C3:R29"")), {4;10;16;22}, FALSE)), ""=0"") + COUNTIF(ARRAYFORMULA(HLOOKUP($B55, IMPORTRANGE('Match Names'!$E$23, CONCAT(VLOOKUP($C55, 'Match Names'!$1:$22, 5, FALSE), ""!C3:R29"")), {5;10;15;20}, FALSE)), ""=0"") + COUNTIF(ARRAYFORMULA(HLOOKUP($B55, "&amp;"IMPORTRANGE('Match Names'!$F$23, CONCAT(VLOOKUP($C55, 'Match Names'!$1:$22, 6, FALSE), ""!C3:R29"")), {4;10;16;22}, FALSE)), ""=0"") + COUNTIF(ARRAYFORMULA(HLOOKUP($B55, IMPORTRANGE('Match Names'!$G$23, CONCAT(VLOOKUP($C55, 'Match Names'!$1:$22, 7, FALSE)"&amp;", ""!C3:R29"")), {4;9;13;19}, FALSE)), ""=0"") + COUNTIF(ARRAYFORMULA(HLOOKUP($B55, IMPORTRANGE('Match Names'!$H$23, CONCAT(VLOOKUP($C55, 'Match Names'!$1:$22, 8, FALSE), ""!C3:R29"")), {3;9;15;21}, FALSE)), ""=0"")"),0.0)</f>
        <v>0</v>
      </c>
      <c r="G55" s="32">
        <f>IFERROR(__xludf.DUMMYFUNCTION("COUNTIF(ARRAYFORMULA(HLOOKUP($B55, IMPORTRANGE('Prelim Rankings Unsorted'!$B$40, CONCAT(VLOOKUP($C55, 'Match Names'!$A$1:$D$22, 2, FALSE), ""!C3:R29"")), {5;10;16;22}, FALSE)), ""=-4"") + COUNTIF(ARRAYFORMULA(HLOOKUP($B55, IMPORTRANGE('Prelim Rankings Uns"&amp;"orted'!$B$41, CONCAT(VLOOKUP($C55, 'Match Names'!$A$1:$D$22, 3, FALSE), ""!C3:R29"")), {2;8;14;20}, FALSE)), ""=-4"") + COUNTIF(ARRAYFORMULA(HLOOKUP($B55, IMPORTRANGE('Prelim Rankings Unsorted'!$B$42, CONCAT(VLOOKUP($C55, 'Match Names'!$A$1:$D$22, 4, FALS"&amp;"E), ""!C3:R29"")), {4;10;16;22}, FALSE)), ""=-4"") + COUNTIF(ARRAYFORMULA(HLOOKUP($B55, IMPORTRANGE('Match Names'!$E$23, CONCAT(VLOOKUP($C55, 'Match Names'!$1:$22, 5, FALSE), ""!C3:R29"")), {5;10;15;20}, FALSE)), ""=-4"") + COUNTIF(ARRAYFORMULA(HLOOKUP($B"&amp;"55, IMPORTRANGE('Match Names'!$F$23, CONCAT(VLOOKUP($C55, 'Match Names'!$1:$22, 6, FALSE), ""!C3:R29"")), {4;10;16;22}, FALSE)), ""=-4"") + COUNTIF(ARRAYFORMULA(HLOOKUP($B55, IMPORTRANGE('Match Names'!$G$23, CONCAT(VLOOKUP($C55, 'Match Names'!$1:$22, 7, F"&amp;"ALSE), ""!C3:R29"")), {4;9;13;19}, FALSE)), ""=-4"") + COUNTIF(ARRAYFORMULA(HLOOKUP($B55, IMPORTRANGE('Match Names'!$H$23, CONCAT(VLOOKUP($C55, 'Match Names'!$1:$22, 8, FALSE), ""!C3:R29"")), {3;9;15;21}, FALSE)), ""=-4"")"),0.0)</f>
        <v>0</v>
      </c>
      <c r="H55" s="33">
        <f t="shared" si="1"/>
        <v>0</v>
      </c>
    </row>
    <row r="56">
      <c r="A56" s="21" t="s">
        <v>140</v>
      </c>
      <c r="B56" s="31" t="str">
        <f>VLOOKUP(CONCAT(A56, C56), 'Discord Username to Real Name'!C:D, 2, FALSE)</f>
        <v>Jonathan Hu#9386</v>
      </c>
      <c r="C56" s="21" t="s">
        <v>29</v>
      </c>
      <c r="D56" s="32">
        <f>IFERROR(__xludf.DUMMYFUNCTION("(4 - COUNTIF(IFERROR(ARRAYFORMULA(HLOOKUP($B56, IMPORTRANGE('Prelim Rankings Unsorted'!$B$40, CONCAT(VLOOKUP($C56, 'Match Names'!$A$1:$D$22, 2, FALSE), ""!C3:R29"")), {5;10;16;22}, FALSE)), 'Player Overall Stats Unsorted'!$AA$9:$AA$12), ""=X"")) + (4 - CO"&amp;"UNTIF(IFERROR(ARRAYFORMULA(HLOOKUP($B56, IMPORTRANGE('Prelim Rankings Unsorted'!$B$41, CONCAT(VLOOKUP($C56, 'Match Names'!$A$1:$D$22, 3, FALSE), ""!C3:R29"")), {2;8;14;20}, FALSE)), 'Player Overall Stats Unsorted'!$AA$9:$AA$12), ""=X"")) + (4 - COUNTIF(IF"&amp;"ERROR(ARRAYFORMULA(HLOOKUP($B56, IMPORTRANGE('Prelim Rankings Unsorted'!$B$42, CONCAT(VLOOKUP($C56, 'Match Names'!$A$1:$D$22, 4, FALSE), ""!C3:R29"")), {4;10;16;22}, FALSE)), 'Player Overall Stats Unsorted'!$AA$9:$AA$12), ""=X"")) + (4 - COUNTIF(IFERROR(A"&amp;"RRAYFORMULA(HLOOKUP($B56, IMPORTRANGE('Match Names'!$E$23, CONCAT(VLOOKUP($C56, 'Match Names'!$1:$22, 5, FALSE), ""!C3:R29"")), {5;10;15;20}, FALSE)), 'Player Overall Stats Unsorted'!$AA$9:$AA$12), ""=X"")) + (4 - COUNTIF(IFERROR(ARRAYFORMULA(HLOOKUP($B56"&amp;", IMPORTRANGE('Match Names'!$F$23, CONCAT(VLOOKUP($C56, 'Match Names'!$1:$22, 6, FALSE), ""!C3:R29"")), {4;10;16;22}, FALSE)), 'Player Overall Stats Unsorted'!$AA$9:$AA$12), ""=X"")) + (4 - COUNTIF(IFERROR(ARRAYFORMULA(HLOOKUP($B56, IMPORTRANGE('Match Nam"&amp;"es'!$G$23, CONCAT(VLOOKUP($C56, 'Match Names'!$1:$22, 7, FALSE), ""!C3:R29"")), {4;9;13;19}, FALSE)), 'Player Overall Stats Unsorted'!$AA$9:$AA$12), ""=X"")) + (4 - COUNTIF(IFERROR(ARRAYFORMULA(HLOOKUP($B56, IMPORTRANGE('Match Names'!$H$23, CONCAT(VLOOKUP"&amp;"($C56, 'Match Names'!$1:$22, 8, FALSE), ""!C3:R29"")), {3;9;15;21}, FALSE)), 'Player Overall Stats Unsorted'!$AA$9:$AA$12), ""=X""))"),16.0)</f>
        <v>16</v>
      </c>
      <c r="E56" s="32">
        <f>IFERROR(__xludf.DUMMYFUNCTION("COUNTIF(ARRAYFORMULA(HLOOKUP($B56, IMPORTRANGE('Prelim Rankings Unsorted'!$B$40, CONCAT(VLOOKUP($C56, 'Match Names'!$A$1:$D$22, 2, FALSE), ""!C3:R29"")), {5;10;16;22}, FALSE)), ""=4"") + COUNTIF(ARRAYFORMULA(HLOOKUP($B56, IMPORTRANGE('Prelim Rankings Unso"&amp;"rted'!$B$41, CONCAT(VLOOKUP($C56, 'Match Names'!$A$1:$D$22, 3, FALSE), ""!C3:R29"")), {2;8;14;20}, FALSE)), ""=4"") + COUNTIF(ARRAYFORMULA(HLOOKUP($B56, IMPORTRANGE('Prelim Rankings Unsorted'!$B$42, CONCAT(VLOOKUP($C56, 'Match Names'!$A$1:$D$22, 4, FALSE)"&amp;", ""!C3:R29"")), {4;10;16;22}, FALSE)), ""=4"") + COUNTIF(ARRAYFORMULA(HLOOKUP($B56, IMPORTRANGE('Match Names'!$E$23, CONCAT(VLOOKUP($C56, 'Match Names'!$1:$22, 5, FALSE), ""!C3:R29"")), {5;10;15;20}, FALSE)), ""=4"") + COUNTIF(ARRAYFORMULA(HLOOKUP($B56, "&amp;"IMPORTRANGE('Match Names'!$F$23, CONCAT(VLOOKUP($C56, 'Match Names'!$1:$22, 6, FALSE), ""!C3:R29"")), {4;10;16;22}, FALSE)), ""=4"") + COUNTIF(ARRAYFORMULA(HLOOKUP($B56, IMPORTRANGE('Match Names'!$G$23, CONCAT(VLOOKUP($C56, 'Match Names'!$1:$22, 7, FALSE)"&amp;", ""!C3:R29"")), {4;9;13;19}, FALSE)), ""=4"") + COUNTIF(ARRAYFORMULA(HLOOKUP($B56, IMPORTRANGE('Match Names'!$H$23, CONCAT(VLOOKUP($C56, 'Match Names'!$1:$22, 8, FALSE), ""!C3:R29"")), {3;9;15;21}, FALSE)), ""=4"")"),0.0)</f>
        <v>0</v>
      </c>
      <c r="F56" s="32">
        <f>IFERROR(__xludf.DUMMYFUNCTION("COUNTIF(ARRAYFORMULA(HLOOKUP($B56, IMPORTRANGE('Prelim Rankings Unsorted'!$B$40, CONCAT(VLOOKUP($C56, 'Match Names'!$A$1:$D$22, 2, FALSE), ""!C3:R29"")), {5;10;16;22}, FALSE)), ""=0"") + COUNTIF(ARRAYFORMULA(HLOOKUP($B56, IMPORTRANGE('Prelim Rankings Unso"&amp;"rted'!$B$41, CONCAT(VLOOKUP($C56, 'Match Names'!$A$1:$D$22, 3, FALSE), ""!C3:R29"")), {2;8;14;20}, FALSE)), ""=0"") + COUNTIF(ARRAYFORMULA(HLOOKUP($B56, IMPORTRANGE('Prelim Rankings Unsorted'!$B$42, CONCAT(VLOOKUP($C56, 'Match Names'!$A$1:$D$22, 4, FALSE)"&amp;", ""!C3:R29"")), {4;10;16;22}, FALSE)), ""=0"") + COUNTIF(ARRAYFORMULA(HLOOKUP($B56, IMPORTRANGE('Match Names'!$E$23, CONCAT(VLOOKUP($C56, 'Match Names'!$1:$22, 5, FALSE), ""!C3:R29"")), {5;10;15;20}, FALSE)), ""=0"") + COUNTIF(ARRAYFORMULA(HLOOKUP($B56, "&amp;"IMPORTRANGE('Match Names'!$F$23, CONCAT(VLOOKUP($C56, 'Match Names'!$1:$22, 6, FALSE), ""!C3:R29"")), {4;10;16;22}, FALSE)), ""=0"") + COUNTIF(ARRAYFORMULA(HLOOKUP($B56, IMPORTRANGE('Match Names'!$G$23, CONCAT(VLOOKUP($C56, 'Match Names'!$1:$22, 7, FALSE)"&amp;", ""!C3:R29"")), {4;9;13;19}, FALSE)), ""=0"") + COUNTIF(ARRAYFORMULA(HLOOKUP($B56, IMPORTRANGE('Match Names'!$H$23, CONCAT(VLOOKUP($C56, 'Match Names'!$1:$22, 8, FALSE), ""!C3:R29"")), {3;9;15;21}, FALSE)), ""=0"")"),0.0)</f>
        <v>0</v>
      </c>
      <c r="G56" s="32">
        <f>IFERROR(__xludf.DUMMYFUNCTION("COUNTIF(ARRAYFORMULA(HLOOKUP($B56, IMPORTRANGE('Prelim Rankings Unsorted'!$B$40, CONCAT(VLOOKUP($C56, 'Match Names'!$A$1:$D$22, 2, FALSE), ""!C3:R29"")), {5;10;16;22}, FALSE)), ""=-4"") + COUNTIF(ARRAYFORMULA(HLOOKUP($B56, IMPORTRANGE('Prelim Rankings Uns"&amp;"orted'!$B$41, CONCAT(VLOOKUP($C56, 'Match Names'!$A$1:$D$22, 3, FALSE), ""!C3:R29"")), {2;8;14;20}, FALSE)), ""=-4"") + COUNTIF(ARRAYFORMULA(HLOOKUP($B56, IMPORTRANGE('Prelim Rankings Unsorted'!$B$42, CONCAT(VLOOKUP($C56, 'Match Names'!$A$1:$D$22, 4, FALS"&amp;"E), ""!C3:R29"")), {4;10;16;22}, FALSE)), ""=-4"") + COUNTIF(ARRAYFORMULA(HLOOKUP($B56, IMPORTRANGE('Match Names'!$E$23, CONCAT(VLOOKUP($C56, 'Match Names'!$1:$22, 5, FALSE), ""!C3:R29"")), {5;10;15;20}, FALSE)), ""=-4"") + COUNTIF(ARRAYFORMULA(HLOOKUP($B"&amp;"56, IMPORTRANGE('Match Names'!$F$23, CONCAT(VLOOKUP($C56, 'Match Names'!$1:$22, 6, FALSE), ""!C3:R29"")), {4;10;16;22}, FALSE)), ""=-4"") + COUNTIF(ARRAYFORMULA(HLOOKUP($B56, IMPORTRANGE('Match Names'!$G$23, CONCAT(VLOOKUP($C56, 'Match Names'!$1:$22, 7, F"&amp;"ALSE), ""!C3:R29"")), {4;9;13;19}, FALSE)), ""=-4"") + COUNTIF(ARRAYFORMULA(HLOOKUP($B56, IMPORTRANGE('Match Names'!$H$23, CONCAT(VLOOKUP($C56, 'Match Names'!$1:$22, 8, FALSE), ""!C3:R29"")), {3;9;15;21}, FALSE)), ""=-4"")"),0.0)</f>
        <v>0</v>
      </c>
      <c r="H56" s="33">
        <f t="shared" si="1"/>
        <v>0</v>
      </c>
    </row>
    <row r="57">
      <c r="A57" s="21" t="s">
        <v>154</v>
      </c>
      <c r="B57" s="31" t="str">
        <f>VLOOKUP(CONCAT(A57, C57), 'Discord Username to Real Name'!C:D, 2, FALSE)</f>
        <v>Shinybro64#1122</v>
      </c>
      <c r="C57" s="21" t="s">
        <v>29</v>
      </c>
      <c r="D57" s="32">
        <f>IFERROR(__xludf.DUMMYFUNCTION("(4 - COUNTIF(IFERROR(ARRAYFORMULA(HLOOKUP($B57, IMPORTRANGE('Prelim Rankings Unsorted'!$B$40, CONCAT(VLOOKUP($C57, 'Match Names'!$A$1:$D$22, 2, FALSE), ""!C3:R29"")), {5;10;16;22}, FALSE)), 'Player Overall Stats Unsorted'!$AA$9:$AA$12), ""=X"")) + (4 - CO"&amp;"UNTIF(IFERROR(ARRAYFORMULA(HLOOKUP($B57, IMPORTRANGE('Prelim Rankings Unsorted'!$B$41, CONCAT(VLOOKUP($C57, 'Match Names'!$A$1:$D$22, 3, FALSE), ""!C3:R29"")), {2;8;14;20}, FALSE)), 'Player Overall Stats Unsorted'!$AA$9:$AA$12), ""=X"")) + (4 - COUNTIF(IF"&amp;"ERROR(ARRAYFORMULA(HLOOKUP($B57, IMPORTRANGE('Prelim Rankings Unsorted'!$B$42, CONCAT(VLOOKUP($C57, 'Match Names'!$A$1:$D$22, 4, FALSE), ""!C3:R29"")), {4;10;16;22}, FALSE)), 'Player Overall Stats Unsorted'!$AA$9:$AA$12), ""=X"")) + (4 - COUNTIF(IFERROR(A"&amp;"RRAYFORMULA(HLOOKUP($B57, IMPORTRANGE('Match Names'!$E$23, CONCAT(VLOOKUP($C57, 'Match Names'!$1:$22, 5, FALSE), ""!C3:R29"")), {5;10;15;20}, FALSE)), 'Player Overall Stats Unsorted'!$AA$9:$AA$12), ""=X"")) + (4 - COUNTIF(IFERROR(ARRAYFORMULA(HLOOKUP($B57"&amp;", IMPORTRANGE('Match Names'!$F$23, CONCAT(VLOOKUP($C57, 'Match Names'!$1:$22, 6, FALSE), ""!C3:R29"")), {4;10;16;22}, FALSE)), 'Player Overall Stats Unsorted'!$AA$9:$AA$12), ""=X"")) + (4 - COUNTIF(IFERROR(ARRAYFORMULA(HLOOKUP($B57, IMPORTRANGE('Match Nam"&amp;"es'!$G$23, CONCAT(VLOOKUP($C57, 'Match Names'!$1:$22, 7, FALSE), ""!C3:R29"")), {4;9;13;19}, FALSE)), 'Player Overall Stats Unsorted'!$AA$9:$AA$12), ""=X"")) + (4 - COUNTIF(IFERROR(ARRAYFORMULA(HLOOKUP($B57, IMPORTRANGE('Match Names'!$H$23, CONCAT(VLOOKUP"&amp;"($C57, 'Match Names'!$1:$22, 8, FALSE), ""!C3:R29"")), {3;9;15;21}, FALSE)), 'Player Overall Stats Unsorted'!$AA$9:$AA$12), ""=X""))"),16.0)</f>
        <v>16</v>
      </c>
      <c r="E57" s="32">
        <f>IFERROR(__xludf.DUMMYFUNCTION("COUNTIF(ARRAYFORMULA(HLOOKUP($B57, IMPORTRANGE('Prelim Rankings Unsorted'!$B$40, CONCAT(VLOOKUP($C57, 'Match Names'!$A$1:$D$22, 2, FALSE), ""!C3:R29"")), {5;10;16;22}, FALSE)), ""=4"") + COUNTIF(ARRAYFORMULA(HLOOKUP($B57, IMPORTRANGE('Prelim Rankings Unso"&amp;"rted'!$B$41, CONCAT(VLOOKUP($C57, 'Match Names'!$A$1:$D$22, 3, FALSE), ""!C3:R29"")), {2;8;14;20}, FALSE)), ""=4"") + COUNTIF(ARRAYFORMULA(HLOOKUP($B57, IMPORTRANGE('Prelim Rankings Unsorted'!$B$42, CONCAT(VLOOKUP($C57, 'Match Names'!$A$1:$D$22, 4, FALSE)"&amp;", ""!C3:R29"")), {4;10;16;22}, FALSE)), ""=4"") + COUNTIF(ARRAYFORMULA(HLOOKUP($B57, IMPORTRANGE('Match Names'!$E$23, CONCAT(VLOOKUP($C57, 'Match Names'!$1:$22, 5, FALSE), ""!C3:R29"")), {5;10;15;20}, FALSE)), ""=4"") + COUNTIF(ARRAYFORMULA(HLOOKUP($B57, "&amp;"IMPORTRANGE('Match Names'!$F$23, CONCAT(VLOOKUP($C57, 'Match Names'!$1:$22, 6, FALSE), ""!C3:R29"")), {4;10;16;22}, FALSE)), ""=4"") + COUNTIF(ARRAYFORMULA(HLOOKUP($B57, IMPORTRANGE('Match Names'!$G$23, CONCAT(VLOOKUP($C57, 'Match Names'!$1:$22, 7, FALSE)"&amp;", ""!C3:R29"")), {4;9;13;19}, FALSE)), ""=4"") + COUNTIF(ARRAYFORMULA(HLOOKUP($B57, IMPORTRANGE('Match Names'!$H$23, CONCAT(VLOOKUP($C57, 'Match Names'!$1:$22, 8, FALSE), ""!C3:R29"")), {3;9;15;21}, FALSE)), ""=4"")"),0.0)</f>
        <v>0</v>
      </c>
      <c r="F57" s="32">
        <f>IFERROR(__xludf.DUMMYFUNCTION("COUNTIF(ARRAYFORMULA(HLOOKUP($B57, IMPORTRANGE('Prelim Rankings Unsorted'!$B$40, CONCAT(VLOOKUP($C57, 'Match Names'!$A$1:$D$22, 2, FALSE), ""!C3:R29"")), {5;10;16;22}, FALSE)), ""=0"") + COUNTIF(ARRAYFORMULA(HLOOKUP($B57, IMPORTRANGE('Prelim Rankings Unso"&amp;"rted'!$B$41, CONCAT(VLOOKUP($C57, 'Match Names'!$A$1:$D$22, 3, FALSE), ""!C3:R29"")), {2;8;14;20}, FALSE)), ""=0"") + COUNTIF(ARRAYFORMULA(HLOOKUP($B57, IMPORTRANGE('Prelim Rankings Unsorted'!$B$42, CONCAT(VLOOKUP($C57, 'Match Names'!$A$1:$D$22, 4, FALSE)"&amp;", ""!C3:R29"")), {4;10;16;22}, FALSE)), ""=0"") + COUNTIF(ARRAYFORMULA(HLOOKUP($B57, IMPORTRANGE('Match Names'!$E$23, CONCAT(VLOOKUP($C57, 'Match Names'!$1:$22, 5, FALSE), ""!C3:R29"")), {5;10;15;20}, FALSE)), ""=0"") + COUNTIF(ARRAYFORMULA(HLOOKUP($B57, "&amp;"IMPORTRANGE('Match Names'!$F$23, CONCAT(VLOOKUP($C57, 'Match Names'!$1:$22, 6, FALSE), ""!C3:R29"")), {4;10;16;22}, FALSE)), ""=0"") + COUNTIF(ARRAYFORMULA(HLOOKUP($B57, IMPORTRANGE('Match Names'!$G$23, CONCAT(VLOOKUP($C57, 'Match Names'!$1:$22, 7, FALSE)"&amp;", ""!C3:R29"")), {4;9;13;19}, FALSE)), ""=0"") + COUNTIF(ARRAYFORMULA(HLOOKUP($B57, IMPORTRANGE('Match Names'!$H$23, CONCAT(VLOOKUP($C57, 'Match Names'!$1:$22, 8, FALSE), ""!C3:R29"")), {3;9;15;21}, FALSE)), ""=0"")"),4.0)</f>
        <v>4</v>
      </c>
      <c r="G57" s="32">
        <f>IFERROR(__xludf.DUMMYFUNCTION("COUNTIF(ARRAYFORMULA(HLOOKUP($B57, IMPORTRANGE('Prelim Rankings Unsorted'!$B$40, CONCAT(VLOOKUP($C57, 'Match Names'!$A$1:$D$22, 2, FALSE), ""!C3:R29"")), {5;10;16;22}, FALSE)), ""=-4"") + COUNTIF(ARRAYFORMULA(HLOOKUP($B57, IMPORTRANGE('Prelim Rankings Uns"&amp;"orted'!$B$41, CONCAT(VLOOKUP($C57, 'Match Names'!$A$1:$D$22, 3, FALSE), ""!C3:R29"")), {2;8;14;20}, FALSE)), ""=-4"") + COUNTIF(ARRAYFORMULA(HLOOKUP($B57, IMPORTRANGE('Prelim Rankings Unsorted'!$B$42, CONCAT(VLOOKUP($C57, 'Match Names'!$A$1:$D$22, 4, FALS"&amp;"E), ""!C3:R29"")), {4;10;16;22}, FALSE)), ""=-4"") + COUNTIF(ARRAYFORMULA(HLOOKUP($B57, IMPORTRANGE('Match Names'!$E$23, CONCAT(VLOOKUP($C57, 'Match Names'!$1:$22, 5, FALSE), ""!C3:R29"")), {5;10;15;20}, FALSE)), ""=-4"") + COUNTIF(ARRAYFORMULA(HLOOKUP($B"&amp;"57, IMPORTRANGE('Match Names'!$F$23, CONCAT(VLOOKUP($C57, 'Match Names'!$1:$22, 6, FALSE), ""!C3:R29"")), {4;10;16;22}, FALSE)), ""=-4"") + COUNTIF(ARRAYFORMULA(HLOOKUP($B57, IMPORTRANGE('Match Names'!$G$23, CONCAT(VLOOKUP($C57, 'Match Names'!$1:$22, 7, F"&amp;"ALSE), ""!C3:R29"")), {4;9;13;19}, FALSE)), ""=-4"") + COUNTIF(ARRAYFORMULA(HLOOKUP($B57, IMPORTRANGE('Match Names'!$H$23, CONCAT(VLOOKUP($C57, 'Match Names'!$1:$22, 8, FALSE), ""!C3:R29"")), {3;9;15;21}, FALSE)), ""=-4"")"),0.0)</f>
        <v>0</v>
      </c>
      <c r="H57" s="33">
        <f t="shared" si="1"/>
        <v>0</v>
      </c>
    </row>
    <row r="58">
      <c r="A58" s="21" t="s">
        <v>82</v>
      </c>
      <c r="B58" s="31" t="str">
        <f>VLOOKUP(CONCAT(A58, C58), 'Discord Username to Real Name'!C:D, 2, FALSE)</f>
        <v>Cemo475#3867</v>
      </c>
      <c r="C58" s="21" t="s">
        <v>19</v>
      </c>
      <c r="D58" s="32">
        <f>IFERROR(__xludf.DUMMYFUNCTION("(4 - COUNTIF(IFERROR(ARRAYFORMULA(HLOOKUP($B58, IMPORTRANGE('Prelim Rankings Unsorted'!$B$40, CONCAT(VLOOKUP($C58, 'Match Names'!$A$1:$D$22, 2, FALSE), ""!C3:R29"")), {5;10;16;22}, FALSE)), 'Player Overall Stats Unsorted'!$AA$9:$AA$12), ""=X"")) + (4 - CO"&amp;"UNTIF(IFERROR(ARRAYFORMULA(HLOOKUP($B58, IMPORTRANGE('Prelim Rankings Unsorted'!$B$41, CONCAT(VLOOKUP($C58, 'Match Names'!$A$1:$D$22, 3, FALSE), ""!C3:R29"")), {2;8;14;20}, FALSE)), 'Player Overall Stats Unsorted'!$AA$9:$AA$12), ""=X"")) + (4 - COUNTIF(IF"&amp;"ERROR(ARRAYFORMULA(HLOOKUP($B58, IMPORTRANGE('Prelim Rankings Unsorted'!$B$42, CONCAT(VLOOKUP($C58, 'Match Names'!$A$1:$D$22, 4, FALSE), ""!C3:R29"")), {4;10;16;22}, FALSE)), 'Player Overall Stats Unsorted'!$AA$9:$AA$12), ""=X"")) + (4 - COUNTIF(IFERROR(A"&amp;"RRAYFORMULA(HLOOKUP($B58, IMPORTRANGE('Match Names'!$E$23, CONCAT(VLOOKUP($C58, 'Match Names'!$1:$22, 5, FALSE), ""!C3:R29"")), {5;10;15;20}, FALSE)), 'Player Overall Stats Unsorted'!$AA$9:$AA$12), ""=X"")) + (4 - COUNTIF(IFERROR(ARRAYFORMULA(HLOOKUP($B58"&amp;", IMPORTRANGE('Match Names'!$F$23, CONCAT(VLOOKUP($C58, 'Match Names'!$1:$22, 6, FALSE), ""!C3:R29"")), {4;10;16;22}, FALSE)), 'Player Overall Stats Unsorted'!$AA$9:$AA$12), ""=X"")) + (4 - COUNTIF(IFERROR(ARRAYFORMULA(HLOOKUP($B58, IMPORTRANGE('Match Nam"&amp;"es'!$G$23, CONCAT(VLOOKUP($C58, 'Match Names'!$1:$22, 7, FALSE), ""!C3:R29"")), {4;9;13;19}, FALSE)), 'Player Overall Stats Unsorted'!$AA$9:$AA$12), ""=X"")) + (4 - COUNTIF(IFERROR(ARRAYFORMULA(HLOOKUP($B58, IMPORTRANGE('Match Names'!$H$23, CONCAT(VLOOKUP"&amp;"($C58, 'Match Names'!$1:$22, 8, FALSE), ""!C3:R29"")), {3;9;15;21}, FALSE)), 'Player Overall Stats Unsorted'!$AA$9:$AA$12), ""=X""))"),12.0)</f>
        <v>12</v>
      </c>
      <c r="E58" s="32">
        <f>IFERROR(__xludf.DUMMYFUNCTION("COUNTIF(ARRAYFORMULA(HLOOKUP($B58, IMPORTRANGE('Prelim Rankings Unsorted'!$B$40, CONCAT(VLOOKUP($C58, 'Match Names'!$A$1:$D$22, 2, FALSE), ""!C3:R29"")), {5;10;16;22}, FALSE)), ""=4"") + COUNTIF(ARRAYFORMULA(HLOOKUP($B58, IMPORTRANGE('Prelim Rankings Unso"&amp;"rted'!$B$41, CONCAT(VLOOKUP($C58, 'Match Names'!$A$1:$D$22, 3, FALSE), ""!C3:R29"")), {2;8;14;20}, FALSE)), ""=4"") + COUNTIF(ARRAYFORMULA(HLOOKUP($B58, IMPORTRANGE('Prelim Rankings Unsorted'!$B$42, CONCAT(VLOOKUP($C58, 'Match Names'!$A$1:$D$22, 4, FALSE)"&amp;", ""!C3:R29"")), {4;10;16;22}, FALSE)), ""=4"") + COUNTIF(ARRAYFORMULA(HLOOKUP($B58, IMPORTRANGE('Match Names'!$E$23, CONCAT(VLOOKUP($C58, 'Match Names'!$1:$22, 5, FALSE), ""!C3:R29"")), {5;10;15;20}, FALSE)), ""=4"") + COUNTIF(ARRAYFORMULA(HLOOKUP($B58, "&amp;"IMPORTRANGE('Match Names'!$F$23, CONCAT(VLOOKUP($C58, 'Match Names'!$1:$22, 6, FALSE), ""!C3:R29"")), {4;10;16;22}, FALSE)), ""=4"") + COUNTIF(ARRAYFORMULA(HLOOKUP($B58, IMPORTRANGE('Match Names'!$G$23, CONCAT(VLOOKUP($C58, 'Match Names'!$1:$22, 7, FALSE)"&amp;", ""!C3:R29"")), {4;9;13;19}, FALSE)), ""=4"") + COUNTIF(ARRAYFORMULA(HLOOKUP($B58, IMPORTRANGE('Match Names'!$H$23, CONCAT(VLOOKUP($C58, 'Match Names'!$1:$22, 8, FALSE), ""!C3:R29"")), {3;9;15;21}, FALSE)), ""=4"")"),2.0)</f>
        <v>2</v>
      </c>
      <c r="F58" s="32">
        <f>IFERROR(__xludf.DUMMYFUNCTION("COUNTIF(ARRAYFORMULA(HLOOKUP($B58, IMPORTRANGE('Prelim Rankings Unsorted'!$B$40, CONCAT(VLOOKUP($C58, 'Match Names'!$A$1:$D$22, 2, FALSE), ""!C3:R29"")), {5;10;16;22}, FALSE)), ""=0"") + COUNTIF(ARRAYFORMULA(HLOOKUP($B58, IMPORTRANGE('Prelim Rankings Unso"&amp;"rted'!$B$41, CONCAT(VLOOKUP($C58, 'Match Names'!$A$1:$D$22, 3, FALSE), ""!C3:R29"")), {2;8;14;20}, FALSE)), ""=0"") + COUNTIF(ARRAYFORMULA(HLOOKUP($B58, IMPORTRANGE('Prelim Rankings Unsorted'!$B$42, CONCAT(VLOOKUP($C58, 'Match Names'!$A$1:$D$22, 4, FALSE)"&amp;", ""!C3:R29"")), {4;10;16;22}, FALSE)), ""=0"") + COUNTIF(ARRAYFORMULA(HLOOKUP($B58, IMPORTRANGE('Match Names'!$E$23, CONCAT(VLOOKUP($C58, 'Match Names'!$1:$22, 5, FALSE), ""!C3:R29"")), {5;10;15;20}, FALSE)), ""=0"") + COUNTIF(ARRAYFORMULA(HLOOKUP($B58, "&amp;"IMPORTRANGE('Match Names'!$F$23, CONCAT(VLOOKUP($C58, 'Match Names'!$1:$22, 6, FALSE), ""!C3:R29"")), {4;10;16;22}, FALSE)), ""=0"") + COUNTIF(ARRAYFORMULA(HLOOKUP($B58, IMPORTRANGE('Match Names'!$G$23, CONCAT(VLOOKUP($C58, 'Match Names'!$1:$22, 7, FALSE)"&amp;", ""!C3:R29"")), {4;9;13;19}, FALSE)), ""=0"") + COUNTIF(ARRAYFORMULA(HLOOKUP($B58, IMPORTRANGE('Match Names'!$H$23, CONCAT(VLOOKUP($C58, 'Match Names'!$1:$22, 8, FALSE), ""!C3:R29"")), {3;9;15;21}, FALSE)), ""=0"")"),0.0)</f>
        <v>0</v>
      </c>
      <c r="G58" s="32">
        <f>IFERROR(__xludf.DUMMYFUNCTION("COUNTIF(ARRAYFORMULA(HLOOKUP($B58, IMPORTRANGE('Prelim Rankings Unsorted'!$B$40, CONCAT(VLOOKUP($C58, 'Match Names'!$A$1:$D$22, 2, FALSE), ""!C3:R29"")), {5;10;16;22}, FALSE)), ""=-4"") + COUNTIF(ARRAYFORMULA(HLOOKUP($B58, IMPORTRANGE('Prelim Rankings Uns"&amp;"orted'!$B$41, CONCAT(VLOOKUP($C58, 'Match Names'!$A$1:$D$22, 3, FALSE), ""!C3:R29"")), {2;8;14;20}, FALSE)), ""=-4"") + COUNTIF(ARRAYFORMULA(HLOOKUP($B58, IMPORTRANGE('Prelim Rankings Unsorted'!$B$42, CONCAT(VLOOKUP($C58, 'Match Names'!$A$1:$D$22, 4, FALS"&amp;"E), ""!C3:R29"")), {4;10;16;22}, FALSE)), ""=-4"") + COUNTIF(ARRAYFORMULA(HLOOKUP($B58, IMPORTRANGE('Match Names'!$E$23, CONCAT(VLOOKUP($C58, 'Match Names'!$1:$22, 5, FALSE), ""!C3:R29"")), {5;10;15;20}, FALSE)), ""=-4"") + COUNTIF(ARRAYFORMULA(HLOOKUP($B"&amp;"58, IMPORTRANGE('Match Names'!$F$23, CONCAT(VLOOKUP($C58, 'Match Names'!$1:$22, 6, FALSE), ""!C3:R29"")), {4;10;16;22}, FALSE)), ""=-4"") + COUNTIF(ARRAYFORMULA(HLOOKUP($B58, IMPORTRANGE('Match Names'!$G$23, CONCAT(VLOOKUP($C58, 'Match Names'!$1:$22, 7, F"&amp;"ALSE), ""!C3:R29"")), {4;9;13;19}, FALSE)), ""=-4"") + COUNTIF(ARRAYFORMULA(HLOOKUP($B58, IMPORTRANGE('Match Names'!$H$23, CONCAT(VLOOKUP($C58, 'Match Names'!$1:$22, 8, FALSE), ""!C3:R29"")), {3;9;15;21}, FALSE)), ""=-4"")"),2.0)</f>
        <v>2</v>
      </c>
      <c r="H58" s="33">
        <f t="shared" si="1"/>
        <v>0</v>
      </c>
    </row>
    <row r="59">
      <c r="A59" s="21" t="s">
        <v>74</v>
      </c>
      <c r="B59" s="31" t="str">
        <f>VLOOKUP(CONCAT(A59, C59), 'Discord Username to Real Name'!C:D, 2, FALSE)</f>
        <v>Chris Ge#6364</v>
      </c>
      <c r="C59" s="21" t="s">
        <v>19</v>
      </c>
      <c r="D59" s="32">
        <f>IFERROR(__xludf.DUMMYFUNCTION("(4 - COUNTIF(IFERROR(ARRAYFORMULA(HLOOKUP($B59, IMPORTRANGE('Prelim Rankings Unsorted'!$B$40, CONCAT(VLOOKUP($C59, 'Match Names'!$A$1:$D$22, 2, FALSE), ""!C3:R29"")), {5;10;16;22}, FALSE)), 'Player Overall Stats Unsorted'!$AA$9:$AA$12), ""=X"")) + (4 - CO"&amp;"UNTIF(IFERROR(ARRAYFORMULA(HLOOKUP($B59, IMPORTRANGE('Prelim Rankings Unsorted'!$B$41, CONCAT(VLOOKUP($C59, 'Match Names'!$A$1:$D$22, 3, FALSE), ""!C3:R29"")), {2;8;14;20}, FALSE)), 'Player Overall Stats Unsorted'!$AA$9:$AA$12), ""=X"")) + (4 - COUNTIF(IF"&amp;"ERROR(ARRAYFORMULA(HLOOKUP($B59, IMPORTRANGE('Prelim Rankings Unsorted'!$B$42, CONCAT(VLOOKUP($C59, 'Match Names'!$A$1:$D$22, 4, FALSE), ""!C3:R29"")), {4;10;16;22}, FALSE)), 'Player Overall Stats Unsorted'!$AA$9:$AA$12), ""=X"")) + (4 - COUNTIF(IFERROR(A"&amp;"RRAYFORMULA(HLOOKUP($B59, IMPORTRANGE('Match Names'!$E$23, CONCAT(VLOOKUP($C59, 'Match Names'!$1:$22, 5, FALSE), ""!C3:R29"")), {5;10;15;20}, FALSE)), 'Player Overall Stats Unsorted'!$AA$9:$AA$12), ""=X"")) + (4 - COUNTIF(IFERROR(ARRAYFORMULA(HLOOKUP($B59"&amp;", IMPORTRANGE('Match Names'!$F$23, CONCAT(VLOOKUP($C59, 'Match Names'!$1:$22, 6, FALSE), ""!C3:R29"")), {4;10;16;22}, FALSE)), 'Player Overall Stats Unsorted'!$AA$9:$AA$12), ""=X"")) + (4 - COUNTIF(IFERROR(ARRAYFORMULA(HLOOKUP($B59, IMPORTRANGE('Match Nam"&amp;"es'!$G$23, CONCAT(VLOOKUP($C59, 'Match Names'!$1:$22, 7, FALSE), ""!C3:R29"")), {4;9;13;19}, FALSE)), 'Player Overall Stats Unsorted'!$AA$9:$AA$12), ""=X"")) + (4 - COUNTIF(IFERROR(ARRAYFORMULA(HLOOKUP($B59, IMPORTRANGE('Match Names'!$H$23, CONCAT(VLOOKUP"&amp;"($C59, 'Match Names'!$1:$22, 8, FALSE), ""!C3:R29"")), {3;9;15;21}, FALSE)), 'Player Overall Stats Unsorted'!$AA$9:$AA$12), ""=X""))"),16.0)</f>
        <v>16</v>
      </c>
      <c r="E59" s="32">
        <f>IFERROR(__xludf.DUMMYFUNCTION("COUNTIF(ARRAYFORMULA(HLOOKUP($B59, IMPORTRANGE('Prelim Rankings Unsorted'!$B$40, CONCAT(VLOOKUP($C59, 'Match Names'!$A$1:$D$22, 2, FALSE), ""!C3:R29"")), {5;10;16;22}, FALSE)), ""=4"") + COUNTIF(ARRAYFORMULA(HLOOKUP($B59, IMPORTRANGE('Prelim Rankings Unso"&amp;"rted'!$B$41, CONCAT(VLOOKUP($C59, 'Match Names'!$A$1:$D$22, 3, FALSE), ""!C3:R29"")), {2;8;14;20}, FALSE)), ""=4"") + COUNTIF(ARRAYFORMULA(HLOOKUP($B59, IMPORTRANGE('Prelim Rankings Unsorted'!$B$42, CONCAT(VLOOKUP($C59, 'Match Names'!$A$1:$D$22, 4, FALSE)"&amp;", ""!C3:R29"")), {4;10;16;22}, FALSE)), ""=4"") + COUNTIF(ARRAYFORMULA(HLOOKUP($B59, IMPORTRANGE('Match Names'!$E$23, CONCAT(VLOOKUP($C59, 'Match Names'!$1:$22, 5, FALSE), ""!C3:R29"")), {5;10;15;20}, FALSE)), ""=4"") + COUNTIF(ARRAYFORMULA(HLOOKUP($B59, "&amp;"IMPORTRANGE('Match Names'!$F$23, CONCAT(VLOOKUP($C59, 'Match Names'!$1:$22, 6, FALSE), ""!C3:R29"")), {4;10;16;22}, FALSE)), ""=4"") + COUNTIF(ARRAYFORMULA(HLOOKUP($B59, IMPORTRANGE('Match Names'!$G$23, CONCAT(VLOOKUP($C59, 'Match Names'!$1:$22, 7, FALSE)"&amp;", ""!C3:R29"")), {4;9;13;19}, FALSE)), ""=4"") + COUNTIF(ARRAYFORMULA(HLOOKUP($B59, IMPORTRANGE('Match Names'!$H$23, CONCAT(VLOOKUP($C59, 'Match Names'!$1:$22, 8, FALSE), ""!C3:R29"")), {3;9;15;21}, FALSE)), ""=4"")"),0.0)</f>
        <v>0</v>
      </c>
      <c r="F59" s="32">
        <f>IFERROR(__xludf.DUMMYFUNCTION("COUNTIF(ARRAYFORMULA(HLOOKUP($B59, IMPORTRANGE('Prelim Rankings Unsorted'!$B$40, CONCAT(VLOOKUP($C59, 'Match Names'!$A$1:$D$22, 2, FALSE), ""!C3:R29"")), {5;10;16;22}, FALSE)), ""=0"") + COUNTIF(ARRAYFORMULA(HLOOKUP($B59, IMPORTRANGE('Prelim Rankings Unso"&amp;"rted'!$B$41, CONCAT(VLOOKUP($C59, 'Match Names'!$A$1:$D$22, 3, FALSE), ""!C3:R29"")), {2;8;14;20}, FALSE)), ""=0"") + COUNTIF(ARRAYFORMULA(HLOOKUP($B59, IMPORTRANGE('Prelim Rankings Unsorted'!$B$42, CONCAT(VLOOKUP($C59, 'Match Names'!$A$1:$D$22, 4, FALSE)"&amp;", ""!C3:R29"")), {4;10;16;22}, FALSE)), ""=0"") + COUNTIF(ARRAYFORMULA(HLOOKUP($B59, IMPORTRANGE('Match Names'!$E$23, CONCAT(VLOOKUP($C59, 'Match Names'!$1:$22, 5, FALSE), ""!C3:R29"")), {5;10;15;20}, FALSE)), ""=0"") + COUNTIF(ARRAYFORMULA(HLOOKUP($B59, "&amp;"IMPORTRANGE('Match Names'!$F$23, CONCAT(VLOOKUP($C59, 'Match Names'!$1:$22, 6, FALSE), ""!C3:R29"")), {4;10;16;22}, FALSE)), ""=0"") + COUNTIF(ARRAYFORMULA(HLOOKUP($B59, IMPORTRANGE('Match Names'!$G$23, CONCAT(VLOOKUP($C59, 'Match Names'!$1:$22, 7, FALSE)"&amp;", ""!C3:R29"")), {4;9;13;19}, FALSE)), ""=0"") + COUNTIF(ARRAYFORMULA(HLOOKUP($B59, IMPORTRANGE('Match Names'!$H$23, CONCAT(VLOOKUP($C59, 'Match Names'!$1:$22, 8, FALSE), ""!C3:R29"")), {3;9;15;21}, FALSE)), ""=0"")"),0.0)</f>
        <v>0</v>
      </c>
      <c r="G59" s="32">
        <f>IFERROR(__xludf.DUMMYFUNCTION("COUNTIF(ARRAYFORMULA(HLOOKUP($B59, IMPORTRANGE('Prelim Rankings Unsorted'!$B$40, CONCAT(VLOOKUP($C59, 'Match Names'!$A$1:$D$22, 2, FALSE), ""!C3:R29"")), {5;10;16;22}, FALSE)), ""=-4"") + COUNTIF(ARRAYFORMULA(HLOOKUP($B59, IMPORTRANGE('Prelim Rankings Uns"&amp;"orted'!$B$41, CONCAT(VLOOKUP($C59, 'Match Names'!$A$1:$D$22, 3, FALSE), ""!C3:R29"")), {2;8;14;20}, FALSE)), ""=-4"") + COUNTIF(ARRAYFORMULA(HLOOKUP($B59, IMPORTRANGE('Prelim Rankings Unsorted'!$B$42, CONCAT(VLOOKUP($C59, 'Match Names'!$A$1:$D$22, 4, FALS"&amp;"E), ""!C3:R29"")), {4;10;16;22}, FALSE)), ""=-4"") + COUNTIF(ARRAYFORMULA(HLOOKUP($B59, IMPORTRANGE('Match Names'!$E$23, CONCAT(VLOOKUP($C59, 'Match Names'!$1:$22, 5, FALSE), ""!C3:R29"")), {5;10;15;20}, FALSE)), ""=-4"") + COUNTIF(ARRAYFORMULA(HLOOKUP($B"&amp;"59, IMPORTRANGE('Match Names'!$F$23, CONCAT(VLOOKUP($C59, 'Match Names'!$1:$22, 6, FALSE), ""!C3:R29"")), {4;10;16;22}, FALSE)), ""=-4"") + COUNTIF(ARRAYFORMULA(HLOOKUP($B59, IMPORTRANGE('Match Names'!$G$23, CONCAT(VLOOKUP($C59, 'Match Names'!$1:$22, 7, F"&amp;"ALSE), ""!C3:R29"")), {4;9;13;19}, FALSE)), ""=-4"") + COUNTIF(ARRAYFORMULA(HLOOKUP($B59, IMPORTRANGE('Match Names'!$H$23, CONCAT(VLOOKUP($C59, 'Match Names'!$1:$22, 8, FALSE), ""!C3:R29"")), {3;9;15;21}, FALSE)), ""=-4"")"),0.0)</f>
        <v>0</v>
      </c>
      <c r="H59" s="33">
        <f t="shared" si="1"/>
        <v>0</v>
      </c>
    </row>
    <row r="60">
      <c r="A60" s="21" t="s">
        <v>61</v>
      </c>
      <c r="B60" s="31" t="str">
        <f>VLOOKUP(CONCAT(A60, C60), 'Discord Username to Real Name'!C:D, 2, FALSE)</f>
        <v>chalk#0845</v>
      </c>
      <c r="C60" s="21" t="s">
        <v>19</v>
      </c>
      <c r="D60" s="32">
        <f>IFERROR(__xludf.DUMMYFUNCTION("(4 - COUNTIF(IFERROR(ARRAYFORMULA(HLOOKUP($B60, IMPORTRANGE('Prelim Rankings Unsorted'!$B$40, CONCAT(VLOOKUP($C60, 'Match Names'!$A$1:$D$22, 2, FALSE), ""!C3:R29"")), {5;10;16;22}, FALSE)), 'Player Overall Stats Unsorted'!$AA$9:$AA$12), ""=X"")) + (4 - CO"&amp;"UNTIF(IFERROR(ARRAYFORMULA(HLOOKUP($B60, IMPORTRANGE('Prelim Rankings Unsorted'!$B$41, CONCAT(VLOOKUP($C60, 'Match Names'!$A$1:$D$22, 3, FALSE), ""!C3:R29"")), {2;8;14;20}, FALSE)), 'Player Overall Stats Unsorted'!$AA$9:$AA$12), ""=X"")) + (4 - COUNTIF(IF"&amp;"ERROR(ARRAYFORMULA(HLOOKUP($B60, IMPORTRANGE('Prelim Rankings Unsorted'!$B$42, CONCAT(VLOOKUP($C60, 'Match Names'!$A$1:$D$22, 4, FALSE), ""!C3:R29"")), {4;10;16;22}, FALSE)), 'Player Overall Stats Unsorted'!$AA$9:$AA$12), ""=X"")) + (4 - COUNTIF(IFERROR(A"&amp;"RRAYFORMULA(HLOOKUP($B60, IMPORTRANGE('Match Names'!$E$23, CONCAT(VLOOKUP($C60, 'Match Names'!$1:$22, 5, FALSE), ""!C3:R29"")), {5;10;15;20}, FALSE)), 'Player Overall Stats Unsorted'!$AA$9:$AA$12), ""=X"")) + (4 - COUNTIF(IFERROR(ARRAYFORMULA(HLOOKUP($B60"&amp;", IMPORTRANGE('Match Names'!$F$23, CONCAT(VLOOKUP($C60, 'Match Names'!$1:$22, 6, FALSE), ""!C3:R29"")), {4;10;16;22}, FALSE)), 'Player Overall Stats Unsorted'!$AA$9:$AA$12), ""=X"")) + (4 - COUNTIF(IFERROR(ARRAYFORMULA(HLOOKUP($B60, IMPORTRANGE('Match Nam"&amp;"es'!$G$23, CONCAT(VLOOKUP($C60, 'Match Names'!$1:$22, 7, FALSE), ""!C3:R29"")), {4;9;13;19}, FALSE)), 'Player Overall Stats Unsorted'!$AA$9:$AA$12), ""=X"")) + (4 - COUNTIF(IFERROR(ARRAYFORMULA(HLOOKUP($B60, IMPORTRANGE('Match Names'!$H$23, CONCAT(VLOOKUP"&amp;"($C60, 'Match Names'!$1:$22, 8, FALSE), ""!C3:R29"")), {3;9;15;21}, FALSE)), 'Player Overall Stats Unsorted'!$AA$9:$AA$12), ""=X""))"),12.0)</f>
        <v>12</v>
      </c>
      <c r="E60" s="32">
        <f>IFERROR(__xludf.DUMMYFUNCTION("COUNTIF(ARRAYFORMULA(HLOOKUP($B60, IMPORTRANGE('Prelim Rankings Unsorted'!$B$40, CONCAT(VLOOKUP($C60, 'Match Names'!$A$1:$D$22, 2, FALSE), ""!C3:R29"")), {5;10;16;22}, FALSE)), ""=4"") + COUNTIF(ARRAYFORMULA(HLOOKUP($B60, IMPORTRANGE('Prelim Rankings Unso"&amp;"rted'!$B$41, CONCAT(VLOOKUP($C60, 'Match Names'!$A$1:$D$22, 3, FALSE), ""!C3:R29"")), {2;8;14;20}, FALSE)), ""=4"") + COUNTIF(ARRAYFORMULA(HLOOKUP($B60, IMPORTRANGE('Prelim Rankings Unsorted'!$B$42, CONCAT(VLOOKUP($C60, 'Match Names'!$A$1:$D$22, 4, FALSE)"&amp;", ""!C3:R29"")), {4;10;16;22}, FALSE)), ""=4"") + COUNTIF(ARRAYFORMULA(HLOOKUP($B60, IMPORTRANGE('Match Names'!$E$23, CONCAT(VLOOKUP($C60, 'Match Names'!$1:$22, 5, FALSE), ""!C3:R29"")), {5;10;15;20}, FALSE)), ""=4"") + COUNTIF(ARRAYFORMULA(HLOOKUP($B60, "&amp;"IMPORTRANGE('Match Names'!$F$23, CONCAT(VLOOKUP($C60, 'Match Names'!$1:$22, 6, FALSE), ""!C3:R29"")), {4;10;16;22}, FALSE)), ""=4"") + COUNTIF(ARRAYFORMULA(HLOOKUP($B60, IMPORTRANGE('Match Names'!$G$23, CONCAT(VLOOKUP($C60, 'Match Names'!$1:$22, 7, FALSE)"&amp;", ""!C3:R29"")), {4;9;13;19}, FALSE)), ""=4"") + COUNTIF(ARRAYFORMULA(HLOOKUP($B60, IMPORTRANGE('Match Names'!$H$23, CONCAT(VLOOKUP($C60, 'Match Names'!$1:$22, 8, FALSE), ""!C3:R29"")), {3;9;15;21}, FALSE)), ""=4"")"),0.0)</f>
        <v>0</v>
      </c>
      <c r="F60" s="32">
        <f>IFERROR(__xludf.DUMMYFUNCTION("COUNTIF(ARRAYFORMULA(HLOOKUP($B60, IMPORTRANGE('Prelim Rankings Unsorted'!$B$40, CONCAT(VLOOKUP($C60, 'Match Names'!$A$1:$D$22, 2, FALSE), ""!C3:R29"")), {5;10;16;22}, FALSE)), ""=0"") + COUNTIF(ARRAYFORMULA(HLOOKUP($B60, IMPORTRANGE('Prelim Rankings Unso"&amp;"rted'!$B$41, CONCAT(VLOOKUP($C60, 'Match Names'!$A$1:$D$22, 3, FALSE), ""!C3:R29"")), {2;8;14;20}, FALSE)), ""=0"") + COUNTIF(ARRAYFORMULA(HLOOKUP($B60, IMPORTRANGE('Prelim Rankings Unsorted'!$B$42, CONCAT(VLOOKUP($C60, 'Match Names'!$A$1:$D$22, 4, FALSE)"&amp;", ""!C3:R29"")), {4;10;16;22}, FALSE)), ""=0"") + COUNTIF(ARRAYFORMULA(HLOOKUP($B60, IMPORTRANGE('Match Names'!$E$23, CONCAT(VLOOKUP($C60, 'Match Names'!$1:$22, 5, FALSE), ""!C3:R29"")), {5;10;15;20}, FALSE)), ""=0"") + COUNTIF(ARRAYFORMULA(HLOOKUP($B60, "&amp;"IMPORTRANGE('Match Names'!$F$23, CONCAT(VLOOKUP($C60, 'Match Names'!$1:$22, 6, FALSE), ""!C3:R29"")), {4;10;16;22}, FALSE)), ""=0"") + COUNTIF(ARRAYFORMULA(HLOOKUP($B60, IMPORTRANGE('Match Names'!$G$23, CONCAT(VLOOKUP($C60, 'Match Names'!$1:$22, 7, FALSE)"&amp;", ""!C3:R29"")), {4;9;13;19}, FALSE)), ""=0"") + COUNTIF(ARRAYFORMULA(HLOOKUP($B60, IMPORTRANGE('Match Names'!$H$23, CONCAT(VLOOKUP($C60, 'Match Names'!$1:$22, 8, FALSE), ""!C3:R29"")), {3;9;15;21}, FALSE)), ""=0"")"),0.0)</f>
        <v>0</v>
      </c>
      <c r="G60" s="32">
        <f>IFERROR(__xludf.DUMMYFUNCTION("COUNTIF(ARRAYFORMULA(HLOOKUP($B60, IMPORTRANGE('Prelim Rankings Unsorted'!$B$40, CONCAT(VLOOKUP($C60, 'Match Names'!$A$1:$D$22, 2, FALSE), ""!C3:R29"")), {5;10;16;22}, FALSE)), ""=-4"") + COUNTIF(ARRAYFORMULA(HLOOKUP($B60, IMPORTRANGE('Prelim Rankings Uns"&amp;"orted'!$B$41, CONCAT(VLOOKUP($C60, 'Match Names'!$A$1:$D$22, 3, FALSE), ""!C3:R29"")), {2;8;14;20}, FALSE)), ""=-4"") + COUNTIF(ARRAYFORMULA(HLOOKUP($B60, IMPORTRANGE('Prelim Rankings Unsorted'!$B$42, CONCAT(VLOOKUP($C60, 'Match Names'!$A$1:$D$22, 4, FALS"&amp;"E), ""!C3:R29"")), {4;10;16;22}, FALSE)), ""=-4"") + COUNTIF(ARRAYFORMULA(HLOOKUP($B60, IMPORTRANGE('Match Names'!$E$23, CONCAT(VLOOKUP($C60, 'Match Names'!$1:$22, 5, FALSE), ""!C3:R29"")), {5;10;15;20}, FALSE)), ""=-4"") + COUNTIF(ARRAYFORMULA(HLOOKUP($B"&amp;"60, IMPORTRANGE('Match Names'!$F$23, CONCAT(VLOOKUP($C60, 'Match Names'!$1:$22, 6, FALSE), ""!C3:R29"")), {4;10;16;22}, FALSE)), ""=-4"") + COUNTIF(ARRAYFORMULA(HLOOKUP($B60, IMPORTRANGE('Match Names'!$G$23, CONCAT(VLOOKUP($C60, 'Match Names'!$1:$22, 7, F"&amp;"ALSE), ""!C3:R29"")), {4;9;13;19}, FALSE)), ""=-4"") + COUNTIF(ARRAYFORMULA(HLOOKUP($B60, IMPORTRANGE('Match Names'!$H$23, CONCAT(VLOOKUP($C60, 'Match Names'!$1:$22, 8, FALSE), ""!C3:R29"")), {3;9;15;21}, FALSE)), ""=-4"")"),0.0)</f>
        <v>0</v>
      </c>
      <c r="H60" s="33">
        <f t="shared" si="1"/>
        <v>0</v>
      </c>
    </row>
    <row r="61">
      <c r="A61" s="21" t="s">
        <v>106</v>
      </c>
      <c r="B61" s="31" t="str">
        <f>VLOOKUP(CONCAT(A61, C61), 'Discord Username to Real Name'!C:D, 2, FALSE)</f>
        <v>banane#7103</v>
      </c>
      <c r="C61" s="21" t="s">
        <v>19</v>
      </c>
      <c r="D61" s="32">
        <f>IFERROR(__xludf.DUMMYFUNCTION("(4 - COUNTIF(IFERROR(ARRAYFORMULA(HLOOKUP($B61, IMPORTRANGE('Prelim Rankings Unsorted'!$B$40, CONCAT(VLOOKUP($C61, 'Match Names'!$A$1:$D$22, 2, FALSE), ""!C3:R29"")), {5;10;16;22}, FALSE)), 'Player Overall Stats Unsorted'!$AA$9:$AA$12), ""=X"")) + (4 - CO"&amp;"UNTIF(IFERROR(ARRAYFORMULA(HLOOKUP($B61, IMPORTRANGE('Prelim Rankings Unsorted'!$B$41, CONCAT(VLOOKUP($C61, 'Match Names'!$A$1:$D$22, 3, FALSE), ""!C3:R29"")), {2;8;14;20}, FALSE)), 'Player Overall Stats Unsorted'!$AA$9:$AA$12), ""=X"")) + (4 - COUNTIF(IF"&amp;"ERROR(ARRAYFORMULA(HLOOKUP($B61, IMPORTRANGE('Prelim Rankings Unsorted'!$B$42, CONCAT(VLOOKUP($C61, 'Match Names'!$A$1:$D$22, 4, FALSE), ""!C3:R29"")), {4;10;16;22}, FALSE)), 'Player Overall Stats Unsorted'!$AA$9:$AA$12), ""=X"")) + (4 - COUNTIF(IFERROR(A"&amp;"RRAYFORMULA(HLOOKUP($B61, IMPORTRANGE('Match Names'!$E$23, CONCAT(VLOOKUP($C61, 'Match Names'!$1:$22, 5, FALSE), ""!C3:R29"")), {5;10;15;20}, FALSE)), 'Player Overall Stats Unsorted'!$AA$9:$AA$12), ""=X"")) + (4 - COUNTIF(IFERROR(ARRAYFORMULA(HLOOKUP($B61"&amp;", IMPORTRANGE('Match Names'!$F$23, CONCAT(VLOOKUP($C61, 'Match Names'!$1:$22, 6, FALSE), ""!C3:R29"")), {4;10;16;22}, FALSE)), 'Player Overall Stats Unsorted'!$AA$9:$AA$12), ""=X"")) + (4 - COUNTIF(IFERROR(ARRAYFORMULA(HLOOKUP($B61, IMPORTRANGE('Match Nam"&amp;"es'!$G$23, CONCAT(VLOOKUP($C61, 'Match Names'!$1:$22, 7, FALSE), ""!C3:R29"")), {4;9;13;19}, FALSE)), 'Player Overall Stats Unsorted'!$AA$9:$AA$12), ""=X"")) + (4 - COUNTIF(IFERROR(ARRAYFORMULA(HLOOKUP($B61, IMPORTRANGE('Match Names'!$H$23, CONCAT(VLOOKUP"&amp;"($C61, 'Match Names'!$1:$22, 8, FALSE), ""!C3:R29"")), {3;9;15;21}, FALSE)), 'Player Overall Stats Unsorted'!$AA$9:$AA$12), ""=X""))"),14.0)</f>
        <v>14</v>
      </c>
      <c r="E61" s="32">
        <f>IFERROR(__xludf.DUMMYFUNCTION("COUNTIF(ARRAYFORMULA(HLOOKUP($B61, IMPORTRANGE('Prelim Rankings Unsorted'!$B$40, CONCAT(VLOOKUP($C61, 'Match Names'!$A$1:$D$22, 2, FALSE), ""!C3:R29"")), {5;10;16;22}, FALSE)), ""=4"") + COUNTIF(ARRAYFORMULA(HLOOKUP($B61, IMPORTRANGE('Prelim Rankings Unso"&amp;"rted'!$B$41, CONCAT(VLOOKUP($C61, 'Match Names'!$A$1:$D$22, 3, FALSE), ""!C3:R29"")), {2;8;14;20}, FALSE)), ""=4"") + COUNTIF(ARRAYFORMULA(HLOOKUP($B61, IMPORTRANGE('Prelim Rankings Unsorted'!$B$42, CONCAT(VLOOKUP($C61, 'Match Names'!$A$1:$D$22, 4, FALSE)"&amp;", ""!C3:R29"")), {4;10;16;22}, FALSE)), ""=4"") + COUNTIF(ARRAYFORMULA(HLOOKUP($B61, IMPORTRANGE('Match Names'!$E$23, CONCAT(VLOOKUP($C61, 'Match Names'!$1:$22, 5, FALSE), ""!C3:R29"")), {5;10;15;20}, FALSE)), ""=4"") + COUNTIF(ARRAYFORMULA(HLOOKUP($B61, "&amp;"IMPORTRANGE('Match Names'!$F$23, CONCAT(VLOOKUP($C61, 'Match Names'!$1:$22, 6, FALSE), ""!C3:R29"")), {4;10;16;22}, FALSE)), ""=4"") + COUNTIF(ARRAYFORMULA(HLOOKUP($B61, IMPORTRANGE('Match Names'!$G$23, CONCAT(VLOOKUP($C61, 'Match Names'!$1:$22, 7, FALSE)"&amp;", ""!C3:R29"")), {4;9;13;19}, FALSE)), ""=4"") + COUNTIF(ARRAYFORMULA(HLOOKUP($B61, IMPORTRANGE('Match Names'!$H$23, CONCAT(VLOOKUP($C61, 'Match Names'!$1:$22, 8, FALSE), ""!C3:R29"")), {3;9;15;21}, FALSE)), ""=4"")"),0.0)</f>
        <v>0</v>
      </c>
      <c r="F61" s="32">
        <f>IFERROR(__xludf.DUMMYFUNCTION("COUNTIF(ARRAYFORMULA(HLOOKUP($B61, IMPORTRANGE('Prelim Rankings Unsorted'!$B$40, CONCAT(VLOOKUP($C61, 'Match Names'!$A$1:$D$22, 2, FALSE), ""!C3:R29"")), {5;10;16;22}, FALSE)), ""=0"") + COUNTIF(ARRAYFORMULA(HLOOKUP($B61, IMPORTRANGE('Prelim Rankings Unso"&amp;"rted'!$B$41, CONCAT(VLOOKUP($C61, 'Match Names'!$A$1:$D$22, 3, FALSE), ""!C3:R29"")), {2;8;14;20}, FALSE)), ""=0"") + COUNTIF(ARRAYFORMULA(HLOOKUP($B61, IMPORTRANGE('Prelim Rankings Unsorted'!$B$42, CONCAT(VLOOKUP($C61, 'Match Names'!$A$1:$D$22, 4, FALSE)"&amp;", ""!C3:R29"")), {4;10;16;22}, FALSE)), ""=0"") + COUNTIF(ARRAYFORMULA(HLOOKUP($B61, IMPORTRANGE('Match Names'!$E$23, CONCAT(VLOOKUP($C61, 'Match Names'!$1:$22, 5, FALSE), ""!C3:R29"")), {5;10;15;20}, FALSE)), ""=0"") + COUNTIF(ARRAYFORMULA(HLOOKUP($B61, "&amp;"IMPORTRANGE('Match Names'!$F$23, CONCAT(VLOOKUP($C61, 'Match Names'!$1:$22, 6, FALSE), ""!C3:R29"")), {4;10;16;22}, FALSE)), ""=0"") + COUNTIF(ARRAYFORMULA(HLOOKUP($B61, IMPORTRANGE('Match Names'!$G$23, CONCAT(VLOOKUP($C61, 'Match Names'!$1:$22, 7, FALSE)"&amp;", ""!C3:R29"")), {4;9;13;19}, FALSE)), ""=0"") + COUNTIF(ARRAYFORMULA(HLOOKUP($B61, IMPORTRANGE('Match Names'!$H$23, CONCAT(VLOOKUP($C61, 'Match Names'!$1:$22, 8, FALSE), ""!C3:R29"")), {3;9;15;21}, FALSE)), ""=0"")"),0.0)</f>
        <v>0</v>
      </c>
      <c r="G61" s="32">
        <f>IFERROR(__xludf.DUMMYFUNCTION("COUNTIF(ARRAYFORMULA(HLOOKUP($B61, IMPORTRANGE('Prelim Rankings Unsorted'!$B$40, CONCAT(VLOOKUP($C61, 'Match Names'!$A$1:$D$22, 2, FALSE), ""!C3:R29"")), {5;10;16;22}, FALSE)), ""=-4"") + COUNTIF(ARRAYFORMULA(HLOOKUP($B61, IMPORTRANGE('Prelim Rankings Uns"&amp;"orted'!$B$41, CONCAT(VLOOKUP($C61, 'Match Names'!$A$1:$D$22, 3, FALSE), ""!C3:R29"")), {2;8;14;20}, FALSE)), ""=-4"") + COUNTIF(ARRAYFORMULA(HLOOKUP($B61, IMPORTRANGE('Prelim Rankings Unsorted'!$B$42, CONCAT(VLOOKUP($C61, 'Match Names'!$A$1:$D$22, 4, FALS"&amp;"E), ""!C3:R29"")), {4;10;16;22}, FALSE)), ""=-4"") + COUNTIF(ARRAYFORMULA(HLOOKUP($B61, IMPORTRANGE('Match Names'!$E$23, CONCAT(VLOOKUP($C61, 'Match Names'!$1:$22, 5, FALSE), ""!C3:R29"")), {5;10;15;20}, FALSE)), ""=-4"") + COUNTIF(ARRAYFORMULA(HLOOKUP($B"&amp;"61, IMPORTRANGE('Match Names'!$F$23, CONCAT(VLOOKUP($C61, 'Match Names'!$1:$22, 6, FALSE), ""!C3:R29"")), {4;10;16;22}, FALSE)), ""=-4"") + COUNTIF(ARRAYFORMULA(HLOOKUP($B61, IMPORTRANGE('Match Names'!$G$23, CONCAT(VLOOKUP($C61, 'Match Names'!$1:$22, 7, F"&amp;"ALSE), ""!C3:R29"")), {4;9;13;19}, FALSE)), ""=-4"") + COUNTIF(ARRAYFORMULA(HLOOKUP($B61, IMPORTRANGE('Match Names'!$H$23, CONCAT(VLOOKUP($C61, 'Match Names'!$1:$22, 8, FALSE), ""!C3:R29"")), {3;9;15;21}, FALSE)), ""=-4"")"),0.0)</f>
        <v>0</v>
      </c>
      <c r="H61" s="33">
        <f t="shared" si="1"/>
        <v>0</v>
      </c>
    </row>
    <row r="62">
      <c r="A62" s="21" t="s">
        <v>65</v>
      </c>
      <c r="B62" s="31" t="str">
        <f>VLOOKUP(CONCAT(A62, C62), 'Discord Username to Real Name'!C:D, 2, FALSE)</f>
        <v>Sahas#5704</v>
      </c>
      <c r="C62" s="21" t="s">
        <v>19</v>
      </c>
      <c r="D62" s="32">
        <f>IFERROR(__xludf.DUMMYFUNCTION("(4 - COUNTIF(IFERROR(ARRAYFORMULA(HLOOKUP($B62, IMPORTRANGE('Prelim Rankings Unsorted'!$B$40, CONCAT(VLOOKUP($C62, 'Match Names'!$A$1:$D$22, 2, FALSE), ""!C3:R29"")), {5;10;16;22}, FALSE)), 'Player Overall Stats Unsorted'!$AA$9:$AA$12), ""=X"")) + (4 - CO"&amp;"UNTIF(IFERROR(ARRAYFORMULA(HLOOKUP($B62, IMPORTRANGE('Prelim Rankings Unsorted'!$B$41, CONCAT(VLOOKUP($C62, 'Match Names'!$A$1:$D$22, 3, FALSE), ""!C3:R29"")), {2;8;14;20}, FALSE)), 'Player Overall Stats Unsorted'!$AA$9:$AA$12), ""=X"")) + (4 - COUNTIF(IF"&amp;"ERROR(ARRAYFORMULA(HLOOKUP($B62, IMPORTRANGE('Prelim Rankings Unsorted'!$B$42, CONCAT(VLOOKUP($C62, 'Match Names'!$A$1:$D$22, 4, FALSE), ""!C3:R29"")), {4;10;16;22}, FALSE)), 'Player Overall Stats Unsorted'!$AA$9:$AA$12), ""=X"")) + (4 - COUNTIF(IFERROR(A"&amp;"RRAYFORMULA(HLOOKUP($B62, IMPORTRANGE('Match Names'!$E$23, CONCAT(VLOOKUP($C62, 'Match Names'!$1:$22, 5, FALSE), ""!C3:R29"")), {5;10;15;20}, FALSE)), 'Player Overall Stats Unsorted'!$AA$9:$AA$12), ""=X"")) + (4 - COUNTIF(IFERROR(ARRAYFORMULA(HLOOKUP($B62"&amp;", IMPORTRANGE('Match Names'!$F$23, CONCAT(VLOOKUP($C62, 'Match Names'!$1:$22, 6, FALSE), ""!C3:R29"")), {4;10;16;22}, FALSE)), 'Player Overall Stats Unsorted'!$AA$9:$AA$12), ""=X"")) + (4 - COUNTIF(IFERROR(ARRAYFORMULA(HLOOKUP($B62, IMPORTRANGE('Match Nam"&amp;"es'!$G$23, CONCAT(VLOOKUP($C62, 'Match Names'!$1:$22, 7, FALSE), ""!C3:R29"")), {4;9;13;19}, FALSE)), 'Player Overall Stats Unsorted'!$AA$9:$AA$12), ""=X"")) + (4 - COUNTIF(IFERROR(ARRAYFORMULA(HLOOKUP($B62, IMPORTRANGE('Match Names'!$H$23, CONCAT(VLOOKUP"&amp;"($C62, 'Match Names'!$1:$22, 8, FALSE), ""!C3:R29"")), {3;9;15;21}, FALSE)), 'Player Overall Stats Unsorted'!$AA$9:$AA$12), ""=X""))"),16.0)</f>
        <v>16</v>
      </c>
      <c r="E62" s="32">
        <f>IFERROR(__xludf.DUMMYFUNCTION("COUNTIF(ARRAYFORMULA(HLOOKUP($B62, IMPORTRANGE('Prelim Rankings Unsorted'!$B$40, CONCAT(VLOOKUP($C62, 'Match Names'!$A$1:$D$22, 2, FALSE), ""!C3:R29"")), {5;10;16;22}, FALSE)), ""=4"") + COUNTIF(ARRAYFORMULA(HLOOKUP($B62, IMPORTRANGE('Prelim Rankings Unso"&amp;"rted'!$B$41, CONCAT(VLOOKUP($C62, 'Match Names'!$A$1:$D$22, 3, FALSE), ""!C3:R29"")), {2;8;14;20}, FALSE)), ""=4"") + COUNTIF(ARRAYFORMULA(HLOOKUP($B62, IMPORTRANGE('Prelim Rankings Unsorted'!$B$42, CONCAT(VLOOKUP($C62, 'Match Names'!$A$1:$D$22, 4, FALSE)"&amp;", ""!C3:R29"")), {4;10;16;22}, FALSE)), ""=4"") + COUNTIF(ARRAYFORMULA(HLOOKUP($B62, IMPORTRANGE('Match Names'!$E$23, CONCAT(VLOOKUP($C62, 'Match Names'!$1:$22, 5, FALSE), ""!C3:R29"")), {5;10;15;20}, FALSE)), ""=4"") + COUNTIF(ARRAYFORMULA(HLOOKUP($B62, "&amp;"IMPORTRANGE('Match Names'!$F$23, CONCAT(VLOOKUP($C62, 'Match Names'!$1:$22, 6, FALSE), ""!C3:R29"")), {4;10;16;22}, FALSE)), ""=4"") + COUNTIF(ARRAYFORMULA(HLOOKUP($B62, IMPORTRANGE('Match Names'!$G$23, CONCAT(VLOOKUP($C62, 'Match Names'!$1:$22, 7, FALSE)"&amp;", ""!C3:R29"")), {4;9;13;19}, FALSE)), ""=4"") + COUNTIF(ARRAYFORMULA(HLOOKUP($B62, IMPORTRANGE('Match Names'!$H$23, CONCAT(VLOOKUP($C62, 'Match Names'!$1:$22, 8, FALSE), ""!C3:R29"")), {3;9;15;21}, FALSE)), ""=4"")"),3.0)</f>
        <v>3</v>
      </c>
      <c r="F62" s="32">
        <f>IFERROR(__xludf.DUMMYFUNCTION("COUNTIF(ARRAYFORMULA(HLOOKUP($B62, IMPORTRANGE('Prelim Rankings Unsorted'!$B$40, CONCAT(VLOOKUP($C62, 'Match Names'!$A$1:$D$22, 2, FALSE), ""!C3:R29"")), {5;10;16;22}, FALSE)), ""=0"") + COUNTIF(ARRAYFORMULA(HLOOKUP($B62, IMPORTRANGE('Prelim Rankings Unso"&amp;"rted'!$B$41, CONCAT(VLOOKUP($C62, 'Match Names'!$A$1:$D$22, 3, FALSE), ""!C3:R29"")), {2;8;14;20}, FALSE)), ""=0"") + COUNTIF(ARRAYFORMULA(HLOOKUP($B62, IMPORTRANGE('Prelim Rankings Unsorted'!$B$42, CONCAT(VLOOKUP($C62, 'Match Names'!$A$1:$D$22, 4, FALSE)"&amp;", ""!C3:R29"")), {4;10;16;22}, FALSE)), ""=0"") + COUNTIF(ARRAYFORMULA(HLOOKUP($B62, IMPORTRANGE('Match Names'!$E$23, CONCAT(VLOOKUP($C62, 'Match Names'!$1:$22, 5, FALSE), ""!C3:R29"")), {5;10;15;20}, FALSE)), ""=0"") + COUNTIF(ARRAYFORMULA(HLOOKUP($B62, "&amp;"IMPORTRANGE('Match Names'!$F$23, CONCAT(VLOOKUP($C62, 'Match Names'!$1:$22, 6, FALSE), ""!C3:R29"")), {4;10;16;22}, FALSE)), ""=0"") + COUNTIF(ARRAYFORMULA(HLOOKUP($B62, IMPORTRANGE('Match Names'!$G$23, CONCAT(VLOOKUP($C62, 'Match Names'!$1:$22, 7, FALSE)"&amp;", ""!C3:R29"")), {4;9;13;19}, FALSE)), ""=0"") + COUNTIF(ARRAYFORMULA(HLOOKUP($B62, IMPORTRANGE('Match Names'!$H$23, CONCAT(VLOOKUP($C62, 'Match Names'!$1:$22, 8, FALSE), ""!C3:R29"")), {3;9;15;21}, FALSE)), ""=0"")"),1.0)</f>
        <v>1</v>
      </c>
      <c r="G62" s="32">
        <f>IFERROR(__xludf.DUMMYFUNCTION("COUNTIF(ARRAYFORMULA(HLOOKUP($B62, IMPORTRANGE('Prelim Rankings Unsorted'!$B$40, CONCAT(VLOOKUP($C62, 'Match Names'!$A$1:$D$22, 2, FALSE), ""!C3:R29"")), {5;10;16;22}, FALSE)), ""=-4"") + COUNTIF(ARRAYFORMULA(HLOOKUP($B62, IMPORTRANGE('Prelim Rankings Uns"&amp;"orted'!$B$41, CONCAT(VLOOKUP($C62, 'Match Names'!$A$1:$D$22, 3, FALSE), ""!C3:R29"")), {2;8;14;20}, FALSE)), ""=-4"") + COUNTIF(ARRAYFORMULA(HLOOKUP($B62, IMPORTRANGE('Prelim Rankings Unsorted'!$B$42, CONCAT(VLOOKUP($C62, 'Match Names'!$A$1:$D$22, 4, FALS"&amp;"E), ""!C3:R29"")), {4;10;16;22}, FALSE)), ""=-4"") + COUNTIF(ARRAYFORMULA(HLOOKUP($B62, IMPORTRANGE('Match Names'!$E$23, CONCAT(VLOOKUP($C62, 'Match Names'!$1:$22, 5, FALSE), ""!C3:R29"")), {5;10;15;20}, FALSE)), ""=-4"") + COUNTIF(ARRAYFORMULA(HLOOKUP($B"&amp;"62, IMPORTRANGE('Match Names'!$F$23, CONCAT(VLOOKUP($C62, 'Match Names'!$1:$22, 6, FALSE), ""!C3:R29"")), {4;10;16;22}, FALSE)), ""=-4"") + COUNTIF(ARRAYFORMULA(HLOOKUP($B62, IMPORTRANGE('Match Names'!$G$23, CONCAT(VLOOKUP($C62, 'Match Names'!$1:$22, 7, F"&amp;"ALSE), ""!C3:R29"")), {4;9;13;19}, FALSE)), ""=-4"") + COUNTIF(ARRAYFORMULA(HLOOKUP($B62, IMPORTRANGE('Match Names'!$H$23, CONCAT(VLOOKUP($C62, 'Match Names'!$1:$22, 8, FALSE), ""!C3:R29"")), {3;9;15;21}, FALSE)), ""=-4"")"),1.0)</f>
        <v>1</v>
      </c>
      <c r="H62" s="33">
        <f t="shared" si="1"/>
        <v>2</v>
      </c>
    </row>
    <row r="63">
      <c r="A63" s="21" t="s">
        <v>134</v>
      </c>
      <c r="B63" s="31" t="str">
        <f>VLOOKUP(CONCAT(A63, C63), 'Discord Username to Real Name'!C:D, 2, FALSE)</f>
        <v>Jeffrey Li#1694</v>
      </c>
      <c r="C63" s="21" t="s">
        <v>22</v>
      </c>
      <c r="D63" s="32">
        <f>IFERROR(__xludf.DUMMYFUNCTION("(4 - COUNTIF(IFERROR(ARRAYFORMULA(HLOOKUP($B63, IMPORTRANGE('Prelim Rankings Unsorted'!$B$40, CONCAT(VLOOKUP($C63, 'Match Names'!$A$1:$D$22, 2, FALSE), ""!C3:R29"")), {5;10;16;22}, FALSE)), 'Player Overall Stats Unsorted'!$AA$9:$AA$12), ""=X"")) + (4 - CO"&amp;"UNTIF(IFERROR(ARRAYFORMULA(HLOOKUP($B63, IMPORTRANGE('Prelim Rankings Unsorted'!$B$41, CONCAT(VLOOKUP($C63, 'Match Names'!$A$1:$D$22, 3, FALSE), ""!C3:R29"")), {2;8;14;20}, FALSE)), 'Player Overall Stats Unsorted'!$AA$9:$AA$12), ""=X"")) + (4 - COUNTIF(IF"&amp;"ERROR(ARRAYFORMULA(HLOOKUP($B63, IMPORTRANGE('Prelim Rankings Unsorted'!$B$42, CONCAT(VLOOKUP($C63, 'Match Names'!$A$1:$D$22, 4, FALSE), ""!C3:R29"")), {4;10;16;22}, FALSE)), 'Player Overall Stats Unsorted'!$AA$9:$AA$12), ""=X"")) + (4 - COUNTIF(IFERROR(A"&amp;"RRAYFORMULA(HLOOKUP($B63, IMPORTRANGE('Match Names'!$E$23, CONCAT(VLOOKUP($C63, 'Match Names'!$1:$22, 5, FALSE), ""!C3:R29"")), {5;10;15;20}, FALSE)), 'Player Overall Stats Unsorted'!$AA$9:$AA$12), ""=X"")) + (4 - COUNTIF(IFERROR(ARRAYFORMULA(HLOOKUP($B63"&amp;", IMPORTRANGE('Match Names'!$F$23, CONCAT(VLOOKUP($C63, 'Match Names'!$1:$22, 6, FALSE), ""!C3:R29"")), {4;10;16;22}, FALSE)), 'Player Overall Stats Unsorted'!$AA$9:$AA$12), ""=X"")) + (4 - COUNTIF(IFERROR(ARRAYFORMULA(HLOOKUP($B63, IMPORTRANGE('Match Nam"&amp;"es'!$G$23, CONCAT(VLOOKUP($C63, 'Match Names'!$1:$22, 7, FALSE), ""!C3:R29"")), {4;9;13;19}, FALSE)), 'Player Overall Stats Unsorted'!$AA$9:$AA$12), ""=X"")) + (4 - COUNTIF(IFERROR(ARRAYFORMULA(HLOOKUP($B63, IMPORTRANGE('Match Names'!$H$23, CONCAT(VLOOKUP"&amp;"($C63, 'Match Names'!$1:$22, 8, FALSE), ""!C3:R29"")), {3;9;15;21}, FALSE)), 'Player Overall Stats Unsorted'!$AA$9:$AA$12), ""=X""))"),22.0)</f>
        <v>22</v>
      </c>
      <c r="E63" s="32">
        <f>IFERROR(__xludf.DUMMYFUNCTION("COUNTIF(ARRAYFORMULA(HLOOKUP($B63, IMPORTRANGE('Prelim Rankings Unsorted'!$B$40, CONCAT(VLOOKUP($C63, 'Match Names'!$A$1:$D$22, 2, FALSE), ""!C3:R29"")), {5;10;16;22}, FALSE)), ""=4"") + COUNTIF(ARRAYFORMULA(HLOOKUP($B63, IMPORTRANGE('Prelim Rankings Unso"&amp;"rted'!$B$41, CONCAT(VLOOKUP($C63, 'Match Names'!$A$1:$D$22, 3, FALSE), ""!C3:R29"")), {2;8;14;20}, FALSE)), ""=4"") + COUNTIF(ARRAYFORMULA(HLOOKUP($B63, IMPORTRANGE('Prelim Rankings Unsorted'!$B$42, CONCAT(VLOOKUP($C63, 'Match Names'!$A$1:$D$22, 4, FALSE)"&amp;", ""!C3:R29"")), {4;10;16;22}, FALSE)), ""=4"") + COUNTIF(ARRAYFORMULA(HLOOKUP($B63, IMPORTRANGE('Match Names'!$E$23, CONCAT(VLOOKUP($C63, 'Match Names'!$1:$22, 5, FALSE), ""!C3:R29"")), {5;10;15;20}, FALSE)), ""=4"") + COUNTIF(ARRAYFORMULA(HLOOKUP($B63, "&amp;"IMPORTRANGE('Match Names'!$F$23, CONCAT(VLOOKUP($C63, 'Match Names'!$1:$22, 6, FALSE), ""!C3:R29"")), {4;10;16;22}, FALSE)), ""=4"") + COUNTIF(ARRAYFORMULA(HLOOKUP($B63, IMPORTRANGE('Match Names'!$G$23, CONCAT(VLOOKUP($C63, 'Match Names'!$1:$22, 7, FALSE)"&amp;", ""!C3:R29"")), {4;9;13;19}, FALSE)), ""=4"") + COUNTIF(ARRAYFORMULA(HLOOKUP($B63, IMPORTRANGE('Match Names'!$H$23, CONCAT(VLOOKUP($C63, 'Match Names'!$1:$22, 8, FALSE), ""!C3:R29"")), {3;9;15;21}, FALSE)), ""=4"")"),2.0)</f>
        <v>2</v>
      </c>
      <c r="F63" s="32">
        <f>IFERROR(__xludf.DUMMYFUNCTION("COUNTIF(ARRAYFORMULA(HLOOKUP($B63, IMPORTRANGE('Prelim Rankings Unsorted'!$B$40, CONCAT(VLOOKUP($C63, 'Match Names'!$A$1:$D$22, 2, FALSE), ""!C3:R29"")), {5;10;16;22}, FALSE)), ""=0"") + COUNTIF(ARRAYFORMULA(HLOOKUP($B63, IMPORTRANGE('Prelim Rankings Unso"&amp;"rted'!$B$41, CONCAT(VLOOKUP($C63, 'Match Names'!$A$1:$D$22, 3, FALSE), ""!C3:R29"")), {2;8;14;20}, FALSE)), ""=0"") + COUNTIF(ARRAYFORMULA(HLOOKUP($B63, IMPORTRANGE('Prelim Rankings Unsorted'!$B$42, CONCAT(VLOOKUP($C63, 'Match Names'!$A$1:$D$22, 4, FALSE)"&amp;", ""!C3:R29"")), {4;10;16;22}, FALSE)), ""=0"") + COUNTIF(ARRAYFORMULA(HLOOKUP($B63, IMPORTRANGE('Match Names'!$E$23, CONCAT(VLOOKUP($C63, 'Match Names'!$1:$22, 5, FALSE), ""!C3:R29"")), {5;10;15;20}, FALSE)), ""=0"") + COUNTIF(ARRAYFORMULA(HLOOKUP($B63, "&amp;"IMPORTRANGE('Match Names'!$F$23, CONCAT(VLOOKUP($C63, 'Match Names'!$1:$22, 6, FALSE), ""!C3:R29"")), {4;10;16;22}, FALSE)), ""=0"") + COUNTIF(ARRAYFORMULA(HLOOKUP($B63, IMPORTRANGE('Match Names'!$G$23, CONCAT(VLOOKUP($C63, 'Match Names'!$1:$22, 7, FALSE)"&amp;", ""!C3:R29"")), {4;9;13;19}, FALSE)), ""=0"") + COUNTIF(ARRAYFORMULA(HLOOKUP($B63, IMPORTRANGE('Match Names'!$H$23, CONCAT(VLOOKUP($C63, 'Match Names'!$1:$22, 8, FALSE), ""!C3:R29"")), {3;9;15;21}, FALSE)), ""=0"")"),0.0)</f>
        <v>0</v>
      </c>
      <c r="G63" s="32">
        <f>IFERROR(__xludf.DUMMYFUNCTION("COUNTIF(ARRAYFORMULA(HLOOKUP($B63, IMPORTRANGE('Prelim Rankings Unsorted'!$B$40, CONCAT(VLOOKUP($C63, 'Match Names'!$A$1:$D$22, 2, FALSE), ""!C3:R29"")), {5;10;16;22}, FALSE)), ""=-4"") + COUNTIF(ARRAYFORMULA(HLOOKUP($B63, IMPORTRANGE('Prelim Rankings Uns"&amp;"orted'!$B$41, CONCAT(VLOOKUP($C63, 'Match Names'!$A$1:$D$22, 3, FALSE), ""!C3:R29"")), {2;8;14;20}, FALSE)), ""=-4"") + COUNTIF(ARRAYFORMULA(HLOOKUP($B63, IMPORTRANGE('Prelim Rankings Unsorted'!$B$42, CONCAT(VLOOKUP($C63, 'Match Names'!$A$1:$D$22, 4, FALS"&amp;"E), ""!C3:R29"")), {4;10;16;22}, FALSE)), ""=-4"") + COUNTIF(ARRAYFORMULA(HLOOKUP($B63, IMPORTRANGE('Match Names'!$E$23, CONCAT(VLOOKUP($C63, 'Match Names'!$1:$22, 5, FALSE), ""!C3:R29"")), {5;10;15;20}, FALSE)), ""=-4"") + COUNTIF(ARRAYFORMULA(HLOOKUP($B"&amp;"63, IMPORTRANGE('Match Names'!$F$23, CONCAT(VLOOKUP($C63, 'Match Names'!$1:$22, 6, FALSE), ""!C3:R29"")), {4;10;16;22}, FALSE)), ""=-4"") + COUNTIF(ARRAYFORMULA(HLOOKUP($B63, IMPORTRANGE('Match Names'!$G$23, CONCAT(VLOOKUP($C63, 'Match Names'!$1:$22, 7, F"&amp;"ALSE), ""!C3:R29"")), {4;9;13;19}, FALSE)), ""=-4"") + COUNTIF(ARRAYFORMULA(HLOOKUP($B63, IMPORTRANGE('Match Names'!$H$23, CONCAT(VLOOKUP($C63, 'Match Names'!$1:$22, 8, FALSE), ""!C3:R29"")), {3;9;15;21}, FALSE)), ""=-4"")"),0.0)</f>
        <v>0</v>
      </c>
      <c r="H63" s="33">
        <f t="shared" si="1"/>
        <v>1.45</v>
      </c>
    </row>
    <row r="64">
      <c r="A64" s="21" t="s">
        <v>13</v>
      </c>
      <c r="B64" s="31" t="str">
        <f>VLOOKUP(CONCAT(A64, C64), 'Discord Username to Real Name'!C:D, 2, FALSE)</f>
        <v>danliu488#6963</v>
      </c>
      <c r="C64" s="21" t="s">
        <v>22</v>
      </c>
      <c r="D64" s="32">
        <f>IFERROR(__xludf.DUMMYFUNCTION("(4 - COUNTIF(IFERROR(ARRAYFORMULA(HLOOKUP($B64, IMPORTRANGE('Prelim Rankings Unsorted'!$B$40, CONCAT(VLOOKUP($C64, 'Match Names'!$A$1:$D$22, 2, FALSE), ""!C3:R29"")), {5;10;16;22}, FALSE)), 'Player Overall Stats Unsorted'!$AA$9:$AA$12), ""=X"")) + (4 - CO"&amp;"UNTIF(IFERROR(ARRAYFORMULA(HLOOKUP($B64, IMPORTRANGE('Prelim Rankings Unsorted'!$B$41, CONCAT(VLOOKUP($C64, 'Match Names'!$A$1:$D$22, 3, FALSE), ""!C3:R29"")), {2;8;14;20}, FALSE)), 'Player Overall Stats Unsorted'!$AA$9:$AA$12), ""=X"")) + (4 - COUNTIF(IF"&amp;"ERROR(ARRAYFORMULA(HLOOKUP($B64, IMPORTRANGE('Prelim Rankings Unsorted'!$B$42, CONCAT(VLOOKUP($C64, 'Match Names'!$A$1:$D$22, 4, FALSE), ""!C3:R29"")), {4;10;16;22}, FALSE)), 'Player Overall Stats Unsorted'!$AA$9:$AA$12), ""=X"")) + (4 - COUNTIF(IFERROR(A"&amp;"RRAYFORMULA(HLOOKUP($B64, IMPORTRANGE('Match Names'!$E$23, CONCAT(VLOOKUP($C64, 'Match Names'!$1:$22, 5, FALSE), ""!C3:R29"")), {5;10;15;20}, FALSE)), 'Player Overall Stats Unsorted'!$AA$9:$AA$12), ""=X"")) + (4 - COUNTIF(IFERROR(ARRAYFORMULA(HLOOKUP($B64"&amp;", IMPORTRANGE('Match Names'!$F$23, CONCAT(VLOOKUP($C64, 'Match Names'!$1:$22, 6, FALSE), ""!C3:R29"")), {4;10;16;22}, FALSE)), 'Player Overall Stats Unsorted'!$AA$9:$AA$12), ""=X"")) + (4 - COUNTIF(IFERROR(ARRAYFORMULA(HLOOKUP($B64, IMPORTRANGE('Match Nam"&amp;"es'!$G$23, CONCAT(VLOOKUP($C64, 'Match Names'!$1:$22, 7, FALSE), ""!C3:R29"")), {4;9;13;19}, FALSE)), 'Player Overall Stats Unsorted'!$AA$9:$AA$12), ""=X"")) + (4 - COUNTIF(IFERROR(ARRAYFORMULA(HLOOKUP($B64, IMPORTRANGE('Match Names'!$H$23, CONCAT(VLOOKUP"&amp;"($C64, 'Match Names'!$1:$22, 8, FALSE), ""!C3:R29"")), {3;9;15;21}, FALSE)), 'Player Overall Stats Unsorted'!$AA$9:$AA$12), ""=X""))"),24.0)</f>
        <v>24</v>
      </c>
      <c r="E64" s="32">
        <f>IFERROR(__xludf.DUMMYFUNCTION("COUNTIF(ARRAYFORMULA(HLOOKUP($B64, IMPORTRANGE('Prelim Rankings Unsorted'!$B$40, CONCAT(VLOOKUP($C64, 'Match Names'!$A$1:$D$22, 2, FALSE), ""!C3:R29"")), {5;10;16;22}, FALSE)), ""=4"") + COUNTIF(ARRAYFORMULA(HLOOKUP($B64, IMPORTRANGE('Prelim Rankings Unso"&amp;"rted'!$B$41, CONCAT(VLOOKUP($C64, 'Match Names'!$A$1:$D$22, 3, FALSE), ""!C3:R29"")), {2;8;14;20}, FALSE)), ""=4"") + COUNTIF(ARRAYFORMULA(HLOOKUP($B64, IMPORTRANGE('Prelim Rankings Unsorted'!$B$42, CONCAT(VLOOKUP($C64, 'Match Names'!$A$1:$D$22, 4, FALSE)"&amp;", ""!C3:R29"")), {4;10;16;22}, FALSE)), ""=4"") + COUNTIF(ARRAYFORMULA(HLOOKUP($B64, IMPORTRANGE('Match Names'!$E$23, CONCAT(VLOOKUP($C64, 'Match Names'!$1:$22, 5, FALSE), ""!C3:R29"")), {5;10;15;20}, FALSE)), ""=4"") + COUNTIF(ARRAYFORMULA(HLOOKUP($B64, "&amp;"IMPORTRANGE('Match Names'!$F$23, CONCAT(VLOOKUP($C64, 'Match Names'!$1:$22, 6, FALSE), ""!C3:R29"")), {4;10;16;22}, FALSE)), ""=4"") + COUNTIF(ARRAYFORMULA(HLOOKUP($B64, IMPORTRANGE('Match Names'!$G$23, CONCAT(VLOOKUP($C64, 'Match Names'!$1:$22, 7, FALSE)"&amp;", ""!C3:R29"")), {4;9;13;19}, FALSE)), ""=4"") + COUNTIF(ARRAYFORMULA(HLOOKUP($B64, IMPORTRANGE('Match Names'!$H$23, CONCAT(VLOOKUP($C64, 'Match Names'!$1:$22, 8, FALSE), ""!C3:R29"")), {3;9;15;21}, FALSE)), ""=4"")"),1.0)</f>
        <v>1</v>
      </c>
      <c r="F64" s="32">
        <f>IFERROR(__xludf.DUMMYFUNCTION("COUNTIF(ARRAYFORMULA(HLOOKUP($B64, IMPORTRANGE('Prelim Rankings Unsorted'!$B$40, CONCAT(VLOOKUP($C64, 'Match Names'!$A$1:$D$22, 2, FALSE), ""!C3:R29"")), {5;10;16;22}, FALSE)), ""=0"") + COUNTIF(ARRAYFORMULA(HLOOKUP($B64, IMPORTRANGE('Prelim Rankings Unso"&amp;"rted'!$B$41, CONCAT(VLOOKUP($C64, 'Match Names'!$A$1:$D$22, 3, FALSE), ""!C3:R29"")), {2;8;14;20}, FALSE)), ""=0"") + COUNTIF(ARRAYFORMULA(HLOOKUP($B64, IMPORTRANGE('Prelim Rankings Unsorted'!$B$42, CONCAT(VLOOKUP($C64, 'Match Names'!$A$1:$D$22, 4, FALSE)"&amp;", ""!C3:R29"")), {4;10;16;22}, FALSE)), ""=0"") + COUNTIF(ARRAYFORMULA(HLOOKUP($B64, IMPORTRANGE('Match Names'!$E$23, CONCAT(VLOOKUP($C64, 'Match Names'!$1:$22, 5, FALSE), ""!C3:R29"")), {5;10;15;20}, FALSE)), ""=0"") + COUNTIF(ARRAYFORMULA(HLOOKUP($B64, "&amp;"IMPORTRANGE('Match Names'!$F$23, CONCAT(VLOOKUP($C64, 'Match Names'!$1:$22, 6, FALSE), ""!C3:R29"")), {4;10;16;22}, FALSE)), ""=0"") + COUNTIF(ARRAYFORMULA(HLOOKUP($B64, IMPORTRANGE('Match Names'!$G$23, CONCAT(VLOOKUP($C64, 'Match Names'!$1:$22, 7, FALSE)"&amp;", ""!C3:R29"")), {4;9;13;19}, FALSE)), ""=0"") + COUNTIF(ARRAYFORMULA(HLOOKUP($B64, IMPORTRANGE('Match Names'!$H$23, CONCAT(VLOOKUP($C64, 'Match Names'!$1:$22, 8, FALSE), ""!C3:R29"")), {3;9;15;21}, FALSE)), ""=0"")"),2.0)</f>
        <v>2</v>
      </c>
      <c r="G64" s="32">
        <f>IFERROR(__xludf.DUMMYFUNCTION("COUNTIF(ARRAYFORMULA(HLOOKUP($B64, IMPORTRANGE('Prelim Rankings Unsorted'!$B$40, CONCAT(VLOOKUP($C64, 'Match Names'!$A$1:$D$22, 2, FALSE), ""!C3:R29"")), {5;10;16;22}, FALSE)), ""=-4"") + COUNTIF(ARRAYFORMULA(HLOOKUP($B64, IMPORTRANGE('Prelim Rankings Uns"&amp;"orted'!$B$41, CONCAT(VLOOKUP($C64, 'Match Names'!$A$1:$D$22, 3, FALSE), ""!C3:R29"")), {2;8;14;20}, FALSE)), ""=-4"") + COUNTIF(ARRAYFORMULA(HLOOKUP($B64, IMPORTRANGE('Prelim Rankings Unsorted'!$B$42, CONCAT(VLOOKUP($C64, 'Match Names'!$A$1:$D$22, 4, FALS"&amp;"E), ""!C3:R29"")), {4;10;16;22}, FALSE)), ""=-4"") + COUNTIF(ARRAYFORMULA(HLOOKUP($B64, IMPORTRANGE('Match Names'!$E$23, CONCAT(VLOOKUP($C64, 'Match Names'!$1:$22, 5, FALSE), ""!C3:R29"")), {5;10;15;20}, FALSE)), ""=-4"") + COUNTIF(ARRAYFORMULA(HLOOKUP($B"&amp;"64, IMPORTRANGE('Match Names'!$F$23, CONCAT(VLOOKUP($C64, 'Match Names'!$1:$22, 6, FALSE), ""!C3:R29"")), {4;10;16;22}, FALSE)), ""=-4"") + COUNTIF(ARRAYFORMULA(HLOOKUP($B64, IMPORTRANGE('Match Names'!$G$23, CONCAT(VLOOKUP($C64, 'Match Names'!$1:$22, 7, F"&amp;"ALSE), ""!C3:R29"")), {4;9;13;19}, FALSE)), ""=-4"") + COUNTIF(ARRAYFORMULA(HLOOKUP($B64, IMPORTRANGE('Match Names'!$H$23, CONCAT(VLOOKUP($C64, 'Match Names'!$1:$22, 8, FALSE), ""!C3:R29"")), {3;9;15;21}, FALSE)), ""=-4"")"),0.0)</f>
        <v>0</v>
      </c>
      <c r="H64" s="33">
        <f t="shared" si="1"/>
        <v>0.67</v>
      </c>
    </row>
    <row r="65">
      <c r="A65" s="21" t="s">
        <v>99</v>
      </c>
      <c r="B65" s="31" t="str">
        <f>VLOOKUP(CONCAT(A65, C65), 'Discord Username to Real Name'!C:D, 2, FALSE)</f>
        <v>prr#4609</v>
      </c>
      <c r="C65" s="21" t="s">
        <v>22</v>
      </c>
      <c r="D65" s="32">
        <f>IFERROR(__xludf.DUMMYFUNCTION("(4 - COUNTIF(IFERROR(ARRAYFORMULA(HLOOKUP($B65, IMPORTRANGE('Prelim Rankings Unsorted'!$B$40, CONCAT(VLOOKUP($C65, 'Match Names'!$A$1:$D$22, 2, FALSE), ""!C3:R29"")), {5;10;16;22}, FALSE)), 'Player Overall Stats Unsorted'!$AA$9:$AA$12), ""=X"")) + (4 - CO"&amp;"UNTIF(IFERROR(ARRAYFORMULA(HLOOKUP($B65, IMPORTRANGE('Prelim Rankings Unsorted'!$B$41, CONCAT(VLOOKUP($C65, 'Match Names'!$A$1:$D$22, 3, FALSE), ""!C3:R29"")), {2;8;14;20}, FALSE)), 'Player Overall Stats Unsorted'!$AA$9:$AA$12), ""=X"")) + (4 - COUNTIF(IF"&amp;"ERROR(ARRAYFORMULA(HLOOKUP($B65, IMPORTRANGE('Prelim Rankings Unsorted'!$B$42, CONCAT(VLOOKUP($C65, 'Match Names'!$A$1:$D$22, 4, FALSE), ""!C3:R29"")), {4;10;16;22}, FALSE)), 'Player Overall Stats Unsorted'!$AA$9:$AA$12), ""=X"")) + (4 - COUNTIF(IFERROR(A"&amp;"RRAYFORMULA(HLOOKUP($B65, IMPORTRANGE('Match Names'!$E$23, CONCAT(VLOOKUP($C65, 'Match Names'!$1:$22, 5, FALSE), ""!C3:R29"")), {5;10;15;20}, FALSE)), 'Player Overall Stats Unsorted'!$AA$9:$AA$12), ""=X"")) + (4 - COUNTIF(IFERROR(ARRAYFORMULA(HLOOKUP($B65"&amp;", IMPORTRANGE('Match Names'!$F$23, CONCAT(VLOOKUP($C65, 'Match Names'!$1:$22, 6, FALSE), ""!C3:R29"")), {4;10;16;22}, FALSE)), 'Player Overall Stats Unsorted'!$AA$9:$AA$12), ""=X"")) + (4 - COUNTIF(IFERROR(ARRAYFORMULA(HLOOKUP($B65, IMPORTRANGE('Match Nam"&amp;"es'!$G$23, CONCAT(VLOOKUP($C65, 'Match Names'!$1:$22, 7, FALSE), ""!C3:R29"")), {4;9;13;19}, FALSE)), 'Player Overall Stats Unsorted'!$AA$9:$AA$12), ""=X"")) + (4 - COUNTIF(IFERROR(ARRAYFORMULA(HLOOKUP($B65, IMPORTRANGE('Match Names'!$H$23, CONCAT(VLOOKUP"&amp;"($C65, 'Match Names'!$1:$22, 8, FALSE), ""!C3:R29"")), {3;9;15;21}, FALSE)), 'Player Overall Stats Unsorted'!$AA$9:$AA$12), ""=X""))"),18.0)</f>
        <v>18</v>
      </c>
      <c r="E65" s="32">
        <f>IFERROR(__xludf.DUMMYFUNCTION("COUNTIF(ARRAYFORMULA(HLOOKUP($B65, IMPORTRANGE('Prelim Rankings Unsorted'!$B$40, CONCAT(VLOOKUP($C65, 'Match Names'!$A$1:$D$22, 2, FALSE), ""!C3:R29"")), {5;10;16;22}, FALSE)), ""=4"") + COUNTIF(ARRAYFORMULA(HLOOKUP($B65, IMPORTRANGE('Prelim Rankings Unso"&amp;"rted'!$B$41, CONCAT(VLOOKUP($C65, 'Match Names'!$A$1:$D$22, 3, FALSE), ""!C3:R29"")), {2;8;14;20}, FALSE)), ""=4"") + COUNTIF(ARRAYFORMULA(HLOOKUP($B65, IMPORTRANGE('Prelim Rankings Unsorted'!$B$42, CONCAT(VLOOKUP($C65, 'Match Names'!$A$1:$D$22, 4, FALSE)"&amp;", ""!C3:R29"")), {4;10;16;22}, FALSE)), ""=4"") + COUNTIF(ARRAYFORMULA(HLOOKUP($B65, IMPORTRANGE('Match Names'!$E$23, CONCAT(VLOOKUP($C65, 'Match Names'!$1:$22, 5, FALSE), ""!C3:R29"")), {5;10;15;20}, FALSE)), ""=4"") + COUNTIF(ARRAYFORMULA(HLOOKUP($B65, "&amp;"IMPORTRANGE('Match Names'!$F$23, CONCAT(VLOOKUP($C65, 'Match Names'!$1:$22, 6, FALSE), ""!C3:R29"")), {4;10;16;22}, FALSE)), ""=4"") + COUNTIF(ARRAYFORMULA(HLOOKUP($B65, IMPORTRANGE('Match Names'!$G$23, CONCAT(VLOOKUP($C65, 'Match Names'!$1:$22, 7, FALSE)"&amp;", ""!C3:R29"")), {4;9;13;19}, FALSE)), ""=4"") + COUNTIF(ARRAYFORMULA(HLOOKUP($B65, IMPORTRANGE('Match Names'!$H$23, CONCAT(VLOOKUP($C65, 'Match Names'!$1:$22, 8, FALSE), ""!C3:R29"")), {3;9;15;21}, FALSE)), ""=4"")"),0.0)</f>
        <v>0</v>
      </c>
      <c r="F65" s="32">
        <f>IFERROR(__xludf.DUMMYFUNCTION("COUNTIF(ARRAYFORMULA(HLOOKUP($B65, IMPORTRANGE('Prelim Rankings Unsorted'!$B$40, CONCAT(VLOOKUP($C65, 'Match Names'!$A$1:$D$22, 2, FALSE), ""!C3:R29"")), {5;10;16;22}, FALSE)), ""=0"") + COUNTIF(ARRAYFORMULA(HLOOKUP($B65, IMPORTRANGE('Prelim Rankings Unso"&amp;"rted'!$B$41, CONCAT(VLOOKUP($C65, 'Match Names'!$A$1:$D$22, 3, FALSE), ""!C3:R29"")), {2;8;14;20}, FALSE)), ""=0"") + COUNTIF(ARRAYFORMULA(HLOOKUP($B65, IMPORTRANGE('Prelim Rankings Unsorted'!$B$42, CONCAT(VLOOKUP($C65, 'Match Names'!$A$1:$D$22, 4, FALSE)"&amp;", ""!C3:R29"")), {4;10;16;22}, FALSE)), ""=0"") + COUNTIF(ARRAYFORMULA(HLOOKUP($B65, IMPORTRANGE('Match Names'!$E$23, CONCAT(VLOOKUP($C65, 'Match Names'!$1:$22, 5, FALSE), ""!C3:R29"")), {5;10;15;20}, FALSE)), ""=0"") + COUNTIF(ARRAYFORMULA(HLOOKUP($B65, "&amp;"IMPORTRANGE('Match Names'!$F$23, CONCAT(VLOOKUP($C65, 'Match Names'!$1:$22, 6, FALSE), ""!C3:R29"")), {4;10;16;22}, FALSE)), ""=0"") + COUNTIF(ARRAYFORMULA(HLOOKUP($B65, IMPORTRANGE('Match Names'!$G$23, CONCAT(VLOOKUP($C65, 'Match Names'!$1:$22, 7, FALSE)"&amp;", ""!C3:R29"")), {4;9;13;19}, FALSE)), ""=0"") + COUNTIF(ARRAYFORMULA(HLOOKUP($B65, IMPORTRANGE('Match Names'!$H$23, CONCAT(VLOOKUP($C65, 'Match Names'!$1:$22, 8, FALSE), ""!C3:R29"")), {3;9;15;21}, FALSE)), ""=0"")"),4.0)</f>
        <v>4</v>
      </c>
      <c r="G65" s="32">
        <f>IFERROR(__xludf.DUMMYFUNCTION("COUNTIF(ARRAYFORMULA(HLOOKUP($B65, IMPORTRANGE('Prelim Rankings Unsorted'!$B$40, CONCAT(VLOOKUP($C65, 'Match Names'!$A$1:$D$22, 2, FALSE), ""!C3:R29"")), {5;10;16;22}, FALSE)), ""=-4"") + COUNTIF(ARRAYFORMULA(HLOOKUP($B65, IMPORTRANGE('Prelim Rankings Uns"&amp;"orted'!$B$41, CONCAT(VLOOKUP($C65, 'Match Names'!$A$1:$D$22, 3, FALSE), ""!C3:R29"")), {2;8;14;20}, FALSE)), ""=-4"") + COUNTIF(ARRAYFORMULA(HLOOKUP($B65, IMPORTRANGE('Prelim Rankings Unsorted'!$B$42, CONCAT(VLOOKUP($C65, 'Match Names'!$A$1:$D$22, 4, FALS"&amp;"E), ""!C3:R29"")), {4;10;16;22}, FALSE)), ""=-4"") + COUNTIF(ARRAYFORMULA(HLOOKUP($B65, IMPORTRANGE('Match Names'!$E$23, CONCAT(VLOOKUP($C65, 'Match Names'!$1:$22, 5, FALSE), ""!C3:R29"")), {5;10;15;20}, FALSE)), ""=-4"") + COUNTIF(ARRAYFORMULA(HLOOKUP($B"&amp;"65, IMPORTRANGE('Match Names'!$F$23, CONCAT(VLOOKUP($C65, 'Match Names'!$1:$22, 6, FALSE), ""!C3:R29"")), {4;10;16;22}, FALSE)), ""=-4"") + COUNTIF(ARRAYFORMULA(HLOOKUP($B65, IMPORTRANGE('Match Names'!$G$23, CONCAT(VLOOKUP($C65, 'Match Names'!$1:$22, 7, F"&amp;"ALSE), ""!C3:R29"")), {4;9;13;19}, FALSE)), ""=-4"") + COUNTIF(ARRAYFORMULA(HLOOKUP($B65, IMPORTRANGE('Match Names'!$H$23, CONCAT(VLOOKUP($C65, 'Match Names'!$1:$22, 8, FALSE), ""!C3:R29"")), {3;9;15;21}, FALSE)), ""=-4"")"),0.0)</f>
        <v>0</v>
      </c>
      <c r="H65" s="33">
        <f t="shared" si="1"/>
        <v>0</v>
      </c>
    </row>
    <row r="66">
      <c r="A66" s="21" t="s">
        <v>174</v>
      </c>
      <c r="B66" s="31" t="str">
        <f>VLOOKUP(CONCAT(A66, C66), 'Discord Username to Real Name'!C:D, 2, FALSE)</f>
        <v>Static#2349</v>
      </c>
      <c r="C66" s="21" t="s">
        <v>22</v>
      </c>
      <c r="D66" s="32">
        <f>IFERROR(__xludf.DUMMYFUNCTION("(4 - COUNTIF(IFERROR(ARRAYFORMULA(HLOOKUP($B66, IMPORTRANGE('Prelim Rankings Unsorted'!$B$40, CONCAT(VLOOKUP($C66, 'Match Names'!$A$1:$D$22, 2, FALSE), ""!C3:R29"")), {5;10;16;22}, FALSE)), 'Player Overall Stats Unsorted'!$AA$9:$AA$12), ""=X"")) + (4 - CO"&amp;"UNTIF(IFERROR(ARRAYFORMULA(HLOOKUP($B66, IMPORTRANGE('Prelim Rankings Unsorted'!$B$41, CONCAT(VLOOKUP($C66, 'Match Names'!$A$1:$D$22, 3, FALSE), ""!C3:R29"")), {2;8;14;20}, FALSE)), 'Player Overall Stats Unsorted'!$AA$9:$AA$12), ""=X"")) + (4 - COUNTIF(IF"&amp;"ERROR(ARRAYFORMULA(HLOOKUP($B66, IMPORTRANGE('Prelim Rankings Unsorted'!$B$42, CONCAT(VLOOKUP($C66, 'Match Names'!$A$1:$D$22, 4, FALSE), ""!C3:R29"")), {4;10;16;22}, FALSE)), 'Player Overall Stats Unsorted'!$AA$9:$AA$12), ""=X"")) + (4 - COUNTIF(IFERROR(A"&amp;"RRAYFORMULA(HLOOKUP($B66, IMPORTRANGE('Match Names'!$E$23, CONCAT(VLOOKUP($C66, 'Match Names'!$1:$22, 5, FALSE), ""!C3:R29"")), {5;10;15;20}, FALSE)), 'Player Overall Stats Unsorted'!$AA$9:$AA$12), ""=X"")) + (4 - COUNTIF(IFERROR(ARRAYFORMULA(HLOOKUP($B66"&amp;", IMPORTRANGE('Match Names'!$F$23, CONCAT(VLOOKUP($C66, 'Match Names'!$1:$22, 6, FALSE), ""!C3:R29"")), {4;10;16;22}, FALSE)), 'Player Overall Stats Unsorted'!$AA$9:$AA$12), ""=X"")) + (4 - COUNTIF(IFERROR(ARRAYFORMULA(HLOOKUP($B66, IMPORTRANGE('Match Nam"&amp;"es'!$G$23, CONCAT(VLOOKUP($C66, 'Match Names'!$1:$22, 7, FALSE), ""!C3:R29"")), {4;9;13;19}, FALSE)), 'Player Overall Stats Unsorted'!$AA$9:$AA$12), ""=X"")) + (4 - COUNTIF(IFERROR(ARRAYFORMULA(HLOOKUP($B66, IMPORTRANGE('Match Names'!$H$23, CONCAT(VLOOKUP"&amp;"($C66, 'Match Names'!$1:$22, 8, FALSE), ""!C3:R29"")), {3;9;15;21}, FALSE)), 'Player Overall Stats Unsorted'!$AA$9:$AA$12), ""=X""))"),16.0)</f>
        <v>16</v>
      </c>
      <c r="E66" s="32">
        <f>IFERROR(__xludf.DUMMYFUNCTION("COUNTIF(ARRAYFORMULA(HLOOKUP($B66, IMPORTRANGE('Prelim Rankings Unsorted'!$B$40, CONCAT(VLOOKUP($C66, 'Match Names'!$A$1:$D$22, 2, FALSE), ""!C3:R29"")), {5;10;16;22}, FALSE)), ""=4"") + COUNTIF(ARRAYFORMULA(HLOOKUP($B66, IMPORTRANGE('Prelim Rankings Unso"&amp;"rted'!$B$41, CONCAT(VLOOKUP($C66, 'Match Names'!$A$1:$D$22, 3, FALSE), ""!C3:R29"")), {2;8;14;20}, FALSE)), ""=4"") + COUNTIF(ARRAYFORMULA(HLOOKUP($B66, IMPORTRANGE('Prelim Rankings Unsorted'!$B$42, CONCAT(VLOOKUP($C66, 'Match Names'!$A$1:$D$22, 4, FALSE)"&amp;", ""!C3:R29"")), {4;10;16;22}, FALSE)), ""=4"") + COUNTIF(ARRAYFORMULA(HLOOKUP($B66, IMPORTRANGE('Match Names'!$E$23, CONCAT(VLOOKUP($C66, 'Match Names'!$1:$22, 5, FALSE), ""!C3:R29"")), {5;10;15;20}, FALSE)), ""=4"") + COUNTIF(ARRAYFORMULA(HLOOKUP($B66, "&amp;"IMPORTRANGE('Match Names'!$F$23, CONCAT(VLOOKUP($C66, 'Match Names'!$1:$22, 6, FALSE), ""!C3:R29"")), {4;10;16;22}, FALSE)), ""=4"") + COUNTIF(ARRAYFORMULA(HLOOKUP($B66, IMPORTRANGE('Match Names'!$G$23, CONCAT(VLOOKUP($C66, 'Match Names'!$1:$22, 7, FALSE)"&amp;", ""!C3:R29"")), {4;9;13;19}, FALSE)), ""=4"") + COUNTIF(ARRAYFORMULA(HLOOKUP($B66, IMPORTRANGE('Match Names'!$H$23, CONCAT(VLOOKUP($C66, 'Match Names'!$1:$22, 8, FALSE), ""!C3:R29"")), {3;9;15;21}, FALSE)), ""=4"")"),2.0)</f>
        <v>2</v>
      </c>
      <c r="F66" s="32">
        <f>IFERROR(__xludf.DUMMYFUNCTION("COUNTIF(ARRAYFORMULA(HLOOKUP($B66, IMPORTRANGE('Prelim Rankings Unsorted'!$B$40, CONCAT(VLOOKUP($C66, 'Match Names'!$A$1:$D$22, 2, FALSE), ""!C3:R29"")), {5;10;16;22}, FALSE)), ""=0"") + COUNTIF(ARRAYFORMULA(HLOOKUP($B66, IMPORTRANGE('Prelim Rankings Unso"&amp;"rted'!$B$41, CONCAT(VLOOKUP($C66, 'Match Names'!$A$1:$D$22, 3, FALSE), ""!C3:R29"")), {2;8;14;20}, FALSE)), ""=0"") + COUNTIF(ARRAYFORMULA(HLOOKUP($B66, IMPORTRANGE('Prelim Rankings Unsorted'!$B$42, CONCAT(VLOOKUP($C66, 'Match Names'!$A$1:$D$22, 4, FALSE)"&amp;", ""!C3:R29"")), {4;10;16;22}, FALSE)), ""=0"") + COUNTIF(ARRAYFORMULA(HLOOKUP($B66, IMPORTRANGE('Match Names'!$E$23, CONCAT(VLOOKUP($C66, 'Match Names'!$1:$22, 5, FALSE), ""!C3:R29"")), {5;10;15;20}, FALSE)), ""=0"") + COUNTIF(ARRAYFORMULA(HLOOKUP($B66, "&amp;"IMPORTRANGE('Match Names'!$F$23, CONCAT(VLOOKUP($C66, 'Match Names'!$1:$22, 6, FALSE), ""!C3:R29"")), {4;10;16;22}, FALSE)), ""=0"") + COUNTIF(ARRAYFORMULA(HLOOKUP($B66, IMPORTRANGE('Match Names'!$G$23, CONCAT(VLOOKUP($C66, 'Match Names'!$1:$22, 7, FALSE)"&amp;", ""!C3:R29"")), {4;9;13;19}, FALSE)), ""=0"") + COUNTIF(ARRAYFORMULA(HLOOKUP($B66, IMPORTRANGE('Match Names'!$H$23, CONCAT(VLOOKUP($C66, 'Match Names'!$1:$22, 8, FALSE), ""!C3:R29"")), {3;9;15;21}, FALSE)), ""=0"")"),0.0)</f>
        <v>0</v>
      </c>
      <c r="G66" s="32">
        <f>IFERROR(__xludf.DUMMYFUNCTION("COUNTIF(ARRAYFORMULA(HLOOKUP($B66, IMPORTRANGE('Prelim Rankings Unsorted'!$B$40, CONCAT(VLOOKUP($C66, 'Match Names'!$A$1:$D$22, 2, FALSE), ""!C3:R29"")), {5;10;16;22}, FALSE)), ""=-4"") + COUNTIF(ARRAYFORMULA(HLOOKUP($B66, IMPORTRANGE('Prelim Rankings Uns"&amp;"orted'!$B$41, CONCAT(VLOOKUP($C66, 'Match Names'!$A$1:$D$22, 3, FALSE), ""!C3:R29"")), {2;8;14;20}, FALSE)), ""=-4"") + COUNTIF(ARRAYFORMULA(HLOOKUP($B66, IMPORTRANGE('Prelim Rankings Unsorted'!$B$42, CONCAT(VLOOKUP($C66, 'Match Names'!$A$1:$D$22, 4, FALS"&amp;"E), ""!C3:R29"")), {4;10;16;22}, FALSE)), ""=-4"") + COUNTIF(ARRAYFORMULA(HLOOKUP($B66, IMPORTRANGE('Match Names'!$E$23, CONCAT(VLOOKUP($C66, 'Match Names'!$1:$22, 5, FALSE), ""!C3:R29"")), {5;10;15;20}, FALSE)), ""=-4"") + COUNTIF(ARRAYFORMULA(HLOOKUP($B"&amp;"66, IMPORTRANGE('Match Names'!$F$23, CONCAT(VLOOKUP($C66, 'Match Names'!$1:$22, 6, FALSE), ""!C3:R29"")), {4;10;16;22}, FALSE)), ""=-4"") + COUNTIF(ARRAYFORMULA(HLOOKUP($B66, IMPORTRANGE('Match Names'!$G$23, CONCAT(VLOOKUP($C66, 'Match Names'!$1:$22, 7, F"&amp;"ALSE), ""!C3:R29"")), {4;9;13;19}, FALSE)), ""=-4"") + COUNTIF(ARRAYFORMULA(HLOOKUP($B66, IMPORTRANGE('Match Names'!$H$23, CONCAT(VLOOKUP($C66, 'Match Names'!$1:$22, 8, FALSE), ""!C3:R29"")), {3;9;15;21}, FALSE)), ""=-4"")"),0.0)</f>
        <v>0</v>
      </c>
      <c r="H66" s="33">
        <f t="shared" si="1"/>
        <v>2</v>
      </c>
    </row>
    <row r="67">
      <c r="A67" s="21" t="s">
        <v>79</v>
      </c>
      <c r="B67" s="31" t="str">
        <f>VLOOKUP(CONCAT(A67, C67), 'Discord Username to Real Name'!C:D, 2, FALSE)</f>
        <v>Serferducter#1979</v>
      </c>
      <c r="C67" s="21" t="s">
        <v>22</v>
      </c>
      <c r="D67" s="32">
        <f>IFERROR(__xludf.DUMMYFUNCTION("(4 - COUNTIF(IFERROR(ARRAYFORMULA(HLOOKUP($B67, IMPORTRANGE('Prelim Rankings Unsorted'!$B$40, CONCAT(VLOOKUP($C67, 'Match Names'!$A$1:$D$22, 2, FALSE), ""!C3:R29"")), {5;10;16;22}, FALSE)), 'Player Overall Stats Unsorted'!$AA$9:$AA$12), ""=X"")) + (4 - CO"&amp;"UNTIF(IFERROR(ARRAYFORMULA(HLOOKUP($B67, IMPORTRANGE('Prelim Rankings Unsorted'!$B$41, CONCAT(VLOOKUP($C67, 'Match Names'!$A$1:$D$22, 3, FALSE), ""!C3:R29"")), {2;8;14;20}, FALSE)), 'Player Overall Stats Unsorted'!$AA$9:$AA$12), ""=X"")) + (4 - COUNTIF(IF"&amp;"ERROR(ARRAYFORMULA(HLOOKUP($B67, IMPORTRANGE('Prelim Rankings Unsorted'!$B$42, CONCAT(VLOOKUP($C67, 'Match Names'!$A$1:$D$22, 4, FALSE), ""!C3:R29"")), {4;10;16;22}, FALSE)), 'Player Overall Stats Unsorted'!$AA$9:$AA$12), ""=X"")) + (4 - COUNTIF(IFERROR(A"&amp;"RRAYFORMULA(HLOOKUP($B67, IMPORTRANGE('Match Names'!$E$23, CONCAT(VLOOKUP($C67, 'Match Names'!$1:$22, 5, FALSE), ""!C3:R29"")), {5;10;15;20}, FALSE)), 'Player Overall Stats Unsorted'!$AA$9:$AA$12), ""=X"")) + (4 - COUNTIF(IFERROR(ARRAYFORMULA(HLOOKUP($B67"&amp;", IMPORTRANGE('Match Names'!$F$23, CONCAT(VLOOKUP($C67, 'Match Names'!$1:$22, 6, FALSE), ""!C3:R29"")), {4;10;16;22}, FALSE)), 'Player Overall Stats Unsorted'!$AA$9:$AA$12), ""=X"")) + (4 - COUNTIF(IFERROR(ARRAYFORMULA(HLOOKUP($B67, IMPORTRANGE('Match Nam"&amp;"es'!$G$23, CONCAT(VLOOKUP($C67, 'Match Names'!$1:$22, 7, FALSE), ""!C3:R29"")), {4;9;13;19}, FALSE)), 'Player Overall Stats Unsorted'!$AA$9:$AA$12), ""=X"")) + (4 - COUNTIF(IFERROR(ARRAYFORMULA(HLOOKUP($B67, IMPORTRANGE('Match Names'!$H$23, CONCAT(VLOOKUP"&amp;"($C67, 'Match Names'!$1:$22, 8, FALSE), ""!C3:R29"")), {3;9;15;21}, FALSE)), 'Player Overall Stats Unsorted'!$AA$9:$AA$12), ""=X""))"),22.0)</f>
        <v>22</v>
      </c>
      <c r="E67" s="32">
        <f>IFERROR(__xludf.DUMMYFUNCTION("COUNTIF(ARRAYFORMULA(HLOOKUP($B67, IMPORTRANGE('Prelim Rankings Unsorted'!$B$40, CONCAT(VLOOKUP($C67, 'Match Names'!$A$1:$D$22, 2, FALSE), ""!C3:R29"")), {5;10;16;22}, FALSE)), ""=4"") + COUNTIF(ARRAYFORMULA(HLOOKUP($B67, IMPORTRANGE('Prelim Rankings Unso"&amp;"rted'!$B$41, CONCAT(VLOOKUP($C67, 'Match Names'!$A$1:$D$22, 3, FALSE), ""!C3:R29"")), {2;8;14;20}, FALSE)), ""=4"") + COUNTIF(ARRAYFORMULA(HLOOKUP($B67, IMPORTRANGE('Prelim Rankings Unsorted'!$B$42, CONCAT(VLOOKUP($C67, 'Match Names'!$A$1:$D$22, 4, FALSE)"&amp;", ""!C3:R29"")), {4;10;16;22}, FALSE)), ""=4"") + COUNTIF(ARRAYFORMULA(HLOOKUP($B67, IMPORTRANGE('Match Names'!$E$23, CONCAT(VLOOKUP($C67, 'Match Names'!$1:$22, 5, FALSE), ""!C3:R29"")), {5;10;15;20}, FALSE)), ""=4"") + COUNTIF(ARRAYFORMULA(HLOOKUP($B67, "&amp;"IMPORTRANGE('Match Names'!$F$23, CONCAT(VLOOKUP($C67, 'Match Names'!$1:$22, 6, FALSE), ""!C3:R29"")), {4;10;16;22}, FALSE)), ""=4"") + COUNTIF(ARRAYFORMULA(HLOOKUP($B67, IMPORTRANGE('Match Names'!$G$23, CONCAT(VLOOKUP($C67, 'Match Names'!$1:$22, 7, FALSE)"&amp;", ""!C3:R29"")), {4;9;13;19}, FALSE)), ""=4"") + COUNTIF(ARRAYFORMULA(HLOOKUP($B67, IMPORTRANGE('Match Names'!$H$23, CONCAT(VLOOKUP($C67, 'Match Names'!$1:$22, 8, FALSE), ""!C3:R29"")), {3;9;15;21}, FALSE)), ""=4"")"),4.0)</f>
        <v>4</v>
      </c>
      <c r="F67" s="32">
        <f>IFERROR(__xludf.DUMMYFUNCTION("COUNTIF(ARRAYFORMULA(HLOOKUP($B67, IMPORTRANGE('Prelim Rankings Unsorted'!$B$40, CONCAT(VLOOKUP($C67, 'Match Names'!$A$1:$D$22, 2, FALSE), ""!C3:R29"")), {5;10;16;22}, FALSE)), ""=0"") + COUNTIF(ARRAYFORMULA(HLOOKUP($B67, IMPORTRANGE('Prelim Rankings Unso"&amp;"rted'!$B$41, CONCAT(VLOOKUP($C67, 'Match Names'!$A$1:$D$22, 3, FALSE), ""!C3:R29"")), {2;8;14;20}, FALSE)), ""=0"") + COUNTIF(ARRAYFORMULA(HLOOKUP($B67, IMPORTRANGE('Prelim Rankings Unsorted'!$B$42, CONCAT(VLOOKUP($C67, 'Match Names'!$A$1:$D$22, 4, FALSE)"&amp;", ""!C3:R29"")), {4;10;16;22}, FALSE)), ""=0"") + COUNTIF(ARRAYFORMULA(HLOOKUP($B67, IMPORTRANGE('Match Names'!$E$23, CONCAT(VLOOKUP($C67, 'Match Names'!$1:$22, 5, FALSE), ""!C3:R29"")), {5;10;15;20}, FALSE)), ""=0"") + COUNTIF(ARRAYFORMULA(HLOOKUP($B67, "&amp;"IMPORTRANGE('Match Names'!$F$23, CONCAT(VLOOKUP($C67, 'Match Names'!$1:$22, 6, FALSE), ""!C3:R29"")), {4;10;16;22}, FALSE)), ""=0"") + COUNTIF(ARRAYFORMULA(HLOOKUP($B67, IMPORTRANGE('Match Names'!$G$23, CONCAT(VLOOKUP($C67, 'Match Names'!$1:$22, 7, FALSE)"&amp;", ""!C3:R29"")), {4;9;13;19}, FALSE)), ""=0"") + COUNTIF(ARRAYFORMULA(HLOOKUP($B67, IMPORTRANGE('Match Names'!$H$23, CONCAT(VLOOKUP($C67, 'Match Names'!$1:$22, 8, FALSE), ""!C3:R29"")), {3;9;15;21}, FALSE)), ""=0"")"),4.0)</f>
        <v>4</v>
      </c>
      <c r="G67" s="32">
        <f>IFERROR(__xludf.DUMMYFUNCTION("COUNTIF(ARRAYFORMULA(HLOOKUP($B67, IMPORTRANGE('Prelim Rankings Unsorted'!$B$40, CONCAT(VLOOKUP($C67, 'Match Names'!$A$1:$D$22, 2, FALSE), ""!C3:R29"")), {5;10;16;22}, FALSE)), ""=-4"") + COUNTIF(ARRAYFORMULA(HLOOKUP($B67, IMPORTRANGE('Prelim Rankings Uns"&amp;"orted'!$B$41, CONCAT(VLOOKUP($C67, 'Match Names'!$A$1:$D$22, 3, FALSE), ""!C3:R29"")), {2;8;14;20}, FALSE)), ""=-4"") + COUNTIF(ARRAYFORMULA(HLOOKUP($B67, IMPORTRANGE('Prelim Rankings Unsorted'!$B$42, CONCAT(VLOOKUP($C67, 'Match Names'!$A$1:$D$22, 4, FALS"&amp;"E), ""!C3:R29"")), {4;10;16;22}, FALSE)), ""=-4"") + COUNTIF(ARRAYFORMULA(HLOOKUP($B67, IMPORTRANGE('Match Names'!$E$23, CONCAT(VLOOKUP($C67, 'Match Names'!$1:$22, 5, FALSE), ""!C3:R29"")), {5;10;15;20}, FALSE)), ""=-4"") + COUNTIF(ARRAYFORMULA(HLOOKUP($B"&amp;"67, IMPORTRANGE('Match Names'!$F$23, CONCAT(VLOOKUP($C67, 'Match Names'!$1:$22, 6, FALSE), ""!C3:R29"")), {4;10;16;22}, FALSE)), ""=-4"") + COUNTIF(ARRAYFORMULA(HLOOKUP($B67, IMPORTRANGE('Match Names'!$G$23, CONCAT(VLOOKUP($C67, 'Match Names'!$1:$22, 7, F"&amp;"ALSE), ""!C3:R29"")), {4;9;13;19}, FALSE)), ""=-4"") + COUNTIF(ARRAYFORMULA(HLOOKUP($B67, IMPORTRANGE('Match Names'!$H$23, CONCAT(VLOOKUP($C67, 'Match Names'!$1:$22, 8, FALSE), ""!C3:R29"")), {3;9;15;21}, FALSE)), ""=-4"")"),0.0)</f>
        <v>0</v>
      </c>
      <c r="H67" s="33">
        <f t="shared" si="1"/>
        <v>2.91</v>
      </c>
    </row>
    <row r="68">
      <c r="A68" s="21" t="s">
        <v>93</v>
      </c>
      <c r="B68" s="31" t="str">
        <f>VLOOKUP(CONCAT(A68, C68), 'Discord Username to Real Name'!C:D, 2, FALSE)</f>
        <v>Hyperion#5422</v>
      </c>
      <c r="C68" s="21" t="s">
        <v>30</v>
      </c>
      <c r="D68" s="32">
        <f>IFERROR(__xludf.DUMMYFUNCTION("(4 - COUNTIF(IFERROR(ARRAYFORMULA(HLOOKUP($B68, IMPORTRANGE('Prelim Rankings Unsorted'!$B$40, CONCAT(VLOOKUP($C68, 'Match Names'!$A$1:$D$22, 2, FALSE), ""!C3:R29"")), {5;10;16;22}, FALSE)), 'Player Overall Stats Unsorted'!$AA$9:$AA$12), ""=X"")) + (4 - CO"&amp;"UNTIF(IFERROR(ARRAYFORMULA(HLOOKUP($B68, IMPORTRANGE('Prelim Rankings Unsorted'!$B$41, CONCAT(VLOOKUP($C68, 'Match Names'!$A$1:$D$22, 3, FALSE), ""!C3:R29"")), {2;8;14;20}, FALSE)), 'Player Overall Stats Unsorted'!$AA$9:$AA$12), ""=X"")) + (4 - COUNTIF(IF"&amp;"ERROR(ARRAYFORMULA(HLOOKUP($B68, IMPORTRANGE('Prelim Rankings Unsorted'!$B$42, CONCAT(VLOOKUP($C68, 'Match Names'!$A$1:$D$22, 4, FALSE), ""!C3:R29"")), {4;10;16;22}, FALSE)), 'Player Overall Stats Unsorted'!$AA$9:$AA$12), ""=X"")) + (4 - COUNTIF(IFERROR(A"&amp;"RRAYFORMULA(HLOOKUP($B68, IMPORTRANGE('Match Names'!$E$23, CONCAT(VLOOKUP($C68, 'Match Names'!$1:$22, 5, FALSE), ""!C3:R29"")), {5;10;15;20}, FALSE)), 'Player Overall Stats Unsorted'!$AA$9:$AA$12), ""=X"")) + (4 - COUNTIF(IFERROR(ARRAYFORMULA(HLOOKUP($B68"&amp;", IMPORTRANGE('Match Names'!$F$23, CONCAT(VLOOKUP($C68, 'Match Names'!$1:$22, 6, FALSE), ""!C3:R29"")), {4;10;16;22}, FALSE)), 'Player Overall Stats Unsorted'!$AA$9:$AA$12), ""=X"")) + (4 - COUNTIF(IFERROR(ARRAYFORMULA(HLOOKUP($B68, IMPORTRANGE('Match Nam"&amp;"es'!$G$23, CONCAT(VLOOKUP($C68, 'Match Names'!$1:$22, 7, FALSE), ""!C3:R29"")), {4;9;13;19}, FALSE)), 'Player Overall Stats Unsorted'!$AA$9:$AA$12), ""=X"")) + (4 - COUNTIF(IFERROR(ARRAYFORMULA(HLOOKUP($B68, IMPORTRANGE('Match Names'!$H$23, CONCAT(VLOOKUP"&amp;"($C68, 'Match Names'!$1:$22, 8, FALSE), ""!C3:R29"")), {3;9;15;21}, FALSE)), 'Player Overall Stats Unsorted'!$AA$9:$AA$12), ""=X""))"),16.0)</f>
        <v>16</v>
      </c>
      <c r="E68" s="32">
        <f>IFERROR(__xludf.DUMMYFUNCTION("COUNTIF(ARRAYFORMULA(HLOOKUP($B68, IMPORTRANGE('Prelim Rankings Unsorted'!$B$40, CONCAT(VLOOKUP($C68, 'Match Names'!$A$1:$D$22, 2, FALSE), ""!C3:R29"")), {5;10;16;22}, FALSE)), ""=4"") + COUNTIF(ARRAYFORMULA(HLOOKUP($B68, IMPORTRANGE('Prelim Rankings Unso"&amp;"rted'!$B$41, CONCAT(VLOOKUP($C68, 'Match Names'!$A$1:$D$22, 3, FALSE), ""!C3:R29"")), {2;8;14;20}, FALSE)), ""=4"") + COUNTIF(ARRAYFORMULA(HLOOKUP($B68, IMPORTRANGE('Prelim Rankings Unsorted'!$B$42, CONCAT(VLOOKUP($C68, 'Match Names'!$A$1:$D$22, 4, FALSE)"&amp;", ""!C3:R29"")), {4;10;16;22}, FALSE)), ""=4"") + COUNTIF(ARRAYFORMULA(HLOOKUP($B68, IMPORTRANGE('Match Names'!$E$23, CONCAT(VLOOKUP($C68, 'Match Names'!$1:$22, 5, FALSE), ""!C3:R29"")), {5;10;15;20}, FALSE)), ""=4"") + COUNTIF(ARRAYFORMULA(HLOOKUP($B68, "&amp;"IMPORTRANGE('Match Names'!$F$23, CONCAT(VLOOKUP($C68, 'Match Names'!$1:$22, 6, FALSE), ""!C3:R29"")), {4;10;16;22}, FALSE)), ""=4"") + COUNTIF(ARRAYFORMULA(HLOOKUP($B68, IMPORTRANGE('Match Names'!$G$23, CONCAT(VLOOKUP($C68, 'Match Names'!$1:$22, 7, FALSE)"&amp;", ""!C3:R29"")), {4;9;13;19}, FALSE)), ""=4"") + COUNTIF(ARRAYFORMULA(HLOOKUP($B68, IMPORTRANGE('Match Names'!$H$23, CONCAT(VLOOKUP($C68, 'Match Names'!$1:$22, 8, FALSE), ""!C3:R29"")), {3;9;15;21}, FALSE)), ""=4"")"),2.0)</f>
        <v>2</v>
      </c>
      <c r="F68" s="32">
        <f>IFERROR(__xludf.DUMMYFUNCTION("COUNTIF(ARRAYFORMULA(HLOOKUP($B68, IMPORTRANGE('Prelim Rankings Unsorted'!$B$40, CONCAT(VLOOKUP($C68, 'Match Names'!$A$1:$D$22, 2, FALSE), ""!C3:R29"")), {5;10;16;22}, FALSE)), ""=0"") + COUNTIF(ARRAYFORMULA(HLOOKUP($B68, IMPORTRANGE('Prelim Rankings Unso"&amp;"rted'!$B$41, CONCAT(VLOOKUP($C68, 'Match Names'!$A$1:$D$22, 3, FALSE), ""!C3:R29"")), {2;8;14;20}, FALSE)), ""=0"") + COUNTIF(ARRAYFORMULA(HLOOKUP($B68, IMPORTRANGE('Prelim Rankings Unsorted'!$B$42, CONCAT(VLOOKUP($C68, 'Match Names'!$A$1:$D$22, 4, FALSE)"&amp;", ""!C3:R29"")), {4;10;16;22}, FALSE)), ""=0"") + COUNTIF(ARRAYFORMULA(HLOOKUP($B68, IMPORTRANGE('Match Names'!$E$23, CONCAT(VLOOKUP($C68, 'Match Names'!$1:$22, 5, FALSE), ""!C3:R29"")), {5;10;15;20}, FALSE)), ""=0"") + COUNTIF(ARRAYFORMULA(HLOOKUP($B68, "&amp;"IMPORTRANGE('Match Names'!$F$23, CONCAT(VLOOKUP($C68, 'Match Names'!$1:$22, 6, FALSE), ""!C3:R29"")), {4;10;16;22}, FALSE)), ""=0"") + COUNTIF(ARRAYFORMULA(HLOOKUP($B68, IMPORTRANGE('Match Names'!$G$23, CONCAT(VLOOKUP($C68, 'Match Names'!$1:$22, 7, FALSE)"&amp;", ""!C3:R29"")), {4;9;13;19}, FALSE)), ""=0"") + COUNTIF(ARRAYFORMULA(HLOOKUP($B68, IMPORTRANGE('Match Names'!$H$23, CONCAT(VLOOKUP($C68, 'Match Names'!$1:$22, 8, FALSE), ""!C3:R29"")), {3;9;15;21}, FALSE)), ""=0"")"),3.0)</f>
        <v>3</v>
      </c>
      <c r="G68" s="32">
        <f>IFERROR(__xludf.DUMMYFUNCTION("COUNTIF(ARRAYFORMULA(HLOOKUP($B68, IMPORTRANGE('Prelim Rankings Unsorted'!$B$40, CONCAT(VLOOKUP($C68, 'Match Names'!$A$1:$D$22, 2, FALSE), ""!C3:R29"")), {5;10;16;22}, FALSE)), ""=-4"") + COUNTIF(ARRAYFORMULA(HLOOKUP($B68, IMPORTRANGE('Prelim Rankings Uns"&amp;"orted'!$B$41, CONCAT(VLOOKUP($C68, 'Match Names'!$A$1:$D$22, 3, FALSE), ""!C3:R29"")), {2;8;14;20}, FALSE)), ""=-4"") + COUNTIF(ARRAYFORMULA(HLOOKUP($B68, IMPORTRANGE('Prelim Rankings Unsorted'!$B$42, CONCAT(VLOOKUP($C68, 'Match Names'!$A$1:$D$22, 4, FALS"&amp;"E), ""!C3:R29"")), {4;10;16;22}, FALSE)), ""=-4"") + COUNTIF(ARRAYFORMULA(HLOOKUP($B68, IMPORTRANGE('Match Names'!$E$23, CONCAT(VLOOKUP($C68, 'Match Names'!$1:$22, 5, FALSE), ""!C3:R29"")), {5;10;15;20}, FALSE)), ""=-4"") + COUNTIF(ARRAYFORMULA(HLOOKUP($B"&amp;"68, IMPORTRANGE('Match Names'!$F$23, CONCAT(VLOOKUP($C68, 'Match Names'!$1:$22, 6, FALSE), ""!C3:R29"")), {4;10;16;22}, FALSE)), ""=-4"") + COUNTIF(ARRAYFORMULA(HLOOKUP($B68, IMPORTRANGE('Match Names'!$G$23, CONCAT(VLOOKUP($C68, 'Match Names'!$1:$22, 7, F"&amp;"ALSE), ""!C3:R29"")), {4;9;13;19}, FALSE)), ""=-4"") + COUNTIF(ARRAYFORMULA(HLOOKUP($B68, IMPORTRANGE('Match Names'!$H$23, CONCAT(VLOOKUP($C68, 'Match Names'!$1:$22, 8, FALSE), ""!C3:R29"")), {3;9;15;21}, FALSE)), ""=-4"")"),0.0)</f>
        <v>0</v>
      </c>
      <c r="H68" s="33">
        <f t="shared" si="1"/>
        <v>2</v>
      </c>
    </row>
    <row r="69">
      <c r="A69" s="21" t="s">
        <v>160</v>
      </c>
      <c r="B69" s="31" t="str">
        <f>VLOOKUP(CONCAT(A69, C69), 'Discord Username to Real Name'!C:D, 2, FALSE)</f>
        <v>luczha003#3376</v>
      </c>
      <c r="C69" s="21" t="s">
        <v>30</v>
      </c>
      <c r="D69" s="32">
        <f>IFERROR(__xludf.DUMMYFUNCTION("(4 - COUNTIF(IFERROR(ARRAYFORMULA(HLOOKUP($B69, IMPORTRANGE('Prelim Rankings Unsorted'!$B$40, CONCAT(VLOOKUP($C69, 'Match Names'!$A$1:$D$22, 2, FALSE), ""!C3:R29"")), {5;10;16;22}, FALSE)), 'Player Overall Stats Unsorted'!$AA$9:$AA$12), ""=X"")) + (4 - CO"&amp;"UNTIF(IFERROR(ARRAYFORMULA(HLOOKUP($B69, IMPORTRANGE('Prelim Rankings Unsorted'!$B$41, CONCAT(VLOOKUP($C69, 'Match Names'!$A$1:$D$22, 3, FALSE), ""!C3:R29"")), {2;8;14;20}, FALSE)), 'Player Overall Stats Unsorted'!$AA$9:$AA$12), ""=X"")) + (4 - COUNTIF(IF"&amp;"ERROR(ARRAYFORMULA(HLOOKUP($B69, IMPORTRANGE('Prelim Rankings Unsorted'!$B$42, CONCAT(VLOOKUP($C69, 'Match Names'!$A$1:$D$22, 4, FALSE), ""!C3:R29"")), {4;10;16;22}, FALSE)), 'Player Overall Stats Unsorted'!$AA$9:$AA$12), ""=X"")) + (4 - COUNTIF(IFERROR(A"&amp;"RRAYFORMULA(HLOOKUP($B69, IMPORTRANGE('Match Names'!$E$23, CONCAT(VLOOKUP($C69, 'Match Names'!$1:$22, 5, FALSE), ""!C3:R29"")), {5;10;15;20}, FALSE)), 'Player Overall Stats Unsorted'!$AA$9:$AA$12), ""=X"")) + (4 - COUNTIF(IFERROR(ARRAYFORMULA(HLOOKUP($B69"&amp;", IMPORTRANGE('Match Names'!$F$23, CONCAT(VLOOKUP($C69, 'Match Names'!$1:$22, 6, FALSE), ""!C3:R29"")), {4;10;16;22}, FALSE)), 'Player Overall Stats Unsorted'!$AA$9:$AA$12), ""=X"")) + (4 - COUNTIF(IFERROR(ARRAYFORMULA(HLOOKUP($B69, IMPORTRANGE('Match Nam"&amp;"es'!$G$23, CONCAT(VLOOKUP($C69, 'Match Names'!$1:$22, 7, FALSE), ""!C3:R29"")), {4;9;13;19}, FALSE)), 'Player Overall Stats Unsorted'!$AA$9:$AA$12), ""=X"")) + (4 - COUNTIF(IFERROR(ARRAYFORMULA(HLOOKUP($B69, IMPORTRANGE('Match Names'!$H$23, CONCAT(VLOOKUP"&amp;"($C69, 'Match Names'!$1:$22, 8, FALSE), ""!C3:R29"")), {3;9;15;21}, FALSE)), 'Player Overall Stats Unsorted'!$AA$9:$AA$12), ""=X""))"),12.0)</f>
        <v>12</v>
      </c>
      <c r="E69" s="32">
        <f>IFERROR(__xludf.DUMMYFUNCTION("COUNTIF(ARRAYFORMULA(HLOOKUP($B69, IMPORTRANGE('Prelim Rankings Unsorted'!$B$40, CONCAT(VLOOKUP($C69, 'Match Names'!$A$1:$D$22, 2, FALSE), ""!C3:R29"")), {5;10;16;22}, FALSE)), ""=4"") + COUNTIF(ARRAYFORMULA(HLOOKUP($B69, IMPORTRANGE('Prelim Rankings Unso"&amp;"rted'!$B$41, CONCAT(VLOOKUP($C69, 'Match Names'!$A$1:$D$22, 3, FALSE), ""!C3:R29"")), {2;8;14;20}, FALSE)), ""=4"") + COUNTIF(ARRAYFORMULA(HLOOKUP($B69, IMPORTRANGE('Prelim Rankings Unsorted'!$B$42, CONCAT(VLOOKUP($C69, 'Match Names'!$A$1:$D$22, 4, FALSE)"&amp;", ""!C3:R29"")), {4;10;16;22}, FALSE)), ""=4"") + COUNTIF(ARRAYFORMULA(HLOOKUP($B69, IMPORTRANGE('Match Names'!$E$23, CONCAT(VLOOKUP($C69, 'Match Names'!$1:$22, 5, FALSE), ""!C3:R29"")), {5;10;15;20}, FALSE)), ""=4"") + COUNTIF(ARRAYFORMULA(HLOOKUP($B69, "&amp;"IMPORTRANGE('Match Names'!$F$23, CONCAT(VLOOKUP($C69, 'Match Names'!$1:$22, 6, FALSE), ""!C3:R29"")), {4;10;16;22}, FALSE)), ""=4"") + COUNTIF(ARRAYFORMULA(HLOOKUP($B69, IMPORTRANGE('Match Names'!$G$23, CONCAT(VLOOKUP($C69, 'Match Names'!$1:$22, 7, FALSE)"&amp;", ""!C3:R29"")), {4;9;13;19}, FALSE)), ""=4"") + COUNTIF(ARRAYFORMULA(HLOOKUP($B69, IMPORTRANGE('Match Names'!$H$23, CONCAT(VLOOKUP($C69, 'Match Names'!$1:$22, 8, FALSE), ""!C3:R29"")), {3;9;15;21}, FALSE)), ""=4"")"),1.0)</f>
        <v>1</v>
      </c>
      <c r="F69" s="32">
        <f>IFERROR(__xludf.DUMMYFUNCTION("COUNTIF(ARRAYFORMULA(HLOOKUP($B69, IMPORTRANGE('Prelim Rankings Unsorted'!$B$40, CONCAT(VLOOKUP($C69, 'Match Names'!$A$1:$D$22, 2, FALSE), ""!C3:R29"")), {5;10;16;22}, FALSE)), ""=0"") + COUNTIF(ARRAYFORMULA(HLOOKUP($B69, IMPORTRANGE('Prelim Rankings Unso"&amp;"rted'!$B$41, CONCAT(VLOOKUP($C69, 'Match Names'!$A$1:$D$22, 3, FALSE), ""!C3:R29"")), {2;8;14;20}, FALSE)), ""=0"") + COUNTIF(ARRAYFORMULA(HLOOKUP($B69, IMPORTRANGE('Prelim Rankings Unsorted'!$B$42, CONCAT(VLOOKUP($C69, 'Match Names'!$A$1:$D$22, 4, FALSE)"&amp;", ""!C3:R29"")), {4;10;16;22}, FALSE)), ""=0"") + COUNTIF(ARRAYFORMULA(HLOOKUP($B69, IMPORTRANGE('Match Names'!$E$23, CONCAT(VLOOKUP($C69, 'Match Names'!$1:$22, 5, FALSE), ""!C3:R29"")), {5;10;15;20}, FALSE)), ""=0"") + COUNTIF(ARRAYFORMULA(HLOOKUP($B69, "&amp;"IMPORTRANGE('Match Names'!$F$23, CONCAT(VLOOKUP($C69, 'Match Names'!$1:$22, 6, FALSE), ""!C3:R29"")), {4;10;16;22}, FALSE)), ""=0"") + COUNTIF(ARRAYFORMULA(HLOOKUP($B69, IMPORTRANGE('Match Names'!$G$23, CONCAT(VLOOKUP($C69, 'Match Names'!$1:$22, 7, FALSE)"&amp;", ""!C3:R29"")), {4;9;13;19}, FALSE)), ""=0"") + COUNTIF(ARRAYFORMULA(HLOOKUP($B69, IMPORTRANGE('Match Names'!$H$23, CONCAT(VLOOKUP($C69, 'Match Names'!$1:$22, 8, FALSE), ""!C3:R29"")), {3;9;15;21}, FALSE)), ""=0"")"),3.0)</f>
        <v>3</v>
      </c>
      <c r="G69" s="32">
        <f>IFERROR(__xludf.DUMMYFUNCTION("COUNTIF(ARRAYFORMULA(HLOOKUP($B69, IMPORTRANGE('Prelim Rankings Unsorted'!$B$40, CONCAT(VLOOKUP($C69, 'Match Names'!$A$1:$D$22, 2, FALSE), ""!C3:R29"")), {5;10;16;22}, FALSE)), ""=-4"") + COUNTIF(ARRAYFORMULA(HLOOKUP($B69, IMPORTRANGE('Prelim Rankings Uns"&amp;"orted'!$B$41, CONCAT(VLOOKUP($C69, 'Match Names'!$A$1:$D$22, 3, FALSE), ""!C3:R29"")), {2;8;14;20}, FALSE)), ""=-4"") + COUNTIF(ARRAYFORMULA(HLOOKUP($B69, IMPORTRANGE('Prelim Rankings Unsorted'!$B$42, CONCAT(VLOOKUP($C69, 'Match Names'!$A$1:$D$22, 4, FALS"&amp;"E), ""!C3:R29"")), {4;10;16;22}, FALSE)), ""=-4"") + COUNTIF(ARRAYFORMULA(HLOOKUP($B69, IMPORTRANGE('Match Names'!$E$23, CONCAT(VLOOKUP($C69, 'Match Names'!$1:$22, 5, FALSE), ""!C3:R29"")), {5;10;15;20}, FALSE)), ""=-4"") + COUNTIF(ARRAYFORMULA(HLOOKUP($B"&amp;"69, IMPORTRANGE('Match Names'!$F$23, CONCAT(VLOOKUP($C69, 'Match Names'!$1:$22, 6, FALSE), ""!C3:R29"")), {4;10;16;22}, FALSE)), ""=-4"") + COUNTIF(ARRAYFORMULA(HLOOKUP($B69, IMPORTRANGE('Match Names'!$G$23, CONCAT(VLOOKUP($C69, 'Match Names'!$1:$22, 7, F"&amp;"ALSE), ""!C3:R29"")), {4;9;13;19}, FALSE)), ""=-4"") + COUNTIF(ARRAYFORMULA(HLOOKUP($B69, IMPORTRANGE('Match Names'!$H$23, CONCAT(VLOOKUP($C69, 'Match Names'!$1:$22, 8, FALSE), ""!C3:R29"")), {3;9;15;21}, FALSE)), ""=-4"")"),1.0)</f>
        <v>1</v>
      </c>
      <c r="H69" s="33">
        <f t="shared" si="1"/>
        <v>0</v>
      </c>
    </row>
    <row r="70">
      <c r="A70" s="21" t="s">
        <v>202</v>
      </c>
      <c r="B70" s="31" t="str">
        <f>VLOOKUP(CONCAT(A70, C70), 'Discord Username to Real Name'!C:D, 2, FALSE)</f>
        <v>Ritz#0792</v>
      </c>
      <c r="C70" s="21" t="s">
        <v>30</v>
      </c>
      <c r="D70" s="32">
        <f>IFERROR(__xludf.DUMMYFUNCTION("(4 - COUNTIF(IFERROR(ARRAYFORMULA(HLOOKUP($B70, IMPORTRANGE('Prelim Rankings Unsorted'!$B$40, CONCAT(VLOOKUP($C70, 'Match Names'!$A$1:$D$22, 2, FALSE), ""!C3:R29"")), {5;10;16;22}, FALSE)), 'Player Overall Stats Unsorted'!$AA$9:$AA$12), ""=X"")) + (4 - CO"&amp;"UNTIF(IFERROR(ARRAYFORMULA(HLOOKUP($B70, IMPORTRANGE('Prelim Rankings Unsorted'!$B$41, CONCAT(VLOOKUP($C70, 'Match Names'!$A$1:$D$22, 3, FALSE), ""!C3:R29"")), {2;8;14;20}, FALSE)), 'Player Overall Stats Unsorted'!$AA$9:$AA$12), ""=X"")) + (4 - COUNTIF(IF"&amp;"ERROR(ARRAYFORMULA(HLOOKUP($B70, IMPORTRANGE('Prelim Rankings Unsorted'!$B$42, CONCAT(VLOOKUP($C70, 'Match Names'!$A$1:$D$22, 4, FALSE), ""!C3:R29"")), {4;10;16;22}, FALSE)), 'Player Overall Stats Unsorted'!$AA$9:$AA$12), ""=X"")) + (4 - COUNTIF(IFERROR(A"&amp;"RRAYFORMULA(HLOOKUP($B70, IMPORTRANGE('Match Names'!$E$23, CONCAT(VLOOKUP($C70, 'Match Names'!$1:$22, 5, FALSE), ""!C3:R29"")), {5;10;15;20}, FALSE)), 'Player Overall Stats Unsorted'!$AA$9:$AA$12), ""=X"")) + (4 - COUNTIF(IFERROR(ARRAYFORMULA(HLOOKUP($B70"&amp;", IMPORTRANGE('Match Names'!$F$23, CONCAT(VLOOKUP($C70, 'Match Names'!$1:$22, 6, FALSE), ""!C3:R29"")), {4;10;16;22}, FALSE)), 'Player Overall Stats Unsorted'!$AA$9:$AA$12), ""=X"")) + (4 - COUNTIF(IFERROR(ARRAYFORMULA(HLOOKUP($B70, IMPORTRANGE('Match Nam"&amp;"es'!$G$23, CONCAT(VLOOKUP($C70, 'Match Names'!$1:$22, 7, FALSE), ""!C3:R29"")), {4;9;13;19}, FALSE)), 'Player Overall Stats Unsorted'!$AA$9:$AA$12), ""=X"")) + (4 - COUNTIF(IFERROR(ARRAYFORMULA(HLOOKUP($B70, IMPORTRANGE('Match Names'!$H$23, CONCAT(VLOOKUP"&amp;"($C70, 'Match Names'!$1:$22, 8, FALSE), ""!C3:R29"")), {3;9;15;21}, FALSE)), 'Player Overall Stats Unsorted'!$AA$9:$AA$12), ""=X""))"),0.0)</f>
        <v>0</v>
      </c>
      <c r="E70" s="32">
        <f>IFERROR(__xludf.DUMMYFUNCTION("COUNTIF(ARRAYFORMULA(HLOOKUP($B70, IMPORTRANGE('Prelim Rankings Unsorted'!$B$40, CONCAT(VLOOKUP($C70, 'Match Names'!$A$1:$D$22, 2, FALSE), ""!C3:R29"")), {5;10;16;22}, FALSE)), ""=4"") + COUNTIF(ARRAYFORMULA(HLOOKUP($B70, IMPORTRANGE('Prelim Rankings Unso"&amp;"rted'!$B$41, CONCAT(VLOOKUP($C70, 'Match Names'!$A$1:$D$22, 3, FALSE), ""!C3:R29"")), {2;8;14;20}, FALSE)), ""=4"") + COUNTIF(ARRAYFORMULA(HLOOKUP($B70, IMPORTRANGE('Prelim Rankings Unsorted'!$B$42, CONCAT(VLOOKUP($C70, 'Match Names'!$A$1:$D$22, 4, FALSE)"&amp;", ""!C3:R29"")), {4;10;16;22}, FALSE)), ""=4"") + COUNTIF(ARRAYFORMULA(HLOOKUP($B70, IMPORTRANGE('Match Names'!$E$23, CONCAT(VLOOKUP($C70, 'Match Names'!$1:$22, 5, FALSE), ""!C3:R29"")), {5;10;15;20}, FALSE)), ""=4"") + COUNTIF(ARRAYFORMULA(HLOOKUP($B70, "&amp;"IMPORTRANGE('Match Names'!$F$23, CONCAT(VLOOKUP($C70, 'Match Names'!$1:$22, 6, FALSE), ""!C3:R29"")), {4;10;16;22}, FALSE)), ""=4"") + COUNTIF(ARRAYFORMULA(HLOOKUP($B70, IMPORTRANGE('Match Names'!$G$23, CONCAT(VLOOKUP($C70, 'Match Names'!$1:$22, 7, FALSE)"&amp;", ""!C3:R29"")), {4;9;13;19}, FALSE)), ""=4"") + COUNTIF(ARRAYFORMULA(HLOOKUP($B70, IMPORTRANGE('Match Names'!$H$23, CONCAT(VLOOKUP($C70, 'Match Names'!$1:$22, 8, FALSE), ""!C3:R29"")), {3;9;15;21}, FALSE)), ""=4"")"),0.0)</f>
        <v>0</v>
      </c>
      <c r="F70" s="32">
        <f>IFERROR(__xludf.DUMMYFUNCTION("COUNTIF(ARRAYFORMULA(HLOOKUP($B70, IMPORTRANGE('Prelim Rankings Unsorted'!$B$40, CONCAT(VLOOKUP($C70, 'Match Names'!$A$1:$D$22, 2, FALSE), ""!C3:R29"")), {5;10;16;22}, FALSE)), ""=0"") + COUNTIF(ARRAYFORMULA(HLOOKUP($B70, IMPORTRANGE('Prelim Rankings Unso"&amp;"rted'!$B$41, CONCAT(VLOOKUP($C70, 'Match Names'!$A$1:$D$22, 3, FALSE), ""!C3:R29"")), {2;8;14;20}, FALSE)), ""=0"") + COUNTIF(ARRAYFORMULA(HLOOKUP($B70, IMPORTRANGE('Prelim Rankings Unsorted'!$B$42, CONCAT(VLOOKUP($C70, 'Match Names'!$A$1:$D$22, 4, FALSE)"&amp;", ""!C3:R29"")), {4;10;16;22}, FALSE)), ""=0"") + COUNTIF(ARRAYFORMULA(HLOOKUP($B70, IMPORTRANGE('Match Names'!$E$23, CONCAT(VLOOKUP($C70, 'Match Names'!$1:$22, 5, FALSE), ""!C3:R29"")), {5;10;15;20}, FALSE)), ""=0"") + COUNTIF(ARRAYFORMULA(HLOOKUP($B70, "&amp;"IMPORTRANGE('Match Names'!$F$23, CONCAT(VLOOKUP($C70, 'Match Names'!$1:$22, 6, FALSE), ""!C3:R29"")), {4;10;16;22}, FALSE)), ""=0"") + COUNTIF(ARRAYFORMULA(HLOOKUP($B70, IMPORTRANGE('Match Names'!$G$23, CONCAT(VLOOKUP($C70, 'Match Names'!$1:$22, 7, FALSE)"&amp;", ""!C3:R29"")), {4;9;13;19}, FALSE)), ""=0"") + COUNTIF(ARRAYFORMULA(HLOOKUP($B70, IMPORTRANGE('Match Names'!$H$23, CONCAT(VLOOKUP($C70, 'Match Names'!$1:$22, 8, FALSE), ""!C3:R29"")), {3;9;15;21}, FALSE)), ""=0"")"),0.0)</f>
        <v>0</v>
      </c>
      <c r="G70" s="32">
        <f>IFERROR(__xludf.DUMMYFUNCTION("COUNTIF(ARRAYFORMULA(HLOOKUP($B70, IMPORTRANGE('Prelim Rankings Unsorted'!$B$40, CONCAT(VLOOKUP($C70, 'Match Names'!$A$1:$D$22, 2, FALSE), ""!C3:R29"")), {5;10;16;22}, FALSE)), ""=-4"") + COUNTIF(ARRAYFORMULA(HLOOKUP($B70, IMPORTRANGE('Prelim Rankings Uns"&amp;"orted'!$B$41, CONCAT(VLOOKUP($C70, 'Match Names'!$A$1:$D$22, 3, FALSE), ""!C3:R29"")), {2;8;14;20}, FALSE)), ""=-4"") + COUNTIF(ARRAYFORMULA(HLOOKUP($B70, IMPORTRANGE('Prelim Rankings Unsorted'!$B$42, CONCAT(VLOOKUP($C70, 'Match Names'!$A$1:$D$22, 4, FALS"&amp;"E), ""!C3:R29"")), {4;10;16;22}, FALSE)), ""=-4"") + COUNTIF(ARRAYFORMULA(HLOOKUP($B70, IMPORTRANGE('Match Names'!$E$23, CONCAT(VLOOKUP($C70, 'Match Names'!$1:$22, 5, FALSE), ""!C3:R29"")), {5;10;15;20}, FALSE)), ""=-4"") + COUNTIF(ARRAYFORMULA(HLOOKUP($B"&amp;"70, IMPORTRANGE('Match Names'!$F$23, CONCAT(VLOOKUP($C70, 'Match Names'!$1:$22, 6, FALSE), ""!C3:R29"")), {4;10;16;22}, FALSE)), ""=-4"") + COUNTIF(ARRAYFORMULA(HLOOKUP($B70, IMPORTRANGE('Match Names'!$G$23, CONCAT(VLOOKUP($C70, 'Match Names'!$1:$22, 7, F"&amp;"ALSE), ""!C3:R29"")), {4;9;13;19}, FALSE)), ""=-4"") + COUNTIF(ARRAYFORMULA(HLOOKUP($B70, IMPORTRANGE('Match Names'!$H$23, CONCAT(VLOOKUP($C70, 'Match Names'!$1:$22, 8, FALSE), ""!C3:R29"")), {3;9;15;21}, FALSE)), ""=-4"")"),0.0)</f>
        <v>0</v>
      </c>
      <c r="H70" s="33">
        <f t="shared" si="1"/>
        <v>0</v>
      </c>
    </row>
    <row r="71">
      <c r="A71" s="21" t="s">
        <v>148</v>
      </c>
      <c r="B71" s="31" t="str">
        <f>VLOOKUP(CONCAT(A71, C71), 'Discord Username to Real Name'!C:D, 2, FALSE)</f>
        <v>RR#5337</v>
      </c>
      <c r="C71" s="21" t="s">
        <v>30</v>
      </c>
      <c r="D71" s="32">
        <f>IFERROR(__xludf.DUMMYFUNCTION("(4 - COUNTIF(IFERROR(ARRAYFORMULA(HLOOKUP($B71, IMPORTRANGE('Prelim Rankings Unsorted'!$B$40, CONCAT(VLOOKUP($C71, 'Match Names'!$A$1:$D$22, 2, FALSE), ""!C3:R29"")), {5;10;16;22}, FALSE)), 'Player Overall Stats Unsorted'!$AA$9:$AA$12), ""=X"")) + (4 - CO"&amp;"UNTIF(IFERROR(ARRAYFORMULA(HLOOKUP($B71, IMPORTRANGE('Prelim Rankings Unsorted'!$B$41, CONCAT(VLOOKUP($C71, 'Match Names'!$A$1:$D$22, 3, FALSE), ""!C3:R29"")), {2;8;14;20}, FALSE)), 'Player Overall Stats Unsorted'!$AA$9:$AA$12), ""=X"")) + (4 - COUNTIF(IF"&amp;"ERROR(ARRAYFORMULA(HLOOKUP($B71, IMPORTRANGE('Prelim Rankings Unsorted'!$B$42, CONCAT(VLOOKUP($C71, 'Match Names'!$A$1:$D$22, 4, FALSE), ""!C3:R29"")), {4;10;16;22}, FALSE)), 'Player Overall Stats Unsorted'!$AA$9:$AA$12), ""=X"")) + (4 - COUNTIF(IFERROR(A"&amp;"RRAYFORMULA(HLOOKUP($B71, IMPORTRANGE('Match Names'!$E$23, CONCAT(VLOOKUP($C71, 'Match Names'!$1:$22, 5, FALSE), ""!C3:R29"")), {5;10;15;20}, FALSE)), 'Player Overall Stats Unsorted'!$AA$9:$AA$12), ""=X"")) + (4 - COUNTIF(IFERROR(ARRAYFORMULA(HLOOKUP($B71"&amp;", IMPORTRANGE('Match Names'!$F$23, CONCAT(VLOOKUP($C71, 'Match Names'!$1:$22, 6, FALSE), ""!C3:R29"")), {4;10;16;22}, FALSE)), 'Player Overall Stats Unsorted'!$AA$9:$AA$12), ""=X"")) + (4 - COUNTIF(IFERROR(ARRAYFORMULA(HLOOKUP($B71, IMPORTRANGE('Match Nam"&amp;"es'!$G$23, CONCAT(VLOOKUP($C71, 'Match Names'!$1:$22, 7, FALSE), ""!C3:R29"")), {4;9;13;19}, FALSE)), 'Player Overall Stats Unsorted'!$AA$9:$AA$12), ""=X"")) + (4 - COUNTIF(IFERROR(ARRAYFORMULA(HLOOKUP($B71, IMPORTRANGE('Match Names'!$H$23, CONCAT(VLOOKUP"&amp;"($C71, 'Match Names'!$1:$22, 8, FALSE), ""!C3:R29"")), {3;9;15;21}, FALSE)), 'Player Overall Stats Unsorted'!$AA$9:$AA$12), ""=X""))"),12.0)</f>
        <v>12</v>
      </c>
      <c r="E71" s="32">
        <f>IFERROR(__xludf.DUMMYFUNCTION("COUNTIF(ARRAYFORMULA(HLOOKUP($B71, IMPORTRANGE('Prelim Rankings Unsorted'!$B$40, CONCAT(VLOOKUP($C71, 'Match Names'!$A$1:$D$22, 2, FALSE), ""!C3:R29"")), {5;10;16;22}, FALSE)), ""=4"") + COUNTIF(ARRAYFORMULA(HLOOKUP($B71, IMPORTRANGE('Prelim Rankings Unso"&amp;"rted'!$B$41, CONCAT(VLOOKUP($C71, 'Match Names'!$A$1:$D$22, 3, FALSE), ""!C3:R29"")), {2;8;14;20}, FALSE)), ""=4"") + COUNTIF(ARRAYFORMULA(HLOOKUP($B71, IMPORTRANGE('Prelim Rankings Unsorted'!$B$42, CONCAT(VLOOKUP($C71, 'Match Names'!$A$1:$D$22, 4, FALSE)"&amp;", ""!C3:R29"")), {4;10;16;22}, FALSE)), ""=4"") + COUNTIF(ARRAYFORMULA(HLOOKUP($B71, IMPORTRANGE('Match Names'!$E$23, CONCAT(VLOOKUP($C71, 'Match Names'!$1:$22, 5, FALSE), ""!C3:R29"")), {5;10;15;20}, FALSE)), ""=4"") + COUNTIF(ARRAYFORMULA(HLOOKUP($B71, "&amp;"IMPORTRANGE('Match Names'!$F$23, CONCAT(VLOOKUP($C71, 'Match Names'!$1:$22, 6, FALSE), ""!C3:R29"")), {4;10;16;22}, FALSE)), ""=4"") + COUNTIF(ARRAYFORMULA(HLOOKUP($B71, IMPORTRANGE('Match Names'!$G$23, CONCAT(VLOOKUP($C71, 'Match Names'!$1:$22, 7, FALSE)"&amp;", ""!C3:R29"")), {4;9;13;19}, FALSE)), ""=4"") + COUNTIF(ARRAYFORMULA(HLOOKUP($B71, IMPORTRANGE('Match Names'!$H$23, CONCAT(VLOOKUP($C71, 'Match Names'!$1:$22, 8, FALSE), ""!C3:R29"")), {3;9;15;21}, FALSE)), ""=4"")"),0.0)</f>
        <v>0</v>
      </c>
      <c r="F71" s="32">
        <f>IFERROR(__xludf.DUMMYFUNCTION("COUNTIF(ARRAYFORMULA(HLOOKUP($B71, IMPORTRANGE('Prelim Rankings Unsorted'!$B$40, CONCAT(VLOOKUP($C71, 'Match Names'!$A$1:$D$22, 2, FALSE), ""!C3:R29"")), {5;10;16;22}, FALSE)), ""=0"") + COUNTIF(ARRAYFORMULA(HLOOKUP($B71, IMPORTRANGE('Prelim Rankings Unso"&amp;"rted'!$B$41, CONCAT(VLOOKUP($C71, 'Match Names'!$A$1:$D$22, 3, FALSE), ""!C3:R29"")), {2;8;14;20}, FALSE)), ""=0"") + COUNTIF(ARRAYFORMULA(HLOOKUP($B71, IMPORTRANGE('Prelim Rankings Unsorted'!$B$42, CONCAT(VLOOKUP($C71, 'Match Names'!$A$1:$D$22, 4, FALSE)"&amp;", ""!C3:R29"")), {4;10;16;22}, FALSE)), ""=0"") + COUNTIF(ARRAYFORMULA(HLOOKUP($B71, IMPORTRANGE('Match Names'!$E$23, CONCAT(VLOOKUP($C71, 'Match Names'!$1:$22, 5, FALSE), ""!C3:R29"")), {5;10;15;20}, FALSE)), ""=0"") + COUNTIF(ARRAYFORMULA(HLOOKUP($B71, "&amp;"IMPORTRANGE('Match Names'!$F$23, CONCAT(VLOOKUP($C71, 'Match Names'!$1:$22, 6, FALSE), ""!C3:R29"")), {4;10;16;22}, FALSE)), ""=0"") + COUNTIF(ARRAYFORMULA(HLOOKUP($B71, IMPORTRANGE('Match Names'!$G$23, CONCAT(VLOOKUP($C71, 'Match Names'!$1:$22, 7, FALSE)"&amp;", ""!C3:R29"")), {4;9;13;19}, FALSE)), ""=0"") + COUNTIF(ARRAYFORMULA(HLOOKUP($B71, IMPORTRANGE('Match Names'!$H$23, CONCAT(VLOOKUP($C71, 'Match Names'!$1:$22, 8, FALSE), ""!C3:R29"")), {3;9;15;21}, FALSE)), ""=0"")"),0.0)</f>
        <v>0</v>
      </c>
      <c r="G71" s="32">
        <f>IFERROR(__xludf.DUMMYFUNCTION("COUNTIF(ARRAYFORMULA(HLOOKUP($B71, IMPORTRANGE('Prelim Rankings Unsorted'!$B$40, CONCAT(VLOOKUP($C71, 'Match Names'!$A$1:$D$22, 2, FALSE), ""!C3:R29"")), {5;10;16;22}, FALSE)), ""=-4"") + COUNTIF(ARRAYFORMULA(HLOOKUP($B71, IMPORTRANGE('Prelim Rankings Uns"&amp;"orted'!$B$41, CONCAT(VLOOKUP($C71, 'Match Names'!$A$1:$D$22, 3, FALSE), ""!C3:R29"")), {2;8;14;20}, FALSE)), ""=-4"") + COUNTIF(ARRAYFORMULA(HLOOKUP($B71, IMPORTRANGE('Prelim Rankings Unsorted'!$B$42, CONCAT(VLOOKUP($C71, 'Match Names'!$A$1:$D$22, 4, FALS"&amp;"E), ""!C3:R29"")), {4;10;16;22}, FALSE)), ""=-4"") + COUNTIF(ARRAYFORMULA(HLOOKUP($B71, IMPORTRANGE('Match Names'!$E$23, CONCAT(VLOOKUP($C71, 'Match Names'!$1:$22, 5, FALSE), ""!C3:R29"")), {5;10;15;20}, FALSE)), ""=-4"") + COUNTIF(ARRAYFORMULA(HLOOKUP($B"&amp;"71, IMPORTRANGE('Match Names'!$F$23, CONCAT(VLOOKUP($C71, 'Match Names'!$1:$22, 6, FALSE), ""!C3:R29"")), {4;10;16;22}, FALSE)), ""=-4"") + COUNTIF(ARRAYFORMULA(HLOOKUP($B71, IMPORTRANGE('Match Names'!$G$23, CONCAT(VLOOKUP($C71, 'Match Names'!$1:$22, 7, F"&amp;"ALSE), ""!C3:R29"")), {4;9;13;19}, FALSE)), ""=-4"") + COUNTIF(ARRAYFORMULA(HLOOKUP($B71, IMPORTRANGE('Match Names'!$H$23, CONCAT(VLOOKUP($C71, 'Match Names'!$1:$22, 8, FALSE), ""!C3:R29"")), {3;9;15;21}, FALSE)), ""=-4"")"),0.0)</f>
        <v>0</v>
      </c>
      <c r="H71" s="33">
        <f t="shared" si="1"/>
        <v>0</v>
      </c>
    </row>
    <row r="72">
      <c r="A72" s="21" t="s">
        <v>130</v>
      </c>
      <c r="B72" s="31" t="str">
        <f>VLOOKUP(CONCAT(A72, C72), 'Discord Username to Real Name'!C:D, 2, FALSE)</f>
        <v>crebz#4622</v>
      </c>
      <c r="C72" s="21" t="s">
        <v>30</v>
      </c>
      <c r="D72" s="32">
        <f>IFERROR(__xludf.DUMMYFUNCTION("(4 - COUNTIF(IFERROR(ARRAYFORMULA(HLOOKUP($B72, IMPORTRANGE('Prelim Rankings Unsorted'!$B$40, CONCAT(VLOOKUP($C72, 'Match Names'!$A$1:$D$22, 2, FALSE), ""!C3:R29"")), {5;10;16;22}, FALSE)), 'Player Overall Stats Unsorted'!$AA$9:$AA$12), ""=X"")) + (4 - CO"&amp;"UNTIF(IFERROR(ARRAYFORMULA(HLOOKUP($B72, IMPORTRANGE('Prelim Rankings Unsorted'!$B$41, CONCAT(VLOOKUP($C72, 'Match Names'!$A$1:$D$22, 3, FALSE), ""!C3:R29"")), {2;8;14;20}, FALSE)), 'Player Overall Stats Unsorted'!$AA$9:$AA$12), ""=X"")) + (4 - COUNTIF(IF"&amp;"ERROR(ARRAYFORMULA(HLOOKUP($B72, IMPORTRANGE('Prelim Rankings Unsorted'!$B$42, CONCAT(VLOOKUP($C72, 'Match Names'!$A$1:$D$22, 4, FALSE), ""!C3:R29"")), {4;10;16;22}, FALSE)), 'Player Overall Stats Unsorted'!$AA$9:$AA$12), ""=X"")) + (4 - COUNTIF(IFERROR(A"&amp;"RRAYFORMULA(HLOOKUP($B72, IMPORTRANGE('Match Names'!$E$23, CONCAT(VLOOKUP($C72, 'Match Names'!$1:$22, 5, FALSE), ""!C3:R29"")), {5;10;15;20}, FALSE)), 'Player Overall Stats Unsorted'!$AA$9:$AA$12), ""=X"")) + (4 - COUNTIF(IFERROR(ARRAYFORMULA(HLOOKUP($B72"&amp;", IMPORTRANGE('Match Names'!$F$23, CONCAT(VLOOKUP($C72, 'Match Names'!$1:$22, 6, FALSE), ""!C3:R29"")), {4;10;16;22}, FALSE)), 'Player Overall Stats Unsorted'!$AA$9:$AA$12), ""=X"")) + (4 - COUNTIF(IFERROR(ARRAYFORMULA(HLOOKUP($B72, IMPORTRANGE('Match Nam"&amp;"es'!$G$23, CONCAT(VLOOKUP($C72, 'Match Names'!$1:$22, 7, FALSE), ""!C3:R29"")), {4;9;13;19}, FALSE)), 'Player Overall Stats Unsorted'!$AA$9:$AA$12), ""=X"")) + (4 - COUNTIF(IFERROR(ARRAYFORMULA(HLOOKUP($B72, IMPORTRANGE('Match Names'!$H$23, CONCAT(VLOOKUP"&amp;"($C72, 'Match Names'!$1:$22, 8, FALSE), ""!C3:R29"")), {3;9;15;21}, FALSE)), 'Player Overall Stats Unsorted'!$AA$9:$AA$12), ""=X""))"),12.0)</f>
        <v>12</v>
      </c>
      <c r="E72" s="32">
        <f>IFERROR(__xludf.DUMMYFUNCTION("COUNTIF(ARRAYFORMULA(HLOOKUP($B72, IMPORTRANGE('Prelim Rankings Unsorted'!$B$40, CONCAT(VLOOKUP($C72, 'Match Names'!$A$1:$D$22, 2, FALSE), ""!C3:R29"")), {5;10;16;22}, FALSE)), ""=4"") + COUNTIF(ARRAYFORMULA(HLOOKUP($B72, IMPORTRANGE('Prelim Rankings Unso"&amp;"rted'!$B$41, CONCAT(VLOOKUP($C72, 'Match Names'!$A$1:$D$22, 3, FALSE), ""!C3:R29"")), {2;8;14;20}, FALSE)), ""=4"") + COUNTIF(ARRAYFORMULA(HLOOKUP($B72, IMPORTRANGE('Prelim Rankings Unsorted'!$B$42, CONCAT(VLOOKUP($C72, 'Match Names'!$A$1:$D$22, 4, FALSE)"&amp;", ""!C3:R29"")), {4;10;16;22}, FALSE)), ""=4"") + COUNTIF(ARRAYFORMULA(HLOOKUP($B72, IMPORTRANGE('Match Names'!$E$23, CONCAT(VLOOKUP($C72, 'Match Names'!$1:$22, 5, FALSE), ""!C3:R29"")), {5;10;15;20}, FALSE)), ""=4"") + COUNTIF(ARRAYFORMULA(HLOOKUP($B72, "&amp;"IMPORTRANGE('Match Names'!$F$23, CONCAT(VLOOKUP($C72, 'Match Names'!$1:$22, 6, FALSE), ""!C3:R29"")), {4;10;16;22}, FALSE)), ""=4"") + COUNTIF(ARRAYFORMULA(HLOOKUP($B72, IMPORTRANGE('Match Names'!$G$23, CONCAT(VLOOKUP($C72, 'Match Names'!$1:$22, 7, FALSE)"&amp;", ""!C3:R29"")), {4;9;13;19}, FALSE)), ""=4"") + COUNTIF(ARRAYFORMULA(HLOOKUP($B72, IMPORTRANGE('Match Names'!$H$23, CONCAT(VLOOKUP($C72, 'Match Names'!$1:$22, 8, FALSE), ""!C3:R29"")), {3;9;15;21}, FALSE)), ""=4"")"),0.0)</f>
        <v>0</v>
      </c>
      <c r="F72" s="32">
        <f>IFERROR(__xludf.DUMMYFUNCTION("COUNTIF(ARRAYFORMULA(HLOOKUP($B72, IMPORTRANGE('Prelim Rankings Unsorted'!$B$40, CONCAT(VLOOKUP($C72, 'Match Names'!$A$1:$D$22, 2, FALSE), ""!C3:R29"")), {5;10;16;22}, FALSE)), ""=0"") + COUNTIF(ARRAYFORMULA(HLOOKUP($B72, IMPORTRANGE('Prelim Rankings Unso"&amp;"rted'!$B$41, CONCAT(VLOOKUP($C72, 'Match Names'!$A$1:$D$22, 3, FALSE), ""!C3:R29"")), {2;8;14;20}, FALSE)), ""=0"") + COUNTIF(ARRAYFORMULA(HLOOKUP($B72, IMPORTRANGE('Prelim Rankings Unsorted'!$B$42, CONCAT(VLOOKUP($C72, 'Match Names'!$A$1:$D$22, 4, FALSE)"&amp;", ""!C3:R29"")), {4;10;16;22}, FALSE)), ""=0"") + COUNTIF(ARRAYFORMULA(HLOOKUP($B72, IMPORTRANGE('Match Names'!$E$23, CONCAT(VLOOKUP($C72, 'Match Names'!$1:$22, 5, FALSE), ""!C3:R29"")), {5;10;15;20}, FALSE)), ""=0"") + COUNTIF(ARRAYFORMULA(HLOOKUP($B72, "&amp;"IMPORTRANGE('Match Names'!$F$23, CONCAT(VLOOKUP($C72, 'Match Names'!$1:$22, 6, FALSE), ""!C3:R29"")), {4;10;16;22}, FALSE)), ""=0"") + COUNTIF(ARRAYFORMULA(HLOOKUP($B72, IMPORTRANGE('Match Names'!$G$23, CONCAT(VLOOKUP($C72, 'Match Names'!$1:$22, 7, FALSE)"&amp;", ""!C3:R29"")), {4;9;13;19}, FALSE)), ""=0"") + COUNTIF(ARRAYFORMULA(HLOOKUP($B72, IMPORTRANGE('Match Names'!$H$23, CONCAT(VLOOKUP($C72, 'Match Names'!$1:$22, 8, FALSE), ""!C3:R29"")), {3;9;15;21}, FALSE)), ""=0"")"),0.0)</f>
        <v>0</v>
      </c>
      <c r="G72" s="32">
        <f>IFERROR(__xludf.DUMMYFUNCTION("COUNTIF(ARRAYFORMULA(HLOOKUP($B72, IMPORTRANGE('Prelim Rankings Unsorted'!$B$40, CONCAT(VLOOKUP($C72, 'Match Names'!$A$1:$D$22, 2, FALSE), ""!C3:R29"")), {5;10;16;22}, FALSE)), ""=-4"") + COUNTIF(ARRAYFORMULA(HLOOKUP($B72, IMPORTRANGE('Prelim Rankings Uns"&amp;"orted'!$B$41, CONCAT(VLOOKUP($C72, 'Match Names'!$A$1:$D$22, 3, FALSE), ""!C3:R29"")), {2;8;14;20}, FALSE)), ""=-4"") + COUNTIF(ARRAYFORMULA(HLOOKUP($B72, IMPORTRANGE('Prelim Rankings Unsorted'!$B$42, CONCAT(VLOOKUP($C72, 'Match Names'!$A$1:$D$22, 4, FALS"&amp;"E), ""!C3:R29"")), {4;10;16;22}, FALSE)), ""=-4"") + COUNTIF(ARRAYFORMULA(HLOOKUP($B72, IMPORTRANGE('Match Names'!$E$23, CONCAT(VLOOKUP($C72, 'Match Names'!$1:$22, 5, FALSE), ""!C3:R29"")), {5;10;15;20}, FALSE)), ""=-4"") + COUNTIF(ARRAYFORMULA(HLOOKUP($B"&amp;"72, IMPORTRANGE('Match Names'!$F$23, CONCAT(VLOOKUP($C72, 'Match Names'!$1:$22, 6, FALSE), ""!C3:R29"")), {4;10;16;22}, FALSE)), ""=-4"") + COUNTIF(ARRAYFORMULA(HLOOKUP($B72, IMPORTRANGE('Match Names'!$G$23, CONCAT(VLOOKUP($C72, 'Match Names'!$1:$22, 7, F"&amp;"ALSE), ""!C3:R29"")), {4;9;13;19}, FALSE)), ""=-4"") + COUNTIF(ARRAYFORMULA(HLOOKUP($B72, IMPORTRANGE('Match Names'!$H$23, CONCAT(VLOOKUP($C72, 'Match Names'!$1:$22, 8, FALSE), ""!C3:R29"")), {3;9;15;21}, FALSE)), ""=-4"")"),0.0)</f>
        <v>0</v>
      </c>
      <c r="H72" s="33">
        <f t="shared" si="1"/>
        <v>0</v>
      </c>
    </row>
    <row r="73">
      <c r="A73" s="21" t="s">
        <v>53</v>
      </c>
      <c r="B73" s="31" t="str">
        <f>VLOOKUP(CONCAT(A73, C73), 'Discord Username to Real Name'!C:D, 2, FALSE)</f>
        <v>brandon.chang#3043</v>
      </c>
      <c r="C73" s="21" t="s">
        <v>24</v>
      </c>
      <c r="D73" s="32">
        <f>IFERROR(__xludf.DUMMYFUNCTION("(4 - COUNTIF(IFERROR(ARRAYFORMULA(HLOOKUP($B73, IMPORTRANGE('Prelim Rankings Unsorted'!$B$40, CONCAT(VLOOKUP($C73, 'Match Names'!$A$1:$D$22, 2, FALSE), ""!C3:R29"")), {5;10;16;22}, FALSE)), 'Player Overall Stats Unsorted'!$AA$9:$AA$12), ""=X"")) + (4 - CO"&amp;"UNTIF(IFERROR(ARRAYFORMULA(HLOOKUP($B73, IMPORTRANGE('Prelim Rankings Unsorted'!$B$41, CONCAT(VLOOKUP($C73, 'Match Names'!$A$1:$D$22, 3, FALSE), ""!C3:R29"")), {2;8;14;20}, FALSE)), 'Player Overall Stats Unsorted'!$AA$9:$AA$12), ""=X"")) + (4 - COUNTIF(IF"&amp;"ERROR(ARRAYFORMULA(HLOOKUP($B73, IMPORTRANGE('Prelim Rankings Unsorted'!$B$42, CONCAT(VLOOKUP($C73, 'Match Names'!$A$1:$D$22, 4, FALSE), ""!C3:R29"")), {4;10;16;22}, FALSE)), 'Player Overall Stats Unsorted'!$AA$9:$AA$12), ""=X"")) + (4 - COUNTIF(IFERROR(A"&amp;"RRAYFORMULA(HLOOKUP($B73, IMPORTRANGE('Match Names'!$E$23, CONCAT(VLOOKUP($C73, 'Match Names'!$1:$22, 5, FALSE), ""!C3:R29"")), {5;10;15;20}, FALSE)), 'Player Overall Stats Unsorted'!$AA$9:$AA$12), ""=X"")) + (4 - COUNTIF(IFERROR(ARRAYFORMULA(HLOOKUP($B73"&amp;", IMPORTRANGE('Match Names'!$F$23, CONCAT(VLOOKUP($C73, 'Match Names'!$1:$22, 6, FALSE), ""!C3:R29"")), {4;10;16;22}, FALSE)), 'Player Overall Stats Unsorted'!$AA$9:$AA$12), ""=X"")) + (4 - COUNTIF(IFERROR(ARRAYFORMULA(HLOOKUP($B73, IMPORTRANGE('Match Nam"&amp;"es'!$G$23, CONCAT(VLOOKUP($C73, 'Match Names'!$1:$22, 7, FALSE), ""!C3:R29"")), {4;9;13;19}, FALSE)), 'Player Overall Stats Unsorted'!$AA$9:$AA$12), ""=X"")) + (4 - COUNTIF(IFERROR(ARRAYFORMULA(HLOOKUP($B73, IMPORTRANGE('Match Names'!$H$23, CONCAT(VLOOKUP"&amp;"($C73, 'Match Names'!$1:$22, 8, FALSE), ""!C3:R29"")), {3;9;15;21}, FALSE)), 'Player Overall Stats Unsorted'!$AA$9:$AA$12), ""=X""))"),18.0)</f>
        <v>18</v>
      </c>
      <c r="E73" s="32">
        <f>IFERROR(__xludf.DUMMYFUNCTION("COUNTIF(ARRAYFORMULA(HLOOKUP($B73, IMPORTRANGE('Prelim Rankings Unsorted'!$B$40, CONCAT(VLOOKUP($C73, 'Match Names'!$A$1:$D$22, 2, FALSE), ""!C3:R29"")), {5;10;16;22}, FALSE)), ""=4"") + COUNTIF(ARRAYFORMULA(HLOOKUP($B73, IMPORTRANGE('Prelim Rankings Unso"&amp;"rted'!$B$41, CONCAT(VLOOKUP($C73, 'Match Names'!$A$1:$D$22, 3, FALSE), ""!C3:R29"")), {2;8;14;20}, FALSE)), ""=4"") + COUNTIF(ARRAYFORMULA(HLOOKUP($B73, IMPORTRANGE('Prelim Rankings Unsorted'!$B$42, CONCAT(VLOOKUP($C73, 'Match Names'!$A$1:$D$22, 4, FALSE)"&amp;", ""!C3:R29"")), {4;10;16;22}, FALSE)), ""=4"") + COUNTIF(ARRAYFORMULA(HLOOKUP($B73, IMPORTRANGE('Match Names'!$E$23, CONCAT(VLOOKUP($C73, 'Match Names'!$1:$22, 5, FALSE), ""!C3:R29"")), {5;10;15;20}, FALSE)), ""=4"") + COUNTIF(ARRAYFORMULA(HLOOKUP($B73, "&amp;"IMPORTRANGE('Match Names'!$F$23, CONCAT(VLOOKUP($C73, 'Match Names'!$1:$22, 6, FALSE), ""!C3:R29"")), {4;10;16;22}, FALSE)), ""=4"") + COUNTIF(ARRAYFORMULA(HLOOKUP($B73, IMPORTRANGE('Match Names'!$G$23, CONCAT(VLOOKUP($C73, 'Match Names'!$1:$22, 7, FALSE)"&amp;", ""!C3:R29"")), {4;9;13;19}, FALSE)), ""=4"") + COUNTIF(ARRAYFORMULA(HLOOKUP($B73, IMPORTRANGE('Match Names'!$H$23, CONCAT(VLOOKUP($C73, 'Match Names'!$1:$22, 8, FALSE), ""!C3:R29"")), {3;9;15;21}, FALSE)), ""=4"")"),3.0)</f>
        <v>3</v>
      </c>
      <c r="F73" s="32">
        <f>IFERROR(__xludf.DUMMYFUNCTION("COUNTIF(ARRAYFORMULA(HLOOKUP($B73, IMPORTRANGE('Prelim Rankings Unsorted'!$B$40, CONCAT(VLOOKUP($C73, 'Match Names'!$A$1:$D$22, 2, FALSE), ""!C3:R29"")), {5;10;16;22}, FALSE)), ""=0"") + COUNTIF(ARRAYFORMULA(HLOOKUP($B73, IMPORTRANGE('Prelim Rankings Unso"&amp;"rted'!$B$41, CONCAT(VLOOKUP($C73, 'Match Names'!$A$1:$D$22, 3, FALSE), ""!C3:R29"")), {2;8;14;20}, FALSE)), ""=0"") + COUNTIF(ARRAYFORMULA(HLOOKUP($B73, IMPORTRANGE('Prelim Rankings Unsorted'!$B$42, CONCAT(VLOOKUP($C73, 'Match Names'!$A$1:$D$22, 4, FALSE)"&amp;", ""!C3:R29"")), {4;10;16;22}, FALSE)), ""=0"") + COUNTIF(ARRAYFORMULA(HLOOKUP($B73, IMPORTRANGE('Match Names'!$E$23, CONCAT(VLOOKUP($C73, 'Match Names'!$1:$22, 5, FALSE), ""!C3:R29"")), {5;10;15;20}, FALSE)), ""=0"") + COUNTIF(ARRAYFORMULA(HLOOKUP($B73, "&amp;"IMPORTRANGE('Match Names'!$F$23, CONCAT(VLOOKUP($C73, 'Match Names'!$1:$22, 6, FALSE), ""!C3:R29"")), {4;10;16;22}, FALSE)), ""=0"") + COUNTIF(ARRAYFORMULA(HLOOKUP($B73, IMPORTRANGE('Match Names'!$G$23, CONCAT(VLOOKUP($C73, 'Match Names'!$1:$22, 7, FALSE)"&amp;", ""!C3:R29"")), {4;9;13;19}, FALSE)), ""=0"") + COUNTIF(ARRAYFORMULA(HLOOKUP($B73, IMPORTRANGE('Match Names'!$H$23, CONCAT(VLOOKUP($C73, 'Match Names'!$1:$22, 8, FALSE), ""!C3:R29"")), {3;9;15;21}, FALSE)), ""=0"")"),5.0)</f>
        <v>5</v>
      </c>
      <c r="G73" s="32">
        <f>IFERROR(__xludf.DUMMYFUNCTION("COUNTIF(ARRAYFORMULA(HLOOKUP($B73, IMPORTRANGE('Prelim Rankings Unsorted'!$B$40, CONCAT(VLOOKUP($C73, 'Match Names'!$A$1:$D$22, 2, FALSE), ""!C3:R29"")), {5;10;16;22}, FALSE)), ""=-4"") + COUNTIF(ARRAYFORMULA(HLOOKUP($B73, IMPORTRANGE('Prelim Rankings Uns"&amp;"orted'!$B$41, CONCAT(VLOOKUP($C73, 'Match Names'!$A$1:$D$22, 3, FALSE), ""!C3:R29"")), {2;8;14;20}, FALSE)), ""=-4"") + COUNTIF(ARRAYFORMULA(HLOOKUP($B73, IMPORTRANGE('Prelim Rankings Unsorted'!$B$42, CONCAT(VLOOKUP($C73, 'Match Names'!$A$1:$D$22, 4, FALS"&amp;"E), ""!C3:R29"")), {4;10;16;22}, FALSE)), ""=-4"") + COUNTIF(ARRAYFORMULA(HLOOKUP($B73, IMPORTRANGE('Match Names'!$E$23, CONCAT(VLOOKUP($C73, 'Match Names'!$1:$22, 5, FALSE), ""!C3:R29"")), {5;10;15;20}, FALSE)), ""=-4"") + COUNTIF(ARRAYFORMULA(HLOOKUP($B"&amp;"73, IMPORTRANGE('Match Names'!$F$23, CONCAT(VLOOKUP($C73, 'Match Names'!$1:$22, 6, FALSE), ""!C3:R29"")), {4;10;16;22}, FALSE)), ""=-4"") + COUNTIF(ARRAYFORMULA(HLOOKUP($B73, IMPORTRANGE('Match Names'!$G$23, CONCAT(VLOOKUP($C73, 'Match Names'!$1:$22, 7, F"&amp;"ALSE), ""!C3:R29"")), {4;9;13;19}, FALSE)), ""=-4"") + COUNTIF(ARRAYFORMULA(HLOOKUP($B73, IMPORTRANGE('Match Names'!$H$23, CONCAT(VLOOKUP($C73, 'Match Names'!$1:$22, 8, FALSE), ""!C3:R29"")), {3;9;15;21}, FALSE)), ""=-4"")"),0.0)</f>
        <v>0</v>
      </c>
      <c r="H73" s="33">
        <f t="shared" si="1"/>
        <v>2.67</v>
      </c>
    </row>
    <row r="74">
      <c r="A74" s="21" t="s">
        <v>136</v>
      </c>
      <c r="B74" s="31" t="str">
        <f>VLOOKUP(CONCAT(A74, C74), 'Discord Username to Real Name'!C:D, 2, FALSE)</f>
        <v>capriisun#3255</v>
      </c>
      <c r="C74" s="21" t="s">
        <v>24</v>
      </c>
      <c r="D74" s="32">
        <f>IFERROR(__xludf.DUMMYFUNCTION("(4 - COUNTIF(IFERROR(ARRAYFORMULA(HLOOKUP($B74, IMPORTRANGE('Prelim Rankings Unsorted'!$B$40, CONCAT(VLOOKUP($C74, 'Match Names'!$A$1:$D$22, 2, FALSE), ""!C3:R29"")), {5;10;16;22}, FALSE)), 'Player Overall Stats Unsorted'!$AA$9:$AA$12), ""=X"")) + (4 - CO"&amp;"UNTIF(IFERROR(ARRAYFORMULA(HLOOKUP($B74, IMPORTRANGE('Prelim Rankings Unsorted'!$B$41, CONCAT(VLOOKUP($C74, 'Match Names'!$A$1:$D$22, 3, FALSE), ""!C3:R29"")), {2;8;14;20}, FALSE)), 'Player Overall Stats Unsorted'!$AA$9:$AA$12), ""=X"")) + (4 - COUNTIF(IF"&amp;"ERROR(ARRAYFORMULA(HLOOKUP($B74, IMPORTRANGE('Prelim Rankings Unsorted'!$B$42, CONCAT(VLOOKUP($C74, 'Match Names'!$A$1:$D$22, 4, FALSE), ""!C3:R29"")), {4;10;16;22}, FALSE)), 'Player Overall Stats Unsorted'!$AA$9:$AA$12), ""=X"")) + (4 - COUNTIF(IFERROR(A"&amp;"RRAYFORMULA(HLOOKUP($B74, IMPORTRANGE('Match Names'!$E$23, CONCAT(VLOOKUP($C74, 'Match Names'!$1:$22, 5, FALSE), ""!C3:R29"")), {5;10;15;20}, FALSE)), 'Player Overall Stats Unsorted'!$AA$9:$AA$12), ""=X"")) + (4 - COUNTIF(IFERROR(ARRAYFORMULA(HLOOKUP($B74"&amp;", IMPORTRANGE('Match Names'!$F$23, CONCAT(VLOOKUP($C74, 'Match Names'!$1:$22, 6, FALSE), ""!C3:R29"")), {4;10;16;22}, FALSE)), 'Player Overall Stats Unsorted'!$AA$9:$AA$12), ""=X"")) + (4 - COUNTIF(IFERROR(ARRAYFORMULA(HLOOKUP($B74, IMPORTRANGE('Match Nam"&amp;"es'!$G$23, CONCAT(VLOOKUP($C74, 'Match Names'!$1:$22, 7, FALSE), ""!C3:R29"")), {4;9;13;19}, FALSE)), 'Player Overall Stats Unsorted'!$AA$9:$AA$12), ""=X"")) + (4 - COUNTIF(IFERROR(ARRAYFORMULA(HLOOKUP($B74, IMPORTRANGE('Match Names'!$H$23, CONCAT(VLOOKUP"&amp;"($C74, 'Match Names'!$1:$22, 8, FALSE), ""!C3:R29"")), {3;9;15;21}, FALSE)), 'Player Overall Stats Unsorted'!$AA$9:$AA$12), ""=X""))"),14.0)</f>
        <v>14</v>
      </c>
      <c r="E74" s="32">
        <f>IFERROR(__xludf.DUMMYFUNCTION("COUNTIF(ARRAYFORMULA(HLOOKUP($B74, IMPORTRANGE('Prelim Rankings Unsorted'!$B$40, CONCAT(VLOOKUP($C74, 'Match Names'!$A$1:$D$22, 2, FALSE), ""!C3:R29"")), {5;10;16;22}, FALSE)), ""=4"") + COUNTIF(ARRAYFORMULA(HLOOKUP($B74, IMPORTRANGE('Prelim Rankings Unso"&amp;"rted'!$B$41, CONCAT(VLOOKUP($C74, 'Match Names'!$A$1:$D$22, 3, FALSE), ""!C3:R29"")), {2;8;14;20}, FALSE)), ""=4"") + COUNTIF(ARRAYFORMULA(HLOOKUP($B74, IMPORTRANGE('Prelim Rankings Unsorted'!$B$42, CONCAT(VLOOKUP($C74, 'Match Names'!$A$1:$D$22, 4, FALSE)"&amp;", ""!C3:R29"")), {4;10;16;22}, FALSE)), ""=4"") + COUNTIF(ARRAYFORMULA(HLOOKUP($B74, IMPORTRANGE('Match Names'!$E$23, CONCAT(VLOOKUP($C74, 'Match Names'!$1:$22, 5, FALSE), ""!C3:R29"")), {5;10;15;20}, FALSE)), ""=4"") + COUNTIF(ARRAYFORMULA(HLOOKUP($B74, "&amp;"IMPORTRANGE('Match Names'!$F$23, CONCAT(VLOOKUP($C74, 'Match Names'!$1:$22, 6, FALSE), ""!C3:R29"")), {4;10;16;22}, FALSE)), ""=4"") + COUNTIF(ARRAYFORMULA(HLOOKUP($B74, IMPORTRANGE('Match Names'!$G$23, CONCAT(VLOOKUP($C74, 'Match Names'!$1:$22, 7, FALSE)"&amp;", ""!C3:R29"")), {4;9;13;19}, FALSE)), ""=4"") + COUNTIF(ARRAYFORMULA(HLOOKUP($B74, IMPORTRANGE('Match Names'!$H$23, CONCAT(VLOOKUP($C74, 'Match Names'!$1:$22, 8, FALSE), ""!C3:R29"")), {3;9;15;21}, FALSE)), ""=4"")"),1.0)</f>
        <v>1</v>
      </c>
      <c r="F74" s="32">
        <f>IFERROR(__xludf.DUMMYFUNCTION("COUNTIF(ARRAYFORMULA(HLOOKUP($B74, IMPORTRANGE('Prelim Rankings Unsorted'!$B$40, CONCAT(VLOOKUP($C74, 'Match Names'!$A$1:$D$22, 2, FALSE), ""!C3:R29"")), {5;10;16;22}, FALSE)), ""=0"") + COUNTIF(ARRAYFORMULA(HLOOKUP($B74, IMPORTRANGE('Prelim Rankings Unso"&amp;"rted'!$B$41, CONCAT(VLOOKUP($C74, 'Match Names'!$A$1:$D$22, 3, FALSE), ""!C3:R29"")), {2;8;14;20}, FALSE)), ""=0"") + COUNTIF(ARRAYFORMULA(HLOOKUP($B74, IMPORTRANGE('Prelim Rankings Unsorted'!$B$42, CONCAT(VLOOKUP($C74, 'Match Names'!$A$1:$D$22, 4, FALSE)"&amp;", ""!C3:R29"")), {4;10;16;22}, FALSE)), ""=0"") + COUNTIF(ARRAYFORMULA(HLOOKUP($B74, IMPORTRANGE('Match Names'!$E$23, CONCAT(VLOOKUP($C74, 'Match Names'!$1:$22, 5, FALSE), ""!C3:R29"")), {5;10;15;20}, FALSE)), ""=0"") + COUNTIF(ARRAYFORMULA(HLOOKUP($B74, "&amp;"IMPORTRANGE('Match Names'!$F$23, CONCAT(VLOOKUP($C74, 'Match Names'!$1:$22, 6, FALSE), ""!C3:R29"")), {4;10;16;22}, FALSE)), ""=0"") + COUNTIF(ARRAYFORMULA(HLOOKUP($B74, IMPORTRANGE('Match Names'!$G$23, CONCAT(VLOOKUP($C74, 'Match Names'!$1:$22, 7, FALSE)"&amp;", ""!C3:R29"")), {4;9;13;19}, FALSE)), ""=0"") + COUNTIF(ARRAYFORMULA(HLOOKUP($B74, IMPORTRANGE('Match Names'!$H$23, CONCAT(VLOOKUP($C74, 'Match Names'!$1:$22, 8, FALSE), ""!C3:R29"")), {3;9;15;21}, FALSE)), ""=0"")"),4.0)</f>
        <v>4</v>
      </c>
      <c r="G74" s="32">
        <f>IFERROR(__xludf.DUMMYFUNCTION("COUNTIF(ARRAYFORMULA(HLOOKUP($B74, IMPORTRANGE('Prelim Rankings Unsorted'!$B$40, CONCAT(VLOOKUP($C74, 'Match Names'!$A$1:$D$22, 2, FALSE), ""!C3:R29"")), {5;10;16;22}, FALSE)), ""=-4"") + COUNTIF(ARRAYFORMULA(HLOOKUP($B74, IMPORTRANGE('Prelim Rankings Uns"&amp;"orted'!$B$41, CONCAT(VLOOKUP($C74, 'Match Names'!$A$1:$D$22, 3, FALSE), ""!C3:R29"")), {2;8;14;20}, FALSE)), ""=-4"") + COUNTIF(ARRAYFORMULA(HLOOKUP($B74, IMPORTRANGE('Prelim Rankings Unsorted'!$B$42, CONCAT(VLOOKUP($C74, 'Match Names'!$A$1:$D$22, 4, FALS"&amp;"E), ""!C3:R29"")), {4;10;16;22}, FALSE)), ""=-4"") + COUNTIF(ARRAYFORMULA(HLOOKUP($B74, IMPORTRANGE('Match Names'!$E$23, CONCAT(VLOOKUP($C74, 'Match Names'!$1:$22, 5, FALSE), ""!C3:R29"")), {5;10;15;20}, FALSE)), ""=-4"") + COUNTIF(ARRAYFORMULA(HLOOKUP($B"&amp;"74, IMPORTRANGE('Match Names'!$F$23, CONCAT(VLOOKUP($C74, 'Match Names'!$1:$22, 6, FALSE), ""!C3:R29"")), {4;10;16;22}, FALSE)), ""=-4"") + COUNTIF(ARRAYFORMULA(HLOOKUP($B74, IMPORTRANGE('Match Names'!$G$23, CONCAT(VLOOKUP($C74, 'Match Names'!$1:$22, 7, F"&amp;"ALSE), ""!C3:R29"")), {4;9;13;19}, FALSE)), ""=-4"") + COUNTIF(ARRAYFORMULA(HLOOKUP($B74, IMPORTRANGE('Match Names'!$H$23, CONCAT(VLOOKUP($C74, 'Match Names'!$1:$22, 8, FALSE), ""!C3:R29"")), {3;9;15;21}, FALSE)), ""=-4"")"),0.0)</f>
        <v>0</v>
      </c>
      <c r="H74" s="33">
        <f t="shared" si="1"/>
        <v>1.14</v>
      </c>
    </row>
    <row r="75">
      <c r="A75" s="21" t="s">
        <v>52</v>
      </c>
      <c r="B75" s="31" t="str">
        <f>VLOOKUP(CONCAT(A75, C75), 'Discord Username to Real Name'!C:D, 2, FALSE)</f>
        <v>cindyhlu#0060</v>
      </c>
      <c r="C75" s="21" t="s">
        <v>24</v>
      </c>
      <c r="D75" s="32">
        <f>IFERROR(__xludf.DUMMYFUNCTION("(4 - COUNTIF(IFERROR(ARRAYFORMULA(HLOOKUP($B75, IMPORTRANGE('Prelim Rankings Unsorted'!$B$40, CONCAT(VLOOKUP($C75, 'Match Names'!$A$1:$D$22, 2, FALSE), ""!C3:R29"")), {5;10;16;22}, FALSE)), 'Player Overall Stats Unsorted'!$AA$9:$AA$12), ""=X"")) + (4 - CO"&amp;"UNTIF(IFERROR(ARRAYFORMULA(HLOOKUP($B75, IMPORTRANGE('Prelim Rankings Unsorted'!$B$41, CONCAT(VLOOKUP($C75, 'Match Names'!$A$1:$D$22, 3, FALSE), ""!C3:R29"")), {2;8;14;20}, FALSE)), 'Player Overall Stats Unsorted'!$AA$9:$AA$12), ""=X"")) + (4 - COUNTIF(IF"&amp;"ERROR(ARRAYFORMULA(HLOOKUP($B75, IMPORTRANGE('Prelim Rankings Unsorted'!$B$42, CONCAT(VLOOKUP($C75, 'Match Names'!$A$1:$D$22, 4, FALSE), ""!C3:R29"")), {4;10;16;22}, FALSE)), 'Player Overall Stats Unsorted'!$AA$9:$AA$12), ""=X"")) + (4 - COUNTIF(IFERROR(A"&amp;"RRAYFORMULA(HLOOKUP($B75, IMPORTRANGE('Match Names'!$E$23, CONCAT(VLOOKUP($C75, 'Match Names'!$1:$22, 5, FALSE), ""!C3:R29"")), {5;10;15;20}, FALSE)), 'Player Overall Stats Unsorted'!$AA$9:$AA$12), ""=X"")) + (4 - COUNTIF(IFERROR(ARRAYFORMULA(HLOOKUP($B75"&amp;", IMPORTRANGE('Match Names'!$F$23, CONCAT(VLOOKUP($C75, 'Match Names'!$1:$22, 6, FALSE), ""!C3:R29"")), {4;10;16;22}, FALSE)), 'Player Overall Stats Unsorted'!$AA$9:$AA$12), ""=X"")) + (4 - COUNTIF(IFERROR(ARRAYFORMULA(HLOOKUP($B75, IMPORTRANGE('Match Nam"&amp;"es'!$G$23, CONCAT(VLOOKUP($C75, 'Match Names'!$1:$22, 7, FALSE), ""!C3:R29"")), {4;9;13;19}, FALSE)), 'Player Overall Stats Unsorted'!$AA$9:$AA$12), ""=X"")) + (4 - COUNTIF(IFERROR(ARRAYFORMULA(HLOOKUP($B75, IMPORTRANGE('Match Names'!$H$23, CONCAT(VLOOKUP"&amp;"($C75, 'Match Names'!$1:$22, 8, FALSE), ""!C3:R29"")), {3;9;15;21}, FALSE)), 'Player Overall Stats Unsorted'!$AA$9:$AA$12), ""=X""))"),14.0)</f>
        <v>14</v>
      </c>
      <c r="E75" s="32">
        <f>IFERROR(__xludf.DUMMYFUNCTION("COUNTIF(ARRAYFORMULA(HLOOKUP($B75, IMPORTRANGE('Prelim Rankings Unsorted'!$B$40, CONCAT(VLOOKUP($C75, 'Match Names'!$A$1:$D$22, 2, FALSE), ""!C3:R29"")), {5;10;16;22}, FALSE)), ""=4"") + COUNTIF(ARRAYFORMULA(HLOOKUP($B75, IMPORTRANGE('Prelim Rankings Unso"&amp;"rted'!$B$41, CONCAT(VLOOKUP($C75, 'Match Names'!$A$1:$D$22, 3, FALSE), ""!C3:R29"")), {2;8;14;20}, FALSE)), ""=4"") + COUNTIF(ARRAYFORMULA(HLOOKUP($B75, IMPORTRANGE('Prelim Rankings Unsorted'!$B$42, CONCAT(VLOOKUP($C75, 'Match Names'!$A$1:$D$22, 4, FALSE)"&amp;", ""!C3:R29"")), {4;10;16;22}, FALSE)), ""=4"") + COUNTIF(ARRAYFORMULA(HLOOKUP($B75, IMPORTRANGE('Match Names'!$E$23, CONCAT(VLOOKUP($C75, 'Match Names'!$1:$22, 5, FALSE), ""!C3:R29"")), {5;10;15;20}, FALSE)), ""=4"") + COUNTIF(ARRAYFORMULA(HLOOKUP($B75, "&amp;"IMPORTRANGE('Match Names'!$F$23, CONCAT(VLOOKUP($C75, 'Match Names'!$1:$22, 6, FALSE), ""!C3:R29"")), {4;10;16;22}, FALSE)), ""=4"") + COUNTIF(ARRAYFORMULA(HLOOKUP($B75, IMPORTRANGE('Match Names'!$G$23, CONCAT(VLOOKUP($C75, 'Match Names'!$1:$22, 7, FALSE)"&amp;", ""!C3:R29"")), {4;9;13;19}, FALSE)), ""=4"") + COUNTIF(ARRAYFORMULA(HLOOKUP($B75, IMPORTRANGE('Match Names'!$H$23, CONCAT(VLOOKUP($C75, 'Match Names'!$1:$22, 8, FALSE), ""!C3:R29"")), {3;9;15;21}, FALSE)), ""=4"")"),0.0)</f>
        <v>0</v>
      </c>
      <c r="F75" s="32">
        <f>IFERROR(__xludf.DUMMYFUNCTION("COUNTIF(ARRAYFORMULA(HLOOKUP($B75, IMPORTRANGE('Prelim Rankings Unsorted'!$B$40, CONCAT(VLOOKUP($C75, 'Match Names'!$A$1:$D$22, 2, FALSE), ""!C3:R29"")), {5;10;16;22}, FALSE)), ""=0"") + COUNTIF(ARRAYFORMULA(HLOOKUP($B75, IMPORTRANGE('Prelim Rankings Unso"&amp;"rted'!$B$41, CONCAT(VLOOKUP($C75, 'Match Names'!$A$1:$D$22, 3, FALSE), ""!C3:R29"")), {2;8;14;20}, FALSE)), ""=0"") + COUNTIF(ARRAYFORMULA(HLOOKUP($B75, IMPORTRANGE('Prelim Rankings Unsorted'!$B$42, CONCAT(VLOOKUP($C75, 'Match Names'!$A$1:$D$22, 4, FALSE)"&amp;", ""!C3:R29"")), {4;10;16;22}, FALSE)), ""=0"") + COUNTIF(ARRAYFORMULA(HLOOKUP($B75, IMPORTRANGE('Match Names'!$E$23, CONCAT(VLOOKUP($C75, 'Match Names'!$1:$22, 5, FALSE), ""!C3:R29"")), {5;10;15;20}, FALSE)), ""=0"") + COUNTIF(ARRAYFORMULA(HLOOKUP($B75, "&amp;"IMPORTRANGE('Match Names'!$F$23, CONCAT(VLOOKUP($C75, 'Match Names'!$1:$22, 6, FALSE), ""!C3:R29"")), {4;10;16;22}, FALSE)), ""=0"") + COUNTIF(ARRAYFORMULA(HLOOKUP($B75, IMPORTRANGE('Match Names'!$G$23, CONCAT(VLOOKUP($C75, 'Match Names'!$1:$22, 7, FALSE)"&amp;", ""!C3:R29"")), {4;9;13;19}, FALSE)), ""=0"") + COUNTIF(ARRAYFORMULA(HLOOKUP($B75, IMPORTRANGE('Match Names'!$H$23, CONCAT(VLOOKUP($C75, 'Match Names'!$1:$22, 8, FALSE), ""!C3:R29"")), {3;9;15;21}, FALSE)), ""=0"")"),0.0)</f>
        <v>0</v>
      </c>
      <c r="G75" s="32">
        <f>IFERROR(__xludf.DUMMYFUNCTION("COUNTIF(ARRAYFORMULA(HLOOKUP($B75, IMPORTRANGE('Prelim Rankings Unsorted'!$B$40, CONCAT(VLOOKUP($C75, 'Match Names'!$A$1:$D$22, 2, FALSE), ""!C3:R29"")), {5;10;16;22}, FALSE)), ""=-4"") + COUNTIF(ARRAYFORMULA(HLOOKUP($B75, IMPORTRANGE('Prelim Rankings Uns"&amp;"orted'!$B$41, CONCAT(VLOOKUP($C75, 'Match Names'!$A$1:$D$22, 3, FALSE), ""!C3:R29"")), {2;8;14;20}, FALSE)), ""=-4"") + COUNTIF(ARRAYFORMULA(HLOOKUP($B75, IMPORTRANGE('Prelim Rankings Unsorted'!$B$42, CONCAT(VLOOKUP($C75, 'Match Names'!$A$1:$D$22, 4, FALS"&amp;"E), ""!C3:R29"")), {4;10;16;22}, FALSE)), ""=-4"") + COUNTIF(ARRAYFORMULA(HLOOKUP($B75, IMPORTRANGE('Match Names'!$E$23, CONCAT(VLOOKUP($C75, 'Match Names'!$1:$22, 5, FALSE), ""!C3:R29"")), {5;10;15;20}, FALSE)), ""=-4"") + COUNTIF(ARRAYFORMULA(HLOOKUP($B"&amp;"75, IMPORTRANGE('Match Names'!$F$23, CONCAT(VLOOKUP($C75, 'Match Names'!$1:$22, 6, FALSE), ""!C3:R29"")), {4;10;16;22}, FALSE)), ""=-4"") + COUNTIF(ARRAYFORMULA(HLOOKUP($B75, IMPORTRANGE('Match Names'!$G$23, CONCAT(VLOOKUP($C75, 'Match Names'!$1:$22, 7, F"&amp;"ALSE), ""!C3:R29"")), {4;9;13;19}, FALSE)), ""=-4"") + COUNTIF(ARRAYFORMULA(HLOOKUP($B75, IMPORTRANGE('Match Names'!$H$23, CONCAT(VLOOKUP($C75, 'Match Names'!$1:$22, 8, FALSE), ""!C3:R29"")), {3;9;15;21}, FALSE)), ""=-4"")"),0.0)</f>
        <v>0</v>
      </c>
      <c r="H75" s="33">
        <f t="shared" si="1"/>
        <v>0</v>
      </c>
    </row>
    <row r="76">
      <c r="A76" s="21" t="s">
        <v>13</v>
      </c>
      <c r="B76" s="31" t="str">
        <f>VLOOKUP(CONCAT(A76, C76), 'Discord Username to Real Name'!C:D, 2, FALSE)</f>
        <v>alienated#7505</v>
      </c>
      <c r="C76" s="21" t="s">
        <v>24</v>
      </c>
      <c r="D76" s="32">
        <f>IFERROR(__xludf.DUMMYFUNCTION("(4 - COUNTIF(IFERROR(ARRAYFORMULA(HLOOKUP($B76, IMPORTRANGE('Prelim Rankings Unsorted'!$B$40, CONCAT(VLOOKUP($C76, 'Match Names'!$A$1:$D$22, 2, FALSE), ""!C3:R29"")), {5;10;16;22}, FALSE)), 'Player Overall Stats Unsorted'!$AA$9:$AA$12), ""=X"")) + (4 - CO"&amp;"UNTIF(IFERROR(ARRAYFORMULA(HLOOKUP($B76, IMPORTRANGE('Prelim Rankings Unsorted'!$B$41, CONCAT(VLOOKUP($C76, 'Match Names'!$A$1:$D$22, 3, FALSE), ""!C3:R29"")), {2;8;14;20}, FALSE)), 'Player Overall Stats Unsorted'!$AA$9:$AA$12), ""=X"")) + (4 - COUNTIF(IF"&amp;"ERROR(ARRAYFORMULA(HLOOKUP($B76, IMPORTRANGE('Prelim Rankings Unsorted'!$B$42, CONCAT(VLOOKUP($C76, 'Match Names'!$A$1:$D$22, 4, FALSE), ""!C3:R29"")), {4;10;16;22}, FALSE)), 'Player Overall Stats Unsorted'!$AA$9:$AA$12), ""=X"")) + (4 - COUNTIF(IFERROR(A"&amp;"RRAYFORMULA(HLOOKUP($B76, IMPORTRANGE('Match Names'!$E$23, CONCAT(VLOOKUP($C76, 'Match Names'!$1:$22, 5, FALSE), ""!C3:R29"")), {5;10;15;20}, FALSE)), 'Player Overall Stats Unsorted'!$AA$9:$AA$12), ""=X"")) + (4 - COUNTIF(IFERROR(ARRAYFORMULA(HLOOKUP($B76"&amp;", IMPORTRANGE('Match Names'!$F$23, CONCAT(VLOOKUP($C76, 'Match Names'!$1:$22, 6, FALSE), ""!C3:R29"")), {4;10;16;22}, FALSE)), 'Player Overall Stats Unsorted'!$AA$9:$AA$12), ""=X"")) + (4 - COUNTIF(IFERROR(ARRAYFORMULA(HLOOKUP($B76, IMPORTRANGE('Match Nam"&amp;"es'!$G$23, CONCAT(VLOOKUP($C76, 'Match Names'!$1:$22, 7, FALSE), ""!C3:R29"")), {4;9;13;19}, FALSE)), 'Player Overall Stats Unsorted'!$AA$9:$AA$12), ""=X"")) + (4 - COUNTIF(IFERROR(ARRAYFORMULA(HLOOKUP($B76, IMPORTRANGE('Match Names'!$H$23, CONCAT(VLOOKUP"&amp;"($C76, 'Match Names'!$1:$22, 8, FALSE), ""!C3:R29"")), {3;9;15;21}, FALSE)), 'Player Overall Stats Unsorted'!$AA$9:$AA$12), ""=X""))"),16.0)</f>
        <v>16</v>
      </c>
      <c r="E76" s="32">
        <f>IFERROR(__xludf.DUMMYFUNCTION("COUNTIF(ARRAYFORMULA(HLOOKUP($B76, IMPORTRANGE('Prelim Rankings Unsorted'!$B$40, CONCAT(VLOOKUP($C76, 'Match Names'!$A$1:$D$22, 2, FALSE), ""!C3:R29"")), {5;10;16;22}, FALSE)), ""=4"") + COUNTIF(ARRAYFORMULA(HLOOKUP($B76, IMPORTRANGE('Prelim Rankings Unso"&amp;"rted'!$B$41, CONCAT(VLOOKUP($C76, 'Match Names'!$A$1:$D$22, 3, FALSE), ""!C3:R29"")), {2;8;14;20}, FALSE)), ""=4"") + COUNTIF(ARRAYFORMULA(HLOOKUP($B76, IMPORTRANGE('Prelim Rankings Unsorted'!$B$42, CONCAT(VLOOKUP($C76, 'Match Names'!$A$1:$D$22, 4, FALSE)"&amp;", ""!C3:R29"")), {4;10;16;22}, FALSE)), ""=4"") + COUNTIF(ARRAYFORMULA(HLOOKUP($B76, IMPORTRANGE('Match Names'!$E$23, CONCAT(VLOOKUP($C76, 'Match Names'!$1:$22, 5, FALSE), ""!C3:R29"")), {5;10;15;20}, FALSE)), ""=4"") + COUNTIF(ARRAYFORMULA(HLOOKUP($B76, "&amp;"IMPORTRANGE('Match Names'!$F$23, CONCAT(VLOOKUP($C76, 'Match Names'!$1:$22, 6, FALSE), ""!C3:R29"")), {4;10;16;22}, FALSE)), ""=4"") + COUNTIF(ARRAYFORMULA(HLOOKUP($B76, IMPORTRANGE('Match Names'!$G$23, CONCAT(VLOOKUP($C76, 'Match Names'!$1:$22, 7, FALSE)"&amp;", ""!C3:R29"")), {4;9;13;19}, FALSE)), ""=4"") + COUNTIF(ARRAYFORMULA(HLOOKUP($B76, IMPORTRANGE('Match Names'!$H$23, CONCAT(VLOOKUP($C76, 'Match Names'!$1:$22, 8, FALSE), ""!C3:R29"")), {3;9;15;21}, FALSE)), ""=4"")"),1.0)</f>
        <v>1</v>
      </c>
      <c r="F76" s="32">
        <f>IFERROR(__xludf.DUMMYFUNCTION("COUNTIF(ARRAYFORMULA(HLOOKUP($B76, IMPORTRANGE('Prelim Rankings Unsorted'!$B$40, CONCAT(VLOOKUP($C76, 'Match Names'!$A$1:$D$22, 2, FALSE), ""!C3:R29"")), {5;10;16;22}, FALSE)), ""=0"") + COUNTIF(ARRAYFORMULA(HLOOKUP($B76, IMPORTRANGE('Prelim Rankings Unso"&amp;"rted'!$B$41, CONCAT(VLOOKUP($C76, 'Match Names'!$A$1:$D$22, 3, FALSE), ""!C3:R29"")), {2;8;14;20}, FALSE)), ""=0"") + COUNTIF(ARRAYFORMULA(HLOOKUP($B76, IMPORTRANGE('Prelim Rankings Unsorted'!$B$42, CONCAT(VLOOKUP($C76, 'Match Names'!$A$1:$D$22, 4, FALSE)"&amp;", ""!C3:R29"")), {4;10;16;22}, FALSE)), ""=0"") + COUNTIF(ARRAYFORMULA(HLOOKUP($B76, IMPORTRANGE('Match Names'!$E$23, CONCAT(VLOOKUP($C76, 'Match Names'!$1:$22, 5, FALSE), ""!C3:R29"")), {5;10;15;20}, FALSE)), ""=0"") + COUNTIF(ARRAYFORMULA(HLOOKUP($B76, "&amp;"IMPORTRANGE('Match Names'!$F$23, CONCAT(VLOOKUP($C76, 'Match Names'!$1:$22, 6, FALSE), ""!C3:R29"")), {4;10;16;22}, FALSE)), ""=0"") + COUNTIF(ARRAYFORMULA(HLOOKUP($B76, IMPORTRANGE('Match Names'!$G$23, CONCAT(VLOOKUP($C76, 'Match Names'!$1:$22, 7, FALSE)"&amp;", ""!C3:R29"")), {4;9;13;19}, FALSE)), ""=0"") + COUNTIF(ARRAYFORMULA(HLOOKUP($B76, IMPORTRANGE('Match Names'!$H$23, CONCAT(VLOOKUP($C76, 'Match Names'!$1:$22, 8, FALSE), ""!C3:R29"")), {3;9;15;21}, FALSE)), ""=0"")"),0.0)</f>
        <v>0</v>
      </c>
      <c r="G76" s="32">
        <f>IFERROR(__xludf.DUMMYFUNCTION("COUNTIF(ARRAYFORMULA(HLOOKUP($B76, IMPORTRANGE('Prelim Rankings Unsorted'!$B$40, CONCAT(VLOOKUP($C76, 'Match Names'!$A$1:$D$22, 2, FALSE), ""!C3:R29"")), {5;10;16;22}, FALSE)), ""=-4"") + COUNTIF(ARRAYFORMULA(HLOOKUP($B76, IMPORTRANGE('Prelim Rankings Uns"&amp;"orted'!$B$41, CONCAT(VLOOKUP($C76, 'Match Names'!$A$1:$D$22, 3, FALSE), ""!C3:R29"")), {2;8;14;20}, FALSE)), ""=-4"") + COUNTIF(ARRAYFORMULA(HLOOKUP($B76, IMPORTRANGE('Prelim Rankings Unsorted'!$B$42, CONCAT(VLOOKUP($C76, 'Match Names'!$A$1:$D$22, 4, FALS"&amp;"E), ""!C3:R29"")), {4;10;16;22}, FALSE)), ""=-4"") + COUNTIF(ARRAYFORMULA(HLOOKUP($B76, IMPORTRANGE('Match Names'!$E$23, CONCAT(VLOOKUP($C76, 'Match Names'!$1:$22, 5, FALSE), ""!C3:R29"")), {5;10;15;20}, FALSE)), ""=-4"") + COUNTIF(ARRAYFORMULA(HLOOKUP($B"&amp;"76, IMPORTRANGE('Match Names'!$F$23, CONCAT(VLOOKUP($C76, 'Match Names'!$1:$22, 6, FALSE), ""!C3:R29"")), {4;10;16;22}, FALSE)), ""=-4"") + COUNTIF(ARRAYFORMULA(HLOOKUP($B76, IMPORTRANGE('Match Names'!$G$23, CONCAT(VLOOKUP($C76, 'Match Names'!$1:$22, 7, F"&amp;"ALSE), ""!C3:R29"")), {4;9;13;19}, FALSE)), ""=-4"") + COUNTIF(ARRAYFORMULA(HLOOKUP($B76, IMPORTRANGE('Match Names'!$H$23, CONCAT(VLOOKUP($C76, 'Match Names'!$1:$22, 8, FALSE), ""!C3:R29"")), {3;9;15;21}, FALSE)), ""=-4"")"),0.0)</f>
        <v>0</v>
      </c>
      <c r="H76" s="33">
        <f t="shared" si="1"/>
        <v>1</v>
      </c>
    </row>
    <row r="77">
      <c r="A77" s="21" t="s">
        <v>155</v>
      </c>
      <c r="B77" s="31" t="str">
        <f>VLOOKUP(CONCAT(A77, C77), 'Discord Username to Real Name'!C:D, 2, FALSE)</f>
        <v>xplt#4416</v>
      </c>
      <c r="C77" s="21" t="s">
        <v>24</v>
      </c>
      <c r="D77" s="32">
        <f>IFERROR(__xludf.DUMMYFUNCTION("(4 - COUNTIF(IFERROR(ARRAYFORMULA(HLOOKUP($B77, IMPORTRANGE('Prelim Rankings Unsorted'!$B$40, CONCAT(VLOOKUP($C77, 'Match Names'!$A$1:$D$22, 2, FALSE), ""!C3:R29"")), {5;10;16;22}, FALSE)), 'Player Overall Stats Unsorted'!$AA$9:$AA$12), ""=X"")) + (4 - CO"&amp;"UNTIF(IFERROR(ARRAYFORMULA(HLOOKUP($B77, IMPORTRANGE('Prelim Rankings Unsorted'!$B$41, CONCAT(VLOOKUP($C77, 'Match Names'!$A$1:$D$22, 3, FALSE), ""!C3:R29"")), {2;8;14;20}, FALSE)), 'Player Overall Stats Unsorted'!$AA$9:$AA$12), ""=X"")) + (4 - COUNTIF(IF"&amp;"ERROR(ARRAYFORMULA(HLOOKUP($B77, IMPORTRANGE('Prelim Rankings Unsorted'!$B$42, CONCAT(VLOOKUP($C77, 'Match Names'!$A$1:$D$22, 4, FALSE), ""!C3:R29"")), {4;10;16;22}, FALSE)), 'Player Overall Stats Unsorted'!$AA$9:$AA$12), ""=X"")) + (4 - COUNTIF(IFERROR(A"&amp;"RRAYFORMULA(HLOOKUP($B77, IMPORTRANGE('Match Names'!$E$23, CONCAT(VLOOKUP($C77, 'Match Names'!$1:$22, 5, FALSE), ""!C3:R29"")), {5;10;15;20}, FALSE)), 'Player Overall Stats Unsorted'!$AA$9:$AA$12), ""=X"")) + (4 - COUNTIF(IFERROR(ARRAYFORMULA(HLOOKUP($B77"&amp;", IMPORTRANGE('Match Names'!$F$23, CONCAT(VLOOKUP($C77, 'Match Names'!$1:$22, 6, FALSE), ""!C3:R29"")), {4;10;16;22}, FALSE)), 'Player Overall Stats Unsorted'!$AA$9:$AA$12), ""=X"")) + (4 - COUNTIF(IFERROR(ARRAYFORMULA(HLOOKUP($B77, IMPORTRANGE('Match Nam"&amp;"es'!$G$23, CONCAT(VLOOKUP($C77, 'Match Names'!$1:$22, 7, FALSE), ""!C3:R29"")), {4;9;13;19}, FALSE)), 'Player Overall Stats Unsorted'!$AA$9:$AA$12), ""=X"")) + (4 - COUNTIF(IFERROR(ARRAYFORMULA(HLOOKUP($B77, IMPORTRANGE('Match Names'!$H$23, CONCAT(VLOOKUP"&amp;"($C77, 'Match Names'!$1:$22, 8, FALSE), ""!C3:R29"")), {3;9;15;21}, FALSE)), 'Player Overall Stats Unsorted'!$AA$9:$AA$12), ""=X""))"),16.0)</f>
        <v>16</v>
      </c>
      <c r="E77" s="32">
        <f>IFERROR(__xludf.DUMMYFUNCTION("COUNTIF(ARRAYFORMULA(HLOOKUP($B77, IMPORTRANGE('Prelim Rankings Unsorted'!$B$40, CONCAT(VLOOKUP($C77, 'Match Names'!$A$1:$D$22, 2, FALSE), ""!C3:R29"")), {5;10;16;22}, FALSE)), ""=4"") + COUNTIF(ARRAYFORMULA(HLOOKUP($B77, IMPORTRANGE('Prelim Rankings Unso"&amp;"rted'!$B$41, CONCAT(VLOOKUP($C77, 'Match Names'!$A$1:$D$22, 3, FALSE), ""!C3:R29"")), {2;8;14;20}, FALSE)), ""=4"") + COUNTIF(ARRAYFORMULA(HLOOKUP($B77, IMPORTRANGE('Prelim Rankings Unsorted'!$B$42, CONCAT(VLOOKUP($C77, 'Match Names'!$A$1:$D$22, 4, FALSE)"&amp;", ""!C3:R29"")), {4;10;16;22}, FALSE)), ""=4"") + COUNTIF(ARRAYFORMULA(HLOOKUP($B77, IMPORTRANGE('Match Names'!$E$23, CONCAT(VLOOKUP($C77, 'Match Names'!$1:$22, 5, FALSE), ""!C3:R29"")), {5;10;15;20}, FALSE)), ""=4"") + COUNTIF(ARRAYFORMULA(HLOOKUP($B77, "&amp;"IMPORTRANGE('Match Names'!$F$23, CONCAT(VLOOKUP($C77, 'Match Names'!$1:$22, 6, FALSE), ""!C3:R29"")), {4;10;16;22}, FALSE)), ""=4"") + COUNTIF(ARRAYFORMULA(HLOOKUP($B77, IMPORTRANGE('Match Names'!$G$23, CONCAT(VLOOKUP($C77, 'Match Names'!$1:$22, 7, FALSE)"&amp;", ""!C3:R29"")), {4;9;13;19}, FALSE)), ""=4"") + COUNTIF(ARRAYFORMULA(HLOOKUP($B77, IMPORTRANGE('Match Names'!$H$23, CONCAT(VLOOKUP($C77, 'Match Names'!$1:$22, 8, FALSE), ""!C3:R29"")), {3;9;15;21}, FALSE)), ""=4"")"),0.0)</f>
        <v>0</v>
      </c>
      <c r="F77" s="32">
        <f>IFERROR(__xludf.DUMMYFUNCTION("COUNTIF(ARRAYFORMULA(HLOOKUP($B77, IMPORTRANGE('Prelim Rankings Unsorted'!$B$40, CONCAT(VLOOKUP($C77, 'Match Names'!$A$1:$D$22, 2, FALSE), ""!C3:R29"")), {5;10;16;22}, FALSE)), ""=0"") + COUNTIF(ARRAYFORMULA(HLOOKUP($B77, IMPORTRANGE('Prelim Rankings Unso"&amp;"rted'!$B$41, CONCAT(VLOOKUP($C77, 'Match Names'!$A$1:$D$22, 3, FALSE), ""!C3:R29"")), {2;8;14;20}, FALSE)), ""=0"") + COUNTIF(ARRAYFORMULA(HLOOKUP($B77, IMPORTRANGE('Prelim Rankings Unsorted'!$B$42, CONCAT(VLOOKUP($C77, 'Match Names'!$A$1:$D$22, 4, FALSE)"&amp;", ""!C3:R29"")), {4;10;16;22}, FALSE)), ""=0"") + COUNTIF(ARRAYFORMULA(HLOOKUP($B77, IMPORTRANGE('Match Names'!$E$23, CONCAT(VLOOKUP($C77, 'Match Names'!$1:$22, 5, FALSE), ""!C3:R29"")), {5;10;15;20}, FALSE)), ""=0"") + COUNTIF(ARRAYFORMULA(HLOOKUP($B77, "&amp;"IMPORTRANGE('Match Names'!$F$23, CONCAT(VLOOKUP($C77, 'Match Names'!$1:$22, 6, FALSE), ""!C3:R29"")), {4;10;16;22}, FALSE)), ""=0"") + COUNTIF(ARRAYFORMULA(HLOOKUP($B77, IMPORTRANGE('Match Names'!$G$23, CONCAT(VLOOKUP($C77, 'Match Names'!$1:$22, 7, FALSE)"&amp;", ""!C3:R29"")), {4;9;13;19}, FALSE)), ""=0"") + COUNTIF(ARRAYFORMULA(HLOOKUP($B77, IMPORTRANGE('Match Names'!$H$23, CONCAT(VLOOKUP($C77, 'Match Names'!$1:$22, 8, FALSE), ""!C3:R29"")), {3;9;15;21}, FALSE)), ""=0"")"),0.0)</f>
        <v>0</v>
      </c>
      <c r="G77" s="32">
        <f>IFERROR(__xludf.DUMMYFUNCTION("COUNTIF(ARRAYFORMULA(HLOOKUP($B77, IMPORTRANGE('Prelim Rankings Unsorted'!$B$40, CONCAT(VLOOKUP($C77, 'Match Names'!$A$1:$D$22, 2, FALSE), ""!C3:R29"")), {5;10;16;22}, FALSE)), ""=-4"") + COUNTIF(ARRAYFORMULA(HLOOKUP($B77, IMPORTRANGE('Prelim Rankings Uns"&amp;"orted'!$B$41, CONCAT(VLOOKUP($C77, 'Match Names'!$A$1:$D$22, 3, FALSE), ""!C3:R29"")), {2;8;14;20}, FALSE)), ""=-4"") + COUNTIF(ARRAYFORMULA(HLOOKUP($B77, IMPORTRANGE('Prelim Rankings Unsorted'!$B$42, CONCAT(VLOOKUP($C77, 'Match Names'!$A$1:$D$22, 4, FALS"&amp;"E), ""!C3:R29"")), {4;10;16;22}, FALSE)), ""=-4"") + COUNTIF(ARRAYFORMULA(HLOOKUP($B77, IMPORTRANGE('Match Names'!$E$23, CONCAT(VLOOKUP($C77, 'Match Names'!$1:$22, 5, FALSE), ""!C3:R29"")), {5;10;15;20}, FALSE)), ""=-4"") + COUNTIF(ARRAYFORMULA(HLOOKUP($B"&amp;"77, IMPORTRANGE('Match Names'!$F$23, CONCAT(VLOOKUP($C77, 'Match Names'!$1:$22, 6, FALSE), ""!C3:R29"")), {4;10;16;22}, FALSE)), ""=-4"") + COUNTIF(ARRAYFORMULA(HLOOKUP($B77, IMPORTRANGE('Match Names'!$G$23, CONCAT(VLOOKUP($C77, 'Match Names'!$1:$22, 7, F"&amp;"ALSE), ""!C3:R29"")), {4;9;13;19}, FALSE)), ""=-4"") + COUNTIF(ARRAYFORMULA(HLOOKUP($B77, IMPORTRANGE('Match Names'!$H$23, CONCAT(VLOOKUP($C77, 'Match Names'!$1:$22, 8, FALSE), ""!C3:R29"")), {3;9;15;21}, FALSE)), ""=-4"")"),0.0)</f>
        <v>0</v>
      </c>
      <c r="H77" s="33">
        <f t="shared" si="1"/>
        <v>0</v>
      </c>
    </row>
    <row r="78">
      <c r="A78" s="21" t="s">
        <v>150</v>
      </c>
      <c r="B78" s="31" t="str">
        <f>VLOOKUP(CONCAT(A78, C78), 'Discord Username to Real Name'!C:D, 2, FALSE)</f>
        <v>aaron0109#6251</v>
      </c>
      <c r="C78" s="21" t="s">
        <v>23</v>
      </c>
      <c r="D78" s="32">
        <f>IFERROR(__xludf.DUMMYFUNCTION("(4 - COUNTIF(IFERROR(ARRAYFORMULA(HLOOKUP($B78, IMPORTRANGE('Prelim Rankings Unsorted'!$B$40, CONCAT(VLOOKUP($C78, 'Match Names'!$A$1:$D$22, 2, FALSE), ""!C3:R29"")), {5;10;16;22}, FALSE)), 'Player Overall Stats Unsorted'!$AA$9:$AA$12), ""=X"")) + (4 - CO"&amp;"UNTIF(IFERROR(ARRAYFORMULA(HLOOKUP($B78, IMPORTRANGE('Prelim Rankings Unsorted'!$B$41, CONCAT(VLOOKUP($C78, 'Match Names'!$A$1:$D$22, 3, FALSE), ""!C3:R29"")), {2;8;14;20}, FALSE)), 'Player Overall Stats Unsorted'!$AA$9:$AA$12), ""=X"")) + (4 - COUNTIF(IF"&amp;"ERROR(ARRAYFORMULA(HLOOKUP($B78, IMPORTRANGE('Prelim Rankings Unsorted'!$B$42, CONCAT(VLOOKUP($C78, 'Match Names'!$A$1:$D$22, 4, FALSE), ""!C3:R29"")), {4;10;16;22}, FALSE)), 'Player Overall Stats Unsorted'!$AA$9:$AA$12), ""=X"")) + (4 - COUNTIF(IFERROR(A"&amp;"RRAYFORMULA(HLOOKUP($B78, IMPORTRANGE('Match Names'!$E$23, CONCAT(VLOOKUP($C78, 'Match Names'!$1:$22, 5, FALSE), ""!C3:R29"")), {5;10;15;20}, FALSE)), 'Player Overall Stats Unsorted'!$AA$9:$AA$12), ""=X"")) + (4 - COUNTIF(IFERROR(ARRAYFORMULA(HLOOKUP($B78"&amp;", IMPORTRANGE('Match Names'!$F$23, CONCAT(VLOOKUP($C78, 'Match Names'!$1:$22, 6, FALSE), ""!C3:R29"")), {4;10;16;22}, FALSE)), 'Player Overall Stats Unsorted'!$AA$9:$AA$12), ""=X"")) + (4 - COUNTIF(IFERROR(ARRAYFORMULA(HLOOKUP($B78, IMPORTRANGE('Match Nam"&amp;"es'!$G$23, CONCAT(VLOOKUP($C78, 'Match Names'!$1:$22, 7, FALSE), ""!C3:R29"")), {4;9;13;19}, FALSE)), 'Player Overall Stats Unsorted'!$AA$9:$AA$12), ""=X"")) + (4 - COUNTIF(IFERROR(ARRAYFORMULA(HLOOKUP($B78, IMPORTRANGE('Match Names'!$H$23, CONCAT(VLOOKUP"&amp;"($C78, 'Match Names'!$1:$22, 8, FALSE), ""!C3:R29"")), {3;9;15;21}, FALSE)), 'Player Overall Stats Unsorted'!$AA$9:$AA$12), ""=X""))"),8.0)</f>
        <v>8</v>
      </c>
      <c r="E78" s="32">
        <f>IFERROR(__xludf.DUMMYFUNCTION("COUNTIF(ARRAYFORMULA(HLOOKUP($B78, IMPORTRANGE('Prelim Rankings Unsorted'!$B$40, CONCAT(VLOOKUP($C78, 'Match Names'!$A$1:$D$22, 2, FALSE), ""!C3:R29"")), {5;10;16;22}, FALSE)), ""=4"") + COUNTIF(ARRAYFORMULA(HLOOKUP($B78, IMPORTRANGE('Prelim Rankings Unso"&amp;"rted'!$B$41, CONCAT(VLOOKUP($C78, 'Match Names'!$A$1:$D$22, 3, FALSE), ""!C3:R29"")), {2;8;14;20}, FALSE)), ""=4"") + COUNTIF(ARRAYFORMULA(HLOOKUP($B78, IMPORTRANGE('Prelim Rankings Unsorted'!$B$42, CONCAT(VLOOKUP($C78, 'Match Names'!$A$1:$D$22, 4, FALSE)"&amp;", ""!C3:R29"")), {4;10;16;22}, FALSE)), ""=4"") + COUNTIF(ARRAYFORMULA(HLOOKUP($B78, IMPORTRANGE('Match Names'!$E$23, CONCAT(VLOOKUP($C78, 'Match Names'!$1:$22, 5, FALSE), ""!C3:R29"")), {5;10;15;20}, FALSE)), ""=4"") + COUNTIF(ARRAYFORMULA(HLOOKUP($B78, "&amp;"IMPORTRANGE('Match Names'!$F$23, CONCAT(VLOOKUP($C78, 'Match Names'!$1:$22, 6, FALSE), ""!C3:R29"")), {4;10;16;22}, FALSE)), ""=4"") + COUNTIF(ARRAYFORMULA(HLOOKUP($B78, IMPORTRANGE('Match Names'!$G$23, CONCAT(VLOOKUP($C78, 'Match Names'!$1:$22, 7, FALSE)"&amp;", ""!C3:R29"")), {4;9;13;19}, FALSE)), ""=4"") + COUNTIF(ARRAYFORMULA(HLOOKUP($B78, IMPORTRANGE('Match Names'!$H$23, CONCAT(VLOOKUP($C78, 'Match Names'!$1:$22, 8, FALSE), ""!C3:R29"")), {3;9;15;21}, FALSE)), ""=4"")"),0.0)</f>
        <v>0</v>
      </c>
      <c r="F78" s="32">
        <f>IFERROR(__xludf.DUMMYFUNCTION("COUNTIF(ARRAYFORMULA(HLOOKUP($B78, IMPORTRANGE('Prelim Rankings Unsorted'!$B$40, CONCAT(VLOOKUP($C78, 'Match Names'!$A$1:$D$22, 2, FALSE), ""!C3:R29"")), {5;10;16;22}, FALSE)), ""=0"") + COUNTIF(ARRAYFORMULA(HLOOKUP($B78, IMPORTRANGE('Prelim Rankings Unso"&amp;"rted'!$B$41, CONCAT(VLOOKUP($C78, 'Match Names'!$A$1:$D$22, 3, FALSE), ""!C3:R29"")), {2;8;14;20}, FALSE)), ""=0"") + COUNTIF(ARRAYFORMULA(HLOOKUP($B78, IMPORTRANGE('Prelim Rankings Unsorted'!$B$42, CONCAT(VLOOKUP($C78, 'Match Names'!$A$1:$D$22, 4, FALSE)"&amp;", ""!C3:R29"")), {4;10;16;22}, FALSE)), ""=0"") + COUNTIF(ARRAYFORMULA(HLOOKUP($B78, IMPORTRANGE('Match Names'!$E$23, CONCAT(VLOOKUP($C78, 'Match Names'!$1:$22, 5, FALSE), ""!C3:R29"")), {5;10;15;20}, FALSE)), ""=0"") + COUNTIF(ARRAYFORMULA(HLOOKUP($B78, "&amp;"IMPORTRANGE('Match Names'!$F$23, CONCAT(VLOOKUP($C78, 'Match Names'!$1:$22, 6, FALSE), ""!C3:R29"")), {4;10;16;22}, FALSE)), ""=0"") + COUNTIF(ARRAYFORMULA(HLOOKUP($B78, IMPORTRANGE('Match Names'!$G$23, CONCAT(VLOOKUP($C78, 'Match Names'!$1:$22, 7, FALSE)"&amp;", ""!C3:R29"")), {4;9;13;19}, FALSE)), ""=0"") + COUNTIF(ARRAYFORMULA(HLOOKUP($B78, IMPORTRANGE('Match Names'!$H$23, CONCAT(VLOOKUP($C78, 'Match Names'!$1:$22, 8, FALSE), ""!C3:R29"")), {3;9;15;21}, FALSE)), ""=0"")"),0.0)</f>
        <v>0</v>
      </c>
      <c r="G78" s="32">
        <f>IFERROR(__xludf.DUMMYFUNCTION("COUNTIF(ARRAYFORMULA(HLOOKUP($B78, IMPORTRANGE('Prelim Rankings Unsorted'!$B$40, CONCAT(VLOOKUP($C78, 'Match Names'!$A$1:$D$22, 2, FALSE), ""!C3:R29"")), {5;10;16;22}, FALSE)), ""=-4"") + COUNTIF(ARRAYFORMULA(HLOOKUP($B78, IMPORTRANGE('Prelim Rankings Uns"&amp;"orted'!$B$41, CONCAT(VLOOKUP($C78, 'Match Names'!$A$1:$D$22, 3, FALSE), ""!C3:R29"")), {2;8;14;20}, FALSE)), ""=-4"") + COUNTIF(ARRAYFORMULA(HLOOKUP($B78, IMPORTRANGE('Prelim Rankings Unsorted'!$B$42, CONCAT(VLOOKUP($C78, 'Match Names'!$A$1:$D$22, 4, FALS"&amp;"E), ""!C3:R29"")), {4;10;16;22}, FALSE)), ""=-4"") + COUNTIF(ARRAYFORMULA(HLOOKUP($B78, IMPORTRANGE('Match Names'!$E$23, CONCAT(VLOOKUP($C78, 'Match Names'!$1:$22, 5, FALSE), ""!C3:R29"")), {5;10;15;20}, FALSE)), ""=-4"") + COUNTIF(ARRAYFORMULA(HLOOKUP($B"&amp;"78, IMPORTRANGE('Match Names'!$F$23, CONCAT(VLOOKUP($C78, 'Match Names'!$1:$22, 6, FALSE), ""!C3:R29"")), {4;10;16;22}, FALSE)), ""=-4"") + COUNTIF(ARRAYFORMULA(HLOOKUP($B78, IMPORTRANGE('Match Names'!$G$23, CONCAT(VLOOKUP($C78, 'Match Names'!$1:$22, 7, F"&amp;"ALSE), ""!C3:R29"")), {4;9;13;19}, FALSE)), ""=-4"") + COUNTIF(ARRAYFORMULA(HLOOKUP($B78, IMPORTRANGE('Match Names'!$H$23, CONCAT(VLOOKUP($C78, 'Match Names'!$1:$22, 8, FALSE), ""!C3:R29"")), {3;9;15;21}, FALSE)), ""=-4"")"),0.0)</f>
        <v>0</v>
      </c>
      <c r="H78" s="33">
        <f t="shared" si="1"/>
        <v>0</v>
      </c>
    </row>
    <row r="79">
      <c r="A79" s="21" t="s">
        <v>49</v>
      </c>
      <c r="B79" s="31" t="str">
        <f>VLOOKUP(CONCAT(A79, C79), 'Discord Username to Real Name'!C:D, 2, FALSE)</f>
        <v>avani#8445</v>
      </c>
      <c r="C79" s="21" t="s">
        <v>23</v>
      </c>
      <c r="D79" s="32">
        <f>IFERROR(__xludf.DUMMYFUNCTION("(4 - COUNTIF(IFERROR(ARRAYFORMULA(HLOOKUP($B79, IMPORTRANGE('Prelim Rankings Unsorted'!$B$40, CONCAT(VLOOKUP($C79, 'Match Names'!$A$1:$D$22, 2, FALSE), ""!C3:R29"")), {5;10;16;22}, FALSE)), 'Player Overall Stats Unsorted'!$AA$9:$AA$12), ""=X"")) + (4 - CO"&amp;"UNTIF(IFERROR(ARRAYFORMULA(HLOOKUP($B79, IMPORTRANGE('Prelim Rankings Unsorted'!$B$41, CONCAT(VLOOKUP($C79, 'Match Names'!$A$1:$D$22, 3, FALSE), ""!C3:R29"")), {2;8;14;20}, FALSE)), 'Player Overall Stats Unsorted'!$AA$9:$AA$12), ""=X"")) + (4 - COUNTIF(IF"&amp;"ERROR(ARRAYFORMULA(HLOOKUP($B79, IMPORTRANGE('Prelim Rankings Unsorted'!$B$42, CONCAT(VLOOKUP($C79, 'Match Names'!$A$1:$D$22, 4, FALSE), ""!C3:R29"")), {4;10;16;22}, FALSE)), 'Player Overall Stats Unsorted'!$AA$9:$AA$12), ""=X"")) + (4 - COUNTIF(IFERROR(A"&amp;"RRAYFORMULA(HLOOKUP($B79, IMPORTRANGE('Match Names'!$E$23, CONCAT(VLOOKUP($C79, 'Match Names'!$1:$22, 5, FALSE), ""!C3:R29"")), {5;10;15;20}, FALSE)), 'Player Overall Stats Unsorted'!$AA$9:$AA$12), ""=X"")) + (4 - COUNTIF(IFERROR(ARRAYFORMULA(HLOOKUP($B79"&amp;", IMPORTRANGE('Match Names'!$F$23, CONCAT(VLOOKUP($C79, 'Match Names'!$1:$22, 6, FALSE), ""!C3:R29"")), {4;10;16;22}, FALSE)), 'Player Overall Stats Unsorted'!$AA$9:$AA$12), ""=X"")) + (4 - COUNTIF(IFERROR(ARRAYFORMULA(HLOOKUP($B79, IMPORTRANGE('Match Nam"&amp;"es'!$G$23, CONCAT(VLOOKUP($C79, 'Match Names'!$1:$22, 7, FALSE), ""!C3:R29"")), {4;9;13;19}, FALSE)), 'Player Overall Stats Unsorted'!$AA$9:$AA$12), ""=X"")) + (4 - COUNTIF(IFERROR(ARRAYFORMULA(HLOOKUP($B79, IMPORTRANGE('Match Names'!$H$23, CONCAT(VLOOKUP"&amp;"($C79, 'Match Names'!$1:$22, 8, FALSE), ""!C3:R29"")), {3;9;15;21}, FALSE)), 'Player Overall Stats Unsorted'!$AA$9:$AA$12), ""=X""))"),20.0)</f>
        <v>20</v>
      </c>
      <c r="E79" s="32">
        <f>IFERROR(__xludf.DUMMYFUNCTION("COUNTIF(ARRAYFORMULA(HLOOKUP($B79, IMPORTRANGE('Prelim Rankings Unsorted'!$B$40, CONCAT(VLOOKUP($C79, 'Match Names'!$A$1:$D$22, 2, FALSE), ""!C3:R29"")), {5;10;16;22}, FALSE)), ""=4"") + COUNTIF(ARRAYFORMULA(HLOOKUP($B79, IMPORTRANGE('Prelim Rankings Unso"&amp;"rted'!$B$41, CONCAT(VLOOKUP($C79, 'Match Names'!$A$1:$D$22, 3, FALSE), ""!C3:R29"")), {2;8;14;20}, FALSE)), ""=4"") + COUNTIF(ARRAYFORMULA(HLOOKUP($B79, IMPORTRANGE('Prelim Rankings Unsorted'!$B$42, CONCAT(VLOOKUP($C79, 'Match Names'!$A$1:$D$22, 4, FALSE)"&amp;", ""!C3:R29"")), {4;10;16;22}, FALSE)), ""=4"") + COUNTIF(ARRAYFORMULA(HLOOKUP($B79, IMPORTRANGE('Match Names'!$E$23, CONCAT(VLOOKUP($C79, 'Match Names'!$1:$22, 5, FALSE), ""!C3:R29"")), {5;10;15;20}, FALSE)), ""=4"") + COUNTIF(ARRAYFORMULA(HLOOKUP($B79, "&amp;"IMPORTRANGE('Match Names'!$F$23, CONCAT(VLOOKUP($C79, 'Match Names'!$1:$22, 6, FALSE), ""!C3:R29"")), {4;10;16;22}, FALSE)), ""=4"") + COUNTIF(ARRAYFORMULA(HLOOKUP($B79, IMPORTRANGE('Match Names'!$G$23, CONCAT(VLOOKUP($C79, 'Match Names'!$1:$22, 7, FALSE)"&amp;", ""!C3:R29"")), {4;9;13;19}, FALSE)), ""=4"") + COUNTIF(ARRAYFORMULA(HLOOKUP($B79, IMPORTRANGE('Match Names'!$H$23, CONCAT(VLOOKUP($C79, 'Match Names'!$1:$22, 8, FALSE), ""!C3:R29"")), {3;9;15;21}, FALSE)), ""=4"")"),0.0)</f>
        <v>0</v>
      </c>
      <c r="F79" s="32">
        <f>IFERROR(__xludf.DUMMYFUNCTION("COUNTIF(ARRAYFORMULA(HLOOKUP($B79, IMPORTRANGE('Prelim Rankings Unsorted'!$B$40, CONCAT(VLOOKUP($C79, 'Match Names'!$A$1:$D$22, 2, FALSE), ""!C3:R29"")), {5;10;16;22}, FALSE)), ""=0"") + COUNTIF(ARRAYFORMULA(HLOOKUP($B79, IMPORTRANGE('Prelim Rankings Unso"&amp;"rted'!$B$41, CONCAT(VLOOKUP($C79, 'Match Names'!$A$1:$D$22, 3, FALSE), ""!C3:R29"")), {2;8;14;20}, FALSE)), ""=0"") + COUNTIF(ARRAYFORMULA(HLOOKUP($B79, IMPORTRANGE('Prelim Rankings Unsorted'!$B$42, CONCAT(VLOOKUP($C79, 'Match Names'!$A$1:$D$22, 4, FALSE)"&amp;", ""!C3:R29"")), {4;10;16;22}, FALSE)), ""=0"") + COUNTIF(ARRAYFORMULA(HLOOKUP($B79, IMPORTRANGE('Match Names'!$E$23, CONCAT(VLOOKUP($C79, 'Match Names'!$1:$22, 5, FALSE), ""!C3:R29"")), {5;10;15;20}, FALSE)), ""=0"") + COUNTIF(ARRAYFORMULA(HLOOKUP($B79, "&amp;"IMPORTRANGE('Match Names'!$F$23, CONCAT(VLOOKUP($C79, 'Match Names'!$1:$22, 6, FALSE), ""!C3:R29"")), {4;10;16;22}, FALSE)), ""=0"") + COUNTIF(ARRAYFORMULA(HLOOKUP($B79, IMPORTRANGE('Match Names'!$G$23, CONCAT(VLOOKUP($C79, 'Match Names'!$1:$22, 7, FALSE)"&amp;", ""!C3:R29"")), {4;9;13;19}, FALSE)), ""=0"") + COUNTIF(ARRAYFORMULA(HLOOKUP($B79, IMPORTRANGE('Match Names'!$H$23, CONCAT(VLOOKUP($C79, 'Match Names'!$1:$22, 8, FALSE), ""!C3:R29"")), {3;9;15;21}, FALSE)), ""=0"")"),0.0)</f>
        <v>0</v>
      </c>
      <c r="G79" s="32">
        <f>IFERROR(__xludf.DUMMYFUNCTION("COUNTIF(ARRAYFORMULA(HLOOKUP($B79, IMPORTRANGE('Prelim Rankings Unsorted'!$B$40, CONCAT(VLOOKUP($C79, 'Match Names'!$A$1:$D$22, 2, FALSE), ""!C3:R29"")), {5;10;16;22}, FALSE)), ""=-4"") + COUNTIF(ARRAYFORMULA(HLOOKUP($B79, IMPORTRANGE('Prelim Rankings Uns"&amp;"orted'!$B$41, CONCAT(VLOOKUP($C79, 'Match Names'!$A$1:$D$22, 3, FALSE), ""!C3:R29"")), {2;8;14;20}, FALSE)), ""=-4"") + COUNTIF(ARRAYFORMULA(HLOOKUP($B79, IMPORTRANGE('Prelim Rankings Unsorted'!$B$42, CONCAT(VLOOKUP($C79, 'Match Names'!$A$1:$D$22, 4, FALS"&amp;"E), ""!C3:R29"")), {4;10;16;22}, FALSE)), ""=-4"") + COUNTIF(ARRAYFORMULA(HLOOKUP($B79, IMPORTRANGE('Match Names'!$E$23, CONCAT(VLOOKUP($C79, 'Match Names'!$1:$22, 5, FALSE), ""!C3:R29"")), {5;10;15;20}, FALSE)), ""=-4"") + COUNTIF(ARRAYFORMULA(HLOOKUP($B"&amp;"79, IMPORTRANGE('Match Names'!$F$23, CONCAT(VLOOKUP($C79, 'Match Names'!$1:$22, 6, FALSE), ""!C3:R29"")), {4;10;16;22}, FALSE)), ""=-4"") + COUNTIF(ARRAYFORMULA(HLOOKUP($B79, IMPORTRANGE('Match Names'!$G$23, CONCAT(VLOOKUP($C79, 'Match Names'!$1:$22, 7, F"&amp;"ALSE), ""!C3:R29"")), {4;9;13;19}, FALSE)), ""=-4"") + COUNTIF(ARRAYFORMULA(HLOOKUP($B79, IMPORTRANGE('Match Names'!$H$23, CONCAT(VLOOKUP($C79, 'Match Names'!$1:$22, 8, FALSE), ""!C3:R29"")), {3;9;15;21}, FALSE)), ""=-4"")"),0.0)</f>
        <v>0</v>
      </c>
      <c r="H79" s="33">
        <f t="shared" si="1"/>
        <v>0</v>
      </c>
    </row>
    <row r="80">
      <c r="A80" s="21" t="s">
        <v>142</v>
      </c>
      <c r="B80" s="31" t="str">
        <f>VLOOKUP(CONCAT(A80, C80), 'Discord Username to Real Name'!C:D, 2, FALSE)</f>
        <v>Char#5513</v>
      </c>
      <c r="C80" s="21" t="s">
        <v>23</v>
      </c>
      <c r="D80" s="32">
        <f>IFERROR(__xludf.DUMMYFUNCTION("(4 - COUNTIF(IFERROR(ARRAYFORMULA(HLOOKUP($B80, IMPORTRANGE('Prelim Rankings Unsorted'!$B$40, CONCAT(VLOOKUP($C80, 'Match Names'!$A$1:$D$22, 2, FALSE), ""!C3:R29"")), {5;10;16;22}, FALSE)), 'Player Overall Stats Unsorted'!$AA$9:$AA$12), ""=X"")) + (4 - CO"&amp;"UNTIF(IFERROR(ARRAYFORMULA(HLOOKUP($B80, IMPORTRANGE('Prelim Rankings Unsorted'!$B$41, CONCAT(VLOOKUP($C80, 'Match Names'!$A$1:$D$22, 3, FALSE), ""!C3:R29"")), {2;8;14;20}, FALSE)), 'Player Overall Stats Unsorted'!$AA$9:$AA$12), ""=X"")) + (4 - COUNTIF(IF"&amp;"ERROR(ARRAYFORMULA(HLOOKUP($B80, IMPORTRANGE('Prelim Rankings Unsorted'!$B$42, CONCAT(VLOOKUP($C80, 'Match Names'!$A$1:$D$22, 4, FALSE), ""!C3:R29"")), {4;10;16;22}, FALSE)), 'Player Overall Stats Unsorted'!$AA$9:$AA$12), ""=X"")) + (4 - COUNTIF(IFERROR(A"&amp;"RRAYFORMULA(HLOOKUP($B80, IMPORTRANGE('Match Names'!$E$23, CONCAT(VLOOKUP($C80, 'Match Names'!$1:$22, 5, FALSE), ""!C3:R29"")), {5;10;15;20}, FALSE)), 'Player Overall Stats Unsorted'!$AA$9:$AA$12), ""=X"")) + (4 - COUNTIF(IFERROR(ARRAYFORMULA(HLOOKUP($B80"&amp;", IMPORTRANGE('Match Names'!$F$23, CONCAT(VLOOKUP($C80, 'Match Names'!$1:$22, 6, FALSE), ""!C3:R29"")), {4;10;16;22}, FALSE)), 'Player Overall Stats Unsorted'!$AA$9:$AA$12), ""=X"")) + (4 - COUNTIF(IFERROR(ARRAYFORMULA(HLOOKUP($B80, IMPORTRANGE('Match Nam"&amp;"es'!$G$23, CONCAT(VLOOKUP($C80, 'Match Names'!$1:$22, 7, FALSE), ""!C3:R29"")), {4;9;13;19}, FALSE)), 'Player Overall Stats Unsorted'!$AA$9:$AA$12), ""=X"")) + (4 - COUNTIF(IFERROR(ARRAYFORMULA(HLOOKUP($B80, IMPORTRANGE('Match Names'!$H$23, CONCAT(VLOOKUP"&amp;"($C80, 'Match Names'!$1:$22, 8, FALSE), ""!C3:R29"")), {3;9;15;21}, FALSE)), 'Player Overall Stats Unsorted'!$AA$9:$AA$12), ""=X""))"),16.0)</f>
        <v>16</v>
      </c>
      <c r="E80" s="32">
        <f>IFERROR(__xludf.DUMMYFUNCTION("COUNTIF(ARRAYFORMULA(HLOOKUP($B80, IMPORTRANGE('Prelim Rankings Unsorted'!$B$40, CONCAT(VLOOKUP($C80, 'Match Names'!$A$1:$D$22, 2, FALSE), ""!C3:R29"")), {5;10;16;22}, FALSE)), ""=4"") + COUNTIF(ARRAYFORMULA(HLOOKUP($B80, IMPORTRANGE('Prelim Rankings Unso"&amp;"rted'!$B$41, CONCAT(VLOOKUP($C80, 'Match Names'!$A$1:$D$22, 3, FALSE), ""!C3:R29"")), {2;8;14;20}, FALSE)), ""=4"") + COUNTIF(ARRAYFORMULA(HLOOKUP($B80, IMPORTRANGE('Prelim Rankings Unsorted'!$B$42, CONCAT(VLOOKUP($C80, 'Match Names'!$A$1:$D$22, 4, FALSE)"&amp;", ""!C3:R29"")), {4;10;16;22}, FALSE)), ""=4"") + COUNTIF(ARRAYFORMULA(HLOOKUP($B80, IMPORTRANGE('Match Names'!$E$23, CONCAT(VLOOKUP($C80, 'Match Names'!$1:$22, 5, FALSE), ""!C3:R29"")), {5;10;15;20}, FALSE)), ""=4"") + COUNTIF(ARRAYFORMULA(HLOOKUP($B80, "&amp;"IMPORTRANGE('Match Names'!$F$23, CONCAT(VLOOKUP($C80, 'Match Names'!$1:$22, 6, FALSE), ""!C3:R29"")), {4;10;16;22}, FALSE)), ""=4"") + COUNTIF(ARRAYFORMULA(HLOOKUP($B80, IMPORTRANGE('Match Names'!$G$23, CONCAT(VLOOKUP($C80, 'Match Names'!$1:$22, 7, FALSE)"&amp;", ""!C3:R29"")), {4;9;13;19}, FALSE)), ""=4"") + COUNTIF(ARRAYFORMULA(HLOOKUP($B80, IMPORTRANGE('Match Names'!$H$23, CONCAT(VLOOKUP($C80, 'Match Names'!$1:$22, 8, FALSE), ""!C3:R29"")), {3;9;15;21}, FALSE)), ""=4"")"),0.0)</f>
        <v>0</v>
      </c>
      <c r="F80" s="32">
        <f>IFERROR(__xludf.DUMMYFUNCTION("COUNTIF(ARRAYFORMULA(HLOOKUP($B80, IMPORTRANGE('Prelim Rankings Unsorted'!$B$40, CONCAT(VLOOKUP($C80, 'Match Names'!$A$1:$D$22, 2, FALSE), ""!C3:R29"")), {5;10;16;22}, FALSE)), ""=0"") + COUNTIF(ARRAYFORMULA(HLOOKUP($B80, IMPORTRANGE('Prelim Rankings Unso"&amp;"rted'!$B$41, CONCAT(VLOOKUP($C80, 'Match Names'!$A$1:$D$22, 3, FALSE), ""!C3:R29"")), {2;8;14;20}, FALSE)), ""=0"") + COUNTIF(ARRAYFORMULA(HLOOKUP($B80, IMPORTRANGE('Prelim Rankings Unsorted'!$B$42, CONCAT(VLOOKUP($C80, 'Match Names'!$A$1:$D$22, 4, FALSE)"&amp;", ""!C3:R29"")), {4;10;16;22}, FALSE)), ""=0"") + COUNTIF(ARRAYFORMULA(HLOOKUP($B80, IMPORTRANGE('Match Names'!$E$23, CONCAT(VLOOKUP($C80, 'Match Names'!$1:$22, 5, FALSE), ""!C3:R29"")), {5;10;15;20}, FALSE)), ""=0"") + COUNTIF(ARRAYFORMULA(HLOOKUP($B80, "&amp;"IMPORTRANGE('Match Names'!$F$23, CONCAT(VLOOKUP($C80, 'Match Names'!$1:$22, 6, FALSE), ""!C3:R29"")), {4;10;16;22}, FALSE)), ""=0"") + COUNTIF(ARRAYFORMULA(HLOOKUP($B80, IMPORTRANGE('Match Names'!$G$23, CONCAT(VLOOKUP($C80, 'Match Names'!$1:$22, 7, FALSE)"&amp;", ""!C3:R29"")), {4;9;13;19}, FALSE)), ""=0"") + COUNTIF(ARRAYFORMULA(HLOOKUP($B80, IMPORTRANGE('Match Names'!$H$23, CONCAT(VLOOKUP($C80, 'Match Names'!$1:$22, 8, FALSE), ""!C3:R29"")), {3;9;15;21}, FALSE)), ""=0"")"),0.0)</f>
        <v>0</v>
      </c>
      <c r="G80" s="32">
        <f>IFERROR(__xludf.DUMMYFUNCTION("COUNTIF(ARRAYFORMULA(HLOOKUP($B80, IMPORTRANGE('Prelim Rankings Unsorted'!$B$40, CONCAT(VLOOKUP($C80, 'Match Names'!$A$1:$D$22, 2, FALSE), ""!C3:R29"")), {5;10;16;22}, FALSE)), ""=-4"") + COUNTIF(ARRAYFORMULA(HLOOKUP($B80, IMPORTRANGE('Prelim Rankings Uns"&amp;"orted'!$B$41, CONCAT(VLOOKUP($C80, 'Match Names'!$A$1:$D$22, 3, FALSE), ""!C3:R29"")), {2;8;14;20}, FALSE)), ""=-4"") + COUNTIF(ARRAYFORMULA(HLOOKUP($B80, IMPORTRANGE('Prelim Rankings Unsorted'!$B$42, CONCAT(VLOOKUP($C80, 'Match Names'!$A$1:$D$22, 4, FALS"&amp;"E), ""!C3:R29"")), {4;10;16;22}, FALSE)), ""=-4"") + COUNTIF(ARRAYFORMULA(HLOOKUP($B80, IMPORTRANGE('Match Names'!$E$23, CONCAT(VLOOKUP($C80, 'Match Names'!$1:$22, 5, FALSE), ""!C3:R29"")), {5;10;15;20}, FALSE)), ""=-4"") + COUNTIF(ARRAYFORMULA(HLOOKUP($B"&amp;"80, IMPORTRANGE('Match Names'!$F$23, CONCAT(VLOOKUP($C80, 'Match Names'!$1:$22, 6, FALSE), ""!C3:R29"")), {4;10;16;22}, FALSE)), ""=-4"") + COUNTIF(ARRAYFORMULA(HLOOKUP($B80, IMPORTRANGE('Match Names'!$G$23, CONCAT(VLOOKUP($C80, 'Match Names'!$1:$22, 7, F"&amp;"ALSE), ""!C3:R29"")), {4;9;13;19}, FALSE)), ""=-4"") + COUNTIF(ARRAYFORMULA(HLOOKUP($B80, IMPORTRANGE('Match Names'!$H$23, CONCAT(VLOOKUP($C80, 'Match Names'!$1:$22, 8, FALSE), ""!C3:R29"")), {3;9;15;21}, FALSE)), ""=-4"")"),0.0)</f>
        <v>0</v>
      </c>
      <c r="H80" s="33">
        <f t="shared" si="1"/>
        <v>0</v>
      </c>
    </row>
    <row r="81">
      <c r="A81" s="21" t="s">
        <v>102</v>
      </c>
      <c r="B81" s="31" t="str">
        <f>VLOOKUP(CONCAT(A81, C81), 'Discord Username to Real Name'!C:D, 2, FALSE)</f>
        <v>Weber_Lin#5389</v>
      </c>
      <c r="C81" s="21" t="s">
        <v>23</v>
      </c>
      <c r="D81" s="32">
        <f>IFERROR(__xludf.DUMMYFUNCTION("(4 - COUNTIF(IFERROR(ARRAYFORMULA(HLOOKUP($B81, IMPORTRANGE('Prelim Rankings Unsorted'!$B$40, CONCAT(VLOOKUP($C81, 'Match Names'!$A$1:$D$22, 2, FALSE), ""!C3:R29"")), {5;10;16;22}, FALSE)), 'Player Overall Stats Unsorted'!$AA$9:$AA$12), ""=X"")) + (4 - CO"&amp;"UNTIF(IFERROR(ARRAYFORMULA(HLOOKUP($B81, IMPORTRANGE('Prelim Rankings Unsorted'!$B$41, CONCAT(VLOOKUP($C81, 'Match Names'!$A$1:$D$22, 3, FALSE), ""!C3:R29"")), {2;8;14;20}, FALSE)), 'Player Overall Stats Unsorted'!$AA$9:$AA$12), ""=X"")) + (4 - COUNTIF(IF"&amp;"ERROR(ARRAYFORMULA(HLOOKUP($B81, IMPORTRANGE('Prelim Rankings Unsorted'!$B$42, CONCAT(VLOOKUP($C81, 'Match Names'!$A$1:$D$22, 4, FALSE), ""!C3:R29"")), {4;10;16;22}, FALSE)), 'Player Overall Stats Unsorted'!$AA$9:$AA$12), ""=X"")) + (4 - COUNTIF(IFERROR(A"&amp;"RRAYFORMULA(HLOOKUP($B81, IMPORTRANGE('Match Names'!$E$23, CONCAT(VLOOKUP($C81, 'Match Names'!$1:$22, 5, FALSE), ""!C3:R29"")), {5;10;15;20}, FALSE)), 'Player Overall Stats Unsorted'!$AA$9:$AA$12), ""=X"")) + (4 - COUNTIF(IFERROR(ARRAYFORMULA(HLOOKUP($B81"&amp;", IMPORTRANGE('Match Names'!$F$23, CONCAT(VLOOKUP($C81, 'Match Names'!$1:$22, 6, FALSE), ""!C3:R29"")), {4;10;16;22}, FALSE)), 'Player Overall Stats Unsorted'!$AA$9:$AA$12), ""=X"")) + (4 - COUNTIF(IFERROR(ARRAYFORMULA(HLOOKUP($B81, IMPORTRANGE('Match Nam"&amp;"es'!$G$23, CONCAT(VLOOKUP($C81, 'Match Names'!$1:$22, 7, FALSE), ""!C3:R29"")), {4;9;13;19}, FALSE)), 'Player Overall Stats Unsorted'!$AA$9:$AA$12), ""=X"")) + (4 - COUNTIF(IFERROR(ARRAYFORMULA(HLOOKUP($B81, IMPORTRANGE('Match Names'!$H$23, CONCAT(VLOOKUP"&amp;"($C81, 'Match Names'!$1:$22, 8, FALSE), ""!C3:R29"")), {3;9;15;21}, FALSE)), 'Player Overall Stats Unsorted'!$AA$9:$AA$12), ""=X""))"),20.0)</f>
        <v>20</v>
      </c>
      <c r="E81" s="32">
        <f>IFERROR(__xludf.DUMMYFUNCTION("COUNTIF(ARRAYFORMULA(HLOOKUP($B81, IMPORTRANGE('Prelim Rankings Unsorted'!$B$40, CONCAT(VLOOKUP($C81, 'Match Names'!$A$1:$D$22, 2, FALSE), ""!C3:R29"")), {5;10;16;22}, FALSE)), ""=4"") + COUNTIF(ARRAYFORMULA(HLOOKUP($B81, IMPORTRANGE('Prelim Rankings Unso"&amp;"rted'!$B$41, CONCAT(VLOOKUP($C81, 'Match Names'!$A$1:$D$22, 3, FALSE), ""!C3:R29"")), {2;8;14;20}, FALSE)), ""=4"") + COUNTIF(ARRAYFORMULA(HLOOKUP($B81, IMPORTRANGE('Prelim Rankings Unsorted'!$B$42, CONCAT(VLOOKUP($C81, 'Match Names'!$A$1:$D$22, 4, FALSE)"&amp;", ""!C3:R29"")), {4;10;16;22}, FALSE)), ""=4"") + COUNTIF(ARRAYFORMULA(HLOOKUP($B81, IMPORTRANGE('Match Names'!$E$23, CONCAT(VLOOKUP($C81, 'Match Names'!$1:$22, 5, FALSE), ""!C3:R29"")), {5;10;15;20}, FALSE)), ""=4"") + COUNTIF(ARRAYFORMULA(HLOOKUP($B81, "&amp;"IMPORTRANGE('Match Names'!$F$23, CONCAT(VLOOKUP($C81, 'Match Names'!$1:$22, 6, FALSE), ""!C3:R29"")), {4;10;16;22}, FALSE)), ""=4"") + COUNTIF(ARRAYFORMULA(HLOOKUP($B81, IMPORTRANGE('Match Names'!$G$23, CONCAT(VLOOKUP($C81, 'Match Names'!$1:$22, 7, FALSE)"&amp;", ""!C3:R29"")), {4;9;13;19}, FALSE)), ""=4"") + COUNTIF(ARRAYFORMULA(HLOOKUP($B81, IMPORTRANGE('Match Names'!$H$23, CONCAT(VLOOKUP($C81, 'Match Names'!$1:$22, 8, FALSE), ""!C3:R29"")), {3;9;15;21}, FALSE)), ""=4"")"),0.0)</f>
        <v>0</v>
      </c>
      <c r="F81" s="32">
        <f>IFERROR(__xludf.DUMMYFUNCTION("COUNTIF(ARRAYFORMULA(HLOOKUP($B81, IMPORTRANGE('Prelim Rankings Unsorted'!$B$40, CONCAT(VLOOKUP($C81, 'Match Names'!$A$1:$D$22, 2, FALSE), ""!C3:R29"")), {5;10;16;22}, FALSE)), ""=0"") + COUNTIF(ARRAYFORMULA(HLOOKUP($B81, IMPORTRANGE('Prelim Rankings Unso"&amp;"rted'!$B$41, CONCAT(VLOOKUP($C81, 'Match Names'!$A$1:$D$22, 3, FALSE), ""!C3:R29"")), {2;8;14;20}, FALSE)), ""=0"") + COUNTIF(ARRAYFORMULA(HLOOKUP($B81, IMPORTRANGE('Prelim Rankings Unsorted'!$B$42, CONCAT(VLOOKUP($C81, 'Match Names'!$A$1:$D$22, 4, FALSE)"&amp;", ""!C3:R29"")), {4;10;16;22}, FALSE)), ""=0"") + COUNTIF(ARRAYFORMULA(HLOOKUP($B81, IMPORTRANGE('Match Names'!$E$23, CONCAT(VLOOKUP($C81, 'Match Names'!$1:$22, 5, FALSE), ""!C3:R29"")), {5;10;15;20}, FALSE)), ""=0"") + COUNTIF(ARRAYFORMULA(HLOOKUP($B81, "&amp;"IMPORTRANGE('Match Names'!$F$23, CONCAT(VLOOKUP($C81, 'Match Names'!$1:$22, 6, FALSE), ""!C3:R29"")), {4;10;16;22}, FALSE)), ""=0"") + COUNTIF(ARRAYFORMULA(HLOOKUP($B81, IMPORTRANGE('Match Names'!$G$23, CONCAT(VLOOKUP($C81, 'Match Names'!$1:$22, 7, FALSE)"&amp;", ""!C3:R29"")), {4;9;13;19}, FALSE)), ""=0"") + COUNTIF(ARRAYFORMULA(HLOOKUP($B81, IMPORTRANGE('Match Names'!$H$23, CONCAT(VLOOKUP($C81, 'Match Names'!$1:$22, 8, FALSE), ""!C3:R29"")), {3;9;15;21}, FALSE)), ""=0"")"),0.0)</f>
        <v>0</v>
      </c>
      <c r="G81" s="32">
        <f>IFERROR(__xludf.DUMMYFUNCTION("COUNTIF(ARRAYFORMULA(HLOOKUP($B81, IMPORTRANGE('Prelim Rankings Unsorted'!$B$40, CONCAT(VLOOKUP($C81, 'Match Names'!$A$1:$D$22, 2, FALSE), ""!C3:R29"")), {5;10;16;22}, FALSE)), ""=-4"") + COUNTIF(ARRAYFORMULA(HLOOKUP($B81, IMPORTRANGE('Prelim Rankings Uns"&amp;"orted'!$B$41, CONCAT(VLOOKUP($C81, 'Match Names'!$A$1:$D$22, 3, FALSE), ""!C3:R29"")), {2;8;14;20}, FALSE)), ""=-4"") + COUNTIF(ARRAYFORMULA(HLOOKUP($B81, IMPORTRANGE('Prelim Rankings Unsorted'!$B$42, CONCAT(VLOOKUP($C81, 'Match Names'!$A$1:$D$22, 4, FALS"&amp;"E), ""!C3:R29"")), {4;10;16;22}, FALSE)), ""=-4"") + COUNTIF(ARRAYFORMULA(HLOOKUP($B81, IMPORTRANGE('Match Names'!$E$23, CONCAT(VLOOKUP($C81, 'Match Names'!$1:$22, 5, FALSE), ""!C3:R29"")), {5;10;15;20}, FALSE)), ""=-4"") + COUNTIF(ARRAYFORMULA(HLOOKUP($B"&amp;"81, IMPORTRANGE('Match Names'!$F$23, CONCAT(VLOOKUP($C81, 'Match Names'!$1:$22, 6, FALSE), ""!C3:R29"")), {4;10;16;22}, FALSE)), ""=-4"") + COUNTIF(ARRAYFORMULA(HLOOKUP($B81, IMPORTRANGE('Match Names'!$G$23, CONCAT(VLOOKUP($C81, 'Match Names'!$1:$22, 7, F"&amp;"ALSE), ""!C3:R29"")), {4;9;13;19}, FALSE)), ""=-4"") + COUNTIF(ARRAYFORMULA(HLOOKUP($B81, IMPORTRANGE('Match Names'!$H$23, CONCAT(VLOOKUP($C81, 'Match Names'!$1:$22, 8, FALSE), ""!C3:R29"")), {3;9;15;21}, FALSE)), ""=-4"")"),0.0)</f>
        <v>0</v>
      </c>
      <c r="H81" s="33">
        <f t="shared" si="1"/>
        <v>0</v>
      </c>
    </row>
    <row r="82">
      <c r="A82" s="21" t="s">
        <v>43</v>
      </c>
      <c r="B82" s="31" t="str">
        <f>VLOOKUP(CONCAT(A82, C82), 'Discord Username to Real Name'!C:D, 2, FALSE)</f>
        <v>Xing#7270</v>
      </c>
      <c r="C82" s="21" t="s">
        <v>23</v>
      </c>
      <c r="D82" s="32">
        <f>IFERROR(__xludf.DUMMYFUNCTION("(4 - COUNTIF(IFERROR(ARRAYFORMULA(HLOOKUP($B82, IMPORTRANGE('Prelim Rankings Unsorted'!$B$40, CONCAT(VLOOKUP($C82, 'Match Names'!$A$1:$D$22, 2, FALSE), ""!C3:R29"")), {5;10;16;22}, FALSE)), 'Player Overall Stats Unsorted'!$AA$9:$AA$12), ""=X"")) + (4 - CO"&amp;"UNTIF(IFERROR(ARRAYFORMULA(HLOOKUP($B82, IMPORTRANGE('Prelim Rankings Unsorted'!$B$41, CONCAT(VLOOKUP($C82, 'Match Names'!$A$1:$D$22, 3, FALSE), ""!C3:R29"")), {2;8;14;20}, FALSE)), 'Player Overall Stats Unsorted'!$AA$9:$AA$12), ""=X"")) + (4 - COUNTIF(IF"&amp;"ERROR(ARRAYFORMULA(HLOOKUP($B82, IMPORTRANGE('Prelim Rankings Unsorted'!$B$42, CONCAT(VLOOKUP($C82, 'Match Names'!$A$1:$D$22, 4, FALSE), ""!C3:R29"")), {4;10;16;22}, FALSE)), 'Player Overall Stats Unsorted'!$AA$9:$AA$12), ""=X"")) + (4 - COUNTIF(IFERROR(A"&amp;"RRAYFORMULA(HLOOKUP($B82, IMPORTRANGE('Match Names'!$E$23, CONCAT(VLOOKUP($C82, 'Match Names'!$1:$22, 5, FALSE), ""!C3:R29"")), {5;10;15;20}, FALSE)), 'Player Overall Stats Unsorted'!$AA$9:$AA$12), ""=X"")) + (4 - COUNTIF(IFERROR(ARRAYFORMULA(HLOOKUP($B82"&amp;", IMPORTRANGE('Match Names'!$F$23, CONCAT(VLOOKUP($C82, 'Match Names'!$1:$22, 6, FALSE), ""!C3:R29"")), {4;10;16;22}, FALSE)), 'Player Overall Stats Unsorted'!$AA$9:$AA$12), ""=X"")) + (4 - COUNTIF(IFERROR(ARRAYFORMULA(HLOOKUP($B82, IMPORTRANGE('Match Nam"&amp;"es'!$G$23, CONCAT(VLOOKUP($C82, 'Match Names'!$1:$22, 7, FALSE), ""!C3:R29"")), {4;9;13;19}, FALSE)), 'Player Overall Stats Unsorted'!$AA$9:$AA$12), ""=X"")) + (4 - COUNTIF(IFERROR(ARRAYFORMULA(HLOOKUP($B82, IMPORTRANGE('Match Names'!$H$23, CONCAT(VLOOKUP"&amp;"($C82, 'Match Names'!$1:$22, 8, FALSE), ""!C3:R29"")), {3;9;15;21}, FALSE)), 'Player Overall Stats Unsorted'!$AA$9:$AA$12), ""=X""))"),20.0)</f>
        <v>20</v>
      </c>
      <c r="E82" s="32">
        <f>IFERROR(__xludf.DUMMYFUNCTION("COUNTIF(ARRAYFORMULA(HLOOKUP($B82, IMPORTRANGE('Prelim Rankings Unsorted'!$B$40, CONCAT(VLOOKUP($C82, 'Match Names'!$A$1:$D$22, 2, FALSE), ""!C3:R29"")), {5;10;16;22}, FALSE)), ""=4"") + COUNTIF(ARRAYFORMULA(HLOOKUP($B82, IMPORTRANGE('Prelim Rankings Unso"&amp;"rted'!$B$41, CONCAT(VLOOKUP($C82, 'Match Names'!$A$1:$D$22, 3, FALSE), ""!C3:R29"")), {2;8;14;20}, FALSE)), ""=4"") + COUNTIF(ARRAYFORMULA(HLOOKUP($B82, IMPORTRANGE('Prelim Rankings Unsorted'!$B$42, CONCAT(VLOOKUP($C82, 'Match Names'!$A$1:$D$22, 4, FALSE)"&amp;", ""!C3:R29"")), {4;10;16;22}, FALSE)), ""=4"") + COUNTIF(ARRAYFORMULA(HLOOKUP($B82, IMPORTRANGE('Match Names'!$E$23, CONCAT(VLOOKUP($C82, 'Match Names'!$1:$22, 5, FALSE), ""!C3:R29"")), {5;10;15;20}, FALSE)), ""=4"") + COUNTIF(ARRAYFORMULA(HLOOKUP($B82, "&amp;"IMPORTRANGE('Match Names'!$F$23, CONCAT(VLOOKUP($C82, 'Match Names'!$1:$22, 6, FALSE), ""!C3:R29"")), {4;10;16;22}, FALSE)), ""=4"") + COUNTIF(ARRAYFORMULA(HLOOKUP($B82, IMPORTRANGE('Match Names'!$G$23, CONCAT(VLOOKUP($C82, 'Match Names'!$1:$22, 7, FALSE)"&amp;", ""!C3:R29"")), {4;9;13;19}, FALSE)), ""=4"") + COUNTIF(ARRAYFORMULA(HLOOKUP($B82, IMPORTRANGE('Match Names'!$H$23, CONCAT(VLOOKUP($C82, 'Match Names'!$1:$22, 8, FALSE), ""!C3:R29"")), {3;9;15;21}, FALSE)), ""=4"")"),5.0)</f>
        <v>5</v>
      </c>
      <c r="F82" s="32">
        <f>IFERROR(__xludf.DUMMYFUNCTION("COUNTIF(ARRAYFORMULA(HLOOKUP($B82, IMPORTRANGE('Prelim Rankings Unsorted'!$B$40, CONCAT(VLOOKUP($C82, 'Match Names'!$A$1:$D$22, 2, FALSE), ""!C3:R29"")), {5;10;16;22}, FALSE)), ""=0"") + COUNTIF(ARRAYFORMULA(HLOOKUP($B82, IMPORTRANGE('Prelim Rankings Unso"&amp;"rted'!$B$41, CONCAT(VLOOKUP($C82, 'Match Names'!$A$1:$D$22, 3, FALSE), ""!C3:R29"")), {2;8;14;20}, FALSE)), ""=0"") + COUNTIF(ARRAYFORMULA(HLOOKUP($B82, IMPORTRANGE('Prelim Rankings Unsorted'!$B$42, CONCAT(VLOOKUP($C82, 'Match Names'!$A$1:$D$22, 4, FALSE)"&amp;", ""!C3:R29"")), {4;10;16;22}, FALSE)), ""=0"") + COUNTIF(ARRAYFORMULA(HLOOKUP($B82, IMPORTRANGE('Match Names'!$E$23, CONCAT(VLOOKUP($C82, 'Match Names'!$1:$22, 5, FALSE), ""!C3:R29"")), {5;10;15;20}, FALSE)), ""=0"") + COUNTIF(ARRAYFORMULA(HLOOKUP($B82, "&amp;"IMPORTRANGE('Match Names'!$F$23, CONCAT(VLOOKUP($C82, 'Match Names'!$1:$22, 6, FALSE), ""!C3:R29"")), {4;10;16;22}, FALSE)), ""=0"") + COUNTIF(ARRAYFORMULA(HLOOKUP($B82, IMPORTRANGE('Match Names'!$G$23, CONCAT(VLOOKUP($C82, 'Match Names'!$1:$22, 7, FALSE)"&amp;", ""!C3:R29"")), {4;9;13;19}, FALSE)), ""=0"") + COUNTIF(ARRAYFORMULA(HLOOKUP($B82, IMPORTRANGE('Match Names'!$H$23, CONCAT(VLOOKUP($C82, 'Match Names'!$1:$22, 8, FALSE), ""!C3:R29"")), {3;9;15;21}, FALSE)), ""=0"")"),9.0)</f>
        <v>9</v>
      </c>
      <c r="G82" s="32">
        <f>IFERROR(__xludf.DUMMYFUNCTION("COUNTIF(ARRAYFORMULA(HLOOKUP($B82, IMPORTRANGE('Prelim Rankings Unsorted'!$B$40, CONCAT(VLOOKUP($C82, 'Match Names'!$A$1:$D$22, 2, FALSE), ""!C3:R29"")), {5;10;16;22}, FALSE)), ""=-4"") + COUNTIF(ARRAYFORMULA(HLOOKUP($B82, IMPORTRANGE('Prelim Rankings Uns"&amp;"orted'!$B$41, CONCAT(VLOOKUP($C82, 'Match Names'!$A$1:$D$22, 3, FALSE), ""!C3:R29"")), {2;8;14;20}, FALSE)), ""=-4"") + COUNTIF(ARRAYFORMULA(HLOOKUP($B82, IMPORTRANGE('Prelim Rankings Unsorted'!$B$42, CONCAT(VLOOKUP($C82, 'Match Names'!$A$1:$D$22, 4, FALS"&amp;"E), ""!C3:R29"")), {4;10;16;22}, FALSE)), ""=-4"") + COUNTIF(ARRAYFORMULA(HLOOKUP($B82, IMPORTRANGE('Match Names'!$E$23, CONCAT(VLOOKUP($C82, 'Match Names'!$1:$22, 5, FALSE), ""!C3:R29"")), {5;10;15;20}, FALSE)), ""=-4"") + COUNTIF(ARRAYFORMULA(HLOOKUP($B"&amp;"82, IMPORTRANGE('Match Names'!$F$23, CONCAT(VLOOKUP($C82, 'Match Names'!$1:$22, 6, FALSE), ""!C3:R29"")), {4;10;16;22}, FALSE)), ""=-4"") + COUNTIF(ARRAYFORMULA(HLOOKUP($B82, IMPORTRANGE('Match Names'!$G$23, CONCAT(VLOOKUP($C82, 'Match Names'!$1:$22, 7, F"&amp;"ALSE), ""!C3:R29"")), {4;9;13;19}, FALSE)), ""=-4"") + COUNTIF(ARRAYFORMULA(HLOOKUP($B82, IMPORTRANGE('Match Names'!$H$23, CONCAT(VLOOKUP($C82, 'Match Names'!$1:$22, 8, FALSE), ""!C3:R29"")), {3;9;15;21}, FALSE)), ""=-4"")"),3.0)</f>
        <v>3</v>
      </c>
      <c r="H82" s="33">
        <f t="shared" si="1"/>
        <v>1.6</v>
      </c>
    </row>
    <row r="83">
      <c r="A83" s="21" t="s">
        <v>76</v>
      </c>
      <c r="B83" s="31" t="str">
        <f>VLOOKUP(CONCAT(A83, C83), 'Discord Username to Real Name'!C:D, 2, FALSE)</f>
        <v>Dr. Jess#0829</v>
      </c>
      <c r="C83" s="21" t="s">
        <v>26</v>
      </c>
      <c r="D83" s="32">
        <f>IFERROR(__xludf.DUMMYFUNCTION("(4 - COUNTIF(IFERROR(ARRAYFORMULA(HLOOKUP($B83, IMPORTRANGE('Prelim Rankings Unsorted'!$B$40, CONCAT(VLOOKUP($C83, 'Match Names'!$A$1:$D$22, 2, FALSE), ""!C3:R29"")), {5;10;16;22}, FALSE)), 'Player Overall Stats Unsorted'!$AA$9:$AA$12), ""=X"")) + (4 - CO"&amp;"UNTIF(IFERROR(ARRAYFORMULA(HLOOKUP($B83, IMPORTRANGE('Prelim Rankings Unsorted'!$B$41, CONCAT(VLOOKUP($C83, 'Match Names'!$A$1:$D$22, 3, FALSE), ""!C3:R29"")), {2;8;14;20}, FALSE)), 'Player Overall Stats Unsorted'!$AA$9:$AA$12), ""=X"")) + (4 - COUNTIF(IF"&amp;"ERROR(ARRAYFORMULA(HLOOKUP($B83, IMPORTRANGE('Prelim Rankings Unsorted'!$B$42, CONCAT(VLOOKUP($C83, 'Match Names'!$A$1:$D$22, 4, FALSE), ""!C3:R29"")), {4;10;16;22}, FALSE)), 'Player Overall Stats Unsorted'!$AA$9:$AA$12), ""=X"")) + (4 - COUNTIF(IFERROR(A"&amp;"RRAYFORMULA(HLOOKUP($B83, IMPORTRANGE('Match Names'!$E$23, CONCAT(VLOOKUP($C83, 'Match Names'!$1:$22, 5, FALSE), ""!C3:R29"")), {5;10;15;20}, FALSE)), 'Player Overall Stats Unsorted'!$AA$9:$AA$12), ""=X"")) + (4 - COUNTIF(IFERROR(ARRAYFORMULA(HLOOKUP($B83"&amp;", IMPORTRANGE('Match Names'!$F$23, CONCAT(VLOOKUP($C83, 'Match Names'!$1:$22, 6, FALSE), ""!C3:R29"")), {4;10;16;22}, FALSE)), 'Player Overall Stats Unsorted'!$AA$9:$AA$12), ""=X"")) + (4 - COUNTIF(IFERROR(ARRAYFORMULA(HLOOKUP($B83, IMPORTRANGE('Match Nam"&amp;"es'!$G$23, CONCAT(VLOOKUP($C83, 'Match Names'!$1:$22, 7, FALSE), ""!C3:R29"")), {4;9;13;19}, FALSE)), 'Player Overall Stats Unsorted'!$AA$9:$AA$12), ""=X"")) + (4 - COUNTIF(IFERROR(ARRAYFORMULA(HLOOKUP($B83, IMPORTRANGE('Match Names'!$H$23, CONCAT(VLOOKUP"&amp;"($C83, 'Match Names'!$1:$22, 8, FALSE), ""!C3:R29"")), {3;9;15;21}, FALSE)), 'Player Overall Stats Unsorted'!$AA$9:$AA$12), ""=X""))"),12.0)</f>
        <v>12</v>
      </c>
      <c r="E83" s="32">
        <f>IFERROR(__xludf.DUMMYFUNCTION("COUNTIF(ARRAYFORMULA(HLOOKUP($B83, IMPORTRANGE('Prelim Rankings Unsorted'!$B$40, CONCAT(VLOOKUP($C83, 'Match Names'!$A$1:$D$22, 2, FALSE), ""!C3:R29"")), {5;10;16;22}, FALSE)), ""=4"") + COUNTIF(ARRAYFORMULA(HLOOKUP($B83, IMPORTRANGE('Prelim Rankings Unso"&amp;"rted'!$B$41, CONCAT(VLOOKUP($C83, 'Match Names'!$A$1:$D$22, 3, FALSE), ""!C3:R29"")), {2;8;14;20}, FALSE)), ""=4"") + COUNTIF(ARRAYFORMULA(HLOOKUP($B83, IMPORTRANGE('Prelim Rankings Unsorted'!$B$42, CONCAT(VLOOKUP($C83, 'Match Names'!$A$1:$D$22, 4, FALSE)"&amp;", ""!C3:R29"")), {4;10;16;22}, FALSE)), ""=4"") + COUNTIF(ARRAYFORMULA(HLOOKUP($B83, IMPORTRANGE('Match Names'!$E$23, CONCAT(VLOOKUP($C83, 'Match Names'!$1:$22, 5, FALSE), ""!C3:R29"")), {5;10;15;20}, FALSE)), ""=4"") + COUNTIF(ARRAYFORMULA(HLOOKUP($B83, "&amp;"IMPORTRANGE('Match Names'!$F$23, CONCAT(VLOOKUP($C83, 'Match Names'!$1:$22, 6, FALSE), ""!C3:R29"")), {4;10;16;22}, FALSE)), ""=4"") + COUNTIF(ARRAYFORMULA(HLOOKUP($B83, IMPORTRANGE('Match Names'!$G$23, CONCAT(VLOOKUP($C83, 'Match Names'!$1:$22, 7, FALSE)"&amp;", ""!C3:R29"")), {4;9;13;19}, FALSE)), ""=4"") + COUNTIF(ARRAYFORMULA(HLOOKUP($B83, IMPORTRANGE('Match Names'!$H$23, CONCAT(VLOOKUP($C83, 'Match Names'!$1:$22, 8, FALSE), ""!C3:R29"")), {3;9;15;21}, FALSE)), ""=4"")"),2.0)</f>
        <v>2</v>
      </c>
      <c r="F83" s="32">
        <f>IFERROR(__xludf.DUMMYFUNCTION("COUNTIF(ARRAYFORMULA(HLOOKUP($B83, IMPORTRANGE('Prelim Rankings Unsorted'!$B$40, CONCAT(VLOOKUP($C83, 'Match Names'!$A$1:$D$22, 2, FALSE), ""!C3:R29"")), {5;10;16;22}, FALSE)), ""=0"") + COUNTIF(ARRAYFORMULA(HLOOKUP($B83, IMPORTRANGE('Prelim Rankings Unso"&amp;"rted'!$B$41, CONCAT(VLOOKUP($C83, 'Match Names'!$A$1:$D$22, 3, FALSE), ""!C3:R29"")), {2;8;14;20}, FALSE)), ""=0"") + COUNTIF(ARRAYFORMULA(HLOOKUP($B83, IMPORTRANGE('Prelim Rankings Unsorted'!$B$42, CONCAT(VLOOKUP($C83, 'Match Names'!$A$1:$D$22, 4, FALSE)"&amp;", ""!C3:R29"")), {4;10;16;22}, FALSE)), ""=0"") + COUNTIF(ARRAYFORMULA(HLOOKUP($B83, IMPORTRANGE('Match Names'!$E$23, CONCAT(VLOOKUP($C83, 'Match Names'!$1:$22, 5, FALSE), ""!C3:R29"")), {5;10;15;20}, FALSE)), ""=0"") + COUNTIF(ARRAYFORMULA(HLOOKUP($B83, "&amp;"IMPORTRANGE('Match Names'!$F$23, CONCAT(VLOOKUP($C83, 'Match Names'!$1:$22, 6, FALSE), ""!C3:R29"")), {4;10;16;22}, FALSE)), ""=0"") + COUNTIF(ARRAYFORMULA(HLOOKUP($B83, IMPORTRANGE('Match Names'!$G$23, CONCAT(VLOOKUP($C83, 'Match Names'!$1:$22, 7, FALSE)"&amp;", ""!C3:R29"")), {4;9;13;19}, FALSE)), ""=0"") + COUNTIF(ARRAYFORMULA(HLOOKUP($B83, IMPORTRANGE('Match Names'!$H$23, CONCAT(VLOOKUP($C83, 'Match Names'!$1:$22, 8, FALSE), ""!C3:R29"")), {3;9;15;21}, FALSE)), ""=0"")"),3.0)</f>
        <v>3</v>
      </c>
      <c r="G83" s="32">
        <f>IFERROR(__xludf.DUMMYFUNCTION("COUNTIF(ARRAYFORMULA(HLOOKUP($B83, IMPORTRANGE('Prelim Rankings Unsorted'!$B$40, CONCAT(VLOOKUP($C83, 'Match Names'!$A$1:$D$22, 2, FALSE), ""!C3:R29"")), {5;10;16;22}, FALSE)), ""=-4"") + COUNTIF(ARRAYFORMULA(HLOOKUP($B83, IMPORTRANGE('Prelim Rankings Uns"&amp;"orted'!$B$41, CONCAT(VLOOKUP($C83, 'Match Names'!$A$1:$D$22, 3, FALSE), ""!C3:R29"")), {2;8;14;20}, FALSE)), ""=-4"") + COUNTIF(ARRAYFORMULA(HLOOKUP($B83, IMPORTRANGE('Prelim Rankings Unsorted'!$B$42, CONCAT(VLOOKUP($C83, 'Match Names'!$A$1:$D$22, 4, FALS"&amp;"E), ""!C3:R29"")), {4;10;16;22}, FALSE)), ""=-4"") + COUNTIF(ARRAYFORMULA(HLOOKUP($B83, IMPORTRANGE('Match Names'!$E$23, CONCAT(VLOOKUP($C83, 'Match Names'!$1:$22, 5, FALSE), ""!C3:R29"")), {5;10;15;20}, FALSE)), ""=-4"") + COUNTIF(ARRAYFORMULA(HLOOKUP($B"&amp;"83, IMPORTRANGE('Match Names'!$F$23, CONCAT(VLOOKUP($C83, 'Match Names'!$1:$22, 6, FALSE), ""!C3:R29"")), {4;10;16;22}, FALSE)), ""=-4"") + COUNTIF(ARRAYFORMULA(HLOOKUP($B83, IMPORTRANGE('Match Names'!$G$23, CONCAT(VLOOKUP($C83, 'Match Names'!$1:$22, 7, F"&amp;"ALSE), ""!C3:R29"")), {4;9;13;19}, FALSE)), ""=-4"") + COUNTIF(ARRAYFORMULA(HLOOKUP($B83, IMPORTRANGE('Match Names'!$H$23, CONCAT(VLOOKUP($C83, 'Match Names'!$1:$22, 8, FALSE), ""!C3:R29"")), {3;9;15;21}, FALSE)), ""=-4"")"),0.0)</f>
        <v>0</v>
      </c>
      <c r="H83" s="33">
        <f t="shared" si="1"/>
        <v>2.67</v>
      </c>
    </row>
    <row r="84">
      <c r="A84" s="21" t="s">
        <v>181</v>
      </c>
      <c r="B84" s="31" t="str">
        <f>VLOOKUP(CONCAT(A84, C84), 'Discord Username to Real Name'!C:D, 2, FALSE)</f>
        <v>ronster#8561</v>
      </c>
      <c r="C84" s="21" t="s">
        <v>26</v>
      </c>
      <c r="D84" s="32">
        <f>IFERROR(__xludf.DUMMYFUNCTION("(4 - COUNTIF(IFERROR(ARRAYFORMULA(HLOOKUP($B84, IMPORTRANGE('Prelim Rankings Unsorted'!$B$40, CONCAT(VLOOKUP($C84, 'Match Names'!$A$1:$D$22, 2, FALSE), ""!C3:R29"")), {5;10;16;22}, FALSE)), 'Player Overall Stats Unsorted'!$AA$9:$AA$12), ""=X"")) + (4 - CO"&amp;"UNTIF(IFERROR(ARRAYFORMULA(HLOOKUP($B84, IMPORTRANGE('Prelim Rankings Unsorted'!$B$41, CONCAT(VLOOKUP($C84, 'Match Names'!$A$1:$D$22, 3, FALSE), ""!C3:R29"")), {2;8;14;20}, FALSE)), 'Player Overall Stats Unsorted'!$AA$9:$AA$12), ""=X"")) + (4 - COUNTIF(IF"&amp;"ERROR(ARRAYFORMULA(HLOOKUP($B84, IMPORTRANGE('Prelim Rankings Unsorted'!$B$42, CONCAT(VLOOKUP($C84, 'Match Names'!$A$1:$D$22, 4, FALSE), ""!C3:R29"")), {4;10;16;22}, FALSE)), 'Player Overall Stats Unsorted'!$AA$9:$AA$12), ""=X"")) + (4 - COUNTIF(IFERROR(A"&amp;"RRAYFORMULA(HLOOKUP($B84, IMPORTRANGE('Match Names'!$E$23, CONCAT(VLOOKUP($C84, 'Match Names'!$1:$22, 5, FALSE), ""!C3:R29"")), {5;10;15;20}, FALSE)), 'Player Overall Stats Unsorted'!$AA$9:$AA$12), ""=X"")) + (4 - COUNTIF(IFERROR(ARRAYFORMULA(HLOOKUP($B84"&amp;", IMPORTRANGE('Match Names'!$F$23, CONCAT(VLOOKUP($C84, 'Match Names'!$1:$22, 6, FALSE), ""!C3:R29"")), {4;10;16;22}, FALSE)), 'Player Overall Stats Unsorted'!$AA$9:$AA$12), ""=X"")) + (4 - COUNTIF(IFERROR(ARRAYFORMULA(HLOOKUP($B84, IMPORTRANGE('Match Nam"&amp;"es'!$G$23, CONCAT(VLOOKUP($C84, 'Match Names'!$1:$22, 7, FALSE), ""!C3:R29"")), {4;9;13;19}, FALSE)), 'Player Overall Stats Unsorted'!$AA$9:$AA$12), ""=X"")) + (4 - COUNTIF(IFERROR(ARRAYFORMULA(HLOOKUP($B84, IMPORTRANGE('Match Names'!$H$23, CONCAT(VLOOKUP"&amp;"($C84, 'Match Names'!$1:$22, 8, FALSE), ""!C3:R29"")), {3;9;15;21}, FALSE)), 'Player Overall Stats Unsorted'!$AA$9:$AA$12), ""=X""))"),8.0)</f>
        <v>8</v>
      </c>
      <c r="E84" s="32">
        <f>IFERROR(__xludf.DUMMYFUNCTION("COUNTIF(ARRAYFORMULA(HLOOKUP($B84, IMPORTRANGE('Prelim Rankings Unsorted'!$B$40, CONCAT(VLOOKUP($C84, 'Match Names'!$A$1:$D$22, 2, FALSE), ""!C3:R29"")), {5;10;16;22}, FALSE)), ""=4"") + COUNTIF(ARRAYFORMULA(HLOOKUP($B84, IMPORTRANGE('Prelim Rankings Unso"&amp;"rted'!$B$41, CONCAT(VLOOKUP($C84, 'Match Names'!$A$1:$D$22, 3, FALSE), ""!C3:R29"")), {2;8;14;20}, FALSE)), ""=4"") + COUNTIF(ARRAYFORMULA(HLOOKUP($B84, IMPORTRANGE('Prelim Rankings Unsorted'!$B$42, CONCAT(VLOOKUP($C84, 'Match Names'!$A$1:$D$22, 4, FALSE)"&amp;", ""!C3:R29"")), {4;10;16;22}, FALSE)), ""=4"") + COUNTIF(ARRAYFORMULA(HLOOKUP($B84, IMPORTRANGE('Match Names'!$E$23, CONCAT(VLOOKUP($C84, 'Match Names'!$1:$22, 5, FALSE), ""!C3:R29"")), {5;10;15;20}, FALSE)), ""=4"") + COUNTIF(ARRAYFORMULA(HLOOKUP($B84, "&amp;"IMPORTRANGE('Match Names'!$F$23, CONCAT(VLOOKUP($C84, 'Match Names'!$1:$22, 6, FALSE), ""!C3:R29"")), {4;10;16;22}, FALSE)), ""=4"") + COUNTIF(ARRAYFORMULA(HLOOKUP($B84, IMPORTRANGE('Match Names'!$G$23, CONCAT(VLOOKUP($C84, 'Match Names'!$1:$22, 7, FALSE)"&amp;", ""!C3:R29"")), {4;9;13;19}, FALSE)), ""=4"") + COUNTIF(ARRAYFORMULA(HLOOKUP($B84, IMPORTRANGE('Match Names'!$H$23, CONCAT(VLOOKUP($C84, 'Match Names'!$1:$22, 8, FALSE), ""!C3:R29"")), {3;9;15;21}, FALSE)), ""=4"")"),0.0)</f>
        <v>0</v>
      </c>
      <c r="F84" s="32">
        <f>IFERROR(__xludf.DUMMYFUNCTION("COUNTIF(ARRAYFORMULA(HLOOKUP($B84, IMPORTRANGE('Prelim Rankings Unsorted'!$B$40, CONCAT(VLOOKUP($C84, 'Match Names'!$A$1:$D$22, 2, FALSE), ""!C3:R29"")), {5;10;16;22}, FALSE)), ""=0"") + COUNTIF(ARRAYFORMULA(HLOOKUP($B84, IMPORTRANGE('Prelim Rankings Unso"&amp;"rted'!$B$41, CONCAT(VLOOKUP($C84, 'Match Names'!$A$1:$D$22, 3, FALSE), ""!C3:R29"")), {2;8;14;20}, FALSE)), ""=0"") + COUNTIF(ARRAYFORMULA(HLOOKUP($B84, IMPORTRANGE('Prelim Rankings Unsorted'!$B$42, CONCAT(VLOOKUP($C84, 'Match Names'!$A$1:$D$22, 4, FALSE)"&amp;", ""!C3:R29"")), {4;10;16;22}, FALSE)), ""=0"") + COUNTIF(ARRAYFORMULA(HLOOKUP($B84, IMPORTRANGE('Match Names'!$E$23, CONCAT(VLOOKUP($C84, 'Match Names'!$1:$22, 5, FALSE), ""!C3:R29"")), {5;10;15;20}, FALSE)), ""=0"") + COUNTIF(ARRAYFORMULA(HLOOKUP($B84, "&amp;"IMPORTRANGE('Match Names'!$F$23, CONCAT(VLOOKUP($C84, 'Match Names'!$1:$22, 6, FALSE), ""!C3:R29"")), {4;10;16;22}, FALSE)), ""=0"") + COUNTIF(ARRAYFORMULA(HLOOKUP($B84, IMPORTRANGE('Match Names'!$G$23, CONCAT(VLOOKUP($C84, 'Match Names'!$1:$22, 7, FALSE)"&amp;", ""!C3:R29"")), {4;9;13;19}, FALSE)), ""=0"") + COUNTIF(ARRAYFORMULA(HLOOKUP($B84, IMPORTRANGE('Match Names'!$H$23, CONCAT(VLOOKUP($C84, 'Match Names'!$1:$22, 8, FALSE), ""!C3:R29"")), {3;9;15;21}, FALSE)), ""=0"")"),1.0)</f>
        <v>1</v>
      </c>
      <c r="G84" s="32">
        <f>IFERROR(__xludf.DUMMYFUNCTION("COUNTIF(ARRAYFORMULA(HLOOKUP($B84, IMPORTRANGE('Prelim Rankings Unsorted'!$B$40, CONCAT(VLOOKUP($C84, 'Match Names'!$A$1:$D$22, 2, FALSE), ""!C3:R29"")), {5;10;16;22}, FALSE)), ""=-4"") + COUNTIF(ARRAYFORMULA(HLOOKUP($B84, IMPORTRANGE('Prelim Rankings Uns"&amp;"orted'!$B$41, CONCAT(VLOOKUP($C84, 'Match Names'!$A$1:$D$22, 3, FALSE), ""!C3:R29"")), {2;8;14;20}, FALSE)), ""=-4"") + COUNTIF(ARRAYFORMULA(HLOOKUP($B84, IMPORTRANGE('Prelim Rankings Unsorted'!$B$42, CONCAT(VLOOKUP($C84, 'Match Names'!$A$1:$D$22, 4, FALS"&amp;"E), ""!C3:R29"")), {4;10;16;22}, FALSE)), ""=-4"") + COUNTIF(ARRAYFORMULA(HLOOKUP($B84, IMPORTRANGE('Match Names'!$E$23, CONCAT(VLOOKUP($C84, 'Match Names'!$1:$22, 5, FALSE), ""!C3:R29"")), {5;10;15;20}, FALSE)), ""=-4"") + COUNTIF(ARRAYFORMULA(HLOOKUP($B"&amp;"84, IMPORTRANGE('Match Names'!$F$23, CONCAT(VLOOKUP($C84, 'Match Names'!$1:$22, 6, FALSE), ""!C3:R29"")), {4;10;16;22}, FALSE)), ""=-4"") + COUNTIF(ARRAYFORMULA(HLOOKUP($B84, IMPORTRANGE('Match Names'!$G$23, CONCAT(VLOOKUP($C84, 'Match Names'!$1:$22, 7, F"&amp;"ALSE), ""!C3:R29"")), {4;9;13;19}, FALSE)), ""=-4"") + COUNTIF(ARRAYFORMULA(HLOOKUP($B84, IMPORTRANGE('Match Names'!$H$23, CONCAT(VLOOKUP($C84, 'Match Names'!$1:$22, 8, FALSE), ""!C3:R29"")), {3;9;15;21}, FALSE)), ""=-4"")"),0.0)</f>
        <v>0</v>
      </c>
      <c r="H84" s="33">
        <f t="shared" si="1"/>
        <v>0</v>
      </c>
    </row>
    <row r="85">
      <c r="A85" s="21" t="s">
        <v>192</v>
      </c>
      <c r="B85" s="31" t="str">
        <f>VLOOKUP(CONCAT(A85, C85), 'Discord Username to Real Name'!C:D, 2, FALSE)</f>
        <v>aditi#0716</v>
      </c>
      <c r="C85" s="21" t="s">
        <v>26</v>
      </c>
      <c r="D85" s="32">
        <f>IFERROR(__xludf.DUMMYFUNCTION("(4 - COUNTIF(IFERROR(ARRAYFORMULA(HLOOKUP($B85, IMPORTRANGE('Prelim Rankings Unsorted'!$B$40, CONCAT(VLOOKUP($C85, 'Match Names'!$A$1:$D$22, 2, FALSE), ""!C3:R29"")), {5;10;16;22}, FALSE)), 'Player Overall Stats Unsorted'!$AA$9:$AA$12), ""=X"")) + (4 - CO"&amp;"UNTIF(IFERROR(ARRAYFORMULA(HLOOKUP($B85, IMPORTRANGE('Prelim Rankings Unsorted'!$B$41, CONCAT(VLOOKUP($C85, 'Match Names'!$A$1:$D$22, 3, FALSE), ""!C3:R29"")), {2;8;14;20}, FALSE)), 'Player Overall Stats Unsorted'!$AA$9:$AA$12), ""=X"")) + (4 - COUNTIF(IF"&amp;"ERROR(ARRAYFORMULA(HLOOKUP($B85, IMPORTRANGE('Prelim Rankings Unsorted'!$B$42, CONCAT(VLOOKUP($C85, 'Match Names'!$A$1:$D$22, 4, FALSE), ""!C3:R29"")), {4;10;16;22}, FALSE)), 'Player Overall Stats Unsorted'!$AA$9:$AA$12), ""=X"")) + (4 - COUNTIF(IFERROR(A"&amp;"RRAYFORMULA(HLOOKUP($B85, IMPORTRANGE('Match Names'!$E$23, CONCAT(VLOOKUP($C85, 'Match Names'!$1:$22, 5, FALSE), ""!C3:R29"")), {5;10;15;20}, FALSE)), 'Player Overall Stats Unsorted'!$AA$9:$AA$12), ""=X"")) + (4 - COUNTIF(IFERROR(ARRAYFORMULA(HLOOKUP($B85"&amp;", IMPORTRANGE('Match Names'!$F$23, CONCAT(VLOOKUP($C85, 'Match Names'!$1:$22, 6, FALSE), ""!C3:R29"")), {4;10;16;22}, FALSE)), 'Player Overall Stats Unsorted'!$AA$9:$AA$12), ""=X"")) + (4 - COUNTIF(IFERROR(ARRAYFORMULA(HLOOKUP($B85, IMPORTRANGE('Match Nam"&amp;"es'!$G$23, CONCAT(VLOOKUP($C85, 'Match Names'!$1:$22, 7, FALSE), ""!C3:R29"")), {4;9;13;19}, FALSE)), 'Player Overall Stats Unsorted'!$AA$9:$AA$12), ""=X"")) + (4 - COUNTIF(IFERROR(ARRAYFORMULA(HLOOKUP($B85, IMPORTRANGE('Match Names'!$H$23, CONCAT(VLOOKUP"&amp;"($C85, 'Match Names'!$1:$22, 8, FALSE), ""!C3:R29"")), {3;9;15;21}, FALSE)), 'Player Overall Stats Unsorted'!$AA$9:$AA$12), ""=X""))"),4.0)</f>
        <v>4</v>
      </c>
      <c r="E85" s="32">
        <f>IFERROR(__xludf.DUMMYFUNCTION("COUNTIF(ARRAYFORMULA(HLOOKUP($B85, IMPORTRANGE('Prelim Rankings Unsorted'!$B$40, CONCAT(VLOOKUP($C85, 'Match Names'!$A$1:$D$22, 2, FALSE), ""!C3:R29"")), {5;10;16;22}, FALSE)), ""=4"") + COUNTIF(ARRAYFORMULA(HLOOKUP($B85, IMPORTRANGE('Prelim Rankings Unso"&amp;"rted'!$B$41, CONCAT(VLOOKUP($C85, 'Match Names'!$A$1:$D$22, 3, FALSE), ""!C3:R29"")), {2;8;14;20}, FALSE)), ""=4"") + COUNTIF(ARRAYFORMULA(HLOOKUP($B85, IMPORTRANGE('Prelim Rankings Unsorted'!$B$42, CONCAT(VLOOKUP($C85, 'Match Names'!$A$1:$D$22, 4, FALSE)"&amp;", ""!C3:R29"")), {4;10;16;22}, FALSE)), ""=4"") + COUNTIF(ARRAYFORMULA(HLOOKUP($B85, IMPORTRANGE('Match Names'!$E$23, CONCAT(VLOOKUP($C85, 'Match Names'!$1:$22, 5, FALSE), ""!C3:R29"")), {5;10;15;20}, FALSE)), ""=4"") + COUNTIF(ARRAYFORMULA(HLOOKUP($B85, "&amp;"IMPORTRANGE('Match Names'!$F$23, CONCAT(VLOOKUP($C85, 'Match Names'!$1:$22, 6, FALSE), ""!C3:R29"")), {4;10;16;22}, FALSE)), ""=4"") + COUNTIF(ARRAYFORMULA(HLOOKUP($B85, IMPORTRANGE('Match Names'!$G$23, CONCAT(VLOOKUP($C85, 'Match Names'!$1:$22, 7, FALSE)"&amp;", ""!C3:R29"")), {4;9;13;19}, FALSE)), ""=4"") + COUNTIF(ARRAYFORMULA(HLOOKUP($B85, IMPORTRANGE('Match Names'!$H$23, CONCAT(VLOOKUP($C85, 'Match Names'!$1:$22, 8, FALSE), ""!C3:R29"")), {3;9;15;21}, FALSE)), ""=4"")"),0.0)</f>
        <v>0</v>
      </c>
      <c r="F85" s="32">
        <f>IFERROR(__xludf.DUMMYFUNCTION("COUNTIF(ARRAYFORMULA(HLOOKUP($B85, IMPORTRANGE('Prelim Rankings Unsorted'!$B$40, CONCAT(VLOOKUP($C85, 'Match Names'!$A$1:$D$22, 2, FALSE), ""!C3:R29"")), {5;10;16;22}, FALSE)), ""=0"") + COUNTIF(ARRAYFORMULA(HLOOKUP($B85, IMPORTRANGE('Prelim Rankings Unso"&amp;"rted'!$B$41, CONCAT(VLOOKUP($C85, 'Match Names'!$A$1:$D$22, 3, FALSE), ""!C3:R29"")), {2;8;14;20}, FALSE)), ""=0"") + COUNTIF(ARRAYFORMULA(HLOOKUP($B85, IMPORTRANGE('Prelim Rankings Unsorted'!$B$42, CONCAT(VLOOKUP($C85, 'Match Names'!$A$1:$D$22, 4, FALSE)"&amp;", ""!C3:R29"")), {4;10;16;22}, FALSE)), ""=0"") + COUNTIF(ARRAYFORMULA(HLOOKUP($B85, IMPORTRANGE('Match Names'!$E$23, CONCAT(VLOOKUP($C85, 'Match Names'!$1:$22, 5, FALSE), ""!C3:R29"")), {5;10;15;20}, FALSE)), ""=0"") + COUNTIF(ARRAYFORMULA(HLOOKUP($B85, "&amp;"IMPORTRANGE('Match Names'!$F$23, CONCAT(VLOOKUP($C85, 'Match Names'!$1:$22, 6, FALSE), ""!C3:R29"")), {4;10;16;22}, FALSE)), ""=0"") + COUNTIF(ARRAYFORMULA(HLOOKUP($B85, IMPORTRANGE('Match Names'!$G$23, CONCAT(VLOOKUP($C85, 'Match Names'!$1:$22, 7, FALSE)"&amp;", ""!C3:R29"")), {4;9;13;19}, FALSE)), ""=0"") + COUNTIF(ARRAYFORMULA(HLOOKUP($B85, IMPORTRANGE('Match Names'!$H$23, CONCAT(VLOOKUP($C85, 'Match Names'!$1:$22, 8, FALSE), ""!C3:R29"")), {3;9;15;21}, FALSE)), ""=0"")"),0.0)</f>
        <v>0</v>
      </c>
      <c r="G85" s="32">
        <f>IFERROR(__xludf.DUMMYFUNCTION("COUNTIF(ARRAYFORMULA(HLOOKUP($B85, IMPORTRANGE('Prelim Rankings Unsorted'!$B$40, CONCAT(VLOOKUP($C85, 'Match Names'!$A$1:$D$22, 2, FALSE), ""!C3:R29"")), {5;10;16;22}, FALSE)), ""=-4"") + COUNTIF(ARRAYFORMULA(HLOOKUP($B85, IMPORTRANGE('Prelim Rankings Uns"&amp;"orted'!$B$41, CONCAT(VLOOKUP($C85, 'Match Names'!$A$1:$D$22, 3, FALSE), ""!C3:R29"")), {2;8;14;20}, FALSE)), ""=-4"") + COUNTIF(ARRAYFORMULA(HLOOKUP($B85, IMPORTRANGE('Prelim Rankings Unsorted'!$B$42, CONCAT(VLOOKUP($C85, 'Match Names'!$A$1:$D$22, 4, FALS"&amp;"E), ""!C3:R29"")), {4;10;16;22}, FALSE)), ""=-4"") + COUNTIF(ARRAYFORMULA(HLOOKUP($B85, IMPORTRANGE('Match Names'!$E$23, CONCAT(VLOOKUP($C85, 'Match Names'!$1:$22, 5, FALSE), ""!C3:R29"")), {5;10;15;20}, FALSE)), ""=-4"") + COUNTIF(ARRAYFORMULA(HLOOKUP($B"&amp;"85, IMPORTRANGE('Match Names'!$F$23, CONCAT(VLOOKUP($C85, 'Match Names'!$1:$22, 6, FALSE), ""!C3:R29"")), {4;10;16;22}, FALSE)), ""=-4"") + COUNTIF(ARRAYFORMULA(HLOOKUP($B85, IMPORTRANGE('Match Names'!$G$23, CONCAT(VLOOKUP($C85, 'Match Names'!$1:$22, 7, F"&amp;"ALSE), ""!C3:R29"")), {4;9;13;19}, FALSE)), ""=-4"") + COUNTIF(ARRAYFORMULA(HLOOKUP($B85, IMPORTRANGE('Match Names'!$H$23, CONCAT(VLOOKUP($C85, 'Match Names'!$1:$22, 8, FALSE), ""!C3:R29"")), {3;9;15;21}, FALSE)), ""=-4"")"),0.0)</f>
        <v>0</v>
      </c>
      <c r="H85" s="33">
        <f t="shared" si="1"/>
        <v>0</v>
      </c>
    </row>
    <row r="86">
      <c r="A86" s="21" t="s">
        <v>37</v>
      </c>
      <c r="B86" s="31" t="str">
        <f>VLOOKUP(CONCAT(A86, C86), 'Discord Username to Real Name'!C:D, 2, FALSE)</f>
        <v>aurum#9391</v>
      </c>
      <c r="C86" s="21" t="s">
        <v>18</v>
      </c>
      <c r="D86" s="32">
        <f>IFERROR(__xludf.DUMMYFUNCTION("(4 - COUNTIF(IFERROR(ARRAYFORMULA(HLOOKUP($B86, IMPORTRANGE('Prelim Rankings Unsorted'!$B$40, CONCAT(VLOOKUP($C86, 'Match Names'!$A$1:$D$22, 2, FALSE), ""!C3:R29"")), {5;10;16;22}, FALSE)), 'Player Overall Stats Unsorted'!$AA$9:$AA$12), ""=X"")) + (4 - CO"&amp;"UNTIF(IFERROR(ARRAYFORMULA(HLOOKUP($B86, IMPORTRANGE('Prelim Rankings Unsorted'!$B$41, CONCAT(VLOOKUP($C86, 'Match Names'!$A$1:$D$22, 3, FALSE), ""!C3:R29"")), {2;8;14;20}, FALSE)), 'Player Overall Stats Unsorted'!$AA$9:$AA$12), ""=X"")) + (4 - COUNTIF(IF"&amp;"ERROR(ARRAYFORMULA(HLOOKUP($B86, IMPORTRANGE('Prelim Rankings Unsorted'!$B$42, CONCAT(VLOOKUP($C86, 'Match Names'!$A$1:$D$22, 4, FALSE), ""!C3:R29"")), {4;10;16;22}, FALSE)), 'Player Overall Stats Unsorted'!$AA$9:$AA$12), ""=X"")) + (4 - COUNTIF(IFERROR(A"&amp;"RRAYFORMULA(HLOOKUP($B86, IMPORTRANGE('Match Names'!$E$23, CONCAT(VLOOKUP($C86, 'Match Names'!$1:$22, 5, FALSE), ""!C3:R29"")), {5;10;15;20}, FALSE)), 'Player Overall Stats Unsorted'!$AA$9:$AA$12), ""=X"")) + (4 - COUNTIF(IFERROR(ARRAYFORMULA(HLOOKUP($B86"&amp;", IMPORTRANGE('Match Names'!$F$23, CONCAT(VLOOKUP($C86, 'Match Names'!$1:$22, 6, FALSE), ""!C3:R29"")), {4;10;16;22}, FALSE)), 'Player Overall Stats Unsorted'!$AA$9:$AA$12), ""=X"")) + (4 - COUNTIF(IFERROR(ARRAYFORMULA(HLOOKUP($B86, IMPORTRANGE('Match Nam"&amp;"es'!$G$23, CONCAT(VLOOKUP($C86, 'Match Names'!$1:$22, 7, FALSE), ""!C3:R29"")), {4;9;13;19}, FALSE)), 'Player Overall Stats Unsorted'!$AA$9:$AA$12), ""=X"")) + (4 - COUNTIF(IFERROR(ARRAYFORMULA(HLOOKUP($B86, IMPORTRANGE('Match Names'!$H$23, CONCAT(VLOOKUP"&amp;"($C86, 'Match Names'!$1:$22, 8, FALSE), ""!C3:R29"")), {3;9;15;21}, FALSE)), 'Player Overall Stats Unsorted'!$AA$9:$AA$12), ""=X""))"),20.0)</f>
        <v>20</v>
      </c>
      <c r="E86" s="32">
        <f>IFERROR(__xludf.DUMMYFUNCTION("COUNTIF(ARRAYFORMULA(HLOOKUP($B86, IMPORTRANGE('Prelim Rankings Unsorted'!$B$40, CONCAT(VLOOKUP($C86, 'Match Names'!$A$1:$D$22, 2, FALSE), ""!C3:R29"")), {5;10;16;22}, FALSE)), ""=4"") + COUNTIF(ARRAYFORMULA(HLOOKUP($B86, IMPORTRANGE('Prelim Rankings Unso"&amp;"rted'!$B$41, CONCAT(VLOOKUP($C86, 'Match Names'!$A$1:$D$22, 3, FALSE), ""!C3:R29"")), {2;8;14;20}, FALSE)), ""=4"") + COUNTIF(ARRAYFORMULA(HLOOKUP($B86, IMPORTRANGE('Prelim Rankings Unsorted'!$B$42, CONCAT(VLOOKUP($C86, 'Match Names'!$A$1:$D$22, 4, FALSE)"&amp;", ""!C3:R29"")), {4;10;16;22}, FALSE)), ""=4"") + COUNTIF(ARRAYFORMULA(HLOOKUP($B86, IMPORTRANGE('Match Names'!$E$23, CONCAT(VLOOKUP($C86, 'Match Names'!$1:$22, 5, FALSE), ""!C3:R29"")), {5;10;15;20}, FALSE)), ""=4"") + COUNTIF(ARRAYFORMULA(HLOOKUP($B86, "&amp;"IMPORTRANGE('Match Names'!$F$23, CONCAT(VLOOKUP($C86, 'Match Names'!$1:$22, 6, FALSE), ""!C3:R29"")), {4;10;16;22}, FALSE)), ""=4"") + COUNTIF(ARRAYFORMULA(HLOOKUP($B86, IMPORTRANGE('Match Names'!$G$23, CONCAT(VLOOKUP($C86, 'Match Names'!$1:$22, 7, FALSE)"&amp;", ""!C3:R29"")), {4;9;13;19}, FALSE)), ""=4"") + COUNTIF(ARRAYFORMULA(HLOOKUP($B86, IMPORTRANGE('Match Names'!$H$23, CONCAT(VLOOKUP($C86, 'Match Names'!$1:$22, 8, FALSE), ""!C3:R29"")), {3;9;15;21}, FALSE)), ""=4"")"),14.0)</f>
        <v>14</v>
      </c>
      <c r="F86" s="32">
        <f>IFERROR(__xludf.DUMMYFUNCTION("COUNTIF(ARRAYFORMULA(HLOOKUP($B86, IMPORTRANGE('Prelim Rankings Unsorted'!$B$40, CONCAT(VLOOKUP($C86, 'Match Names'!$A$1:$D$22, 2, FALSE), ""!C3:R29"")), {5;10;16;22}, FALSE)), ""=0"") + COUNTIF(ARRAYFORMULA(HLOOKUP($B86, IMPORTRANGE('Prelim Rankings Unso"&amp;"rted'!$B$41, CONCAT(VLOOKUP($C86, 'Match Names'!$A$1:$D$22, 3, FALSE), ""!C3:R29"")), {2;8;14;20}, FALSE)), ""=0"") + COUNTIF(ARRAYFORMULA(HLOOKUP($B86, IMPORTRANGE('Prelim Rankings Unsorted'!$B$42, CONCAT(VLOOKUP($C86, 'Match Names'!$A$1:$D$22, 4, FALSE)"&amp;", ""!C3:R29"")), {4;10;16;22}, FALSE)), ""=0"") + COUNTIF(ARRAYFORMULA(HLOOKUP($B86, IMPORTRANGE('Match Names'!$E$23, CONCAT(VLOOKUP($C86, 'Match Names'!$1:$22, 5, FALSE), ""!C3:R29"")), {5;10;15;20}, FALSE)), ""=0"") + COUNTIF(ARRAYFORMULA(HLOOKUP($B86, "&amp;"IMPORTRANGE('Match Names'!$F$23, CONCAT(VLOOKUP($C86, 'Match Names'!$1:$22, 6, FALSE), ""!C3:R29"")), {4;10;16;22}, FALSE)), ""=0"") + COUNTIF(ARRAYFORMULA(HLOOKUP($B86, IMPORTRANGE('Match Names'!$G$23, CONCAT(VLOOKUP($C86, 'Match Names'!$1:$22, 7, FALSE)"&amp;", ""!C3:R29"")), {4;9;13;19}, FALSE)), ""=0"") + COUNTIF(ARRAYFORMULA(HLOOKUP($B86, IMPORTRANGE('Match Names'!$H$23, CONCAT(VLOOKUP($C86, 'Match Names'!$1:$22, 8, FALSE), ""!C3:R29"")), {3;9;15;21}, FALSE)), ""=0"")"),3.0)</f>
        <v>3</v>
      </c>
      <c r="G86" s="32">
        <f>IFERROR(__xludf.DUMMYFUNCTION("COUNTIF(ARRAYFORMULA(HLOOKUP($B86, IMPORTRANGE('Prelim Rankings Unsorted'!$B$40, CONCAT(VLOOKUP($C86, 'Match Names'!$A$1:$D$22, 2, FALSE), ""!C3:R29"")), {5;10;16;22}, FALSE)), ""=-4"") + COUNTIF(ARRAYFORMULA(HLOOKUP($B86, IMPORTRANGE('Prelim Rankings Uns"&amp;"orted'!$B$41, CONCAT(VLOOKUP($C86, 'Match Names'!$A$1:$D$22, 3, FALSE), ""!C3:R29"")), {2;8;14;20}, FALSE)), ""=-4"") + COUNTIF(ARRAYFORMULA(HLOOKUP($B86, IMPORTRANGE('Prelim Rankings Unsorted'!$B$42, CONCAT(VLOOKUP($C86, 'Match Names'!$A$1:$D$22, 4, FALS"&amp;"E), ""!C3:R29"")), {4;10;16;22}, FALSE)), ""=-4"") + COUNTIF(ARRAYFORMULA(HLOOKUP($B86, IMPORTRANGE('Match Names'!$E$23, CONCAT(VLOOKUP($C86, 'Match Names'!$1:$22, 5, FALSE), ""!C3:R29"")), {5;10;15;20}, FALSE)), ""=-4"") + COUNTIF(ARRAYFORMULA(HLOOKUP($B"&amp;"86, IMPORTRANGE('Match Names'!$F$23, CONCAT(VLOOKUP($C86, 'Match Names'!$1:$22, 6, FALSE), ""!C3:R29"")), {4;10;16;22}, FALSE)), ""=-4"") + COUNTIF(ARRAYFORMULA(HLOOKUP($B86, IMPORTRANGE('Match Names'!$G$23, CONCAT(VLOOKUP($C86, 'Match Names'!$1:$22, 7, F"&amp;"ALSE), ""!C3:R29"")), {4;9;13;19}, FALSE)), ""=-4"") + COUNTIF(ARRAYFORMULA(HLOOKUP($B86, IMPORTRANGE('Match Names'!$H$23, CONCAT(VLOOKUP($C86, 'Match Names'!$1:$22, 8, FALSE), ""!C3:R29"")), {3;9;15;21}, FALSE)), ""=-4"")"),2.0)</f>
        <v>2</v>
      </c>
      <c r="H86" s="33">
        <f t="shared" si="1"/>
        <v>9.6</v>
      </c>
    </row>
    <row r="87">
      <c r="A87" s="21" t="s">
        <v>45</v>
      </c>
      <c r="B87" s="31" t="str">
        <f>VLOOKUP(CONCAT(A87, C87), 'Discord Username to Real Name'!C:D, 2, FALSE)</f>
        <v>Rosin#8074</v>
      </c>
      <c r="C87" s="21" t="s">
        <v>18</v>
      </c>
      <c r="D87" s="32">
        <f>IFERROR(__xludf.DUMMYFUNCTION("(4 - COUNTIF(IFERROR(ARRAYFORMULA(HLOOKUP($B87, IMPORTRANGE('Prelim Rankings Unsorted'!$B$40, CONCAT(VLOOKUP($C87, 'Match Names'!$A$1:$D$22, 2, FALSE), ""!C3:R29"")), {5;10;16;22}, FALSE)), 'Player Overall Stats Unsorted'!$AA$9:$AA$12), ""=X"")) + (4 - CO"&amp;"UNTIF(IFERROR(ARRAYFORMULA(HLOOKUP($B87, IMPORTRANGE('Prelim Rankings Unsorted'!$B$41, CONCAT(VLOOKUP($C87, 'Match Names'!$A$1:$D$22, 3, FALSE), ""!C3:R29"")), {2;8;14;20}, FALSE)), 'Player Overall Stats Unsorted'!$AA$9:$AA$12), ""=X"")) + (4 - COUNTIF(IF"&amp;"ERROR(ARRAYFORMULA(HLOOKUP($B87, IMPORTRANGE('Prelim Rankings Unsorted'!$B$42, CONCAT(VLOOKUP($C87, 'Match Names'!$A$1:$D$22, 4, FALSE), ""!C3:R29"")), {4;10;16;22}, FALSE)), 'Player Overall Stats Unsorted'!$AA$9:$AA$12), ""=X"")) + (4 - COUNTIF(IFERROR(A"&amp;"RRAYFORMULA(HLOOKUP($B87, IMPORTRANGE('Match Names'!$E$23, CONCAT(VLOOKUP($C87, 'Match Names'!$1:$22, 5, FALSE), ""!C3:R29"")), {5;10;15;20}, FALSE)), 'Player Overall Stats Unsorted'!$AA$9:$AA$12), ""=X"")) + (4 - COUNTIF(IFERROR(ARRAYFORMULA(HLOOKUP($B87"&amp;", IMPORTRANGE('Match Names'!$F$23, CONCAT(VLOOKUP($C87, 'Match Names'!$1:$22, 6, FALSE), ""!C3:R29"")), {4;10;16;22}, FALSE)), 'Player Overall Stats Unsorted'!$AA$9:$AA$12), ""=X"")) + (4 - COUNTIF(IFERROR(ARRAYFORMULA(HLOOKUP($B87, IMPORTRANGE('Match Nam"&amp;"es'!$G$23, CONCAT(VLOOKUP($C87, 'Match Names'!$1:$22, 7, FALSE), ""!C3:R29"")), {4;9;13;19}, FALSE)), 'Player Overall Stats Unsorted'!$AA$9:$AA$12), ""=X"")) + (4 - COUNTIF(IFERROR(ARRAYFORMULA(HLOOKUP($B87, IMPORTRANGE('Match Names'!$H$23, CONCAT(VLOOKUP"&amp;"($C87, 'Match Names'!$1:$22, 8, FALSE), ""!C3:R29"")), {3;9;15;21}, FALSE)), 'Player Overall Stats Unsorted'!$AA$9:$AA$12), ""=X""))"),8.0)</f>
        <v>8</v>
      </c>
      <c r="E87" s="32">
        <f>IFERROR(__xludf.DUMMYFUNCTION("COUNTIF(ARRAYFORMULA(HLOOKUP($B87, IMPORTRANGE('Prelim Rankings Unsorted'!$B$40, CONCAT(VLOOKUP($C87, 'Match Names'!$A$1:$D$22, 2, FALSE), ""!C3:R29"")), {5;10;16;22}, FALSE)), ""=4"") + COUNTIF(ARRAYFORMULA(HLOOKUP($B87, IMPORTRANGE('Prelim Rankings Unso"&amp;"rted'!$B$41, CONCAT(VLOOKUP($C87, 'Match Names'!$A$1:$D$22, 3, FALSE), ""!C3:R29"")), {2;8;14;20}, FALSE)), ""=4"") + COUNTIF(ARRAYFORMULA(HLOOKUP($B87, IMPORTRANGE('Prelim Rankings Unsorted'!$B$42, CONCAT(VLOOKUP($C87, 'Match Names'!$A$1:$D$22, 4, FALSE)"&amp;", ""!C3:R29"")), {4;10;16;22}, FALSE)), ""=4"") + COUNTIF(ARRAYFORMULA(HLOOKUP($B87, IMPORTRANGE('Match Names'!$E$23, CONCAT(VLOOKUP($C87, 'Match Names'!$1:$22, 5, FALSE), ""!C3:R29"")), {5;10;15;20}, FALSE)), ""=4"") + COUNTIF(ARRAYFORMULA(HLOOKUP($B87, "&amp;"IMPORTRANGE('Match Names'!$F$23, CONCAT(VLOOKUP($C87, 'Match Names'!$1:$22, 6, FALSE), ""!C3:R29"")), {4;10;16;22}, FALSE)), ""=4"") + COUNTIF(ARRAYFORMULA(HLOOKUP($B87, IMPORTRANGE('Match Names'!$G$23, CONCAT(VLOOKUP($C87, 'Match Names'!$1:$22, 7, FALSE)"&amp;", ""!C3:R29"")), {4;9;13;19}, FALSE)), ""=4"") + COUNTIF(ARRAYFORMULA(HLOOKUP($B87, IMPORTRANGE('Match Names'!$H$23, CONCAT(VLOOKUP($C87, 'Match Names'!$1:$22, 8, FALSE), ""!C3:R29"")), {3;9;15;21}, FALSE)), ""=4"")"),0.0)</f>
        <v>0</v>
      </c>
      <c r="F87" s="32">
        <f>IFERROR(__xludf.DUMMYFUNCTION("COUNTIF(ARRAYFORMULA(HLOOKUP($B87, IMPORTRANGE('Prelim Rankings Unsorted'!$B$40, CONCAT(VLOOKUP($C87, 'Match Names'!$A$1:$D$22, 2, FALSE), ""!C3:R29"")), {5;10;16;22}, FALSE)), ""=0"") + COUNTIF(ARRAYFORMULA(HLOOKUP($B87, IMPORTRANGE('Prelim Rankings Unso"&amp;"rted'!$B$41, CONCAT(VLOOKUP($C87, 'Match Names'!$A$1:$D$22, 3, FALSE), ""!C3:R29"")), {2;8;14;20}, FALSE)), ""=0"") + COUNTIF(ARRAYFORMULA(HLOOKUP($B87, IMPORTRANGE('Prelim Rankings Unsorted'!$B$42, CONCAT(VLOOKUP($C87, 'Match Names'!$A$1:$D$22, 4, FALSE)"&amp;", ""!C3:R29"")), {4;10;16;22}, FALSE)), ""=0"") + COUNTIF(ARRAYFORMULA(HLOOKUP($B87, IMPORTRANGE('Match Names'!$E$23, CONCAT(VLOOKUP($C87, 'Match Names'!$1:$22, 5, FALSE), ""!C3:R29"")), {5;10;15;20}, FALSE)), ""=0"") + COUNTIF(ARRAYFORMULA(HLOOKUP($B87, "&amp;"IMPORTRANGE('Match Names'!$F$23, CONCAT(VLOOKUP($C87, 'Match Names'!$1:$22, 6, FALSE), ""!C3:R29"")), {4;10;16;22}, FALSE)), ""=0"") + COUNTIF(ARRAYFORMULA(HLOOKUP($B87, IMPORTRANGE('Match Names'!$G$23, CONCAT(VLOOKUP($C87, 'Match Names'!$1:$22, 7, FALSE)"&amp;", ""!C3:R29"")), {4;9;13;19}, FALSE)), ""=0"") + COUNTIF(ARRAYFORMULA(HLOOKUP($B87, IMPORTRANGE('Match Names'!$H$23, CONCAT(VLOOKUP($C87, 'Match Names'!$1:$22, 8, FALSE), ""!C3:R29"")), {3;9;15;21}, FALSE)), ""=0"")"),0.0)</f>
        <v>0</v>
      </c>
      <c r="G87" s="32">
        <f>IFERROR(__xludf.DUMMYFUNCTION("COUNTIF(ARRAYFORMULA(HLOOKUP($B87, IMPORTRANGE('Prelim Rankings Unsorted'!$B$40, CONCAT(VLOOKUP($C87, 'Match Names'!$A$1:$D$22, 2, FALSE), ""!C3:R29"")), {5;10;16;22}, FALSE)), ""=-4"") + COUNTIF(ARRAYFORMULA(HLOOKUP($B87, IMPORTRANGE('Prelim Rankings Uns"&amp;"orted'!$B$41, CONCAT(VLOOKUP($C87, 'Match Names'!$A$1:$D$22, 3, FALSE), ""!C3:R29"")), {2;8;14;20}, FALSE)), ""=-4"") + COUNTIF(ARRAYFORMULA(HLOOKUP($B87, IMPORTRANGE('Prelim Rankings Unsorted'!$B$42, CONCAT(VLOOKUP($C87, 'Match Names'!$A$1:$D$22, 4, FALS"&amp;"E), ""!C3:R29"")), {4;10;16;22}, FALSE)), ""=-4"") + COUNTIF(ARRAYFORMULA(HLOOKUP($B87, IMPORTRANGE('Match Names'!$E$23, CONCAT(VLOOKUP($C87, 'Match Names'!$1:$22, 5, FALSE), ""!C3:R29"")), {5;10;15;20}, FALSE)), ""=-4"") + COUNTIF(ARRAYFORMULA(HLOOKUP($B"&amp;"87, IMPORTRANGE('Match Names'!$F$23, CONCAT(VLOOKUP($C87, 'Match Names'!$1:$22, 6, FALSE), ""!C3:R29"")), {4;10;16;22}, FALSE)), ""=-4"") + COUNTIF(ARRAYFORMULA(HLOOKUP($B87, IMPORTRANGE('Match Names'!$G$23, CONCAT(VLOOKUP($C87, 'Match Names'!$1:$22, 7, F"&amp;"ALSE), ""!C3:R29"")), {4;9;13;19}, FALSE)), ""=-4"") + COUNTIF(ARRAYFORMULA(HLOOKUP($B87, IMPORTRANGE('Match Names'!$H$23, CONCAT(VLOOKUP($C87, 'Match Names'!$1:$22, 8, FALSE), ""!C3:R29"")), {3;9;15;21}, FALSE)), ""=-4"")"),0.0)</f>
        <v>0</v>
      </c>
      <c r="H87" s="33">
        <f t="shared" si="1"/>
        <v>0</v>
      </c>
    </row>
    <row r="88">
      <c r="A88" s="23" t="s">
        <v>204</v>
      </c>
      <c r="B88" s="31" t="str">
        <f>VLOOKUP(CONCAT(A88, C88), 'Discord Username to Real Name'!C:D, 2, FALSE)</f>
        <v/>
      </c>
      <c r="C88" s="23" t="s">
        <v>18</v>
      </c>
      <c r="D88" s="32">
        <f>IFERROR(__xludf.DUMMYFUNCTION("(4 - COUNTIF(IFERROR(ARRAYFORMULA(HLOOKUP($B88, IMPORTRANGE('Prelim Rankings Unsorted'!$B$40, CONCAT(VLOOKUP($C88, 'Match Names'!$A$1:$D$22, 2, FALSE), ""!C3:R29"")), {5;10;16;22}, FALSE)), 'Player Overall Stats Unsorted'!$AA$9:$AA$12), ""=X"")) + (4 - CO"&amp;"UNTIF(IFERROR(ARRAYFORMULA(HLOOKUP($B88, IMPORTRANGE('Prelim Rankings Unsorted'!$B$41, CONCAT(VLOOKUP($C88, 'Match Names'!$A$1:$D$22, 3, FALSE), ""!C3:R29"")), {2;8;14;20}, FALSE)), 'Player Overall Stats Unsorted'!$AA$9:$AA$12), ""=X"")) + (4 - COUNTIF(IF"&amp;"ERROR(ARRAYFORMULA(HLOOKUP($B88, IMPORTRANGE('Prelim Rankings Unsorted'!$B$42, CONCAT(VLOOKUP($C88, 'Match Names'!$A$1:$D$22, 4, FALSE), ""!C3:R29"")), {4;10;16;22}, FALSE)), 'Player Overall Stats Unsorted'!$AA$9:$AA$12), ""=X"")) + (4 - COUNTIF(IFERROR(A"&amp;"RRAYFORMULA(HLOOKUP($B88, IMPORTRANGE('Match Names'!$E$23, CONCAT(VLOOKUP($C88, 'Match Names'!$1:$22, 5, FALSE), ""!C3:R29"")), {5;10;15;20}, FALSE)), 'Player Overall Stats Unsorted'!$AA$9:$AA$12), ""=X"")) + (4 - COUNTIF(IFERROR(ARRAYFORMULA(HLOOKUP($B88"&amp;", IMPORTRANGE('Match Names'!$F$23, CONCAT(VLOOKUP($C88, 'Match Names'!$1:$22, 6, FALSE), ""!C3:R29"")), {4;10;16;22}, FALSE)), 'Player Overall Stats Unsorted'!$AA$9:$AA$12), ""=X"")) + (4 - COUNTIF(IFERROR(ARRAYFORMULA(HLOOKUP($B88, IMPORTRANGE('Match Nam"&amp;"es'!$G$23, CONCAT(VLOOKUP($C88, 'Match Names'!$1:$22, 7, FALSE), ""!C3:R29"")), {4;9;13;19}, FALSE)), 'Player Overall Stats Unsorted'!$AA$9:$AA$12), ""=X"")) + (4 - COUNTIF(IFERROR(ARRAYFORMULA(HLOOKUP($B88, IMPORTRANGE('Match Names'!$H$23, CONCAT(VLOOKUP"&amp;"($C88, 'Match Names'!$1:$22, 8, FALSE), ""!C3:R29"")), {3;9;15;21}, FALSE)), 'Player Overall Stats Unsorted'!$AA$9:$AA$12), ""=X""))"),0.0)</f>
        <v>0</v>
      </c>
      <c r="E88" s="32">
        <f>IFERROR(__xludf.DUMMYFUNCTION("COUNTIF(ARRAYFORMULA(HLOOKUP($B88, IMPORTRANGE('Prelim Rankings Unsorted'!$B$40, CONCAT(VLOOKUP($C88, 'Match Names'!$A$1:$D$22, 2, FALSE), ""!C3:R29"")), {5;10;16;22}, FALSE)), ""=4"") + COUNTIF(ARRAYFORMULA(HLOOKUP($B88, IMPORTRANGE('Prelim Rankings Unso"&amp;"rted'!$B$41, CONCAT(VLOOKUP($C88, 'Match Names'!$A$1:$D$22, 3, FALSE), ""!C3:R29"")), {2;8;14;20}, FALSE)), ""=4"") + COUNTIF(ARRAYFORMULA(HLOOKUP($B88, IMPORTRANGE('Prelim Rankings Unsorted'!$B$42, CONCAT(VLOOKUP($C88, 'Match Names'!$A$1:$D$22, 4, FALSE)"&amp;", ""!C3:R29"")), {4;10;16;22}, FALSE)), ""=4"") + COUNTIF(ARRAYFORMULA(HLOOKUP($B88, IMPORTRANGE('Match Names'!$E$23, CONCAT(VLOOKUP($C88, 'Match Names'!$1:$22, 5, FALSE), ""!C3:R29"")), {5;10;15;20}, FALSE)), ""=4"") + COUNTIF(ARRAYFORMULA(HLOOKUP($B88, "&amp;"IMPORTRANGE('Match Names'!$F$23, CONCAT(VLOOKUP($C88, 'Match Names'!$1:$22, 6, FALSE), ""!C3:R29"")), {4;10;16;22}, FALSE)), ""=4"") + COUNTIF(ARRAYFORMULA(HLOOKUP($B88, IMPORTRANGE('Match Names'!$G$23, CONCAT(VLOOKUP($C88, 'Match Names'!$1:$22, 7, FALSE)"&amp;", ""!C3:R29"")), {4;9;13;19}, FALSE)), ""=4"") + COUNTIF(ARRAYFORMULA(HLOOKUP($B88, IMPORTRANGE('Match Names'!$H$23, CONCAT(VLOOKUP($C88, 'Match Names'!$1:$22, 8, FALSE), ""!C3:R29"")), {3;9;15;21}, FALSE)), ""=4"")"),0.0)</f>
        <v>0</v>
      </c>
      <c r="F88" s="32">
        <f>IFERROR(__xludf.DUMMYFUNCTION("COUNTIF(ARRAYFORMULA(HLOOKUP($B88, IMPORTRANGE('Prelim Rankings Unsorted'!$B$40, CONCAT(VLOOKUP($C88, 'Match Names'!$A$1:$D$22, 2, FALSE), ""!C3:R29"")), {5;10;16;22}, FALSE)), ""=0"") + COUNTIF(ARRAYFORMULA(HLOOKUP($B88, IMPORTRANGE('Prelim Rankings Unso"&amp;"rted'!$B$41, CONCAT(VLOOKUP($C88, 'Match Names'!$A$1:$D$22, 3, FALSE), ""!C3:R29"")), {2;8;14;20}, FALSE)), ""=0"") + COUNTIF(ARRAYFORMULA(HLOOKUP($B88, IMPORTRANGE('Prelim Rankings Unsorted'!$B$42, CONCAT(VLOOKUP($C88, 'Match Names'!$A$1:$D$22, 4, FALSE)"&amp;", ""!C3:R29"")), {4;10;16;22}, FALSE)), ""=0"") + COUNTIF(ARRAYFORMULA(HLOOKUP($B88, IMPORTRANGE('Match Names'!$E$23, CONCAT(VLOOKUP($C88, 'Match Names'!$1:$22, 5, FALSE), ""!C3:R29"")), {5;10;15;20}, FALSE)), ""=0"") + COUNTIF(ARRAYFORMULA(HLOOKUP($B88, "&amp;"IMPORTRANGE('Match Names'!$F$23, CONCAT(VLOOKUP($C88, 'Match Names'!$1:$22, 6, FALSE), ""!C3:R29"")), {4;10;16;22}, FALSE)), ""=0"") + COUNTIF(ARRAYFORMULA(HLOOKUP($B88, IMPORTRANGE('Match Names'!$G$23, CONCAT(VLOOKUP($C88, 'Match Names'!$1:$22, 7, FALSE)"&amp;", ""!C3:R29"")), {4;9;13;19}, FALSE)), ""=0"") + COUNTIF(ARRAYFORMULA(HLOOKUP($B88, IMPORTRANGE('Match Names'!$H$23, CONCAT(VLOOKUP($C88, 'Match Names'!$1:$22, 8, FALSE), ""!C3:R29"")), {3;9;15;21}, FALSE)), ""=0"")"),0.0)</f>
        <v>0</v>
      </c>
      <c r="G88" s="32">
        <f>IFERROR(__xludf.DUMMYFUNCTION("COUNTIF(ARRAYFORMULA(HLOOKUP($B88, IMPORTRANGE('Prelim Rankings Unsorted'!$B$40, CONCAT(VLOOKUP($C88, 'Match Names'!$A$1:$D$22, 2, FALSE), ""!C3:R29"")), {5;10;16;22}, FALSE)), ""=-4"") + COUNTIF(ARRAYFORMULA(HLOOKUP($B88, IMPORTRANGE('Prelim Rankings Uns"&amp;"orted'!$B$41, CONCAT(VLOOKUP($C88, 'Match Names'!$A$1:$D$22, 3, FALSE), ""!C3:R29"")), {2;8;14;20}, FALSE)), ""=-4"") + COUNTIF(ARRAYFORMULA(HLOOKUP($B88, IMPORTRANGE('Prelim Rankings Unsorted'!$B$42, CONCAT(VLOOKUP($C88, 'Match Names'!$A$1:$D$22, 4, FALS"&amp;"E), ""!C3:R29"")), {4;10;16;22}, FALSE)), ""=-4"") + COUNTIF(ARRAYFORMULA(HLOOKUP($B88, IMPORTRANGE('Match Names'!$E$23, CONCAT(VLOOKUP($C88, 'Match Names'!$1:$22, 5, FALSE), ""!C3:R29"")), {5;10;15;20}, FALSE)), ""=-4"") + COUNTIF(ARRAYFORMULA(HLOOKUP($B"&amp;"88, IMPORTRANGE('Match Names'!$F$23, CONCAT(VLOOKUP($C88, 'Match Names'!$1:$22, 6, FALSE), ""!C3:R29"")), {4;10;16;22}, FALSE)), ""=-4"") + COUNTIF(ARRAYFORMULA(HLOOKUP($B88, IMPORTRANGE('Match Names'!$G$23, CONCAT(VLOOKUP($C88, 'Match Names'!$1:$22, 7, F"&amp;"ALSE), ""!C3:R29"")), {4;9;13;19}, FALSE)), ""=-4"") + COUNTIF(ARRAYFORMULA(HLOOKUP($B88, IMPORTRANGE('Match Names'!$H$23, CONCAT(VLOOKUP($C88, 'Match Names'!$1:$22, 8, FALSE), ""!C3:R29"")), {3;9;15;21}, FALSE)), ""=-4"")"),0.0)</f>
        <v>0</v>
      </c>
      <c r="H88" s="33">
        <f t="shared" si="1"/>
        <v>0</v>
      </c>
    </row>
    <row r="89">
      <c r="A89" s="21" t="s">
        <v>117</v>
      </c>
      <c r="B89" s="31" t="str">
        <f>VLOOKUP(CONCAT(A89, C89), 'Discord Username to Real Name'!C:D, 2, FALSE)</f>
        <v>the-wraith#2013</v>
      </c>
      <c r="C89" s="21" t="s">
        <v>18</v>
      </c>
      <c r="D89" s="32">
        <f>IFERROR(__xludf.DUMMYFUNCTION("(4 - COUNTIF(IFERROR(ARRAYFORMULA(HLOOKUP($B89, IMPORTRANGE('Prelim Rankings Unsorted'!$B$40, CONCAT(VLOOKUP($C89, 'Match Names'!$A$1:$D$22, 2, FALSE), ""!C3:R29"")), {5;10;16;22}, FALSE)), 'Player Overall Stats Unsorted'!$AA$9:$AA$12), ""=X"")) + (4 - CO"&amp;"UNTIF(IFERROR(ARRAYFORMULA(HLOOKUP($B89, IMPORTRANGE('Prelim Rankings Unsorted'!$B$41, CONCAT(VLOOKUP($C89, 'Match Names'!$A$1:$D$22, 3, FALSE), ""!C3:R29"")), {2;8;14;20}, FALSE)), 'Player Overall Stats Unsorted'!$AA$9:$AA$12), ""=X"")) + (4 - COUNTIF(IF"&amp;"ERROR(ARRAYFORMULA(HLOOKUP($B89, IMPORTRANGE('Prelim Rankings Unsorted'!$B$42, CONCAT(VLOOKUP($C89, 'Match Names'!$A$1:$D$22, 4, FALSE), ""!C3:R29"")), {4;10;16;22}, FALSE)), 'Player Overall Stats Unsorted'!$AA$9:$AA$12), ""=X"")) + (4 - COUNTIF(IFERROR(A"&amp;"RRAYFORMULA(HLOOKUP($B89, IMPORTRANGE('Match Names'!$E$23, CONCAT(VLOOKUP($C89, 'Match Names'!$1:$22, 5, FALSE), ""!C3:R29"")), {5;10;15;20}, FALSE)), 'Player Overall Stats Unsorted'!$AA$9:$AA$12), ""=X"")) + (4 - COUNTIF(IFERROR(ARRAYFORMULA(HLOOKUP($B89"&amp;", IMPORTRANGE('Match Names'!$F$23, CONCAT(VLOOKUP($C89, 'Match Names'!$1:$22, 6, FALSE), ""!C3:R29"")), {4;10;16;22}, FALSE)), 'Player Overall Stats Unsorted'!$AA$9:$AA$12), ""=X"")) + (4 - COUNTIF(IFERROR(ARRAYFORMULA(HLOOKUP($B89, IMPORTRANGE('Match Nam"&amp;"es'!$G$23, CONCAT(VLOOKUP($C89, 'Match Names'!$1:$22, 7, FALSE), ""!C3:R29"")), {4;9;13;19}, FALSE)), 'Player Overall Stats Unsorted'!$AA$9:$AA$12), ""=X"")) + (4 - COUNTIF(IFERROR(ARRAYFORMULA(HLOOKUP($B89, IMPORTRANGE('Match Names'!$H$23, CONCAT(VLOOKUP"&amp;"($C89, 'Match Names'!$1:$22, 8, FALSE), ""!C3:R29"")), {3;9;15;21}, FALSE)), 'Player Overall Stats Unsorted'!$AA$9:$AA$12), ""=X""))"),20.0)</f>
        <v>20</v>
      </c>
      <c r="E89" s="32">
        <f>IFERROR(__xludf.DUMMYFUNCTION("COUNTIF(ARRAYFORMULA(HLOOKUP($B89, IMPORTRANGE('Prelim Rankings Unsorted'!$B$40, CONCAT(VLOOKUP($C89, 'Match Names'!$A$1:$D$22, 2, FALSE), ""!C3:R29"")), {5;10;16;22}, FALSE)), ""=4"") + COUNTIF(ARRAYFORMULA(HLOOKUP($B89, IMPORTRANGE('Prelim Rankings Unso"&amp;"rted'!$B$41, CONCAT(VLOOKUP($C89, 'Match Names'!$A$1:$D$22, 3, FALSE), ""!C3:R29"")), {2;8;14;20}, FALSE)), ""=4"") + COUNTIF(ARRAYFORMULA(HLOOKUP($B89, IMPORTRANGE('Prelim Rankings Unsorted'!$B$42, CONCAT(VLOOKUP($C89, 'Match Names'!$A$1:$D$22, 4, FALSE)"&amp;", ""!C3:R29"")), {4;10;16;22}, FALSE)), ""=4"") + COUNTIF(ARRAYFORMULA(HLOOKUP($B89, IMPORTRANGE('Match Names'!$E$23, CONCAT(VLOOKUP($C89, 'Match Names'!$1:$22, 5, FALSE), ""!C3:R29"")), {5;10;15;20}, FALSE)), ""=4"") + COUNTIF(ARRAYFORMULA(HLOOKUP($B89, "&amp;"IMPORTRANGE('Match Names'!$F$23, CONCAT(VLOOKUP($C89, 'Match Names'!$1:$22, 6, FALSE), ""!C3:R29"")), {4;10;16;22}, FALSE)), ""=4"") + COUNTIF(ARRAYFORMULA(HLOOKUP($B89, IMPORTRANGE('Match Names'!$G$23, CONCAT(VLOOKUP($C89, 'Match Names'!$1:$22, 7, FALSE)"&amp;", ""!C3:R29"")), {4;9;13;19}, FALSE)), ""=4"") + COUNTIF(ARRAYFORMULA(HLOOKUP($B89, IMPORTRANGE('Match Names'!$H$23, CONCAT(VLOOKUP($C89, 'Match Names'!$1:$22, 8, FALSE), ""!C3:R29"")), {3;9;15;21}, FALSE)), ""=4"")"),0.0)</f>
        <v>0</v>
      </c>
      <c r="F89" s="32">
        <f>IFERROR(__xludf.DUMMYFUNCTION("COUNTIF(ARRAYFORMULA(HLOOKUP($B89, IMPORTRANGE('Prelim Rankings Unsorted'!$B$40, CONCAT(VLOOKUP($C89, 'Match Names'!$A$1:$D$22, 2, FALSE), ""!C3:R29"")), {5;10;16;22}, FALSE)), ""=0"") + COUNTIF(ARRAYFORMULA(HLOOKUP($B89, IMPORTRANGE('Prelim Rankings Unso"&amp;"rted'!$B$41, CONCAT(VLOOKUP($C89, 'Match Names'!$A$1:$D$22, 3, FALSE), ""!C3:R29"")), {2;8;14;20}, FALSE)), ""=0"") + COUNTIF(ARRAYFORMULA(HLOOKUP($B89, IMPORTRANGE('Prelim Rankings Unsorted'!$B$42, CONCAT(VLOOKUP($C89, 'Match Names'!$A$1:$D$22, 4, FALSE)"&amp;", ""!C3:R29"")), {4;10;16;22}, FALSE)), ""=0"") + COUNTIF(ARRAYFORMULA(HLOOKUP($B89, IMPORTRANGE('Match Names'!$E$23, CONCAT(VLOOKUP($C89, 'Match Names'!$1:$22, 5, FALSE), ""!C3:R29"")), {5;10;15;20}, FALSE)), ""=0"") + COUNTIF(ARRAYFORMULA(HLOOKUP($B89, "&amp;"IMPORTRANGE('Match Names'!$F$23, CONCAT(VLOOKUP($C89, 'Match Names'!$1:$22, 6, FALSE), ""!C3:R29"")), {4;10;16;22}, FALSE)), ""=0"") + COUNTIF(ARRAYFORMULA(HLOOKUP($B89, IMPORTRANGE('Match Names'!$G$23, CONCAT(VLOOKUP($C89, 'Match Names'!$1:$22, 7, FALSE)"&amp;", ""!C3:R29"")), {4;9;13;19}, FALSE)), ""=0"") + COUNTIF(ARRAYFORMULA(HLOOKUP($B89, IMPORTRANGE('Match Names'!$H$23, CONCAT(VLOOKUP($C89, 'Match Names'!$1:$22, 8, FALSE), ""!C3:R29"")), {3;9;15;21}, FALSE)), ""=0"")"),0.0)</f>
        <v>0</v>
      </c>
      <c r="G89" s="32">
        <f>IFERROR(__xludf.DUMMYFUNCTION("COUNTIF(ARRAYFORMULA(HLOOKUP($B89, IMPORTRANGE('Prelim Rankings Unsorted'!$B$40, CONCAT(VLOOKUP($C89, 'Match Names'!$A$1:$D$22, 2, FALSE), ""!C3:R29"")), {5;10;16;22}, FALSE)), ""=-4"") + COUNTIF(ARRAYFORMULA(HLOOKUP($B89, IMPORTRANGE('Prelim Rankings Uns"&amp;"orted'!$B$41, CONCAT(VLOOKUP($C89, 'Match Names'!$A$1:$D$22, 3, FALSE), ""!C3:R29"")), {2;8;14;20}, FALSE)), ""=-4"") + COUNTIF(ARRAYFORMULA(HLOOKUP($B89, IMPORTRANGE('Prelim Rankings Unsorted'!$B$42, CONCAT(VLOOKUP($C89, 'Match Names'!$A$1:$D$22, 4, FALS"&amp;"E), ""!C3:R29"")), {4;10;16;22}, FALSE)), ""=-4"") + COUNTIF(ARRAYFORMULA(HLOOKUP($B89, IMPORTRANGE('Match Names'!$E$23, CONCAT(VLOOKUP($C89, 'Match Names'!$1:$22, 5, FALSE), ""!C3:R29"")), {5;10;15;20}, FALSE)), ""=-4"") + COUNTIF(ARRAYFORMULA(HLOOKUP($B"&amp;"89, IMPORTRANGE('Match Names'!$F$23, CONCAT(VLOOKUP($C89, 'Match Names'!$1:$22, 6, FALSE), ""!C3:R29"")), {4;10;16;22}, FALSE)), ""=-4"") + COUNTIF(ARRAYFORMULA(HLOOKUP($B89, IMPORTRANGE('Match Names'!$G$23, CONCAT(VLOOKUP($C89, 'Match Names'!$1:$22, 7, F"&amp;"ALSE), ""!C3:R29"")), {4;9;13;19}, FALSE)), ""=-4"") + COUNTIF(ARRAYFORMULA(HLOOKUP($B89, IMPORTRANGE('Match Names'!$H$23, CONCAT(VLOOKUP($C89, 'Match Names'!$1:$22, 8, FALSE), ""!C3:R29"")), {3;9;15;21}, FALSE)), ""=-4"")"),0.0)</f>
        <v>0</v>
      </c>
      <c r="H89" s="33">
        <f t="shared" si="1"/>
        <v>0</v>
      </c>
    </row>
    <row r="90">
      <c r="A90" s="21" t="s">
        <v>78</v>
      </c>
      <c r="B90" s="31" t="str">
        <f>VLOOKUP(CONCAT(A90, C90), 'Discord Username to Real Name'!C:D, 2, FALSE)</f>
        <v>avaebe#2714</v>
      </c>
      <c r="C90" s="21" t="s">
        <v>18</v>
      </c>
      <c r="D90" s="32">
        <f>IFERROR(__xludf.DUMMYFUNCTION("(4 - COUNTIF(IFERROR(ARRAYFORMULA(HLOOKUP($B90, IMPORTRANGE('Prelim Rankings Unsorted'!$B$40, CONCAT(VLOOKUP($C90, 'Match Names'!$A$1:$D$22, 2, FALSE), ""!C3:R29"")), {5;10;16;22}, FALSE)), 'Player Overall Stats Unsorted'!$AA$9:$AA$12), ""=X"")) + (4 - CO"&amp;"UNTIF(IFERROR(ARRAYFORMULA(HLOOKUP($B90, IMPORTRANGE('Prelim Rankings Unsorted'!$B$41, CONCAT(VLOOKUP($C90, 'Match Names'!$A$1:$D$22, 3, FALSE), ""!C3:R29"")), {2;8;14;20}, FALSE)), 'Player Overall Stats Unsorted'!$AA$9:$AA$12), ""=X"")) + (4 - COUNTIF(IF"&amp;"ERROR(ARRAYFORMULA(HLOOKUP($B90, IMPORTRANGE('Prelim Rankings Unsorted'!$B$42, CONCAT(VLOOKUP($C90, 'Match Names'!$A$1:$D$22, 4, FALSE), ""!C3:R29"")), {4;10;16;22}, FALSE)), 'Player Overall Stats Unsorted'!$AA$9:$AA$12), ""=X"")) + (4 - COUNTIF(IFERROR(A"&amp;"RRAYFORMULA(HLOOKUP($B90, IMPORTRANGE('Match Names'!$E$23, CONCAT(VLOOKUP($C90, 'Match Names'!$1:$22, 5, FALSE), ""!C3:R29"")), {5;10;15;20}, FALSE)), 'Player Overall Stats Unsorted'!$AA$9:$AA$12), ""=X"")) + (4 - COUNTIF(IFERROR(ARRAYFORMULA(HLOOKUP($B90"&amp;", IMPORTRANGE('Match Names'!$F$23, CONCAT(VLOOKUP($C90, 'Match Names'!$1:$22, 6, FALSE), ""!C3:R29"")), {4;10;16;22}, FALSE)), 'Player Overall Stats Unsorted'!$AA$9:$AA$12), ""=X"")) + (4 - COUNTIF(IFERROR(ARRAYFORMULA(HLOOKUP($B90, IMPORTRANGE('Match Nam"&amp;"es'!$G$23, CONCAT(VLOOKUP($C90, 'Match Names'!$1:$22, 7, FALSE), ""!C3:R29"")), {4;9;13;19}, FALSE)), 'Player Overall Stats Unsorted'!$AA$9:$AA$12), ""=X"")) + (4 - COUNTIF(IFERROR(ARRAYFORMULA(HLOOKUP($B90, IMPORTRANGE('Match Names'!$H$23, CONCAT(VLOOKUP"&amp;"($C90, 'Match Names'!$1:$22, 8, FALSE), ""!C3:R29"")), {3;9;15;21}, FALSE)), 'Player Overall Stats Unsorted'!$AA$9:$AA$12), ""=X""))"),12.0)</f>
        <v>12</v>
      </c>
      <c r="E90" s="32">
        <f>IFERROR(__xludf.DUMMYFUNCTION("COUNTIF(ARRAYFORMULA(HLOOKUP($B90, IMPORTRANGE('Prelim Rankings Unsorted'!$B$40, CONCAT(VLOOKUP($C90, 'Match Names'!$A$1:$D$22, 2, FALSE), ""!C3:R29"")), {5;10;16;22}, FALSE)), ""=4"") + COUNTIF(ARRAYFORMULA(HLOOKUP($B90, IMPORTRANGE('Prelim Rankings Unso"&amp;"rted'!$B$41, CONCAT(VLOOKUP($C90, 'Match Names'!$A$1:$D$22, 3, FALSE), ""!C3:R29"")), {2;8;14;20}, FALSE)), ""=4"") + COUNTIF(ARRAYFORMULA(HLOOKUP($B90, IMPORTRANGE('Prelim Rankings Unsorted'!$B$42, CONCAT(VLOOKUP($C90, 'Match Names'!$A$1:$D$22, 4, FALSE)"&amp;", ""!C3:R29"")), {4;10;16;22}, FALSE)), ""=4"") + COUNTIF(ARRAYFORMULA(HLOOKUP($B90, IMPORTRANGE('Match Names'!$E$23, CONCAT(VLOOKUP($C90, 'Match Names'!$1:$22, 5, FALSE), ""!C3:R29"")), {5;10;15;20}, FALSE)), ""=4"") + COUNTIF(ARRAYFORMULA(HLOOKUP($B90, "&amp;"IMPORTRANGE('Match Names'!$F$23, CONCAT(VLOOKUP($C90, 'Match Names'!$1:$22, 6, FALSE), ""!C3:R29"")), {4;10;16;22}, FALSE)), ""=4"") + COUNTIF(ARRAYFORMULA(HLOOKUP($B90, IMPORTRANGE('Match Names'!$G$23, CONCAT(VLOOKUP($C90, 'Match Names'!$1:$22, 7, FALSE)"&amp;", ""!C3:R29"")), {4;9;13;19}, FALSE)), ""=4"") + COUNTIF(ARRAYFORMULA(HLOOKUP($B90, IMPORTRANGE('Match Names'!$H$23, CONCAT(VLOOKUP($C90, 'Match Names'!$1:$22, 8, FALSE), ""!C3:R29"")), {3;9;15;21}, FALSE)), ""=4"")"),0.0)</f>
        <v>0</v>
      </c>
      <c r="F90" s="32">
        <f>IFERROR(__xludf.DUMMYFUNCTION("COUNTIF(ARRAYFORMULA(HLOOKUP($B90, IMPORTRANGE('Prelim Rankings Unsorted'!$B$40, CONCAT(VLOOKUP($C90, 'Match Names'!$A$1:$D$22, 2, FALSE), ""!C3:R29"")), {5;10;16;22}, FALSE)), ""=0"") + COUNTIF(ARRAYFORMULA(HLOOKUP($B90, IMPORTRANGE('Prelim Rankings Unso"&amp;"rted'!$B$41, CONCAT(VLOOKUP($C90, 'Match Names'!$A$1:$D$22, 3, FALSE), ""!C3:R29"")), {2;8;14;20}, FALSE)), ""=0"") + COUNTIF(ARRAYFORMULA(HLOOKUP($B90, IMPORTRANGE('Prelim Rankings Unsorted'!$B$42, CONCAT(VLOOKUP($C90, 'Match Names'!$A$1:$D$22, 4, FALSE)"&amp;", ""!C3:R29"")), {4;10;16;22}, FALSE)), ""=0"") + COUNTIF(ARRAYFORMULA(HLOOKUP($B90, IMPORTRANGE('Match Names'!$E$23, CONCAT(VLOOKUP($C90, 'Match Names'!$1:$22, 5, FALSE), ""!C3:R29"")), {5;10;15;20}, FALSE)), ""=0"") + COUNTIF(ARRAYFORMULA(HLOOKUP($B90, "&amp;"IMPORTRANGE('Match Names'!$F$23, CONCAT(VLOOKUP($C90, 'Match Names'!$1:$22, 6, FALSE), ""!C3:R29"")), {4;10;16;22}, FALSE)), ""=0"") + COUNTIF(ARRAYFORMULA(HLOOKUP($B90, IMPORTRANGE('Match Names'!$G$23, CONCAT(VLOOKUP($C90, 'Match Names'!$1:$22, 7, FALSE)"&amp;", ""!C3:R29"")), {4;9;13;19}, FALSE)), ""=0"") + COUNTIF(ARRAYFORMULA(HLOOKUP($B90, IMPORTRANGE('Match Names'!$H$23, CONCAT(VLOOKUP($C90, 'Match Names'!$1:$22, 8, FALSE), ""!C3:R29"")), {3;9;15;21}, FALSE)), ""=0"")"),0.0)</f>
        <v>0</v>
      </c>
      <c r="G90" s="32">
        <f>IFERROR(__xludf.DUMMYFUNCTION("COUNTIF(ARRAYFORMULA(HLOOKUP($B90, IMPORTRANGE('Prelim Rankings Unsorted'!$B$40, CONCAT(VLOOKUP($C90, 'Match Names'!$A$1:$D$22, 2, FALSE), ""!C3:R29"")), {5;10;16;22}, FALSE)), ""=-4"") + COUNTIF(ARRAYFORMULA(HLOOKUP($B90, IMPORTRANGE('Prelim Rankings Uns"&amp;"orted'!$B$41, CONCAT(VLOOKUP($C90, 'Match Names'!$A$1:$D$22, 3, FALSE), ""!C3:R29"")), {2;8;14;20}, FALSE)), ""=-4"") + COUNTIF(ARRAYFORMULA(HLOOKUP($B90, IMPORTRANGE('Prelim Rankings Unsorted'!$B$42, CONCAT(VLOOKUP($C90, 'Match Names'!$A$1:$D$22, 4, FALS"&amp;"E), ""!C3:R29"")), {4;10;16;22}, FALSE)), ""=-4"") + COUNTIF(ARRAYFORMULA(HLOOKUP($B90, IMPORTRANGE('Match Names'!$E$23, CONCAT(VLOOKUP($C90, 'Match Names'!$1:$22, 5, FALSE), ""!C3:R29"")), {5;10;15;20}, FALSE)), ""=-4"") + COUNTIF(ARRAYFORMULA(HLOOKUP($B"&amp;"90, IMPORTRANGE('Match Names'!$F$23, CONCAT(VLOOKUP($C90, 'Match Names'!$1:$22, 6, FALSE), ""!C3:R29"")), {4;10;16;22}, FALSE)), ""=-4"") + COUNTIF(ARRAYFORMULA(HLOOKUP($B90, IMPORTRANGE('Match Names'!$G$23, CONCAT(VLOOKUP($C90, 'Match Names'!$1:$22, 7, F"&amp;"ALSE), ""!C3:R29"")), {4;9;13;19}, FALSE)), ""=-4"") + COUNTIF(ARRAYFORMULA(HLOOKUP($B90, IMPORTRANGE('Match Names'!$H$23, CONCAT(VLOOKUP($C90, 'Match Names'!$1:$22, 8, FALSE), ""!C3:R29"")), {3;9;15;21}, FALSE)), ""=-4"")"),0.0)</f>
        <v>0</v>
      </c>
      <c r="H90" s="33">
        <f t="shared" si="1"/>
        <v>0</v>
      </c>
    </row>
    <row r="91">
      <c r="A91" s="21" t="s">
        <v>70</v>
      </c>
      <c r="B91" s="31" t="str">
        <f>VLOOKUP(CONCAT(A91, C91), 'Discord Username to Real Name'!C:D, 2, FALSE)</f>
        <v>aloevera42#2760</v>
      </c>
      <c r="C91" s="21" t="s">
        <v>28</v>
      </c>
      <c r="D91" s="32">
        <f>IFERROR(__xludf.DUMMYFUNCTION("(4 - COUNTIF(IFERROR(ARRAYFORMULA(HLOOKUP($B91, IMPORTRANGE('Prelim Rankings Unsorted'!$B$40, CONCAT(VLOOKUP($C91, 'Match Names'!$A$1:$D$22, 2, FALSE), ""!C3:R29"")), {5;10;16;22}, FALSE)), 'Player Overall Stats Unsorted'!$AA$9:$AA$12), ""=X"")) + (4 - CO"&amp;"UNTIF(IFERROR(ARRAYFORMULA(HLOOKUP($B91, IMPORTRANGE('Prelim Rankings Unsorted'!$B$41, CONCAT(VLOOKUP($C91, 'Match Names'!$A$1:$D$22, 3, FALSE), ""!C3:R29"")), {2;8;14;20}, FALSE)), 'Player Overall Stats Unsorted'!$AA$9:$AA$12), ""=X"")) + (4 - COUNTIF(IF"&amp;"ERROR(ARRAYFORMULA(HLOOKUP($B91, IMPORTRANGE('Prelim Rankings Unsorted'!$B$42, CONCAT(VLOOKUP($C91, 'Match Names'!$A$1:$D$22, 4, FALSE), ""!C3:R29"")), {4;10;16;22}, FALSE)), 'Player Overall Stats Unsorted'!$AA$9:$AA$12), ""=X"")) + (4 - COUNTIF(IFERROR(A"&amp;"RRAYFORMULA(HLOOKUP($B91, IMPORTRANGE('Match Names'!$E$23, CONCAT(VLOOKUP($C91, 'Match Names'!$1:$22, 5, FALSE), ""!C3:R29"")), {5;10;15;20}, FALSE)), 'Player Overall Stats Unsorted'!$AA$9:$AA$12), ""=X"")) + (4 - COUNTIF(IFERROR(ARRAYFORMULA(HLOOKUP($B91"&amp;", IMPORTRANGE('Match Names'!$F$23, CONCAT(VLOOKUP($C91, 'Match Names'!$1:$22, 6, FALSE), ""!C3:R29"")), {4;10;16;22}, FALSE)), 'Player Overall Stats Unsorted'!$AA$9:$AA$12), ""=X"")) + (4 - COUNTIF(IFERROR(ARRAYFORMULA(HLOOKUP($B91, IMPORTRANGE('Match Nam"&amp;"es'!$G$23, CONCAT(VLOOKUP($C91, 'Match Names'!$1:$22, 7, FALSE), ""!C3:R29"")), {4;9;13;19}, FALSE)), 'Player Overall Stats Unsorted'!$AA$9:$AA$12), ""=X"")) + (4 - COUNTIF(IFERROR(ARRAYFORMULA(HLOOKUP($B91, IMPORTRANGE('Match Names'!$H$23, CONCAT(VLOOKUP"&amp;"($C91, 'Match Names'!$1:$22, 8, FALSE), ""!C3:R29"")), {3;9;15;21}, FALSE)), 'Player Overall Stats Unsorted'!$AA$9:$AA$12), ""=X""))"),16.0)</f>
        <v>16</v>
      </c>
      <c r="E91" s="32">
        <f>IFERROR(__xludf.DUMMYFUNCTION("COUNTIF(ARRAYFORMULA(HLOOKUP($B91, IMPORTRANGE('Prelim Rankings Unsorted'!$B$40, CONCAT(VLOOKUP($C91, 'Match Names'!$A$1:$D$22, 2, FALSE), ""!C3:R29"")), {5;10;16;22}, FALSE)), ""=4"") + COUNTIF(ARRAYFORMULA(HLOOKUP($B91, IMPORTRANGE('Prelim Rankings Unso"&amp;"rted'!$B$41, CONCAT(VLOOKUP($C91, 'Match Names'!$A$1:$D$22, 3, FALSE), ""!C3:R29"")), {2;8;14;20}, FALSE)), ""=4"") + COUNTIF(ARRAYFORMULA(HLOOKUP($B91, IMPORTRANGE('Prelim Rankings Unsorted'!$B$42, CONCAT(VLOOKUP($C91, 'Match Names'!$A$1:$D$22, 4, FALSE)"&amp;", ""!C3:R29"")), {4;10;16;22}, FALSE)), ""=4"") + COUNTIF(ARRAYFORMULA(HLOOKUP($B91, IMPORTRANGE('Match Names'!$E$23, CONCAT(VLOOKUP($C91, 'Match Names'!$1:$22, 5, FALSE), ""!C3:R29"")), {5;10;15;20}, FALSE)), ""=4"") + COUNTIF(ARRAYFORMULA(HLOOKUP($B91, "&amp;"IMPORTRANGE('Match Names'!$F$23, CONCAT(VLOOKUP($C91, 'Match Names'!$1:$22, 6, FALSE), ""!C3:R29"")), {4;10;16;22}, FALSE)), ""=4"") + COUNTIF(ARRAYFORMULA(HLOOKUP($B91, IMPORTRANGE('Match Names'!$G$23, CONCAT(VLOOKUP($C91, 'Match Names'!$1:$22, 7, FALSE)"&amp;", ""!C3:R29"")), {4;9;13;19}, FALSE)), ""=4"") + COUNTIF(ARRAYFORMULA(HLOOKUP($B91, IMPORTRANGE('Match Names'!$H$23, CONCAT(VLOOKUP($C91, 'Match Names'!$1:$22, 8, FALSE), ""!C3:R29"")), {3;9;15;21}, FALSE)), ""=4"")"),4.0)</f>
        <v>4</v>
      </c>
      <c r="F91" s="32">
        <f>IFERROR(__xludf.DUMMYFUNCTION("COUNTIF(ARRAYFORMULA(HLOOKUP($B91, IMPORTRANGE('Prelim Rankings Unsorted'!$B$40, CONCAT(VLOOKUP($C91, 'Match Names'!$A$1:$D$22, 2, FALSE), ""!C3:R29"")), {5;10;16;22}, FALSE)), ""=0"") + COUNTIF(ARRAYFORMULA(HLOOKUP($B91, IMPORTRANGE('Prelim Rankings Unso"&amp;"rted'!$B$41, CONCAT(VLOOKUP($C91, 'Match Names'!$A$1:$D$22, 3, FALSE), ""!C3:R29"")), {2;8;14;20}, FALSE)), ""=0"") + COUNTIF(ARRAYFORMULA(HLOOKUP($B91, IMPORTRANGE('Prelim Rankings Unsorted'!$B$42, CONCAT(VLOOKUP($C91, 'Match Names'!$A$1:$D$22, 4, FALSE)"&amp;", ""!C3:R29"")), {4;10;16;22}, FALSE)), ""=0"") + COUNTIF(ARRAYFORMULA(HLOOKUP($B91, IMPORTRANGE('Match Names'!$E$23, CONCAT(VLOOKUP($C91, 'Match Names'!$1:$22, 5, FALSE), ""!C3:R29"")), {5;10;15;20}, FALSE)), ""=0"") + COUNTIF(ARRAYFORMULA(HLOOKUP($B91, "&amp;"IMPORTRANGE('Match Names'!$F$23, CONCAT(VLOOKUP($C91, 'Match Names'!$1:$22, 6, FALSE), ""!C3:R29"")), {4;10;16;22}, FALSE)), ""=0"") + COUNTIF(ARRAYFORMULA(HLOOKUP($B91, IMPORTRANGE('Match Names'!$G$23, CONCAT(VLOOKUP($C91, 'Match Names'!$1:$22, 7, FALSE)"&amp;", ""!C3:R29"")), {4;9;13;19}, FALSE)), ""=0"") + COUNTIF(ARRAYFORMULA(HLOOKUP($B91, IMPORTRANGE('Match Names'!$H$23, CONCAT(VLOOKUP($C91, 'Match Names'!$1:$22, 8, FALSE), ""!C3:R29"")), {3;9;15;21}, FALSE)), ""=0"")"),4.0)</f>
        <v>4</v>
      </c>
      <c r="G91" s="32">
        <f>IFERROR(__xludf.DUMMYFUNCTION("COUNTIF(ARRAYFORMULA(HLOOKUP($B91, IMPORTRANGE('Prelim Rankings Unsorted'!$B$40, CONCAT(VLOOKUP($C91, 'Match Names'!$A$1:$D$22, 2, FALSE), ""!C3:R29"")), {5;10;16;22}, FALSE)), ""=-4"") + COUNTIF(ARRAYFORMULA(HLOOKUP($B91, IMPORTRANGE('Prelim Rankings Uns"&amp;"orted'!$B$41, CONCAT(VLOOKUP($C91, 'Match Names'!$A$1:$D$22, 3, FALSE), ""!C3:R29"")), {2;8;14;20}, FALSE)), ""=-4"") + COUNTIF(ARRAYFORMULA(HLOOKUP($B91, IMPORTRANGE('Prelim Rankings Unsorted'!$B$42, CONCAT(VLOOKUP($C91, 'Match Names'!$A$1:$D$22, 4, FALS"&amp;"E), ""!C3:R29"")), {4;10;16;22}, FALSE)), ""=-4"") + COUNTIF(ARRAYFORMULA(HLOOKUP($B91, IMPORTRANGE('Match Names'!$E$23, CONCAT(VLOOKUP($C91, 'Match Names'!$1:$22, 5, FALSE), ""!C3:R29"")), {5;10;15;20}, FALSE)), ""=-4"") + COUNTIF(ARRAYFORMULA(HLOOKUP($B"&amp;"91, IMPORTRANGE('Match Names'!$F$23, CONCAT(VLOOKUP($C91, 'Match Names'!$1:$22, 6, FALSE), ""!C3:R29"")), {4;10;16;22}, FALSE)), ""=-4"") + COUNTIF(ARRAYFORMULA(HLOOKUP($B91, IMPORTRANGE('Match Names'!$G$23, CONCAT(VLOOKUP($C91, 'Match Names'!$1:$22, 7, F"&amp;"ALSE), ""!C3:R29"")), {4;9;13;19}, FALSE)), ""=-4"") + COUNTIF(ARRAYFORMULA(HLOOKUP($B91, IMPORTRANGE('Match Names'!$H$23, CONCAT(VLOOKUP($C91, 'Match Names'!$1:$22, 8, FALSE), ""!C3:R29"")), {3;9;15;21}, FALSE)), ""=-4"")"),1.0)</f>
        <v>1</v>
      </c>
      <c r="H91" s="33">
        <f t="shared" si="1"/>
        <v>3</v>
      </c>
    </row>
    <row r="92">
      <c r="A92" s="21" t="s">
        <v>69</v>
      </c>
      <c r="B92" s="31" t="str">
        <f>VLOOKUP(CONCAT(A92, C92), 'Discord Username to Real Name'!C:D, 2, FALSE)</f>
        <v>Cows#0460</v>
      </c>
      <c r="C92" s="21" t="s">
        <v>28</v>
      </c>
      <c r="D92" s="32">
        <f>IFERROR(__xludf.DUMMYFUNCTION("(4 - COUNTIF(IFERROR(ARRAYFORMULA(HLOOKUP($B92, IMPORTRANGE('Prelim Rankings Unsorted'!$B$40, CONCAT(VLOOKUP($C92, 'Match Names'!$A$1:$D$22, 2, FALSE), ""!C3:R29"")), {5;10;16;22}, FALSE)), 'Player Overall Stats Unsorted'!$AA$9:$AA$12), ""=X"")) + (4 - CO"&amp;"UNTIF(IFERROR(ARRAYFORMULA(HLOOKUP($B92, IMPORTRANGE('Prelim Rankings Unsorted'!$B$41, CONCAT(VLOOKUP($C92, 'Match Names'!$A$1:$D$22, 3, FALSE), ""!C3:R29"")), {2;8;14;20}, FALSE)), 'Player Overall Stats Unsorted'!$AA$9:$AA$12), ""=X"")) + (4 - COUNTIF(IF"&amp;"ERROR(ARRAYFORMULA(HLOOKUP($B92, IMPORTRANGE('Prelim Rankings Unsorted'!$B$42, CONCAT(VLOOKUP($C92, 'Match Names'!$A$1:$D$22, 4, FALSE), ""!C3:R29"")), {4;10;16;22}, FALSE)), 'Player Overall Stats Unsorted'!$AA$9:$AA$12), ""=X"")) + (4 - COUNTIF(IFERROR(A"&amp;"RRAYFORMULA(HLOOKUP($B92, IMPORTRANGE('Match Names'!$E$23, CONCAT(VLOOKUP($C92, 'Match Names'!$1:$22, 5, FALSE), ""!C3:R29"")), {5;10;15;20}, FALSE)), 'Player Overall Stats Unsorted'!$AA$9:$AA$12), ""=X"")) + (4 - COUNTIF(IFERROR(ARRAYFORMULA(HLOOKUP($B92"&amp;", IMPORTRANGE('Match Names'!$F$23, CONCAT(VLOOKUP($C92, 'Match Names'!$1:$22, 6, FALSE), ""!C3:R29"")), {4;10;16;22}, FALSE)), 'Player Overall Stats Unsorted'!$AA$9:$AA$12), ""=X"")) + (4 - COUNTIF(IFERROR(ARRAYFORMULA(HLOOKUP($B92, IMPORTRANGE('Match Nam"&amp;"es'!$G$23, CONCAT(VLOOKUP($C92, 'Match Names'!$1:$22, 7, FALSE), ""!C3:R29"")), {4;9;13;19}, FALSE)), 'Player Overall Stats Unsorted'!$AA$9:$AA$12), ""=X"")) + (4 - COUNTIF(IFERROR(ARRAYFORMULA(HLOOKUP($B92, IMPORTRANGE('Match Names'!$H$23, CONCAT(VLOOKUP"&amp;"($C92, 'Match Names'!$1:$22, 8, FALSE), ""!C3:R29"")), {3;9;15;21}, FALSE)), 'Player Overall Stats Unsorted'!$AA$9:$AA$12), ""=X""))"),16.0)</f>
        <v>16</v>
      </c>
      <c r="E92" s="32">
        <f>IFERROR(__xludf.DUMMYFUNCTION("COUNTIF(ARRAYFORMULA(HLOOKUP($B92, IMPORTRANGE('Prelim Rankings Unsorted'!$B$40, CONCAT(VLOOKUP($C92, 'Match Names'!$A$1:$D$22, 2, FALSE), ""!C3:R29"")), {5;10;16;22}, FALSE)), ""=4"") + COUNTIF(ARRAYFORMULA(HLOOKUP($B92, IMPORTRANGE('Prelim Rankings Unso"&amp;"rted'!$B$41, CONCAT(VLOOKUP($C92, 'Match Names'!$A$1:$D$22, 3, FALSE), ""!C3:R29"")), {2;8;14;20}, FALSE)), ""=4"") + COUNTIF(ARRAYFORMULA(HLOOKUP($B92, IMPORTRANGE('Prelim Rankings Unsorted'!$B$42, CONCAT(VLOOKUP($C92, 'Match Names'!$A$1:$D$22, 4, FALSE)"&amp;", ""!C3:R29"")), {4;10;16;22}, FALSE)), ""=4"") + COUNTIF(ARRAYFORMULA(HLOOKUP($B92, IMPORTRANGE('Match Names'!$E$23, CONCAT(VLOOKUP($C92, 'Match Names'!$1:$22, 5, FALSE), ""!C3:R29"")), {5;10;15;20}, FALSE)), ""=4"") + COUNTIF(ARRAYFORMULA(HLOOKUP($B92, "&amp;"IMPORTRANGE('Match Names'!$F$23, CONCAT(VLOOKUP($C92, 'Match Names'!$1:$22, 6, FALSE), ""!C3:R29"")), {4;10;16;22}, FALSE)), ""=4"") + COUNTIF(ARRAYFORMULA(HLOOKUP($B92, IMPORTRANGE('Match Names'!$G$23, CONCAT(VLOOKUP($C92, 'Match Names'!$1:$22, 7, FALSE)"&amp;", ""!C3:R29"")), {4;9;13;19}, FALSE)), ""=4"") + COUNTIF(ARRAYFORMULA(HLOOKUP($B92, IMPORTRANGE('Match Names'!$H$23, CONCAT(VLOOKUP($C92, 'Match Names'!$1:$22, 8, FALSE), ""!C3:R29"")), {3;9;15;21}, FALSE)), ""=4"")"),0.0)</f>
        <v>0</v>
      </c>
      <c r="F92" s="32">
        <f>IFERROR(__xludf.DUMMYFUNCTION("COUNTIF(ARRAYFORMULA(HLOOKUP($B92, IMPORTRANGE('Prelim Rankings Unsorted'!$B$40, CONCAT(VLOOKUP($C92, 'Match Names'!$A$1:$D$22, 2, FALSE), ""!C3:R29"")), {5;10;16;22}, FALSE)), ""=0"") + COUNTIF(ARRAYFORMULA(HLOOKUP($B92, IMPORTRANGE('Prelim Rankings Unso"&amp;"rted'!$B$41, CONCAT(VLOOKUP($C92, 'Match Names'!$A$1:$D$22, 3, FALSE), ""!C3:R29"")), {2;8;14;20}, FALSE)), ""=0"") + COUNTIF(ARRAYFORMULA(HLOOKUP($B92, IMPORTRANGE('Prelim Rankings Unsorted'!$B$42, CONCAT(VLOOKUP($C92, 'Match Names'!$A$1:$D$22, 4, FALSE)"&amp;", ""!C3:R29"")), {4;10;16;22}, FALSE)), ""=0"") + COUNTIF(ARRAYFORMULA(HLOOKUP($B92, IMPORTRANGE('Match Names'!$E$23, CONCAT(VLOOKUP($C92, 'Match Names'!$1:$22, 5, FALSE), ""!C3:R29"")), {5;10;15;20}, FALSE)), ""=0"") + COUNTIF(ARRAYFORMULA(HLOOKUP($B92, "&amp;"IMPORTRANGE('Match Names'!$F$23, CONCAT(VLOOKUP($C92, 'Match Names'!$1:$22, 6, FALSE), ""!C3:R29"")), {4;10;16;22}, FALSE)), ""=0"") + COUNTIF(ARRAYFORMULA(HLOOKUP($B92, IMPORTRANGE('Match Names'!$G$23, CONCAT(VLOOKUP($C92, 'Match Names'!$1:$22, 7, FALSE)"&amp;", ""!C3:R29"")), {4;9;13;19}, FALSE)), ""=0"") + COUNTIF(ARRAYFORMULA(HLOOKUP($B92, IMPORTRANGE('Match Names'!$H$23, CONCAT(VLOOKUP($C92, 'Match Names'!$1:$22, 8, FALSE), ""!C3:R29"")), {3;9;15;21}, FALSE)), ""=0"")"),0.0)</f>
        <v>0</v>
      </c>
      <c r="G92" s="32">
        <f>IFERROR(__xludf.DUMMYFUNCTION("COUNTIF(ARRAYFORMULA(HLOOKUP($B92, IMPORTRANGE('Prelim Rankings Unsorted'!$B$40, CONCAT(VLOOKUP($C92, 'Match Names'!$A$1:$D$22, 2, FALSE), ""!C3:R29"")), {5;10;16;22}, FALSE)), ""=-4"") + COUNTIF(ARRAYFORMULA(HLOOKUP($B92, IMPORTRANGE('Prelim Rankings Uns"&amp;"orted'!$B$41, CONCAT(VLOOKUP($C92, 'Match Names'!$A$1:$D$22, 3, FALSE), ""!C3:R29"")), {2;8;14;20}, FALSE)), ""=-4"") + COUNTIF(ARRAYFORMULA(HLOOKUP($B92, IMPORTRANGE('Prelim Rankings Unsorted'!$B$42, CONCAT(VLOOKUP($C92, 'Match Names'!$A$1:$D$22, 4, FALS"&amp;"E), ""!C3:R29"")), {4;10;16;22}, FALSE)), ""=-4"") + COUNTIF(ARRAYFORMULA(HLOOKUP($B92, IMPORTRANGE('Match Names'!$E$23, CONCAT(VLOOKUP($C92, 'Match Names'!$1:$22, 5, FALSE), ""!C3:R29"")), {5;10;15;20}, FALSE)), ""=-4"") + COUNTIF(ARRAYFORMULA(HLOOKUP($B"&amp;"92, IMPORTRANGE('Match Names'!$F$23, CONCAT(VLOOKUP($C92, 'Match Names'!$1:$22, 6, FALSE), ""!C3:R29"")), {4;10;16;22}, FALSE)), ""=-4"") + COUNTIF(ARRAYFORMULA(HLOOKUP($B92, IMPORTRANGE('Match Names'!$G$23, CONCAT(VLOOKUP($C92, 'Match Names'!$1:$22, 7, F"&amp;"ALSE), ""!C3:R29"")), {4;9;13;19}, FALSE)), ""=-4"") + COUNTIF(ARRAYFORMULA(HLOOKUP($B92, IMPORTRANGE('Match Names'!$H$23, CONCAT(VLOOKUP($C92, 'Match Names'!$1:$22, 8, FALSE), ""!C3:R29"")), {3;9;15;21}, FALSE)), ""=-4"")"),0.0)</f>
        <v>0</v>
      </c>
      <c r="H92" s="33">
        <f t="shared" si="1"/>
        <v>0</v>
      </c>
    </row>
    <row r="93">
      <c r="A93" s="21" t="s">
        <v>176</v>
      </c>
      <c r="B93" s="31" t="str">
        <f>VLOOKUP(CONCAT(A93, C93), 'Discord Username to Real Name'!C:D, 2, FALSE)</f>
        <v>aryc702#7517</v>
      </c>
      <c r="C93" s="21" t="s">
        <v>28</v>
      </c>
      <c r="D93" s="32">
        <f>IFERROR(__xludf.DUMMYFUNCTION("(4 - COUNTIF(IFERROR(ARRAYFORMULA(HLOOKUP($B93, IMPORTRANGE('Prelim Rankings Unsorted'!$B$40, CONCAT(VLOOKUP($C93, 'Match Names'!$A$1:$D$22, 2, FALSE), ""!C3:R29"")), {5;10;16;22}, FALSE)), 'Player Overall Stats Unsorted'!$AA$9:$AA$12), ""=X"")) + (4 - CO"&amp;"UNTIF(IFERROR(ARRAYFORMULA(HLOOKUP($B93, IMPORTRANGE('Prelim Rankings Unsorted'!$B$41, CONCAT(VLOOKUP($C93, 'Match Names'!$A$1:$D$22, 3, FALSE), ""!C3:R29"")), {2;8;14;20}, FALSE)), 'Player Overall Stats Unsorted'!$AA$9:$AA$12), ""=X"")) + (4 - COUNTIF(IF"&amp;"ERROR(ARRAYFORMULA(HLOOKUP($B93, IMPORTRANGE('Prelim Rankings Unsorted'!$B$42, CONCAT(VLOOKUP($C93, 'Match Names'!$A$1:$D$22, 4, FALSE), ""!C3:R29"")), {4;10;16;22}, FALSE)), 'Player Overall Stats Unsorted'!$AA$9:$AA$12), ""=X"")) + (4 - COUNTIF(IFERROR(A"&amp;"RRAYFORMULA(HLOOKUP($B93, IMPORTRANGE('Match Names'!$E$23, CONCAT(VLOOKUP($C93, 'Match Names'!$1:$22, 5, FALSE), ""!C3:R29"")), {5;10;15;20}, FALSE)), 'Player Overall Stats Unsorted'!$AA$9:$AA$12), ""=X"")) + (4 - COUNTIF(IFERROR(ARRAYFORMULA(HLOOKUP($B93"&amp;", IMPORTRANGE('Match Names'!$F$23, CONCAT(VLOOKUP($C93, 'Match Names'!$1:$22, 6, FALSE), ""!C3:R29"")), {4;10;16;22}, FALSE)), 'Player Overall Stats Unsorted'!$AA$9:$AA$12), ""=X"")) + (4 - COUNTIF(IFERROR(ARRAYFORMULA(HLOOKUP($B93, IMPORTRANGE('Match Nam"&amp;"es'!$G$23, CONCAT(VLOOKUP($C93, 'Match Names'!$1:$22, 7, FALSE), ""!C3:R29"")), {4;9;13;19}, FALSE)), 'Player Overall Stats Unsorted'!$AA$9:$AA$12), ""=X"")) + (4 - COUNTIF(IFERROR(ARRAYFORMULA(HLOOKUP($B93, IMPORTRANGE('Match Names'!$H$23, CONCAT(VLOOKUP"&amp;"($C93, 'Match Names'!$1:$22, 8, FALSE), ""!C3:R29"")), {3;9;15;21}, FALSE)), 'Player Overall Stats Unsorted'!$AA$9:$AA$12), ""=X""))"),12.0)</f>
        <v>12</v>
      </c>
      <c r="E93" s="32">
        <f>IFERROR(__xludf.DUMMYFUNCTION("COUNTIF(ARRAYFORMULA(HLOOKUP($B93, IMPORTRANGE('Prelim Rankings Unsorted'!$B$40, CONCAT(VLOOKUP($C93, 'Match Names'!$A$1:$D$22, 2, FALSE), ""!C3:R29"")), {5;10;16;22}, FALSE)), ""=4"") + COUNTIF(ARRAYFORMULA(HLOOKUP($B93, IMPORTRANGE('Prelim Rankings Unso"&amp;"rted'!$B$41, CONCAT(VLOOKUP($C93, 'Match Names'!$A$1:$D$22, 3, FALSE), ""!C3:R29"")), {2;8;14;20}, FALSE)), ""=4"") + COUNTIF(ARRAYFORMULA(HLOOKUP($B93, IMPORTRANGE('Prelim Rankings Unsorted'!$B$42, CONCAT(VLOOKUP($C93, 'Match Names'!$A$1:$D$22, 4, FALSE)"&amp;", ""!C3:R29"")), {4;10;16;22}, FALSE)), ""=4"") + COUNTIF(ARRAYFORMULA(HLOOKUP($B93, IMPORTRANGE('Match Names'!$E$23, CONCAT(VLOOKUP($C93, 'Match Names'!$1:$22, 5, FALSE), ""!C3:R29"")), {5;10;15;20}, FALSE)), ""=4"") + COUNTIF(ARRAYFORMULA(HLOOKUP($B93, "&amp;"IMPORTRANGE('Match Names'!$F$23, CONCAT(VLOOKUP($C93, 'Match Names'!$1:$22, 6, FALSE), ""!C3:R29"")), {4;10;16;22}, FALSE)), ""=4"") + COUNTIF(ARRAYFORMULA(HLOOKUP($B93, IMPORTRANGE('Match Names'!$G$23, CONCAT(VLOOKUP($C93, 'Match Names'!$1:$22, 7, FALSE)"&amp;", ""!C3:R29"")), {4;9;13;19}, FALSE)), ""=4"") + COUNTIF(ARRAYFORMULA(HLOOKUP($B93, IMPORTRANGE('Match Names'!$H$23, CONCAT(VLOOKUP($C93, 'Match Names'!$1:$22, 8, FALSE), ""!C3:R29"")), {3;9;15;21}, FALSE)), ""=4"")"),0.0)</f>
        <v>0</v>
      </c>
      <c r="F93" s="32">
        <f>IFERROR(__xludf.DUMMYFUNCTION("COUNTIF(ARRAYFORMULA(HLOOKUP($B93, IMPORTRANGE('Prelim Rankings Unsorted'!$B$40, CONCAT(VLOOKUP($C93, 'Match Names'!$A$1:$D$22, 2, FALSE), ""!C3:R29"")), {5;10;16;22}, FALSE)), ""=0"") + COUNTIF(ARRAYFORMULA(HLOOKUP($B93, IMPORTRANGE('Prelim Rankings Unso"&amp;"rted'!$B$41, CONCAT(VLOOKUP($C93, 'Match Names'!$A$1:$D$22, 3, FALSE), ""!C3:R29"")), {2;8;14;20}, FALSE)), ""=0"") + COUNTIF(ARRAYFORMULA(HLOOKUP($B93, IMPORTRANGE('Prelim Rankings Unsorted'!$B$42, CONCAT(VLOOKUP($C93, 'Match Names'!$A$1:$D$22, 4, FALSE)"&amp;", ""!C3:R29"")), {4;10;16;22}, FALSE)), ""=0"") + COUNTIF(ARRAYFORMULA(HLOOKUP($B93, IMPORTRANGE('Match Names'!$E$23, CONCAT(VLOOKUP($C93, 'Match Names'!$1:$22, 5, FALSE), ""!C3:R29"")), {5;10;15;20}, FALSE)), ""=0"") + COUNTIF(ARRAYFORMULA(HLOOKUP($B93, "&amp;"IMPORTRANGE('Match Names'!$F$23, CONCAT(VLOOKUP($C93, 'Match Names'!$1:$22, 6, FALSE), ""!C3:R29"")), {4;10;16;22}, FALSE)), ""=0"") + COUNTIF(ARRAYFORMULA(HLOOKUP($B93, IMPORTRANGE('Match Names'!$G$23, CONCAT(VLOOKUP($C93, 'Match Names'!$1:$22, 7, FALSE)"&amp;", ""!C3:R29"")), {4;9;13;19}, FALSE)), ""=0"") + COUNTIF(ARRAYFORMULA(HLOOKUP($B93, IMPORTRANGE('Match Names'!$H$23, CONCAT(VLOOKUP($C93, 'Match Names'!$1:$22, 8, FALSE), ""!C3:R29"")), {3;9;15;21}, FALSE)), ""=0"")"),0.0)</f>
        <v>0</v>
      </c>
      <c r="G93" s="32">
        <f>IFERROR(__xludf.DUMMYFUNCTION("COUNTIF(ARRAYFORMULA(HLOOKUP($B93, IMPORTRANGE('Prelim Rankings Unsorted'!$B$40, CONCAT(VLOOKUP($C93, 'Match Names'!$A$1:$D$22, 2, FALSE), ""!C3:R29"")), {5;10;16;22}, FALSE)), ""=-4"") + COUNTIF(ARRAYFORMULA(HLOOKUP($B93, IMPORTRANGE('Prelim Rankings Uns"&amp;"orted'!$B$41, CONCAT(VLOOKUP($C93, 'Match Names'!$A$1:$D$22, 3, FALSE), ""!C3:R29"")), {2;8;14;20}, FALSE)), ""=-4"") + COUNTIF(ARRAYFORMULA(HLOOKUP($B93, IMPORTRANGE('Prelim Rankings Unsorted'!$B$42, CONCAT(VLOOKUP($C93, 'Match Names'!$A$1:$D$22, 4, FALS"&amp;"E), ""!C3:R29"")), {4;10;16;22}, FALSE)), ""=-4"") + COUNTIF(ARRAYFORMULA(HLOOKUP($B93, IMPORTRANGE('Match Names'!$E$23, CONCAT(VLOOKUP($C93, 'Match Names'!$1:$22, 5, FALSE), ""!C3:R29"")), {5;10;15;20}, FALSE)), ""=-4"") + COUNTIF(ARRAYFORMULA(HLOOKUP($B"&amp;"93, IMPORTRANGE('Match Names'!$F$23, CONCAT(VLOOKUP($C93, 'Match Names'!$1:$22, 6, FALSE), ""!C3:R29"")), {4;10;16;22}, FALSE)), ""=-4"") + COUNTIF(ARRAYFORMULA(HLOOKUP($B93, IMPORTRANGE('Match Names'!$G$23, CONCAT(VLOOKUP($C93, 'Match Names'!$1:$22, 7, F"&amp;"ALSE), ""!C3:R29"")), {4;9;13;19}, FALSE)), ""=-4"") + COUNTIF(ARRAYFORMULA(HLOOKUP($B93, IMPORTRANGE('Match Names'!$H$23, CONCAT(VLOOKUP($C93, 'Match Names'!$1:$22, 8, FALSE), ""!C3:R29"")), {3;9;15;21}, FALSE)), ""=-4"")"),0.0)</f>
        <v>0</v>
      </c>
      <c r="H93" s="33">
        <f t="shared" si="1"/>
        <v>0</v>
      </c>
    </row>
    <row r="94">
      <c r="A94" s="21" t="s">
        <v>97</v>
      </c>
      <c r="B94" s="31" t="str">
        <f>VLOOKUP(CONCAT(A94, C94), 'Discord Username to Real Name'!C:D, 2, FALSE)</f>
        <v>very_creative_name#1358</v>
      </c>
      <c r="C94" s="21" t="s">
        <v>28</v>
      </c>
      <c r="D94" s="32">
        <f>IFERROR(__xludf.DUMMYFUNCTION("(4 - COUNTIF(IFERROR(ARRAYFORMULA(HLOOKUP($B94, IMPORTRANGE('Prelim Rankings Unsorted'!$B$40, CONCAT(VLOOKUP($C94, 'Match Names'!$A$1:$D$22, 2, FALSE), ""!C3:R29"")), {5;10;16;22}, FALSE)), 'Player Overall Stats Unsorted'!$AA$9:$AA$12), ""=X"")) + (4 - CO"&amp;"UNTIF(IFERROR(ARRAYFORMULA(HLOOKUP($B94, IMPORTRANGE('Prelim Rankings Unsorted'!$B$41, CONCAT(VLOOKUP($C94, 'Match Names'!$A$1:$D$22, 3, FALSE), ""!C3:R29"")), {2;8;14;20}, FALSE)), 'Player Overall Stats Unsorted'!$AA$9:$AA$12), ""=X"")) + (4 - COUNTIF(IF"&amp;"ERROR(ARRAYFORMULA(HLOOKUP($B94, IMPORTRANGE('Prelim Rankings Unsorted'!$B$42, CONCAT(VLOOKUP($C94, 'Match Names'!$A$1:$D$22, 4, FALSE), ""!C3:R29"")), {4;10;16;22}, FALSE)), 'Player Overall Stats Unsorted'!$AA$9:$AA$12), ""=X"")) + (4 - COUNTIF(IFERROR(A"&amp;"RRAYFORMULA(HLOOKUP($B94, IMPORTRANGE('Match Names'!$E$23, CONCAT(VLOOKUP($C94, 'Match Names'!$1:$22, 5, FALSE), ""!C3:R29"")), {5;10;15;20}, FALSE)), 'Player Overall Stats Unsorted'!$AA$9:$AA$12), ""=X"")) + (4 - COUNTIF(IFERROR(ARRAYFORMULA(HLOOKUP($B94"&amp;", IMPORTRANGE('Match Names'!$F$23, CONCAT(VLOOKUP($C94, 'Match Names'!$1:$22, 6, FALSE), ""!C3:R29"")), {4;10;16;22}, FALSE)), 'Player Overall Stats Unsorted'!$AA$9:$AA$12), ""=X"")) + (4 - COUNTIF(IFERROR(ARRAYFORMULA(HLOOKUP($B94, IMPORTRANGE('Match Nam"&amp;"es'!$G$23, CONCAT(VLOOKUP($C94, 'Match Names'!$1:$22, 7, FALSE), ""!C3:R29"")), {4;9;13;19}, FALSE)), 'Player Overall Stats Unsorted'!$AA$9:$AA$12), ""=X"")) + (4 - COUNTIF(IFERROR(ARRAYFORMULA(HLOOKUP($B94, IMPORTRANGE('Match Names'!$H$23, CONCAT(VLOOKUP"&amp;"($C94, 'Match Names'!$1:$22, 8, FALSE), ""!C3:R29"")), {3;9;15;21}, FALSE)), 'Player Overall Stats Unsorted'!$AA$9:$AA$12), ""=X""))"),8.0)</f>
        <v>8</v>
      </c>
      <c r="E94" s="32">
        <f>IFERROR(__xludf.DUMMYFUNCTION("COUNTIF(ARRAYFORMULA(HLOOKUP($B94, IMPORTRANGE('Prelim Rankings Unsorted'!$B$40, CONCAT(VLOOKUP($C94, 'Match Names'!$A$1:$D$22, 2, FALSE), ""!C3:R29"")), {5;10;16;22}, FALSE)), ""=4"") + COUNTIF(ARRAYFORMULA(HLOOKUP($B94, IMPORTRANGE('Prelim Rankings Unso"&amp;"rted'!$B$41, CONCAT(VLOOKUP($C94, 'Match Names'!$A$1:$D$22, 3, FALSE), ""!C3:R29"")), {2;8;14;20}, FALSE)), ""=4"") + COUNTIF(ARRAYFORMULA(HLOOKUP($B94, IMPORTRANGE('Prelim Rankings Unsorted'!$B$42, CONCAT(VLOOKUP($C94, 'Match Names'!$A$1:$D$22, 4, FALSE)"&amp;", ""!C3:R29"")), {4;10;16;22}, FALSE)), ""=4"") + COUNTIF(ARRAYFORMULA(HLOOKUP($B94, IMPORTRANGE('Match Names'!$E$23, CONCAT(VLOOKUP($C94, 'Match Names'!$1:$22, 5, FALSE), ""!C3:R29"")), {5;10;15;20}, FALSE)), ""=4"") + COUNTIF(ARRAYFORMULA(HLOOKUP($B94, "&amp;"IMPORTRANGE('Match Names'!$F$23, CONCAT(VLOOKUP($C94, 'Match Names'!$1:$22, 6, FALSE), ""!C3:R29"")), {4;10;16;22}, FALSE)), ""=4"") + COUNTIF(ARRAYFORMULA(HLOOKUP($B94, IMPORTRANGE('Match Names'!$G$23, CONCAT(VLOOKUP($C94, 'Match Names'!$1:$22, 7, FALSE)"&amp;", ""!C3:R29"")), {4;9;13;19}, FALSE)), ""=4"") + COUNTIF(ARRAYFORMULA(HLOOKUP($B94, IMPORTRANGE('Match Names'!$H$23, CONCAT(VLOOKUP($C94, 'Match Names'!$1:$22, 8, FALSE), ""!C3:R29"")), {3;9;15;21}, FALSE)), ""=4"")"),0.0)</f>
        <v>0</v>
      </c>
      <c r="F94" s="32">
        <f>IFERROR(__xludf.DUMMYFUNCTION("COUNTIF(ARRAYFORMULA(HLOOKUP($B94, IMPORTRANGE('Prelim Rankings Unsorted'!$B$40, CONCAT(VLOOKUP($C94, 'Match Names'!$A$1:$D$22, 2, FALSE), ""!C3:R29"")), {5;10;16;22}, FALSE)), ""=0"") + COUNTIF(ARRAYFORMULA(HLOOKUP($B94, IMPORTRANGE('Prelim Rankings Unso"&amp;"rted'!$B$41, CONCAT(VLOOKUP($C94, 'Match Names'!$A$1:$D$22, 3, FALSE), ""!C3:R29"")), {2;8;14;20}, FALSE)), ""=0"") + COUNTIF(ARRAYFORMULA(HLOOKUP($B94, IMPORTRANGE('Prelim Rankings Unsorted'!$B$42, CONCAT(VLOOKUP($C94, 'Match Names'!$A$1:$D$22, 4, FALSE)"&amp;", ""!C3:R29"")), {4;10;16;22}, FALSE)), ""=0"") + COUNTIF(ARRAYFORMULA(HLOOKUP($B94, IMPORTRANGE('Match Names'!$E$23, CONCAT(VLOOKUP($C94, 'Match Names'!$1:$22, 5, FALSE), ""!C3:R29"")), {5;10;15;20}, FALSE)), ""=0"") + COUNTIF(ARRAYFORMULA(HLOOKUP($B94, "&amp;"IMPORTRANGE('Match Names'!$F$23, CONCAT(VLOOKUP($C94, 'Match Names'!$1:$22, 6, FALSE), ""!C3:R29"")), {4;10;16;22}, FALSE)), ""=0"") + COUNTIF(ARRAYFORMULA(HLOOKUP($B94, IMPORTRANGE('Match Names'!$G$23, CONCAT(VLOOKUP($C94, 'Match Names'!$1:$22, 7, FALSE)"&amp;", ""!C3:R29"")), {4;9;13;19}, FALSE)), ""=0"") + COUNTIF(ARRAYFORMULA(HLOOKUP($B94, IMPORTRANGE('Match Names'!$H$23, CONCAT(VLOOKUP($C94, 'Match Names'!$1:$22, 8, FALSE), ""!C3:R29"")), {3;9;15;21}, FALSE)), ""=0"")"),0.0)</f>
        <v>0</v>
      </c>
      <c r="G94" s="32">
        <f>IFERROR(__xludf.DUMMYFUNCTION("COUNTIF(ARRAYFORMULA(HLOOKUP($B94, IMPORTRANGE('Prelim Rankings Unsorted'!$B$40, CONCAT(VLOOKUP($C94, 'Match Names'!$A$1:$D$22, 2, FALSE), ""!C3:R29"")), {5;10;16;22}, FALSE)), ""=-4"") + COUNTIF(ARRAYFORMULA(HLOOKUP($B94, IMPORTRANGE('Prelim Rankings Uns"&amp;"orted'!$B$41, CONCAT(VLOOKUP($C94, 'Match Names'!$A$1:$D$22, 3, FALSE), ""!C3:R29"")), {2;8;14;20}, FALSE)), ""=-4"") + COUNTIF(ARRAYFORMULA(HLOOKUP($B94, IMPORTRANGE('Prelim Rankings Unsorted'!$B$42, CONCAT(VLOOKUP($C94, 'Match Names'!$A$1:$D$22, 4, FALS"&amp;"E), ""!C3:R29"")), {4;10;16;22}, FALSE)), ""=-4"") + COUNTIF(ARRAYFORMULA(HLOOKUP($B94, IMPORTRANGE('Match Names'!$E$23, CONCAT(VLOOKUP($C94, 'Match Names'!$1:$22, 5, FALSE), ""!C3:R29"")), {5;10;15;20}, FALSE)), ""=-4"") + COUNTIF(ARRAYFORMULA(HLOOKUP($B"&amp;"94, IMPORTRANGE('Match Names'!$F$23, CONCAT(VLOOKUP($C94, 'Match Names'!$1:$22, 6, FALSE), ""!C3:R29"")), {4;10;16;22}, FALSE)), ""=-4"") + COUNTIF(ARRAYFORMULA(HLOOKUP($B94, IMPORTRANGE('Match Names'!$G$23, CONCAT(VLOOKUP($C94, 'Match Names'!$1:$22, 7, F"&amp;"ALSE), ""!C3:R29"")), {4;9;13;19}, FALSE)), ""=-4"") + COUNTIF(ARRAYFORMULA(HLOOKUP($B94, IMPORTRANGE('Match Names'!$H$23, CONCAT(VLOOKUP($C94, 'Match Names'!$1:$22, 8, FALSE), ""!C3:R29"")), {3;9;15;21}, FALSE)), ""=-4"")"),0.0)</f>
        <v>0</v>
      </c>
      <c r="H94" s="33">
        <f t="shared" si="1"/>
        <v>0</v>
      </c>
    </row>
    <row r="95">
      <c r="A95" s="21" t="s">
        <v>111</v>
      </c>
      <c r="B95" s="31" t="str">
        <f>VLOOKUP(CONCAT(A95, C95), 'Discord Username to Real Name'!C:D, 2, FALSE)</f>
        <v>margaret#3477</v>
      </c>
      <c r="C95" s="21" t="s">
        <v>28</v>
      </c>
      <c r="D95" s="32">
        <f>IFERROR(__xludf.DUMMYFUNCTION("(4 - COUNTIF(IFERROR(ARRAYFORMULA(HLOOKUP($B95, IMPORTRANGE('Prelim Rankings Unsorted'!$B$40, CONCAT(VLOOKUP($C95, 'Match Names'!$A$1:$D$22, 2, FALSE), ""!C3:R29"")), {5;10;16;22}, FALSE)), 'Player Overall Stats Unsorted'!$AA$9:$AA$12), ""=X"")) + (4 - CO"&amp;"UNTIF(IFERROR(ARRAYFORMULA(HLOOKUP($B95, IMPORTRANGE('Prelim Rankings Unsorted'!$B$41, CONCAT(VLOOKUP($C95, 'Match Names'!$A$1:$D$22, 3, FALSE), ""!C3:R29"")), {2;8;14;20}, FALSE)), 'Player Overall Stats Unsorted'!$AA$9:$AA$12), ""=X"")) + (4 - COUNTIF(IF"&amp;"ERROR(ARRAYFORMULA(HLOOKUP($B95, IMPORTRANGE('Prelim Rankings Unsorted'!$B$42, CONCAT(VLOOKUP($C95, 'Match Names'!$A$1:$D$22, 4, FALSE), ""!C3:R29"")), {4;10;16;22}, FALSE)), 'Player Overall Stats Unsorted'!$AA$9:$AA$12), ""=X"")) + (4 - COUNTIF(IFERROR(A"&amp;"RRAYFORMULA(HLOOKUP($B95, IMPORTRANGE('Match Names'!$E$23, CONCAT(VLOOKUP($C95, 'Match Names'!$1:$22, 5, FALSE), ""!C3:R29"")), {5;10;15;20}, FALSE)), 'Player Overall Stats Unsorted'!$AA$9:$AA$12), ""=X"")) + (4 - COUNTIF(IFERROR(ARRAYFORMULA(HLOOKUP($B95"&amp;", IMPORTRANGE('Match Names'!$F$23, CONCAT(VLOOKUP($C95, 'Match Names'!$1:$22, 6, FALSE), ""!C3:R29"")), {4;10;16;22}, FALSE)), 'Player Overall Stats Unsorted'!$AA$9:$AA$12), ""=X"")) + (4 - COUNTIF(IFERROR(ARRAYFORMULA(HLOOKUP($B95, IMPORTRANGE('Match Nam"&amp;"es'!$G$23, CONCAT(VLOOKUP($C95, 'Match Names'!$1:$22, 7, FALSE), ""!C3:R29"")), {4;9;13;19}, FALSE)), 'Player Overall Stats Unsorted'!$AA$9:$AA$12), ""=X"")) + (4 - COUNTIF(IFERROR(ARRAYFORMULA(HLOOKUP($B95, IMPORTRANGE('Match Names'!$H$23, CONCAT(VLOOKUP"&amp;"($C95, 'Match Names'!$1:$22, 8, FALSE), ""!C3:R29"")), {3;9;15;21}, FALSE)), 'Player Overall Stats Unsorted'!$AA$9:$AA$12), ""=X""))"),12.0)</f>
        <v>12</v>
      </c>
      <c r="E95" s="32">
        <f>IFERROR(__xludf.DUMMYFUNCTION("COUNTIF(ARRAYFORMULA(HLOOKUP($B95, IMPORTRANGE('Prelim Rankings Unsorted'!$B$40, CONCAT(VLOOKUP($C95, 'Match Names'!$A$1:$D$22, 2, FALSE), ""!C3:R29"")), {5;10;16;22}, FALSE)), ""=4"") + COUNTIF(ARRAYFORMULA(HLOOKUP($B95, IMPORTRANGE('Prelim Rankings Unso"&amp;"rted'!$B$41, CONCAT(VLOOKUP($C95, 'Match Names'!$A$1:$D$22, 3, FALSE), ""!C3:R29"")), {2;8;14;20}, FALSE)), ""=4"") + COUNTIF(ARRAYFORMULA(HLOOKUP($B95, IMPORTRANGE('Prelim Rankings Unsorted'!$B$42, CONCAT(VLOOKUP($C95, 'Match Names'!$A$1:$D$22, 4, FALSE)"&amp;", ""!C3:R29"")), {4;10;16;22}, FALSE)), ""=4"") + COUNTIF(ARRAYFORMULA(HLOOKUP($B95, IMPORTRANGE('Match Names'!$E$23, CONCAT(VLOOKUP($C95, 'Match Names'!$1:$22, 5, FALSE), ""!C3:R29"")), {5;10;15;20}, FALSE)), ""=4"") + COUNTIF(ARRAYFORMULA(HLOOKUP($B95, "&amp;"IMPORTRANGE('Match Names'!$F$23, CONCAT(VLOOKUP($C95, 'Match Names'!$1:$22, 6, FALSE), ""!C3:R29"")), {4;10;16;22}, FALSE)), ""=4"") + COUNTIF(ARRAYFORMULA(HLOOKUP($B95, IMPORTRANGE('Match Names'!$G$23, CONCAT(VLOOKUP($C95, 'Match Names'!$1:$22, 7, FALSE)"&amp;", ""!C3:R29"")), {4;9;13;19}, FALSE)), ""=4"") + COUNTIF(ARRAYFORMULA(HLOOKUP($B95, IMPORTRANGE('Match Names'!$H$23, CONCAT(VLOOKUP($C95, 'Match Names'!$1:$22, 8, FALSE), ""!C3:R29"")), {3;9;15;21}, FALSE)), ""=4"")"),0.0)</f>
        <v>0</v>
      </c>
      <c r="F95" s="32">
        <f>IFERROR(__xludf.DUMMYFUNCTION("COUNTIF(ARRAYFORMULA(HLOOKUP($B95, IMPORTRANGE('Prelim Rankings Unsorted'!$B$40, CONCAT(VLOOKUP($C95, 'Match Names'!$A$1:$D$22, 2, FALSE), ""!C3:R29"")), {5;10;16;22}, FALSE)), ""=0"") + COUNTIF(ARRAYFORMULA(HLOOKUP($B95, IMPORTRANGE('Prelim Rankings Unso"&amp;"rted'!$B$41, CONCAT(VLOOKUP($C95, 'Match Names'!$A$1:$D$22, 3, FALSE), ""!C3:R29"")), {2;8;14;20}, FALSE)), ""=0"") + COUNTIF(ARRAYFORMULA(HLOOKUP($B95, IMPORTRANGE('Prelim Rankings Unsorted'!$B$42, CONCAT(VLOOKUP($C95, 'Match Names'!$A$1:$D$22, 4, FALSE)"&amp;", ""!C3:R29"")), {4;10;16;22}, FALSE)), ""=0"") + COUNTIF(ARRAYFORMULA(HLOOKUP($B95, IMPORTRANGE('Match Names'!$E$23, CONCAT(VLOOKUP($C95, 'Match Names'!$1:$22, 5, FALSE), ""!C3:R29"")), {5;10;15;20}, FALSE)), ""=0"") + COUNTIF(ARRAYFORMULA(HLOOKUP($B95, "&amp;"IMPORTRANGE('Match Names'!$F$23, CONCAT(VLOOKUP($C95, 'Match Names'!$1:$22, 6, FALSE), ""!C3:R29"")), {4;10;16;22}, FALSE)), ""=0"") + COUNTIF(ARRAYFORMULA(HLOOKUP($B95, IMPORTRANGE('Match Names'!$G$23, CONCAT(VLOOKUP($C95, 'Match Names'!$1:$22, 7, FALSE)"&amp;", ""!C3:R29"")), {4;9;13;19}, FALSE)), ""=0"") + COUNTIF(ARRAYFORMULA(HLOOKUP($B95, IMPORTRANGE('Match Names'!$H$23, CONCAT(VLOOKUP($C95, 'Match Names'!$1:$22, 8, FALSE), ""!C3:R29"")), {3;9;15;21}, FALSE)), ""=0"")"),0.0)</f>
        <v>0</v>
      </c>
      <c r="G95" s="32">
        <f>IFERROR(__xludf.DUMMYFUNCTION("COUNTIF(ARRAYFORMULA(HLOOKUP($B95, IMPORTRANGE('Prelim Rankings Unsorted'!$B$40, CONCAT(VLOOKUP($C95, 'Match Names'!$A$1:$D$22, 2, FALSE), ""!C3:R29"")), {5;10;16;22}, FALSE)), ""=-4"") + COUNTIF(ARRAYFORMULA(HLOOKUP($B95, IMPORTRANGE('Prelim Rankings Uns"&amp;"orted'!$B$41, CONCAT(VLOOKUP($C95, 'Match Names'!$A$1:$D$22, 3, FALSE), ""!C3:R29"")), {2;8;14;20}, FALSE)), ""=-4"") + COUNTIF(ARRAYFORMULA(HLOOKUP($B95, IMPORTRANGE('Prelim Rankings Unsorted'!$B$42, CONCAT(VLOOKUP($C95, 'Match Names'!$A$1:$D$22, 4, FALS"&amp;"E), ""!C3:R29"")), {4;10;16;22}, FALSE)), ""=-4"") + COUNTIF(ARRAYFORMULA(HLOOKUP($B95, IMPORTRANGE('Match Names'!$E$23, CONCAT(VLOOKUP($C95, 'Match Names'!$1:$22, 5, FALSE), ""!C3:R29"")), {5;10;15;20}, FALSE)), ""=-4"") + COUNTIF(ARRAYFORMULA(HLOOKUP($B"&amp;"95, IMPORTRANGE('Match Names'!$F$23, CONCAT(VLOOKUP($C95, 'Match Names'!$1:$22, 6, FALSE), ""!C3:R29"")), {4;10;16;22}, FALSE)), ""=-4"") + COUNTIF(ARRAYFORMULA(HLOOKUP($B95, IMPORTRANGE('Match Names'!$G$23, CONCAT(VLOOKUP($C95, 'Match Names'!$1:$22, 7, F"&amp;"ALSE), ""!C3:R29"")), {4;9;13;19}, FALSE)), ""=-4"") + COUNTIF(ARRAYFORMULA(HLOOKUP($B95, IMPORTRANGE('Match Names'!$H$23, CONCAT(VLOOKUP($C95, 'Match Names'!$1:$22, 8, FALSE), ""!C3:R29"")), {3;9;15;21}, FALSE)), ""=-4"")"),0.0)</f>
        <v>0</v>
      </c>
      <c r="H95" s="33">
        <f t="shared" si="1"/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>
      <c r="A3" s="31" t="s">
        <v>13</v>
      </c>
      <c r="B3" s="31" t="str">
        <f>VLOOKUP(CONCAT(A3, C3), 'Discord Username to Real Name'!C:D, 2, FALSE)</f>
        <v>DanielRocks(UrMom)#5639</v>
      </c>
      <c r="C3" s="31" t="s">
        <v>5</v>
      </c>
      <c r="D3" s="32">
        <f>IFERROR(__xludf.DUMMYFUNCTION("(3 - COUNTIF(IFERROR(ARRAYFORMULA(HLOOKUP($B3, IMPORTRANGE('Prelim Rankings Unsorted'!$B$40, CONCAT(VLOOKUP($C3, 'Match Names'!$A$1:$D$22, 2, FALSE), ""!C3:R29"")), {12;18;24}, FALSE)), 'Player Overall Stats Unsorted'!$AA$9:$AA$12), ""=X"")) + (3 - COUNTI"&amp;"F(IFERROR(ARRAYFORMULA(HLOOKUP($B3, IMPORTRANGE('Prelim Rankings Unsorted'!$B$41, CONCAT(VLOOKUP($C3, 'Match Names'!$A$1:$D$22, 3, FALSE), ""!C3:R29"")), {6;12;18}, FALSE)), 'Player Overall Stats Unsorted'!$AA$9:$AA$12), ""=X"")) + (3 - COUNTIF(IFERROR(AR"&amp;"RAYFORMULA(HLOOKUP($B3, IMPORTRANGE('Prelim Rankings Unsorted'!$B$42, CONCAT(VLOOKUP($C3, 'Match Names'!$A$1:$D$22, 4, FALSE), ""!C3:R29"")), {6;12;18}, FALSE)), 'Player Overall Stats Unsorted'!$AA$9:$AA$12), ""=X"")) + (3 - COUNTIF(IFERROR(ARRAYFORMULA(H"&amp;"LOOKUP($B3, IMPORTRANGE('Match Names'!$E$23, CONCAT(VLOOKUP($C3, 'Match Names'!$1:$22, 5, FALSE), ""!C3:R29"")), {4;13;18}, FALSE)), 'Player Overall Stats Unsorted'!$AA$9:$AA$12), ""=X"")) + (3 - COUNTIF(IFERROR(ARRAYFORMULA(HLOOKUP($B3, IMPORTRANGE('Matc"&amp;"h Names'!$F$23, CONCAT(VLOOKUP($C3, 'Match Names'!$1:$22, 6, FALSE), ""!C3:R29"")), {7;13;19}, FALSE)), 'Player Overall Stats Unsorted'!$AA$9:$AA$12), ""=X"")) + (3 - COUNTIF(IFERROR(ARRAYFORMULA(HLOOKUP($B3, IMPORTRANGE('Match Names'!$G$23, CONCAT(VLOOKU"&amp;"P($C3, 'Match Names'!$1:$22, 7, FALSE), ""!C3:R29"")), {11;15;23}, FALSE)), 'Player Overall Stats Unsorted'!$AA$9:$AA$12), ""=X"")) + (3 - COUNTIF(IFERROR(ARRAYFORMULA(HLOOKUP($B3, IMPORTRANGE('Match Names'!$H$23, CONCAT(VLOOKUP($C3, 'Match Names'!$1:$22,"&amp;" 8, FALSE), ""!C3:R29"")), {6;12;18}, FALSE)), 'Player Overall Stats Unsorted'!$AA$9:$AA$12), ""=X""))"),6.0)</f>
        <v>6</v>
      </c>
      <c r="E3" s="32">
        <f>IFERROR(__xludf.DUMMYFUNCTION("COUNTIF(ARRAYFORMULA(HLOOKUP($B3, IMPORTRANGE('Prelim Rankings Unsorted'!$B$40, CONCAT(VLOOKUP($C3, 'Match Names'!$A$1:$D$22, 2, FALSE), ""!C3:R29"")), {12;18;24}, FALSE)), ""=4"") + COUNTIF(ARRAYFORMULA(HLOOKUP($B3, IMPORTRANGE('Prelim Rankings Unsorted'"&amp;"!$B$41, CONCAT(VLOOKUP($C3, 'Match Names'!$A$1:$D$22, 3, FALSE), ""!C3:R29"")), {6;12;18}, FALSE)), ""=4"") + COUNTIF(ARRAYFORMULA(HLOOKUP($B3, IMPORTRANGE('Prelim Rankings Unsorted'!$B$42, CONCAT(VLOOKUP($C3, 'Match Names'!$A$1:$D$22, 4, FALSE), ""!C3:R2"&amp;"9"")), {6;12;18}, FALSE)), ""=4"") + COUNTIF(ARRAYFORMULA(HLOOKUP($B3, IMPORTRANGE('Match Names'!$E$23, CONCAT(VLOOKUP($C3, 'Match Names'!$1:$22, 5, FALSE), ""!C3:R29"")), {4;13;18}, FALSE)), ""=4"") + COUNTIF(ARRAYFORMULA(HLOOKUP($B3, IMPORTRANGE('Match "&amp;"Names'!$F$23, CONCAT(VLOOKUP($C3, 'Match Names'!$1:$22, 6, FALSE), ""!C3:R29"")), {7;13;19}, FALSE)), ""=4"") + COUNTIF(ARRAYFORMULA(HLOOKUP($B3, IMPORTRANGE('Match Names'!$G$23, CONCAT(VLOOKUP($C3, 'Match Names'!$1:$22, 7, FALSE), ""!C3:R29"")), {11;15;2"&amp;"3}, FALSE)), ""=4"") + COUNTIF(ARRAYFORMULA(HLOOKUP($B3, IMPORTRANGE('Match Names'!$H$23, CONCAT(VLOOKUP($C3, 'Match Names'!$1:$22, 8, FALSE), ""!C3:R29"")), {6;12;18}, FALSE)), ""=4"")"),0.0)</f>
        <v>0</v>
      </c>
      <c r="F3" s="32">
        <f>IFERROR(__xludf.DUMMYFUNCTION("COUNTIF(ARRAYFORMULA(HLOOKUP($B3, IMPORTRANGE('Prelim Rankings Unsorted'!$B$40, CONCAT(VLOOKUP($C3, 'Match Names'!$A$1:$D$22, 2, FALSE), ""!C3:R29"")), {12;18;24}, FALSE)), ""=0"") + COUNTIF(ARRAYFORMULA(HLOOKUP($B3, IMPORTRANGE('Prelim Rankings Unsorted'"&amp;"!$B$41, CONCAT(VLOOKUP($C3, 'Match Names'!$A$1:$D$22, 3, FALSE), ""!C3:R29"")), {6;12;18}, FALSE)), ""=0"") + COUNTIF(ARRAYFORMULA(HLOOKUP($B3, IMPORTRANGE('Prelim Rankings Unsorted'!$B$42, CONCAT(VLOOKUP($C3, 'Match Names'!$A$1:$D$22, 4, FALSE), ""!C3:R2"&amp;"9"")), {6;12;18}, FALSE)), ""=0"") + COUNTIF(ARRAYFORMULA(HLOOKUP($B3, IMPORTRANGE('Match Names'!$E$23, CONCAT(VLOOKUP($C3, 'Match Names'!$1:$22, 5, FALSE), ""!C3:R29"")), {4;13;18}, FALSE)), ""=0"") + COUNTIF(ARRAYFORMULA(HLOOKUP($B3, IMPORTRANGE('Match "&amp;"Names'!$F$23, CONCAT(VLOOKUP($C3, 'Match Names'!$1:$22, 6, FALSE), ""!C3:R29"")), {7;13;19}, FALSE)), ""=0"") + COUNTIF(ARRAYFORMULA(HLOOKUP($B3, IMPORTRANGE('Match Names'!$G$23, CONCAT(VLOOKUP($C3, 'Match Names'!$1:$22, 7, FALSE), ""!C3:R29"")), {11;15;2"&amp;"3}, FALSE)), ""=0"") + COUNTIF(ARRAYFORMULA(HLOOKUP($B3, IMPORTRANGE('Match Names'!$H$23, CONCAT(VLOOKUP($C3, 'Match Names'!$1:$22, 8, FALSE), ""!C3:R29"")), {6;12;18}, FALSE)), ""=0"")"),0.0)</f>
        <v>0</v>
      </c>
      <c r="G3" s="32">
        <f>IFERROR(__xludf.DUMMYFUNCTION("COUNTIF(ARRAYFORMULA(HLOOKUP($B3, IMPORTRANGE('Prelim Rankings Unsorted'!$B$40, CONCAT(VLOOKUP($C3, 'Match Names'!$A$1:$D$22, 2, FALSE), ""!C3:R29"")), {12;18;24}, FALSE)), ""=-4"") + COUNTIF(ARRAYFORMULA(HLOOKUP($B3, IMPORTRANGE('Prelim Rankings Unsorted"&amp;"'!$B$41, CONCAT(VLOOKUP($C3, 'Match Names'!$A$1:$D$22, 3, FALSE), ""!C3:R29"")), {6;12;18}, FALSE)), ""=-4"") + COUNTIF(ARRAYFORMULA(HLOOKUP($B3, IMPORTRANGE('Prelim Rankings Unsorted'!$B$42, CONCAT(VLOOKUP($C3, 'Match Names'!$A$1:$D$22, 4, FALSE), ""!C3:"&amp;"R29"")), {6;12;18}, FALSE)), ""=-4"") + COUNTIF(ARRAYFORMULA(HLOOKUP($B3, IMPORTRANGE('Match Names'!$E$23, CONCAT(VLOOKUP($C3, 'Match Names'!$1:$22, 5, FALSE), ""!C3:R29"")), {4;13;18}, FALSE)), ""=-4"") + COUNTIF(ARRAYFORMULA(HLOOKUP($B3, IMPORTRANGE('Ma"&amp;"tch Names'!$F$23, CONCAT(VLOOKUP($C3, 'Match Names'!$1:$22, 6, FALSE), ""!C3:R29"")), {7;13;19}, FALSE)), ""=-4"") + COUNTIF(ARRAYFORMULA(HLOOKUP($B3, IMPORTRANGE('Match Names'!$G$23, CONCAT(VLOOKUP($C3, 'Match Names'!$1:$22, 7, FALSE), ""!C3:R29"")), {11"&amp;";15;23}, FALSE)), ""=-4"") + COUNTIF(ARRAYFORMULA(HLOOKUP($B3, IMPORTRANGE('Match Names'!$H$23, CONCAT(VLOOKUP($C3, 'Match Names'!$1:$22, 8, FALSE), ""!C3:R29"")), {6;12;18}, FALSE)), ""=-4"")"),0.0)</f>
        <v>0</v>
      </c>
      <c r="H3" s="33">
        <f t="shared" ref="H3:H95" si="1">IFERROR(ROUND(((E3*4)+(G3*-4))/(D3/3), 2), 0)</f>
        <v>0</v>
      </c>
    </row>
    <row r="4">
      <c r="A4" s="32" t="s">
        <v>33</v>
      </c>
      <c r="B4" s="31" t="str">
        <f>VLOOKUP(CONCAT(A4, C4), 'Discord Username to Real Name'!C:D, 2, FALSE)</f>
        <v>Running Runin#5021</v>
      </c>
      <c r="C4" s="31" t="s">
        <v>5</v>
      </c>
      <c r="D4" s="32">
        <f>IFERROR(__xludf.DUMMYFUNCTION("(3 - COUNTIF(IFERROR(ARRAYFORMULA(HLOOKUP($B4, IMPORTRANGE('Prelim Rankings Unsorted'!$B$40, CONCAT(VLOOKUP($C4, 'Match Names'!$A$1:$D$22, 2, FALSE), ""!C3:R29"")), {12;18;24}, FALSE)), 'Player Overall Stats Unsorted'!$AA$9:$AA$12), ""=X"")) + (3 - COUNTI"&amp;"F(IFERROR(ARRAYFORMULA(HLOOKUP($B4, IMPORTRANGE('Prelim Rankings Unsorted'!$B$41, CONCAT(VLOOKUP($C4, 'Match Names'!$A$1:$D$22, 3, FALSE), ""!C3:R29"")), {6;12;18}, FALSE)), 'Player Overall Stats Unsorted'!$AA$9:$AA$12), ""=X"")) + (3 - COUNTIF(IFERROR(AR"&amp;"RAYFORMULA(HLOOKUP($B4, IMPORTRANGE('Prelim Rankings Unsorted'!$B$42, CONCAT(VLOOKUP($C4, 'Match Names'!$A$1:$D$22, 4, FALSE), ""!C3:R29"")), {6;12;18}, FALSE)), 'Player Overall Stats Unsorted'!$AA$9:$AA$12), ""=X"")) + (3 - COUNTIF(IFERROR(ARRAYFORMULA(H"&amp;"LOOKUP($B4, IMPORTRANGE('Match Names'!$E$23, CONCAT(VLOOKUP($C4, 'Match Names'!$1:$22, 5, FALSE), ""!C3:R29"")), {4;13;18}, FALSE)), 'Player Overall Stats Unsorted'!$AA$9:$AA$12), ""=X"")) + (3 - COUNTIF(IFERROR(ARRAYFORMULA(HLOOKUP($B4, IMPORTRANGE('Matc"&amp;"h Names'!$F$23, CONCAT(VLOOKUP($C4, 'Match Names'!$1:$22, 6, FALSE), ""!C3:R29"")), {7;13;19}, FALSE)), 'Player Overall Stats Unsorted'!$AA$9:$AA$12), ""=X"")) + (3 - COUNTIF(IFERROR(ARRAYFORMULA(HLOOKUP($B4, IMPORTRANGE('Match Names'!$G$23, CONCAT(VLOOKU"&amp;"P($C4, 'Match Names'!$1:$22, 7, FALSE), ""!C3:R29"")), {11;15;23}, FALSE)), 'Player Overall Stats Unsorted'!$AA$9:$AA$12), ""=X"")) + (3 - COUNTIF(IFERROR(ARRAYFORMULA(HLOOKUP($B4, IMPORTRANGE('Match Names'!$H$23, CONCAT(VLOOKUP($C4, 'Match Names'!$1:$22,"&amp;" 8, FALSE), ""!C3:R29"")), {6;12;18}, FALSE)), 'Player Overall Stats Unsorted'!$AA$9:$AA$12), ""=X""))"),0.0)</f>
        <v>0</v>
      </c>
      <c r="E4" s="32">
        <f>IFERROR(__xludf.DUMMYFUNCTION("COUNTIF(ARRAYFORMULA(HLOOKUP($B4, IMPORTRANGE('Prelim Rankings Unsorted'!$B$40, CONCAT(VLOOKUP($C4, 'Match Names'!$A$1:$D$22, 2, FALSE), ""!C3:R29"")), {12;18;24}, FALSE)), ""=4"") + COUNTIF(ARRAYFORMULA(HLOOKUP($B4, IMPORTRANGE('Prelim Rankings Unsorted'"&amp;"!$B$41, CONCAT(VLOOKUP($C4, 'Match Names'!$A$1:$D$22, 3, FALSE), ""!C3:R29"")), {6;12;18}, FALSE)), ""=4"") + COUNTIF(ARRAYFORMULA(HLOOKUP($B4, IMPORTRANGE('Prelim Rankings Unsorted'!$B$42, CONCAT(VLOOKUP($C4, 'Match Names'!$A$1:$D$22, 4, FALSE), ""!C3:R2"&amp;"9"")), {6;12;18}, FALSE)), ""=4"") + COUNTIF(ARRAYFORMULA(HLOOKUP($B4, IMPORTRANGE('Match Names'!$E$23, CONCAT(VLOOKUP($C4, 'Match Names'!$1:$22, 5, FALSE), ""!C3:R29"")), {4;13;18}, FALSE)), ""=4"") + COUNTIF(ARRAYFORMULA(HLOOKUP($B4, IMPORTRANGE('Match "&amp;"Names'!$F$23, CONCAT(VLOOKUP($C4, 'Match Names'!$1:$22, 6, FALSE), ""!C3:R29"")), {7;13;19}, FALSE)), ""=4"") + COUNTIF(ARRAYFORMULA(HLOOKUP($B4, IMPORTRANGE('Match Names'!$G$23, CONCAT(VLOOKUP($C4, 'Match Names'!$1:$22, 7, FALSE), ""!C3:R29"")), {11;15;2"&amp;"3}, FALSE)), ""=4"") + COUNTIF(ARRAYFORMULA(HLOOKUP($B4, IMPORTRANGE('Match Names'!$H$23, CONCAT(VLOOKUP($C4, 'Match Names'!$1:$22, 8, FALSE), ""!C3:R29"")), {6;12;18}, FALSE)), ""=4"")"),0.0)</f>
        <v>0</v>
      </c>
      <c r="F4" s="32">
        <f>IFERROR(__xludf.DUMMYFUNCTION("COUNTIF(ARRAYFORMULA(HLOOKUP($B4, IMPORTRANGE('Prelim Rankings Unsorted'!$B$40, CONCAT(VLOOKUP($C4, 'Match Names'!$A$1:$D$22, 2, FALSE), ""!C3:R29"")), {12;18;24}, FALSE)), ""=0"") + COUNTIF(ARRAYFORMULA(HLOOKUP($B4, IMPORTRANGE('Prelim Rankings Unsorted'"&amp;"!$B$41, CONCAT(VLOOKUP($C4, 'Match Names'!$A$1:$D$22, 3, FALSE), ""!C3:R29"")), {6;12;18}, FALSE)), ""=0"") + COUNTIF(ARRAYFORMULA(HLOOKUP($B4, IMPORTRANGE('Prelim Rankings Unsorted'!$B$42, CONCAT(VLOOKUP($C4, 'Match Names'!$A$1:$D$22, 4, FALSE), ""!C3:R2"&amp;"9"")), {6;12;18}, FALSE)), ""=0"") + COUNTIF(ARRAYFORMULA(HLOOKUP($B4, IMPORTRANGE('Match Names'!$E$23, CONCAT(VLOOKUP($C4, 'Match Names'!$1:$22, 5, FALSE), ""!C3:R29"")), {4;13;18}, FALSE)), ""=0"") + COUNTIF(ARRAYFORMULA(HLOOKUP($B4, IMPORTRANGE('Match "&amp;"Names'!$F$23, CONCAT(VLOOKUP($C4, 'Match Names'!$1:$22, 6, FALSE), ""!C3:R29"")), {7;13;19}, FALSE)), ""=0"") + COUNTIF(ARRAYFORMULA(HLOOKUP($B4, IMPORTRANGE('Match Names'!$G$23, CONCAT(VLOOKUP($C4, 'Match Names'!$1:$22, 7, FALSE), ""!C3:R29"")), {11;15;2"&amp;"3}, FALSE)), ""=0"") + COUNTIF(ARRAYFORMULA(HLOOKUP($B4, IMPORTRANGE('Match Names'!$H$23, CONCAT(VLOOKUP($C4, 'Match Names'!$1:$22, 8, FALSE), ""!C3:R29"")), {6;12;18}, FALSE)), ""=0"")"),0.0)</f>
        <v>0</v>
      </c>
      <c r="G4" s="32">
        <f>IFERROR(__xludf.DUMMYFUNCTION("COUNTIF(ARRAYFORMULA(HLOOKUP($B4, IMPORTRANGE('Prelim Rankings Unsorted'!$B$40, CONCAT(VLOOKUP($C4, 'Match Names'!$A$1:$D$22, 2, FALSE), ""!C3:R29"")), {12;18;24}, FALSE)), ""=-4"") + COUNTIF(ARRAYFORMULA(HLOOKUP($B4, IMPORTRANGE('Prelim Rankings Unsorted"&amp;"'!$B$41, CONCAT(VLOOKUP($C4, 'Match Names'!$A$1:$D$22, 3, FALSE), ""!C3:R29"")), {6;12;18}, FALSE)), ""=-4"") + COUNTIF(ARRAYFORMULA(HLOOKUP($B4, IMPORTRANGE('Prelim Rankings Unsorted'!$B$42, CONCAT(VLOOKUP($C4, 'Match Names'!$A$1:$D$22, 4, FALSE), ""!C3:"&amp;"R29"")), {6;12;18}, FALSE)), ""=-4"") + COUNTIF(ARRAYFORMULA(HLOOKUP($B4, IMPORTRANGE('Match Names'!$E$23, CONCAT(VLOOKUP($C4, 'Match Names'!$1:$22, 5, FALSE), ""!C3:R29"")), {4;13;18}, FALSE)), ""=-4"") + COUNTIF(ARRAYFORMULA(HLOOKUP($B4, IMPORTRANGE('Ma"&amp;"tch Names'!$F$23, CONCAT(VLOOKUP($C4, 'Match Names'!$1:$22, 6, FALSE), ""!C3:R29"")), {7;13;19}, FALSE)), ""=-4"") + COUNTIF(ARRAYFORMULA(HLOOKUP($B4, IMPORTRANGE('Match Names'!$G$23, CONCAT(VLOOKUP($C4, 'Match Names'!$1:$22, 7, FALSE), ""!C3:R29"")), {11"&amp;";15;23}, FALSE)), ""=-4"") + COUNTIF(ARRAYFORMULA(HLOOKUP($B4, IMPORTRANGE('Match Names'!$H$23, CONCAT(VLOOKUP($C4, 'Match Names'!$1:$22, 8, FALSE), ""!C3:R29"")), {6;12;18}, FALSE)), ""=-4"")"),0.0)</f>
        <v>0</v>
      </c>
      <c r="H4" s="33">
        <f t="shared" si="1"/>
        <v>0</v>
      </c>
    </row>
    <row r="5">
      <c r="A5" s="31" t="s">
        <v>78</v>
      </c>
      <c r="B5" s="31" t="str">
        <f>VLOOKUP(CONCAT(A5, C5), 'Discord Username to Real Name'!C:D, 2, FALSE)</f>
        <v>avaa#8678</v>
      </c>
      <c r="C5" s="31" t="s">
        <v>5</v>
      </c>
      <c r="D5" s="32">
        <f>IFERROR(__xludf.DUMMYFUNCTION("(3 - COUNTIF(IFERROR(ARRAYFORMULA(HLOOKUP($B5, IMPORTRANGE('Prelim Rankings Unsorted'!$B$40, CONCAT(VLOOKUP($C5, 'Match Names'!$A$1:$D$22, 2, FALSE), ""!C3:R29"")), {12;18;24}, FALSE)), 'Player Overall Stats Unsorted'!$AA$9:$AA$12), ""=X"")) + (3 - COUNTI"&amp;"F(IFERROR(ARRAYFORMULA(HLOOKUP($B5, IMPORTRANGE('Prelim Rankings Unsorted'!$B$41, CONCAT(VLOOKUP($C5, 'Match Names'!$A$1:$D$22, 3, FALSE), ""!C3:R29"")), {6;12;18}, FALSE)), 'Player Overall Stats Unsorted'!$AA$9:$AA$12), ""=X"")) + (3 - COUNTIF(IFERROR(AR"&amp;"RAYFORMULA(HLOOKUP($B5, IMPORTRANGE('Prelim Rankings Unsorted'!$B$42, CONCAT(VLOOKUP($C5, 'Match Names'!$A$1:$D$22, 4, FALSE), ""!C3:R29"")), {6;12;18}, FALSE)), 'Player Overall Stats Unsorted'!$AA$9:$AA$12), ""=X"")) + (3 - COUNTIF(IFERROR(ARRAYFORMULA(H"&amp;"LOOKUP($B5, IMPORTRANGE('Match Names'!$E$23, CONCAT(VLOOKUP($C5, 'Match Names'!$1:$22, 5, FALSE), ""!C3:R29"")), {4;13;18}, FALSE)), 'Player Overall Stats Unsorted'!$AA$9:$AA$12), ""=X"")) + (3 - COUNTIF(IFERROR(ARRAYFORMULA(HLOOKUP($B5, IMPORTRANGE('Matc"&amp;"h Names'!$F$23, CONCAT(VLOOKUP($C5, 'Match Names'!$1:$22, 6, FALSE), ""!C3:R29"")), {7;13;19}, FALSE)), 'Player Overall Stats Unsorted'!$AA$9:$AA$12), ""=X"")) + (3 - COUNTIF(IFERROR(ARRAYFORMULA(HLOOKUP($B5, IMPORTRANGE('Match Names'!$G$23, CONCAT(VLOOKU"&amp;"P($C5, 'Match Names'!$1:$22, 7, FALSE), ""!C3:R29"")), {11;15;23}, FALSE)), 'Player Overall Stats Unsorted'!$AA$9:$AA$12), ""=X"")) + (3 - COUNTIF(IFERROR(ARRAYFORMULA(HLOOKUP($B5, IMPORTRANGE('Match Names'!$H$23, CONCAT(VLOOKUP($C5, 'Match Names'!$1:$22,"&amp;" 8, FALSE), ""!C3:R29"")), {6;12;18}, FALSE)), 'Player Overall Stats Unsorted'!$AA$9:$AA$12), ""=X""))"),5.0)</f>
        <v>5</v>
      </c>
      <c r="E5" s="32">
        <f>IFERROR(__xludf.DUMMYFUNCTION("COUNTIF(ARRAYFORMULA(HLOOKUP($B5, IMPORTRANGE('Prelim Rankings Unsorted'!$B$40, CONCAT(VLOOKUP($C5, 'Match Names'!$A$1:$D$22, 2, FALSE), ""!C3:R29"")), {12;18;24}, FALSE)), ""=4"") + COUNTIF(ARRAYFORMULA(HLOOKUP($B5, IMPORTRANGE('Prelim Rankings Unsorted'"&amp;"!$B$41, CONCAT(VLOOKUP($C5, 'Match Names'!$A$1:$D$22, 3, FALSE), ""!C3:R29"")), {6;12;18}, FALSE)), ""=4"") + COUNTIF(ARRAYFORMULA(HLOOKUP($B5, IMPORTRANGE('Prelim Rankings Unsorted'!$B$42, CONCAT(VLOOKUP($C5, 'Match Names'!$A$1:$D$22, 4, FALSE), ""!C3:R2"&amp;"9"")), {6;12;18}, FALSE)), ""=4"") + COUNTIF(ARRAYFORMULA(HLOOKUP($B5, IMPORTRANGE('Match Names'!$E$23, CONCAT(VLOOKUP($C5, 'Match Names'!$1:$22, 5, FALSE), ""!C3:R29"")), {4;13;18}, FALSE)), ""=4"") + COUNTIF(ARRAYFORMULA(HLOOKUP($B5, IMPORTRANGE('Match "&amp;"Names'!$F$23, CONCAT(VLOOKUP($C5, 'Match Names'!$1:$22, 6, FALSE), ""!C3:R29"")), {7;13;19}, FALSE)), ""=4"") + COUNTIF(ARRAYFORMULA(HLOOKUP($B5, IMPORTRANGE('Match Names'!$G$23, CONCAT(VLOOKUP($C5, 'Match Names'!$1:$22, 7, FALSE), ""!C3:R29"")), {11;15;2"&amp;"3}, FALSE)), ""=4"") + COUNTIF(ARRAYFORMULA(HLOOKUP($B5, IMPORTRANGE('Match Names'!$H$23, CONCAT(VLOOKUP($C5, 'Match Names'!$1:$22, 8, FALSE), ""!C3:R29"")), {6;12;18}, FALSE)), ""=4"")"),0.0)</f>
        <v>0</v>
      </c>
      <c r="F5" s="32">
        <f>IFERROR(__xludf.DUMMYFUNCTION("COUNTIF(ARRAYFORMULA(HLOOKUP($B5, IMPORTRANGE('Prelim Rankings Unsorted'!$B$40, CONCAT(VLOOKUP($C5, 'Match Names'!$A$1:$D$22, 2, FALSE), ""!C3:R29"")), {12;18;24}, FALSE)), ""=0"") + COUNTIF(ARRAYFORMULA(HLOOKUP($B5, IMPORTRANGE('Prelim Rankings Unsorted'"&amp;"!$B$41, CONCAT(VLOOKUP($C5, 'Match Names'!$A$1:$D$22, 3, FALSE), ""!C3:R29"")), {6;12;18}, FALSE)), ""=0"") + COUNTIF(ARRAYFORMULA(HLOOKUP($B5, IMPORTRANGE('Prelim Rankings Unsorted'!$B$42, CONCAT(VLOOKUP($C5, 'Match Names'!$A$1:$D$22, 4, FALSE), ""!C3:R2"&amp;"9"")), {6;12;18}, FALSE)), ""=0"") + COUNTIF(ARRAYFORMULA(HLOOKUP($B5, IMPORTRANGE('Match Names'!$E$23, CONCAT(VLOOKUP($C5, 'Match Names'!$1:$22, 5, FALSE), ""!C3:R29"")), {4;13;18}, FALSE)), ""=0"") + COUNTIF(ARRAYFORMULA(HLOOKUP($B5, IMPORTRANGE('Match "&amp;"Names'!$F$23, CONCAT(VLOOKUP($C5, 'Match Names'!$1:$22, 6, FALSE), ""!C3:R29"")), {7;13;19}, FALSE)), ""=0"") + COUNTIF(ARRAYFORMULA(HLOOKUP($B5, IMPORTRANGE('Match Names'!$G$23, CONCAT(VLOOKUP($C5, 'Match Names'!$1:$22, 7, FALSE), ""!C3:R29"")), {11;15;2"&amp;"3}, FALSE)), ""=0"") + COUNTIF(ARRAYFORMULA(HLOOKUP($B5, IMPORTRANGE('Match Names'!$H$23, CONCAT(VLOOKUP($C5, 'Match Names'!$1:$22, 8, FALSE), ""!C3:R29"")), {6;12;18}, FALSE)), ""=0"")"),1.0)</f>
        <v>1</v>
      </c>
      <c r="G5" s="32">
        <f>IFERROR(__xludf.DUMMYFUNCTION("COUNTIF(ARRAYFORMULA(HLOOKUP($B5, IMPORTRANGE('Prelim Rankings Unsorted'!$B$40, CONCAT(VLOOKUP($C5, 'Match Names'!$A$1:$D$22, 2, FALSE), ""!C3:R29"")), {12;18;24}, FALSE)), ""=-4"") + COUNTIF(ARRAYFORMULA(HLOOKUP($B5, IMPORTRANGE('Prelim Rankings Unsorted"&amp;"'!$B$41, CONCAT(VLOOKUP($C5, 'Match Names'!$A$1:$D$22, 3, FALSE), ""!C3:R29"")), {6;12;18}, FALSE)), ""=-4"") + COUNTIF(ARRAYFORMULA(HLOOKUP($B5, IMPORTRANGE('Prelim Rankings Unsorted'!$B$42, CONCAT(VLOOKUP($C5, 'Match Names'!$A$1:$D$22, 4, FALSE), ""!C3:"&amp;"R29"")), {6;12;18}, FALSE)), ""=-4"") + COUNTIF(ARRAYFORMULA(HLOOKUP($B5, IMPORTRANGE('Match Names'!$E$23, CONCAT(VLOOKUP($C5, 'Match Names'!$1:$22, 5, FALSE), ""!C3:R29"")), {4;13;18}, FALSE)), ""=-4"") + COUNTIF(ARRAYFORMULA(HLOOKUP($B5, IMPORTRANGE('Ma"&amp;"tch Names'!$F$23, CONCAT(VLOOKUP($C5, 'Match Names'!$1:$22, 6, FALSE), ""!C3:R29"")), {7;13;19}, FALSE)), ""=-4"") + COUNTIF(ARRAYFORMULA(HLOOKUP($B5, IMPORTRANGE('Match Names'!$G$23, CONCAT(VLOOKUP($C5, 'Match Names'!$1:$22, 7, FALSE), ""!C3:R29"")), {11"&amp;";15;23}, FALSE)), ""=-4"") + COUNTIF(ARRAYFORMULA(HLOOKUP($B5, IMPORTRANGE('Match Names'!$H$23, CONCAT(VLOOKUP($C5, 'Match Names'!$1:$22, 8, FALSE), ""!C3:R29"")), {6;12;18}, FALSE)), ""=-4"")"),0.0)</f>
        <v>0</v>
      </c>
      <c r="H5" s="33">
        <f t="shared" si="1"/>
        <v>0</v>
      </c>
    </row>
    <row r="6">
      <c r="A6" s="31" t="s">
        <v>146</v>
      </c>
      <c r="B6" s="31" t="str">
        <f>VLOOKUP(CONCAT(A6, C6), 'Discord Username to Real Name'!C:D, 2, FALSE)</f>
        <v>Kevin Yang#3870</v>
      </c>
      <c r="C6" s="31" t="s">
        <v>5</v>
      </c>
      <c r="D6" s="32">
        <f>IFERROR(__xludf.DUMMYFUNCTION("(3 - COUNTIF(IFERROR(ARRAYFORMULA(HLOOKUP($B6, IMPORTRANGE('Prelim Rankings Unsorted'!$B$40, CONCAT(VLOOKUP($C6, 'Match Names'!$A$1:$D$22, 2, FALSE), ""!C3:R29"")), {12;18;24}, FALSE)), 'Player Overall Stats Unsorted'!$AA$9:$AA$12), ""=X"")) + (3 - COUNTI"&amp;"F(IFERROR(ARRAYFORMULA(HLOOKUP($B6, IMPORTRANGE('Prelim Rankings Unsorted'!$B$41, CONCAT(VLOOKUP($C6, 'Match Names'!$A$1:$D$22, 3, FALSE), ""!C3:R29"")), {6;12;18}, FALSE)), 'Player Overall Stats Unsorted'!$AA$9:$AA$12), ""=X"")) + (3 - COUNTIF(IFERROR(AR"&amp;"RAYFORMULA(HLOOKUP($B6, IMPORTRANGE('Prelim Rankings Unsorted'!$B$42, CONCAT(VLOOKUP($C6, 'Match Names'!$A$1:$D$22, 4, FALSE), ""!C3:R29"")), {6;12;18}, FALSE)), 'Player Overall Stats Unsorted'!$AA$9:$AA$12), ""=X"")) + (3 - COUNTIF(IFERROR(ARRAYFORMULA(H"&amp;"LOOKUP($B6, IMPORTRANGE('Match Names'!$E$23, CONCAT(VLOOKUP($C6, 'Match Names'!$1:$22, 5, FALSE), ""!C3:R29"")), {4;13;18}, FALSE)), 'Player Overall Stats Unsorted'!$AA$9:$AA$12), ""=X"")) + (3 - COUNTIF(IFERROR(ARRAYFORMULA(HLOOKUP($B6, IMPORTRANGE('Matc"&amp;"h Names'!$F$23, CONCAT(VLOOKUP($C6, 'Match Names'!$1:$22, 6, FALSE), ""!C3:R29"")), {7;13;19}, FALSE)), 'Player Overall Stats Unsorted'!$AA$9:$AA$12), ""=X"")) + (3 - COUNTIF(IFERROR(ARRAYFORMULA(HLOOKUP($B6, IMPORTRANGE('Match Names'!$G$23, CONCAT(VLOOKU"&amp;"P($C6, 'Match Names'!$1:$22, 7, FALSE), ""!C3:R29"")), {11;15;23}, FALSE)), 'Player Overall Stats Unsorted'!$AA$9:$AA$12), ""=X"")) + (3 - COUNTIF(IFERROR(ARRAYFORMULA(HLOOKUP($B6, IMPORTRANGE('Match Names'!$H$23, CONCAT(VLOOKUP($C6, 'Match Names'!$1:$22,"&amp;" 8, FALSE), ""!C3:R29"")), {6;12;18}, FALSE)), 'Player Overall Stats Unsorted'!$AA$9:$AA$12), ""=X""))"),9.0)</f>
        <v>9</v>
      </c>
      <c r="E6" s="32">
        <f>IFERROR(__xludf.DUMMYFUNCTION("COUNTIF(ARRAYFORMULA(HLOOKUP($B6, IMPORTRANGE('Prelim Rankings Unsorted'!$B$40, CONCAT(VLOOKUP($C6, 'Match Names'!$A$1:$D$22, 2, FALSE), ""!C3:R29"")), {12;18;24}, FALSE)), ""=4"") + COUNTIF(ARRAYFORMULA(HLOOKUP($B6, IMPORTRANGE('Prelim Rankings Unsorted'"&amp;"!$B$41, CONCAT(VLOOKUP($C6, 'Match Names'!$A$1:$D$22, 3, FALSE), ""!C3:R29"")), {6;12;18}, FALSE)), ""=4"") + COUNTIF(ARRAYFORMULA(HLOOKUP($B6, IMPORTRANGE('Prelim Rankings Unsorted'!$B$42, CONCAT(VLOOKUP($C6, 'Match Names'!$A$1:$D$22, 4, FALSE), ""!C3:R2"&amp;"9"")), {6;12;18}, FALSE)), ""=4"") + COUNTIF(ARRAYFORMULA(HLOOKUP($B6, IMPORTRANGE('Match Names'!$E$23, CONCAT(VLOOKUP($C6, 'Match Names'!$1:$22, 5, FALSE), ""!C3:R29"")), {4;13;18}, FALSE)), ""=4"") + COUNTIF(ARRAYFORMULA(HLOOKUP($B6, IMPORTRANGE('Match "&amp;"Names'!$F$23, CONCAT(VLOOKUP($C6, 'Match Names'!$1:$22, 6, FALSE), ""!C3:R29"")), {7;13;19}, FALSE)), ""=4"") + COUNTIF(ARRAYFORMULA(HLOOKUP($B6, IMPORTRANGE('Match Names'!$G$23, CONCAT(VLOOKUP($C6, 'Match Names'!$1:$22, 7, FALSE), ""!C3:R29"")), {11;15;2"&amp;"3}, FALSE)), ""=4"") + COUNTIF(ARRAYFORMULA(HLOOKUP($B6, IMPORTRANGE('Match Names'!$H$23, CONCAT(VLOOKUP($C6, 'Match Names'!$1:$22, 8, FALSE), ""!C3:R29"")), {6;12;18}, FALSE)), ""=4"")"),0.0)</f>
        <v>0</v>
      </c>
      <c r="F6" s="32">
        <f>IFERROR(__xludf.DUMMYFUNCTION("COUNTIF(ARRAYFORMULA(HLOOKUP($B6, IMPORTRANGE('Prelim Rankings Unsorted'!$B$40, CONCAT(VLOOKUP($C6, 'Match Names'!$A$1:$D$22, 2, FALSE), ""!C3:R29"")), {12;18;24}, FALSE)), ""=0"") + COUNTIF(ARRAYFORMULA(HLOOKUP($B6, IMPORTRANGE('Prelim Rankings Unsorted'"&amp;"!$B$41, CONCAT(VLOOKUP($C6, 'Match Names'!$A$1:$D$22, 3, FALSE), ""!C3:R29"")), {6;12;18}, FALSE)), ""=0"") + COUNTIF(ARRAYFORMULA(HLOOKUP($B6, IMPORTRANGE('Prelim Rankings Unsorted'!$B$42, CONCAT(VLOOKUP($C6, 'Match Names'!$A$1:$D$22, 4, FALSE), ""!C3:R2"&amp;"9"")), {6;12;18}, FALSE)), ""=0"") + COUNTIF(ARRAYFORMULA(HLOOKUP($B6, IMPORTRANGE('Match Names'!$E$23, CONCAT(VLOOKUP($C6, 'Match Names'!$1:$22, 5, FALSE), ""!C3:R29"")), {4;13;18}, FALSE)), ""=0"") + COUNTIF(ARRAYFORMULA(HLOOKUP($B6, IMPORTRANGE('Match "&amp;"Names'!$F$23, CONCAT(VLOOKUP($C6, 'Match Names'!$1:$22, 6, FALSE), ""!C3:R29"")), {7;13;19}, FALSE)), ""=0"") + COUNTIF(ARRAYFORMULA(HLOOKUP($B6, IMPORTRANGE('Match Names'!$G$23, CONCAT(VLOOKUP($C6, 'Match Names'!$1:$22, 7, FALSE), ""!C3:R29"")), {11;15;2"&amp;"3}, FALSE)), ""=0"") + COUNTIF(ARRAYFORMULA(HLOOKUP($B6, IMPORTRANGE('Match Names'!$H$23, CONCAT(VLOOKUP($C6, 'Match Names'!$1:$22, 8, FALSE), ""!C3:R29"")), {6;12;18}, FALSE)), ""=0"")"),0.0)</f>
        <v>0</v>
      </c>
      <c r="G6" s="32">
        <f>IFERROR(__xludf.DUMMYFUNCTION("COUNTIF(ARRAYFORMULA(HLOOKUP($B6, IMPORTRANGE('Prelim Rankings Unsorted'!$B$40, CONCAT(VLOOKUP($C6, 'Match Names'!$A$1:$D$22, 2, FALSE), ""!C3:R29"")), {12;18;24}, FALSE)), ""=-4"") + COUNTIF(ARRAYFORMULA(HLOOKUP($B6, IMPORTRANGE('Prelim Rankings Unsorted"&amp;"'!$B$41, CONCAT(VLOOKUP($C6, 'Match Names'!$A$1:$D$22, 3, FALSE), ""!C3:R29"")), {6;12;18}, FALSE)), ""=-4"") + COUNTIF(ARRAYFORMULA(HLOOKUP($B6, IMPORTRANGE('Prelim Rankings Unsorted'!$B$42, CONCAT(VLOOKUP($C6, 'Match Names'!$A$1:$D$22, 4, FALSE), ""!C3:"&amp;"R29"")), {6;12;18}, FALSE)), ""=-4"") + COUNTIF(ARRAYFORMULA(HLOOKUP($B6, IMPORTRANGE('Match Names'!$E$23, CONCAT(VLOOKUP($C6, 'Match Names'!$1:$22, 5, FALSE), ""!C3:R29"")), {4;13;18}, FALSE)), ""=-4"") + COUNTIF(ARRAYFORMULA(HLOOKUP($B6, IMPORTRANGE('Ma"&amp;"tch Names'!$F$23, CONCAT(VLOOKUP($C6, 'Match Names'!$1:$22, 6, FALSE), ""!C3:R29"")), {7;13;19}, FALSE)), ""=-4"") + COUNTIF(ARRAYFORMULA(HLOOKUP($B6, IMPORTRANGE('Match Names'!$G$23, CONCAT(VLOOKUP($C6, 'Match Names'!$1:$22, 7, FALSE), ""!C3:R29"")), {11"&amp;";15;23}, FALSE)), ""=-4"") + COUNTIF(ARRAYFORMULA(HLOOKUP($B6, IMPORTRANGE('Match Names'!$H$23, CONCAT(VLOOKUP($C6, 'Match Names'!$1:$22, 8, FALSE), ""!C3:R29"")), {6;12;18}, FALSE)), ""=-4"")"),0.0)</f>
        <v>0</v>
      </c>
      <c r="H6" s="33">
        <f t="shared" si="1"/>
        <v>0</v>
      </c>
    </row>
    <row r="7">
      <c r="A7" s="34" t="s">
        <v>198</v>
      </c>
      <c r="B7" s="35" t="str">
        <f>VLOOKUP(CONCAT(A7, C7), 'Discord Username to Real Name'!C:D, 2, FALSE)</f>
        <v/>
      </c>
      <c r="C7" s="36" t="s">
        <v>5</v>
      </c>
      <c r="D7" s="32">
        <f>IFERROR(__xludf.DUMMYFUNCTION("(3 - COUNTIF(IFERROR(ARRAYFORMULA(HLOOKUP($B7, IMPORTRANGE('Prelim Rankings Unsorted'!$B$40, CONCAT(VLOOKUP($C7, 'Match Names'!$A$1:$D$22, 2, FALSE), ""!C3:R29"")), {12;18;24}, FALSE)), 'Player Overall Stats Unsorted'!$AA$9:$AA$12), ""=X"")) + (3 - COUNTI"&amp;"F(IFERROR(ARRAYFORMULA(HLOOKUP($B7, IMPORTRANGE('Prelim Rankings Unsorted'!$B$41, CONCAT(VLOOKUP($C7, 'Match Names'!$A$1:$D$22, 3, FALSE), ""!C3:R29"")), {6;12;18}, FALSE)), 'Player Overall Stats Unsorted'!$AA$9:$AA$12), ""=X"")) + (3 - COUNTIF(IFERROR(AR"&amp;"RAYFORMULA(HLOOKUP($B7, IMPORTRANGE('Prelim Rankings Unsorted'!$B$42, CONCAT(VLOOKUP($C7, 'Match Names'!$A$1:$D$22, 4, FALSE), ""!C3:R29"")), {6;12;18}, FALSE)), 'Player Overall Stats Unsorted'!$AA$9:$AA$12), ""=X"")) + (3 - COUNTIF(IFERROR(ARRAYFORMULA(H"&amp;"LOOKUP($B7, IMPORTRANGE('Match Names'!$E$23, CONCAT(VLOOKUP($C7, 'Match Names'!$1:$22, 5, FALSE), ""!C3:R29"")), {4;13;18}, FALSE)), 'Player Overall Stats Unsorted'!$AA$9:$AA$12), ""=X"")) + (3 - COUNTIF(IFERROR(ARRAYFORMULA(HLOOKUP($B7, IMPORTRANGE('Matc"&amp;"h Names'!$F$23, CONCAT(VLOOKUP($C7, 'Match Names'!$1:$22, 6, FALSE), ""!C3:R29"")), {7;13;19}, FALSE)), 'Player Overall Stats Unsorted'!$AA$9:$AA$12), ""=X"")) + (3 - COUNTIF(IFERROR(ARRAYFORMULA(HLOOKUP($B7, IMPORTRANGE('Match Names'!$G$23, CONCAT(VLOOKU"&amp;"P($C7, 'Match Names'!$1:$22, 7, FALSE), ""!C3:R29"")), {11;15;23}, FALSE)), 'Player Overall Stats Unsorted'!$AA$9:$AA$12), ""=X"")) + (3 - COUNTIF(IFERROR(ARRAYFORMULA(HLOOKUP($B7, IMPORTRANGE('Match Names'!$H$23, CONCAT(VLOOKUP($C7, 'Match Names'!$1:$22,"&amp;" 8, FALSE), ""!C3:R29"")), {6;12;18}, FALSE)), 'Player Overall Stats Unsorted'!$AA$9:$AA$12), ""=X""))"),0.0)</f>
        <v>0</v>
      </c>
      <c r="E7" s="32">
        <f>IFERROR(__xludf.DUMMYFUNCTION("COUNTIF(ARRAYFORMULA(HLOOKUP($B7, IMPORTRANGE('Prelim Rankings Unsorted'!$B$40, CONCAT(VLOOKUP($C7, 'Match Names'!$A$1:$D$22, 2, FALSE), ""!C3:R29"")), {12;18;24}, FALSE)), ""=4"") + COUNTIF(ARRAYFORMULA(HLOOKUP($B7, IMPORTRANGE('Prelim Rankings Unsorted'"&amp;"!$B$41, CONCAT(VLOOKUP($C7, 'Match Names'!$A$1:$D$22, 3, FALSE), ""!C3:R29"")), {6;12;18}, FALSE)), ""=4"") + COUNTIF(ARRAYFORMULA(HLOOKUP($B7, IMPORTRANGE('Prelim Rankings Unsorted'!$B$42, CONCAT(VLOOKUP($C7, 'Match Names'!$A$1:$D$22, 4, FALSE), ""!C3:R2"&amp;"9"")), {6;12;18}, FALSE)), ""=4"") + COUNTIF(ARRAYFORMULA(HLOOKUP($B7, IMPORTRANGE('Match Names'!$E$23, CONCAT(VLOOKUP($C7, 'Match Names'!$1:$22, 5, FALSE), ""!C3:R29"")), {4;13;18}, FALSE)), ""=4"") + COUNTIF(ARRAYFORMULA(HLOOKUP($B7, IMPORTRANGE('Match "&amp;"Names'!$F$23, CONCAT(VLOOKUP($C7, 'Match Names'!$1:$22, 6, FALSE), ""!C3:R29"")), {7;13;19}, FALSE)), ""=4"") + COUNTIF(ARRAYFORMULA(HLOOKUP($B7, IMPORTRANGE('Match Names'!$G$23, CONCAT(VLOOKUP($C7, 'Match Names'!$1:$22, 7, FALSE), ""!C3:R29"")), {11;15;2"&amp;"3}, FALSE)), ""=4"") + COUNTIF(ARRAYFORMULA(HLOOKUP($B7, IMPORTRANGE('Match Names'!$H$23, CONCAT(VLOOKUP($C7, 'Match Names'!$1:$22, 8, FALSE), ""!C3:R29"")), {6;12;18}, FALSE)), ""=4"")"),0.0)</f>
        <v>0</v>
      </c>
      <c r="F7" s="32">
        <f>IFERROR(__xludf.DUMMYFUNCTION("COUNTIF(ARRAYFORMULA(HLOOKUP($B7, IMPORTRANGE('Prelim Rankings Unsorted'!$B$40, CONCAT(VLOOKUP($C7, 'Match Names'!$A$1:$D$22, 2, FALSE), ""!C3:R29"")), {12;18;24}, FALSE)), ""=0"") + COUNTIF(ARRAYFORMULA(HLOOKUP($B7, IMPORTRANGE('Prelim Rankings Unsorted'"&amp;"!$B$41, CONCAT(VLOOKUP($C7, 'Match Names'!$A$1:$D$22, 3, FALSE), ""!C3:R29"")), {6;12;18}, FALSE)), ""=0"") + COUNTIF(ARRAYFORMULA(HLOOKUP($B7, IMPORTRANGE('Prelim Rankings Unsorted'!$B$42, CONCAT(VLOOKUP($C7, 'Match Names'!$A$1:$D$22, 4, FALSE), ""!C3:R2"&amp;"9"")), {6;12;18}, FALSE)), ""=0"") + COUNTIF(ARRAYFORMULA(HLOOKUP($B7, IMPORTRANGE('Match Names'!$E$23, CONCAT(VLOOKUP($C7, 'Match Names'!$1:$22, 5, FALSE), ""!C3:R29"")), {4;13;18}, FALSE)), ""=0"") + COUNTIF(ARRAYFORMULA(HLOOKUP($B7, IMPORTRANGE('Match "&amp;"Names'!$F$23, CONCAT(VLOOKUP($C7, 'Match Names'!$1:$22, 6, FALSE), ""!C3:R29"")), {7;13;19}, FALSE)), ""=0"") + COUNTIF(ARRAYFORMULA(HLOOKUP($B7, IMPORTRANGE('Match Names'!$G$23, CONCAT(VLOOKUP($C7, 'Match Names'!$1:$22, 7, FALSE), ""!C3:R29"")), {11;15;2"&amp;"3}, FALSE)), ""=0"") + COUNTIF(ARRAYFORMULA(HLOOKUP($B7, IMPORTRANGE('Match Names'!$H$23, CONCAT(VLOOKUP($C7, 'Match Names'!$1:$22, 8, FALSE), ""!C3:R29"")), {6;12;18}, FALSE)), ""=0"")"),0.0)</f>
        <v>0</v>
      </c>
      <c r="G7" s="32">
        <f>IFERROR(__xludf.DUMMYFUNCTION("COUNTIF(ARRAYFORMULA(HLOOKUP($B7, IMPORTRANGE('Prelim Rankings Unsorted'!$B$40, CONCAT(VLOOKUP($C7, 'Match Names'!$A$1:$D$22, 2, FALSE), ""!C3:R29"")), {12;18;24}, FALSE)), ""=-4"") + COUNTIF(ARRAYFORMULA(HLOOKUP($B7, IMPORTRANGE('Prelim Rankings Unsorted"&amp;"'!$B$41, CONCAT(VLOOKUP($C7, 'Match Names'!$A$1:$D$22, 3, FALSE), ""!C3:R29"")), {6;12;18}, FALSE)), ""=-4"") + COUNTIF(ARRAYFORMULA(HLOOKUP($B7, IMPORTRANGE('Prelim Rankings Unsorted'!$B$42, CONCAT(VLOOKUP($C7, 'Match Names'!$A$1:$D$22, 4, FALSE), ""!C3:"&amp;"R29"")), {6;12;18}, FALSE)), ""=-4"") + COUNTIF(ARRAYFORMULA(HLOOKUP($B7, IMPORTRANGE('Match Names'!$E$23, CONCAT(VLOOKUP($C7, 'Match Names'!$1:$22, 5, FALSE), ""!C3:R29"")), {4;13;18}, FALSE)), ""=-4"") + COUNTIF(ARRAYFORMULA(HLOOKUP($B7, IMPORTRANGE('Ma"&amp;"tch Names'!$F$23, CONCAT(VLOOKUP($C7, 'Match Names'!$1:$22, 6, FALSE), ""!C3:R29"")), {7;13;19}, FALSE)), ""=-4"") + COUNTIF(ARRAYFORMULA(HLOOKUP($B7, IMPORTRANGE('Match Names'!$G$23, CONCAT(VLOOKUP($C7, 'Match Names'!$1:$22, 7, FALSE), ""!C3:R29"")), {11"&amp;";15;23}, FALSE)), ""=-4"") + COUNTIF(ARRAYFORMULA(HLOOKUP($B7, IMPORTRANGE('Match Names'!$H$23, CONCAT(VLOOKUP($C7, 'Match Names'!$1:$22, 8, FALSE), ""!C3:R29"")), {6;12;18}, FALSE)), ""=-4"")"),0.0)</f>
        <v>0</v>
      </c>
      <c r="H7" s="33">
        <f t="shared" si="1"/>
        <v>0</v>
      </c>
    </row>
    <row r="8">
      <c r="A8" s="31" t="s">
        <v>200</v>
      </c>
      <c r="B8" s="31" t="str">
        <f>VLOOKUP(CONCAT(A8, C8), 'Discord Username to Real Name'!C:D, 2, FALSE)</f>
        <v>Victoria123#0687</v>
      </c>
      <c r="C8" s="31" t="s">
        <v>5</v>
      </c>
      <c r="D8" s="32">
        <f>IFERROR(__xludf.DUMMYFUNCTION("(3 - COUNTIF(IFERROR(ARRAYFORMULA(HLOOKUP($B8, IMPORTRANGE('Prelim Rankings Unsorted'!$B$40, CONCAT(VLOOKUP($C8, 'Match Names'!$A$1:$D$22, 2, FALSE), ""!C3:R29"")), {12;18;24}, FALSE)), 'Player Overall Stats Unsorted'!$AA$9:$AA$12), ""=X"")) + (3 - COUNTI"&amp;"F(IFERROR(ARRAYFORMULA(HLOOKUP($B8, IMPORTRANGE('Prelim Rankings Unsorted'!$B$41, CONCAT(VLOOKUP($C8, 'Match Names'!$A$1:$D$22, 3, FALSE), ""!C3:R29"")), {6;12;18}, FALSE)), 'Player Overall Stats Unsorted'!$AA$9:$AA$12), ""=X"")) + (3 - COUNTIF(IFERROR(AR"&amp;"RAYFORMULA(HLOOKUP($B8, IMPORTRANGE('Prelim Rankings Unsorted'!$B$42, CONCAT(VLOOKUP($C8, 'Match Names'!$A$1:$D$22, 4, FALSE), ""!C3:R29"")), {6;12;18}, FALSE)), 'Player Overall Stats Unsorted'!$AA$9:$AA$12), ""=X"")) + (3 - COUNTIF(IFERROR(ARRAYFORMULA(H"&amp;"LOOKUP($B8, IMPORTRANGE('Match Names'!$E$23, CONCAT(VLOOKUP($C8, 'Match Names'!$1:$22, 5, FALSE), ""!C3:R29"")), {4;13;18}, FALSE)), 'Player Overall Stats Unsorted'!$AA$9:$AA$12), ""=X"")) + (3 - COUNTIF(IFERROR(ARRAYFORMULA(HLOOKUP($B8, IMPORTRANGE('Matc"&amp;"h Names'!$F$23, CONCAT(VLOOKUP($C8, 'Match Names'!$1:$22, 6, FALSE), ""!C3:R29"")), {7;13;19}, FALSE)), 'Player Overall Stats Unsorted'!$AA$9:$AA$12), ""=X"")) + (3 - COUNTIF(IFERROR(ARRAYFORMULA(HLOOKUP($B8, IMPORTRANGE('Match Names'!$G$23, CONCAT(VLOOKU"&amp;"P($C8, 'Match Names'!$1:$22, 7, FALSE), ""!C3:R29"")), {11;15;23}, FALSE)), 'Player Overall Stats Unsorted'!$AA$9:$AA$12), ""=X"")) + (3 - COUNTIF(IFERROR(ARRAYFORMULA(HLOOKUP($B8, IMPORTRANGE('Match Names'!$H$23, CONCAT(VLOOKUP($C8, 'Match Names'!$1:$22,"&amp;" 8, FALSE), ""!C3:R29"")), {6;12;18}, FALSE)), 'Player Overall Stats Unsorted'!$AA$9:$AA$12), ""=X""))"),0.0)</f>
        <v>0</v>
      </c>
      <c r="E8" s="32">
        <f>IFERROR(__xludf.DUMMYFUNCTION("COUNTIF(ARRAYFORMULA(HLOOKUP($B8, IMPORTRANGE('Prelim Rankings Unsorted'!$B$40, CONCAT(VLOOKUP($C8, 'Match Names'!$A$1:$D$22, 2, FALSE), ""!C3:R29"")), {12;18;24}, FALSE)), ""=4"") + COUNTIF(ARRAYFORMULA(HLOOKUP($B8, IMPORTRANGE('Prelim Rankings Unsorted'"&amp;"!$B$41, CONCAT(VLOOKUP($C8, 'Match Names'!$A$1:$D$22, 3, FALSE), ""!C3:R29"")), {6;12;18}, FALSE)), ""=4"") + COUNTIF(ARRAYFORMULA(HLOOKUP($B8, IMPORTRANGE('Prelim Rankings Unsorted'!$B$42, CONCAT(VLOOKUP($C8, 'Match Names'!$A$1:$D$22, 4, FALSE), ""!C3:R2"&amp;"9"")), {6;12;18}, FALSE)), ""=4"") + COUNTIF(ARRAYFORMULA(HLOOKUP($B8, IMPORTRANGE('Match Names'!$E$23, CONCAT(VLOOKUP($C8, 'Match Names'!$1:$22, 5, FALSE), ""!C3:R29"")), {4;13;18}, FALSE)), ""=4"") + COUNTIF(ARRAYFORMULA(HLOOKUP($B8, IMPORTRANGE('Match "&amp;"Names'!$F$23, CONCAT(VLOOKUP($C8, 'Match Names'!$1:$22, 6, FALSE), ""!C3:R29"")), {7;13;19}, FALSE)), ""=4"") + COUNTIF(ARRAYFORMULA(HLOOKUP($B8, IMPORTRANGE('Match Names'!$G$23, CONCAT(VLOOKUP($C8, 'Match Names'!$1:$22, 7, FALSE), ""!C3:R29"")), {11;15;2"&amp;"3}, FALSE)), ""=4"") + COUNTIF(ARRAYFORMULA(HLOOKUP($B8, IMPORTRANGE('Match Names'!$H$23, CONCAT(VLOOKUP($C8, 'Match Names'!$1:$22, 8, FALSE), ""!C3:R29"")), {6;12;18}, FALSE)), ""=4"")"),0.0)</f>
        <v>0</v>
      </c>
      <c r="F8" s="32">
        <f>IFERROR(__xludf.DUMMYFUNCTION("COUNTIF(ARRAYFORMULA(HLOOKUP($B8, IMPORTRANGE('Prelim Rankings Unsorted'!$B$40, CONCAT(VLOOKUP($C8, 'Match Names'!$A$1:$D$22, 2, FALSE), ""!C3:R29"")), {12;18;24}, FALSE)), ""=0"") + COUNTIF(ARRAYFORMULA(HLOOKUP($B8, IMPORTRANGE('Prelim Rankings Unsorted'"&amp;"!$B$41, CONCAT(VLOOKUP($C8, 'Match Names'!$A$1:$D$22, 3, FALSE), ""!C3:R29"")), {6;12;18}, FALSE)), ""=0"") + COUNTIF(ARRAYFORMULA(HLOOKUP($B8, IMPORTRANGE('Prelim Rankings Unsorted'!$B$42, CONCAT(VLOOKUP($C8, 'Match Names'!$A$1:$D$22, 4, FALSE), ""!C3:R2"&amp;"9"")), {6;12;18}, FALSE)), ""=0"") + COUNTIF(ARRAYFORMULA(HLOOKUP($B8, IMPORTRANGE('Match Names'!$E$23, CONCAT(VLOOKUP($C8, 'Match Names'!$1:$22, 5, FALSE), ""!C3:R29"")), {4;13;18}, FALSE)), ""=0"") + COUNTIF(ARRAYFORMULA(HLOOKUP($B8, IMPORTRANGE('Match "&amp;"Names'!$F$23, CONCAT(VLOOKUP($C8, 'Match Names'!$1:$22, 6, FALSE), ""!C3:R29"")), {7;13;19}, FALSE)), ""=0"") + COUNTIF(ARRAYFORMULA(HLOOKUP($B8, IMPORTRANGE('Match Names'!$G$23, CONCAT(VLOOKUP($C8, 'Match Names'!$1:$22, 7, FALSE), ""!C3:R29"")), {11;15;2"&amp;"3}, FALSE)), ""=0"") + COUNTIF(ARRAYFORMULA(HLOOKUP($B8, IMPORTRANGE('Match Names'!$H$23, CONCAT(VLOOKUP($C8, 'Match Names'!$1:$22, 8, FALSE), ""!C3:R29"")), {6;12;18}, FALSE)), ""=0"")"),0.0)</f>
        <v>0</v>
      </c>
      <c r="G8" s="32">
        <f>IFERROR(__xludf.DUMMYFUNCTION("COUNTIF(ARRAYFORMULA(HLOOKUP($B8, IMPORTRANGE('Prelim Rankings Unsorted'!$B$40, CONCAT(VLOOKUP($C8, 'Match Names'!$A$1:$D$22, 2, FALSE), ""!C3:R29"")), {12;18;24}, FALSE)), ""=-4"") + COUNTIF(ARRAYFORMULA(HLOOKUP($B8, IMPORTRANGE('Prelim Rankings Unsorted"&amp;"'!$B$41, CONCAT(VLOOKUP($C8, 'Match Names'!$A$1:$D$22, 3, FALSE), ""!C3:R29"")), {6;12;18}, FALSE)), ""=-4"") + COUNTIF(ARRAYFORMULA(HLOOKUP($B8, IMPORTRANGE('Prelim Rankings Unsorted'!$B$42, CONCAT(VLOOKUP($C8, 'Match Names'!$A$1:$D$22, 4, FALSE), ""!C3:"&amp;"R29"")), {6;12;18}, FALSE)), ""=-4"") + COUNTIF(ARRAYFORMULA(HLOOKUP($B8, IMPORTRANGE('Match Names'!$E$23, CONCAT(VLOOKUP($C8, 'Match Names'!$1:$22, 5, FALSE), ""!C3:R29"")), {4;13;18}, FALSE)), ""=-4"") + COUNTIF(ARRAYFORMULA(HLOOKUP($B8, IMPORTRANGE('Ma"&amp;"tch Names'!$F$23, CONCAT(VLOOKUP($C8, 'Match Names'!$1:$22, 6, FALSE), ""!C3:R29"")), {7;13;19}, FALSE)), ""=-4"") + COUNTIF(ARRAYFORMULA(HLOOKUP($B8, IMPORTRANGE('Match Names'!$G$23, CONCAT(VLOOKUP($C8, 'Match Names'!$1:$22, 7, FALSE), ""!C3:R29"")), {11"&amp;";15;23}, FALSE)), ""=-4"") + COUNTIF(ARRAYFORMULA(HLOOKUP($B8, IMPORTRANGE('Match Names'!$H$23, CONCAT(VLOOKUP($C8, 'Match Names'!$1:$22, 8, FALSE), ""!C3:R29"")), {6;12;18}, FALSE)), ""=-4"")"),0.0)</f>
        <v>0</v>
      </c>
      <c r="H8" s="33">
        <f t="shared" si="1"/>
        <v>0</v>
      </c>
    </row>
    <row r="9">
      <c r="A9" s="31" t="s">
        <v>82</v>
      </c>
      <c r="B9" s="31" t="str">
        <f>VLOOKUP(CONCAT(A9, C9), 'Discord Username to Real Name'!C:D, 2, FALSE)</f>
        <v>IAmNotJerry#6312</v>
      </c>
      <c r="C9" s="31" t="s">
        <v>5</v>
      </c>
      <c r="D9" s="32">
        <f>IFERROR(__xludf.DUMMYFUNCTION("(3 - COUNTIF(IFERROR(ARRAYFORMULA(HLOOKUP($B9, IMPORTRANGE('Prelim Rankings Unsorted'!$B$40, CONCAT(VLOOKUP($C9, 'Match Names'!$A$1:$D$22, 2, FALSE), ""!C3:R29"")), {12;18;24}, FALSE)), 'Player Overall Stats Unsorted'!$AA$9:$AA$12), ""=X"")) + (3 - COUNTI"&amp;"F(IFERROR(ARRAYFORMULA(HLOOKUP($B9, IMPORTRANGE('Prelim Rankings Unsorted'!$B$41, CONCAT(VLOOKUP($C9, 'Match Names'!$A$1:$D$22, 3, FALSE), ""!C3:R29"")), {6;12;18}, FALSE)), 'Player Overall Stats Unsorted'!$AA$9:$AA$12), ""=X"")) + (3 - COUNTIF(IFERROR(AR"&amp;"RAYFORMULA(HLOOKUP($B9, IMPORTRANGE('Prelim Rankings Unsorted'!$B$42, CONCAT(VLOOKUP($C9, 'Match Names'!$A$1:$D$22, 4, FALSE), ""!C3:R29"")), {6;12;18}, FALSE)), 'Player Overall Stats Unsorted'!$AA$9:$AA$12), ""=X"")) + (3 - COUNTIF(IFERROR(ARRAYFORMULA(H"&amp;"LOOKUP($B9, IMPORTRANGE('Match Names'!$E$23, CONCAT(VLOOKUP($C9, 'Match Names'!$1:$22, 5, FALSE), ""!C3:R29"")), {4;13;18}, FALSE)), 'Player Overall Stats Unsorted'!$AA$9:$AA$12), ""=X"")) + (3 - COUNTIF(IFERROR(ARRAYFORMULA(HLOOKUP($B9, IMPORTRANGE('Matc"&amp;"h Names'!$F$23, CONCAT(VLOOKUP($C9, 'Match Names'!$1:$22, 6, FALSE), ""!C3:R29"")), {7;13;19}, FALSE)), 'Player Overall Stats Unsorted'!$AA$9:$AA$12), ""=X"")) + (3 - COUNTIF(IFERROR(ARRAYFORMULA(HLOOKUP($B9, IMPORTRANGE('Match Names'!$G$23, CONCAT(VLOOKU"&amp;"P($C9, 'Match Names'!$1:$22, 7, FALSE), ""!C3:R29"")), {11;15;23}, FALSE)), 'Player Overall Stats Unsorted'!$AA$9:$AA$12), ""=X"")) + (3 - COUNTIF(IFERROR(ARRAYFORMULA(HLOOKUP($B9, IMPORTRANGE('Match Names'!$H$23, CONCAT(VLOOKUP($C9, 'Match Names'!$1:$22,"&amp;" 8, FALSE), ""!C3:R29"")), {6;12;18}, FALSE)), 'Player Overall Stats Unsorted'!$AA$9:$AA$12), ""=X""))"),9.0)</f>
        <v>9</v>
      </c>
      <c r="E9" s="32">
        <f>IFERROR(__xludf.DUMMYFUNCTION("COUNTIF(ARRAYFORMULA(HLOOKUP($B9, IMPORTRANGE('Prelim Rankings Unsorted'!$B$40, CONCAT(VLOOKUP($C9, 'Match Names'!$A$1:$D$22, 2, FALSE), ""!C3:R29"")), {12;18;24}, FALSE)), ""=4"") + COUNTIF(ARRAYFORMULA(HLOOKUP($B9, IMPORTRANGE('Prelim Rankings Unsorted'"&amp;"!$B$41, CONCAT(VLOOKUP($C9, 'Match Names'!$A$1:$D$22, 3, FALSE), ""!C3:R29"")), {6;12;18}, FALSE)), ""=4"") + COUNTIF(ARRAYFORMULA(HLOOKUP($B9, IMPORTRANGE('Prelim Rankings Unsorted'!$B$42, CONCAT(VLOOKUP($C9, 'Match Names'!$A$1:$D$22, 4, FALSE), ""!C3:R2"&amp;"9"")), {6;12;18}, FALSE)), ""=4"") + COUNTIF(ARRAYFORMULA(HLOOKUP($B9, IMPORTRANGE('Match Names'!$E$23, CONCAT(VLOOKUP($C9, 'Match Names'!$1:$22, 5, FALSE), ""!C3:R29"")), {4;13;18}, FALSE)), ""=4"") + COUNTIF(ARRAYFORMULA(HLOOKUP($B9, IMPORTRANGE('Match "&amp;"Names'!$F$23, CONCAT(VLOOKUP($C9, 'Match Names'!$1:$22, 6, FALSE), ""!C3:R29"")), {7;13;19}, FALSE)), ""=4"") + COUNTIF(ARRAYFORMULA(HLOOKUP($B9, IMPORTRANGE('Match Names'!$G$23, CONCAT(VLOOKUP($C9, 'Match Names'!$1:$22, 7, FALSE), ""!C3:R29"")), {11;15;2"&amp;"3}, FALSE)), ""=4"") + COUNTIF(ARRAYFORMULA(HLOOKUP($B9, IMPORTRANGE('Match Names'!$H$23, CONCAT(VLOOKUP($C9, 'Match Names'!$1:$22, 8, FALSE), ""!C3:R29"")), {6;12;18}, FALSE)), ""=4"")"),0.0)</f>
        <v>0</v>
      </c>
      <c r="F9" s="32">
        <f>IFERROR(__xludf.DUMMYFUNCTION("COUNTIF(ARRAYFORMULA(HLOOKUP($B9, IMPORTRANGE('Prelim Rankings Unsorted'!$B$40, CONCAT(VLOOKUP($C9, 'Match Names'!$A$1:$D$22, 2, FALSE), ""!C3:R29"")), {12;18;24}, FALSE)), ""=0"") + COUNTIF(ARRAYFORMULA(HLOOKUP($B9, IMPORTRANGE('Prelim Rankings Unsorted'"&amp;"!$B$41, CONCAT(VLOOKUP($C9, 'Match Names'!$A$1:$D$22, 3, FALSE), ""!C3:R29"")), {6;12;18}, FALSE)), ""=0"") + COUNTIF(ARRAYFORMULA(HLOOKUP($B9, IMPORTRANGE('Prelim Rankings Unsorted'!$B$42, CONCAT(VLOOKUP($C9, 'Match Names'!$A$1:$D$22, 4, FALSE), ""!C3:R2"&amp;"9"")), {6;12;18}, FALSE)), ""=0"") + COUNTIF(ARRAYFORMULA(HLOOKUP($B9, IMPORTRANGE('Match Names'!$E$23, CONCAT(VLOOKUP($C9, 'Match Names'!$1:$22, 5, FALSE), ""!C3:R29"")), {4;13;18}, FALSE)), ""=0"") + COUNTIF(ARRAYFORMULA(HLOOKUP($B9, IMPORTRANGE('Match "&amp;"Names'!$F$23, CONCAT(VLOOKUP($C9, 'Match Names'!$1:$22, 6, FALSE), ""!C3:R29"")), {7;13;19}, FALSE)), ""=0"") + COUNTIF(ARRAYFORMULA(HLOOKUP($B9, IMPORTRANGE('Match Names'!$G$23, CONCAT(VLOOKUP($C9, 'Match Names'!$1:$22, 7, FALSE), ""!C3:R29"")), {11;15;2"&amp;"3}, FALSE)), ""=0"") + COUNTIF(ARRAYFORMULA(HLOOKUP($B9, IMPORTRANGE('Match Names'!$H$23, CONCAT(VLOOKUP($C9, 'Match Names'!$1:$22, 8, FALSE), ""!C3:R29"")), {6;12;18}, FALSE)), ""=0"")"),0.0)</f>
        <v>0</v>
      </c>
      <c r="G9" s="32">
        <f>IFERROR(__xludf.DUMMYFUNCTION("COUNTIF(ARRAYFORMULA(HLOOKUP($B9, IMPORTRANGE('Prelim Rankings Unsorted'!$B$40, CONCAT(VLOOKUP($C9, 'Match Names'!$A$1:$D$22, 2, FALSE), ""!C3:R29"")), {12;18;24}, FALSE)), ""=-4"") + COUNTIF(ARRAYFORMULA(HLOOKUP($B9, IMPORTRANGE('Prelim Rankings Unsorted"&amp;"'!$B$41, CONCAT(VLOOKUP($C9, 'Match Names'!$A$1:$D$22, 3, FALSE), ""!C3:R29"")), {6;12;18}, FALSE)), ""=-4"") + COUNTIF(ARRAYFORMULA(HLOOKUP($B9, IMPORTRANGE('Prelim Rankings Unsorted'!$B$42, CONCAT(VLOOKUP($C9, 'Match Names'!$A$1:$D$22, 4, FALSE), ""!C3:"&amp;"R29"")), {6;12;18}, FALSE)), ""=-4"") + COUNTIF(ARRAYFORMULA(HLOOKUP($B9, IMPORTRANGE('Match Names'!$E$23, CONCAT(VLOOKUP($C9, 'Match Names'!$1:$22, 5, FALSE), ""!C3:R29"")), {4;13;18}, FALSE)), ""=-4"") + COUNTIF(ARRAYFORMULA(HLOOKUP($B9, IMPORTRANGE('Ma"&amp;"tch Names'!$F$23, CONCAT(VLOOKUP($C9, 'Match Names'!$1:$22, 6, FALSE), ""!C3:R29"")), {7;13;19}, FALSE)), ""=-4"") + COUNTIF(ARRAYFORMULA(HLOOKUP($B9, IMPORTRANGE('Match Names'!$G$23, CONCAT(VLOOKUP($C9, 'Match Names'!$1:$22, 7, FALSE), ""!C3:R29"")), {11"&amp;";15;23}, FALSE)), ""=-4"") + COUNTIF(ARRAYFORMULA(HLOOKUP($B9, IMPORTRANGE('Match Names'!$H$23, CONCAT(VLOOKUP($C9, 'Match Names'!$1:$22, 8, FALSE), ""!C3:R29"")), {6;12;18}, FALSE)), ""=-4"")"),0.0)</f>
        <v>0</v>
      </c>
      <c r="H9" s="33">
        <f t="shared" si="1"/>
        <v>0</v>
      </c>
    </row>
    <row r="10">
      <c r="A10" s="31" t="s">
        <v>196</v>
      </c>
      <c r="B10" s="31" t="str">
        <f>VLOOKUP(CONCAT(A10, C10), 'Discord Username to Real Name'!C:D, 2, FALSE)</f>
        <v>haybales#0656</v>
      </c>
      <c r="C10" s="21" t="s">
        <v>17</v>
      </c>
      <c r="D10" s="32">
        <f>IFERROR(__xludf.DUMMYFUNCTION("(3 - COUNTIF(IFERROR(ARRAYFORMULA(HLOOKUP($B10, IMPORTRANGE('Prelim Rankings Unsorted'!$B$40, CONCAT(VLOOKUP($C10, 'Match Names'!$A$1:$D$22, 2, FALSE), ""!C3:R29"")), {12;18;24}, FALSE)), 'Player Overall Stats Unsorted'!$AA$9:$AA$12), ""=X"")) + (3 - COUN"&amp;"TIF(IFERROR(ARRAYFORMULA(HLOOKUP($B10, IMPORTRANGE('Prelim Rankings Unsorted'!$B$41, CONCAT(VLOOKUP($C10, 'Match Names'!$A$1:$D$22, 3, FALSE), ""!C3:R29"")), {6;12;18}, FALSE)), 'Player Overall Stats Unsorted'!$AA$9:$AA$12), ""=X"")) + (3 - COUNTIF(IFERRO"&amp;"R(ARRAYFORMULA(HLOOKUP($B10, IMPORTRANGE('Prelim Rankings Unsorted'!$B$42, CONCAT(VLOOKUP($C10, 'Match Names'!$A$1:$D$22, 4, FALSE), ""!C3:R29"")), {6;12;18}, FALSE)), 'Player Overall Stats Unsorted'!$AA$9:$AA$12), ""=X"")) + (3 - COUNTIF(IFERROR(ARRAYFOR"&amp;"MULA(HLOOKUP($B10, IMPORTRANGE('Match Names'!$E$23, CONCAT(VLOOKUP($C10, 'Match Names'!$1:$22, 5, FALSE), ""!C3:R29"")), {4;13;18}, FALSE)), 'Player Overall Stats Unsorted'!$AA$9:$AA$12), ""=X"")) + (3 - COUNTIF(IFERROR(ARRAYFORMULA(HLOOKUP($B10, IMPORTRA"&amp;"NGE('Match Names'!$F$23, CONCAT(VLOOKUP($C10, 'Match Names'!$1:$22, 6, FALSE), ""!C3:R29"")), {7;13;19}, FALSE)), 'Player Overall Stats Unsorted'!$AA$9:$AA$12), ""=X"")) + (3 - COUNTIF(IFERROR(ARRAYFORMULA(HLOOKUP($B10, IMPORTRANGE('Match Names'!$G$23, CO"&amp;"NCAT(VLOOKUP($C10, 'Match Names'!$1:$22, 7, FALSE), ""!C3:R29"")), {11;15;23}, FALSE)), 'Player Overall Stats Unsorted'!$AA$9:$AA$12), ""=X"")) + (3 - COUNTIF(IFERROR(ARRAYFORMULA(HLOOKUP($B10, IMPORTRANGE('Match Names'!$H$23, CONCAT(VLOOKUP($C10, 'Match "&amp;"Names'!$1:$22, 8, FALSE), ""!C3:R29"")), {6;12;18}, FALSE)), 'Player Overall Stats Unsorted'!$AA$9:$AA$12), ""=X""))"),0.0)</f>
        <v>0</v>
      </c>
      <c r="E10" s="32">
        <f>IFERROR(__xludf.DUMMYFUNCTION("COUNTIF(ARRAYFORMULA(HLOOKUP($B10, IMPORTRANGE('Prelim Rankings Unsorted'!$B$40, CONCAT(VLOOKUP($C10, 'Match Names'!$A$1:$D$22, 2, FALSE), ""!C3:R29"")), {12;18;24}, FALSE)), ""=4"") + COUNTIF(ARRAYFORMULA(HLOOKUP($B10, IMPORTRANGE('Prelim Rankings Unsort"&amp;"ed'!$B$41, CONCAT(VLOOKUP($C10, 'Match Names'!$A$1:$D$22, 3, FALSE), ""!C3:R29"")), {6;12;18}, FALSE)), ""=4"") + COUNTIF(ARRAYFORMULA(HLOOKUP($B10, IMPORTRANGE('Prelim Rankings Unsorted'!$B$42, CONCAT(VLOOKUP($C10, 'Match Names'!$A$1:$D$22, 4, FALSE), """&amp;"!C3:R29"")), {6;12;18}, FALSE)), ""=4"") + COUNTIF(ARRAYFORMULA(HLOOKUP($B10, IMPORTRANGE('Match Names'!$E$23, CONCAT(VLOOKUP($C10, 'Match Names'!$1:$22, 5, FALSE), ""!C3:R29"")), {4;13;18}, FALSE)), ""=4"") + COUNTIF(ARRAYFORMULA(HLOOKUP($B10, IMPORTRANG"&amp;"E('Match Names'!$F$23, CONCAT(VLOOKUP($C10, 'Match Names'!$1:$22, 6, FALSE), ""!C3:R29"")), {7;13;19}, FALSE)), ""=4"") + COUNTIF(ARRAYFORMULA(HLOOKUP($B10, IMPORTRANGE('Match Names'!$G$23, CONCAT(VLOOKUP($C10, 'Match Names'!$1:$22, 7, FALSE), ""!C3:R29"""&amp;")), {11;15;23}, FALSE)), ""=4"") + COUNTIF(ARRAYFORMULA(HLOOKUP($B10, IMPORTRANGE('Match Names'!$H$23, CONCAT(VLOOKUP($C10, 'Match Names'!$1:$22, 8, FALSE), ""!C3:R29"")), {6;12;18}, FALSE)), ""=4"")"),0.0)</f>
        <v>0</v>
      </c>
      <c r="F10" s="32">
        <f>IFERROR(__xludf.DUMMYFUNCTION("COUNTIF(ARRAYFORMULA(HLOOKUP($B10, IMPORTRANGE('Prelim Rankings Unsorted'!$B$40, CONCAT(VLOOKUP($C10, 'Match Names'!$A$1:$D$22, 2, FALSE), ""!C3:R29"")), {12;18;24}, FALSE)), ""=0"") + COUNTIF(ARRAYFORMULA(HLOOKUP($B10, IMPORTRANGE('Prelim Rankings Unsort"&amp;"ed'!$B$41, CONCAT(VLOOKUP($C10, 'Match Names'!$A$1:$D$22, 3, FALSE), ""!C3:R29"")), {6;12;18}, FALSE)), ""=0"") + COUNTIF(ARRAYFORMULA(HLOOKUP($B10, IMPORTRANGE('Prelim Rankings Unsorted'!$B$42, CONCAT(VLOOKUP($C10, 'Match Names'!$A$1:$D$22, 4, FALSE), """&amp;"!C3:R29"")), {6;12;18}, FALSE)), ""=0"") + COUNTIF(ARRAYFORMULA(HLOOKUP($B10, IMPORTRANGE('Match Names'!$E$23, CONCAT(VLOOKUP($C10, 'Match Names'!$1:$22, 5, FALSE), ""!C3:R29"")), {4;13;18}, FALSE)), ""=0"") + COUNTIF(ARRAYFORMULA(HLOOKUP($B10, IMPORTRANG"&amp;"E('Match Names'!$F$23, CONCAT(VLOOKUP($C10, 'Match Names'!$1:$22, 6, FALSE), ""!C3:R29"")), {7;13;19}, FALSE)), ""=0"") + COUNTIF(ARRAYFORMULA(HLOOKUP($B10, IMPORTRANGE('Match Names'!$G$23, CONCAT(VLOOKUP($C10, 'Match Names'!$1:$22, 7, FALSE), ""!C3:R29"""&amp;")), {11;15;23}, FALSE)), ""=0"") + COUNTIF(ARRAYFORMULA(HLOOKUP($B10, IMPORTRANGE('Match Names'!$H$23, CONCAT(VLOOKUP($C10, 'Match Names'!$1:$22, 8, FALSE), ""!C3:R29"")), {6;12;18}, FALSE)), ""=0"")"),0.0)</f>
        <v>0</v>
      </c>
      <c r="G10" s="32">
        <f>IFERROR(__xludf.DUMMYFUNCTION("COUNTIF(ARRAYFORMULA(HLOOKUP($B10, IMPORTRANGE('Prelim Rankings Unsorted'!$B$40, CONCAT(VLOOKUP($C10, 'Match Names'!$A$1:$D$22, 2, FALSE), ""!C3:R29"")), {12;18;24}, FALSE)), ""=-4"") + COUNTIF(ARRAYFORMULA(HLOOKUP($B10, IMPORTRANGE('Prelim Rankings Unsor"&amp;"ted'!$B$41, CONCAT(VLOOKUP($C10, 'Match Names'!$A$1:$D$22, 3, FALSE), ""!C3:R29"")), {6;12;18}, FALSE)), ""=-4"") + COUNTIF(ARRAYFORMULA(HLOOKUP($B10, IMPORTRANGE('Prelim Rankings Unsorted'!$B$42, CONCAT(VLOOKUP($C10, 'Match Names'!$A$1:$D$22, 4, FALSE), "&amp;"""!C3:R29"")), {6;12;18}, FALSE)), ""=-4"") + COUNTIF(ARRAYFORMULA(HLOOKUP($B10, IMPORTRANGE('Match Names'!$E$23, CONCAT(VLOOKUP($C10, 'Match Names'!$1:$22, 5, FALSE), ""!C3:R29"")), {4;13;18}, FALSE)), ""=-4"") + COUNTIF(ARRAYFORMULA(HLOOKUP($B10, IMPORT"&amp;"RANGE('Match Names'!$F$23, CONCAT(VLOOKUP($C10, 'Match Names'!$1:$22, 6, FALSE), ""!C3:R29"")), {7;13;19}, FALSE)), ""=-4"") + COUNTIF(ARRAYFORMULA(HLOOKUP($B10, IMPORTRANGE('Match Names'!$G$23, CONCAT(VLOOKUP($C10, 'Match Names'!$1:$22, 7, FALSE), ""!C3:"&amp;"R29"")), {11;15;23}, FALSE)), ""=-4"") + COUNTIF(ARRAYFORMULA(HLOOKUP($B10, IMPORTRANGE('Match Names'!$H$23, CONCAT(VLOOKUP($C10, 'Match Names'!$1:$22, 8, FALSE), ""!C3:R29"")), {6;12;18}, FALSE)), ""=-4"")"),0.0)</f>
        <v>0</v>
      </c>
      <c r="H10" s="33">
        <f t="shared" si="1"/>
        <v>0</v>
      </c>
    </row>
    <row r="11">
      <c r="A11" s="31" t="s">
        <v>194</v>
      </c>
      <c r="B11" s="31" t="str">
        <f>VLOOKUP(CONCAT(A11, C11), 'Discord Username to Real Name'!C:D, 2, FALSE)</f>
        <v>ez#5904</v>
      </c>
      <c r="C11" s="21" t="s">
        <v>17</v>
      </c>
      <c r="D11" s="32">
        <f>IFERROR(__xludf.DUMMYFUNCTION("(3 - COUNTIF(IFERROR(ARRAYFORMULA(HLOOKUP($B11, IMPORTRANGE('Prelim Rankings Unsorted'!$B$40, CONCAT(VLOOKUP($C11, 'Match Names'!$A$1:$D$22, 2, FALSE), ""!C3:R29"")), {12;18;24}, FALSE)), 'Player Overall Stats Unsorted'!$AA$9:$AA$12), ""=X"")) + (3 - COUN"&amp;"TIF(IFERROR(ARRAYFORMULA(HLOOKUP($B11, IMPORTRANGE('Prelim Rankings Unsorted'!$B$41, CONCAT(VLOOKUP($C11, 'Match Names'!$A$1:$D$22, 3, FALSE), ""!C3:R29"")), {6;12;18}, FALSE)), 'Player Overall Stats Unsorted'!$AA$9:$AA$12), ""=X"")) + (3 - COUNTIF(IFERRO"&amp;"R(ARRAYFORMULA(HLOOKUP($B11, IMPORTRANGE('Prelim Rankings Unsorted'!$B$42, CONCAT(VLOOKUP($C11, 'Match Names'!$A$1:$D$22, 4, FALSE), ""!C3:R29"")), {6;12;18}, FALSE)), 'Player Overall Stats Unsorted'!$AA$9:$AA$12), ""=X"")) + (3 - COUNTIF(IFERROR(ARRAYFOR"&amp;"MULA(HLOOKUP($B11, IMPORTRANGE('Match Names'!$E$23, CONCAT(VLOOKUP($C11, 'Match Names'!$1:$22, 5, FALSE), ""!C3:R29"")), {4;13;18}, FALSE)), 'Player Overall Stats Unsorted'!$AA$9:$AA$12), ""=X"")) + (3 - COUNTIF(IFERROR(ARRAYFORMULA(HLOOKUP($B11, IMPORTRA"&amp;"NGE('Match Names'!$F$23, CONCAT(VLOOKUP($C11, 'Match Names'!$1:$22, 6, FALSE), ""!C3:R29"")), {7;13;19}, FALSE)), 'Player Overall Stats Unsorted'!$AA$9:$AA$12), ""=X"")) + (3 - COUNTIF(IFERROR(ARRAYFORMULA(HLOOKUP($B11, IMPORTRANGE('Match Names'!$G$23, CO"&amp;"NCAT(VLOOKUP($C11, 'Match Names'!$1:$22, 7, FALSE), ""!C3:R29"")), {11;15;23}, FALSE)), 'Player Overall Stats Unsorted'!$AA$9:$AA$12), ""=X"")) + (3 - COUNTIF(IFERROR(ARRAYFORMULA(HLOOKUP($B11, IMPORTRANGE('Match Names'!$H$23, CONCAT(VLOOKUP($C11, 'Match "&amp;"Names'!$1:$22, 8, FALSE), ""!C3:R29"")), {6;12;18}, FALSE)), 'Player Overall Stats Unsorted'!$AA$9:$AA$12), ""=X""))"),0.0)</f>
        <v>0</v>
      </c>
      <c r="E11" s="32">
        <f>IFERROR(__xludf.DUMMYFUNCTION("COUNTIF(ARRAYFORMULA(HLOOKUP($B11, IMPORTRANGE('Prelim Rankings Unsorted'!$B$40, CONCAT(VLOOKUP($C11, 'Match Names'!$A$1:$D$22, 2, FALSE), ""!C3:R29"")), {12;18;24}, FALSE)), ""=4"") + COUNTIF(ARRAYFORMULA(HLOOKUP($B11, IMPORTRANGE('Prelim Rankings Unsort"&amp;"ed'!$B$41, CONCAT(VLOOKUP($C11, 'Match Names'!$A$1:$D$22, 3, FALSE), ""!C3:R29"")), {6;12;18}, FALSE)), ""=4"") + COUNTIF(ARRAYFORMULA(HLOOKUP($B11, IMPORTRANGE('Prelim Rankings Unsorted'!$B$42, CONCAT(VLOOKUP($C11, 'Match Names'!$A$1:$D$22, 4, FALSE), """&amp;"!C3:R29"")), {6;12;18}, FALSE)), ""=4"") + COUNTIF(ARRAYFORMULA(HLOOKUP($B11, IMPORTRANGE('Match Names'!$E$23, CONCAT(VLOOKUP($C11, 'Match Names'!$1:$22, 5, FALSE), ""!C3:R29"")), {4;13;18}, FALSE)), ""=4"") + COUNTIF(ARRAYFORMULA(HLOOKUP($B11, IMPORTRANG"&amp;"E('Match Names'!$F$23, CONCAT(VLOOKUP($C11, 'Match Names'!$1:$22, 6, FALSE), ""!C3:R29"")), {7;13;19}, FALSE)), ""=4"") + COUNTIF(ARRAYFORMULA(HLOOKUP($B11, IMPORTRANGE('Match Names'!$G$23, CONCAT(VLOOKUP($C11, 'Match Names'!$1:$22, 7, FALSE), ""!C3:R29"""&amp;")), {11;15;23}, FALSE)), ""=4"") + COUNTIF(ARRAYFORMULA(HLOOKUP($B11, IMPORTRANGE('Match Names'!$H$23, CONCAT(VLOOKUP($C11, 'Match Names'!$1:$22, 8, FALSE), ""!C3:R29"")), {6;12;18}, FALSE)), ""=4"")"),0.0)</f>
        <v>0</v>
      </c>
      <c r="F11" s="32">
        <f>IFERROR(__xludf.DUMMYFUNCTION("COUNTIF(ARRAYFORMULA(HLOOKUP($B11, IMPORTRANGE('Prelim Rankings Unsorted'!$B$40, CONCAT(VLOOKUP($C11, 'Match Names'!$A$1:$D$22, 2, FALSE), ""!C3:R29"")), {12;18;24}, FALSE)), ""=0"") + COUNTIF(ARRAYFORMULA(HLOOKUP($B11, IMPORTRANGE('Prelim Rankings Unsort"&amp;"ed'!$B$41, CONCAT(VLOOKUP($C11, 'Match Names'!$A$1:$D$22, 3, FALSE), ""!C3:R29"")), {6;12;18}, FALSE)), ""=0"") + COUNTIF(ARRAYFORMULA(HLOOKUP($B11, IMPORTRANGE('Prelim Rankings Unsorted'!$B$42, CONCAT(VLOOKUP($C11, 'Match Names'!$A$1:$D$22, 4, FALSE), """&amp;"!C3:R29"")), {6;12;18}, FALSE)), ""=0"") + COUNTIF(ARRAYFORMULA(HLOOKUP($B11, IMPORTRANGE('Match Names'!$E$23, CONCAT(VLOOKUP($C11, 'Match Names'!$1:$22, 5, FALSE), ""!C3:R29"")), {4;13;18}, FALSE)), ""=0"") + COUNTIF(ARRAYFORMULA(HLOOKUP($B11, IMPORTRANG"&amp;"E('Match Names'!$F$23, CONCAT(VLOOKUP($C11, 'Match Names'!$1:$22, 6, FALSE), ""!C3:R29"")), {7;13;19}, FALSE)), ""=0"") + COUNTIF(ARRAYFORMULA(HLOOKUP($B11, IMPORTRANGE('Match Names'!$G$23, CONCAT(VLOOKUP($C11, 'Match Names'!$1:$22, 7, FALSE), ""!C3:R29"""&amp;")), {11;15;23}, FALSE)), ""=0"") + COUNTIF(ARRAYFORMULA(HLOOKUP($B11, IMPORTRANGE('Match Names'!$H$23, CONCAT(VLOOKUP($C11, 'Match Names'!$1:$22, 8, FALSE), ""!C3:R29"")), {6;12;18}, FALSE)), ""=0"")"),0.0)</f>
        <v>0</v>
      </c>
      <c r="G11" s="32">
        <f>IFERROR(__xludf.DUMMYFUNCTION("COUNTIF(ARRAYFORMULA(HLOOKUP($B11, IMPORTRANGE('Prelim Rankings Unsorted'!$B$40, CONCAT(VLOOKUP($C11, 'Match Names'!$A$1:$D$22, 2, FALSE), ""!C3:R29"")), {12;18;24}, FALSE)), ""=-4"") + COUNTIF(ARRAYFORMULA(HLOOKUP($B11, IMPORTRANGE('Prelim Rankings Unsor"&amp;"ted'!$B$41, CONCAT(VLOOKUP($C11, 'Match Names'!$A$1:$D$22, 3, FALSE), ""!C3:R29"")), {6;12;18}, FALSE)), ""=-4"") + COUNTIF(ARRAYFORMULA(HLOOKUP($B11, IMPORTRANGE('Prelim Rankings Unsorted'!$B$42, CONCAT(VLOOKUP($C11, 'Match Names'!$A$1:$D$22, 4, FALSE), "&amp;"""!C3:R29"")), {6;12;18}, FALSE)), ""=-4"") + COUNTIF(ARRAYFORMULA(HLOOKUP($B11, IMPORTRANGE('Match Names'!$E$23, CONCAT(VLOOKUP($C11, 'Match Names'!$1:$22, 5, FALSE), ""!C3:R29"")), {4;13;18}, FALSE)), ""=-4"") + COUNTIF(ARRAYFORMULA(HLOOKUP($B11, IMPORT"&amp;"RANGE('Match Names'!$F$23, CONCAT(VLOOKUP($C11, 'Match Names'!$1:$22, 6, FALSE), ""!C3:R29"")), {7;13;19}, FALSE)), ""=-4"") + COUNTIF(ARRAYFORMULA(HLOOKUP($B11, IMPORTRANGE('Match Names'!$G$23, CONCAT(VLOOKUP($C11, 'Match Names'!$1:$22, 7, FALSE), ""!C3:"&amp;"R29"")), {11;15;23}, FALSE)), ""=-4"") + COUNTIF(ARRAYFORMULA(HLOOKUP($B11, IMPORTRANGE('Match Names'!$H$23, CONCAT(VLOOKUP($C11, 'Match Names'!$1:$22, 8, FALSE), ""!C3:R29"")), {6;12;18}, FALSE)), ""=-4"")"),0.0)</f>
        <v>0</v>
      </c>
      <c r="H11" s="33">
        <f t="shared" si="1"/>
        <v>0</v>
      </c>
    </row>
    <row r="12">
      <c r="A12" s="31" t="s">
        <v>35</v>
      </c>
      <c r="B12" s="31" t="str">
        <f>VLOOKUP(CONCAT(A12, C12), 'Discord Username to Real Name'!C:D, 2, FALSE)</f>
        <v>borb#6872</v>
      </c>
      <c r="C12" s="21" t="s">
        <v>17</v>
      </c>
      <c r="D12" s="32">
        <f>IFERROR(__xludf.DUMMYFUNCTION("(3 - COUNTIF(IFERROR(ARRAYFORMULA(HLOOKUP($B12, IMPORTRANGE('Prelim Rankings Unsorted'!$B$40, CONCAT(VLOOKUP($C12, 'Match Names'!$A$1:$D$22, 2, FALSE), ""!C3:R29"")), {12;18;24}, FALSE)), 'Player Overall Stats Unsorted'!$AA$9:$AA$12), ""=X"")) + (3 - COUN"&amp;"TIF(IFERROR(ARRAYFORMULA(HLOOKUP($B12, IMPORTRANGE('Prelim Rankings Unsorted'!$B$41, CONCAT(VLOOKUP($C12, 'Match Names'!$A$1:$D$22, 3, FALSE), ""!C3:R29"")), {6;12;18}, FALSE)), 'Player Overall Stats Unsorted'!$AA$9:$AA$12), ""=X"")) + (3 - COUNTIF(IFERRO"&amp;"R(ARRAYFORMULA(HLOOKUP($B12, IMPORTRANGE('Prelim Rankings Unsorted'!$B$42, CONCAT(VLOOKUP($C12, 'Match Names'!$A$1:$D$22, 4, FALSE), ""!C3:R29"")), {6;12;18}, FALSE)), 'Player Overall Stats Unsorted'!$AA$9:$AA$12), ""=X"")) + (3 - COUNTIF(IFERROR(ARRAYFOR"&amp;"MULA(HLOOKUP($B12, IMPORTRANGE('Match Names'!$E$23, CONCAT(VLOOKUP($C12, 'Match Names'!$1:$22, 5, FALSE), ""!C3:R29"")), {4;13;18}, FALSE)), 'Player Overall Stats Unsorted'!$AA$9:$AA$12), ""=X"")) + (3 - COUNTIF(IFERROR(ARRAYFORMULA(HLOOKUP($B12, IMPORTRA"&amp;"NGE('Match Names'!$F$23, CONCAT(VLOOKUP($C12, 'Match Names'!$1:$22, 6, FALSE), ""!C3:R29"")), {7;13;19}, FALSE)), 'Player Overall Stats Unsorted'!$AA$9:$AA$12), ""=X"")) + (3 - COUNTIF(IFERROR(ARRAYFORMULA(HLOOKUP($B12, IMPORTRANGE('Match Names'!$G$23, CO"&amp;"NCAT(VLOOKUP($C12, 'Match Names'!$1:$22, 7, FALSE), ""!C3:R29"")), {11;15;23}, FALSE)), 'Player Overall Stats Unsorted'!$AA$9:$AA$12), ""=X"")) + (3 - COUNTIF(IFERROR(ARRAYFORMULA(HLOOKUP($B12, IMPORTRANGE('Match Names'!$H$23, CONCAT(VLOOKUP($C12, 'Match "&amp;"Names'!$1:$22, 8, FALSE), ""!C3:R29"")), {6;12;18}, FALSE)), 'Player Overall Stats Unsorted'!$AA$9:$AA$12), ""=X""))"),12.0)</f>
        <v>12</v>
      </c>
      <c r="E12" s="32">
        <f>IFERROR(__xludf.DUMMYFUNCTION("COUNTIF(ARRAYFORMULA(HLOOKUP($B12, IMPORTRANGE('Prelim Rankings Unsorted'!$B$40, CONCAT(VLOOKUP($C12, 'Match Names'!$A$1:$D$22, 2, FALSE), ""!C3:R29"")), {12;18;24}, FALSE)), ""=4"") + COUNTIF(ARRAYFORMULA(HLOOKUP($B12, IMPORTRANGE('Prelim Rankings Unsort"&amp;"ed'!$B$41, CONCAT(VLOOKUP($C12, 'Match Names'!$A$1:$D$22, 3, FALSE), ""!C3:R29"")), {6;12;18}, FALSE)), ""=4"") + COUNTIF(ARRAYFORMULA(HLOOKUP($B12, IMPORTRANGE('Prelim Rankings Unsorted'!$B$42, CONCAT(VLOOKUP($C12, 'Match Names'!$A$1:$D$22, 4, FALSE), """&amp;"!C3:R29"")), {6;12;18}, FALSE)), ""=4"") + COUNTIF(ARRAYFORMULA(HLOOKUP($B12, IMPORTRANGE('Match Names'!$E$23, CONCAT(VLOOKUP($C12, 'Match Names'!$1:$22, 5, FALSE), ""!C3:R29"")), {4;13;18}, FALSE)), ""=4"") + COUNTIF(ARRAYFORMULA(HLOOKUP($B12, IMPORTRANG"&amp;"E('Match Names'!$F$23, CONCAT(VLOOKUP($C12, 'Match Names'!$1:$22, 6, FALSE), ""!C3:R29"")), {7;13;19}, FALSE)), ""=4"") + COUNTIF(ARRAYFORMULA(HLOOKUP($B12, IMPORTRANGE('Match Names'!$G$23, CONCAT(VLOOKUP($C12, 'Match Names'!$1:$22, 7, FALSE), ""!C3:R29"""&amp;")), {11;15;23}, FALSE)), ""=4"") + COUNTIF(ARRAYFORMULA(HLOOKUP($B12, IMPORTRANGE('Match Names'!$H$23, CONCAT(VLOOKUP($C12, 'Match Names'!$1:$22, 8, FALSE), ""!C3:R29"")), {6;12;18}, FALSE)), ""=4"")"),2.0)</f>
        <v>2</v>
      </c>
      <c r="F12" s="32">
        <f>IFERROR(__xludf.DUMMYFUNCTION("COUNTIF(ARRAYFORMULA(HLOOKUP($B12, IMPORTRANGE('Prelim Rankings Unsorted'!$B$40, CONCAT(VLOOKUP($C12, 'Match Names'!$A$1:$D$22, 2, FALSE), ""!C3:R29"")), {12;18;24}, FALSE)), ""=0"") + COUNTIF(ARRAYFORMULA(HLOOKUP($B12, IMPORTRANGE('Prelim Rankings Unsort"&amp;"ed'!$B$41, CONCAT(VLOOKUP($C12, 'Match Names'!$A$1:$D$22, 3, FALSE), ""!C3:R29"")), {6;12;18}, FALSE)), ""=0"") + COUNTIF(ARRAYFORMULA(HLOOKUP($B12, IMPORTRANGE('Prelim Rankings Unsorted'!$B$42, CONCAT(VLOOKUP($C12, 'Match Names'!$A$1:$D$22, 4, FALSE), """&amp;"!C3:R29"")), {6;12;18}, FALSE)), ""=0"") + COUNTIF(ARRAYFORMULA(HLOOKUP($B12, IMPORTRANGE('Match Names'!$E$23, CONCAT(VLOOKUP($C12, 'Match Names'!$1:$22, 5, FALSE), ""!C3:R29"")), {4;13;18}, FALSE)), ""=0"") + COUNTIF(ARRAYFORMULA(HLOOKUP($B12, IMPORTRANG"&amp;"E('Match Names'!$F$23, CONCAT(VLOOKUP($C12, 'Match Names'!$1:$22, 6, FALSE), ""!C3:R29"")), {7;13;19}, FALSE)), ""=0"") + COUNTIF(ARRAYFORMULA(HLOOKUP($B12, IMPORTRANGE('Match Names'!$G$23, CONCAT(VLOOKUP($C12, 'Match Names'!$1:$22, 7, FALSE), ""!C3:R29"""&amp;")), {11;15;23}, FALSE)), ""=0"") + COUNTIF(ARRAYFORMULA(HLOOKUP($B12, IMPORTRANGE('Match Names'!$H$23, CONCAT(VLOOKUP($C12, 'Match Names'!$1:$22, 8, FALSE), ""!C3:R29"")), {6;12;18}, FALSE)), ""=0"")"),3.0)</f>
        <v>3</v>
      </c>
      <c r="G12" s="32">
        <f>IFERROR(__xludf.DUMMYFUNCTION("COUNTIF(ARRAYFORMULA(HLOOKUP($B12, IMPORTRANGE('Prelim Rankings Unsorted'!$B$40, CONCAT(VLOOKUP($C12, 'Match Names'!$A$1:$D$22, 2, FALSE), ""!C3:R29"")), {12;18;24}, FALSE)), ""=-4"") + COUNTIF(ARRAYFORMULA(HLOOKUP($B12, IMPORTRANGE('Prelim Rankings Unsor"&amp;"ted'!$B$41, CONCAT(VLOOKUP($C12, 'Match Names'!$A$1:$D$22, 3, FALSE), ""!C3:R29"")), {6;12;18}, FALSE)), ""=-4"") + COUNTIF(ARRAYFORMULA(HLOOKUP($B12, IMPORTRANGE('Prelim Rankings Unsorted'!$B$42, CONCAT(VLOOKUP($C12, 'Match Names'!$A$1:$D$22, 4, FALSE), "&amp;"""!C3:R29"")), {6;12;18}, FALSE)), ""=-4"") + COUNTIF(ARRAYFORMULA(HLOOKUP($B12, IMPORTRANGE('Match Names'!$E$23, CONCAT(VLOOKUP($C12, 'Match Names'!$1:$22, 5, FALSE), ""!C3:R29"")), {4;13;18}, FALSE)), ""=-4"") + COUNTIF(ARRAYFORMULA(HLOOKUP($B12, IMPORT"&amp;"RANGE('Match Names'!$F$23, CONCAT(VLOOKUP($C12, 'Match Names'!$1:$22, 6, FALSE), ""!C3:R29"")), {7;13;19}, FALSE)), ""=-4"") + COUNTIF(ARRAYFORMULA(HLOOKUP($B12, IMPORTRANGE('Match Names'!$G$23, CONCAT(VLOOKUP($C12, 'Match Names'!$1:$22, 7, FALSE), ""!C3:"&amp;"R29"")), {11;15;23}, FALSE)), ""=-4"") + COUNTIF(ARRAYFORMULA(HLOOKUP($B12, IMPORTRANGE('Match Names'!$H$23, CONCAT(VLOOKUP($C12, 'Match Names'!$1:$22, 8, FALSE), ""!C3:R29"")), {6;12;18}, FALSE)), ""=-4"")"),0.0)</f>
        <v>0</v>
      </c>
      <c r="H12" s="33">
        <f t="shared" si="1"/>
        <v>2</v>
      </c>
    </row>
    <row r="13">
      <c r="A13" s="31" t="s">
        <v>158</v>
      </c>
      <c r="B13" s="31" t="str">
        <f>VLOOKUP(CONCAT(A13, C13), 'Discord Username to Real Name'!C:D, 2, FALSE)</f>
        <v>TreefallGap#0407</v>
      </c>
      <c r="C13" s="21" t="s">
        <v>17</v>
      </c>
      <c r="D13" s="32">
        <f>IFERROR(__xludf.DUMMYFUNCTION("(3 - COUNTIF(IFERROR(ARRAYFORMULA(HLOOKUP($B13, IMPORTRANGE('Prelim Rankings Unsorted'!$B$40, CONCAT(VLOOKUP($C13, 'Match Names'!$A$1:$D$22, 2, FALSE), ""!C3:R29"")), {12;18;24}, FALSE)), 'Player Overall Stats Unsorted'!$AA$9:$AA$12), ""=X"")) + (3 - COUN"&amp;"TIF(IFERROR(ARRAYFORMULA(HLOOKUP($B13, IMPORTRANGE('Prelim Rankings Unsorted'!$B$41, CONCAT(VLOOKUP($C13, 'Match Names'!$A$1:$D$22, 3, FALSE), ""!C3:R29"")), {6;12;18}, FALSE)), 'Player Overall Stats Unsorted'!$AA$9:$AA$12), ""=X"")) + (3 - COUNTIF(IFERRO"&amp;"R(ARRAYFORMULA(HLOOKUP($B13, IMPORTRANGE('Prelim Rankings Unsorted'!$B$42, CONCAT(VLOOKUP($C13, 'Match Names'!$A$1:$D$22, 4, FALSE), ""!C3:R29"")), {6;12;18}, FALSE)), 'Player Overall Stats Unsorted'!$AA$9:$AA$12), ""=X"")) + (3 - COUNTIF(IFERROR(ARRAYFOR"&amp;"MULA(HLOOKUP($B13, IMPORTRANGE('Match Names'!$E$23, CONCAT(VLOOKUP($C13, 'Match Names'!$1:$22, 5, FALSE), ""!C3:R29"")), {4;13;18}, FALSE)), 'Player Overall Stats Unsorted'!$AA$9:$AA$12), ""=X"")) + (3 - COUNTIF(IFERROR(ARRAYFORMULA(HLOOKUP($B13, IMPORTRA"&amp;"NGE('Match Names'!$F$23, CONCAT(VLOOKUP($C13, 'Match Names'!$1:$22, 6, FALSE), ""!C3:R29"")), {7;13;19}, FALSE)), 'Player Overall Stats Unsorted'!$AA$9:$AA$12), ""=X"")) + (3 - COUNTIF(IFERROR(ARRAYFORMULA(HLOOKUP($B13, IMPORTRANGE('Match Names'!$G$23, CO"&amp;"NCAT(VLOOKUP($C13, 'Match Names'!$1:$22, 7, FALSE), ""!C3:R29"")), {11;15;23}, FALSE)), 'Player Overall Stats Unsorted'!$AA$9:$AA$12), ""=X"")) + (3 - COUNTIF(IFERROR(ARRAYFORMULA(HLOOKUP($B13, IMPORTRANGE('Match Names'!$H$23, CONCAT(VLOOKUP($C13, 'Match "&amp;"Names'!$1:$22, 8, FALSE), ""!C3:R29"")), {6;12;18}, FALSE)), 'Player Overall Stats Unsorted'!$AA$9:$AA$12), ""=X""))"),12.0)</f>
        <v>12</v>
      </c>
      <c r="E13" s="32">
        <f>IFERROR(__xludf.DUMMYFUNCTION("COUNTIF(ARRAYFORMULA(HLOOKUP($B13, IMPORTRANGE('Prelim Rankings Unsorted'!$B$40, CONCAT(VLOOKUP($C13, 'Match Names'!$A$1:$D$22, 2, FALSE), ""!C3:R29"")), {12;18;24}, FALSE)), ""=4"") + COUNTIF(ARRAYFORMULA(HLOOKUP($B13, IMPORTRANGE('Prelim Rankings Unsort"&amp;"ed'!$B$41, CONCAT(VLOOKUP($C13, 'Match Names'!$A$1:$D$22, 3, FALSE), ""!C3:R29"")), {6;12;18}, FALSE)), ""=4"") + COUNTIF(ARRAYFORMULA(HLOOKUP($B13, IMPORTRANGE('Prelim Rankings Unsorted'!$B$42, CONCAT(VLOOKUP($C13, 'Match Names'!$A$1:$D$22, 4, FALSE), """&amp;"!C3:R29"")), {6;12;18}, FALSE)), ""=4"") + COUNTIF(ARRAYFORMULA(HLOOKUP($B13, IMPORTRANGE('Match Names'!$E$23, CONCAT(VLOOKUP($C13, 'Match Names'!$1:$22, 5, FALSE), ""!C3:R29"")), {4;13;18}, FALSE)), ""=4"") + COUNTIF(ARRAYFORMULA(HLOOKUP($B13, IMPORTRANG"&amp;"E('Match Names'!$F$23, CONCAT(VLOOKUP($C13, 'Match Names'!$1:$22, 6, FALSE), ""!C3:R29"")), {7;13;19}, FALSE)), ""=4"") + COUNTIF(ARRAYFORMULA(HLOOKUP($B13, IMPORTRANGE('Match Names'!$G$23, CONCAT(VLOOKUP($C13, 'Match Names'!$1:$22, 7, FALSE), ""!C3:R29"""&amp;")), {11;15;23}, FALSE)), ""=4"") + COUNTIF(ARRAYFORMULA(HLOOKUP($B13, IMPORTRANGE('Match Names'!$H$23, CONCAT(VLOOKUP($C13, 'Match Names'!$1:$22, 8, FALSE), ""!C3:R29"")), {6;12;18}, FALSE)), ""=4"")"),1.0)</f>
        <v>1</v>
      </c>
      <c r="F13" s="32">
        <f>IFERROR(__xludf.DUMMYFUNCTION("COUNTIF(ARRAYFORMULA(HLOOKUP($B13, IMPORTRANGE('Prelim Rankings Unsorted'!$B$40, CONCAT(VLOOKUP($C13, 'Match Names'!$A$1:$D$22, 2, FALSE), ""!C3:R29"")), {12;18;24}, FALSE)), ""=0"") + COUNTIF(ARRAYFORMULA(HLOOKUP($B13, IMPORTRANGE('Prelim Rankings Unsort"&amp;"ed'!$B$41, CONCAT(VLOOKUP($C13, 'Match Names'!$A$1:$D$22, 3, FALSE), ""!C3:R29"")), {6;12;18}, FALSE)), ""=0"") + COUNTIF(ARRAYFORMULA(HLOOKUP($B13, IMPORTRANGE('Prelim Rankings Unsorted'!$B$42, CONCAT(VLOOKUP($C13, 'Match Names'!$A$1:$D$22, 4, FALSE), """&amp;"!C3:R29"")), {6;12;18}, FALSE)), ""=0"") + COUNTIF(ARRAYFORMULA(HLOOKUP($B13, IMPORTRANGE('Match Names'!$E$23, CONCAT(VLOOKUP($C13, 'Match Names'!$1:$22, 5, FALSE), ""!C3:R29"")), {4;13;18}, FALSE)), ""=0"") + COUNTIF(ARRAYFORMULA(HLOOKUP($B13, IMPORTRANG"&amp;"E('Match Names'!$F$23, CONCAT(VLOOKUP($C13, 'Match Names'!$1:$22, 6, FALSE), ""!C3:R29"")), {7;13;19}, FALSE)), ""=0"") + COUNTIF(ARRAYFORMULA(HLOOKUP($B13, IMPORTRANGE('Match Names'!$G$23, CONCAT(VLOOKUP($C13, 'Match Names'!$1:$22, 7, FALSE), ""!C3:R29"""&amp;")), {11;15;23}, FALSE)), ""=0"") + COUNTIF(ARRAYFORMULA(HLOOKUP($B13, IMPORTRANGE('Match Names'!$H$23, CONCAT(VLOOKUP($C13, 'Match Names'!$1:$22, 8, FALSE), ""!C3:R29"")), {6;12;18}, FALSE)), ""=0"")"),0.0)</f>
        <v>0</v>
      </c>
      <c r="G13" s="32">
        <f>IFERROR(__xludf.DUMMYFUNCTION("COUNTIF(ARRAYFORMULA(HLOOKUP($B13, IMPORTRANGE('Prelim Rankings Unsorted'!$B$40, CONCAT(VLOOKUP($C13, 'Match Names'!$A$1:$D$22, 2, FALSE), ""!C3:R29"")), {12;18;24}, FALSE)), ""=-4"") + COUNTIF(ARRAYFORMULA(HLOOKUP($B13, IMPORTRANGE('Prelim Rankings Unsor"&amp;"ted'!$B$41, CONCAT(VLOOKUP($C13, 'Match Names'!$A$1:$D$22, 3, FALSE), ""!C3:R29"")), {6;12;18}, FALSE)), ""=-4"") + COUNTIF(ARRAYFORMULA(HLOOKUP($B13, IMPORTRANGE('Prelim Rankings Unsorted'!$B$42, CONCAT(VLOOKUP($C13, 'Match Names'!$A$1:$D$22, 4, FALSE), "&amp;"""!C3:R29"")), {6;12;18}, FALSE)), ""=-4"") + COUNTIF(ARRAYFORMULA(HLOOKUP($B13, IMPORTRANGE('Match Names'!$E$23, CONCAT(VLOOKUP($C13, 'Match Names'!$1:$22, 5, FALSE), ""!C3:R29"")), {4;13;18}, FALSE)), ""=-4"") + COUNTIF(ARRAYFORMULA(HLOOKUP($B13, IMPORT"&amp;"RANGE('Match Names'!$F$23, CONCAT(VLOOKUP($C13, 'Match Names'!$1:$22, 6, FALSE), ""!C3:R29"")), {7;13;19}, FALSE)), ""=-4"") + COUNTIF(ARRAYFORMULA(HLOOKUP($B13, IMPORTRANGE('Match Names'!$G$23, CONCAT(VLOOKUP($C13, 'Match Names'!$1:$22, 7, FALSE), ""!C3:"&amp;"R29"")), {11;15;23}, FALSE)), ""=-4"") + COUNTIF(ARRAYFORMULA(HLOOKUP($B13, IMPORTRANGE('Match Names'!$H$23, CONCAT(VLOOKUP($C13, 'Match Names'!$1:$22, 8, FALSE), ""!C3:R29"")), {6;12;18}, FALSE)), ""=-4"")"),0.0)</f>
        <v>0</v>
      </c>
      <c r="H13" s="33">
        <f t="shared" si="1"/>
        <v>1</v>
      </c>
    </row>
    <row r="14">
      <c r="A14" s="31" t="s">
        <v>39</v>
      </c>
      <c r="B14" s="31" t="str">
        <f>VLOOKUP(CONCAT(A14, C14), 'Discord Username to Real Name'!C:D, 2, FALSE)</f>
        <v>ThisIsDenry#0446</v>
      </c>
      <c r="C14" s="31" t="s">
        <v>21</v>
      </c>
      <c r="D14" s="32">
        <f>IFERROR(__xludf.DUMMYFUNCTION("(3 - COUNTIF(IFERROR(ARRAYFORMULA(HLOOKUP($B14, IMPORTRANGE('Prelim Rankings Unsorted'!$B$40, CONCAT(VLOOKUP($C14, 'Match Names'!$A$1:$D$22, 2, FALSE), ""!C3:R29"")), {12;18;24}, FALSE)), 'Player Overall Stats Unsorted'!$AA$9:$AA$12), ""=X"")) + (3 - COUN"&amp;"TIF(IFERROR(ARRAYFORMULA(HLOOKUP($B14, IMPORTRANGE('Prelim Rankings Unsorted'!$B$41, CONCAT(VLOOKUP($C14, 'Match Names'!$A$1:$D$22, 3, FALSE), ""!C3:R29"")), {6;12;18}, FALSE)), 'Player Overall Stats Unsorted'!$AA$9:$AA$12), ""=X"")) + (3 - COUNTIF(IFERRO"&amp;"R(ARRAYFORMULA(HLOOKUP($B14, IMPORTRANGE('Prelim Rankings Unsorted'!$B$42, CONCAT(VLOOKUP($C14, 'Match Names'!$A$1:$D$22, 4, FALSE), ""!C3:R29"")), {6;12;18}, FALSE)), 'Player Overall Stats Unsorted'!$AA$9:$AA$12), ""=X"")) + (3 - COUNTIF(IFERROR(ARRAYFOR"&amp;"MULA(HLOOKUP($B14, IMPORTRANGE('Match Names'!$E$23, CONCAT(VLOOKUP($C14, 'Match Names'!$1:$22, 5, FALSE), ""!C3:R29"")), {4;13;18}, FALSE)), 'Player Overall Stats Unsorted'!$AA$9:$AA$12), ""=X"")) + (3 - COUNTIF(IFERROR(ARRAYFORMULA(HLOOKUP($B14, IMPORTRA"&amp;"NGE('Match Names'!$F$23, CONCAT(VLOOKUP($C14, 'Match Names'!$1:$22, 6, FALSE), ""!C3:R29"")), {7;13;19}, FALSE)), 'Player Overall Stats Unsorted'!$AA$9:$AA$12), ""=X"")) + (3 - COUNTIF(IFERROR(ARRAYFORMULA(HLOOKUP($B14, IMPORTRANGE('Match Names'!$G$23, CO"&amp;"NCAT(VLOOKUP($C14, 'Match Names'!$1:$22, 7, FALSE), ""!C3:R29"")), {11;15;23}, FALSE)), 'Player Overall Stats Unsorted'!$AA$9:$AA$12), ""=X"")) + (3 - COUNTIF(IFERROR(ARRAYFORMULA(HLOOKUP($B14, IMPORTRANGE('Match Names'!$H$23, CONCAT(VLOOKUP($C14, 'Match "&amp;"Names'!$1:$22, 8, FALSE), ""!C3:R29"")), {6;12;18}, FALSE)), 'Player Overall Stats Unsorted'!$AA$9:$AA$12), ""=X""))"),15.0)</f>
        <v>15</v>
      </c>
      <c r="E14" s="32">
        <f>IFERROR(__xludf.DUMMYFUNCTION("COUNTIF(ARRAYFORMULA(HLOOKUP($B14, IMPORTRANGE('Prelim Rankings Unsorted'!$B$40, CONCAT(VLOOKUP($C14, 'Match Names'!$A$1:$D$22, 2, FALSE), ""!C3:R29"")), {12;18;24}, FALSE)), ""=4"") + COUNTIF(ARRAYFORMULA(HLOOKUP($B14, IMPORTRANGE('Prelim Rankings Unsort"&amp;"ed'!$B$41, CONCAT(VLOOKUP($C14, 'Match Names'!$A$1:$D$22, 3, FALSE), ""!C3:R29"")), {6;12;18}, FALSE)), ""=4"") + COUNTIF(ARRAYFORMULA(HLOOKUP($B14, IMPORTRANGE('Prelim Rankings Unsorted'!$B$42, CONCAT(VLOOKUP($C14, 'Match Names'!$A$1:$D$22, 4, FALSE), """&amp;"!C3:R29"")), {6;12;18}, FALSE)), ""=4"") + COUNTIF(ARRAYFORMULA(HLOOKUP($B14, IMPORTRANGE('Match Names'!$E$23, CONCAT(VLOOKUP($C14, 'Match Names'!$1:$22, 5, FALSE), ""!C3:R29"")), {4;13;18}, FALSE)), ""=4"") + COUNTIF(ARRAYFORMULA(HLOOKUP($B14, IMPORTRANG"&amp;"E('Match Names'!$F$23, CONCAT(VLOOKUP($C14, 'Match Names'!$1:$22, 6, FALSE), ""!C3:R29"")), {7;13;19}, FALSE)), ""=4"") + COUNTIF(ARRAYFORMULA(HLOOKUP($B14, IMPORTRANGE('Match Names'!$G$23, CONCAT(VLOOKUP($C14, 'Match Names'!$1:$22, 7, FALSE), ""!C3:R29"""&amp;")), {11;15;23}, FALSE)), ""=4"") + COUNTIF(ARRAYFORMULA(HLOOKUP($B14, IMPORTRANGE('Match Names'!$H$23, CONCAT(VLOOKUP($C14, 'Match Names'!$1:$22, 8, FALSE), ""!C3:R29"")), {6;12;18}, FALSE)), ""=4"")"),6.0)</f>
        <v>6</v>
      </c>
      <c r="F14" s="32">
        <f>IFERROR(__xludf.DUMMYFUNCTION("COUNTIF(ARRAYFORMULA(HLOOKUP($B14, IMPORTRANGE('Prelim Rankings Unsorted'!$B$40, CONCAT(VLOOKUP($C14, 'Match Names'!$A$1:$D$22, 2, FALSE), ""!C3:R29"")), {12;18;24}, FALSE)), ""=0"") + COUNTIF(ARRAYFORMULA(HLOOKUP($B14, IMPORTRANGE('Prelim Rankings Unsort"&amp;"ed'!$B$41, CONCAT(VLOOKUP($C14, 'Match Names'!$A$1:$D$22, 3, FALSE), ""!C3:R29"")), {6;12;18}, FALSE)), ""=0"") + COUNTIF(ARRAYFORMULA(HLOOKUP($B14, IMPORTRANGE('Prelim Rankings Unsorted'!$B$42, CONCAT(VLOOKUP($C14, 'Match Names'!$A$1:$D$22, 4, FALSE), """&amp;"!C3:R29"")), {6;12;18}, FALSE)), ""=0"") + COUNTIF(ARRAYFORMULA(HLOOKUP($B14, IMPORTRANGE('Match Names'!$E$23, CONCAT(VLOOKUP($C14, 'Match Names'!$1:$22, 5, FALSE), ""!C3:R29"")), {4;13;18}, FALSE)), ""=0"") + COUNTIF(ARRAYFORMULA(HLOOKUP($B14, IMPORTRANG"&amp;"E('Match Names'!$F$23, CONCAT(VLOOKUP($C14, 'Match Names'!$1:$22, 6, FALSE), ""!C3:R29"")), {7;13;19}, FALSE)), ""=0"") + COUNTIF(ARRAYFORMULA(HLOOKUP($B14, IMPORTRANGE('Match Names'!$G$23, CONCAT(VLOOKUP($C14, 'Match Names'!$1:$22, 7, FALSE), ""!C3:R29"""&amp;")), {11;15;23}, FALSE)), ""=0"") + COUNTIF(ARRAYFORMULA(HLOOKUP($B14, IMPORTRANGE('Match Names'!$H$23, CONCAT(VLOOKUP($C14, 'Match Names'!$1:$22, 8, FALSE), ""!C3:R29"")), {6;12;18}, FALSE)), ""=0"")"),2.0)</f>
        <v>2</v>
      </c>
      <c r="G14" s="32">
        <f>IFERROR(__xludf.DUMMYFUNCTION("COUNTIF(ARRAYFORMULA(HLOOKUP($B14, IMPORTRANGE('Prelim Rankings Unsorted'!$B$40, CONCAT(VLOOKUP($C14, 'Match Names'!$A$1:$D$22, 2, FALSE), ""!C3:R29"")), {12;18;24}, FALSE)), ""=-4"") + COUNTIF(ARRAYFORMULA(HLOOKUP($B14, IMPORTRANGE('Prelim Rankings Unsor"&amp;"ted'!$B$41, CONCAT(VLOOKUP($C14, 'Match Names'!$A$1:$D$22, 3, FALSE), ""!C3:R29"")), {6;12;18}, FALSE)), ""=-4"") + COUNTIF(ARRAYFORMULA(HLOOKUP($B14, IMPORTRANGE('Prelim Rankings Unsorted'!$B$42, CONCAT(VLOOKUP($C14, 'Match Names'!$A$1:$D$22, 4, FALSE), "&amp;"""!C3:R29"")), {6;12;18}, FALSE)), ""=-4"") + COUNTIF(ARRAYFORMULA(HLOOKUP($B14, IMPORTRANGE('Match Names'!$E$23, CONCAT(VLOOKUP($C14, 'Match Names'!$1:$22, 5, FALSE), ""!C3:R29"")), {4;13;18}, FALSE)), ""=-4"") + COUNTIF(ARRAYFORMULA(HLOOKUP($B14, IMPORT"&amp;"RANGE('Match Names'!$F$23, CONCAT(VLOOKUP($C14, 'Match Names'!$1:$22, 6, FALSE), ""!C3:R29"")), {7;13;19}, FALSE)), ""=-4"") + COUNTIF(ARRAYFORMULA(HLOOKUP($B14, IMPORTRANGE('Match Names'!$G$23, CONCAT(VLOOKUP($C14, 'Match Names'!$1:$22, 7, FALSE), ""!C3:"&amp;"R29"")), {11;15;23}, FALSE)), ""=-4"") + COUNTIF(ARRAYFORMULA(HLOOKUP($B14, IMPORTRANGE('Match Names'!$H$23, CONCAT(VLOOKUP($C14, 'Match Names'!$1:$22, 8, FALSE), ""!C3:R29"")), {6;12;18}, FALSE)), ""=-4"")"),0.0)</f>
        <v>0</v>
      </c>
      <c r="H14" s="33">
        <f t="shared" si="1"/>
        <v>4.8</v>
      </c>
    </row>
    <row r="15">
      <c r="A15" s="31" t="s">
        <v>152</v>
      </c>
      <c r="B15" s="31" t="str">
        <f>VLOOKUP(CONCAT(A15, C15), 'Discord Username to Real Name'!C:D, 2, FALSE)</f>
        <v>hsuehpooy#7813</v>
      </c>
      <c r="C15" s="31" t="s">
        <v>21</v>
      </c>
      <c r="D15" s="32">
        <f>IFERROR(__xludf.DUMMYFUNCTION("(3 - COUNTIF(IFERROR(ARRAYFORMULA(HLOOKUP($B15, IMPORTRANGE('Prelim Rankings Unsorted'!$B$40, CONCAT(VLOOKUP($C15, 'Match Names'!$A$1:$D$22, 2, FALSE), ""!C3:R29"")), {12;18;24}, FALSE)), 'Player Overall Stats Unsorted'!$AA$9:$AA$12), ""=X"")) + (3 - COUN"&amp;"TIF(IFERROR(ARRAYFORMULA(HLOOKUP($B15, IMPORTRANGE('Prelim Rankings Unsorted'!$B$41, CONCAT(VLOOKUP($C15, 'Match Names'!$A$1:$D$22, 3, FALSE), ""!C3:R29"")), {6;12;18}, FALSE)), 'Player Overall Stats Unsorted'!$AA$9:$AA$12), ""=X"")) + (3 - COUNTIF(IFERRO"&amp;"R(ARRAYFORMULA(HLOOKUP($B15, IMPORTRANGE('Prelim Rankings Unsorted'!$B$42, CONCAT(VLOOKUP($C15, 'Match Names'!$A$1:$D$22, 4, FALSE), ""!C3:R29"")), {6;12;18}, FALSE)), 'Player Overall Stats Unsorted'!$AA$9:$AA$12), ""=X"")) + (3 - COUNTIF(IFERROR(ARRAYFOR"&amp;"MULA(HLOOKUP($B15, IMPORTRANGE('Match Names'!$E$23, CONCAT(VLOOKUP($C15, 'Match Names'!$1:$22, 5, FALSE), ""!C3:R29"")), {4;13;18}, FALSE)), 'Player Overall Stats Unsorted'!$AA$9:$AA$12), ""=X"")) + (3 - COUNTIF(IFERROR(ARRAYFORMULA(HLOOKUP($B15, IMPORTRA"&amp;"NGE('Match Names'!$F$23, CONCAT(VLOOKUP($C15, 'Match Names'!$1:$22, 6, FALSE), ""!C3:R29"")), {7;13;19}, FALSE)), 'Player Overall Stats Unsorted'!$AA$9:$AA$12), ""=X"")) + (3 - COUNTIF(IFERROR(ARRAYFORMULA(HLOOKUP($B15, IMPORTRANGE('Match Names'!$G$23, CO"&amp;"NCAT(VLOOKUP($C15, 'Match Names'!$1:$22, 7, FALSE), ""!C3:R29"")), {11;15;23}, FALSE)), 'Player Overall Stats Unsorted'!$AA$9:$AA$12), ""=X"")) + (3 - COUNTIF(IFERROR(ARRAYFORMULA(HLOOKUP($B15, IMPORTRANGE('Match Names'!$H$23, CONCAT(VLOOKUP($C15, 'Match "&amp;"Names'!$1:$22, 8, FALSE), ""!C3:R29"")), {6;12;18}, FALSE)), 'Player Overall Stats Unsorted'!$AA$9:$AA$12), ""=X""))"),13.0)</f>
        <v>13</v>
      </c>
      <c r="E15" s="32">
        <f>IFERROR(__xludf.DUMMYFUNCTION("COUNTIF(ARRAYFORMULA(HLOOKUP($B15, IMPORTRANGE('Prelim Rankings Unsorted'!$B$40, CONCAT(VLOOKUP($C15, 'Match Names'!$A$1:$D$22, 2, FALSE), ""!C3:R29"")), {12;18;24}, FALSE)), ""=4"") + COUNTIF(ARRAYFORMULA(HLOOKUP($B15, IMPORTRANGE('Prelim Rankings Unsort"&amp;"ed'!$B$41, CONCAT(VLOOKUP($C15, 'Match Names'!$A$1:$D$22, 3, FALSE), ""!C3:R29"")), {6;12;18}, FALSE)), ""=4"") + COUNTIF(ARRAYFORMULA(HLOOKUP($B15, IMPORTRANGE('Prelim Rankings Unsorted'!$B$42, CONCAT(VLOOKUP($C15, 'Match Names'!$A$1:$D$22, 4, FALSE), """&amp;"!C3:R29"")), {6;12;18}, FALSE)), ""=4"") + COUNTIF(ARRAYFORMULA(HLOOKUP($B15, IMPORTRANGE('Match Names'!$E$23, CONCAT(VLOOKUP($C15, 'Match Names'!$1:$22, 5, FALSE), ""!C3:R29"")), {4;13;18}, FALSE)), ""=4"") + COUNTIF(ARRAYFORMULA(HLOOKUP($B15, IMPORTRANG"&amp;"E('Match Names'!$F$23, CONCAT(VLOOKUP($C15, 'Match Names'!$1:$22, 6, FALSE), ""!C3:R29"")), {7;13;19}, FALSE)), ""=4"") + COUNTIF(ARRAYFORMULA(HLOOKUP($B15, IMPORTRANGE('Match Names'!$G$23, CONCAT(VLOOKUP($C15, 'Match Names'!$1:$22, 7, FALSE), ""!C3:R29"""&amp;")), {11;15;23}, FALSE)), ""=4"") + COUNTIF(ARRAYFORMULA(HLOOKUP($B15, IMPORTRANGE('Match Names'!$H$23, CONCAT(VLOOKUP($C15, 'Match Names'!$1:$22, 8, FALSE), ""!C3:R29"")), {6;12;18}, FALSE)), ""=4"")"),0.0)</f>
        <v>0</v>
      </c>
      <c r="F15" s="32">
        <f>IFERROR(__xludf.DUMMYFUNCTION("COUNTIF(ARRAYFORMULA(HLOOKUP($B15, IMPORTRANGE('Prelim Rankings Unsorted'!$B$40, CONCAT(VLOOKUP($C15, 'Match Names'!$A$1:$D$22, 2, FALSE), ""!C3:R29"")), {12;18;24}, FALSE)), ""=0"") + COUNTIF(ARRAYFORMULA(HLOOKUP($B15, IMPORTRANGE('Prelim Rankings Unsort"&amp;"ed'!$B$41, CONCAT(VLOOKUP($C15, 'Match Names'!$A$1:$D$22, 3, FALSE), ""!C3:R29"")), {6;12;18}, FALSE)), ""=0"") + COUNTIF(ARRAYFORMULA(HLOOKUP($B15, IMPORTRANGE('Prelim Rankings Unsorted'!$B$42, CONCAT(VLOOKUP($C15, 'Match Names'!$A$1:$D$22, 4, FALSE), """&amp;"!C3:R29"")), {6;12;18}, FALSE)), ""=0"") + COUNTIF(ARRAYFORMULA(HLOOKUP($B15, IMPORTRANGE('Match Names'!$E$23, CONCAT(VLOOKUP($C15, 'Match Names'!$1:$22, 5, FALSE), ""!C3:R29"")), {4;13;18}, FALSE)), ""=0"") + COUNTIF(ARRAYFORMULA(HLOOKUP($B15, IMPORTRANG"&amp;"E('Match Names'!$F$23, CONCAT(VLOOKUP($C15, 'Match Names'!$1:$22, 6, FALSE), ""!C3:R29"")), {7;13;19}, FALSE)), ""=0"") + COUNTIF(ARRAYFORMULA(HLOOKUP($B15, IMPORTRANGE('Match Names'!$G$23, CONCAT(VLOOKUP($C15, 'Match Names'!$1:$22, 7, FALSE), ""!C3:R29"""&amp;")), {11;15;23}, FALSE)), ""=0"") + COUNTIF(ARRAYFORMULA(HLOOKUP($B15, IMPORTRANGE('Match Names'!$H$23, CONCAT(VLOOKUP($C15, 'Match Names'!$1:$22, 8, FALSE), ""!C3:R29"")), {6;12;18}, FALSE)), ""=0"")"),0.0)</f>
        <v>0</v>
      </c>
      <c r="G15" s="32">
        <f>IFERROR(__xludf.DUMMYFUNCTION("COUNTIF(ARRAYFORMULA(HLOOKUP($B15, IMPORTRANGE('Prelim Rankings Unsorted'!$B$40, CONCAT(VLOOKUP($C15, 'Match Names'!$A$1:$D$22, 2, FALSE), ""!C3:R29"")), {12;18;24}, FALSE)), ""=-4"") + COUNTIF(ARRAYFORMULA(HLOOKUP($B15, IMPORTRANGE('Prelim Rankings Unsor"&amp;"ted'!$B$41, CONCAT(VLOOKUP($C15, 'Match Names'!$A$1:$D$22, 3, FALSE), ""!C3:R29"")), {6;12;18}, FALSE)), ""=-4"") + COUNTIF(ARRAYFORMULA(HLOOKUP($B15, IMPORTRANGE('Prelim Rankings Unsorted'!$B$42, CONCAT(VLOOKUP($C15, 'Match Names'!$A$1:$D$22, 4, FALSE), "&amp;"""!C3:R29"")), {6;12;18}, FALSE)), ""=-4"") + COUNTIF(ARRAYFORMULA(HLOOKUP($B15, IMPORTRANGE('Match Names'!$E$23, CONCAT(VLOOKUP($C15, 'Match Names'!$1:$22, 5, FALSE), ""!C3:R29"")), {4;13;18}, FALSE)), ""=-4"") + COUNTIF(ARRAYFORMULA(HLOOKUP($B15, IMPORT"&amp;"RANGE('Match Names'!$F$23, CONCAT(VLOOKUP($C15, 'Match Names'!$1:$22, 6, FALSE), ""!C3:R29"")), {7;13;19}, FALSE)), ""=-4"") + COUNTIF(ARRAYFORMULA(HLOOKUP($B15, IMPORTRANGE('Match Names'!$G$23, CONCAT(VLOOKUP($C15, 'Match Names'!$1:$22, 7, FALSE), ""!C3:"&amp;"R29"")), {11;15;23}, FALSE)), ""=-4"") + COUNTIF(ARRAYFORMULA(HLOOKUP($B15, IMPORTRANGE('Match Names'!$H$23, CONCAT(VLOOKUP($C15, 'Match Names'!$1:$22, 8, FALSE), ""!C3:R29"")), {6;12;18}, FALSE)), ""=-4"")"),0.0)</f>
        <v>0</v>
      </c>
      <c r="H15" s="33">
        <f t="shared" si="1"/>
        <v>0</v>
      </c>
    </row>
    <row r="16">
      <c r="A16" s="31" t="s">
        <v>143</v>
      </c>
      <c r="B16" s="31" t="str">
        <f>VLOOKUP(CONCAT(A16, C16), 'Discord Username to Real Name'!C:D, 2, FALSE)</f>
        <v>CheeseGr8ter#2134</v>
      </c>
      <c r="C16" s="31" t="s">
        <v>21</v>
      </c>
      <c r="D16" s="32">
        <f>IFERROR(__xludf.DUMMYFUNCTION("(3 - COUNTIF(IFERROR(ARRAYFORMULA(HLOOKUP($B16, IMPORTRANGE('Prelim Rankings Unsorted'!$B$40, CONCAT(VLOOKUP($C16, 'Match Names'!$A$1:$D$22, 2, FALSE), ""!C3:R29"")), {12;18;24}, FALSE)), 'Player Overall Stats Unsorted'!$AA$9:$AA$12), ""=X"")) + (3 - COUN"&amp;"TIF(IFERROR(ARRAYFORMULA(HLOOKUP($B16, IMPORTRANGE('Prelim Rankings Unsorted'!$B$41, CONCAT(VLOOKUP($C16, 'Match Names'!$A$1:$D$22, 3, FALSE), ""!C3:R29"")), {6;12;18}, FALSE)), 'Player Overall Stats Unsorted'!$AA$9:$AA$12), ""=X"")) + (3 - COUNTIF(IFERRO"&amp;"R(ARRAYFORMULA(HLOOKUP($B16, IMPORTRANGE('Prelim Rankings Unsorted'!$B$42, CONCAT(VLOOKUP($C16, 'Match Names'!$A$1:$D$22, 4, FALSE), ""!C3:R29"")), {6;12;18}, FALSE)), 'Player Overall Stats Unsorted'!$AA$9:$AA$12), ""=X"")) + (3 - COUNTIF(IFERROR(ARRAYFOR"&amp;"MULA(HLOOKUP($B16, IMPORTRANGE('Match Names'!$E$23, CONCAT(VLOOKUP($C16, 'Match Names'!$1:$22, 5, FALSE), ""!C3:R29"")), {4;13;18}, FALSE)), 'Player Overall Stats Unsorted'!$AA$9:$AA$12), ""=X"")) + (3 - COUNTIF(IFERROR(ARRAYFORMULA(HLOOKUP($B16, IMPORTRA"&amp;"NGE('Match Names'!$F$23, CONCAT(VLOOKUP($C16, 'Match Names'!$1:$22, 6, FALSE), ""!C3:R29"")), {7;13;19}, FALSE)), 'Player Overall Stats Unsorted'!$AA$9:$AA$12), ""=X"")) + (3 - COUNTIF(IFERROR(ARRAYFORMULA(HLOOKUP($B16, IMPORTRANGE('Match Names'!$G$23, CO"&amp;"NCAT(VLOOKUP($C16, 'Match Names'!$1:$22, 7, FALSE), ""!C3:R29"")), {11;15;23}, FALSE)), 'Player Overall Stats Unsorted'!$AA$9:$AA$12), ""=X"")) + (3 - COUNTIF(IFERROR(ARRAYFORMULA(HLOOKUP($B16, IMPORTRANGE('Match Names'!$H$23, CONCAT(VLOOKUP($C16, 'Match "&amp;"Names'!$1:$22, 8, FALSE), ""!C3:R29"")), {6;12;18}, FALSE)), 'Player Overall Stats Unsorted'!$AA$9:$AA$12), ""=X""))"),15.0)</f>
        <v>15</v>
      </c>
      <c r="E16" s="32">
        <f>IFERROR(__xludf.DUMMYFUNCTION("COUNTIF(ARRAYFORMULA(HLOOKUP($B16, IMPORTRANGE('Prelim Rankings Unsorted'!$B$40, CONCAT(VLOOKUP($C16, 'Match Names'!$A$1:$D$22, 2, FALSE), ""!C3:R29"")), {12;18;24}, FALSE)), ""=4"") + COUNTIF(ARRAYFORMULA(HLOOKUP($B16, IMPORTRANGE('Prelim Rankings Unsort"&amp;"ed'!$B$41, CONCAT(VLOOKUP($C16, 'Match Names'!$A$1:$D$22, 3, FALSE), ""!C3:R29"")), {6;12;18}, FALSE)), ""=4"") + COUNTIF(ARRAYFORMULA(HLOOKUP($B16, IMPORTRANGE('Prelim Rankings Unsorted'!$B$42, CONCAT(VLOOKUP($C16, 'Match Names'!$A$1:$D$22, 4, FALSE), """&amp;"!C3:R29"")), {6;12;18}, FALSE)), ""=4"") + COUNTIF(ARRAYFORMULA(HLOOKUP($B16, IMPORTRANGE('Match Names'!$E$23, CONCAT(VLOOKUP($C16, 'Match Names'!$1:$22, 5, FALSE), ""!C3:R29"")), {4;13;18}, FALSE)), ""=4"") + COUNTIF(ARRAYFORMULA(HLOOKUP($B16, IMPORTRANG"&amp;"E('Match Names'!$F$23, CONCAT(VLOOKUP($C16, 'Match Names'!$1:$22, 6, FALSE), ""!C3:R29"")), {7;13;19}, FALSE)), ""=4"") + COUNTIF(ARRAYFORMULA(HLOOKUP($B16, IMPORTRANGE('Match Names'!$G$23, CONCAT(VLOOKUP($C16, 'Match Names'!$1:$22, 7, FALSE), ""!C3:R29"""&amp;")), {11;15;23}, FALSE)), ""=4"") + COUNTIF(ARRAYFORMULA(HLOOKUP($B16, IMPORTRANGE('Match Names'!$H$23, CONCAT(VLOOKUP($C16, 'Match Names'!$1:$22, 8, FALSE), ""!C3:R29"")), {6;12;18}, FALSE)), ""=4"")"),1.0)</f>
        <v>1</v>
      </c>
      <c r="F16" s="32">
        <f>IFERROR(__xludf.DUMMYFUNCTION("COUNTIF(ARRAYFORMULA(HLOOKUP($B16, IMPORTRANGE('Prelim Rankings Unsorted'!$B$40, CONCAT(VLOOKUP($C16, 'Match Names'!$A$1:$D$22, 2, FALSE), ""!C3:R29"")), {12;18;24}, FALSE)), ""=0"") + COUNTIF(ARRAYFORMULA(HLOOKUP($B16, IMPORTRANGE('Prelim Rankings Unsort"&amp;"ed'!$B$41, CONCAT(VLOOKUP($C16, 'Match Names'!$A$1:$D$22, 3, FALSE), ""!C3:R29"")), {6;12;18}, FALSE)), ""=0"") + COUNTIF(ARRAYFORMULA(HLOOKUP($B16, IMPORTRANGE('Prelim Rankings Unsorted'!$B$42, CONCAT(VLOOKUP($C16, 'Match Names'!$A$1:$D$22, 4, FALSE), """&amp;"!C3:R29"")), {6;12;18}, FALSE)), ""=0"") + COUNTIF(ARRAYFORMULA(HLOOKUP($B16, IMPORTRANGE('Match Names'!$E$23, CONCAT(VLOOKUP($C16, 'Match Names'!$1:$22, 5, FALSE), ""!C3:R29"")), {4;13;18}, FALSE)), ""=0"") + COUNTIF(ARRAYFORMULA(HLOOKUP($B16, IMPORTRANG"&amp;"E('Match Names'!$F$23, CONCAT(VLOOKUP($C16, 'Match Names'!$1:$22, 6, FALSE), ""!C3:R29"")), {7;13;19}, FALSE)), ""=0"") + COUNTIF(ARRAYFORMULA(HLOOKUP($B16, IMPORTRANGE('Match Names'!$G$23, CONCAT(VLOOKUP($C16, 'Match Names'!$1:$22, 7, FALSE), ""!C3:R29"""&amp;")), {11;15;23}, FALSE)), ""=0"") + COUNTIF(ARRAYFORMULA(HLOOKUP($B16, IMPORTRANGE('Match Names'!$H$23, CONCAT(VLOOKUP($C16, 'Match Names'!$1:$22, 8, FALSE), ""!C3:R29"")), {6;12;18}, FALSE)), ""=0"")"),0.0)</f>
        <v>0</v>
      </c>
      <c r="G16" s="32">
        <f>IFERROR(__xludf.DUMMYFUNCTION("COUNTIF(ARRAYFORMULA(HLOOKUP($B16, IMPORTRANGE('Prelim Rankings Unsorted'!$B$40, CONCAT(VLOOKUP($C16, 'Match Names'!$A$1:$D$22, 2, FALSE), ""!C3:R29"")), {12;18;24}, FALSE)), ""=-4"") + COUNTIF(ARRAYFORMULA(HLOOKUP($B16, IMPORTRANGE('Prelim Rankings Unsor"&amp;"ted'!$B$41, CONCAT(VLOOKUP($C16, 'Match Names'!$A$1:$D$22, 3, FALSE), ""!C3:R29"")), {6;12;18}, FALSE)), ""=-4"") + COUNTIF(ARRAYFORMULA(HLOOKUP($B16, IMPORTRANGE('Prelim Rankings Unsorted'!$B$42, CONCAT(VLOOKUP($C16, 'Match Names'!$A$1:$D$22, 4, FALSE), "&amp;"""!C3:R29"")), {6;12;18}, FALSE)), ""=-4"") + COUNTIF(ARRAYFORMULA(HLOOKUP($B16, IMPORTRANGE('Match Names'!$E$23, CONCAT(VLOOKUP($C16, 'Match Names'!$1:$22, 5, FALSE), ""!C3:R29"")), {4;13;18}, FALSE)), ""=-4"") + COUNTIF(ARRAYFORMULA(HLOOKUP($B16, IMPORT"&amp;"RANGE('Match Names'!$F$23, CONCAT(VLOOKUP($C16, 'Match Names'!$1:$22, 6, FALSE), ""!C3:R29"")), {7;13;19}, FALSE)), ""=-4"") + COUNTIF(ARRAYFORMULA(HLOOKUP($B16, IMPORTRANGE('Match Names'!$G$23, CONCAT(VLOOKUP($C16, 'Match Names'!$1:$22, 7, FALSE), ""!C3:"&amp;"R29"")), {11;15;23}, FALSE)), ""=-4"") + COUNTIF(ARRAYFORMULA(HLOOKUP($B16, IMPORTRANGE('Match Names'!$H$23, CONCAT(VLOOKUP($C16, 'Match Names'!$1:$22, 8, FALSE), ""!C3:R29"")), {6;12;18}, FALSE)), ""=-4"")"),0.0)</f>
        <v>0</v>
      </c>
      <c r="H16" s="33">
        <f t="shared" si="1"/>
        <v>0.8</v>
      </c>
    </row>
    <row r="17">
      <c r="A17" s="32" t="s">
        <v>88</v>
      </c>
      <c r="B17" s="31" t="str">
        <f>VLOOKUP(CONCAT(A17, C17), 'Discord Username to Real Name'!C:D, 2, FALSE)</f>
        <v>s0arbeacon#9262</v>
      </c>
      <c r="C17" s="31" t="s">
        <v>31</v>
      </c>
      <c r="D17" s="32">
        <f>IFERROR(__xludf.DUMMYFUNCTION("(3 - COUNTIF(IFERROR(ARRAYFORMULA(HLOOKUP($B17, IMPORTRANGE('Prelim Rankings Unsorted'!$B$40, CONCAT(VLOOKUP($C17, 'Match Names'!$A$1:$D$22, 2, FALSE), ""!C3:R29"")), {12;18;24}, FALSE)), 'Player Overall Stats Unsorted'!$AA$9:$AA$12), ""=X"")) + (3 - COUN"&amp;"TIF(IFERROR(ARRAYFORMULA(HLOOKUP($B17, IMPORTRANGE('Prelim Rankings Unsorted'!$B$41, CONCAT(VLOOKUP($C17, 'Match Names'!$A$1:$D$22, 3, FALSE), ""!C3:R29"")), {6;12;18}, FALSE)), 'Player Overall Stats Unsorted'!$AA$9:$AA$12), ""=X"")) + (3 - COUNTIF(IFERRO"&amp;"R(ARRAYFORMULA(HLOOKUP($B17, IMPORTRANGE('Prelim Rankings Unsorted'!$B$42, CONCAT(VLOOKUP($C17, 'Match Names'!$A$1:$D$22, 4, FALSE), ""!C3:R29"")), {6;12;18}, FALSE)), 'Player Overall Stats Unsorted'!$AA$9:$AA$12), ""=X"")) + (3 - COUNTIF(IFERROR(ARRAYFOR"&amp;"MULA(HLOOKUP($B17, IMPORTRANGE('Match Names'!$E$23, CONCAT(VLOOKUP($C17, 'Match Names'!$1:$22, 5, FALSE), ""!C3:R29"")), {4;13;18}, FALSE)), 'Player Overall Stats Unsorted'!$AA$9:$AA$12), ""=X"")) + (3 - COUNTIF(IFERROR(ARRAYFORMULA(HLOOKUP($B17, IMPORTRA"&amp;"NGE('Match Names'!$F$23, CONCAT(VLOOKUP($C17, 'Match Names'!$1:$22, 6, FALSE), ""!C3:R29"")), {7;13;19}, FALSE)), 'Player Overall Stats Unsorted'!$AA$9:$AA$12), ""=X"")) + (3 - COUNTIF(IFERROR(ARRAYFORMULA(HLOOKUP($B17, IMPORTRANGE('Match Names'!$G$23, CO"&amp;"NCAT(VLOOKUP($C17, 'Match Names'!$1:$22, 7, FALSE), ""!C3:R29"")), {11;15;23}, FALSE)), 'Player Overall Stats Unsorted'!$AA$9:$AA$12), ""=X"")) + (3 - COUNTIF(IFERROR(ARRAYFORMULA(HLOOKUP($B17, IMPORTRANGE('Match Names'!$H$23, CONCAT(VLOOKUP($C17, 'Match "&amp;"Names'!$1:$22, 8, FALSE), ""!C3:R29"")), {6;12;18}, FALSE)), 'Player Overall Stats Unsorted'!$AA$9:$AA$12), ""=X""))"),12.0)</f>
        <v>12</v>
      </c>
      <c r="E17" s="32">
        <f>IFERROR(__xludf.DUMMYFUNCTION("COUNTIF(ARRAYFORMULA(HLOOKUP($B17, IMPORTRANGE('Prelim Rankings Unsorted'!$B$40, CONCAT(VLOOKUP($C17, 'Match Names'!$A$1:$D$22, 2, FALSE), ""!C3:R29"")), {12;18;24}, FALSE)), ""=4"") + COUNTIF(ARRAYFORMULA(HLOOKUP($B17, IMPORTRANGE('Prelim Rankings Unsort"&amp;"ed'!$B$41, CONCAT(VLOOKUP($C17, 'Match Names'!$A$1:$D$22, 3, FALSE), ""!C3:R29"")), {6;12;18}, FALSE)), ""=4"") + COUNTIF(ARRAYFORMULA(HLOOKUP($B17, IMPORTRANGE('Prelim Rankings Unsorted'!$B$42, CONCAT(VLOOKUP($C17, 'Match Names'!$A$1:$D$22, 4, FALSE), """&amp;"!C3:R29"")), {6;12;18}, FALSE)), ""=4"") + COUNTIF(ARRAYFORMULA(HLOOKUP($B17, IMPORTRANGE('Match Names'!$E$23, CONCAT(VLOOKUP($C17, 'Match Names'!$1:$22, 5, FALSE), ""!C3:R29"")), {4;13;18}, FALSE)), ""=4"") + COUNTIF(ARRAYFORMULA(HLOOKUP($B17, IMPORTRANG"&amp;"E('Match Names'!$F$23, CONCAT(VLOOKUP($C17, 'Match Names'!$1:$22, 6, FALSE), ""!C3:R29"")), {7;13;19}, FALSE)), ""=4"") + COUNTIF(ARRAYFORMULA(HLOOKUP($B17, IMPORTRANGE('Match Names'!$G$23, CONCAT(VLOOKUP($C17, 'Match Names'!$1:$22, 7, FALSE), ""!C3:R29"""&amp;")), {11;15;23}, FALSE)), ""=4"") + COUNTIF(ARRAYFORMULA(HLOOKUP($B17, IMPORTRANGE('Match Names'!$H$23, CONCAT(VLOOKUP($C17, 'Match Names'!$1:$22, 8, FALSE), ""!C3:R29"")), {6;12;18}, FALSE)), ""=4"")"),2.0)</f>
        <v>2</v>
      </c>
      <c r="F17" s="32">
        <f>IFERROR(__xludf.DUMMYFUNCTION("COUNTIF(ARRAYFORMULA(HLOOKUP($B17, IMPORTRANGE('Prelim Rankings Unsorted'!$B$40, CONCAT(VLOOKUP($C17, 'Match Names'!$A$1:$D$22, 2, FALSE), ""!C3:R29"")), {12;18;24}, FALSE)), ""=0"") + COUNTIF(ARRAYFORMULA(HLOOKUP($B17, IMPORTRANGE('Prelim Rankings Unsort"&amp;"ed'!$B$41, CONCAT(VLOOKUP($C17, 'Match Names'!$A$1:$D$22, 3, FALSE), ""!C3:R29"")), {6;12;18}, FALSE)), ""=0"") + COUNTIF(ARRAYFORMULA(HLOOKUP($B17, IMPORTRANGE('Prelim Rankings Unsorted'!$B$42, CONCAT(VLOOKUP($C17, 'Match Names'!$A$1:$D$22, 4, FALSE), """&amp;"!C3:R29"")), {6;12;18}, FALSE)), ""=0"") + COUNTIF(ARRAYFORMULA(HLOOKUP($B17, IMPORTRANGE('Match Names'!$E$23, CONCAT(VLOOKUP($C17, 'Match Names'!$1:$22, 5, FALSE), ""!C3:R29"")), {4;13;18}, FALSE)), ""=0"") + COUNTIF(ARRAYFORMULA(HLOOKUP($B17, IMPORTRANG"&amp;"E('Match Names'!$F$23, CONCAT(VLOOKUP($C17, 'Match Names'!$1:$22, 6, FALSE), ""!C3:R29"")), {7;13;19}, FALSE)), ""=0"") + COUNTIF(ARRAYFORMULA(HLOOKUP($B17, IMPORTRANGE('Match Names'!$G$23, CONCAT(VLOOKUP($C17, 'Match Names'!$1:$22, 7, FALSE), ""!C3:R29"""&amp;")), {11;15;23}, FALSE)), ""=0"") + COUNTIF(ARRAYFORMULA(HLOOKUP($B17, IMPORTRANGE('Match Names'!$H$23, CONCAT(VLOOKUP($C17, 'Match Names'!$1:$22, 8, FALSE), ""!C3:R29"")), {6;12;18}, FALSE)), ""=0"")"),0.0)</f>
        <v>0</v>
      </c>
      <c r="G17" s="32">
        <f>IFERROR(__xludf.DUMMYFUNCTION("COUNTIF(ARRAYFORMULA(HLOOKUP($B17, IMPORTRANGE('Prelim Rankings Unsorted'!$B$40, CONCAT(VLOOKUP($C17, 'Match Names'!$A$1:$D$22, 2, FALSE), ""!C3:R29"")), {12;18;24}, FALSE)), ""=-4"") + COUNTIF(ARRAYFORMULA(HLOOKUP($B17, IMPORTRANGE('Prelim Rankings Unsor"&amp;"ted'!$B$41, CONCAT(VLOOKUP($C17, 'Match Names'!$A$1:$D$22, 3, FALSE), ""!C3:R29"")), {6;12;18}, FALSE)), ""=-4"") + COUNTIF(ARRAYFORMULA(HLOOKUP($B17, IMPORTRANGE('Prelim Rankings Unsorted'!$B$42, CONCAT(VLOOKUP($C17, 'Match Names'!$A$1:$D$22, 4, FALSE), "&amp;"""!C3:R29"")), {6;12;18}, FALSE)), ""=-4"") + COUNTIF(ARRAYFORMULA(HLOOKUP($B17, IMPORTRANGE('Match Names'!$E$23, CONCAT(VLOOKUP($C17, 'Match Names'!$1:$22, 5, FALSE), ""!C3:R29"")), {4;13;18}, FALSE)), ""=-4"") + COUNTIF(ARRAYFORMULA(HLOOKUP($B17, IMPORT"&amp;"RANGE('Match Names'!$F$23, CONCAT(VLOOKUP($C17, 'Match Names'!$1:$22, 6, FALSE), ""!C3:R29"")), {7;13;19}, FALSE)), ""=-4"") + COUNTIF(ARRAYFORMULA(HLOOKUP($B17, IMPORTRANGE('Match Names'!$G$23, CONCAT(VLOOKUP($C17, 'Match Names'!$1:$22, 7, FALSE), ""!C3:"&amp;"R29"")), {11;15;23}, FALSE)), ""=-4"") + COUNTIF(ARRAYFORMULA(HLOOKUP($B17, IMPORTRANGE('Match Names'!$H$23, CONCAT(VLOOKUP($C17, 'Match Names'!$1:$22, 8, FALSE), ""!C3:R29"")), {6;12;18}, FALSE)), ""=-4"")"),0.0)</f>
        <v>0</v>
      </c>
      <c r="H17" s="33">
        <f t="shared" si="1"/>
        <v>2</v>
      </c>
    </row>
    <row r="18">
      <c r="A18" s="34" t="s">
        <v>206</v>
      </c>
      <c r="B18" s="31" t="str">
        <f>VLOOKUP(CONCAT(A18, C18), 'Discord Username to Real Name'!C:D, 2, FALSE)</f>
        <v>.penguin#3809</v>
      </c>
      <c r="C18" s="36" t="s">
        <v>31</v>
      </c>
      <c r="D18" s="32">
        <f>IFERROR(__xludf.DUMMYFUNCTION("(3 - COUNTIF(IFERROR(ARRAYFORMULA(HLOOKUP($B18, IMPORTRANGE('Prelim Rankings Unsorted'!$B$40, CONCAT(VLOOKUP($C18, 'Match Names'!$A$1:$D$22, 2, FALSE), ""!C3:R29"")), {12;18;24}, FALSE)), 'Player Overall Stats Unsorted'!$AA$9:$AA$12), ""=X"")) + (3 - COUN"&amp;"TIF(IFERROR(ARRAYFORMULA(HLOOKUP($B18, IMPORTRANGE('Prelim Rankings Unsorted'!$B$41, CONCAT(VLOOKUP($C18, 'Match Names'!$A$1:$D$22, 3, FALSE), ""!C3:R29"")), {6;12;18}, FALSE)), 'Player Overall Stats Unsorted'!$AA$9:$AA$12), ""=X"")) + (3 - COUNTIF(IFERRO"&amp;"R(ARRAYFORMULA(HLOOKUP($B18, IMPORTRANGE('Prelim Rankings Unsorted'!$B$42, CONCAT(VLOOKUP($C18, 'Match Names'!$A$1:$D$22, 4, FALSE), ""!C3:R29"")), {6;12;18}, FALSE)), 'Player Overall Stats Unsorted'!$AA$9:$AA$12), ""=X"")) + (3 - COUNTIF(IFERROR(ARRAYFOR"&amp;"MULA(HLOOKUP($B18, IMPORTRANGE('Match Names'!$E$23, CONCAT(VLOOKUP($C18, 'Match Names'!$1:$22, 5, FALSE), ""!C3:R29"")), {4;13;18}, FALSE)), 'Player Overall Stats Unsorted'!$AA$9:$AA$12), ""=X"")) + (3 - COUNTIF(IFERROR(ARRAYFORMULA(HLOOKUP($B18, IMPORTRA"&amp;"NGE('Match Names'!$F$23, CONCAT(VLOOKUP($C18, 'Match Names'!$1:$22, 6, FALSE), ""!C3:R29"")), {7;13;19}, FALSE)), 'Player Overall Stats Unsorted'!$AA$9:$AA$12), ""=X"")) + (3 - COUNTIF(IFERROR(ARRAYFORMULA(HLOOKUP($B18, IMPORTRANGE('Match Names'!$G$23, CO"&amp;"NCAT(VLOOKUP($C18, 'Match Names'!$1:$22, 7, FALSE), ""!C3:R29"")), {11;15;23}, FALSE)), 'Player Overall Stats Unsorted'!$AA$9:$AA$12), ""=X"")) + (3 - COUNTIF(IFERROR(ARRAYFORMULA(HLOOKUP($B18, IMPORTRANGE('Match Names'!$H$23, CONCAT(VLOOKUP($C18, 'Match "&amp;"Names'!$1:$22, 8, FALSE), ""!C3:R29"")), {6;12;18}, FALSE)), 'Player Overall Stats Unsorted'!$AA$9:$AA$12), ""=X""))"),0.0)</f>
        <v>0</v>
      </c>
      <c r="E18" s="32">
        <f>IFERROR(__xludf.DUMMYFUNCTION("COUNTIF(ARRAYFORMULA(HLOOKUP($B18, IMPORTRANGE('Prelim Rankings Unsorted'!$B$40, CONCAT(VLOOKUP($C18, 'Match Names'!$A$1:$D$22, 2, FALSE), ""!C3:R29"")), {12;18;24}, FALSE)), ""=4"") + COUNTIF(ARRAYFORMULA(HLOOKUP($B18, IMPORTRANGE('Prelim Rankings Unsort"&amp;"ed'!$B$41, CONCAT(VLOOKUP($C18, 'Match Names'!$A$1:$D$22, 3, FALSE), ""!C3:R29"")), {6;12;18}, FALSE)), ""=4"") + COUNTIF(ARRAYFORMULA(HLOOKUP($B18, IMPORTRANGE('Prelim Rankings Unsorted'!$B$42, CONCAT(VLOOKUP($C18, 'Match Names'!$A$1:$D$22, 4, FALSE), """&amp;"!C3:R29"")), {6;12;18}, FALSE)), ""=4"") + COUNTIF(ARRAYFORMULA(HLOOKUP($B18, IMPORTRANGE('Match Names'!$E$23, CONCAT(VLOOKUP($C18, 'Match Names'!$1:$22, 5, FALSE), ""!C3:R29"")), {4;13;18}, FALSE)), ""=4"") + COUNTIF(ARRAYFORMULA(HLOOKUP($B18, IMPORTRANG"&amp;"E('Match Names'!$F$23, CONCAT(VLOOKUP($C18, 'Match Names'!$1:$22, 6, FALSE), ""!C3:R29"")), {7;13;19}, FALSE)), ""=4"") + COUNTIF(ARRAYFORMULA(HLOOKUP($B18, IMPORTRANGE('Match Names'!$G$23, CONCAT(VLOOKUP($C18, 'Match Names'!$1:$22, 7, FALSE), ""!C3:R29"""&amp;")), {11;15;23}, FALSE)), ""=4"") + COUNTIF(ARRAYFORMULA(HLOOKUP($B18, IMPORTRANGE('Match Names'!$H$23, CONCAT(VLOOKUP($C18, 'Match Names'!$1:$22, 8, FALSE), ""!C3:R29"")), {6;12;18}, FALSE)), ""=4"")"),0.0)</f>
        <v>0</v>
      </c>
      <c r="F18" s="32">
        <f>IFERROR(__xludf.DUMMYFUNCTION("COUNTIF(ARRAYFORMULA(HLOOKUP($B18, IMPORTRANGE('Prelim Rankings Unsorted'!$B$40, CONCAT(VLOOKUP($C18, 'Match Names'!$A$1:$D$22, 2, FALSE), ""!C3:R29"")), {12;18;24}, FALSE)), ""=0"") + COUNTIF(ARRAYFORMULA(HLOOKUP($B18, IMPORTRANGE('Prelim Rankings Unsort"&amp;"ed'!$B$41, CONCAT(VLOOKUP($C18, 'Match Names'!$A$1:$D$22, 3, FALSE), ""!C3:R29"")), {6;12;18}, FALSE)), ""=0"") + COUNTIF(ARRAYFORMULA(HLOOKUP($B18, IMPORTRANGE('Prelim Rankings Unsorted'!$B$42, CONCAT(VLOOKUP($C18, 'Match Names'!$A$1:$D$22, 4, FALSE), """&amp;"!C3:R29"")), {6;12;18}, FALSE)), ""=0"") + COUNTIF(ARRAYFORMULA(HLOOKUP($B18, IMPORTRANGE('Match Names'!$E$23, CONCAT(VLOOKUP($C18, 'Match Names'!$1:$22, 5, FALSE), ""!C3:R29"")), {4;13;18}, FALSE)), ""=0"") + COUNTIF(ARRAYFORMULA(HLOOKUP($B18, IMPORTRANG"&amp;"E('Match Names'!$F$23, CONCAT(VLOOKUP($C18, 'Match Names'!$1:$22, 6, FALSE), ""!C3:R29"")), {7;13;19}, FALSE)), ""=0"") + COUNTIF(ARRAYFORMULA(HLOOKUP($B18, IMPORTRANGE('Match Names'!$G$23, CONCAT(VLOOKUP($C18, 'Match Names'!$1:$22, 7, FALSE), ""!C3:R29"""&amp;")), {11;15;23}, FALSE)), ""=0"") + COUNTIF(ARRAYFORMULA(HLOOKUP($B18, IMPORTRANGE('Match Names'!$H$23, CONCAT(VLOOKUP($C18, 'Match Names'!$1:$22, 8, FALSE), ""!C3:R29"")), {6;12;18}, FALSE)), ""=0"")"),0.0)</f>
        <v>0</v>
      </c>
      <c r="G18" s="32">
        <f>IFERROR(__xludf.DUMMYFUNCTION("COUNTIF(ARRAYFORMULA(HLOOKUP($B18, IMPORTRANGE('Prelim Rankings Unsorted'!$B$40, CONCAT(VLOOKUP($C18, 'Match Names'!$A$1:$D$22, 2, FALSE), ""!C3:R29"")), {12;18;24}, FALSE)), ""=-4"") + COUNTIF(ARRAYFORMULA(HLOOKUP($B18, IMPORTRANGE('Prelim Rankings Unsor"&amp;"ted'!$B$41, CONCAT(VLOOKUP($C18, 'Match Names'!$A$1:$D$22, 3, FALSE), ""!C3:R29"")), {6;12;18}, FALSE)), ""=-4"") + COUNTIF(ARRAYFORMULA(HLOOKUP($B18, IMPORTRANGE('Prelim Rankings Unsorted'!$B$42, CONCAT(VLOOKUP($C18, 'Match Names'!$A$1:$D$22, 4, FALSE), "&amp;"""!C3:R29"")), {6;12;18}, FALSE)), ""=-4"") + COUNTIF(ARRAYFORMULA(HLOOKUP($B18, IMPORTRANGE('Match Names'!$E$23, CONCAT(VLOOKUP($C18, 'Match Names'!$1:$22, 5, FALSE), ""!C3:R29"")), {4;13;18}, FALSE)), ""=-4"") + COUNTIF(ARRAYFORMULA(HLOOKUP($B18, IMPORT"&amp;"RANGE('Match Names'!$F$23, CONCAT(VLOOKUP($C18, 'Match Names'!$1:$22, 6, FALSE), ""!C3:R29"")), {7;13;19}, FALSE)), ""=-4"") + COUNTIF(ARRAYFORMULA(HLOOKUP($B18, IMPORTRANGE('Match Names'!$G$23, CONCAT(VLOOKUP($C18, 'Match Names'!$1:$22, 7, FALSE), ""!C3:"&amp;"R29"")), {11;15;23}, FALSE)), ""=-4"") + COUNTIF(ARRAYFORMULA(HLOOKUP($B18, IMPORTRANGE('Match Names'!$H$23, CONCAT(VLOOKUP($C18, 'Match Names'!$1:$22, 8, FALSE), ""!C3:R29"")), {6;12;18}, FALSE)), ""=-4"")"),0.0)</f>
        <v>0</v>
      </c>
      <c r="H18" s="33">
        <f t="shared" si="1"/>
        <v>0</v>
      </c>
    </row>
    <row r="19">
      <c r="A19" s="32" t="s">
        <v>84</v>
      </c>
      <c r="B19" s="31" t="str">
        <f>VLOOKUP(CONCAT(A19, C19), 'Discord Username to Real Name'!C:D, 2, FALSE)</f>
        <v>spongebob#0577</v>
      </c>
      <c r="C19" s="31" t="s">
        <v>31</v>
      </c>
      <c r="D19" s="32">
        <f>IFERROR(__xludf.DUMMYFUNCTION("(3 - COUNTIF(IFERROR(ARRAYFORMULA(HLOOKUP($B19, IMPORTRANGE('Prelim Rankings Unsorted'!$B$40, CONCAT(VLOOKUP($C19, 'Match Names'!$A$1:$D$22, 2, FALSE), ""!C3:R29"")), {12;18;24}, FALSE)), 'Player Overall Stats Unsorted'!$AA$9:$AA$12), ""=X"")) + (3 - COUN"&amp;"TIF(IFERROR(ARRAYFORMULA(HLOOKUP($B19, IMPORTRANGE('Prelim Rankings Unsorted'!$B$41, CONCAT(VLOOKUP($C19, 'Match Names'!$A$1:$D$22, 3, FALSE), ""!C3:R29"")), {6;12;18}, FALSE)), 'Player Overall Stats Unsorted'!$AA$9:$AA$12), ""=X"")) + (3 - COUNTIF(IFERRO"&amp;"R(ARRAYFORMULA(HLOOKUP($B19, IMPORTRANGE('Prelim Rankings Unsorted'!$B$42, CONCAT(VLOOKUP($C19, 'Match Names'!$A$1:$D$22, 4, FALSE), ""!C3:R29"")), {6;12;18}, FALSE)), 'Player Overall Stats Unsorted'!$AA$9:$AA$12), ""=X"")) + (3 - COUNTIF(IFERROR(ARRAYFOR"&amp;"MULA(HLOOKUP($B19, IMPORTRANGE('Match Names'!$E$23, CONCAT(VLOOKUP($C19, 'Match Names'!$1:$22, 5, FALSE), ""!C3:R29"")), {4;13;18}, FALSE)), 'Player Overall Stats Unsorted'!$AA$9:$AA$12), ""=X"")) + (3 - COUNTIF(IFERROR(ARRAYFORMULA(HLOOKUP($B19, IMPORTRA"&amp;"NGE('Match Names'!$F$23, CONCAT(VLOOKUP($C19, 'Match Names'!$1:$22, 6, FALSE), ""!C3:R29"")), {7;13;19}, FALSE)), 'Player Overall Stats Unsorted'!$AA$9:$AA$12), ""=X"")) + (3 - COUNTIF(IFERROR(ARRAYFORMULA(HLOOKUP($B19, IMPORTRANGE('Match Names'!$G$23, CO"&amp;"NCAT(VLOOKUP($C19, 'Match Names'!$1:$22, 7, FALSE), ""!C3:R29"")), {11;15;23}, FALSE)), 'Player Overall Stats Unsorted'!$AA$9:$AA$12), ""=X"")) + (3 - COUNTIF(IFERROR(ARRAYFORMULA(HLOOKUP($B19, IMPORTRANGE('Match Names'!$H$23, CONCAT(VLOOKUP($C19, 'Match "&amp;"Names'!$1:$22, 8, FALSE), ""!C3:R29"")), {6;12;18}, FALSE)), 'Player Overall Stats Unsorted'!$AA$9:$AA$12), ""=X""))"),9.0)</f>
        <v>9</v>
      </c>
      <c r="E19" s="32">
        <f>IFERROR(__xludf.DUMMYFUNCTION("COUNTIF(ARRAYFORMULA(HLOOKUP($B19, IMPORTRANGE('Prelim Rankings Unsorted'!$B$40, CONCAT(VLOOKUP($C19, 'Match Names'!$A$1:$D$22, 2, FALSE), ""!C3:R29"")), {12;18;24}, FALSE)), ""=4"") + COUNTIF(ARRAYFORMULA(HLOOKUP($B19, IMPORTRANGE('Prelim Rankings Unsort"&amp;"ed'!$B$41, CONCAT(VLOOKUP($C19, 'Match Names'!$A$1:$D$22, 3, FALSE), ""!C3:R29"")), {6;12;18}, FALSE)), ""=4"") + COUNTIF(ARRAYFORMULA(HLOOKUP($B19, IMPORTRANGE('Prelim Rankings Unsorted'!$B$42, CONCAT(VLOOKUP($C19, 'Match Names'!$A$1:$D$22, 4, FALSE), """&amp;"!C3:R29"")), {6;12;18}, FALSE)), ""=4"") + COUNTIF(ARRAYFORMULA(HLOOKUP($B19, IMPORTRANGE('Match Names'!$E$23, CONCAT(VLOOKUP($C19, 'Match Names'!$1:$22, 5, FALSE), ""!C3:R29"")), {4;13;18}, FALSE)), ""=4"") + COUNTIF(ARRAYFORMULA(HLOOKUP($B19, IMPORTRANG"&amp;"E('Match Names'!$F$23, CONCAT(VLOOKUP($C19, 'Match Names'!$1:$22, 6, FALSE), ""!C3:R29"")), {7;13;19}, FALSE)), ""=4"") + COUNTIF(ARRAYFORMULA(HLOOKUP($B19, IMPORTRANGE('Match Names'!$G$23, CONCAT(VLOOKUP($C19, 'Match Names'!$1:$22, 7, FALSE), ""!C3:R29"""&amp;")), {11;15;23}, FALSE)), ""=4"") + COUNTIF(ARRAYFORMULA(HLOOKUP($B19, IMPORTRANGE('Match Names'!$H$23, CONCAT(VLOOKUP($C19, 'Match Names'!$1:$22, 8, FALSE), ""!C3:R29"")), {6;12;18}, FALSE)), ""=4"")"),1.0)</f>
        <v>1</v>
      </c>
      <c r="F19" s="32">
        <f>IFERROR(__xludf.DUMMYFUNCTION("COUNTIF(ARRAYFORMULA(HLOOKUP($B19, IMPORTRANGE('Prelim Rankings Unsorted'!$B$40, CONCAT(VLOOKUP($C19, 'Match Names'!$A$1:$D$22, 2, FALSE), ""!C3:R29"")), {12;18;24}, FALSE)), ""=0"") + COUNTIF(ARRAYFORMULA(HLOOKUP($B19, IMPORTRANGE('Prelim Rankings Unsort"&amp;"ed'!$B$41, CONCAT(VLOOKUP($C19, 'Match Names'!$A$1:$D$22, 3, FALSE), ""!C3:R29"")), {6;12;18}, FALSE)), ""=0"") + COUNTIF(ARRAYFORMULA(HLOOKUP($B19, IMPORTRANGE('Prelim Rankings Unsorted'!$B$42, CONCAT(VLOOKUP($C19, 'Match Names'!$A$1:$D$22, 4, FALSE), """&amp;"!C3:R29"")), {6;12;18}, FALSE)), ""=0"") + COUNTIF(ARRAYFORMULA(HLOOKUP($B19, IMPORTRANGE('Match Names'!$E$23, CONCAT(VLOOKUP($C19, 'Match Names'!$1:$22, 5, FALSE), ""!C3:R29"")), {4;13;18}, FALSE)), ""=0"") + COUNTIF(ARRAYFORMULA(HLOOKUP($B19, IMPORTRANG"&amp;"E('Match Names'!$F$23, CONCAT(VLOOKUP($C19, 'Match Names'!$1:$22, 6, FALSE), ""!C3:R29"")), {7;13;19}, FALSE)), ""=0"") + COUNTIF(ARRAYFORMULA(HLOOKUP($B19, IMPORTRANGE('Match Names'!$G$23, CONCAT(VLOOKUP($C19, 'Match Names'!$1:$22, 7, FALSE), ""!C3:R29"""&amp;")), {11;15;23}, FALSE)), ""=0"") + COUNTIF(ARRAYFORMULA(HLOOKUP($B19, IMPORTRANGE('Match Names'!$H$23, CONCAT(VLOOKUP($C19, 'Match Names'!$1:$22, 8, FALSE), ""!C3:R29"")), {6;12;18}, FALSE)), ""=0"")"),2.0)</f>
        <v>2</v>
      </c>
      <c r="G19" s="32">
        <f>IFERROR(__xludf.DUMMYFUNCTION("COUNTIF(ARRAYFORMULA(HLOOKUP($B19, IMPORTRANGE('Prelim Rankings Unsorted'!$B$40, CONCAT(VLOOKUP($C19, 'Match Names'!$A$1:$D$22, 2, FALSE), ""!C3:R29"")), {12;18;24}, FALSE)), ""=-4"") + COUNTIF(ARRAYFORMULA(HLOOKUP($B19, IMPORTRANGE('Prelim Rankings Unsor"&amp;"ted'!$B$41, CONCAT(VLOOKUP($C19, 'Match Names'!$A$1:$D$22, 3, FALSE), ""!C3:R29"")), {6;12;18}, FALSE)), ""=-4"") + COUNTIF(ARRAYFORMULA(HLOOKUP($B19, IMPORTRANGE('Prelim Rankings Unsorted'!$B$42, CONCAT(VLOOKUP($C19, 'Match Names'!$A$1:$D$22, 4, FALSE), "&amp;"""!C3:R29"")), {6;12;18}, FALSE)), ""=-4"") + COUNTIF(ARRAYFORMULA(HLOOKUP($B19, IMPORTRANGE('Match Names'!$E$23, CONCAT(VLOOKUP($C19, 'Match Names'!$1:$22, 5, FALSE), ""!C3:R29"")), {4;13;18}, FALSE)), ""=-4"") + COUNTIF(ARRAYFORMULA(HLOOKUP($B19, IMPORT"&amp;"RANGE('Match Names'!$F$23, CONCAT(VLOOKUP($C19, 'Match Names'!$1:$22, 6, FALSE), ""!C3:R29"")), {7;13;19}, FALSE)), ""=-4"") + COUNTIF(ARRAYFORMULA(HLOOKUP($B19, IMPORTRANGE('Match Names'!$G$23, CONCAT(VLOOKUP($C19, 'Match Names'!$1:$22, 7, FALSE), ""!C3:"&amp;"R29"")), {11;15;23}, FALSE)), ""=-4"") + COUNTIF(ARRAYFORMULA(HLOOKUP($B19, IMPORTRANGE('Match Names'!$H$23, CONCAT(VLOOKUP($C19, 'Match Names'!$1:$22, 8, FALSE), ""!C3:R29"")), {6;12;18}, FALSE)), ""=-4"")"),0.0)</f>
        <v>0</v>
      </c>
      <c r="H19" s="33">
        <f t="shared" si="1"/>
        <v>1.33</v>
      </c>
    </row>
    <row r="20">
      <c r="A20" s="34" t="s">
        <v>100</v>
      </c>
      <c r="B20" s="31" t="str">
        <f>VLOOKUP(CONCAT(A20, C20), 'Discord Username to Real Name'!C:D, 2, FALSE)</f>
        <v>Izwerzx#2598</v>
      </c>
      <c r="C20" s="36" t="s">
        <v>31</v>
      </c>
      <c r="D20" s="32">
        <f>IFERROR(__xludf.DUMMYFUNCTION("(3 - COUNTIF(IFERROR(ARRAYFORMULA(HLOOKUP($B20, IMPORTRANGE('Prelim Rankings Unsorted'!$B$40, CONCAT(VLOOKUP($C20, 'Match Names'!$A$1:$D$22, 2, FALSE), ""!C3:R29"")), {12;18;24}, FALSE)), 'Player Overall Stats Unsorted'!$AA$9:$AA$12), ""=X"")) + (3 - COUN"&amp;"TIF(IFERROR(ARRAYFORMULA(HLOOKUP($B20, IMPORTRANGE('Prelim Rankings Unsorted'!$B$41, CONCAT(VLOOKUP($C20, 'Match Names'!$A$1:$D$22, 3, FALSE), ""!C3:R29"")), {6;12;18}, FALSE)), 'Player Overall Stats Unsorted'!$AA$9:$AA$12), ""=X"")) + (3 - COUNTIF(IFERRO"&amp;"R(ARRAYFORMULA(HLOOKUP($B20, IMPORTRANGE('Prelim Rankings Unsorted'!$B$42, CONCAT(VLOOKUP($C20, 'Match Names'!$A$1:$D$22, 4, FALSE), ""!C3:R29"")), {6;12;18}, FALSE)), 'Player Overall Stats Unsorted'!$AA$9:$AA$12), ""=X"")) + (3 - COUNTIF(IFERROR(ARRAYFOR"&amp;"MULA(HLOOKUP($B20, IMPORTRANGE('Match Names'!$E$23, CONCAT(VLOOKUP($C20, 'Match Names'!$1:$22, 5, FALSE), ""!C3:R29"")), {4;13;18}, FALSE)), 'Player Overall Stats Unsorted'!$AA$9:$AA$12), ""=X"")) + (3 - COUNTIF(IFERROR(ARRAYFORMULA(HLOOKUP($B20, IMPORTRA"&amp;"NGE('Match Names'!$F$23, CONCAT(VLOOKUP($C20, 'Match Names'!$1:$22, 6, FALSE), ""!C3:R29"")), {7;13;19}, FALSE)), 'Player Overall Stats Unsorted'!$AA$9:$AA$12), ""=X"")) + (3 - COUNTIF(IFERROR(ARRAYFORMULA(HLOOKUP($B20, IMPORTRANGE('Match Names'!$G$23, CO"&amp;"NCAT(VLOOKUP($C20, 'Match Names'!$1:$22, 7, FALSE), ""!C3:R29"")), {11;15;23}, FALSE)), 'Player Overall Stats Unsorted'!$AA$9:$AA$12), ""=X"")) + (3 - COUNTIF(IFERROR(ARRAYFORMULA(HLOOKUP($B20, IMPORTRANGE('Match Names'!$H$23, CONCAT(VLOOKUP($C20, 'Match "&amp;"Names'!$1:$22, 8, FALSE), ""!C3:R29"")), {6;12;18}, FALSE)), 'Player Overall Stats Unsorted'!$AA$9:$AA$12), ""=X""))"),6.0)</f>
        <v>6</v>
      </c>
      <c r="E20" s="32">
        <f>IFERROR(__xludf.DUMMYFUNCTION("COUNTIF(ARRAYFORMULA(HLOOKUP($B20, IMPORTRANGE('Prelim Rankings Unsorted'!$B$40, CONCAT(VLOOKUP($C20, 'Match Names'!$A$1:$D$22, 2, FALSE), ""!C3:R29"")), {12;18;24}, FALSE)), ""=4"") + COUNTIF(ARRAYFORMULA(HLOOKUP($B20, IMPORTRANGE('Prelim Rankings Unsort"&amp;"ed'!$B$41, CONCAT(VLOOKUP($C20, 'Match Names'!$A$1:$D$22, 3, FALSE), ""!C3:R29"")), {6;12;18}, FALSE)), ""=4"") + COUNTIF(ARRAYFORMULA(HLOOKUP($B20, IMPORTRANGE('Prelim Rankings Unsorted'!$B$42, CONCAT(VLOOKUP($C20, 'Match Names'!$A$1:$D$22, 4, FALSE), """&amp;"!C3:R29"")), {6;12;18}, FALSE)), ""=4"") + COUNTIF(ARRAYFORMULA(HLOOKUP($B20, IMPORTRANGE('Match Names'!$E$23, CONCAT(VLOOKUP($C20, 'Match Names'!$1:$22, 5, FALSE), ""!C3:R29"")), {4;13;18}, FALSE)), ""=4"") + COUNTIF(ARRAYFORMULA(HLOOKUP($B20, IMPORTRANG"&amp;"E('Match Names'!$F$23, CONCAT(VLOOKUP($C20, 'Match Names'!$1:$22, 6, FALSE), ""!C3:R29"")), {7;13;19}, FALSE)), ""=4"") + COUNTIF(ARRAYFORMULA(HLOOKUP($B20, IMPORTRANGE('Match Names'!$G$23, CONCAT(VLOOKUP($C20, 'Match Names'!$1:$22, 7, FALSE), ""!C3:R29"""&amp;")), {11;15;23}, FALSE)), ""=4"") + COUNTIF(ARRAYFORMULA(HLOOKUP($B20, IMPORTRANGE('Match Names'!$H$23, CONCAT(VLOOKUP($C20, 'Match Names'!$1:$22, 8, FALSE), ""!C3:R29"")), {6;12;18}, FALSE)), ""=4"")"),0.0)</f>
        <v>0</v>
      </c>
      <c r="F20" s="32">
        <f>IFERROR(__xludf.DUMMYFUNCTION("COUNTIF(ARRAYFORMULA(HLOOKUP($B20, IMPORTRANGE('Prelim Rankings Unsorted'!$B$40, CONCAT(VLOOKUP($C20, 'Match Names'!$A$1:$D$22, 2, FALSE), ""!C3:R29"")), {12;18;24}, FALSE)), ""=0"") + COUNTIF(ARRAYFORMULA(HLOOKUP($B20, IMPORTRANGE('Prelim Rankings Unsort"&amp;"ed'!$B$41, CONCAT(VLOOKUP($C20, 'Match Names'!$A$1:$D$22, 3, FALSE), ""!C3:R29"")), {6;12;18}, FALSE)), ""=0"") + COUNTIF(ARRAYFORMULA(HLOOKUP($B20, IMPORTRANGE('Prelim Rankings Unsorted'!$B$42, CONCAT(VLOOKUP($C20, 'Match Names'!$A$1:$D$22, 4, FALSE), """&amp;"!C3:R29"")), {6;12;18}, FALSE)), ""=0"") + COUNTIF(ARRAYFORMULA(HLOOKUP($B20, IMPORTRANGE('Match Names'!$E$23, CONCAT(VLOOKUP($C20, 'Match Names'!$1:$22, 5, FALSE), ""!C3:R29"")), {4;13;18}, FALSE)), ""=0"") + COUNTIF(ARRAYFORMULA(HLOOKUP($B20, IMPORTRANG"&amp;"E('Match Names'!$F$23, CONCAT(VLOOKUP($C20, 'Match Names'!$1:$22, 6, FALSE), ""!C3:R29"")), {7;13;19}, FALSE)), ""=0"") + COUNTIF(ARRAYFORMULA(HLOOKUP($B20, IMPORTRANGE('Match Names'!$G$23, CONCAT(VLOOKUP($C20, 'Match Names'!$1:$22, 7, FALSE), ""!C3:R29"""&amp;")), {11;15;23}, FALSE)), ""=0"") + COUNTIF(ARRAYFORMULA(HLOOKUP($B20, IMPORTRANGE('Match Names'!$H$23, CONCAT(VLOOKUP($C20, 'Match Names'!$1:$22, 8, FALSE), ""!C3:R29"")), {6;12;18}, FALSE)), ""=0"")"),0.0)</f>
        <v>0</v>
      </c>
      <c r="G20" s="32">
        <f>IFERROR(__xludf.DUMMYFUNCTION("COUNTIF(ARRAYFORMULA(HLOOKUP($B20, IMPORTRANGE('Prelim Rankings Unsorted'!$B$40, CONCAT(VLOOKUP($C20, 'Match Names'!$A$1:$D$22, 2, FALSE), ""!C3:R29"")), {12;18;24}, FALSE)), ""=-4"") + COUNTIF(ARRAYFORMULA(HLOOKUP($B20, IMPORTRANGE('Prelim Rankings Unsor"&amp;"ted'!$B$41, CONCAT(VLOOKUP($C20, 'Match Names'!$A$1:$D$22, 3, FALSE), ""!C3:R29"")), {6;12;18}, FALSE)), ""=-4"") + COUNTIF(ARRAYFORMULA(HLOOKUP($B20, IMPORTRANGE('Prelim Rankings Unsorted'!$B$42, CONCAT(VLOOKUP($C20, 'Match Names'!$A$1:$D$22, 4, FALSE), "&amp;"""!C3:R29"")), {6;12;18}, FALSE)), ""=-4"") + COUNTIF(ARRAYFORMULA(HLOOKUP($B20, IMPORTRANGE('Match Names'!$E$23, CONCAT(VLOOKUP($C20, 'Match Names'!$1:$22, 5, FALSE), ""!C3:R29"")), {4;13;18}, FALSE)), ""=-4"") + COUNTIF(ARRAYFORMULA(HLOOKUP($B20, IMPORT"&amp;"RANGE('Match Names'!$F$23, CONCAT(VLOOKUP($C20, 'Match Names'!$1:$22, 6, FALSE), ""!C3:R29"")), {7;13;19}, FALSE)), ""=-4"") + COUNTIF(ARRAYFORMULA(HLOOKUP($B20, IMPORTRANGE('Match Names'!$G$23, CONCAT(VLOOKUP($C20, 'Match Names'!$1:$22, 7, FALSE), ""!C3:"&amp;"R29"")), {11;15;23}, FALSE)), ""=-4"") + COUNTIF(ARRAYFORMULA(HLOOKUP($B20, IMPORTRANGE('Match Names'!$H$23, CONCAT(VLOOKUP($C20, 'Match Names'!$1:$22, 8, FALSE), ""!C3:R29"")), {6;12;18}, FALSE)), ""=-4"")"),0.0)</f>
        <v>0</v>
      </c>
      <c r="H20" s="33">
        <f t="shared" si="1"/>
        <v>0</v>
      </c>
    </row>
    <row r="21">
      <c r="A21" s="31" t="s">
        <v>205</v>
      </c>
      <c r="B21" s="31" t="str">
        <f>VLOOKUP(CONCAT(A21, C21), 'Discord Username to Real Name'!C:D, 2, FALSE)</f>
        <v>Einglass#1845</v>
      </c>
      <c r="C21" s="31" t="s">
        <v>31</v>
      </c>
      <c r="D21" s="32">
        <f>IFERROR(__xludf.DUMMYFUNCTION("(3 - COUNTIF(IFERROR(ARRAYFORMULA(HLOOKUP($B21, IMPORTRANGE('Prelim Rankings Unsorted'!$B$40, CONCAT(VLOOKUP($C21, 'Match Names'!$A$1:$D$22, 2, FALSE), ""!C3:R29"")), {12;18;24}, FALSE)), 'Player Overall Stats Unsorted'!$AA$9:$AA$12), ""=X"")) + (3 - COUN"&amp;"TIF(IFERROR(ARRAYFORMULA(HLOOKUP($B21, IMPORTRANGE('Prelim Rankings Unsorted'!$B$41, CONCAT(VLOOKUP($C21, 'Match Names'!$A$1:$D$22, 3, FALSE), ""!C3:R29"")), {6;12;18}, FALSE)), 'Player Overall Stats Unsorted'!$AA$9:$AA$12), ""=X"")) + (3 - COUNTIF(IFERRO"&amp;"R(ARRAYFORMULA(HLOOKUP($B21, IMPORTRANGE('Prelim Rankings Unsorted'!$B$42, CONCAT(VLOOKUP($C21, 'Match Names'!$A$1:$D$22, 4, FALSE), ""!C3:R29"")), {6;12;18}, FALSE)), 'Player Overall Stats Unsorted'!$AA$9:$AA$12), ""=X"")) + (3 - COUNTIF(IFERROR(ARRAYFOR"&amp;"MULA(HLOOKUP($B21, IMPORTRANGE('Match Names'!$E$23, CONCAT(VLOOKUP($C21, 'Match Names'!$1:$22, 5, FALSE), ""!C3:R29"")), {4;13;18}, FALSE)), 'Player Overall Stats Unsorted'!$AA$9:$AA$12), ""=X"")) + (3 - COUNTIF(IFERROR(ARRAYFORMULA(HLOOKUP($B21, IMPORTRA"&amp;"NGE('Match Names'!$F$23, CONCAT(VLOOKUP($C21, 'Match Names'!$1:$22, 6, FALSE), ""!C3:R29"")), {7;13;19}, FALSE)), 'Player Overall Stats Unsorted'!$AA$9:$AA$12), ""=X"")) + (3 - COUNTIF(IFERROR(ARRAYFORMULA(HLOOKUP($B21, IMPORTRANGE('Match Names'!$G$23, CO"&amp;"NCAT(VLOOKUP($C21, 'Match Names'!$1:$22, 7, FALSE), ""!C3:R29"")), {11;15;23}, FALSE)), 'Player Overall Stats Unsorted'!$AA$9:$AA$12), ""=X"")) + (3 - COUNTIF(IFERROR(ARRAYFORMULA(HLOOKUP($B21, IMPORTRANGE('Match Names'!$H$23, CONCAT(VLOOKUP($C21, 'Match "&amp;"Names'!$1:$22, 8, FALSE), ""!C3:R29"")), {6;12;18}, FALSE)), 'Player Overall Stats Unsorted'!$AA$9:$AA$12), ""=X""))"),0.0)</f>
        <v>0</v>
      </c>
      <c r="E21" s="32">
        <f>IFERROR(__xludf.DUMMYFUNCTION("COUNTIF(ARRAYFORMULA(HLOOKUP($B21, IMPORTRANGE('Prelim Rankings Unsorted'!$B$40, CONCAT(VLOOKUP($C21, 'Match Names'!$A$1:$D$22, 2, FALSE), ""!C3:R29"")), {12;18;24}, FALSE)), ""=4"") + COUNTIF(ARRAYFORMULA(HLOOKUP($B21, IMPORTRANGE('Prelim Rankings Unsort"&amp;"ed'!$B$41, CONCAT(VLOOKUP($C21, 'Match Names'!$A$1:$D$22, 3, FALSE), ""!C3:R29"")), {6;12;18}, FALSE)), ""=4"") + COUNTIF(ARRAYFORMULA(HLOOKUP($B21, IMPORTRANGE('Prelim Rankings Unsorted'!$B$42, CONCAT(VLOOKUP($C21, 'Match Names'!$A$1:$D$22, 4, FALSE), """&amp;"!C3:R29"")), {6;12;18}, FALSE)), ""=4"") + COUNTIF(ARRAYFORMULA(HLOOKUP($B21, IMPORTRANGE('Match Names'!$E$23, CONCAT(VLOOKUP($C21, 'Match Names'!$1:$22, 5, FALSE), ""!C3:R29"")), {4;13;18}, FALSE)), ""=4"") + COUNTIF(ARRAYFORMULA(HLOOKUP($B21, IMPORTRANG"&amp;"E('Match Names'!$F$23, CONCAT(VLOOKUP($C21, 'Match Names'!$1:$22, 6, FALSE), ""!C3:R29"")), {7;13;19}, FALSE)), ""=4"") + COUNTIF(ARRAYFORMULA(HLOOKUP($B21, IMPORTRANGE('Match Names'!$G$23, CONCAT(VLOOKUP($C21, 'Match Names'!$1:$22, 7, FALSE), ""!C3:R29"""&amp;")), {11;15;23}, FALSE)), ""=4"") + COUNTIF(ARRAYFORMULA(HLOOKUP($B21, IMPORTRANGE('Match Names'!$H$23, CONCAT(VLOOKUP($C21, 'Match Names'!$1:$22, 8, FALSE), ""!C3:R29"")), {6;12;18}, FALSE)), ""=4"")"),0.0)</f>
        <v>0</v>
      </c>
      <c r="F21" s="32">
        <f>IFERROR(__xludf.DUMMYFUNCTION("COUNTIF(ARRAYFORMULA(HLOOKUP($B21, IMPORTRANGE('Prelim Rankings Unsorted'!$B$40, CONCAT(VLOOKUP($C21, 'Match Names'!$A$1:$D$22, 2, FALSE), ""!C3:R29"")), {12;18;24}, FALSE)), ""=0"") + COUNTIF(ARRAYFORMULA(HLOOKUP($B21, IMPORTRANGE('Prelim Rankings Unsort"&amp;"ed'!$B$41, CONCAT(VLOOKUP($C21, 'Match Names'!$A$1:$D$22, 3, FALSE), ""!C3:R29"")), {6;12;18}, FALSE)), ""=0"") + COUNTIF(ARRAYFORMULA(HLOOKUP($B21, IMPORTRANGE('Prelim Rankings Unsorted'!$B$42, CONCAT(VLOOKUP($C21, 'Match Names'!$A$1:$D$22, 4, FALSE), """&amp;"!C3:R29"")), {6;12;18}, FALSE)), ""=0"") + COUNTIF(ARRAYFORMULA(HLOOKUP($B21, IMPORTRANGE('Match Names'!$E$23, CONCAT(VLOOKUP($C21, 'Match Names'!$1:$22, 5, FALSE), ""!C3:R29"")), {4;13;18}, FALSE)), ""=0"") + COUNTIF(ARRAYFORMULA(HLOOKUP($B21, IMPORTRANG"&amp;"E('Match Names'!$F$23, CONCAT(VLOOKUP($C21, 'Match Names'!$1:$22, 6, FALSE), ""!C3:R29"")), {7;13;19}, FALSE)), ""=0"") + COUNTIF(ARRAYFORMULA(HLOOKUP($B21, IMPORTRANGE('Match Names'!$G$23, CONCAT(VLOOKUP($C21, 'Match Names'!$1:$22, 7, FALSE), ""!C3:R29"""&amp;")), {11;15;23}, FALSE)), ""=0"") + COUNTIF(ARRAYFORMULA(HLOOKUP($B21, IMPORTRANGE('Match Names'!$H$23, CONCAT(VLOOKUP($C21, 'Match Names'!$1:$22, 8, FALSE), ""!C3:R29"")), {6;12;18}, FALSE)), ""=0"")"),0.0)</f>
        <v>0</v>
      </c>
      <c r="G21" s="32">
        <f>IFERROR(__xludf.DUMMYFUNCTION("COUNTIF(ARRAYFORMULA(HLOOKUP($B21, IMPORTRANGE('Prelim Rankings Unsorted'!$B$40, CONCAT(VLOOKUP($C21, 'Match Names'!$A$1:$D$22, 2, FALSE), ""!C3:R29"")), {12;18;24}, FALSE)), ""=-4"") + COUNTIF(ARRAYFORMULA(HLOOKUP($B21, IMPORTRANGE('Prelim Rankings Unsor"&amp;"ted'!$B$41, CONCAT(VLOOKUP($C21, 'Match Names'!$A$1:$D$22, 3, FALSE), ""!C3:R29"")), {6;12;18}, FALSE)), ""=-4"") + COUNTIF(ARRAYFORMULA(HLOOKUP($B21, IMPORTRANGE('Prelim Rankings Unsorted'!$B$42, CONCAT(VLOOKUP($C21, 'Match Names'!$A$1:$D$22, 4, FALSE), "&amp;"""!C3:R29"")), {6;12;18}, FALSE)), ""=-4"") + COUNTIF(ARRAYFORMULA(HLOOKUP($B21, IMPORTRANGE('Match Names'!$E$23, CONCAT(VLOOKUP($C21, 'Match Names'!$1:$22, 5, FALSE), ""!C3:R29"")), {4;13;18}, FALSE)), ""=-4"") + COUNTIF(ARRAYFORMULA(HLOOKUP($B21, IMPORT"&amp;"RANGE('Match Names'!$F$23, CONCAT(VLOOKUP($C21, 'Match Names'!$1:$22, 6, FALSE), ""!C3:R29"")), {7;13;19}, FALSE)), ""=-4"") + COUNTIF(ARRAYFORMULA(HLOOKUP($B21, IMPORTRANGE('Match Names'!$G$23, CONCAT(VLOOKUP($C21, 'Match Names'!$1:$22, 7, FALSE), ""!C3:"&amp;"R29"")), {11;15;23}, FALSE)), ""=-4"") + COUNTIF(ARRAYFORMULA(HLOOKUP($B21, IMPORTRANGE('Match Names'!$H$23, CONCAT(VLOOKUP($C21, 'Match Names'!$1:$22, 8, FALSE), ""!C3:R29"")), {6;12;18}, FALSE)), ""=-4"")"),0.0)</f>
        <v>0</v>
      </c>
      <c r="H21" s="33">
        <f t="shared" si="1"/>
        <v>0</v>
      </c>
    </row>
    <row r="22">
      <c r="A22" s="31" t="s">
        <v>167</v>
      </c>
      <c r="B22" s="31" t="str">
        <f>VLOOKUP(CONCAT(A22, C22), 'Discord Username to Real Name'!C:D, 2, FALSE)</f>
        <v>KOZlegend#1745</v>
      </c>
      <c r="C22" s="31" t="s">
        <v>31</v>
      </c>
      <c r="D22" s="32">
        <f>IFERROR(__xludf.DUMMYFUNCTION("(3 - COUNTIF(IFERROR(ARRAYFORMULA(HLOOKUP($B22, IMPORTRANGE('Prelim Rankings Unsorted'!$B$40, CONCAT(VLOOKUP($C22, 'Match Names'!$A$1:$D$22, 2, FALSE), ""!C3:R29"")), {12;18;24}, FALSE)), 'Player Overall Stats Unsorted'!$AA$9:$AA$12), ""=X"")) + (3 - COUN"&amp;"TIF(IFERROR(ARRAYFORMULA(HLOOKUP($B22, IMPORTRANGE('Prelim Rankings Unsorted'!$B$41, CONCAT(VLOOKUP($C22, 'Match Names'!$A$1:$D$22, 3, FALSE), ""!C3:R29"")), {6;12;18}, FALSE)), 'Player Overall Stats Unsorted'!$AA$9:$AA$12), ""=X"")) + (3 - COUNTIF(IFERRO"&amp;"R(ARRAYFORMULA(HLOOKUP($B22, IMPORTRANGE('Prelim Rankings Unsorted'!$B$42, CONCAT(VLOOKUP($C22, 'Match Names'!$A$1:$D$22, 4, FALSE), ""!C3:R29"")), {6;12;18}, FALSE)), 'Player Overall Stats Unsorted'!$AA$9:$AA$12), ""=X"")) + (3 - COUNTIF(IFERROR(ARRAYFOR"&amp;"MULA(HLOOKUP($B22, IMPORTRANGE('Match Names'!$E$23, CONCAT(VLOOKUP($C22, 'Match Names'!$1:$22, 5, FALSE), ""!C3:R29"")), {4;13;18}, FALSE)), 'Player Overall Stats Unsorted'!$AA$9:$AA$12), ""=X"")) + (3 - COUNTIF(IFERROR(ARRAYFORMULA(HLOOKUP($B22, IMPORTRA"&amp;"NGE('Match Names'!$F$23, CONCAT(VLOOKUP($C22, 'Match Names'!$1:$22, 6, FALSE), ""!C3:R29"")), {7;13;19}, FALSE)), 'Player Overall Stats Unsorted'!$AA$9:$AA$12), ""=X"")) + (3 - COUNTIF(IFERROR(ARRAYFORMULA(HLOOKUP($B22, IMPORTRANGE('Match Names'!$G$23, CO"&amp;"NCAT(VLOOKUP($C22, 'Match Names'!$1:$22, 7, FALSE), ""!C3:R29"")), {11;15;23}, FALSE)), 'Player Overall Stats Unsorted'!$AA$9:$AA$12), ""=X"")) + (3 - COUNTIF(IFERROR(ARRAYFORMULA(HLOOKUP($B22, IMPORTRANGE('Match Names'!$H$23, CONCAT(VLOOKUP($C22, 'Match "&amp;"Names'!$1:$22, 8, FALSE), ""!C3:R29"")), {6;12;18}, FALSE)), 'Player Overall Stats Unsorted'!$AA$9:$AA$12), ""=X""))"),12.0)</f>
        <v>12</v>
      </c>
      <c r="E22" s="32">
        <f>IFERROR(__xludf.DUMMYFUNCTION("COUNTIF(ARRAYFORMULA(HLOOKUP($B22, IMPORTRANGE('Prelim Rankings Unsorted'!$B$40, CONCAT(VLOOKUP($C22, 'Match Names'!$A$1:$D$22, 2, FALSE), ""!C3:R29"")), {12;18;24}, FALSE)), ""=4"") + COUNTIF(ARRAYFORMULA(HLOOKUP($B22, IMPORTRANGE('Prelim Rankings Unsort"&amp;"ed'!$B$41, CONCAT(VLOOKUP($C22, 'Match Names'!$A$1:$D$22, 3, FALSE), ""!C3:R29"")), {6;12;18}, FALSE)), ""=4"") + COUNTIF(ARRAYFORMULA(HLOOKUP($B22, IMPORTRANGE('Prelim Rankings Unsorted'!$B$42, CONCAT(VLOOKUP($C22, 'Match Names'!$A$1:$D$22, 4, FALSE), """&amp;"!C3:R29"")), {6;12;18}, FALSE)), ""=4"") + COUNTIF(ARRAYFORMULA(HLOOKUP($B22, IMPORTRANGE('Match Names'!$E$23, CONCAT(VLOOKUP($C22, 'Match Names'!$1:$22, 5, FALSE), ""!C3:R29"")), {4;13;18}, FALSE)), ""=4"") + COUNTIF(ARRAYFORMULA(HLOOKUP($B22, IMPORTRANG"&amp;"E('Match Names'!$F$23, CONCAT(VLOOKUP($C22, 'Match Names'!$1:$22, 6, FALSE), ""!C3:R29"")), {7;13;19}, FALSE)), ""=4"") + COUNTIF(ARRAYFORMULA(HLOOKUP($B22, IMPORTRANGE('Match Names'!$G$23, CONCAT(VLOOKUP($C22, 'Match Names'!$1:$22, 7, FALSE), ""!C3:R29"""&amp;")), {11;15;23}, FALSE)), ""=4"") + COUNTIF(ARRAYFORMULA(HLOOKUP($B22, IMPORTRANGE('Match Names'!$H$23, CONCAT(VLOOKUP($C22, 'Match Names'!$1:$22, 8, FALSE), ""!C3:R29"")), {6;12;18}, FALSE)), ""=4"")"),0.0)</f>
        <v>0</v>
      </c>
      <c r="F22" s="32">
        <f>IFERROR(__xludf.DUMMYFUNCTION("COUNTIF(ARRAYFORMULA(HLOOKUP($B22, IMPORTRANGE('Prelim Rankings Unsorted'!$B$40, CONCAT(VLOOKUP($C22, 'Match Names'!$A$1:$D$22, 2, FALSE), ""!C3:R29"")), {12;18;24}, FALSE)), ""=0"") + COUNTIF(ARRAYFORMULA(HLOOKUP($B22, IMPORTRANGE('Prelim Rankings Unsort"&amp;"ed'!$B$41, CONCAT(VLOOKUP($C22, 'Match Names'!$A$1:$D$22, 3, FALSE), ""!C3:R29"")), {6;12;18}, FALSE)), ""=0"") + COUNTIF(ARRAYFORMULA(HLOOKUP($B22, IMPORTRANGE('Prelim Rankings Unsorted'!$B$42, CONCAT(VLOOKUP($C22, 'Match Names'!$A$1:$D$22, 4, FALSE), """&amp;"!C3:R29"")), {6;12;18}, FALSE)), ""=0"") + COUNTIF(ARRAYFORMULA(HLOOKUP($B22, IMPORTRANGE('Match Names'!$E$23, CONCAT(VLOOKUP($C22, 'Match Names'!$1:$22, 5, FALSE), ""!C3:R29"")), {4;13;18}, FALSE)), ""=0"") + COUNTIF(ARRAYFORMULA(HLOOKUP($B22, IMPORTRANG"&amp;"E('Match Names'!$F$23, CONCAT(VLOOKUP($C22, 'Match Names'!$1:$22, 6, FALSE), ""!C3:R29"")), {7;13;19}, FALSE)), ""=0"") + COUNTIF(ARRAYFORMULA(HLOOKUP($B22, IMPORTRANGE('Match Names'!$G$23, CONCAT(VLOOKUP($C22, 'Match Names'!$1:$22, 7, FALSE), ""!C3:R29"""&amp;")), {11;15;23}, FALSE)), ""=0"") + COUNTIF(ARRAYFORMULA(HLOOKUP($B22, IMPORTRANGE('Match Names'!$H$23, CONCAT(VLOOKUP($C22, 'Match Names'!$1:$22, 8, FALSE), ""!C3:R29"")), {6;12;18}, FALSE)), ""=0"")"),0.0)</f>
        <v>0</v>
      </c>
      <c r="G22" s="32">
        <f>IFERROR(__xludf.DUMMYFUNCTION("COUNTIF(ARRAYFORMULA(HLOOKUP($B22, IMPORTRANGE('Prelim Rankings Unsorted'!$B$40, CONCAT(VLOOKUP($C22, 'Match Names'!$A$1:$D$22, 2, FALSE), ""!C3:R29"")), {12;18;24}, FALSE)), ""=-4"") + COUNTIF(ARRAYFORMULA(HLOOKUP($B22, IMPORTRANGE('Prelim Rankings Unsor"&amp;"ted'!$B$41, CONCAT(VLOOKUP($C22, 'Match Names'!$A$1:$D$22, 3, FALSE), ""!C3:R29"")), {6;12;18}, FALSE)), ""=-4"") + COUNTIF(ARRAYFORMULA(HLOOKUP($B22, IMPORTRANGE('Prelim Rankings Unsorted'!$B$42, CONCAT(VLOOKUP($C22, 'Match Names'!$A$1:$D$22, 4, FALSE), "&amp;"""!C3:R29"")), {6;12;18}, FALSE)), ""=-4"") + COUNTIF(ARRAYFORMULA(HLOOKUP($B22, IMPORTRANGE('Match Names'!$E$23, CONCAT(VLOOKUP($C22, 'Match Names'!$1:$22, 5, FALSE), ""!C3:R29"")), {4;13;18}, FALSE)), ""=-4"") + COUNTIF(ARRAYFORMULA(HLOOKUP($B22, IMPORT"&amp;"RANGE('Match Names'!$F$23, CONCAT(VLOOKUP($C22, 'Match Names'!$1:$22, 6, FALSE), ""!C3:R29"")), {7;13;19}, FALSE)), ""=-4"") + COUNTIF(ARRAYFORMULA(HLOOKUP($B22, IMPORTRANGE('Match Names'!$G$23, CONCAT(VLOOKUP($C22, 'Match Names'!$1:$22, 7, FALSE), ""!C3:"&amp;"R29"")), {11;15;23}, FALSE)), ""=-4"") + COUNTIF(ARRAYFORMULA(HLOOKUP($B22, IMPORTRANGE('Match Names'!$H$23, CONCAT(VLOOKUP($C22, 'Match Names'!$1:$22, 8, FALSE), ""!C3:R29"")), {6;12;18}, FALSE)), ""=-4"")"),0.0)</f>
        <v>0</v>
      </c>
      <c r="H22" s="33">
        <f t="shared" si="1"/>
        <v>0</v>
      </c>
    </row>
    <row r="23">
      <c r="A23" s="31" t="s">
        <v>90</v>
      </c>
      <c r="B23" s="31" t="str">
        <f>VLOOKUP(CONCAT(A23, C23), 'Discord Username to Real Name'!C:D, 2, FALSE)</f>
        <v>hriday#5979</v>
      </c>
      <c r="C23" s="31" t="s">
        <v>25</v>
      </c>
      <c r="D23" s="32">
        <f>IFERROR(__xludf.DUMMYFUNCTION("(3 - COUNTIF(IFERROR(ARRAYFORMULA(HLOOKUP($B23, IMPORTRANGE('Prelim Rankings Unsorted'!$B$40, CONCAT(VLOOKUP($C23, 'Match Names'!$A$1:$D$22, 2, FALSE), ""!C3:R29"")), {12;18;24}, FALSE)), 'Player Overall Stats Unsorted'!$AA$9:$AA$12), ""=X"")) + (3 - COUN"&amp;"TIF(IFERROR(ARRAYFORMULA(HLOOKUP($B23, IMPORTRANGE('Prelim Rankings Unsorted'!$B$41, CONCAT(VLOOKUP($C23, 'Match Names'!$A$1:$D$22, 3, FALSE), ""!C3:R29"")), {6;12;18}, FALSE)), 'Player Overall Stats Unsorted'!$AA$9:$AA$12), ""=X"")) + (3 - COUNTIF(IFERRO"&amp;"R(ARRAYFORMULA(HLOOKUP($B23, IMPORTRANGE('Prelim Rankings Unsorted'!$B$42, CONCAT(VLOOKUP($C23, 'Match Names'!$A$1:$D$22, 4, FALSE), ""!C3:R29"")), {6;12;18}, FALSE)), 'Player Overall Stats Unsorted'!$AA$9:$AA$12), ""=X"")) + (3 - COUNTIF(IFERROR(ARRAYFOR"&amp;"MULA(HLOOKUP($B23, IMPORTRANGE('Match Names'!$E$23, CONCAT(VLOOKUP($C23, 'Match Names'!$1:$22, 5, FALSE), ""!C3:R29"")), {4;13;18}, FALSE)), 'Player Overall Stats Unsorted'!$AA$9:$AA$12), ""=X"")) + (3 - COUNTIF(IFERROR(ARRAYFORMULA(HLOOKUP($B23, IMPORTRA"&amp;"NGE('Match Names'!$F$23, CONCAT(VLOOKUP($C23, 'Match Names'!$1:$22, 6, FALSE), ""!C3:R29"")), {7;13;19}, FALSE)), 'Player Overall Stats Unsorted'!$AA$9:$AA$12), ""=X"")) + (3 - COUNTIF(IFERROR(ARRAYFORMULA(HLOOKUP($B23, IMPORTRANGE('Match Names'!$G$23, CO"&amp;"NCAT(VLOOKUP($C23, 'Match Names'!$1:$22, 7, FALSE), ""!C3:R29"")), {11;15;23}, FALSE)), 'Player Overall Stats Unsorted'!$AA$9:$AA$12), ""=X"")) + (3 - COUNTIF(IFERROR(ARRAYFORMULA(HLOOKUP($B23, IMPORTRANGE('Match Names'!$H$23, CONCAT(VLOOKUP($C23, 'Match "&amp;"Names'!$1:$22, 8, FALSE), ""!C3:R29"")), {6;12;18}, FALSE)), 'Player Overall Stats Unsorted'!$AA$9:$AA$12), ""=X""))"),10.0)</f>
        <v>10</v>
      </c>
      <c r="E23" s="32">
        <f>IFERROR(__xludf.DUMMYFUNCTION("COUNTIF(ARRAYFORMULA(HLOOKUP($B23, IMPORTRANGE('Prelim Rankings Unsorted'!$B$40, CONCAT(VLOOKUP($C23, 'Match Names'!$A$1:$D$22, 2, FALSE), ""!C3:R29"")), {12;18;24}, FALSE)), ""=4"") + COUNTIF(ARRAYFORMULA(HLOOKUP($B23, IMPORTRANGE('Prelim Rankings Unsort"&amp;"ed'!$B$41, CONCAT(VLOOKUP($C23, 'Match Names'!$A$1:$D$22, 3, FALSE), ""!C3:R29"")), {6;12;18}, FALSE)), ""=4"") + COUNTIF(ARRAYFORMULA(HLOOKUP($B23, IMPORTRANGE('Prelim Rankings Unsorted'!$B$42, CONCAT(VLOOKUP($C23, 'Match Names'!$A$1:$D$22, 4, FALSE), """&amp;"!C3:R29"")), {6;12;18}, FALSE)), ""=4"") + COUNTIF(ARRAYFORMULA(HLOOKUP($B23, IMPORTRANGE('Match Names'!$E$23, CONCAT(VLOOKUP($C23, 'Match Names'!$1:$22, 5, FALSE), ""!C3:R29"")), {4;13;18}, FALSE)), ""=4"") + COUNTIF(ARRAYFORMULA(HLOOKUP($B23, IMPORTRANG"&amp;"E('Match Names'!$F$23, CONCAT(VLOOKUP($C23, 'Match Names'!$1:$22, 6, FALSE), ""!C3:R29"")), {7;13;19}, FALSE)), ""=4"") + COUNTIF(ARRAYFORMULA(HLOOKUP($B23, IMPORTRANGE('Match Names'!$G$23, CONCAT(VLOOKUP($C23, 'Match Names'!$1:$22, 7, FALSE), ""!C3:R29"""&amp;")), {11;15;23}, FALSE)), ""=4"") + COUNTIF(ARRAYFORMULA(HLOOKUP($B23, IMPORTRANGE('Match Names'!$H$23, CONCAT(VLOOKUP($C23, 'Match Names'!$1:$22, 8, FALSE), ""!C3:R29"")), {6;12;18}, FALSE)), ""=4"")"),0.0)</f>
        <v>0</v>
      </c>
      <c r="F23" s="32">
        <f>IFERROR(__xludf.DUMMYFUNCTION("COUNTIF(ARRAYFORMULA(HLOOKUP($B23, IMPORTRANGE('Prelim Rankings Unsorted'!$B$40, CONCAT(VLOOKUP($C23, 'Match Names'!$A$1:$D$22, 2, FALSE), ""!C3:R29"")), {12;18;24}, FALSE)), ""=0"") + COUNTIF(ARRAYFORMULA(HLOOKUP($B23, IMPORTRANGE('Prelim Rankings Unsort"&amp;"ed'!$B$41, CONCAT(VLOOKUP($C23, 'Match Names'!$A$1:$D$22, 3, FALSE), ""!C3:R29"")), {6;12;18}, FALSE)), ""=0"") + COUNTIF(ARRAYFORMULA(HLOOKUP($B23, IMPORTRANGE('Prelim Rankings Unsorted'!$B$42, CONCAT(VLOOKUP($C23, 'Match Names'!$A$1:$D$22, 4, FALSE), """&amp;"!C3:R29"")), {6;12;18}, FALSE)), ""=0"") + COUNTIF(ARRAYFORMULA(HLOOKUP($B23, IMPORTRANGE('Match Names'!$E$23, CONCAT(VLOOKUP($C23, 'Match Names'!$1:$22, 5, FALSE), ""!C3:R29"")), {4;13;18}, FALSE)), ""=0"") + COUNTIF(ARRAYFORMULA(HLOOKUP($B23, IMPORTRANG"&amp;"E('Match Names'!$F$23, CONCAT(VLOOKUP($C23, 'Match Names'!$1:$22, 6, FALSE), ""!C3:R29"")), {7;13;19}, FALSE)), ""=0"") + COUNTIF(ARRAYFORMULA(HLOOKUP($B23, IMPORTRANGE('Match Names'!$G$23, CONCAT(VLOOKUP($C23, 'Match Names'!$1:$22, 7, FALSE), ""!C3:R29"""&amp;")), {11;15;23}, FALSE)), ""=0"") + COUNTIF(ARRAYFORMULA(HLOOKUP($B23, IMPORTRANGE('Match Names'!$H$23, CONCAT(VLOOKUP($C23, 'Match Names'!$1:$22, 8, FALSE), ""!C3:R29"")), {6;12;18}, FALSE)), ""=0"")"),0.0)</f>
        <v>0</v>
      </c>
      <c r="G23" s="32">
        <f>IFERROR(__xludf.DUMMYFUNCTION("COUNTIF(ARRAYFORMULA(HLOOKUP($B23, IMPORTRANGE('Prelim Rankings Unsorted'!$B$40, CONCAT(VLOOKUP($C23, 'Match Names'!$A$1:$D$22, 2, FALSE), ""!C3:R29"")), {12;18;24}, FALSE)), ""=-4"") + COUNTIF(ARRAYFORMULA(HLOOKUP($B23, IMPORTRANGE('Prelim Rankings Unsor"&amp;"ted'!$B$41, CONCAT(VLOOKUP($C23, 'Match Names'!$A$1:$D$22, 3, FALSE), ""!C3:R29"")), {6;12;18}, FALSE)), ""=-4"") + COUNTIF(ARRAYFORMULA(HLOOKUP($B23, IMPORTRANGE('Prelim Rankings Unsorted'!$B$42, CONCAT(VLOOKUP($C23, 'Match Names'!$A$1:$D$22, 4, FALSE), "&amp;"""!C3:R29"")), {6;12;18}, FALSE)), ""=-4"") + COUNTIF(ARRAYFORMULA(HLOOKUP($B23, IMPORTRANGE('Match Names'!$E$23, CONCAT(VLOOKUP($C23, 'Match Names'!$1:$22, 5, FALSE), ""!C3:R29"")), {4;13;18}, FALSE)), ""=-4"") + COUNTIF(ARRAYFORMULA(HLOOKUP($B23, IMPORT"&amp;"RANGE('Match Names'!$F$23, CONCAT(VLOOKUP($C23, 'Match Names'!$1:$22, 6, FALSE), ""!C3:R29"")), {7;13;19}, FALSE)), ""=-4"") + COUNTIF(ARRAYFORMULA(HLOOKUP($B23, IMPORTRANGE('Match Names'!$G$23, CONCAT(VLOOKUP($C23, 'Match Names'!$1:$22, 7, FALSE), ""!C3:"&amp;"R29"")), {11;15;23}, FALSE)), ""=-4"") + COUNTIF(ARRAYFORMULA(HLOOKUP($B23, IMPORTRANGE('Match Names'!$H$23, CONCAT(VLOOKUP($C23, 'Match Names'!$1:$22, 8, FALSE), ""!C3:R29"")), {6;12;18}, FALSE)), ""=-4"")"),0.0)</f>
        <v>0</v>
      </c>
      <c r="H23" s="33">
        <f t="shared" si="1"/>
        <v>0</v>
      </c>
    </row>
    <row r="24">
      <c r="A24" s="31" t="s">
        <v>95</v>
      </c>
      <c r="B24" s="31" t="str">
        <f>VLOOKUP(CONCAT(A24, C24), 'Discord Username to Real Name'!C:D, 2, FALSE)</f>
        <v>ashrug0002#8740</v>
      </c>
      <c r="C24" s="31" t="s">
        <v>25</v>
      </c>
      <c r="D24" s="32">
        <f>IFERROR(__xludf.DUMMYFUNCTION("(3 - COUNTIF(IFERROR(ARRAYFORMULA(HLOOKUP($B24, IMPORTRANGE('Prelim Rankings Unsorted'!$B$40, CONCAT(VLOOKUP($C24, 'Match Names'!$A$1:$D$22, 2, FALSE), ""!C3:R29"")), {12;18;24}, FALSE)), 'Player Overall Stats Unsorted'!$AA$9:$AA$12), ""=X"")) + (3 - COUN"&amp;"TIF(IFERROR(ARRAYFORMULA(HLOOKUP($B24, IMPORTRANGE('Prelim Rankings Unsorted'!$B$41, CONCAT(VLOOKUP($C24, 'Match Names'!$A$1:$D$22, 3, FALSE), ""!C3:R29"")), {6;12;18}, FALSE)), 'Player Overall Stats Unsorted'!$AA$9:$AA$12), ""=X"")) + (3 - COUNTIF(IFERRO"&amp;"R(ARRAYFORMULA(HLOOKUP($B24, IMPORTRANGE('Prelim Rankings Unsorted'!$B$42, CONCAT(VLOOKUP($C24, 'Match Names'!$A$1:$D$22, 4, FALSE), ""!C3:R29"")), {6;12;18}, FALSE)), 'Player Overall Stats Unsorted'!$AA$9:$AA$12), ""=X"")) + (3 - COUNTIF(IFERROR(ARRAYFOR"&amp;"MULA(HLOOKUP($B24, IMPORTRANGE('Match Names'!$E$23, CONCAT(VLOOKUP($C24, 'Match Names'!$1:$22, 5, FALSE), ""!C3:R29"")), {4;13;18}, FALSE)), 'Player Overall Stats Unsorted'!$AA$9:$AA$12), ""=X"")) + (3 - COUNTIF(IFERROR(ARRAYFORMULA(HLOOKUP($B24, IMPORTRA"&amp;"NGE('Match Names'!$F$23, CONCAT(VLOOKUP($C24, 'Match Names'!$1:$22, 6, FALSE), ""!C3:R29"")), {7;13;19}, FALSE)), 'Player Overall Stats Unsorted'!$AA$9:$AA$12), ""=X"")) + (3 - COUNTIF(IFERROR(ARRAYFORMULA(HLOOKUP($B24, IMPORTRANGE('Match Names'!$G$23, CO"&amp;"NCAT(VLOOKUP($C24, 'Match Names'!$1:$22, 7, FALSE), ""!C3:R29"")), {11;15;23}, FALSE)), 'Player Overall Stats Unsorted'!$AA$9:$AA$12), ""=X"")) + (3 - COUNTIF(IFERROR(ARRAYFORMULA(HLOOKUP($B24, IMPORTRANGE('Match Names'!$H$23, CONCAT(VLOOKUP($C24, 'Match "&amp;"Names'!$1:$22, 8, FALSE), ""!C3:R29"")), {6;12;18}, FALSE)), 'Player Overall Stats Unsorted'!$AA$9:$AA$12), ""=X""))"),18.0)</f>
        <v>18</v>
      </c>
      <c r="E24" s="32">
        <f>IFERROR(__xludf.DUMMYFUNCTION("COUNTIF(ARRAYFORMULA(HLOOKUP($B24, IMPORTRANGE('Prelim Rankings Unsorted'!$B$40, CONCAT(VLOOKUP($C24, 'Match Names'!$A$1:$D$22, 2, FALSE), ""!C3:R29"")), {12;18;24}, FALSE)), ""=4"") + COUNTIF(ARRAYFORMULA(HLOOKUP($B24, IMPORTRANGE('Prelim Rankings Unsort"&amp;"ed'!$B$41, CONCAT(VLOOKUP($C24, 'Match Names'!$A$1:$D$22, 3, FALSE), ""!C3:R29"")), {6;12;18}, FALSE)), ""=4"") + COUNTIF(ARRAYFORMULA(HLOOKUP($B24, IMPORTRANGE('Prelim Rankings Unsorted'!$B$42, CONCAT(VLOOKUP($C24, 'Match Names'!$A$1:$D$22, 4, FALSE), """&amp;"!C3:R29"")), {6;12;18}, FALSE)), ""=4"") + COUNTIF(ARRAYFORMULA(HLOOKUP($B24, IMPORTRANGE('Match Names'!$E$23, CONCAT(VLOOKUP($C24, 'Match Names'!$1:$22, 5, FALSE), ""!C3:R29"")), {4;13;18}, FALSE)), ""=4"") + COUNTIF(ARRAYFORMULA(HLOOKUP($B24, IMPORTRANG"&amp;"E('Match Names'!$F$23, CONCAT(VLOOKUP($C24, 'Match Names'!$1:$22, 6, FALSE), ""!C3:R29"")), {7;13;19}, FALSE)), ""=4"") + COUNTIF(ARRAYFORMULA(HLOOKUP($B24, IMPORTRANGE('Match Names'!$G$23, CONCAT(VLOOKUP($C24, 'Match Names'!$1:$22, 7, FALSE), ""!C3:R29"""&amp;")), {11;15;23}, FALSE)), ""=4"") + COUNTIF(ARRAYFORMULA(HLOOKUP($B24, IMPORTRANGE('Match Names'!$H$23, CONCAT(VLOOKUP($C24, 'Match Names'!$1:$22, 8, FALSE), ""!C3:R29"")), {6;12;18}, FALSE)), ""=4"")"),4.0)</f>
        <v>4</v>
      </c>
      <c r="F24" s="32">
        <f>IFERROR(__xludf.DUMMYFUNCTION("COUNTIF(ARRAYFORMULA(HLOOKUP($B24, IMPORTRANGE('Prelim Rankings Unsorted'!$B$40, CONCAT(VLOOKUP($C24, 'Match Names'!$A$1:$D$22, 2, FALSE), ""!C3:R29"")), {12;18;24}, FALSE)), ""=0"") + COUNTIF(ARRAYFORMULA(HLOOKUP($B24, IMPORTRANGE('Prelim Rankings Unsort"&amp;"ed'!$B$41, CONCAT(VLOOKUP($C24, 'Match Names'!$A$1:$D$22, 3, FALSE), ""!C3:R29"")), {6;12;18}, FALSE)), ""=0"") + COUNTIF(ARRAYFORMULA(HLOOKUP($B24, IMPORTRANGE('Prelim Rankings Unsorted'!$B$42, CONCAT(VLOOKUP($C24, 'Match Names'!$A$1:$D$22, 4, FALSE), """&amp;"!C3:R29"")), {6;12;18}, FALSE)), ""=0"") + COUNTIF(ARRAYFORMULA(HLOOKUP($B24, IMPORTRANGE('Match Names'!$E$23, CONCAT(VLOOKUP($C24, 'Match Names'!$1:$22, 5, FALSE), ""!C3:R29"")), {4;13;18}, FALSE)), ""=0"") + COUNTIF(ARRAYFORMULA(HLOOKUP($B24, IMPORTRANG"&amp;"E('Match Names'!$F$23, CONCAT(VLOOKUP($C24, 'Match Names'!$1:$22, 6, FALSE), ""!C3:R29"")), {7;13;19}, FALSE)), ""=0"") + COUNTIF(ARRAYFORMULA(HLOOKUP($B24, IMPORTRANGE('Match Names'!$G$23, CONCAT(VLOOKUP($C24, 'Match Names'!$1:$22, 7, FALSE), ""!C3:R29"""&amp;")), {11;15;23}, FALSE)), ""=0"") + COUNTIF(ARRAYFORMULA(HLOOKUP($B24, IMPORTRANGE('Match Names'!$H$23, CONCAT(VLOOKUP($C24, 'Match Names'!$1:$22, 8, FALSE), ""!C3:R29"")), {6;12;18}, FALSE)), ""=0"")"),0.0)</f>
        <v>0</v>
      </c>
      <c r="G24" s="32">
        <f>IFERROR(__xludf.DUMMYFUNCTION("COUNTIF(ARRAYFORMULA(HLOOKUP($B24, IMPORTRANGE('Prelim Rankings Unsorted'!$B$40, CONCAT(VLOOKUP($C24, 'Match Names'!$A$1:$D$22, 2, FALSE), ""!C3:R29"")), {12;18;24}, FALSE)), ""=-4"") + COUNTIF(ARRAYFORMULA(HLOOKUP($B24, IMPORTRANGE('Prelim Rankings Unsor"&amp;"ted'!$B$41, CONCAT(VLOOKUP($C24, 'Match Names'!$A$1:$D$22, 3, FALSE), ""!C3:R29"")), {6;12;18}, FALSE)), ""=-4"") + COUNTIF(ARRAYFORMULA(HLOOKUP($B24, IMPORTRANGE('Prelim Rankings Unsorted'!$B$42, CONCAT(VLOOKUP($C24, 'Match Names'!$A$1:$D$22, 4, FALSE), "&amp;"""!C3:R29"")), {6;12;18}, FALSE)), ""=-4"") + COUNTIF(ARRAYFORMULA(HLOOKUP($B24, IMPORTRANGE('Match Names'!$E$23, CONCAT(VLOOKUP($C24, 'Match Names'!$1:$22, 5, FALSE), ""!C3:R29"")), {4;13;18}, FALSE)), ""=-4"") + COUNTIF(ARRAYFORMULA(HLOOKUP($B24, IMPORT"&amp;"RANGE('Match Names'!$F$23, CONCAT(VLOOKUP($C24, 'Match Names'!$1:$22, 6, FALSE), ""!C3:R29"")), {7;13;19}, FALSE)), ""=-4"") + COUNTIF(ARRAYFORMULA(HLOOKUP($B24, IMPORTRANGE('Match Names'!$G$23, CONCAT(VLOOKUP($C24, 'Match Names'!$1:$22, 7, FALSE), ""!C3:"&amp;"R29"")), {11;15;23}, FALSE)), ""=-4"") + COUNTIF(ARRAYFORMULA(HLOOKUP($B24, IMPORTRANGE('Match Names'!$H$23, CONCAT(VLOOKUP($C24, 'Match Names'!$1:$22, 8, FALSE), ""!C3:R29"")), {6;12;18}, FALSE)), ""=-4"")"),0.0)</f>
        <v>0</v>
      </c>
      <c r="H24" s="33">
        <f t="shared" si="1"/>
        <v>2.67</v>
      </c>
    </row>
    <row r="25">
      <c r="A25" s="31" t="s">
        <v>124</v>
      </c>
      <c r="B25" s="31" t="str">
        <f>VLOOKUP(CONCAT(A25, C25), 'Discord Username to Real Name'!C:D, 2, FALSE)</f>
        <v>Connor Zhao#9139</v>
      </c>
      <c r="C25" s="31" t="s">
        <v>25</v>
      </c>
      <c r="D25" s="32">
        <f>IFERROR(__xludf.DUMMYFUNCTION("(3 - COUNTIF(IFERROR(ARRAYFORMULA(HLOOKUP($B25, IMPORTRANGE('Prelim Rankings Unsorted'!$B$40, CONCAT(VLOOKUP($C25, 'Match Names'!$A$1:$D$22, 2, FALSE), ""!C3:R29"")), {12;18;24}, FALSE)), 'Player Overall Stats Unsorted'!$AA$9:$AA$12), ""=X"")) + (3 - COUN"&amp;"TIF(IFERROR(ARRAYFORMULA(HLOOKUP($B25, IMPORTRANGE('Prelim Rankings Unsorted'!$B$41, CONCAT(VLOOKUP($C25, 'Match Names'!$A$1:$D$22, 3, FALSE), ""!C3:R29"")), {6;12;18}, FALSE)), 'Player Overall Stats Unsorted'!$AA$9:$AA$12), ""=X"")) + (3 - COUNTIF(IFERRO"&amp;"R(ARRAYFORMULA(HLOOKUP($B25, IMPORTRANGE('Prelim Rankings Unsorted'!$B$42, CONCAT(VLOOKUP($C25, 'Match Names'!$A$1:$D$22, 4, FALSE), ""!C3:R29"")), {6;12;18}, FALSE)), 'Player Overall Stats Unsorted'!$AA$9:$AA$12), ""=X"")) + (3 - COUNTIF(IFERROR(ARRAYFOR"&amp;"MULA(HLOOKUP($B25, IMPORTRANGE('Match Names'!$E$23, CONCAT(VLOOKUP($C25, 'Match Names'!$1:$22, 5, FALSE), ""!C3:R29"")), {4;13;18}, FALSE)), 'Player Overall Stats Unsorted'!$AA$9:$AA$12), ""=X"")) + (3 - COUNTIF(IFERROR(ARRAYFORMULA(HLOOKUP($B25, IMPORTRA"&amp;"NGE('Match Names'!$F$23, CONCAT(VLOOKUP($C25, 'Match Names'!$1:$22, 6, FALSE), ""!C3:R29"")), {7;13;19}, FALSE)), 'Player Overall Stats Unsorted'!$AA$9:$AA$12), ""=X"")) + (3 - COUNTIF(IFERROR(ARRAYFORMULA(HLOOKUP($B25, IMPORTRANGE('Match Names'!$G$23, CO"&amp;"NCAT(VLOOKUP($C25, 'Match Names'!$1:$22, 7, FALSE), ""!C3:R29"")), {11;15;23}, FALSE)), 'Player Overall Stats Unsorted'!$AA$9:$AA$12), ""=X"")) + (3 - COUNTIF(IFERROR(ARRAYFORMULA(HLOOKUP($B25, IMPORTRANGE('Match Names'!$H$23, CONCAT(VLOOKUP($C25, 'Match "&amp;"Names'!$1:$22, 8, FALSE), ""!C3:R29"")), {6;12;18}, FALSE)), 'Player Overall Stats Unsorted'!$AA$9:$AA$12), ""=X""))"),17.0)</f>
        <v>17</v>
      </c>
      <c r="E25" s="32">
        <f>IFERROR(__xludf.DUMMYFUNCTION("COUNTIF(ARRAYFORMULA(HLOOKUP($B25, IMPORTRANGE('Prelim Rankings Unsorted'!$B$40, CONCAT(VLOOKUP($C25, 'Match Names'!$A$1:$D$22, 2, FALSE), ""!C3:R29"")), {12;18;24}, FALSE)), ""=4"") + COUNTIF(ARRAYFORMULA(HLOOKUP($B25, IMPORTRANGE('Prelim Rankings Unsort"&amp;"ed'!$B$41, CONCAT(VLOOKUP($C25, 'Match Names'!$A$1:$D$22, 3, FALSE), ""!C3:R29"")), {6;12;18}, FALSE)), ""=4"") + COUNTIF(ARRAYFORMULA(HLOOKUP($B25, IMPORTRANGE('Prelim Rankings Unsorted'!$B$42, CONCAT(VLOOKUP($C25, 'Match Names'!$A$1:$D$22, 4, FALSE), """&amp;"!C3:R29"")), {6;12;18}, FALSE)), ""=4"") + COUNTIF(ARRAYFORMULA(HLOOKUP($B25, IMPORTRANGE('Match Names'!$E$23, CONCAT(VLOOKUP($C25, 'Match Names'!$1:$22, 5, FALSE), ""!C3:R29"")), {4;13;18}, FALSE)), ""=4"") + COUNTIF(ARRAYFORMULA(HLOOKUP($B25, IMPORTRANG"&amp;"E('Match Names'!$F$23, CONCAT(VLOOKUP($C25, 'Match Names'!$1:$22, 6, FALSE), ""!C3:R29"")), {7;13;19}, FALSE)), ""=4"") + COUNTIF(ARRAYFORMULA(HLOOKUP($B25, IMPORTRANGE('Match Names'!$G$23, CONCAT(VLOOKUP($C25, 'Match Names'!$1:$22, 7, FALSE), ""!C3:R29"""&amp;")), {11;15;23}, FALSE)), ""=4"") + COUNTIF(ARRAYFORMULA(HLOOKUP($B25, IMPORTRANGE('Match Names'!$H$23, CONCAT(VLOOKUP($C25, 'Match Names'!$1:$22, 8, FALSE), ""!C3:R29"")), {6;12;18}, FALSE)), ""=4"")"),3.0)</f>
        <v>3</v>
      </c>
      <c r="F25" s="32">
        <f>IFERROR(__xludf.DUMMYFUNCTION("COUNTIF(ARRAYFORMULA(HLOOKUP($B25, IMPORTRANGE('Prelim Rankings Unsorted'!$B$40, CONCAT(VLOOKUP($C25, 'Match Names'!$A$1:$D$22, 2, FALSE), ""!C3:R29"")), {12;18;24}, FALSE)), ""=0"") + COUNTIF(ARRAYFORMULA(HLOOKUP($B25, IMPORTRANGE('Prelim Rankings Unsort"&amp;"ed'!$B$41, CONCAT(VLOOKUP($C25, 'Match Names'!$A$1:$D$22, 3, FALSE), ""!C3:R29"")), {6;12;18}, FALSE)), ""=0"") + COUNTIF(ARRAYFORMULA(HLOOKUP($B25, IMPORTRANGE('Prelim Rankings Unsorted'!$B$42, CONCAT(VLOOKUP($C25, 'Match Names'!$A$1:$D$22, 4, FALSE), """&amp;"!C3:R29"")), {6;12;18}, FALSE)), ""=0"") + COUNTIF(ARRAYFORMULA(HLOOKUP($B25, IMPORTRANGE('Match Names'!$E$23, CONCAT(VLOOKUP($C25, 'Match Names'!$1:$22, 5, FALSE), ""!C3:R29"")), {4;13;18}, FALSE)), ""=0"") + COUNTIF(ARRAYFORMULA(HLOOKUP($B25, IMPORTRANG"&amp;"E('Match Names'!$F$23, CONCAT(VLOOKUP($C25, 'Match Names'!$1:$22, 6, FALSE), ""!C3:R29"")), {7;13;19}, FALSE)), ""=0"") + COUNTIF(ARRAYFORMULA(HLOOKUP($B25, IMPORTRANGE('Match Names'!$G$23, CONCAT(VLOOKUP($C25, 'Match Names'!$1:$22, 7, FALSE), ""!C3:R29"""&amp;")), {11;15;23}, FALSE)), ""=0"") + COUNTIF(ARRAYFORMULA(HLOOKUP($B25, IMPORTRANGE('Match Names'!$H$23, CONCAT(VLOOKUP($C25, 'Match Names'!$1:$22, 8, FALSE), ""!C3:R29"")), {6;12;18}, FALSE)), ""=0"")"),0.0)</f>
        <v>0</v>
      </c>
      <c r="G25" s="32">
        <f>IFERROR(__xludf.DUMMYFUNCTION("COUNTIF(ARRAYFORMULA(HLOOKUP($B25, IMPORTRANGE('Prelim Rankings Unsorted'!$B$40, CONCAT(VLOOKUP($C25, 'Match Names'!$A$1:$D$22, 2, FALSE), ""!C3:R29"")), {12;18;24}, FALSE)), ""=-4"") + COUNTIF(ARRAYFORMULA(HLOOKUP($B25, IMPORTRANGE('Prelim Rankings Unsor"&amp;"ted'!$B$41, CONCAT(VLOOKUP($C25, 'Match Names'!$A$1:$D$22, 3, FALSE), ""!C3:R29"")), {6;12;18}, FALSE)), ""=-4"") + COUNTIF(ARRAYFORMULA(HLOOKUP($B25, IMPORTRANGE('Prelim Rankings Unsorted'!$B$42, CONCAT(VLOOKUP($C25, 'Match Names'!$A$1:$D$22, 4, FALSE), "&amp;"""!C3:R29"")), {6;12;18}, FALSE)), ""=-4"") + COUNTIF(ARRAYFORMULA(HLOOKUP($B25, IMPORTRANGE('Match Names'!$E$23, CONCAT(VLOOKUP($C25, 'Match Names'!$1:$22, 5, FALSE), ""!C3:R29"")), {4;13;18}, FALSE)), ""=-4"") + COUNTIF(ARRAYFORMULA(HLOOKUP($B25, IMPORT"&amp;"RANGE('Match Names'!$F$23, CONCAT(VLOOKUP($C25, 'Match Names'!$1:$22, 6, FALSE), ""!C3:R29"")), {7;13;19}, FALSE)), ""=-4"") + COUNTIF(ARRAYFORMULA(HLOOKUP($B25, IMPORTRANGE('Match Names'!$G$23, CONCAT(VLOOKUP($C25, 'Match Names'!$1:$22, 7, FALSE), ""!C3:"&amp;"R29"")), {11;15;23}, FALSE)), ""=-4"") + COUNTIF(ARRAYFORMULA(HLOOKUP($B25, IMPORTRANGE('Match Names'!$H$23, CONCAT(VLOOKUP($C25, 'Match Names'!$1:$22, 8, FALSE), ""!C3:R29"")), {6;12;18}, FALSE)), ""=-4"")"),1.0)</f>
        <v>1</v>
      </c>
      <c r="H25" s="33">
        <f t="shared" si="1"/>
        <v>1.41</v>
      </c>
    </row>
    <row r="26">
      <c r="A26" s="31" t="s">
        <v>13</v>
      </c>
      <c r="B26" s="31" t="str">
        <f>VLOOKUP(CONCAT(A26, C26), 'Discord Username to Real Name'!C:D, 2, FALSE)</f>
        <v>asiangold#6836</v>
      </c>
      <c r="C26" s="31" t="s">
        <v>25</v>
      </c>
      <c r="D26" s="32">
        <f>IFERROR(__xludf.DUMMYFUNCTION("(3 - COUNTIF(IFERROR(ARRAYFORMULA(HLOOKUP($B26, IMPORTRANGE('Prelim Rankings Unsorted'!$B$40, CONCAT(VLOOKUP($C26, 'Match Names'!$A$1:$D$22, 2, FALSE), ""!C3:R29"")), {12;18;24}, FALSE)), 'Player Overall Stats Unsorted'!$AA$9:$AA$12), ""=X"")) + (3 - COUN"&amp;"TIF(IFERROR(ARRAYFORMULA(HLOOKUP($B26, IMPORTRANGE('Prelim Rankings Unsorted'!$B$41, CONCAT(VLOOKUP($C26, 'Match Names'!$A$1:$D$22, 3, FALSE), ""!C3:R29"")), {6;12;18}, FALSE)), 'Player Overall Stats Unsorted'!$AA$9:$AA$12), ""=X"")) + (3 - COUNTIF(IFERRO"&amp;"R(ARRAYFORMULA(HLOOKUP($B26, IMPORTRANGE('Prelim Rankings Unsorted'!$B$42, CONCAT(VLOOKUP($C26, 'Match Names'!$A$1:$D$22, 4, FALSE), ""!C3:R29"")), {6;12;18}, FALSE)), 'Player Overall Stats Unsorted'!$AA$9:$AA$12), ""=X"")) + (3 - COUNTIF(IFERROR(ARRAYFOR"&amp;"MULA(HLOOKUP($B26, IMPORTRANGE('Match Names'!$E$23, CONCAT(VLOOKUP($C26, 'Match Names'!$1:$22, 5, FALSE), ""!C3:R29"")), {4;13;18}, FALSE)), 'Player Overall Stats Unsorted'!$AA$9:$AA$12), ""=X"")) + (3 - COUNTIF(IFERROR(ARRAYFORMULA(HLOOKUP($B26, IMPORTRA"&amp;"NGE('Match Names'!$F$23, CONCAT(VLOOKUP($C26, 'Match Names'!$1:$22, 6, FALSE), ""!C3:R29"")), {7;13;19}, FALSE)), 'Player Overall Stats Unsorted'!$AA$9:$AA$12), ""=X"")) + (3 - COUNTIF(IFERROR(ARRAYFORMULA(HLOOKUP($B26, IMPORTRANGE('Match Names'!$G$23, CO"&amp;"NCAT(VLOOKUP($C26, 'Match Names'!$1:$22, 7, FALSE), ""!C3:R29"")), {11;15;23}, FALSE)), 'Player Overall Stats Unsorted'!$AA$9:$AA$12), ""=X"")) + (3 - COUNTIF(IFERROR(ARRAYFORMULA(HLOOKUP($B26, IMPORTRANGE('Match Names'!$H$23, CONCAT(VLOOKUP($C26, 'Match "&amp;"Names'!$1:$22, 8, FALSE), ""!C3:R29"")), {6;12;18}, FALSE)), 'Player Overall Stats Unsorted'!$AA$9:$AA$12), ""=X""))"),18.0)</f>
        <v>18</v>
      </c>
      <c r="E26" s="32">
        <f>IFERROR(__xludf.DUMMYFUNCTION("COUNTIF(ARRAYFORMULA(HLOOKUP($B26, IMPORTRANGE('Prelim Rankings Unsorted'!$B$40, CONCAT(VLOOKUP($C26, 'Match Names'!$A$1:$D$22, 2, FALSE), ""!C3:R29"")), {12;18;24}, FALSE)), ""=4"") + COUNTIF(ARRAYFORMULA(HLOOKUP($B26, IMPORTRANGE('Prelim Rankings Unsort"&amp;"ed'!$B$41, CONCAT(VLOOKUP($C26, 'Match Names'!$A$1:$D$22, 3, FALSE), ""!C3:R29"")), {6;12;18}, FALSE)), ""=4"") + COUNTIF(ARRAYFORMULA(HLOOKUP($B26, IMPORTRANGE('Prelim Rankings Unsorted'!$B$42, CONCAT(VLOOKUP($C26, 'Match Names'!$A$1:$D$22, 4, FALSE), """&amp;"!C3:R29"")), {6;12;18}, FALSE)), ""=4"") + COUNTIF(ARRAYFORMULA(HLOOKUP($B26, IMPORTRANGE('Match Names'!$E$23, CONCAT(VLOOKUP($C26, 'Match Names'!$1:$22, 5, FALSE), ""!C3:R29"")), {4;13;18}, FALSE)), ""=4"") + COUNTIF(ARRAYFORMULA(HLOOKUP($B26, IMPORTRANG"&amp;"E('Match Names'!$F$23, CONCAT(VLOOKUP($C26, 'Match Names'!$1:$22, 6, FALSE), ""!C3:R29"")), {7;13;19}, FALSE)), ""=4"") + COUNTIF(ARRAYFORMULA(HLOOKUP($B26, IMPORTRANGE('Match Names'!$G$23, CONCAT(VLOOKUP($C26, 'Match Names'!$1:$22, 7, FALSE), ""!C3:R29"""&amp;")), {11;15;23}, FALSE)), ""=4"") + COUNTIF(ARRAYFORMULA(HLOOKUP($B26, IMPORTRANGE('Match Names'!$H$23, CONCAT(VLOOKUP($C26, 'Match Names'!$1:$22, 8, FALSE), ""!C3:R29"")), {6;12;18}, FALSE)), ""=4"")"),0.0)</f>
        <v>0</v>
      </c>
      <c r="F26" s="32">
        <f>IFERROR(__xludf.DUMMYFUNCTION("COUNTIF(ARRAYFORMULA(HLOOKUP($B26, IMPORTRANGE('Prelim Rankings Unsorted'!$B$40, CONCAT(VLOOKUP($C26, 'Match Names'!$A$1:$D$22, 2, FALSE), ""!C3:R29"")), {12;18;24}, FALSE)), ""=0"") + COUNTIF(ARRAYFORMULA(HLOOKUP($B26, IMPORTRANGE('Prelim Rankings Unsort"&amp;"ed'!$B$41, CONCAT(VLOOKUP($C26, 'Match Names'!$A$1:$D$22, 3, FALSE), ""!C3:R29"")), {6;12;18}, FALSE)), ""=0"") + COUNTIF(ARRAYFORMULA(HLOOKUP($B26, IMPORTRANGE('Prelim Rankings Unsorted'!$B$42, CONCAT(VLOOKUP($C26, 'Match Names'!$A$1:$D$22, 4, FALSE), """&amp;"!C3:R29"")), {6;12;18}, FALSE)), ""=0"") + COUNTIF(ARRAYFORMULA(HLOOKUP($B26, IMPORTRANGE('Match Names'!$E$23, CONCAT(VLOOKUP($C26, 'Match Names'!$1:$22, 5, FALSE), ""!C3:R29"")), {4;13;18}, FALSE)), ""=0"") + COUNTIF(ARRAYFORMULA(HLOOKUP($B26, IMPORTRANG"&amp;"E('Match Names'!$F$23, CONCAT(VLOOKUP($C26, 'Match Names'!$1:$22, 6, FALSE), ""!C3:R29"")), {7;13;19}, FALSE)), ""=0"") + COUNTIF(ARRAYFORMULA(HLOOKUP($B26, IMPORTRANGE('Match Names'!$G$23, CONCAT(VLOOKUP($C26, 'Match Names'!$1:$22, 7, FALSE), ""!C3:R29"""&amp;")), {11;15;23}, FALSE)), ""=0"") + COUNTIF(ARRAYFORMULA(HLOOKUP($B26, IMPORTRANGE('Match Names'!$H$23, CONCAT(VLOOKUP($C26, 'Match Names'!$1:$22, 8, FALSE), ""!C3:R29"")), {6;12;18}, FALSE)), ""=0"")"),1.0)</f>
        <v>1</v>
      </c>
      <c r="G26" s="32">
        <f>IFERROR(__xludf.DUMMYFUNCTION("COUNTIF(ARRAYFORMULA(HLOOKUP($B26, IMPORTRANGE('Prelim Rankings Unsorted'!$B$40, CONCAT(VLOOKUP($C26, 'Match Names'!$A$1:$D$22, 2, FALSE), ""!C3:R29"")), {12;18;24}, FALSE)), ""=-4"") + COUNTIF(ARRAYFORMULA(HLOOKUP($B26, IMPORTRANGE('Prelim Rankings Unsor"&amp;"ted'!$B$41, CONCAT(VLOOKUP($C26, 'Match Names'!$A$1:$D$22, 3, FALSE), ""!C3:R29"")), {6;12;18}, FALSE)), ""=-4"") + COUNTIF(ARRAYFORMULA(HLOOKUP($B26, IMPORTRANGE('Prelim Rankings Unsorted'!$B$42, CONCAT(VLOOKUP($C26, 'Match Names'!$A$1:$D$22, 4, FALSE), "&amp;"""!C3:R29"")), {6;12;18}, FALSE)), ""=-4"") + COUNTIF(ARRAYFORMULA(HLOOKUP($B26, IMPORTRANGE('Match Names'!$E$23, CONCAT(VLOOKUP($C26, 'Match Names'!$1:$22, 5, FALSE), ""!C3:R29"")), {4;13;18}, FALSE)), ""=-4"") + COUNTIF(ARRAYFORMULA(HLOOKUP($B26, IMPORT"&amp;"RANGE('Match Names'!$F$23, CONCAT(VLOOKUP($C26, 'Match Names'!$1:$22, 6, FALSE), ""!C3:R29"")), {7;13;19}, FALSE)), ""=-4"") + COUNTIF(ARRAYFORMULA(HLOOKUP($B26, IMPORTRANGE('Match Names'!$G$23, CONCAT(VLOOKUP($C26, 'Match Names'!$1:$22, 7, FALSE), ""!C3:"&amp;"R29"")), {11;15;23}, FALSE)), ""=-4"") + COUNTIF(ARRAYFORMULA(HLOOKUP($B26, IMPORTRANGE('Match Names'!$H$23, CONCAT(VLOOKUP($C26, 'Match Names'!$1:$22, 8, FALSE), ""!C3:R29"")), {6;12;18}, FALSE)), ""=-4"")"),0.0)</f>
        <v>0</v>
      </c>
      <c r="H26" s="33">
        <f t="shared" si="1"/>
        <v>0</v>
      </c>
    </row>
    <row r="27">
      <c r="A27" s="31" t="s">
        <v>179</v>
      </c>
      <c r="B27" s="31" t="str">
        <f>VLOOKUP(CONCAT(A27, C27), 'Discord Username to Real Name'!C:D, 2, FALSE)</f>
        <v>Nutritious Soup#4238</v>
      </c>
      <c r="C27" s="31" t="s">
        <v>25</v>
      </c>
      <c r="D27" s="32">
        <f>IFERROR(__xludf.DUMMYFUNCTION("(3 - COUNTIF(IFERROR(ARRAYFORMULA(HLOOKUP($B27, IMPORTRANGE('Prelim Rankings Unsorted'!$B$40, CONCAT(VLOOKUP($C27, 'Match Names'!$A$1:$D$22, 2, FALSE), ""!C3:R29"")), {12;18;24}, FALSE)), 'Player Overall Stats Unsorted'!$AA$9:$AA$12), ""=X"")) + (3 - COUN"&amp;"TIF(IFERROR(ARRAYFORMULA(HLOOKUP($B27, IMPORTRANGE('Prelim Rankings Unsorted'!$B$41, CONCAT(VLOOKUP($C27, 'Match Names'!$A$1:$D$22, 3, FALSE), ""!C3:R29"")), {6;12;18}, FALSE)), 'Player Overall Stats Unsorted'!$AA$9:$AA$12), ""=X"")) + (3 - COUNTIF(IFERRO"&amp;"R(ARRAYFORMULA(HLOOKUP($B27, IMPORTRANGE('Prelim Rankings Unsorted'!$B$42, CONCAT(VLOOKUP($C27, 'Match Names'!$A$1:$D$22, 4, FALSE), ""!C3:R29"")), {6;12;18}, FALSE)), 'Player Overall Stats Unsorted'!$AA$9:$AA$12), ""=X"")) + (3 - COUNTIF(IFERROR(ARRAYFOR"&amp;"MULA(HLOOKUP($B27, IMPORTRANGE('Match Names'!$E$23, CONCAT(VLOOKUP($C27, 'Match Names'!$1:$22, 5, FALSE), ""!C3:R29"")), {4;13;18}, FALSE)), 'Player Overall Stats Unsorted'!$AA$9:$AA$12), ""=X"")) + (3 - COUNTIF(IFERROR(ARRAYFORMULA(HLOOKUP($B27, IMPORTRA"&amp;"NGE('Match Names'!$F$23, CONCAT(VLOOKUP($C27, 'Match Names'!$1:$22, 6, FALSE), ""!C3:R29"")), {7;13;19}, FALSE)), 'Player Overall Stats Unsorted'!$AA$9:$AA$12), ""=X"")) + (3 - COUNTIF(IFERROR(ARRAYFORMULA(HLOOKUP($B27, IMPORTRANGE('Match Names'!$G$23, CO"&amp;"NCAT(VLOOKUP($C27, 'Match Names'!$1:$22, 7, FALSE), ""!C3:R29"")), {11;15;23}, FALSE)), 'Player Overall Stats Unsorted'!$AA$9:$AA$12), ""=X"")) + (3 - COUNTIF(IFERROR(ARRAYFORMULA(HLOOKUP($B27, IMPORTRANGE('Match Names'!$H$23, CONCAT(VLOOKUP($C27, 'Match "&amp;"Names'!$1:$22, 8, FALSE), ""!C3:R29"")), {6;12;18}, FALSE)), 'Player Overall Stats Unsorted'!$AA$9:$AA$12), ""=X""))"),9.0)</f>
        <v>9</v>
      </c>
      <c r="E27" s="32">
        <f>IFERROR(__xludf.DUMMYFUNCTION("COUNTIF(ARRAYFORMULA(HLOOKUP($B27, IMPORTRANGE('Prelim Rankings Unsorted'!$B$40, CONCAT(VLOOKUP($C27, 'Match Names'!$A$1:$D$22, 2, FALSE), ""!C3:R29"")), {12;18;24}, FALSE)), ""=4"") + COUNTIF(ARRAYFORMULA(HLOOKUP($B27, IMPORTRANGE('Prelim Rankings Unsort"&amp;"ed'!$B$41, CONCAT(VLOOKUP($C27, 'Match Names'!$A$1:$D$22, 3, FALSE), ""!C3:R29"")), {6;12;18}, FALSE)), ""=4"") + COUNTIF(ARRAYFORMULA(HLOOKUP($B27, IMPORTRANGE('Prelim Rankings Unsorted'!$B$42, CONCAT(VLOOKUP($C27, 'Match Names'!$A$1:$D$22, 4, FALSE), """&amp;"!C3:R29"")), {6;12;18}, FALSE)), ""=4"") + COUNTIF(ARRAYFORMULA(HLOOKUP($B27, IMPORTRANGE('Match Names'!$E$23, CONCAT(VLOOKUP($C27, 'Match Names'!$1:$22, 5, FALSE), ""!C3:R29"")), {4;13;18}, FALSE)), ""=4"") + COUNTIF(ARRAYFORMULA(HLOOKUP($B27, IMPORTRANG"&amp;"E('Match Names'!$F$23, CONCAT(VLOOKUP($C27, 'Match Names'!$1:$22, 6, FALSE), ""!C3:R29"")), {7;13;19}, FALSE)), ""=4"") + COUNTIF(ARRAYFORMULA(HLOOKUP($B27, IMPORTRANGE('Match Names'!$G$23, CONCAT(VLOOKUP($C27, 'Match Names'!$1:$22, 7, FALSE), ""!C3:R29"""&amp;")), {11;15;23}, FALSE)), ""=4"") + COUNTIF(ARRAYFORMULA(HLOOKUP($B27, IMPORTRANGE('Match Names'!$H$23, CONCAT(VLOOKUP($C27, 'Match Names'!$1:$22, 8, FALSE), ""!C3:R29"")), {6;12;18}, FALSE)), ""=4"")"),0.0)</f>
        <v>0</v>
      </c>
      <c r="F27" s="32">
        <f>IFERROR(__xludf.DUMMYFUNCTION("COUNTIF(ARRAYFORMULA(HLOOKUP($B27, IMPORTRANGE('Prelim Rankings Unsorted'!$B$40, CONCAT(VLOOKUP($C27, 'Match Names'!$A$1:$D$22, 2, FALSE), ""!C3:R29"")), {12;18;24}, FALSE)), ""=0"") + COUNTIF(ARRAYFORMULA(HLOOKUP($B27, IMPORTRANGE('Prelim Rankings Unsort"&amp;"ed'!$B$41, CONCAT(VLOOKUP($C27, 'Match Names'!$A$1:$D$22, 3, FALSE), ""!C3:R29"")), {6;12;18}, FALSE)), ""=0"") + COUNTIF(ARRAYFORMULA(HLOOKUP($B27, IMPORTRANGE('Prelim Rankings Unsorted'!$B$42, CONCAT(VLOOKUP($C27, 'Match Names'!$A$1:$D$22, 4, FALSE), """&amp;"!C3:R29"")), {6;12;18}, FALSE)), ""=0"") + COUNTIF(ARRAYFORMULA(HLOOKUP($B27, IMPORTRANGE('Match Names'!$E$23, CONCAT(VLOOKUP($C27, 'Match Names'!$1:$22, 5, FALSE), ""!C3:R29"")), {4;13;18}, FALSE)), ""=0"") + COUNTIF(ARRAYFORMULA(HLOOKUP($B27, IMPORTRANG"&amp;"E('Match Names'!$F$23, CONCAT(VLOOKUP($C27, 'Match Names'!$1:$22, 6, FALSE), ""!C3:R29"")), {7;13;19}, FALSE)), ""=0"") + COUNTIF(ARRAYFORMULA(HLOOKUP($B27, IMPORTRANGE('Match Names'!$G$23, CONCAT(VLOOKUP($C27, 'Match Names'!$1:$22, 7, FALSE), ""!C3:R29"""&amp;")), {11;15;23}, FALSE)), ""=0"") + COUNTIF(ARRAYFORMULA(HLOOKUP($B27, IMPORTRANGE('Match Names'!$H$23, CONCAT(VLOOKUP($C27, 'Match Names'!$1:$22, 8, FALSE), ""!C3:R29"")), {6;12;18}, FALSE)), ""=0"")"),0.0)</f>
        <v>0</v>
      </c>
      <c r="G27" s="32">
        <f>IFERROR(__xludf.DUMMYFUNCTION("COUNTIF(ARRAYFORMULA(HLOOKUP($B27, IMPORTRANGE('Prelim Rankings Unsorted'!$B$40, CONCAT(VLOOKUP($C27, 'Match Names'!$A$1:$D$22, 2, FALSE), ""!C3:R29"")), {12;18;24}, FALSE)), ""=-4"") + COUNTIF(ARRAYFORMULA(HLOOKUP($B27, IMPORTRANGE('Prelim Rankings Unsor"&amp;"ted'!$B$41, CONCAT(VLOOKUP($C27, 'Match Names'!$A$1:$D$22, 3, FALSE), ""!C3:R29"")), {6;12;18}, FALSE)), ""=-4"") + COUNTIF(ARRAYFORMULA(HLOOKUP($B27, IMPORTRANGE('Prelim Rankings Unsorted'!$B$42, CONCAT(VLOOKUP($C27, 'Match Names'!$A$1:$D$22, 4, FALSE), "&amp;"""!C3:R29"")), {6;12;18}, FALSE)), ""=-4"") + COUNTIF(ARRAYFORMULA(HLOOKUP($B27, IMPORTRANGE('Match Names'!$E$23, CONCAT(VLOOKUP($C27, 'Match Names'!$1:$22, 5, FALSE), ""!C3:R29"")), {4;13;18}, FALSE)), ""=-4"") + COUNTIF(ARRAYFORMULA(HLOOKUP($B27, IMPORT"&amp;"RANGE('Match Names'!$F$23, CONCAT(VLOOKUP($C27, 'Match Names'!$1:$22, 6, FALSE), ""!C3:R29"")), {7;13;19}, FALSE)), ""=-4"") + COUNTIF(ARRAYFORMULA(HLOOKUP($B27, IMPORTRANGE('Match Names'!$G$23, CONCAT(VLOOKUP($C27, 'Match Names'!$1:$22, 7, FALSE), ""!C3:"&amp;"R29"")), {11;15;23}, FALSE)), ""=-4"") + COUNTIF(ARRAYFORMULA(HLOOKUP($B27, IMPORTRANGE('Match Names'!$H$23, CONCAT(VLOOKUP($C27, 'Match Names'!$1:$22, 8, FALSE), ""!C3:R29"")), {6;12;18}, FALSE)), ""=-4"")"),0.0)</f>
        <v>0</v>
      </c>
      <c r="H27" s="33">
        <f t="shared" si="1"/>
        <v>0</v>
      </c>
    </row>
    <row r="28">
      <c r="A28" s="31" t="s">
        <v>48</v>
      </c>
      <c r="B28" s="31" t="str">
        <f>VLOOKUP(CONCAT(A28, C28), 'Discord Username to Real Name'!C:D, 2, FALSE)</f>
        <v>a Aquilae#6100</v>
      </c>
      <c r="C28" s="21" t="s">
        <v>27</v>
      </c>
      <c r="D28" s="32">
        <f>IFERROR(__xludf.DUMMYFUNCTION("(3 - COUNTIF(IFERROR(ARRAYFORMULA(HLOOKUP($B28, IMPORTRANGE('Prelim Rankings Unsorted'!$B$40, CONCAT(VLOOKUP($C28, 'Match Names'!$A$1:$D$22, 2, FALSE), ""!C3:R29"")), {12;18;24}, FALSE)), 'Player Overall Stats Unsorted'!$AA$9:$AA$12), ""=X"")) + (3 - COUN"&amp;"TIF(IFERROR(ARRAYFORMULA(HLOOKUP($B28, IMPORTRANGE('Prelim Rankings Unsorted'!$B$41, CONCAT(VLOOKUP($C28, 'Match Names'!$A$1:$D$22, 3, FALSE), ""!C3:R29"")), {6;12;18}, FALSE)), 'Player Overall Stats Unsorted'!$AA$9:$AA$12), ""=X"")) + (3 - COUNTIF(IFERRO"&amp;"R(ARRAYFORMULA(HLOOKUP($B28, IMPORTRANGE('Prelim Rankings Unsorted'!$B$42, CONCAT(VLOOKUP($C28, 'Match Names'!$A$1:$D$22, 4, FALSE), ""!C3:R29"")), {6;12;18}, FALSE)), 'Player Overall Stats Unsorted'!$AA$9:$AA$12), ""=X"")) + (3 - COUNTIF(IFERROR(ARRAYFOR"&amp;"MULA(HLOOKUP($B28, IMPORTRANGE('Match Names'!$E$23, CONCAT(VLOOKUP($C28, 'Match Names'!$1:$22, 5, FALSE), ""!C3:R29"")), {4;13;18}, FALSE)), 'Player Overall Stats Unsorted'!$AA$9:$AA$12), ""=X"")) + (3 - COUNTIF(IFERROR(ARRAYFORMULA(HLOOKUP($B28, IMPORTRA"&amp;"NGE('Match Names'!$F$23, CONCAT(VLOOKUP($C28, 'Match Names'!$1:$22, 6, FALSE), ""!C3:R29"")), {7;13;19}, FALSE)), 'Player Overall Stats Unsorted'!$AA$9:$AA$12), ""=X"")) + (3 - COUNTIF(IFERROR(ARRAYFORMULA(HLOOKUP($B28, IMPORTRANGE('Match Names'!$G$23, CO"&amp;"NCAT(VLOOKUP($C28, 'Match Names'!$1:$22, 7, FALSE), ""!C3:R29"")), {11;15;23}, FALSE)), 'Player Overall Stats Unsorted'!$AA$9:$AA$12), ""=X"")) + (3 - COUNTIF(IFERROR(ARRAYFORMULA(HLOOKUP($B28, IMPORTRANGE('Match Names'!$H$23, CONCAT(VLOOKUP($C28, 'Match "&amp;"Names'!$1:$22, 8, FALSE), ""!C3:R29"")), {6;12;18}, FALSE)), 'Player Overall Stats Unsorted'!$AA$9:$AA$12), ""=X""))"),18.0)</f>
        <v>18</v>
      </c>
      <c r="E28" s="32">
        <f>IFERROR(__xludf.DUMMYFUNCTION("COUNTIF(ARRAYFORMULA(HLOOKUP($B28, IMPORTRANGE('Prelim Rankings Unsorted'!$B$40, CONCAT(VLOOKUP($C28, 'Match Names'!$A$1:$D$22, 2, FALSE), ""!C3:R29"")), {12;18;24}, FALSE)), ""=4"") + COUNTIF(ARRAYFORMULA(HLOOKUP($B28, IMPORTRANGE('Prelim Rankings Unsort"&amp;"ed'!$B$41, CONCAT(VLOOKUP($C28, 'Match Names'!$A$1:$D$22, 3, FALSE), ""!C3:R29"")), {6;12;18}, FALSE)), ""=4"") + COUNTIF(ARRAYFORMULA(HLOOKUP($B28, IMPORTRANGE('Prelim Rankings Unsorted'!$B$42, CONCAT(VLOOKUP($C28, 'Match Names'!$A$1:$D$22, 4, FALSE), """&amp;"!C3:R29"")), {6;12;18}, FALSE)), ""=4"") + COUNTIF(ARRAYFORMULA(HLOOKUP($B28, IMPORTRANGE('Match Names'!$E$23, CONCAT(VLOOKUP($C28, 'Match Names'!$1:$22, 5, FALSE), ""!C3:R29"")), {4;13;18}, FALSE)), ""=4"") + COUNTIF(ARRAYFORMULA(HLOOKUP($B28, IMPORTRANG"&amp;"E('Match Names'!$F$23, CONCAT(VLOOKUP($C28, 'Match Names'!$1:$22, 6, FALSE), ""!C3:R29"")), {7;13;19}, FALSE)), ""=4"") + COUNTIF(ARRAYFORMULA(HLOOKUP($B28, IMPORTRANGE('Match Names'!$G$23, CONCAT(VLOOKUP($C28, 'Match Names'!$1:$22, 7, FALSE), ""!C3:R29"""&amp;")), {11;15;23}, FALSE)), ""=4"") + COUNTIF(ARRAYFORMULA(HLOOKUP($B28, IMPORTRANGE('Match Names'!$H$23, CONCAT(VLOOKUP($C28, 'Match Names'!$1:$22, 8, FALSE), ""!C3:R29"")), {6;12;18}, FALSE)), ""=4"")"),3.0)</f>
        <v>3</v>
      </c>
      <c r="F28" s="32">
        <f>IFERROR(__xludf.DUMMYFUNCTION("COUNTIF(ARRAYFORMULA(HLOOKUP($B28, IMPORTRANGE('Prelim Rankings Unsorted'!$B$40, CONCAT(VLOOKUP($C28, 'Match Names'!$A$1:$D$22, 2, FALSE), ""!C3:R29"")), {12;18;24}, FALSE)), ""=0"") + COUNTIF(ARRAYFORMULA(HLOOKUP($B28, IMPORTRANGE('Prelim Rankings Unsort"&amp;"ed'!$B$41, CONCAT(VLOOKUP($C28, 'Match Names'!$A$1:$D$22, 3, FALSE), ""!C3:R29"")), {6;12;18}, FALSE)), ""=0"") + COUNTIF(ARRAYFORMULA(HLOOKUP($B28, IMPORTRANGE('Prelim Rankings Unsorted'!$B$42, CONCAT(VLOOKUP($C28, 'Match Names'!$A$1:$D$22, 4, FALSE), """&amp;"!C3:R29"")), {6;12;18}, FALSE)), ""=0"") + COUNTIF(ARRAYFORMULA(HLOOKUP($B28, IMPORTRANGE('Match Names'!$E$23, CONCAT(VLOOKUP($C28, 'Match Names'!$1:$22, 5, FALSE), ""!C3:R29"")), {4;13;18}, FALSE)), ""=0"") + COUNTIF(ARRAYFORMULA(HLOOKUP($B28, IMPORTRANG"&amp;"E('Match Names'!$F$23, CONCAT(VLOOKUP($C28, 'Match Names'!$1:$22, 6, FALSE), ""!C3:R29"")), {7;13;19}, FALSE)), ""=0"") + COUNTIF(ARRAYFORMULA(HLOOKUP($B28, IMPORTRANGE('Match Names'!$G$23, CONCAT(VLOOKUP($C28, 'Match Names'!$1:$22, 7, FALSE), ""!C3:R29"""&amp;")), {11;15;23}, FALSE)), ""=0"") + COUNTIF(ARRAYFORMULA(HLOOKUP($B28, IMPORTRANGE('Match Names'!$H$23, CONCAT(VLOOKUP($C28, 'Match Names'!$1:$22, 8, FALSE), ""!C3:R29"")), {6;12;18}, FALSE)), ""=0"")"),1.0)</f>
        <v>1</v>
      </c>
      <c r="G28" s="32">
        <f>IFERROR(__xludf.DUMMYFUNCTION("COUNTIF(ARRAYFORMULA(HLOOKUP($B28, IMPORTRANGE('Prelim Rankings Unsorted'!$B$40, CONCAT(VLOOKUP($C28, 'Match Names'!$A$1:$D$22, 2, FALSE), ""!C3:R29"")), {12;18;24}, FALSE)), ""=-4"") + COUNTIF(ARRAYFORMULA(HLOOKUP($B28, IMPORTRANGE('Prelim Rankings Unsor"&amp;"ted'!$B$41, CONCAT(VLOOKUP($C28, 'Match Names'!$A$1:$D$22, 3, FALSE), ""!C3:R29"")), {6;12;18}, FALSE)), ""=-4"") + COUNTIF(ARRAYFORMULA(HLOOKUP($B28, IMPORTRANGE('Prelim Rankings Unsorted'!$B$42, CONCAT(VLOOKUP($C28, 'Match Names'!$A$1:$D$22, 4, FALSE), "&amp;"""!C3:R29"")), {6;12;18}, FALSE)), ""=-4"") + COUNTIF(ARRAYFORMULA(HLOOKUP($B28, IMPORTRANGE('Match Names'!$E$23, CONCAT(VLOOKUP($C28, 'Match Names'!$1:$22, 5, FALSE), ""!C3:R29"")), {4;13;18}, FALSE)), ""=-4"") + COUNTIF(ARRAYFORMULA(HLOOKUP($B28, IMPORT"&amp;"RANGE('Match Names'!$F$23, CONCAT(VLOOKUP($C28, 'Match Names'!$1:$22, 6, FALSE), ""!C3:R29"")), {7;13;19}, FALSE)), ""=-4"") + COUNTIF(ARRAYFORMULA(HLOOKUP($B28, IMPORTRANGE('Match Names'!$G$23, CONCAT(VLOOKUP($C28, 'Match Names'!$1:$22, 7, FALSE), ""!C3:"&amp;"R29"")), {11;15;23}, FALSE)), ""=-4"") + COUNTIF(ARRAYFORMULA(HLOOKUP($B28, IMPORTRANGE('Match Names'!$H$23, CONCAT(VLOOKUP($C28, 'Match Names'!$1:$22, 8, FALSE), ""!C3:R29"")), {6;12;18}, FALSE)), ""=-4"")"),0.0)</f>
        <v>0</v>
      </c>
      <c r="H28" s="33">
        <f t="shared" si="1"/>
        <v>2</v>
      </c>
    </row>
    <row r="29">
      <c r="A29" s="31" t="s">
        <v>122</v>
      </c>
      <c r="B29" s="31" t="str">
        <f>VLOOKUP(CONCAT(A29, C29), 'Discord Username to Real Name'!C:D, 2, FALSE)</f>
        <v>emu#0818</v>
      </c>
      <c r="C29" s="21" t="s">
        <v>27</v>
      </c>
      <c r="D29" s="32">
        <f>IFERROR(__xludf.DUMMYFUNCTION("(3 - COUNTIF(IFERROR(ARRAYFORMULA(HLOOKUP($B29, IMPORTRANGE('Prelim Rankings Unsorted'!$B$40, CONCAT(VLOOKUP($C29, 'Match Names'!$A$1:$D$22, 2, FALSE), ""!C3:R29"")), {12;18;24}, FALSE)), 'Player Overall Stats Unsorted'!$AA$9:$AA$12), ""=X"")) + (3 - COUN"&amp;"TIF(IFERROR(ARRAYFORMULA(HLOOKUP($B29, IMPORTRANGE('Prelim Rankings Unsorted'!$B$41, CONCAT(VLOOKUP($C29, 'Match Names'!$A$1:$D$22, 3, FALSE), ""!C3:R29"")), {6;12;18}, FALSE)), 'Player Overall Stats Unsorted'!$AA$9:$AA$12), ""=X"")) + (3 - COUNTIF(IFERRO"&amp;"R(ARRAYFORMULA(HLOOKUP($B29, IMPORTRANGE('Prelim Rankings Unsorted'!$B$42, CONCAT(VLOOKUP($C29, 'Match Names'!$A$1:$D$22, 4, FALSE), ""!C3:R29"")), {6;12;18}, FALSE)), 'Player Overall Stats Unsorted'!$AA$9:$AA$12), ""=X"")) + (3 - COUNTIF(IFERROR(ARRAYFOR"&amp;"MULA(HLOOKUP($B29, IMPORTRANGE('Match Names'!$E$23, CONCAT(VLOOKUP($C29, 'Match Names'!$1:$22, 5, FALSE), ""!C3:R29"")), {4;13;18}, FALSE)), 'Player Overall Stats Unsorted'!$AA$9:$AA$12), ""=X"")) + (3 - COUNTIF(IFERROR(ARRAYFORMULA(HLOOKUP($B29, IMPORTRA"&amp;"NGE('Match Names'!$F$23, CONCAT(VLOOKUP($C29, 'Match Names'!$1:$22, 6, FALSE), ""!C3:R29"")), {7;13;19}, FALSE)), 'Player Overall Stats Unsorted'!$AA$9:$AA$12), ""=X"")) + (3 - COUNTIF(IFERROR(ARRAYFORMULA(HLOOKUP($B29, IMPORTRANGE('Match Names'!$G$23, CO"&amp;"NCAT(VLOOKUP($C29, 'Match Names'!$1:$22, 7, FALSE), ""!C3:R29"")), {11;15;23}, FALSE)), 'Player Overall Stats Unsorted'!$AA$9:$AA$12), ""=X"")) + (3 - COUNTIF(IFERROR(ARRAYFORMULA(HLOOKUP($B29, IMPORTRANGE('Match Names'!$H$23, CONCAT(VLOOKUP($C29, 'Match "&amp;"Names'!$1:$22, 8, FALSE), ""!C3:R29"")), {6;12;18}, FALSE)), 'Player Overall Stats Unsorted'!$AA$9:$AA$12), ""=X""))"),15.0)</f>
        <v>15</v>
      </c>
      <c r="E29" s="32">
        <f>IFERROR(__xludf.DUMMYFUNCTION("COUNTIF(ARRAYFORMULA(HLOOKUP($B29, IMPORTRANGE('Prelim Rankings Unsorted'!$B$40, CONCAT(VLOOKUP($C29, 'Match Names'!$A$1:$D$22, 2, FALSE), ""!C3:R29"")), {12;18;24}, FALSE)), ""=4"") + COUNTIF(ARRAYFORMULA(HLOOKUP($B29, IMPORTRANGE('Prelim Rankings Unsort"&amp;"ed'!$B$41, CONCAT(VLOOKUP($C29, 'Match Names'!$A$1:$D$22, 3, FALSE), ""!C3:R29"")), {6;12;18}, FALSE)), ""=4"") + COUNTIF(ARRAYFORMULA(HLOOKUP($B29, IMPORTRANGE('Prelim Rankings Unsorted'!$B$42, CONCAT(VLOOKUP($C29, 'Match Names'!$A$1:$D$22, 4, FALSE), """&amp;"!C3:R29"")), {6;12;18}, FALSE)), ""=4"") + COUNTIF(ARRAYFORMULA(HLOOKUP($B29, IMPORTRANGE('Match Names'!$E$23, CONCAT(VLOOKUP($C29, 'Match Names'!$1:$22, 5, FALSE), ""!C3:R29"")), {4;13;18}, FALSE)), ""=4"") + COUNTIF(ARRAYFORMULA(HLOOKUP($B29, IMPORTRANG"&amp;"E('Match Names'!$F$23, CONCAT(VLOOKUP($C29, 'Match Names'!$1:$22, 6, FALSE), ""!C3:R29"")), {7;13;19}, FALSE)), ""=4"") + COUNTIF(ARRAYFORMULA(HLOOKUP($B29, IMPORTRANGE('Match Names'!$G$23, CONCAT(VLOOKUP($C29, 'Match Names'!$1:$22, 7, FALSE), ""!C3:R29"""&amp;")), {11;15;23}, FALSE)), ""=4"") + COUNTIF(ARRAYFORMULA(HLOOKUP($B29, IMPORTRANGE('Match Names'!$H$23, CONCAT(VLOOKUP($C29, 'Match Names'!$1:$22, 8, FALSE), ""!C3:R29"")), {6;12;18}, FALSE)), ""=4"")"),0.0)</f>
        <v>0</v>
      </c>
      <c r="F29" s="32">
        <f>IFERROR(__xludf.DUMMYFUNCTION("COUNTIF(ARRAYFORMULA(HLOOKUP($B29, IMPORTRANGE('Prelim Rankings Unsorted'!$B$40, CONCAT(VLOOKUP($C29, 'Match Names'!$A$1:$D$22, 2, FALSE), ""!C3:R29"")), {12;18;24}, FALSE)), ""=0"") + COUNTIF(ARRAYFORMULA(HLOOKUP($B29, IMPORTRANGE('Prelim Rankings Unsort"&amp;"ed'!$B$41, CONCAT(VLOOKUP($C29, 'Match Names'!$A$1:$D$22, 3, FALSE), ""!C3:R29"")), {6;12;18}, FALSE)), ""=0"") + COUNTIF(ARRAYFORMULA(HLOOKUP($B29, IMPORTRANGE('Prelim Rankings Unsorted'!$B$42, CONCAT(VLOOKUP($C29, 'Match Names'!$A$1:$D$22, 4, FALSE), """&amp;"!C3:R29"")), {6;12;18}, FALSE)), ""=0"") + COUNTIF(ARRAYFORMULA(HLOOKUP($B29, IMPORTRANGE('Match Names'!$E$23, CONCAT(VLOOKUP($C29, 'Match Names'!$1:$22, 5, FALSE), ""!C3:R29"")), {4;13;18}, FALSE)), ""=0"") + COUNTIF(ARRAYFORMULA(HLOOKUP($B29, IMPORTRANG"&amp;"E('Match Names'!$F$23, CONCAT(VLOOKUP($C29, 'Match Names'!$1:$22, 6, FALSE), ""!C3:R29"")), {7;13;19}, FALSE)), ""=0"") + COUNTIF(ARRAYFORMULA(HLOOKUP($B29, IMPORTRANGE('Match Names'!$G$23, CONCAT(VLOOKUP($C29, 'Match Names'!$1:$22, 7, FALSE), ""!C3:R29"""&amp;")), {11;15;23}, FALSE)), ""=0"") + COUNTIF(ARRAYFORMULA(HLOOKUP($B29, IMPORTRANGE('Match Names'!$H$23, CONCAT(VLOOKUP($C29, 'Match Names'!$1:$22, 8, FALSE), ""!C3:R29"")), {6;12;18}, FALSE)), ""=0"")"),0.0)</f>
        <v>0</v>
      </c>
      <c r="G29" s="32">
        <f>IFERROR(__xludf.DUMMYFUNCTION("COUNTIF(ARRAYFORMULA(HLOOKUP($B29, IMPORTRANGE('Prelim Rankings Unsorted'!$B$40, CONCAT(VLOOKUP($C29, 'Match Names'!$A$1:$D$22, 2, FALSE), ""!C3:R29"")), {12;18;24}, FALSE)), ""=-4"") + COUNTIF(ARRAYFORMULA(HLOOKUP($B29, IMPORTRANGE('Prelim Rankings Unsor"&amp;"ted'!$B$41, CONCAT(VLOOKUP($C29, 'Match Names'!$A$1:$D$22, 3, FALSE), ""!C3:R29"")), {6;12;18}, FALSE)), ""=-4"") + COUNTIF(ARRAYFORMULA(HLOOKUP($B29, IMPORTRANGE('Prelim Rankings Unsorted'!$B$42, CONCAT(VLOOKUP($C29, 'Match Names'!$A$1:$D$22, 4, FALSE), "&amp;"""!C3:R29"")), {6;12;18}, FALSE)), ""=-4"") + COUNTIF(ARRAYFORMULA(HLOOKUP($B29, IMPORTRANGE('Match Names'!$E$23, CONCAT(VLOOKUP($C29, 'Match Names'!$1:$22, 5, FALSE), ""!C3:R29"")), {4;13;18}, FALSE)), ""=-4"") + COUNTIF(ARRAYFORMULA(HLOOKUP($B29, IMPORT"&amp;"RANGE('Match Names'!$F$23, CONCAT(VLOOKUP($C29, 'Match Names'!$1:$22, 6, FALSE), ""!C3:R29"")), {7;13;19}, FALSE)), ""=-4"") + COUNTIF(ARRAYFORMULA(HLOOKUP($B29, IMPORTRANGE('Match Names'!$G$23, CONCAT(VLOOKUP($C29, 'Match Names'!$1:$22, 7, FALSE), ""!C3:"&amp;"R29"")), {11;15;23}, FALSE)), ""=-4"") + COUNTIF(ARRAYFORMULA(HLOOKUP($B29, IMPORTRANGE('Match Names'!$H$23, CONCAT(VLOOKUP($C29, 'Match Names'!$1:$22, 8, FALSE), ""!C3:R29"")), {6;12;18}, FALSE)), ""=-4"")"),0.0)</f>
        <v>0</v>
      </c>
      <c r="H29" s="33">
        <f t="shared" si="1"/>
        <v>0</v>
      </c>
    </row>
    <row r="30">
      <c r="A30" s="31" t="s">
        <v>138</v>
      </c>
      <c r="B30" s="31" t="str">
        <f>VLOOKUP(CONCAT(A30, C30), 'Discord Username to Real Name'!C:D, 2, FALSE)</f>
        <v>sachiko#9539</v>
      </c>
      <c r="C30" s="21" t="s">
        <v>27</v>
      </c>
      <c r="D30" s="32">
        <f>IFERROR(__xludf.DUMMYFUNCTION("(3 - COUNTIF(IFERROR(ARRAYFORMULA(HLOOKUP($B30, IMPORTRANGE('Prelim Rankings Unsorted'!$B$40, CONCAT(VLOOKUP($C30, 'Match Names'!$A$1:$D$22, 2, FALSE), ""!C3:R29"")), {12;18;24}, FALSE)), 'Player Overall Stats Unsorted'!$AA$9:$AA$12), ""=X"")) + (3 - COUN"&amp;"TIF(IFERROR(ARRAYFORMULA(HLOOKUP($B30, IMPORTRANGE('Prelim Rankings Unsorted'!$B$41, CONCAT(VLOOKUP($C30, 'Match Names'!$A$1:$D$22, 3, FALSE), ""!C3:R29"")), {6;12;18}, FALSE)), 'Player Overall Stats Unsorted'!$AA$9:$AA$12), ""=X"")) + (3 - COUNTIF(IFERRO"&amp;"R(ARRAYFORMULA(HLOOKUP($B30, IMPORTRANGE('Prelim Rankings Unsorted'!$B$42, CONCAT(VLOOKUP($C30, 'Match Names'!$A$1:$D$22, 4, FALSE), ""!C3:R29"")), {6;12;18}, FALSE)), 'Player Overall Stats Unsorted'!$AA$9:$AA$12), ""=X"")) + (3 - COUNTIF(IFERROR(ARRAYFOR"&amp;"MULA(HLOOKUP($B30, IMPORTRANGE('Match Names'!$E$23, CONCAT(VLOOKUP($C30, 'Match Names'!$1:$22, 5, FALSE), ""!C3:R29"")), {4;13;18}, FALSE)), 'Player Overall Stats Unsorted'!$AA$9:$AA$12), ""=X"")) + (3 - COUNTIF(IFERROR(ARRAYFORMULA(HLOOKUP($B30, IMPORTRA"&amp;"NGE('Match Names'!$F$23, CONCAT(VLOOKUP($C30, 'Match Names'!$1:$22, 6, FALSE), ""!C3:R29"")), {7;13;19}, FALSE)), 'Player Overall Stats Unsorted'!$AA$9:$AA$12), ""=X"")) + (3 - COUNTIF(IFERROR(ARRAYFORMULA(HLOOKUP($B30, IMPORTRANGE('Match Names'!$G$23, CO"&amp;"NCAT(VLOOKUP($C30, 'Match Names'!$1:$22, 7, FALSE), ""!C3:R29"")), {11;15;23}, FALSE)), 'Player Overall Stats Unsorted'!$AA$9:$AA$12), ""=X"")) + (3 - COUNTIF(IFERROR(ARRAYFORMULA(HLOOKUP($B30, IMPORTRANGE('Match Names'!$H$23, CONCAT(VLOOKUP($C30, 'Match "&amp;"Names'!$1:$22, 8, FALSE), ""!C3:R29"")), {6;12;18}, FALSE)), 'Player Overall Stats Unsorted'!$AA$9:$AA$12), ""=X""))"),16.0)</f>
        <v>16</v>
      </c>
      <c r="E30" s="32">
        <f>IFERROR(__xludf.DUMMYFUNCTION("COUNTIF(ARRAYFORMULA(HLOOKUP($B30, IMPORTRANGE('Prelim Rankings Unsorted'!$B$40, CONCAT(VLOOKUP($C30, 'Match Names'!$A$1:$D$22, 2, FALSE), ""!C3:R29"")), {12;18;24}, FALSE)), ""=4"") + COUNTIF(ARRAYFORMULA(HLOOKUP($B30, IMPORTRANGE('Prelim Rankings Unsort"&amp;"ed'!$B$41, CONCAT(VLOOKUP($C30, 'Match Names'!$A$1:$D$22, 3, FALSE), ""!C3:R29"")), {6;12;18}, FALSE)), ""=4"") + COUNTIF(ARRAYFORMULA(HLOOKUP($B30, IMPORTRANGE('Prelim Rankings Unsorted'!$B$42, CONCAT(VLOOKUP($C30, 'Match Names'!$A$1:$D$22, 4, FALSE), """&amp;"!C3:R29"")), {6;12;18}, FALSE)), ""=4"") + COUNTIF(ARRAYFORMULA(HLOOKUP($B30, IMPORTRANGE('Match Names'!$E$23, CONCAT(VLOOKUP($C30, 'Match Names'!$1:$22, 5, FALSE), ""!C3:R29"")), {4;13;18}, FALSE)), ""=4"") + COUNTIF(ARRAYFORMULA(HLOOKUP($B30, IMPORTRANG"&amp;"E('Match Names'!$F$23, CONCAT(VLOOKUP($C30, 'Match Names'!$1:$22, 6, FALSE), ""!C3:R29"")), {7;13;19}, FALSE)), ""=4"") + COUNTIF(ARRAYFORMULA(HLOOKUP($B30, IMPORTRANGE('Match Names'!$G$23, CONCAT(VLOOKUP($C30, 'Match Names'!$1:$22, 7, FALSE), ""!C3:R29"""&amp;")), {11;15;23}, FALSE)), ""=4"") + COUNTIF(ARRAYFORMULA(HLOOKUP($B30, IMPORTRANGE('Match Names'!$H$23, CONCAT(VLOOKUP($C30, 'Match Names'!$1:$22, 8, FALSE), ""!C3:R29"")), {6;12;18}, FALSE)), ""=4"")"),0.0)</f>
        <v>0</v>
      </c>
      <c r="F30" s="32">
        <f>IFERROR(__xludf.DUMMYFUNCTION("COUNTIF(ARRAYFORMULA(HLOOKUP($B30, IMPORTRANGE('Prelim Rankings Unsorted'!$B$40, CONCAT(VLOOKUP($C30, 'Match Names'!$A$1:$D$22, 2, FALSE), ""!C3:R29"")), {12;18;24}, FALSE)), ""=0"") + COUNTIF(ARRAYFORMULA(HLOOKUP($B30, IMPORTRANGE('Prelim Rankings Unsort"&amp;"ed'!$B$41, CONCAT(VLOOKUP($C30, 'Match Names'!$A$1:$D$22, 3, FALSE), ""!C3:R29"")), {6;12;18}, FALSE)), ""=0"") + COUNTIF(ARRAYFORMULA(HLOOKUP($B30, IMPORTRANGE('Prelim Rankings Unsorted'!$B$42, CONCAT(VLOOKUP($C30, 'Match Names'!$A$1:$D$22, 4, FALSE), """&amp;"!C3:R29"")), {6;12;18}, FALSE)), ""=0"") + COUNTIF(ARRAYFORMULA(HLOOKUP($B30, IMPORTRANGE('Match Names'!$E$23, CONCAT(VLOOKUP($C30, 'Match Names'!$1:$22, 5, FALSE), ""!C3:R29"")), {4;13;18}, FALSE)), ""=0"") + COUNTIF(ARRAYFORMULA(HLOOKUP($B30, IMPORTRANG"&amp;"E('Match Names'!$F$23, CONCAT(VLOOKUP($C30, 'Match Names'!$1:$22, 6, FALSE), ""!C3:R29"")), {7;13;19}, FALSE)), ""=0"") + COUNTIF(ARRAYFORMULA(HLOOKUP($B30, IMPORTRANGE('Match Names'!$G$23, CONCAT(VLOOKUP($C30, 'Match Names'!$1:$22, 7, FALSE), ""!C3:R29"""&amp;")), {11;15;23}, FALSE)), ""=0"") + COUNTIF(ARRAYFORMULA(HLOOKUP($B30, IMPORTRANGE('Match Names'!$H$23, CONCAT(VLOOKUP($C30, 'Match Names'!$1:$22, 8, FALSE), ""!C3:R29"")), {6;12;18}, FALSE)), ""=0"")"),1.0)</f>
        <v>1</v>
      </c>
      <c r="G30" s="32">
        <f>IFERROR(__xludf.DUMMYFUNCTION("COUNTIF(ARRAYFORMULA(HLOOKUP($B30, IMPORTRANGE('Prelim Rankings Unsorted'!$B$40, CONCAT(VLOOKUP($C30, 'Match Names'!$A$1:$D$22, 2, FALSE), ""!C3:R29"")), {12;18;24}, FALSE)), ""=-4"") + COUNTIF(ARRAYFORMULA(HLOOKUP($B30, IMPORTRANGE('Prelim Rankings Unsor"&amp;"ted'!$B$41, CONCAT(VLOOKUP($C30, 'Match Names'!$A$1:$D$22, 3, FALSE), ""!C3:R29"")), {6;12;18}, FALSE)), ""=-4"") + COUNTIF(ARRAYFORMULA(HLOOKUP($B30, IMPORTRANGE('Prelim Rankings Unsorted'!$B$42, CONCAT(VLOOKUP($C30, 'Match Names'!$A$1:$D$22, 4, FALSE), "&amp;"""!C3:R29"")), {6;12;18}, FALSE)), ""=-4"") + COUNTIF(ARRAYFORMULA(HLOOKUP($B30, IMPORTRANGE('Match Names'!$E$23, CONCAT(VLOOKUP($C30, 'Match Names'!$1:$22, 5, FALSE), ""!C3:R29"")), {4;13;18}, FALSE)), ""=-4"") + COUNTIF(ARRAYFORMULA(HLOOKUP($B30, IMPORT"&amp;"RANGE('Match Names'!$F$23, CONCAT(VLOOKUP($C30, 'Match Names'!$1:$22, 6, FALSE), ""!C3:R29"")), {7;13;19}, FALSE)), ""=-4"") + COUNTIF(ARRAYFORMULA(HLOOKUP($B30, IMPORTRANGE('Match Names'!$G$23, CONCAT(VLOOKUP($C30, 'Match Names'!$1:$22, 7, FALSE), ""!C3:"&amp;"R29"")), {11;15;23}, FALSE)), ""=-4"") + COUNTIF(ARRAYFORMULA(HLOOKUP($B30, IMPORTRANGE('Match Names'!$H$23, CONCAT(VLOOKUP($C30, 'Match Names'!$1:$22, 8, FALSE), ""!C3:R29"")), {6;12;18}, FALSE)), ""=-4"")"),0.0)</f>
        <v>0</v>
      </c>
      <c r="H30" s="33">
        <f t="shared" si="1"/>
        <v>0</v>
      </c>
    </row>
    <row r="31">
      <c r="A31" s="31" t="s">
        <v>186</v>
      </c>
      <c r="B31" s="31" t="str">
        <f>VLOOKUP(CONCAT(A31, C31), 'Discord Username to Real Name'!C:D, 2, FALSE)</f>
        <v>audrey#4828</v>
      </c>
      <c r="C31" s="21" t="s">
        <v>27</v>
      </c>
      <c r="D31" s="32">
        <f>IFERROR(__xludf.DUMMYFUNCTION("(3 - COUNTIF(IFERROR(ARRAYFORMULA(HLOOKUP($B31, IMPORTRANGE('Prelim Rankings Unsorted'!$B$40, CONCAT(VLOOKUP($C31, 'Match Names'!$A$1:$D$22, 2, FALSE), ""!C3:R29"")), {12;18;24}, FALSE)), 'Player Overall Stats Unsorted'!$AA$9:$AA$12), ""=X"")) + (3 - COUN"&amp;"TIF(IFERROR(ARRAYFORMULA(HLOOKUP($B31, IMPORTRANGE('Prelim Rankings Unsorted'!$B$41, CONCAT(VLOOKUP($C31, 'Match Names'!$A$1:$D$22, 3, FALSE), ""!C3:R29"")), {6;12;18}, FALSE)), 'Player Overall Stats Unsorted'!$AA$9:$AA$12), ""=X"")) + (3 - COUNTIF(IFERRO"&amp;"R(ARRAYFORMULA(HLOOKUP($B31, IMPORTRANGE('Prelim Rankings Unsorted'!$B$42, CONCAT(VLOOKUP($C31, 'Match Names'!$A$1:$D$22, 4, FALSE), ""!C3:R29"")), {6;12;18}, FALSE)), 'Player Overall Stats Unsorted'!$AA$9:$AA$12), ""=X"")) + (3 - COUNTIF(IFERROR(ARRAYFOR"&amp;"MULA(HLOOKUP($B31, IMPORTRANGE('Match Names'!$E$23, CONCAT(VLOOKUP($C31, 'Match Names'!$1:$22, 5, FALSE), ""!C3:R29"")), {4;13;18}, FALSE)), 'Player Overall Stats Unsorted'!$AA$9:$AA$12), ""=X"")) + (3 - COUNTIF(IFERROR(ARRAYFORMULA(HLOOKUP($B31, IMPORTRA"&amp;"NGE('Match Names'!$F$23, CONCAT(VLOOKUP($C31, 'Match Names'!$1:$22, 6, FALSE), ""!C3:R29"")), {7;13;19}, FALSE)), 'Player Overall Stats Unsorted'!$AA$9:$AA$12), ""=X"")) + (3 - COUNTIF(IFERROR(ARRAYFORMULA(HLOOKUP($B31, IMPORTRANGE('Match Names'!$G$23, CO"&amp;"NCAT(VLOOKUP($C31, 'Match Names'!$1:$22, 7, FALSE), ""!C3:R29"")), {11;15;23}, FALSE)), 'Player Overall Stats Unsorted'!$AA$9:$AA$12), ""=X"")) + (3 - COUNTIF(IFERROR(ARRAYFORMULA(HLOOKUP($B31, IMPORTRANGE('Match Names'!$H$23, CONCAT(VLOOKUP($C31, 'Match "&amp;"Names'!$1:$22, 8, FALSE), ""!C3:R29"")), {6;12;18}, FALSE)), 'Player Overall Stats Unsorted'!$AA$9:$AA$12), ""=X""))"),5.0)</f>
        <v>5</v>
      </c>
      <c r="E31" s="32">
        <f>IFERROR(__xludf.DUMMYFUNCTION("COUNTIF(ARRAYFORMULA(HLOOKUP($B31, IMPORTRANGE('Prelim Rankings Unsorted'!$B$40, CONCAT(VLOOKUP($C31, 'Match Names'!$A$1:$D$22, 2, FALSE), ""!C3:R29"")), {12;18;24}, FALSE)), ""=4"") + COUNTIF(ARRAYFORMULA(HLOOKUP($B31, IMPORTRANGE('Prelim Rankings Unsort"&amp;"ed'!$B$41, CONCAT(VLOOKUP($C31, 'Match Names'!$A$1:$D$22, 3, FALSE), ""!C3:R29"")), {6;12;18}, FALSE)), ""=4"") + COUNTIF(ARRAYFORMULA(HLOOKUP($B31, IMPORTRANGE('Prelim Rankings Unsorted'!$B$42, CONCAT(VLOOKUP($C31, 'Match Names'!$A$1:$D$22, 4, FALSE), """&amp;"!C3:R29"")), {6;12;18}, FALSE)), ""=4"") + COUNTIF(ARRAYFORMULA(HLOOKUP($B31, IMPORTRANGE('Match Names'!$E$23, CONCAT(VLOOKUP($C31, 'Match Names'!$1:$22, 5, FALSE), ""!C3:R29"")), {4;13;18}, FALSE)), ""=4"") + COUNTIF(ARRAYFORMULA(HLOOKUP($B31, IMPORTRANG"&amp;"E('Match Names'!$F$23, CONCAT(VLOOKUP($C31, 'Match Names'!$1:$22, 6, FALSE), ""!C3:R29"")), {7;13;19}, FALSE)), ""=4"") + COUNTIF(ARRAYFORMULA(HLOOKUP($B31, IMPORTRANGE('Match Names'!$G$23, CONCAT(VLOOKUP($C31, 'Match Names'!$1:$22, 7, FALSE), ""!C3:R29"""&amp;")), {11;15;23}, FALSE)), ""=4"") + COUNTIF(ARRAYFORMULA(HLOOKUP($B31, IMPORTRANGE('Match Names'!$H$23, CONCAT(VLOOKUP($C31, 'Match Names'!$1:$22, 8, FALSE), ""!C3:R29"")), {6;12;18}, FALSE)), ""=4"")"),0.0)</f>
        <v>0</v>
      </c>
      <c r="F31" s="32">
        <f>IFERROR(__xludf.DUMMYFUNCTION("COUNTIF(ARRAYFORMULA(HLOOKUP($B31, IMPORTRANGE('Prelim Rankings Unsorted'!$B$40, CONCAT(VLOOKUP($C31, 'Match Names'!$A$1:$D$22, 2, FALSE), ""!C3:R29"")), {12;18;24}, FALSE)), ""=0"") + COUNTIF(ARRAYFORMULA(HLOOKUP($B31, IMPORTRANGE('Prelim Rankings Unsort"&amp;"ed'!$B$41, CONCAT(VLOOKUP($C31, 'Match Names'!$A$1:$D$22, 3, FALSE), ""!C3:R29"")), {6;12;18}, FALSE)), ""=0"") + COUNTIF(ARRAYFORMULA(HLOOKUP($B31, IMPORTRANGE('Prelim Rankings Unsorted'!$B$42, CONCAT(VLOOKUP($C31, 'Match Names'!$A$1:$D$22, 4, FALSE), """&amp;"!C3:R29"")), {6;12;18}, FALSE)), ""=0"") + COUNTIF(ARRAYFORMULA(HLOOKUP($B31, IMPORTRANGE('Match Names'!$E$23, CONCAT(VLOOKUP($C31, 'Match Names'!$1:$22, 5, FALSE), ""!C3:R29"")), {4;13;18}, FALSE)), ""=0"") + COUNTIF(ARRAYFORMULA(HLOOKUP($B31, IMPORTRANG"&amp;"E('Match Names'!$F$23, CONCAT(VLOOKUP($C31, 'Match Names'!$1:$22, 6, FALSE), ""!C3:R29"")), {7;13;19}, FALSE)), ""=0"") + COUNTIF(ARRAYFORMULA(HLOOKUP($B31, IMPORTRANGE('Match Names'!$G$23, CONCAT(VLOOKUP($C31, 'Match Names'!$1:$22, 7, FALSE), ""!C3:R29"""&amp;")), {11;15;23}, FALSE)), ""=0"") + COUNTIF(ARRAYFORMULA(HLOOKUP($B31, IMPORTRANGE('Match Names'!$H$23, CONCAT(VLOOKUP($C31, 'Match Names'!$1:$22, 8, FALSE), ""!C3:R29"")), {6;12;18}, FALSE)), ""=0"")"),0.0)</f>
        <v>0</v>
      </c>
      <c r="G31" s="32">
        <f>IFERROR(__xludf.DUMMYFUNCTION("COUNTIF(ARRAYFORMULA(HLOOKUP($B31, IMPORTRANGE('Prelim Rankings Unsorted'!$B$40, CONCAT(VLOOKUP($C31, 'Match Names'!$A$1:$D$22, 2, FALSE), ""!C3:R29"")), {12;18;24}, FALSE)), ""=-4"") + COUNTIF(ARRAYFORMULA(HLOOKUP($B31, IMPORTRANGE('Prelim Rankings Unsor"&amp;"ted'!$B$41, CONCAT(VLOOKUP($C31, 'Match Names'!$A$1:$D$22, 3, FALSE), ""!C3:R29"")), {6;12;18}, FALSE)), ""=-4"") + COUNTIF(ARRAYFORMULA(HLOOKUP($B31, IMPORTRANGE('Prelim Rankings Unsorted'!$B$42, CONCAT(VLOOKUP($C31, 'Match Names'!$A$1:$D$22, 4, FALSE), "&amp;"""!C3:R29"")), {6;12;18}, FALSE)), ""=-4"") + COUNTIF(ARRAYFORMULA(HLOOKUP($B31, IMPORTRANGE('Match Names'!$E$23, CONCAT(VLOOKUP($C31, 'Match Names'!$1:$22, 5, FALSE), ""!C3:R29"")), {4;13;18}, FALSE)), ""=-4"") + COUNTIF(ARRAYFORMULA(HLOOKUP($B31, IMPORT"&amp;"RANGE('Match Names'!$F$23, CONCAT(VLOOKUP($C31, 'Match Names'!$1:$22, 6, FALSE), ""!C3:R29"")), {7;13;19}, FALSE)), ""=-4"") + COUNTIF(ARRAYFORMULA(HLOOKUP($B31, IMPORTRANGE('Match Names'!$G$23, CONCAT(VLOOKUP($C31, 'Match Names'!$1:$22, 7, FALSE), ""!C3:"&amp;"R29"")), {11;15;23}, FALSE)), ""=-4"") + COUNTIF(ARRAYFORMULA(HLOOKUP($B31, IMPORTRANGE('Match Names'!$H$23, CONCAT(VLOOKUP($C31, 'Match Names'!$1:$22, 8, FALSE), ""!C3:R29"")), {6;12;18}, FALSE)), ""=-4"")"),0.0)</f>
        <v>0</v>
      </c>
      <c r="H31" s="33">
        <f t="shared" si="1"/>
        <v>0</v>
      </c>
    </row>
    <row r="32">
      <c r="A32" s="31" t="s">
        <v>104</v>
      </c>
      <c r="B32" s="31" t="str">
        <f>VLOOKUP(CONCAT(A32, C32), 'Discord Username to Real Name'!C:D, 2, FALSE)</f>
        <v>Logan L.#8589</v>
      </c>
      <c r="C32" s="21" t="s">
        <v>27</v>
      </c>
      <c r="D32" s="32">
        <f>IFERROR(__xludf.DUMMYFUNCTION("(3 - COUNTIF(IFERROR(ARRAYFORMULA(HLOOKUP($B32, IMPORTRANGE('Prelim Rankings Unsorted'!$B$40, CONCAT(VLOOKUP($C32, 'Match Names'!$A$1:$D$22, 2, FALSE), ""!C3:R29"")), {12;18;24}, FALSE)), 'Player Overall Stats Unsorted'!$AA$9:$AA$12), ""=X"")) + (3 - COUN"&amp;"TIF(IFERROR(ARRAYFORMULA(HLOOKUP($B32, IMPORTRANGE('Prelim Rankings Unsorted'!$B$41, CONCAT(VLOOKUP($C32, 'Match Names'!$A$1:$D$22, 3, FALSE), ""!C3:R29"")), {6;12;18}, FALSE)), 'Player Overall Stats Unsorted'!$AA$9:$AA$12), ""=X"")) + (3 - COUNTIF(IFERRO"&amp;"R(ARRAYFORMULA(HLOOKUP($B32, IMPORTRANGE('Prelim Rankings Unsorted'!$B$42, CONCAT(VLOOKUP($C32, 'Match Names'!$A$1:$D$22, 4, FALSE), ""!C3:R29"")), {6;12;18}, FALSE)), 'Player Overall Stats Unsorted'!$AA$9:$AA$12), ""=X"")) + (3 - COUNTIF(IFERROR(ARRAYFOR"&amp;"MULA(HLOOKUP($B32, IMPORTRANGE('Match Names'!$E$23, CONCAT(VLOOKUP($C32, 'Match Names'!$1:$22, 5, FALSE), ""!C3:R29"")), {4;13;18}, FALSE)), 'Player Overall Stats Unsorted'!$AA$9:$AA$12), ""=X"")) + (3 - COUNTIF(IFERROR(ARRAYFORMULA(HLOOKUP($B32, IMPORTRA"&amp;"NGE('Match Names'!$F$23, CONCAT(VLOOKUP($C32, 'Match Names'!$1:$22, 6, FALSE), ""!C3:R29"")), {7;13;19}, FALSE)), 'Player Overall Stats Unsorted'!$AA$9:$AA$12), ""=X"")) + (3 - COUNTIF(IFERROR(ARRAYFORMULA(HLOOKUP($B32, IMPORTRANGE('Match Names'!$G$23, CO"&amp;"NCAT(VLOOKUP($C32, 'Match Names'!$1:$22, 7, FALSE), ""!C3:R29"")), {11;15;23}, FALSE)), 'Player Overall Stats Unsorted'!$AA$9:$AA$12), ""=X"")) + (3 - COUNTIF(IFERROR(ARRAYFORMULA(HLOOKUP($B32, IMPORTRANGE('Match Names'!$H$23, CONCAT(VLOOKUP($C32, 'Match "&amp;"Names'!$1:$22, 8, FALSE), ""!C3:R29"")), {6;12;18}, FALSE)), 'Player Overall Stats Unsorted'!$AA$9:$AA$12), ""=X""))"),16.0)</f>
        <v>16</v>
      </c>
      <c r="E32" s="32">
        <f>IFERROR(__xludf.DUMMYFUNCTION("COUNTIF(ARRAYFORMULA(HLOOKUP($B32, IMPORTRANGE('Prelim Rankings Unsorted'!$B$40, CONCAT(VLOOKUP($C32, 'Match Names'!$A$1:$D$22, 2, FALSE), ""!C3:R29"")), {12;18;24}, FALSE)), ""=4"") + COUNTIF(ARRAYFORMULA(HLOOKUP($B32, IMPORTRANGE('Prelim Rankings Unsort"&amp;"ed'!$B$41, CONCAT(VLOOKUP($C32, 'Match Names'!$A$1:$D$22, 3, FALSE), ""!C3:R29"")), {6;12;18}, FALSE)), ""=4"") + COUNTIF(ARRAYFORMULA(HLOOKUP($B32, IMPORTRANGE('Prelim Rankings Unsorted'!$B$42, CONCAT(VLOOKUP($C32, 'Match Names'!$A$1:$D$22, 4, FALSE), """&amp;"!C3:R29"")), {6;12;18}, FALSE)), ""=4"") + COUNTIF(ARRAYFORMULA(HLOOKUP($B32, IMPORTRANGE('Match Names'!$E$23, CONCAT(VLOOKUP($C32, 'Match Names'!$1:$22, 5, FALSE), ""!C3:R29"")), {4;13;18}, FALSE)), ""=4"") + COUNTIF(ARRAYFORMULA(HLOOKUP($B32, IMPORTRANG"&amp;"E('Match Names'!$F$23, CONCAT(VLOOKUP($C32, 'Match Names'!$1:$22, 6, FALSE), ""!C3:R29"")), {7;13;19}, FALSE)), ""=4"") + COUNTIF(ARRAYFORMULA(HLOOKUP($B32, IMPORTRANGE('Match Names'!$G$23, CONCAT(VLOOKUP($C32, 'Match Names'!$1:$22, 7, FALSE), ""!C3:R29"""&amp;")), {11;15;23}, FALSE)), ""=4"") + COUNTIF(ARRAYFORMULA(HLOOKUP($B32, IMPORTRANGE('Match Names'!$H$23, CONCAT(VLOOKUP($C32, 'Match Names'!$1:$22, 8, FALSE), ""!C3:R29"")), {6;12;18}, FALSE)), ""=4"")"),2.0)</f>
        <v>2</v>
      </c>
      <c r="F32" s="32">
        <f>IFERROR(__xludf.DUMMYFUNCTION("COUNTIF(ARRAYFORMULA(HLOOKUP($B32, IMPORTRANGE('Prelim Rankings Unsorted'!$B$40, CONCAT(VLOOKUP($C32, 'Match Names'!$A$1:$D$22, 2, FALSE), ""!C3:R29"")), {12;18;24}, FALSE)), ""=0"") + COUNTIF(ARRAYFORMULA(HLOOKUP($B32, IMPORTRANGE('Prelim Rankings Unsort"&amp;"ed'!$B$41, CONCAT(VLOOKUP($C32, 'Match Names'!$A$1:$D$22, 3, FALSE), ""!C3:R29"")), {6;12;18}, FALSE)), ""=0"") + COUNTIF(ARRAYFORMULA(HLOOKUP($B32, IMPORTRANGE('Prelim Rankings Unsorted'!$B$42, CONCAT(VLOOKUP($C32, 'Match Names'!$A$1:$D$22, 4, FALSE), """&amp;"!C3:R29"")), {6;12;18}, FALSE)), ""=0"") + COUNTIF(ARRAYFORMULA(HLOOKUP($B32, IMPORTRANGE('Match Names'!$E$23, CONCAT(VLOOKUP($C32, 'Match Names'!$1:$22, 5, FALSE), ""!C3:R29"")), {4;13;18}, FALSE)), ""=0"") + COUNTIF(ARRAYFORMULA(HLOOKUP($B32, IMPORTRANG"&amp;"E('Match Names'!$F$23, CONCAT(VLOOKUP($C32, 'Match Names'!$1:$22, 6, FALSE), ""!C3:R29"")), {7;13;19}, FALSE)), ""=0"") + COUNTIF(ARRAYFORMULA(HLOOKUP($B32, IMPORTRANGE('Match Names'!$G$23, CONCAT(VLOOKUP($C32, 'Match Names'!$1:$22, 7, FALSE), ""!C3:R29"""&amp;")), {11;15;23}, FALSE)), ""=0"") + COUNTIF(ARRAYFORMULA(HLOOKUP($B32, IMPORTRANGE('Match Names'!$H$23, CONCAT(VLOOKUP($C32, 'Match Names'!$1:$22, 8, FALSE), ""!C3:R29"")), {6;12;18}, FALSE)), ""=0"")"),1.0)</f>
        <v>1</v>
      </c>
      <c r="G32" s="32">
        <f>IFERROR(__xludf.DUMMYFUNCTION("COUNTIF(ARRAYFORMULA(HLOOKUP($B32, IMPORTRANGE('Prelim Rankings Unsorted'!$B$40, CONCAT(VLOOKUP($C32, 'Match Names'!$A$1:$D$22, 2, FALSE), ""!C3:R29"")), {12;18;24}, FALSE)), ""=-4"") + COUNTIF(ARRAYFORMULA(HLOOKUP($B32, IMPORTRANGE('Prelim Rankings Unsor"&amp;"ted'!$B$41, CONCAT(VLOOKUP($C32, 'Match Names'!$A$1:$D$22, 3, FALSE), ""!C3:R29"")), {6;12;18}, FALSE)), ""=-4"") + COUNTIF(ARRAYFORMULA(HLOOKUP($B32, IMPORTRANGE('Prelim Rankings Unsorted'!$B$42, CONCAT(VLOOKUP($C32, 'Match Names'!$A$1:$D$22, 4, FALSE), "&amp;"""!C3:R29"")), {6;12;18}, FALSE)), ""=-4"") + COUNTIF(ARRAYFORMULA(HLOOKUP($B32, IMPORTRANGE('Match Names'!$E$23, CONCAT(VLOOKUP($C32, 'Match Names'!$1:$22, 5, FALSE), ""!C3:R29"")), {4;13;18}, FALSE)), ""=-4"") + COUNTIF(ARRAYFORMULA(HLOOKUP($B32, IMPORT"&amp;"RANGE('Match Names'!$F$23, CONCAT(VLOOKUP($C32, 'Match Names'!$1:$22, 6, FALSE), ""!C3:R29"")), {7;13;19}, FALSE)), ""=-4"") + COUNTIF(ARRAYFORMULA(HLOOKUP($B32, IMPORTRANGE('Match Names'!$G$23, CONCAT(VLOOKUP($C32, 'Match Names'!$1:$22, 7, FALSE), ""!C3:"&amp;"R29"")), {11;15;23}, FALSE)), ""=-4"") + COUNTIF(ARRAYFORMULA(HLOOKUP($B32, IMPORTRANGE('Match Names'!$H$23, CONCAT(VLOOKUP($C32, 'Match Names'!$1:$22, 8, FALSE), ""!C3:R29"")), {6;12;18}, FALSE)), ""=-4"")"),0.0)</f>
        <v>0</v>
      </c>
      <c r="H32" s="33">
        <f t="shared" si="1"/>
        <v>1.5</v>
      </c>
    </row>
    <row r="33">
      <c r="A33" s="31" t="s">
        <v>45</v>
      </c>
      <c r="B33" s="31" t="str">
        <f>VLOOKUP(CONCAT(A33, C33), 'Discord Username to Real Name'!C:D, 2, FALSE)</f>
        <v>(Stitch)^2#3169</v>
      </c>
      <c r="C33" s="31" t="s">
        <v>20</v>
      </c>
      <c r="D33" s="32">
        <f>IFERROR(__xludf.DUMMYFUNCTION("(3 - COUNTIF(IFERROR(ARRAYFORMULA(HLOOKUP($B33, IMPORTRANGE('Prelim Rankings Unsorted'!$B$40, CONCAT(VLOOKUP($C33, 'Match Names'!$A$1:$D$22, 2, FALSE), ""!C3:R29"")), {12;18;24}, FALSE)), 'Player Overall Stats Unsorted'!$AA$9:$AA$12), ""=X"")) + (3 - COUN"&amp;"TIF(IFERROR(ARRAYFORMULA(HLOOKUP($B33, IMPORTRANGE('Prelim Rankings Unsorted'!$B$41, CONCAT(VLOOKUP($C33, 'Match Names'!$A$1:$D$22, 3, FALSE), ""!C3:R29"")), {6;12;18}, FALSE)), 'Player Overall Stats Unsorted'!$AA$9:$AA$12), ""=X"")) + (3 - COUNTIF(IFERRO"&amp;"R(ARRAYFORMULA(HLOOKUP($B33, IMPORTRANGE('Prelim Rankings Unsorted'!$B$42, CONCAT(VLOOKUP($C33, 'Match Names'!$A$1:$D$22, 4, FALSE), ""!C3:R29"")), {6;12;18}, FALSE)), 'Player Overall Stats Unsorted'!$AA$9:$AA$12), ""=X"")) + (3 - COUNTIF(IFERROR(ARRAYFOR"&amp;"MULA(HLOOKUP($B33, IMPORTRANGE('Match Names'!$E$23, CONCAT(VLOOKUP($C33, 'Match Names'!$1:$22, 5, FALSE), ""!C3:R29"")), {4;13;18}, FALSE)), 'Player Overall Stats Unsorted'!$AA$9:$AA$12), ""=X"")) + (3 - COUNTIF(IFERROR(ARRAYFORMULA(HLOOKUP($B33, IMPORTRA"&amp;"NGE('Match Names'!$F$23, CONCAT(VLOOKUP($C33, 'Match Names'!$1:$22, 6, FALSE), ""!C3:R29"")), {7;13;19}, FALSE)), 'Player Overall Stats Unsorted'!$AA$9:$AA$12), ""=X"")) + (3 - COUNTIF(IFERROR(ARRAYFORMULA(HLOOKUP($B33, IMPORTRANGE('Match Names'!$G$23, CO"&amp;"NCAT(VLOOKUP($C33, 'Match Names'!$1:$22, 7, FALSE), ""!C3:R29"")), {11;15;23}, FALSE)), 'Player Overall Stats Unsorted'!$AA$9:$AA$12), ""=X"")) + (3 - COUNTIF(IFERROR(ARRAYFORMULA(HLOOKUP($B33, IMPORTRANGE('Match Names'!$H$23, CONCAT(VLOOKUP($C33, 'Match "&amp;"Names'!$1:$22, 8, FALSE), ""!C3:R29"")), {6;12;18}, FALSE)), 'Player Overall Stats Unsorted'!$AA$9:$AA$12), ""=X""))"),18.0)</f>
        <v>18</v>
      </c>
      <c r="E33" s="32">
        <f>IFERROR(__xludf.DUMMYFUNCTION("COUNTIF(ARRAYFORMULA(HLOOKUP($B33, IMPORTRANGE('Prelim Rankings Unsorted'!$B$40, CONCAT(VLOOKUP($C33, 'Match Names'!$A$1:$D$22, 2, FALSE), ""!C3:R29"")), {12;18;24}, FALSE)), ""=4"") + COUNTIF(ARRAYFORMULA(HLOOKUP($B33, IMPORTRANGE('Prelim Rankings Unsort"&amp;"ed'!$B$41, CONCAT(VLOOKUP($C33, 'Match Names'!$A$1:$D$22, 3, FALSE), ""!C3:R29"")), {6;12;18}, FALSE)), ""=4"") + COUNTIF(ARRAYFORMULA(HLOOKUP($B33, IMPORTRANGE('Prelim Rankings Unsorted'!$B$42, CONCAT(VLOOKUP($C33, 'Match Names'!$A$1:$D$22, 4, FALSE), """&amp;"!C3:R29"")), {6;12;18}, FALSE)), ""=4"") + COUNTIF(ARRAYFORMULA(HLOOKUP($B33, IMPORTRANGE('Match Names'!$E$23, CONCAT(VLOOKUP($C33, 'Match Names'!$1:$22, 5, FALSE), ""!C3:R29"")), {4;13;18}, FALSE)), ""=4"") + COUNTIF(ARRAYFORMULA(HLOOKUP($B33, IMPORTRANG"&amp;"E('Match Names'!$F$23, CONCAT(VLOOKUP($C33, 'Match Names'!$1:$22, 6, FALSE), ""!C3:R29"")), {7;13;19}, FALSE)), ""=4"") + COUNTIF(ARRAYFORMULA(HLOOKUP($B33, IMPORTRANGE('Match Names'!$G$23, CONCAT(VLOOKUP($C33, 'Match Names'!$1:$22, 7, FALSE), ""!C3:R29"""&amp;")), {11;15;23}, FALSE)), ""=4"") + COUNTIF(ARRAYFORMULA(HLOOKUP($B33, IMPORTRANGE('Match Names'!$H$23, CONCAT(VLOOKUP($C33, 'Match Names'!$1:$22, 8, FALSE), ""!C3:R29"")), {6;12;18}, FALSE)), ""=4"")"),2.0)</f>
        <v>2</v>
      </c>
      <c r="F33" s="32">
        <f>IFERROR(__xludf.DUMMYFUNCTION("COUNTIF(ARRAYFORMULA(HLOOKUP($B33, IMPORTRANGE('Prelim Rankings Unsorted'!$B$40, CONCAT(VLOOKUP($C33, 'Match Names'!$A$1:$D$22, 2, FALSE), ""!C3:R29"")), {12;18;24}, FALSE)), ""=0"") + COUNTIF(ARRAYFORMULA(HLOOKUP($B33, IMPORTRANGE('Prelim Rankings Unsort"&amp;"ed'!$B$41, CONCAT(VLOOKUP($C33, 'Match Names'!$A$1:$D$22, 3, FALSE), ""!C3:R29"")), {6;12;18}, FALSE)), ""=0"") + COUNTIF(ARRAYFORMULA(HLOOKUP($B33, IMPORTRANGE('Prelim Rankings Unsorted'!$B$42, CONCAT(VLOOKUP($C33, 'Match Names'!$A$1:$D$22, 4, FALSE), """&amp;"!C3:R29"")), {6;12;18}, FALSE)), ""=0"") + COUNTIF(ARRAYFORMULA(HLOOKUP($B33, IMPORTRANGE('Match Names'!$E$23, CONCAT(VLOOKUP($C33, 'Match Names'!$1:$22, 5, FALSE), ""!C3:R29"")), {4;13;18}, FALSE)), ""=0"") + COUNTIF(ARRAYFORMULA(HLOOKUP($B33, IMPORTRANG"&amp;"E('Match Names'!$F$23, CONCAT(VLOOKUP($C33, 'Match Names'!$1:$22, 6, FALSE), ""!C3:R29"")), {7;13;19}, FALSE)), ""=0"") + COUNTIF(ARRAYFORMULA(HLOOKUP($B33, IMPORTRANGE('Match Names'!$G$23, CONCAT(VLOOKUP($C33, 'Match Names'!$1:$22, 7, FALSE), ""!C3:R29"""&amp;")), {11;15;23}, FALSE)), ""=0"") + COUNTIF(ARRAYFORMULA(HLOOKUP($B33, IMPORTRANGE('Match Names'!$H$23, CONCAT(VLOOKUP($C33, 'Match Names'!$1:$22, 8, FALSE), ""!C3:R29"")), {6;12;18}, FALSE)), ""=0"")"),7.0)</f>
        <v>7</v>
      </c>
      <c r="G33" s="32">
        <f>IFERROR(__xludf.DUMMYFUNCTION("COUNTIF(ARRAYFORMULA(HLOOKUP($B33, IMPORTRANGE('Prelim Rankings Unsorted'!$B$40, CONCAT(VLOOKUP($C33, 'Match Names'!$A$1:$D$22, 2, FALSE), ""!C3:R29"")), {12;18;24}, FALSE)), ""=-4"") + COUNTIF(ARRAYFORMULA(HLOOKUP($B33, IMPORTRANGE('Prelim Rankings Unsor"&amp;"ted'!$B$41, CONCAT(VLOOKUP($C33, 'Match Names'!$A$1:$D$22, 3, FALSE), ""!C3:R29"")), {6;12;18}, FALSE)), ""=-4"") + COUNTIF(ARRAYFORMULA(HLOOKUP($B33, IMPORTRANGE('Prelim Rankings Unsorted'!$B$42, CONCAT(VLOOKUP($C33, 'Match Names'!$A$1:$D$22, 4, FALSE), "&amp;"""!C3:R29"")), {6;12;18}, FALSE)), ""=-4"") + COUNTIF(ARRAYFORMULA(HLOOKUP($B33, IMPORTRANGE('Match Names'!$E$23, CONCAT(VLOOKUP($C33, 'Match Names'!$1:$22, 5, FALSE), ""!C3:R29"")), {4;13;18}, FALSE)), ""=-4"") + COUNTIF(ARRAYFORMULA(HLOOKUP($B33, IMPORT"&amp;"RANGE('Match Names'!$F$23, CONCAT(VLOOKUP($C33, 'Match Names'!$1:$22, 6, FALSE), ""!C3:R29"")), {7;13;19}, FALSE)), ""=-4"") + COUNTIF(ARRAYFORMULA(HLOOKUP($B33, IMPORTRANGE('Match Names'!$G$23, CONCAT(VLOOKUP($C33, 'Match Names'!$1:$22, 7, FALSE), ""!C3:"&amp;"R29"")), {11;15;23}, FALSE)), ""=-4"") + COUNTIF(ARRAYFORMULA(HLOOKUP($B33, IMPORTRANGE('Match Names'!$H$23, CONCAT(VLOOKUP($C33, 'Match Names'!$1:$22, 8, FALSE), ""!C3:R29"")), {6;12;18}, FALSE)), ""=-4"")"),0.0)</f>
        <v>0</v>
      </c>
      <c r="H33" s="33">
        <f t="shared" si="1"/>
        <v>1.33</v>
      </c>
    </row>
    <row r="34">
      <c r="A34" s="31" t="s">
        <v>108</v>
      </c>
      <c r="B34" s="31" t="str">
        <f>VLOOKUP(CONCAT(A34, C34), 'Discord Username to Real Name'!C:D, 2, FALSE)</f>
        <v>Oshimimers#4758</v>
      </c>
      <c r="C34" s="31" t="s">
        <v>20</v>
      </c>
      <c r="D34" s="32">
        <f>IFERROR(__xludf.DUMMYFUNCTION("(3 - COUNTIF(IFERROR(ARRAYFORMULA(HLOOKUP($B34, IMPORTRANGE('Prelim Rankings Unsorted'!$B$40, CONCAT(VLOOKUP($C34, 'Match Names'!$A$1:$D$22, 2, FALSE), ""!C3:R29"")), {12;18;24}, FALSE)), 'Player Overall Stats Unsorted'!$AA$9:$AA$12), ""=X"")) + (3 - COUN"&amp;"TIF(IFERROR(ARRAYFORMULA(HLOOKUP($B34, IMPORTRANGE('Prelim Rankings Unsorted'!$B$41, CONCAT(VLOOKUP($C34, 'Match Names'!$A$1:$D$22, 3, FALSE), ""!C3:R29"")), {6;12;18}, FALSE)), 'Player Overall Stats Unsorted'!$AA$9:$AA$12), ""=X"")) + (3 - COUNTIF(IFERRO"&amp;"R(ARRAYFORMULA(HLOOKUP($B34, IMPORTRANGE('Prelim Rankings Unsorted'!$B$42, CONCAT(VLOOKUP($C34, 'Match Names'!$A$1:$D$22, 4, FALSE), ""!C3:R29"")), {6;12;18}, FALSE)), 'Player Overall Stats Unsorted'!$AA$9:$AA$12), ""=X"")) + (3 - COUNTIF(IFERROR(ARRAYFOR"&amp;"MULA(HLOOKUP($B34, IMPORTRANGE('Match Names'!$E$23, CONCAT(VLOOKUP($C34, 'Match Names'!$1:$22, 5, FALSE), ""!C3:R29"")), {4;13;18}, FALSE)), 'Player Overall Stats Unsorted'!$AA$9:$AA$12), ""=X"")) + (3 - COUNTIF(IFERROR(ARRAYFORMULA(HLOOKUP($B34, IMPORTRA"&amp;"NGE('Match Names'!$F$23, CONCAT(VLOOKUP($C34, 'Match Names'!$1:$22, 6, FALSE), ""!C3:R29"")), {7;13;19}, FALSE)), 'Player Overall Stats Unsorted'!$AA$9:$AA$12), ""=X"")) + (3 - COUNTIF(IFERROR(ARRAYFORMULA(HLOOKUP($B34, IMPORTRANGE('Match Names'!$G$23, CO"&amp;"NCAT(VLOOKUP($C34, 'Match Names'!$1:$22, 7, FALSE), ""!C3:R29"")), {11;15;23}, FALSE)), 'Player Overall Stats Unsorted'!$AA$9:$AA$12), ""=X"")) + (3 - COUNTIF(IFERROR(ARRAYFORMULA(HLOOKUP($B34, IMPORTRANGE('Match Names'!$H$23, CONCAT(VLOOKUP($C34, 'Match "&amp;"Names'!$1:$22, 8, FALSE), ""!C3:R29"")), {6;12;18}, FALSE)), 'Player Overall Stats Unsorted'!$AA$9:$AA$12), ""=X""))"),18.0)</f>
        <v>18</v>
      </c>
      <c r="E34" s="32">
        <f>IFERROR(__xludf.DUMMYFUNCTION("COUNTIF(ARRAYFORMULA(HLOOKUP($B34, IMPORTRANGE('Prelim Rankings Unsorted'!$B$40, CONCAT(VLOOKUP($C34, 'Match Names'!$A$1:$D$22, 2, FALSE), ""!C3:R29"")), {12;18;24}, FALSE)), ""=4"") + COUNTIF(ARRAYFORMULA(HLOOKUP($B34, IMPORTRANGE('Prelim Rankings Unsort"&amp;"ed'!$B$41, CONCAT(VLOOKUP($C34, 'Match Names'!$A$1:$D$22, 3, FALSE), ""!C3:R29"")), {6;12;18}, FALSE)), ""=4"") + COUNTIF(ARRAYFORMULA(HLOOKUP($B34, IMPORTRANGE('Prelim Rankings Unsorted'!$B$42, CONCAT(VLOOKUP($C34, 'Match Names'!$A$1:$D$22, 4, FALSE), """&amp;"!C3:R29"")), {6;12;18}, FALSE)), ""=4"") + COUNTIF(ARRAYFORMULA(HLOOKUP($B34, IMPORTRANGE('Match Names'!$E$23, CONCAT(VLOOKUP($C34, 'Match Names'!$1:$22, 5, FALSE), ""!C3:R29"")), {4;13;18}, FALSE)), ""=4"") + COUNTIF(ARRAYFORMULA(HLOOKUP($B34, IMPORTRANG"&amp;"E('Match Names'!$F$23, CONCAT(VLOOKUP($C34, 'Match Names'!$1:$22, 6, FALSE), ""!C3:R29"")), {7;13;19}, FALSE)), ""=4"") + COUNTIF(ARRAYFORMULA(HLOOKUP($B34, IMPORTRANGE('Match Names'!$G$23, CONCAT(VLOOKUP($C34, 'Match Names'!$1:$22, 7, FALSE), ""!C3:R29"""&amp;")), {11;15;23}, FALSE)), ""=4"") + COUNTIF(ARRAYFORMULA(HLOOKUP($B34, IMPORTRANGE('Match Names'!$H$23, CONCAT(VLOOKUP($C34, 'Match Names'!$1:$22, 8, FALSE), ""!C3:R29"")), {6;12;18}, FALSE)), ""=4"")"),2.0)</f>
        <v>2</v>
      </c>
      <c r="F34" s="32">
        <f>IFERROR(__xludf.DUMMYFUNCTION("COUNTIF(ARRAYFORMULA(HLOOKUP($B34, IMPORTRANGE('Prelim Rankings Unsorted'!$B$40, CONCAT(VLOOKUP($C34, 'Match Names'!$A$1:$D$22, 2, FALSE), ""!C3:R29"")), {12;18;24}, FALSE)), ""=0"") + COUNTIF(ARRAYFORMULA(HLOOKUP($B34, IMPORTRANGE('Prelim Rankings Unsort"&amp;"ed'!$B$41, CONCAT(VLOOKUP($C34, 'Match Names'!$A$1:$D$22, 3, FALSE), ""!C3:R29"")), {6;12;18}, FALSE)), ""=0"") + COUNTIF(ARRAYFORMULA(HLOOKUP($B34, IMPORTRANGE('Prelim Rankings Unsorted'!$B$42, CONCAT(VLOOKUP($C34, 'Match Names'!$A$1:$D$22, 4, FALSE), """&amp;"!C3:R29"")), {6;12;18}, FALSE)), ""=0"") + COUNTIF(ARRAYFORMULA(HLOOKUP($B34, IMPORTRANGE('Match Names'!$E$23, CONCAT(VLOOKUP($C34, 'Match Names'!$1:$22, 5, FALSE), ""!C3:R29"")), {4;13;18}, FALSE)), ""=0"") + COUNTIF(ARRAYFORMULA(HLOOKUP($B34, IMPORTRANG"&amp;"E('Match Names'!$F$23, CONCAT(VLOOKUP($C34, 'Match Names'!$1:$22, 6, FALSE), ""!C3:R29"")), {7;13;19}, FALSE)), ""=0"") + COUNTIF(ARRAYFORMULA(HLOOKUP($B34, IMPORTRANGE('Match Names'!$G$23, CONCAT(VLOOKUP($C34, 'Match Names'!$1:$22, 7, FALSE), ""!C3:R29"""&amp;")), {11;15;23}, FALSE)), ""=0"") + COUNTIF(ARRAYFORMULA(HLOOKUP($B34, IMPORTRANGE('Match Names'!$H$23, CONCAT(VLOOKUP($C34, 'Match Names'!$1:$22, 8, FALSE), ""!C3:R29"")), {6;12;18}, FALSE)), ""=0"")"),0.0)</f>
        <v>0</v>
      </c>
      <c r="G34" s="32">
        <f>IFERROR(__xludf.DUMMYFUNCTION("COUNTIF(ARRAYFORMULA(HLOOKUP($B34, IMPORTRANGE('Prelim Rankings Unsorted'!$B$40, CONCAT(VLOOKUP($C34, 'Match Names'!$A$1:$D$22, 2, FALSE), ""!C3:R29"")), {12;18;24}, FALSE)), ""=-4"") + COUNTIF(ARRAYFORMULA(HLOOKUP($B34, IMPORTRANGE('Prelim Rankings Unsor"&amp;"ted'!$B$41, CONCAT(VLOOKUP($C34, 'Match Names'!$A$1:$D$22, 3, FALSE), ""!C3:R29"")), {6;12;18}, FALSE)), ""=-4"") + COUNTIF(ARRAYFORMULA(HLOOKUP($B34, IMPORTRANGE('Prelim Rankings Unsorted'!$B$42, CONCAT(VLOOKUP($C34, 'Match Names'!$A$1:$D$22, 4, FALSE), "&amp;"""!C3:R29"")), {6;12;18}, FALSE)), ""=-4"") + COUNTIF(ARRAYFORMULA(HLOOKUP($B34, IMPORTRANGE('Match Names'!$E$23, CONCAT(VLOOKUP($C34, 'Match Names'!$1:$22, 5, FALSE), ""!C3:R29"")), {4;13;18}, FALSE)), ""=-4"") + COUNTIF(ARRAYFORMULA(HLOOKUP($B34, IMPORT"&amp;"RANGE('Match Names'!$F$23, CONCAT(VLOOKUP($C34, 'Match Names'!$1:$22, 6, FALSE), ""!C3:R29"")), {7;13;19}, FALSE)), ""=-4"") + COUNTIF(ARRAYFORMULA(HLOOKUP($B34, IMPORTRANGE('Match Names'!$G$23, CONCAT(VLOOKUP($C34, 'Match Names'!$1:$22, 7, FALSE), ""!C3:"&amp;"R29"")), {11;15;23}, FALSE)), ""=-4"") + COUNTIF(ARRAYFORMULA(HLOOKUP($B34, IMPORTRANGE('Match Names'!$H$23, CONCAT(VLOOKUP($C34, 'Match Names'!$1:$22, 8, FALSE), ""!C3:R29"")), {6;12;18}, FALSE)), ""=-4"")"),0.0)</f>
        <v>0</v>
      </c>
      <c r="H34" s="33">
        <f t="shared" si="1"/>
        <v>1.33</v>
      </c>
    </row>
    <row r="35">
      <c r="A35" s="31" t="s">
        <v>183</v>
      </c>
      <c r="B35" s="31" t="str">
        <f>VLOOKUP(CONCAT(A35, C35), 'Discord Username to Real Name'!C:D, 2, FALSE)</f>
        <v>Paradoxygen#5753</v>
      </c>
      <c r="C35" s="31" t="s">
        <v>20</v>
      </c>
      <c r="D35" s="32">
        <f>IFERROR(__xludf.DUMMYFUNCTION("(3 - COUNTIF(IFERROR(ARRAYFORMULA(HLOOKUP($B35, IMPORTRANGE('Prelim Rankings Unsorted'!$B$40, CONCAT(VLOOKUP($C35, 'Match Names'!$A$1:$D$22, 2, FALSE), ""!C3:R29"")), {12;18;24}, FALSE)), 'Player Overall Stats Unsorted'!$AA$9:$AA$12), ""=X"")) + (3 - COUN"&amp;"TIF(IFERROR(ARRAYFORMULA(HLOOKUP($B35, IMPORTRANGE('Prelim Rankings Unsorted'!$B$41, CONCAT(VLOOKUP($C35, 'Match Names'!$A$1:$D$22, 3, FALSE), ""!C3:R29"")), {6;12;18}, FALSE)), 'Player Overall Stats Unsorted'!$AA$9:$AA$12), ""=X"")) + (3 - COUNTIF(IFERRO"&amp;"R(ARRAYFORMULA(HLOOKUP($B35, IMPORTRANGE('Prelim Rankings Unsorted'!$B$42, CONCAT(VLOOKUP($C35, 'Match Names'!$A$1:$D$22, 4, FALSE), ""!C3:R29"")), {6;12;18}, FALSE)), 'Player Overall Stats Unsorted'!$AA$9:$AA$12), ""=X"")) + (3 - COUNTIF(IFERROR(ARRAYFOR"&amp;"MULA(HLOOKUP($B35, IMPORTRANGE('Match Names'!$E$23, CONCAT(VLOOKUP($C35, 'Match Names'!$1:$22, 5, FALSE), ""!C3:R29"")), {4;13;18}, FALSE)), 'Player Overall Stats Unsorted'!$AA$9:$AA$12), ""=X"")) + (3 - COUNTIF(IFERROR(ARRAYFORMULA(HLOOKUP($B35, IMPORTRA"&amp;"NGE('Match Names'!$F$23, CONCAT(VLOOKUP($C35, 'Match Names'!$1:$22, 6, FALSE), ""!C3:R29"")), {7;13;19}, FALSE)), 'Player Overall Stats Unsorted'!$AA$9:$AA$12), ""=X"")) + (3 - COUNTIF(IFERROR(ARRAYFORMULA(HLOOKUP($B35, IMPORTRANGE('Match Names'!$G$23, CO"&amp;"NCAT(VLOOKUP($C35, 'Match Names'!$1:$22, 7, FALSE), ""!C3:R29"")), {11;15;23}, FALSE)), 'Player Overall Stats Unsorted'!$AA$9:$AA$12), ""=X"")) + (3 - COUNTIF(IFERROR(ARRAYFORMULA(HLOOKUP($B35, IMPORTRANGE('Match Names'!$H$23, CONCAT(VLOOKUP($C35, 'Match "&amp;"Names'!$1:$22, 8, FALSE), ""!C3:R29"")), {6;12;18}, FALSE)), 'Player Overall Stats Unsorted'!$AA$9:$AA$12), ""=X""))"),6.0)</f>
        <v>6</v>
      </c>
      <c r="E35" s="32">
        <f>IFERROR(__xludf.DUMMYFUNCTION("COUNTIF(ARRAYFORMULA(HLOOKUP($B35, IMPORTRANGE('Prelim Rankings Unsorted'!$B$40, CONCAT(VLOOKUP($C35, 'Match Names'!$A$1:$D$22, 2, FALSE), ""!C3:R29"")), {12;18;24}, FALSE)), ""=4"") + COUNTIF(ARRAYFORMULA(HLOOKUP($B35, IMPORTRANGE('Prelim Rankings Unsort"&amp;"ed'!$B$41, CONCAT(VLOOKUP($C35, 'Match Names'!$A$1:$D$22, 3, FALSE), ""!C3:R29"")), {6;12;18}, FALSE)), ""=4"") + COUNTIF(ARRAYFORMULA(HLOOKUP($B35, IMPORTRANGE('Prelim Rankings Unsorted'!$B$42, CONCAT(VLOOKUP($C35, 'Match Names'!$A$1:$D$22, 4, FALSE), """&amp;"!C3:R29"")), {6;12;18}, FALSE)), ""=4"") + COUNTIF(ARRAYFORMULA(HLOOKUP($B35, IMPORTRANGE('Match Names'!$E$23, CONCAT(VLOOKUP($C35, 'Match Names'!$1:$22, 5, FALSE), ""!C3:R29"")), {4;13;18}, FALSE)), ""=4"") + COUNTIF(ARRAYFORMULA(HLOOKUP($B35, IMPORTRANG"&amp;"E('Match Names'!$F$23, CONCAT(VLOOKUP($C35, 'Match Names'!$1:$22, 6, FALSE), ""!C3:R29"")), {7;13;19}, FALSE)), ""=4"") + COUNTIF(ARRAYFORMULA(HLOOKUP($B35, IMPORTRANGE('Match Names'!$G$23, CONCAT(VLOOKUP($C35, 'Match Names'!$1:$22, 7, FALSE), ""!C3:R29"""&amp;")), {11;15;23}, FALSE)), ""=4"") + COUNTIF(ARRAYFORMULA(HLOOKUP($B35, IMPORTRANGE('Match Names'!$H$23, CONCAT(VLOOKUP($C35, 'Match Names'!$1:$22, 8, FALSE), ""!C3:R29"")), {6;12;18}, FALSE)), ""=4"")"),0.0)</f>
        <v>0</v>
      </c>
      <c r="F35" s="32">
        <f>IFERROR(__xludf.DUMMYFUNCTION("COUNTIF(ARRAYFORMULA(HLOOKUP($B35, IMPORTRANGE('Prelim Rankings Unsorted'!$B$40, CONCAT(VLOOKUP($C35, 'Match Names'!$A$1:$D$22, 2, FALSE), ""!C3:R29"")), {12;18;24}, FALSE)), ""=0"") + COUNTIF(ARRAYFORMULA(HLOOKUP($B35, IMPORTRANGE('Prelim Rankings Unsort"&amp;"ed'!$B$41, CONCAT(VLOOKUP($C35, 'Match Names'!$A$1:$D$22, 3, FALSE), ""!C3:R29"")), {6;12;18}, FALSE)), ""=0"") + COUNTIF(ARRAYFORMULA(HLOOKUP($B35, IMPORTRANGE('Prelim Rankings Unsorted'!$B$42, CONCAT(VLOOKUP($C35, 'Match Names'!$A$1:$D$22, 4, FALSE), """&amp;"!C3:R29"")), {6;12;18}, FALSE)), ""=0"") + COUNTIF(ARRAYFORMULA(HLOOKUP($B35, IMPORTRANGE('Match Names'!$E$23, CONCAT(VLOOKUP($C35, 'Match Names'!$1:$22, 5, FALSE), ""!C3:R29"")), {4;13;18}, FALSE)), ""=0"") + COUNTIF(ARRAYFORMULA(HLOOKUP($B35, IMPORTRANG"&amp;"E('Match Names'!$F$23, CONCAT(VLOOKUP($C35, 'Match Names'!$1:$22, 6, FALSE), ""!C3:R29"")), {7;13;19}, FALSE)), ""=0"") + COUNTIF(ARRAYFORMULA(HLOOKUP($B35, IMPORTRANGE('Match Names'!$G$23, CONCAT(VLOOKUP($C35, 'Match Names'!$1:$22, 7, FALSE), ""!C3:R29"""&amp;")), {11;15;23}, FALSE)), ""=0"") + COUNTIF(ARRAYFORMULA(HLOOKUP($B35, IMPORTRANGE('Match Names'!$H$23, CONCAT(VLOOKUP($C35, 'Match Names'!$1:$22, 8, FALSE), ""!C3:R29"")), {6;12;18}, FALSE)), ""=0"")"),0.0)</f>
        <v>0</v>
      </c>
      <c r="G35" s="32">
        <f>IFERROR(__xludf.DUMMYFUNCTION("COUNTIF(ARRAYFORMULA(HLOOKUP($B35, IMPORTRANGE('Prelim Rankings Unsorted'!$B$40, CONCAT(VLOOKUP($C35, 'Match Names'!$A$1:$D$22, 2, FALSE), ""!C3:R29"")), {12;18;24}, FALSE)), ""=-4"") + COUNTIF(ARRAYFORMULA(HLOOKUP($B35, IMPORTRANGE('Prelim Rankings Unsor"&amp;"ted'!$B$41, CONCAT(VLOOKUP($C35, 'Match Names'!$A$1:$D$22, 3, FALSE), ""!C3:R29"")), {6;12;18}, FALSE)), ""=-4"") + COUNTIF(ARRAYFORMULA(HLOOKUP($B35, IMPORTRANGE('Prelim Rankings Unsorted'!$B$42, CONCAT(VLOOKUP($C35, 'Match Names'!$A$1:$D$22, 4, FALSE), "&amp;"""!C3:R29"")), {6;12;18}, FALSE)), ""=-4"") + COUNTIF(ARRAYFORMULA(HLOOKUP($B35, IMPORTRANGE('Match Names'!$E$23, CONCAT(VLOOKUP($C35, 'Match Names'!$1:$22, 5, FALSE), ""!C3:R29"")), {4;13;18}, FALSE)), ""=-4"") + COUNTIF(ARRAYFORMULA(HLOOKUP($B35, IMPORT"&amp;"RANGE('Match Names'!$F$23, CONCAT(VLOOKUP($C35, 'Match Names'!$1:$22, 6, FALSE), ""!C3:R29"")), {7;13;19}, FALSE)), ""=-4"") + COUNTIF(ARRAYFORMULA(HLOOKUP($B35, IMPORTRANGE('Match Names'!$G$23, CONCAT(VLOOKUP($C35, 'Match Names'!$1:$22, 7, FALSE), ""!C3:"&amp;"R29"")), {11;15;23}, FALSE)), ""=-4"") + COUNTIF(ARRAYFORMULA(HLOOKUP($B35, IMPORTRANGE('Match Names'!$H$23, CONCAT(VLOOKUP($C35, 'Match Names'!$1:$22, 8, FALSE), ""!C3:R29"")), {6;12;18}, FALSE)), ""=-4"")"),0.0)</f>
        <v>0</v>
      </c>
      <c r="H35" s="33">
        <f t="shared" si="1"/>
        <v>0</v>
      </c>
    </row>
    <row r="36">
      <c r="A36" s="31" t="s">
        <v>126</v>
      </c>
      <c r="B36" s="31" t="str">
        <f>VLOOKUP(CONCAT(A36, C36), 'Discord Username to Real Name'!C:D, 2, FALSE)</f>
        <v>MR_67#1546</v>
      </c>
      <c r="C36" s="31" t="s">
        <v>20</v>
      </c>
      <c r="D36" s="32">
        <f>IFERROR(__xludf.DUMMYFUNCTION("(3 - COUNTIF(IFERROR(ARRAYFORMULA(HLOOKUP($B36, IMPORTRANGE('Prelim Rankings Unsorted'!$B$40, CONCAT(VLOOKUP($C36, 'Match Names'!$A$1:$D$22, 2, FALSE), ""!C3:R29"")), {12;18;24}, FALSE)), 'Player Overall Stats Unsorted'!$AA$9:$AA$12), ""=X"")) + (3 - COUN"&amp;"TIF(IFERROR(ARRAYFORMULA(HLOOKUP($B36, IMPORTRANGE('Prelim Rankings Unsorted'!$B$41, CONCAT(VLOOKUP($C36, 'Match Names'!$A$1:$D$22, 3, FALSE), ""!C3:R29"")), {6;12;18}, FALSE)), 'Player Overall Stats Unsorted'!$AA$9:$AA$12), ""=X"")) + (3 - COUNTIF(IFERRO"&amp;"R(ARRAYFORMULA(HLOOKUP($B36, IMPORTRANGE('Prelim Rankings Unsorted'!$B$42, CONCAT(VLOOKUP($C36, 'Match Names'!$A$1:$D$22, 4, FALSE), ""!C3:R29"")), {6;12;18}, FALSE)), 'Player Overall Stats Unsorted'!$AA$9:$AA$12), ""=X"")) + (3 - COUNTIF(IFERROR(ARRAYFOR"&amp;"MULA(HLOOKUP($B36, IMPORTRANGE('Match Names'!$E$23, CONCAT(VLOOKUP($C36, 'Match Names'!$1:$22, 5, FALSE), ""!C3:R29"")), {4;13;18}, FALSE)), 'Player Overall Stats Unsorted'!$AA$9:$AA$12), ""=X"")) + (3 - COUNTIF(IFERROR(ARRAYFORMULA(HLOOKUP($B36, IMPORTRA"&amp;"NGE('Match Names'!$F$23, CONCAT(VLOOKUP($C36, 'Match Names'!$1:$22, 6, FALSE), ""!C3:R29"")), {7;13;19}, FALSE)), 'Player Overall Stats Unsorted'!$AA$9:$AA$12), ""=X"")) + (3 - COUNTIF(IFERROR(ARRAYFORMULA(HLOOKUP($B36, IMPORTRANGE('Match Names'!$G$23, CO"&amp;"NCAT(VLOOKUP($C36, 'Match Names'!$1:$22, 7, FALSE), ""!C3:R29"")), {11;15;23}, FALSE)), 'Player Overall Stats Unsorted'!$AA$9:$AA$12), ""=X"")) + (3 - COUNTIF(IFERROR(ARRAYFORMULA(HLOOKUP($B36, IMPORTRANGE('Match Names'!$H$23, CONCAT(VLOOKUP($C36, 'Match "&amp;"Names'!$1:$22, 8, FALSE), ""!C3:R29"")), {6;12;18}, FALSE)), 'Player Overall Stats Unsorted'!$AA$9:$AA$12), ""=X""))"),15.0)</f>
        <v>15</v>
      </c>
      <c r="E36" s="32">
        <f>IFERROR(__xludf.DUMMYFUNCTION("COUNTIF(ARRAYFORMULA(HLOOKUP($B36, IMPORTRANGE('Prelim Rankings Unsorted'!$B$40, CONCAT(VLOOKUP($C36, 'Match Names'!$A$1:$D$22, 2, FALSE), ""!C3:R29"")), {12;18;24}, FALSE)), ""=4"") + COUNTIF(ARRAYFORMULA(HLOOKUP($B36, IMPORTRANGE('Prelim Rankings Unsort"&amp;"ed'!$B$41, CONCAT(VLOOKUP($C36, 'Match Names'!$A$1:$D$22, 3, FALSE), ""!C3:R29"")), {6;12;18}, FALSE)), ""=4"") + COUNTIF(ARRAYFORMULA(HLOOKUP($B36, IMPORTRANGE('Prelim Rankings Unsorted'!$B$42, CONCAT(VLOOKUP($C36, 'Match Names'!$A$1:$D$22, 4, FALSE), """&amp;"!C3:R29"")), {6;12;18}, FALSE)), ""=4"") + COUNTIF(ARRAYFORMULA(HLOOKUP($B36, IMPORTRANGE('Match Names'!$E$23, CONCAT(VLOOKUP($C36, 'Match Names'!$1:$22, 5, FALSE), ""!C3:R29"")), {4;13;18}, FALSE)), ""=4"") + COUNTIF(ARRAYFORMULA(HLOOKUP($B36, IMPORTRANG"&amp;"E('Match Names'!$F$23, CONCAT(VLOOKUP($C36, 'Match Names'!$1:$22, 6, FALSE), ""!C3:R29"")), {7;13;19}, FALSE)), ""=4"") + COUNTIF(ARRAYFORMULA(HLOOKUP($B36, IMPORTRANGE('Match Names'!$G$23, CONCAT(VLOOKUP($C36, 'Match Names'!$1:$22, 7, FALSE), ""!C3:R29"""&amp;")), {11;15;23}, FALSE)), ""=4"") + COUNTIF(ARRAYFORMULA(HLOOKUP($B36, IMPORTRANGE('Match Names'!$H$23, CONCAT(VLOOKUP($C36, 'Match Names'!$1:$22, 8, FALSE), ""!C3:R29"")), {6;12;18}, FALSE)), ""=4"")"),0.0)</f>
        <v>0</v>
      </c>
      <c r="F36" s="32">
        <f>IFERROR(__xludf.DUMMYFUNCTION("COUNTIF(ARRAYFORMULA(HLOOKUP($B36, IMPORTRANGE('Prelim Rankings Unsorted'!$B$40, CONCAT(VLOOKUP($C36, 'Match Names'!$A$1:$D$22, 2, FALSE), ""!C3:R29"")), {12;18;24}, FALSE)), ""=0"") + COUNTIF(ARRAYFORMULA(HLOOKUP($B36, IMPORTRANGE('Prelim Rankings Unsort"&amp;"ed'!$B$41, CONCAT(VLOOKUP($C36, 'Match Names'!$A$1:$D$22, 3, FALSE), ""!C3:R29"")), {6;12;18}, FALSE)), ""=0"") + COUNTIF(ARRAYFORMULA(HLOOKUP($B36, IMPORTRANGE('Prelim Rankings Unsorted'!$B$42, CONCAT(VLOOKUP($C36, 'Match Names'!$A$1:$D$22, 4, FALSE), """&amp;"!C3:R29"")), {6;12;18}, FALSE)), ""=0"") + COUNTIF(ARRAYFORMULA(HLOOKUP($B36, IMPORTRANGE('Match Names'!$E$23, CONCAT(VLOOKUP($C36, 'Match Names'!$1:$22, 5, FALSE), ""!C3:R29"")), {4;13;18}, FALSE)), ""=0"") + COUNTIF(ARRAYFORMULA(HLOOKUP($B36, IMPORTRANG"&amp;"E('Match Names'!$F$23, CONCAT(VLOOKUP($C36, 'Match Names'!$1:$22, 6, FALSE), ""!C3:R29"")), {7;13;19}, FALSE)), ""=0"") + COUNTIF(ARRAYFORMULA(HLOOKUP($B36, IMPORTRANGE('Match Names'!$G$23, CONCAT(VLOOKUP($C36, 'Match Names'!$1:$22, 7, FALSE), ""!C3:R29"""&amp;")), {11;15;23}, FALSE)), ""=0"") + COUNTIF(ARRAYFORMULA(HLOOKUP($B36, IMPORTRANGE('Match Names'!$H$23, CONCAT(VLOOKUP($C36, 'Match Names'!$1:$22, 8, FALSE), ""!C3:R29"")), {6;12;18}, FALSE)), ""=0"")"),0.0)</f>
        <v>0</v>
      </c>
      <c r="G36" s="32">
        <f>IFERROR(__xludf.DUMMYFUNCTION("COUNTIF(ARRAYFORMULA(HLOOKUP($B36, IMPORTRANGE('Prelim Rankings Unsorted'!$B$40, CONCAT(VLOOKUP($C36, 'Match Names'!$A$1:$D$22, 2, FALSE), ""!C3:R29"")), {12;18;24}, FALSE)), ""=-4"") + COUNTIF(ARRAYFORMULA(HLOOKUP($B36, IMPORTRANGE('Prelim Rankings Unsor"&amp;"ted'!$B$41, CONCAT(VLOOKUP($C36, 'Match Names'!$A$1:$D$22, 3, FALSE), ""!C3:R29"")), {6;12;18}, FALSE)), ""=-4"") + COUNTIF(ARRAYFORMULA(HLOOKUP($B36, IMPORTRANGE('Prelim Rankings Unsorted'!$B$42, CONCAT(VLOOKUP($C36, 'Match Names'!$A$1:$D$22, 4, FALSE), "&amp;"""!C3:R29"")), {6;12;18}, FALSE)), ""=-4"") + COUNTIF(ARRAYFORMULA(HLOOKUP($B36, IMPORTRANGE('Match Names'!$E$23, CONCAT(VLOOKUP($C36, 'Match Names'!$1:$22, 5, FALSE), ""!C3:R29"")), {4;13;18}, FALSE)), ""=-4"") + COUNTIF(ARRAYFORMULA(HLOOKUP($B36, IMPORT"&amp;"RANGE('Match Names'!$F$23, CONCAT(VLOOKUP($C36, 'Match Names'!$1:$22, 6, FALSE), ""!C3:R29"")), {7;13;19}, FALSE)), ""=-4"") + COUNTIF(ARRAYFORMULA(HLOOKUP($B36, IMPORTRANGE('Match Names'!$G$23, CONCAT(VLOOKUP($C36, 'Match Names'!$1:$22, 7, FALSE), ""!C3:"&amp;"R29"")), {11;15;23}, FALSE)), ""=-4"") + COUNTIF(ARRAYFORMULA(HLOOKUP($B36, IMPORTRANGE('Match Names'!$H$23, CONCAT(VLOOKUP($C36, 'Match Names'!$1:$22, 8, FALSE), ""!C3:R29"")), {6;12;18}, FALSE)), ""=-4"")"),0.0)</f>
        <v>0</v>
      </c>
      <c r="H36" s="33">
        <f t="shared" si="1"/>
        <v>0</v>
      </c>
    </row>
    <row r="37">
      <c r="A37" s="31" t="s">
        <v>115</v>
      </c>
      <c r="B37" s="31" t="str">
        <f>VLOOKUP(CONCAT(A37, C37), 'Discord Username to Real Name'!C:D, 2, FALSE)</f>
        <v>choiboi#3455</v>
      </c>
      <c r="C37" s="31" t="s">
        <v>20</v>
      </c>
      <c r="D37" s="32">
        <f>IFERROR(__xludf.DUMMYFUNCTION("(3 - COUNTIF(IFERROR(ARRAYFORMULA(HLOOKUP($B37, IMPORTRANGE('Prelim Rankings Unsorted'!$B$40, CONCAT(VLOOKUP($C37, 'Match Names'!$A$1:$D$22, 2, FALSE), ""!C3:R29"")), {12;18;24}, FALSE)), 'Player Overall Stats Unsorted'!$AA$9:$AA$12), ""=X"")) + (3 - COUN"&amp;"TIF(IFERROR(ARRAYFORMULA(HLOOKUP($B37, IMPORTRANGE('Prelim Rankings Unsorted'!$B$41, CONCAT(VLOOKUP($C37, 'Match Names'!$A$1:$D$22, 3, FALSE), ""!C3:R29"")), {6;12;18}, FALSE)), 'Player Overall Stats Unsorted'!$AA$9:$AA$12), ""=X"")) + (3 - COUNTIF(IFERRO"&amp;"R(ARRAYFORMULA(HLOOKUP($B37, IMPORTRANGE('Prelim Rankings Unsorted'!$B$42, CONCAT(VLOOKUP($C37, 'Match Names'!$A$1:$D$22, 4, FALSE), ""!C3:R29"")), {6;12;18}, FALSE)), 'Player Overall Stats Unsorted'!$AA$9:$AA$12), ""=X"")) + (3 - COUNTIF(IFERROR(ARRAYFOR"&amp;"MULA(HLOOKUP($B37, IMPORTRANGE('Match Names'!$E$23, CONCAT(VLOOKUP($C37, 'Match Names'!$1:$22, 5, FALSE), ""!C3:R29"")), {4;13;18}, FALSE)), 'Player Overall Stats Unsorted'!$AA$9:$AA$12), ""=X"")) + (3 - COUNTIF(IFERROR(ARRAYFORMULA(HLOOKUP($B37, IMPORTRA"&amp;"NGE('Match Names'!$F$23, CONCAT(VLOOKUP($C37, 'Match Names'!$1:$22, 6, FALSE), ""!C3:R29"")), {7;13;19}, FALSE)), 'Player Overall Stats Unsorted'!$AA$9:$AA$12), ""=X"")) + (3 - COUNTIF(IFERROR(ARRAYFORMULA(HLOOKUP($B37, IMPORTRANGE('Match Names'!$G$23, CO"&amp;"NCAT(VLOOKUP($C37, 'Match Names'!$1:$22, 7, FALSE), ""!C3:R29"")), {11;15;23}, FALSE)), 'Player Overall Stats Unsorted'!$AA$9:$AA$12), ""=X"")) + (3 - COUNTIF(IFERROR(ARRAYFORMULA(HLOOKUP($B37, IMPORTRANGE('Match Names'!$H$23, CONCAT(VLOOKUP($C37, 'Match "&amp;"Names'!$1:$22, 8, FALSE), ""!C3:R29"")), {6;12;18}, FALSE)), 'Player Overall Stats Unsorted'!$AA$9:$AA$12), ""=X""))"),12.0)</f>
        <v>12</v>
      </c>
      <c r="E37" s="32">
        <f>IFERROR(__xludf.DUMMYFUNCTION("COUNTIF(ARRAYFORMULA(HLOOKUP($B37, IMPORTRANGE('Prelim Rankings Unsorted'!$B$40, CONCAT(VLOOKUP($C37, 'Match Names'!$A$1:$D$22, 2, FALSE), ""!C3:R29"")), {12;18;24}, FALSE)), ""=4"") + COUNTIF(ARRAYFORMULA(HLOOKUP($B37, IMPORTRANGE('Prelim Rankings Unsort"&amp;"ed'!$B$41, CONCAT(VLOOKUP($C37, 'Match Names'!$A$1:$D$22, 3, FALSE), ""!C3:R29"")), {6;12;18}, FALSE)), ""=4"") + COUNTIF(ARRAYFORMULA(HLOOKUP($B37, IMPORTRANGE('Prelim Rankings Unsorted'!$B$42, CONCAT(VLOOKUP($C37, 'Match Names'!$A$1:$D$22, 4, FALSE), """&amp;"!C3:R29"")), {6;12;18}, FALSE)), ""=4"") + COUNTIF(ARRAYFORMULA(HLOOKUP($B37, IMPORTRANGE('Match Names'!$E$23, CONCAT(VLOOKUP($C37, 'Match Names'!$1:$22, 5, FALSE), ""!C3:R29"")), {4;13;18}, FALSE)), ""=4"") + COUNTIF(ARRAYFORMULA(HLOOKUP($B37, IMPORTRANG"&amp;"E('Match Names'!$F$23, CONCAT(VLOOKUP($C37, 'Match Names'!$1:$22, 6, FALSE), ""!C3:R29"")), {7;13;19}, FALSE)), ""=4"") + COUNTIF(ARRAYFORMULA(HLOOKUP($B37, IMPORTRANGE('Match Names'!$G$23, CONCAT(VLOOKUP($C37, 'Match Names'!$1:$22, 7, FALSE), ""!C3:R29"""&amp;")), {11;15;23}, FALSE)), ""=4"") + COUNTIF(ARRAYFORMULA(HLOOKUP($B37, IMPORTRANGE('Match Names'!$H$23, CONCAT(VLOOKUP($C37, 'Match Names'!$1:$22, 8, FALSE), ""!C3:R29"")), {6;12;18}, FALSE)), ""=4"")"),0.0)</f>
        <v>0</v>
      </c>
      <c r="F37" s="32">
        <f>IFERROR(__xludf.DUMMYFUNCTION("COUNTIF(ARRAYFORMULA(HLOOKUP($B37, IMPORTRANGE('Prelim Rankings Unsorted'!$B$40, CONCAT(VLOOKUP($C37, 'Match Names'!$A$1:$D$22, 2, FALSE), ""!C3:R29"")), {12;18;24}, FALSE)), ""=0"") + COUNTIF(ARRAYFORMULA(HLOOKUP($B37, IMPORTRANGE('Prelim Rankings Unsort"&amp;"ed'!$B$41, CONCAT(VLOOKUP($C37, 'Match Names'!$A$1:$D$22, 3, FALSE), ""!C3:R29"")), {6;12;18}, FALSE)), ""=0"") + COUNTIF(ARRAYFORMULA(HLOOKUP($B37, IMPORTRANGE('Prelim Rankings Unsorted'!$B$42, CONCAT(VLOOKUP($C37, 'Match Names'!$A$1:$D$22, 4, FALSE), """&amp;"!C3:R29"")), {6;12;18}, FALSE)), ""=0"") + COUNTIF(ARRAYFORMULA(HLOOKUP($B37, IMPORTRANGE('Match Names'!$E$23, CONCAT(VLOOKUP($C37, 'Match Names'!$1:$22, 5, FALSE), ""!C3:R29"")), {4;13;18}, FALSE)), ""=0"") + COUNTIF(ARRAYFORMULA(HLOOKUP($B37, IMPORTRANG"&amp;"E('Match Names'!$F$23, CONCAT(VLOOKUP($C37, 'Match Names'!$1:$22, 6, FALSE), ""!C3:R29"")), {7;13;19}, FALSE)), ""=0"") + COUNTIF(ARRAYFORMULA(HLOOKUP($B37, IMPORTRANGE('Match Names'!$G$23, CONCAT(VLOOKUP($C37, 'Match Names'!$1:$22, 7, FALSE), ""!C3:R29"""&amp;")), {11;15;23}, FALSE)), ""=0"") + COUNTIF(ARRAYFORMULA(HLOOKUP($B37, IMPORTRANGE('Match Names'!$H$23, CONCAT(VLOOKUP($C37, 'Match Names'!$1:$22, 8, FALSE), ""!C3:R29"")), {6;12;18}, FALSE)), ""=0"")"),0.0)</f>
        <v>0</v>
      </c>
      <c r="G37" s="32">
        <f>IFERROR(__xludf.DUMMYFUNCTION("COUNTIF(ARRAYFORMULA(HLOOKUP($B37, IMPORTRANGE('Prelim Rankings Unsorted'!$B$40, CONCAT(VLOOKUP($C37, 'Match Names'!$A$1:$D$22, 2, FALSE), ""!C3:R29"")), {12;18;24}, FALSE)), ""=-4"") + COUNTIF(ARRAYFORMULA(HLOOKUP($B37, IMPORTRANGE('Prelim Rankings Unsor"&amp;"ted'!$B$41, CONCAT(VLOOKUP($C37, 'Match Names'!$A$1:$D$22, 3, FALSE), ""!C3:R29"")), {6;12;18}, FALSE)), ""=-4"") + COUNTIF(ARRAYFORMULA(HLOOKUP($B37, IMPORTRANGE('Prelim Rankings Unsorted'!$B$42, CONCAT(VLOOKUP($C37, 'Match Names'!$A$1:$D$22, 4, FALSE), "&amp;"""!C3:R29"")), {6;12;18}, FALSE)), ""=-4"") + COUNTIF(ARRAYFORMULA(HLOOKUP($B37, IMPORTRANGE('Match Names'!$E$23, CONCAT(VLOOKUP($C37, 'Match Names'!$1:$22, 5, FALSE), ""!C3:R29"")), {4;13;18}, FALSE)), ""=-4"") + COUNTIF(ARRAYFORMULA(HLOOKUP($B37, IMPORT"&amp;"RANGE('Match Names'!$F$23, CONCAT(VLOOKUP($C37, 'Match Names'!$1:$22, 6, FALSE), ""!C3:R29"")), {7;13;19}, FALSE)), ""=-4"") + COUNTIF(ARRAYFORMULA(HLOOKUP($B37, IMPORTRANGE('Match Names'!$G$23, CONCAT(VLOOKUP($C37, 'Match Names'!$1:$22, 7, FALSE), ""!C3:"&amp;"R29"")), {11;15;23}, FALSE)), ""=-4"") + COUNTIF(ARRAYFORMULA(HLOOKUP($B37, IMPORTRANGE('Match Names'!$H$23, CONCAT(VLOOKUP($C37, 'Match Names'!$1:$22, 8, FALSE), ""!C3:R29"")), {6;12;18}, FALSE)), ""=-4"")"),0.0)</f>
        <v>0</v>
      </c>
      <c r="H37" s="33">
        <f t="shared" si="1"/>
        <v>0</v>
      </c>
    </row>
    <row r="38">
      <c r="A38" s="31" t="s">
        <v>58</v>
      </c>
      <c r="B38" s="31" t="str">
        <f>VLOOKUP(CONCAT(A38, C38), 'Discord Username to Real Name'!C:D, 2, FALSE)</f>
        <v>nshapiro#4660</v>
      </c>
      <c r="C38" s="31" t="s">
        <v>16</v>
      </c>
      <c r="D38" s="32">
        <f>IFERROR(__xludf.DUMMYFUNCTION("(3 - COUNTIF(IFERROR(ARRAYFORMULA(HLOOKUP($B38, IMPORTRANGE('Prelim Rankings Unsorted'!$B$40, CONCAT(VLOOKUP($C38, 'Match Names'!$A$1:$D$22, 2, FALSE), ""!C3:R29"")), {12;18;24}, FALSE)), 'Player Overall Stats Unsorted'!$AA$9:$AA$12), ""=X"")) + (3 - COUN"&amp;"TIF(IFERROR(ARRAYFORMULA(HLOOKUP($B38, IMPORTRANGE('Prelim Rankings Unsorted'!$B$41, CONCAT(VLOOKUP($C38, 'Match Names'!$A$1:$D$22, 3, FALSE), ""!C3:R29"")), {6;12;18}, FALSE)), 'Player Overall Stats Unsorted'!$AA$9:$AA$12), ""=X"")) + (3 - COUNTIF(IFERRO"&amp;"R(ARRAYFORMULA(HLOOKUP($B38, IMPORTRANGE('Prelim Rankings Unsorted'!$B$42, CONCAT(VLOOKUP($C38, 'Match Names'!$A$1:$D$22, 4, FALSE), ""!C3:R29"")), {6;12;18}, FALSE)), 'Player Overall Stats Unsorted'!$AA$9:$AA$12), ""=X"")) + (3 - COUNTIF(IFERROR(ARRAYFOR"&amp;"MULA(HLOOKUP($B38, IMPORTRANGE('Match Names'!$E$23, CONCAT(VLOOKUP($C38, 'Match Names'!$1:$22, 5, FALSE), ""!C3:R29"")), {4;13;18}, FALSE)), 'Player Overall Stats Unsorted'!$AA$9:$AA$12), ""=X"")) + (3 - COUNTIF(IFERROR(ARRAYFORMULA(HLOOKUP($B38, IMPORTRA"&amp;"NGE('Match Names'!$F$23, CONCAT(VLOOKUP($C38, 'Match Names'!$1:$22, 6, FALSE), ""!C3:R29"")), {7;13;19}, FALSE)), 'Player Overall Stats Unsorted'!$AA$9:$AA$12), ""=X"")) + (3 - COUNTIF(IFERROR(ARRAYFORMULA(HLOOKUP($B38, IMPORTRANGE('Match Names'!$G$23, CO"&amp;"NCAT(VLOOKUP($C38, 'Match Names'!$1:$22, 7, FALSE), ""!C3:R29"")), {11;15;23}, FALSE)), 'Player Overall Stats Unsorted'!$AA$9:$AA$12), ""=X"")) + (3 - COUNTIF(IFERROR(ARRAYFORMULA(HLOOKUP($B38, IMPORTRANGE('Match Names'!$H$23, CONCAT(VLOOKUP($C38, 'Match "&amp;"Names'!$1:$22, 8, FALSE), ""!C3:R29"")), {6;12;18}, FALSE)), 'Player Overall Stats Unsorted'!$AA$9:$AA$12), ""=X""))"),12.0)</f>
        <v>12</v>
      </c>
      <c r="E38" s="32">
        <f>IFERROR(__xludf.DUMMYFUNCTION("COUNTIF(ARRAYFORMULA(HLOOKUP($B38, IMPORTRANGE('Prelim Rankings Unsorted'!$B$40, CONCAT(VLOOKUP($C38, 'Match Names'!$A$1:$D$22, 2, FALSE), ""!C3:R29"")), {12;18;24}, FALSE)), ""=4"") + COUNTIF(ARRAYFORMULA(HLOOKUP($B38, IMPORTRANGE('Prelim Rankings Unsort"&amp;"ed'!$B$41, CONCAT(VLOOKUP($C38, 'Match Names'!$A$1:$D$22, 3, FALSE), ""!C3:R29"")), {6;12;18}, FALSE)), ""=4"") + COUNTIF(ARRAYFORMULA(HLOOKUP($B38, IMPORTRANGE('Prelim Rankings Unsorted'!$B$42, CONCAT(VLOOKUP($C38, 'Match Names'!$A$1:$D$22, 4, FALSE), """&amp;"!C3:R29"")), {6;12;18}, FALSE)), ""=4"") + COUNTIF(ARRAYFORMULA(HLOOKUP($B38, IMPORTRANGE('Match Names'!$E$23, CONCAT(VLOOKUP($C38, 'Match Names'!$1:$22, 5, FALSE), ""!C3:R29"")), {4;13;18}, FALSE)), ""=4"") + COUNTIF(ARRAYFORMULA(HLOOKUP($B38, IMPORTRANG"&amp;"E('Match Names'!$F$23, CONCAT(VLOOKUP($C38, 'Match Names'!$1:$22, 6, FALSE), ""!C3:R29"")), {7;13;19}, FALSE)), ""=4"") + COUNTIF(ARRAYFORMULA(HLOOKUP($B38, IMPORTRANGE('Match Names'!$G$23, CONCAT(VLOOKUP($C38, 'Match Names'!$1:$22, 7, FALSE), ""!C3:R29"""&amp;")), {11;15;23}, FALSE)), ""=4"") + COUNTIF(ARRAYFORMULA(HLOOKUP($B38, IMPORTRANGE('Match Names'!$H$23, CONCAT(VLOOKUP($C38, 'Match Names'!$1:$22, 8, FALSE), ""!C3:R29"")), {6;12;18}, FALSE)), ""=4"")"),3.0)</f>
        <v>3</v>
      </c>
      <c r="F38" s="32">
        <f>IFERROR(__xludf.DUMMYFUNCTION("COUNTIF(ARRAYFORMULA(HLOOKUP($B38, IMPORTRANGE('Prelim Rankings Unsorted'!$B$40, CONCAT(VLOOKUP($C38, 'Match Names'!$A$1:$D$22, 2, FALSE), ""!C3:R29"")), {12;18;24}, FALSE)), ""=0"") + COUNTIF(ARRAYFORMULA(HLOOKUP($B38, IMPORTRANGE('Prelim Rankings Unsort"&amp;"ed'!$B$41, CONCAT(VLOOKUP($C38, 'Match Names'!$A$1:$D$22, 3, FALSE), ""!C3:R29"")), {6;12;18}, FALSE)), ""=0"") + COUNTIF(ARRAYFORMULA(HLOOKUP($B38, IMPORTRANGE('Prelim Rankings Unsorted'!$B$42, CONCAT(VLOOKUP($C38, 'Match Names'!$A$1:$D$22, 4, FALSE), """&amp;"!C3:R29"")), {6;12;18}, FALSE)), ""=0"") + COUNTIF(ARRAYFORMULA(HLOOKUP($B38, IMPORTRANGE('Match Names'!$E$23, CONCAT(VLOOKUP($C38, 'Match Names'!$1:$22, 5, FALSE), ""!C3:R29"")), {4;13;18}, FALSE)), ""=0"") + COUNTIF(ARRAYFORMULA(HLOOKUP($B38, IMPORTRANG"&amp;"E('Match Names'!$F$23, CONCAT(VLOOKUP($C38, 'Match Names'!$1:$22, 6, FALSE), ""!C3:R29"")), {7;13;19}, FALSE)), ""=0"") + COUNTIF(ARRAYFORMULA(HLOOKUP($B38, IMPORTRANGE('Match Names'!$G$23, CONCAT(VLOOKUP($C38, 'Match Names'!$1:$22, 7, FALSE), ""!C3:R29"""&amp;")), {11;15;23}, FALSE)), ""=0"") + COUNTIF(ARRAYFORMULA(HLOOKUP($B38, IMPORTRANGE('Match Names'!$H$23, CONCAT(VLOOKUP($C38, 'Match Names'!$1:$22, 8, FALSE), ""!C3:R29"")), {6;12;18}, FALSE)), ""=0"")"),1.0)</f>
        <v>1</v>
      </c>
      <c r="G38" s="32">
        <f>IFERROR(__xludf.DUMMYFUNCTION("COUNTIF(ARRAYFORMULA(HLOOKUP($B38, IMPORTRANGE('Prelim Rankings Unsorted'!$B$40, CONCAT(VLOOKUP($C38, 'Match Names'!$A$1:$D$22, 2, FALSE), ""!C3:R29"")), {12;18;24}, FALSE)), ""=-4"") + COUNTIF(ARRAYFORMULA(HLOOKUP($B38, IMPORTRANGE('Prelim Rankings Unsor"&amp;"ted'!$B$41, CONCAT(VLOOKUP($C38, 'Match Names'!$A$1:$D$22, 3, FALSE), ""!C3:R29"")), {6;12;18}, FALSE)), ""=-4"") + COUNTIF(ARRAYFORMULA(HLOOKUP($B38, IMPORTRANGE('Prelim Rankings Unsorted'!$B$42, CONCAT(VLOOKUP($C38, 'Match Names'!$A$1:$D$22, 4, FALSE), "&amp;"""!C3:R29"")), {6;12;18}, FALSE)), ""=-4"") + COUNTIF(ARRAYFORMULA(HLOOKUP($B38, IMPORTRANGE('Match Names'!$E$23, CONCAT(VLOOKUP($C38, 'Match Names'!$1:$22, 5, FALSE), ""!C3:R29"")), {4;13;18}, FALSE)), ""=-4"") + COUNTIF(ARRAYFORMULA(HLOOKUP($B38, IMPORT"&amp;"RANGE('Match Names'!$F$23, CONCAT(VLOOKUP($C38, 'Match Names'!$1:$22, 6, FALSE), ""!C3:R29"")), {7;13;19}, FALSE)), ""=-4"") + COUNTIF(ARRAYFORMULA(HLOOKUP($B38, IMPORTRANGE('Match Names'!$G$23, CONCAT(VLOOKUP($C38, 'Match Names'!$1:$22, 7, FALSE), ""!C3:"&amp;"R29"")), {11;15;23}, FALSE)), ""=-4"") + COUNTIF(ARRAYFORMULA(HLOOKUP($B38, IMPORTRANGE('Match Names'!$H$23, CONCAT(VLOOKUP($C38, 'Match Names'!$1:$22, 8, FALSE), ""!C3:R29"")), {6;12;18}, FALSE)), ""=-4"")"),1.0)</f>
        <v>1</v>
      </c>
      <c r="H38" s="33">
        <f t="shared" si="1"/>
        <v>2</v>
      </c>
    </row>
    <row r="39">
      <c r="A39" s="31" t="s">
        <v>86</v>
      </c>
      <c r="B39" s="31" t="str">
        <f>VLOOKUP(CONCAT(A39, C39), 'Discord Username to Real Name'!C:D, 2, FALSE)</f>
        <v>Henryb#9686</v>
      </c>
      <c r="C39" s="31" t="s">
        <v>16</v>
      </c>
      <c r="D39" s="32">
        <f>IFERROR(__xludf.DUMMYFUNCTION("(3 - COUNTIF(IFERROR(ARRAYFORMULA(HLOOKUP($B39, IMPORTRANGE('Prelim Rankings Unsorted'!$B$40, CONCAT(VLOOKUP($C39, 'Match Names'!$A$1:$D$22, 2, FALSE), ""!C3:R29"")), {12;18;24}, FALSE)), 'Player Overall Stats Unsorted'!$AA$9:$AA$12), ""=X"")) + (3 - COUN"&amp;"TIF(IFERROR(ARRAYFORMULA(HLOOKUP($B39, IMPORTRANGE('Prelim Rankings Unsorted'!$B$41, CONCAT(VLOOKUP($C39, 'Match Names'!$A$1:$D$22, 3, FALSE), ""!C3:R29"")), {6;12;18}, FALSE)), 'Player Overall Stats Unsorted'!$AA$9:$AA$12), ""=X"")) + (3 - COUNTIF(IFERRO"&amp;"R(ARRAYFORMULA(HLOOKUP($B39, IMPORTRANGE('Prelim Rankings Unsorted'!$B$42, CONCAT(VLOOKUP($C39, 'Match Names'!$A$1:$D$22, 4, FALSE), ""!C3:R29"")), {6;12;18}, FALSE)), 'Player Overall Stats Unsorted'!$AA$9:$AA$12), ""=X"")) + (3 - COUNTIF(IFERROR(ARRAYFOR"&amp;"MULA(HLOOKUP($B39, IMPORTRANGE('Match Names'!$E$23, CONCAT(VLOOKUP($C39, 'Match Names'!$1:$22, 5, FALSE), ""!C3:R29"")), {4;13;18}, FALSE)), 'Player Overall Stats Unsorted'!$AA$9:$AA$12), ""=X"")) + (3 - COUNTIF(IFERROR(ARRAYFORMULA(HLOOKUP($B39, IMPORTRA"&amp;"NGE('Match Names'!$F$23, CONCAT(VLOOKUP($C39, 'Match Names'!$1:$22, 6, FALSE), ""!C3:R29"")), {7;13;19}, FALSE)), 'Player Overall Stats Unsorted'!$AA$9:$AA$12), ""=X"")) + (3 - COUNTIF(IFERROR(ARRAYFORMULA(HLOOKUP($B39, IMPORTRANGE('Match Names'!$G$23, CO"&amp;"NCAT(VLOOKUP($C39, 'Match Names'!$1:$22, 7, FALSE), ""!C3:R29"")), {11;15;23}, FALSE)), 'Player Overall Stats Unsorted'!$AA$9:$AA$12), ""=X"")) + (3 - COUNTIF(IFERROR(ARRAYFORMULA(HLOOKUP($B39, IMPORTRANGE('Match Names'!$H$23, CONCAT(VLOOKUP($C39, 'Match "&amp;"Names'!$1:$22, 8, FALSE), ""!C3:R29"")), {6;12;18}, FALSE)), 'Player Overall Stats Unsorted'!$AA$9:$AA$12), ""=X""))"),15.0)</f>
        <v>15</v>
      </c>
      <c r="E39" s="32">
        <f>IFERROR(__xludf.DUMMYFUNCTION("COUNTIF(ARRAYFORMULA(HLOOKUP($B39, IMPORTRANGE('Prelim Rankings Unsorted'!$B$40, CONCAT(VLOOKUP($C39, 'Match Names'!$A$1:$D$22, 2, FALSE), ""!C3:R29"")), {12;18;24}, FALSE)), ""=4"") + COUNTIF(ARRAYFORMULA(HLOOKUP($B39, IMPORTRANGE('Prelim Rankings Unsort"&amp;"ed'!$B$41, CONCAT(VLOOKUP($C39, 'Match Names'!$A$1:$D$22, 3, FALSE), ""!C3:R29"")), {6;12;18}, FALSE)), ""=4"") + COUNTIF(ARRAYFORMULA(HLOOKUP($B39, IMPORTRANGE('Prelim Rankings Unsorted'!$B$42, CONCAT(VLOOKUP($C39, 'Match Names'!$A$1:$D$22, 4, FALSE), """&amp;"!C3:R29"")), {6;12;18}, FALSE)), ""=4"") + COUNTIF(ARRAYFORMULA(HLOOKUP($B39, IMPORTRANGE('Match Names'!$E$23, CONCAT(VLOOKUP($C39, 'Match Names'!$1:$22, 5, FALSE), ""!C3:R29"")), {4;13;18}, FALSE)), ""=4"") + COUNTIF(ARRAYFORMULA(HLOOKUP($B39, IMPORTRANG"&amp;"E('Match Names'!$F$23, CONCAT(VLOOKUP($C39, 'Match Names'!$1:$22, 6, FALSE), ""!C3:R29"")), {7;13;19}, FALSE)), ""=4"") + COUNTIF(ARRAYFORMULA(HLOOKUP($B39, IMPORTRANGE('Match Names'!$G$23, CONCAT(VLOOKUP($C39, 'Match Names'!$1:$22, 7, FALSE), ""!C3:R29"""&amp;")), {11;15;23}, FALSE)), ""=4"") + COUNTIF(ARRAYFORMULA(HLOOKUP($B39, IMPORTRANGE('Match Names'!$H$23, CONCAT(VLOOKUP($C39, 'Match Names'!$1:$22, 8, FALSE), ""!C3:R29"")), {6;12;18}, FALSE)), ""=4"")"),4.0)</f>
        <v>4</v>
      </c>
      <c r="F39" s="32">
        <f>IFERROR(__xludf.DUMMYFUNCTION("COUNTIF(ARRAYFORMULA(HLOOKUP($B39, IMPORTRANGE('Prelim Rankings Unsorted'!$B$40, CONCAT(VLOOKUP($C39, 'Match Names'!$A$1:$D$22, 2, FALSE), ""!C3:R29"")), {12;18;24}, FALSE)), ""=0"") + COUNTIF(ARRAYFORMULA(HLOOKUP($B39, IMPORTRANGE('Prelim Rankings Unsort"&amp;"ed'!$B$41, CONCAT(VLOOKUP($C39, 'Match Names'!$A$1:$D$22, 3, FALSE), ""!C3:R29"")), {6;12;18}, FALSE)), ""=0"") + COUNTIF(ARRAYFORMULA(HLOOKUP($B39, IMPORTRANGE('Prelim Rankings Unsorted'!$B$42, CONCAT(VLOOKUP($C39, 'Match Names'!$A$1:$D$22, 4, FALSE), """&amp;"!C3:R29"")), {6;12;18}, FALSE)), ""=0"") + COUNTIF(ARRAYFORMULA(HLOOKUP($B39, IMPORTRANGE('Match Names'!$E$23, CONCAT(VLOOKUP($C39, 'Match Names'!$1:$22, 5, FALSE), ""!C3:R29"")), {4;13;18}, FALSE)), ""=0"") + COUNTIF(ARRAYFORMULA(HLOOKUP($B39, IMPORTRANG"&amp;"E('Match Names'!$F$23, CONCAT(VLOOKUP($C39, 'Match Names'!$1:$22, 6, FALSE), ""!C3:R29"")), {7;13;19}, FALSE)), ""=0"") + COUNTIF(ARRAYFORMULA(HLOOKUP($B39, IMPORTRANGE('Match Names'!$G$23, CONCAT(VLOOKUP($C39, 'Match Names'!$1:$22, 7, FALSE), ""!C3:R29"""&amp;")), {11;15;23}, FALSE)), ""=0"") + COUNTIF(ARRAYFORMULA(HLOOKUP($B39, IMPORTRANGE('Match Names'!$H$23, CONCAT(VLOOKUP($C39, 'Match Names'!$1:$22, 8, FALSE), ""!C3:R29"")), {6;12;18}, FALSE)), ""=0"")"),3.0)</f>
        <v>3</v>
      </c>
      <c r="G39" s="32">
        <f>IFERROR(__xludf.DUMMYFUNCTION("COUNTIF(ARRAYFORMULA(HLOOKUP($B39, IMPORTRANGE('Prelim Rankings Unsorted'!$B$40, CONCAT(VLOOKUP($C39, 'Match Names'!$A$1:$D$22, 2, FALSE), ""!C3:R29"")), {12;18;24}, FALSE)), ""=-4"") + COUNTIF(ARRAYFORMULA(HLOOKUP($B39, IMPORTRANGE('Prelim Rankings Unsor"&amp;"ted'!$B$41, CONCAT(VLOOKUP($C39, 'Match Names'!$A$1:$D$22, 3, FALSE), ""!C3:R29"")), {6;12;18}, FALSE)), ""=-4"") + COUNTIF(ARRAYFORMULA(HLOOKUP($B39, IMPORTRANGE('Prelim Rankings Unsorted'!$B$42, CONCAT(VLOOKUP($C39, 'Match Names'!$A$1:$D$22, 4, FALSE), "&amp;"""!C3:R29"")), {6;12;18}, FALSE)), ""=-4"") + COUNTIF(ARRAYFORMULA(HLOOKUP($B39, IMPORTRANGE('Match Names'!$E$23, CONCAT(VLOOKUP($C39, 'Match Names'!$1:$22, 5, FALSE), ""!C3:R29"")), {4;13;18}, FALSE)), ""=-4"") + COUNTIF(ARRAYFORMULA(HLOOKUP($B39, IMPORT"&amp;"RANGE('Match Names'!$F$23, CONCAT(VLOOKUP($C39, 'Match Names'!$1:$22, 6, FALSE), ""!C3:R29"")), {7;13;19}, FALSE)), ""=-4"") + COUNTIF(ARRAYFORMULA(HLOOKUP($B39, IMPORTRANGE('Match Names'!$G$23, CONCAT(VLOOKUP($C39, 'Match Names'!$1:$22, 7, FALSE), ""!C3:"&amp;"R29"")), {11;15;23}, FALSE)), ""=-4"") + COUNTIF(ARRAYFORMULA(HLOOKUP($B39, IMPORTRANGE('Match Names'!$H$23, CONCAT(VLOOKUP($C39, 'Match Names'!$1:$22, 8, FALSE), ""!C3:R29"")), {6;12;18}, FALSE)), ""=-4"")"),0.0)</f>
        <v>0</v>
      </c>
      <c r="H39" s="33">
        <f t="shared" si="1"/>
        <v>3.2</v>
      </c>
    </row>
    <row r="40">
      <c r="A40" s="31" t="s">
        <v>164</v>
      </c>
      <c r="B40" s="31" t="str">
        <f>VLOOKUP(CONCAT(A40, C40), 'Discord Username to Real Name'!C:D, 2, FALSE)</f>
        <v>Teji11#5265</v>
      </c>
      <c r="C40" s="31" t="s">
        <v>16</v>
      </c>
      <c r="D40" s="32">
        <f>IFERROR(__xludf.DUMMYFUNCTION("(3 - COUNTIF(IFERROR(ARRAYFORMULA(HLOOKUP($B40, IMPORTRANGE('Prelim Rankings Unsorted'!$B$40, CONCAT(VLOOKUP($C40, 'Match Names'!$A$1:$D$22, 2, FALSE), ""!C3:R29"")), {12;18;24}, FALSE)), 'Player Overall Stats Unsorted'!$AA$9:$AA$12), ""=X"")) + (3 - COUN"&amp;"TIF(IFERROR(ARRAYFORMULA(HLOOKUP($B40, IMPORTRANGE('Prelim Rankings Unsorted'!$B$41, CONCAT(VLOOKUP($C40, 'Match Names'!$A$1:$D$22, 3, FALSE), ""!C3:R29"")), {6;12;18}, FALSE)), 'Player Overall Stats Unsorted'!$AA$9:$AA$12), ""=X"")) + (3 - COUNTIF(IFERRO"&amp;"R(ARRAYFORMULA(HLOOKUP($B40, IMPORTRANGE('Prelim Rankings Unsorted'!$B$42, CONCAT(VLOOKUP($C40, 'Match Names'!$A$1:$D$22, 4, FALSE), ""!C3:R29"")), {6;12;18}, FALSE)), 'Player Overall Stats Unsorted'!$AA$9:$AA$12), ""=X"")) + (3 - COUNTIF(IFERROR(ARRAYFOR"&amp;"MULA(HLOOKUP($B40, IMPORTRANGE('Match Names'!$E$23, CONCAT(VLOOKUP($C40, 'Match Names'!$1:$22, 5, FALSE), ""!C3:R29"")), {4;13;18}, FALSE)), 'Player Overall Stats Unsorted'!$AA$9:$AA$12), ""=X"")) + (3 - COUNTIF(IFERROR(ARRAYFORMULA(HLOOKUP($B40, IMPORTRA"&amp;"NGE('Match Names'!$F$23, CONCAT(VLOOKUP($C40, 'Match Names'!$1:$22, 6, FALSE), ""!C3:R29"")), {7;13;19}, FALSE)), 'Player Overall Stats Unsorted'!$AA$9:$AA$12), ""=X"")) + (3 - COUNTIF(IFERROR(ARRAYFORMULA(HLOOKUP($B40, IMPORTRANGE('Match Names'!$G$23, CO"&amp;"NCAT(VLOOKUP($C40, 'Match Names'!$1:$22, 7, FALSE), ""!C3:R29"")), {11;15;23}, FALSE)), 'Player Overall Stats Unsorted'!$AA$9:$AA$12), ""=X"")) + (3 - COUNTIF(IFERROR(ARRAYFORMULA(HLOOKUP($B40, IMPORTRANGE('Match Names'!$H$23, CONCAT(VLOOKUP($C40, 'Match "&amp;"Names'!$1:$22, 8, FALSE), ""!C3:R29"")), {6;12;18}, FALSE)), 'Player Overall Stats Unsorted'!$AA$9:$AA$12), ""=X""))"),12.0)</f>
        <v>12</v>
      </c>
      <c r="E40" s="32">
        <f>IFERROR(__xludf.DUMMYFUNCTION("COUNTIF(ARRAYFORMULA(HLOOKUP($B40, IMPORTRANGE('Prelim Rankings Unsorted'!$B$40, CONCAT(VLOOKUP($C40, 'Match Names'!$A$1:$D$22, 2, FALSE), ""!C3:R29"")), {12;18;24}, FALSE)), ""=4"") + COUNTIF(ARRAYFORMULA(HLOOKUP($B40, IMPORTRANGE('Prelim Rankings Unsort"&amp;"ed'!$B$41, CONCAT(VLOOKUP($C40, 'Match Names'!$A$1:$D$22, 3, FALSE), ""!C3:R29"")), {6;12;18}, FALSE)), ""=4"") + COUNTIF(ARRAYFORMULA(HLOOKUP($B40, IMPORTRANGE('Prelim Rankings Unsorted'!$B$42, CONCAT(VLOOKUP($C40, 'Match Names'!$A$1:$D$22, 4, FALSE), """&amp;"!C3:R29"")), {6;12;18}, FALSE)), ""=4"") + COUNTIF(ARRAYFORMULA(HLOOKUP($B40, IMPORTRANGE('Match Names'!$E$23, CONCAT(VLOOKUP($C40, 'Match Names'!$1:$22, 5, FALSE), ""!C3:R29"")), {4;13;18}, FALSE)), ""=4"") + COUNTIF(ARRAYFORMULA(HLOOKUP($B40, IMPORTRANG"&amp;"E('Match Names'!$F$23, CONCAT(VLOOKUP($C40, 'Match Names'!$1:$22, 6, FALSE), ""!C3:R29"")), {7;13;19}, FALSE)), ""=4"") + COUNTIF(ARRAYFORMULA(HLOOKUP($B40, IMPORTRANGE('Match Names'!$G$23, CONCAT(VLOOKUP($C40, 'Match Names'!$1:$22, 7, FALSE), ""!C3:R29"""&amp;")), {11;15;23}, FALSE)), ""=4"") + COUNTIF(ARRAYFORMULA(HLOOKUP($B40, IMPORTRANGE('Match Names'!$H$23, CONCAT(VLOOKUP($C40, 'Match Names'!$1:$22, 8, FALSE), ""!C3:R29"")), {6;12;18}, FALSE)), ""=4"")"),0.0)</f>
        <v>0</v>
      </c>
      <c r="F40" s="32">
        <f>IFERROR(__xludf.DUMMYFUNCTION("COUNTIF(ARRAYFORMULA(HLOOKUP($B40, IMPORTRANGE('Prelim Rankings Unsorted'!$B$40, CONCAT(VLOOKUP($C40, 'Match Names'!$A$1:$D$22, 2, FALSE), ""!C3:R29"")), {12;18;24}, FALSE)), ""=0"") + COUNTIF(ARRAYFORMULA(HLOOKUP($B40, IMPORTRANGE('Prelim Rankings Unsort"&amp;"ed'!$B$41, CONCAT(VLOOKUP($C40, 'Match Names'!$A$1:$D$22, 3, FALSE), ""!C3:R29"")), {6;12;18}, FALSE)), ""=0"") + COUNTIF(ARRAYFORMULA(HLOOKUP($B40, IMPORTRANGE('Prelim Rankings Unsorted'!$B$42, CONCAT(VLOOKUP($C40, 'Match Names'!$A$1:$D$22, 4, FALSE), """&amp;"!C3:R29"")), {6;12;18}, FALSE)), ""=0"") + COUNTIF(ARRAYFORMULA(HLOOKUP($B40, IMPORTRANGE('Match Names'!$E$23, CONCAT(VLOOKUP($C40, 'Match Names'!$1:$22, 5, FALSE), ""!C3:R29"")), {4;13;18}, FALSE)), ""=0"") + COUNTIF(ARRAYFORMULA(HLOOKUP($B40, IMPORTRANG"&amp;"E('Match Names'!$F$23, CONCAT(VLOOKUP($C40, 'Match Names'!$1:$22, 6, FALSE), ""!C3:R29"")), {7;13;19}, FALSE)), ""=0"") + COUNTIF(ARRAYFORMULA(HLOOKUP($B40, IMPORTRANGE('Match Names'!$G$23, CONCAT(VLOOKUP($C40, 'Match Names'!$1:$22, 7, FALSE), ""!C3:R29"""&amp;")), {11;15;23}, FALSE)), ""=0"") + COUNTIF(ARRAYFORMULA(HLOOKUP($B40, IMPORTRANGE('Match Names'!$H$23, CONCAT(VLOOKUP($C40, 'Match Names'!$1:$22, 8, FALSE), ""!C3:R29"")), {6;12;18}, FALSE)), ""=0"")"),0.0)</f>
        <v>0</v>
      </c>
      <c r="G40" s="32">
        <f>IFERROR(__xludf.DUMMYFUNCTION("COUNTIF(ARRAYFORMULA(HLOOKUP($B40, IMPORTRANGE('Prelim Rankings Unsorted'!$B$40, CONCAT(VLOOKUP($C40, 'Match Names'!$A$1:$D$22, 2, FALSE), ""!C3:R29"")), {12;18;24}, FALSE)), ""=-4"") + COUNTIF(ARRAYFORMULA(HLOOKUP($B40, IMPORTRANGE('Prelim Rankings Unsor"&amp;"ted'!$B$41, CONCAT(VLOOKUP($C40, 'Match Names'!$A$1:$D$22, 3, FALSE), ""!C3:R29"")), {6;12;18}, FALSE)), ""=-4"") + COUNTIF(ARRAYFORMULA(HLOOKUP($B40, IMPORTRANGE('Prelim Rankings Unsorted'!$B$42, CONCAT(VLOOKUP($C40, 'Match Names'!$A$1:$D$22, 4, FALSE), "&amp;"""!C3:R29"")), {6;12;18}, FALSE)), ""=-4"") + COUNTIF(ARRAYFORMULA(HLOOKUP($B40, IMPORTRANGE('Match Names'!$E$23, CONCAT(VLOOKUP($C40, 'Match Names'!$1:$22, 5, FALSE), ""!C3:R29"")), {4;13;18}, FALSE)), ""=-4"") + COUNTIF(ARRAYFORMULA(HLOOKUP($B40, IMPORT"&amp;"RANGE('Match Names'!$F$23, CONCAT(VLOOKUP($C40, 'Match Names'!$1:$22, 6, FALSE), ""!C3:R29"")), {7;13;19}, FALSE)), ""=-4"") + COUNTIF(ARRAYFORMULA(HLOOKUP($B40, IMPORTRANGE('Match Names'!$G$23, CONCAT(VLOOKUP($C40, 'Match Names'!$1:$22, 7, FALSE), ""!C3:"&amp;"R29"")), {11;15;23}, FALSE)), ""=-4"") + COUNTIF(ARRAYFORMULA(HLOOKUP($B40, IMPORTRANGE('Match Names'!$H$23, CONCAT(VLOOKUP($C40, 'Match Names'!$1:$22, 8, FALSE), ""!C3:R29"")), {6;12;18}, FALSE)), ""=-4"")"),0.0)</f>
        <v>0</v>
      </c>
      <c r="H40" s="33">
        <f t="shared" si="1"/>
        <v>0</v>
      </c>
    </row>
    <row r="41">
      <c r="A41" s="31" t="s">
        <v>162</v>
      </c>
      <c r="B41" s="31" t="str">
        <f>VLOOKUP(CONCAT(A41, C41), 'Discord Username to Real Name'!C:D, 2, FALSE)</f>
        <v>Ajay G.#0147</v>
      </c>
      <c r="C41" s="31" t="s">
        <v>16</v>
      </c>
      <c r="D41" s="32">
        <f>IFERROR(__xludf.DUMMYFUNCTION("(3 - COUNTIF(IFERROR(ARRAYFORMULA(HLOOKUP($B41, IMPORTRANGE('Prelim Rankings Unsorted'!$B$40, CONCAT(VLOOKUP($C41, 'Match Names'!$A$1:$D$22, 2, FALSE), ""!C3:R29"")), {12;18;24}, FALSE)), 'Player Overall Stats Unsorted'!$AA$9:$AA$12), ""=X"")) + (3 - COUN"&amp;"TIF(IFERROR(ARRAYFORMULA(HLOOKUP($B41, IMPORTRANGE('Prelim Rankings Unsorted'!$B$41, CONCAT(VLOOKUP($C41, 'Match Names'!$A$1:$D$22, 3, FALSE), ""!C3:R29"")), {6;12;18}, FALSE)), 'Player Overall Stats Unsorted'!$AA$9:$AA$12), ""=X"")) + (3 - COUNTIF(IFERRO"&amp;"R(ARRAYFORMULA(HLOOKUP($B41, IMPORTRANGE('Prelim Rankings Unsorted'!$B$42, CONCAT(VLOOKUP($C41, 'Match Names'!$A$1:$D$22, 4, FALSE), ""!C3:R29"")), {6;12;18}, FALSE)), 'Player Overall Stats Unsorted'!$AA$9:$AA$12), ""=X"")) + (3 - COUNTIF(IFERROR(ARRAYFOR"&amp;"MULA(HLOOKUP($B41, IMPORTRANGE('Match Names'!$E$23, CONCAT(VLOOKUP($C41, 'Match Names'!$1:$22, 5, FALSE), ""!C3:R29"")), {4;13;18}, FALSE)), 'Player Overall Stats Unsorted'!$AA$9:$AA$12), ""=X"")) + (3 - COUNTIF(IFERROR(ARRAYFORMULA(HLOOKUP($B41, IMPORTRA"&amp;"NGE('Match Names'!$F$23, CONCAT(VLOOKUP($C41, 'Match Names'!$1:$22, 6, FALSE), ""!C3:R29"")), {7;13;19}, FALSE)), 'Player Overall Stats Unsorted'!$AA$9:$AA$12), ""=X"")) + (3 - COUNTIF(IFERROR(ARRAYFORMULA(HLOOKUP($B41, IMPORTRANGE('Match Names'!$G$23, CO"&amp;"NCAT(VLOOKUP($C41, 'Match Names'!$1:$22, 7, FALSE), ""!C3:R29"")), {11;15;23}, FALSE)), 'Player Overall Stats Unsorted'!$AA$9:$AA$12), ""=X"")) + (3 - COUNTIF(IFERROR(ARRAYFORMULA(HLOOKUP($B41, IMPORTRANGE('Match Names'!$H$23, CONCAT(VLOOKUP($C41, 'Match "&amp;"Names'!$1:$22, 8, FALSE), ""!C3:R29"")), {6;12;18}, FALSE)), 'Player Overall Stats Unsorted'!$AA$9:$AA$12), ""=X""))"),12.0)</f>
        <v>12</v>
      </c>
      <c r="E41" s="32">
        <f>IFERROR(__xludf.DUMMYFUNCTION("COUNTIF(ARRAYFORMULA(HLOOKUP($B41, IMPORTRANGE('Prelim Rankings Unsorted'!$B$40, CONCAT(VLOOKUP($C41, 'Match Names'!$A$1:$D$22, 2, FALSE), ""!C3:R29"")), {12;18;24}, FALSE)), ""=4"") + COUNTIF(ARRAYFORMULA(HLOOKUP($B41, IMPORTRANGE('Prelim Rankings Unsort"&amp;"ed'!$B$41, CONCAT(VLOOKUP($C41, 'Match Names'!$A$1:$D$22, 3, FALSE), ""!C3:R29"")), {6;12;18}, FALSE)), ""=4"") + COUNTIF(ARRAYFORMULA(HLOOKUP($B41, IMPORTRANGE('Prelim Rankings Unsorted'!$B$42, CONCAT(VLOOKUP($C41, 'Match Names'!$A$1:$D$22, 4, FALSE), """&amp;"!C3:R29"")), {6;12;18}, FALSE)), ""=4"") + COUNTIF(ARRAYFORMULA(HLOOKUP($B41, IMPORTRANGE('Match Names'!$E$23, CONCAT(VLOOKUP($C41, 'Match Names'!$1:$22, 5, FALSE), ""!C3:R29"")), {4;13;18}, FALSE)), ""=4"") + COUNTIF(ARRAYFORMULA(HLOOKUP($B41, IMPORTRANG"&amp;"E('Match Names'!$F$23, CONCAT(VLOOKUP($C41, 'Match Names'!$1:$22, 6, FALSE), ""!C3:R29"")), {7;13;19}, FALSE)), ""=4"") + COUNTIF(ARRAYFORMULA(HLOOKUP($B41, IMPORTRANGE('Match Names'!$G$23, CONCAT(VLOOKUP($C41, 'Match Names'!$1:$22, 7, FALSE), ""!C3:R29"""&amp;")), {11;15;23}, FALSE)), ""=4"") + COUNTIF(ARRAYFORMULA(HLOOKUP($B41, IMPORTRANGE('Match Names'!$H$23, CONCAT(VLOOKUP($C41, 'Match Names'!$1:$22, 8, FALSE), ""!C3:R29"")), {6;12;18}, FALSE)), ""=4"")"),0.0)</f>
        <v>0</v>
      </c>
      <c r="F41" s="32">
        <f>IFERROR(__xludf.DUMMYFUNCTION("COUNTIF(ARRAYFORMULA(HLOOKUP($B41, IMPORTRANGE('Prelim Rankings Unsorted'!$B$40, CONCAT(VLOOKUP($C41, 'Match Names'!$A$1:$D$22, 2, FALSE), ""!C3:R29"")), {12;18;24}, FALSE)), ""=0"") + COUNTIF(ARRAYFORMULA(HLOOKUP($B41, IMPORTRANGE('Prelim Rankings Unsort"&amp;"ed'!$B$41, CONCAT(VLOOKUP($C41, 'Match Names'!$A$1:$D$22, 3, FALSE), ""!C3:R29"")), {6;12;18}, FALSE)), ""=0"") + COUNTIF(ARRAYFORMULA(HLOOKUP($B41, IMPORTRANGE('Prelim Rankings Unsorted'!$B$42, CONCAT(VLOOKUP($C41, 'Match Names'!$A$1:$D$22, 4, FALSE), """&amp;"!C3:R29"")), {6;12;18}, FALSE)), ""=0"") + COUNTIF(ARRAYFORMULA(HLOOKUP($B41, IMPORTRANGE('Match Names'!$E$23, CONCAT(VLOOKUP($C41, 'Match Names'!$1:$22, 5, FALSE), ""!C3:R29"")), {4;13;18}, FALSE)), ""=0"") + COUNTIF(ARRAYFORMULA(HLOOKUP($B41, IMPORTRANG"&amp;"E('Match Names'!$F$23, CONCAT(VLOOKUP($C41, 'Match Names'!$1:$22, 6, FALSE), ""!C3:R29"")), {7;13;19}, FALSE)), ""=0"") + COUNTIF(ARRAYFORMULA(HLOOKUP($B41, IMPORTRANGE('Match Names'!$G$23, CONCAT(VLOOKUP($C41, 'Match Names'!$1:$22, 7, FALSE), ""!C3:R29"""&amp;")), {11;15;23}, FALSE)), ""=0"") + COUNTIF(ARRAYFORMULA(HLOOKUP($B41, IMPORTRANGE('Match Names'!$H$23, CONCAT(VLOOKUP($C41, 'Match Names'!$1:$22, 8, FALSE), ""!C3:R29"")), {6;12;18}, FALSE)), ""=0"")"),0.0)</f>
        <v>0</v>
      </c>
      <c r="G41" s="32">
        <f>IFERROR(__xludf.DUMMYFUNCTION("COUNTIF(ARRAYFORMULA(HLOOKUP($B41, IMPORTRANGE('Prelim Rankings Unsorted'!$B$40, CONCAT(VLOOKUP($C41, 'Match Names'!$A$1:$D$22, 2, FALSE), ""!C3:R29"")), {12;18;24}, FALSE)), ""=-4"") + COUNTIF(ARRAYFORMULA(HLOOKUP($B41, IMPORTRANGE('Prelim Rankings Unsor"&amp;"ted'!$B$41, CONCAT(VLOOKUP($C41, 'Match Names'!$A$1:$D$22, 3, FALSE), ""!C3:R29"")), {6;12;18}, FALSE)), ""=-4"") + COUNTIF(ARRAYFORMULA(HLOOKUP($B41, IMPORTRANGE('Prelim Rankings Unsorted'!$B$42, CONCAT(VLOOKUP($C41, 'Match Names'!$A$1:$D$22, 4, FALSE), "&amp;"""!C3:R29"")), {6;12;18}, FALSE)), ""=-4"") + COUNTIF(ARRAYFORMULA(HLOOKUP($B41, IMPORTRANGE('Match Names'!$E$23, CONCAT(VLOOKUP($C41, 'Match Names'!$1:$22, 5, FALSE), ""!C3:R29"")), {4;13;18}, FALSE)), ""=-4"") + COUNTIF(ARRAYFORMULA(HLOOKUP($B41, IMPORT"&amp;"RANGE('Match Names'!$F$23, CONCAT(VLOOKUP($C41, 'Match Names'!$1:$22, 6, FALSE), ""!C3:R29"")), {7;13;19}, FALSE)), ""=-4"") + COUNTIF(ARRAYFORMULA(HLOOKUP($B41, IMPORTRANGE('Match Names'!$G$23, CONCAT(VLOOKUP($C41, 'Match Names'!$1:$22, 7, FALSE), ""!C3:"&amp;"R29"")), {11;15;23}, FALSE)), ""=-4"") + COUNTIF(ARRAYFORMULA(HLOOKUP($B41, IMPORTRANGE('Match Names'!$H$23, CONCAT(VLOOKUP($C41, 'Match Names'!$1:$22, 8, FALSE), ""!C3:R29"")), {6;12;18}, FALSE)), ""=-4"")"),0.0)</f>
        <v>0</v>
      </c>
      <c r="H41" s="33">
        <f t="shared" si="1"/>
        <v>0</v>
      </c>
    </row>
    <row r="42">
      <c r="A42" s="31" t="s">
        <v>171</v>
      </c>
      <c r="B42" s="31" t="str">
        <f>VLOOKUP(CONCAT(A42, C42), 'Discord Username to Real Name'!C:D, 2, FALSE)</f>
        <v>Tencor7144#2297</v>
      </c>
      <c r="C42" s="31" t="s">
        <v>16</v>
      </c>
      <c r="D42" s="32">
        <f>IFERROR(__xludf.DUMMYFUNCTION("(3 - COUNTIF(IFERROR(ARRAYFORMULA(HLOOKUP($B42, IMPORTRANGE('Prelim Rankings Unsorted'!$B$40, CONCAT(VLOOKUP($C42, 'Match Names'!$A$1:$D$22, 2, FALSE), ""!C3:R29"")), {12;18;24}, FALSE)), 'Player Overall Stats Unsorted'!$AA$9:$AA$12), ""=X"")) + (3 - COUN"&amp;"TIF(IFERROR(ARRAYFORMULA(HLOOKUP($B42, IMPORTRANGE('Prelim Rankings Unsorted'!$B$41, CONCAT(VLOOKUP($C42, 'Match Names'!$A$1:$D$22, 3, FALSE), ""!C3:R29"")), {6;12;18}, FALSE)), 'Player Overall Stats Unsorted'!$AA$9:$AA$12), ""=X"")) + (3 - COUNTIF(IFERRO"&amp;"R(ARRAYFORMULA(HLOOKUP($B42, IMPORTRANGE('Prelim Rankings Unsorted'!$B$42, CONCAT(VLOOKUP($C42, 'Match Names'!$A$1:$D$22, 4, FALSE), ""!C3:R29"")), {6;12;18}, FALSE)), 'Player Overall Stats Unsorted'!$AA$9:$AA$12), ""=X"")) + (3 - COUNTIF(IFERROR(ARRAYFOR"&amp;"MULA(HLOOKUP($B42, IMPORTRANGE('Match Names'!$E$23, CONCAT(VLOOKUP($C42, 'Match Names'!$1:$22, 5, FALSE), ""!C3:R29"")), {4;13;18}, FALSE)), 'Player Overall Stats Unsorted'!$AA$9:$AA$12), ""=X"")) + (3 - COUNTIF(IFERROR(ARRAYFORMULA(HLOOKUP($B42, IMPORTRA"&amp;"NGE('Match Names'!$F$23, CONCAT(VLOOKUP($C42, 'Match Names'!$1:$22, 6, FALSE), ""!C3:R29"")), {7;13;19}, FALSE)), 'Player Overall Stats Unsorted'!$AA$9:$AA$12), ""=X"")) + (3 - COUNTIF(IFERROR(ARRAYFORMULA(HLOOKUP($B42, IMPORTRANGE('Match Names'!$G$23, CO"&amp;"NCAT(VLOOKUP($C42, 'Match Names'!$1:$22, 7, FALSE), ""!C3:R29"")), {11;15;23}, FALSE)), 'Player Overall Stats Unsorted'!$AA$9:$AA$12), ""=X"")) + (3 - COUNTIF(IFERROR(ARRAYFORMULA(HLOOKUP($B42, IMPORTRANGE('Match Names'!$H$23, CONCAT(VLOOKUP($C42, 'Match "&amp;"Names'!$1:$22, 8, FALSE), ""!C3:R29"")), {6;12;18}, FALSE)), 'Player Overall Stats Unsorted'!$AA$9:$AA$12), ""=X""))"),6.0)</f>
        <v>6</v>
      </c>
      <c r="E42" s="32">
        <f>IFERROR(__xludf.DUMMYFUNCTION("COUNTIF(ARRAYFORMULA(HLOOKUP($B42, IMPORTRANGE('Prelim Rankings Unsorted'!$B$40, CONCAT(VLOOKUP($C42, 'Match Names'!$A$1:$D$22, 2, FALSE), ""!C3:R29"")), {12;18;24}, FALSE)), ""=4"") + COUNTIF(ARRAYFORMULA(HLOOKUP($B42, IMPORTRANGE('Prelim Rankings Unsort"&amp;"ed'!$B$41, CONCAT(VLOOKUP($C42, 'Match Names'!$A$1:$D$22, 3, FALSE), ""!C3:R29"")), {6;12;18}, FALSE)), ""=4"") + COUNTIF(ARRAYFORMULA(HLOOKUP($B42, IMPORTRANGE('Prelim Rankings Unsorted'!$B$42, CONCAT(VLOOKUP($C42, 'Match Names'!$A$1:$D$22, 4, FALSE), """&amp;"!C3:R29"")), {6;12;18}, FALSE)), ""=4"") + COUNTIF(ARRAYFORMULA(HLOOKUP($B42, IMPORTRANGE('Match Names'!$E$23, CONCAT(VLOOKUP($C42, 'Match Names'!$1:$22, 5, FALSE), ""!C3:R29"")), {4;13;18}, FALSE)), ""=4"") + COUNTIF(ARRAYFORMULA(HLOOKUP($B42, IMPORTRANG"&amp;"E('Match Names'!$F$23, CONCAT(VLOOKUP($C42, 'Match Names'!$1:$22, 6, FALSE), ""!C3:R29"")), {7;13;19}, FALSE)), ""=4"") + COUNTIF(ARRAYFORMULA(HLOOKUP($B42, IMPORTRANGE('Match Names'!$G$23, CONCAT(VLOOKUP($C42, 'Match Names'!$1:$22, 7, FALSE), ""!C3:R29"""&amp;")), {11;15;23}, FALSE)), ""=4"") + COUNTIF(ARRAYFORMULA(HLOOKUP($B42, IMPORTRANGE('Match Names'!$H$23, CONCAT(VLOOKUP($C42, 'Match Names'!$1:$22, 8, FALSE), ""!C3:R29"")), {6;12;18}, FALSE)), ""=4"")"),0.0)</f>
        <v>0</v>
      </c>
      <c r="F42" s="32">
        <f>IFERROR(__xludf.DUMMYFUNCTION("COUNTIF(ARRAYFORMULA(HLOOKUP($B42, IMPORTRANGE('Prelim Rankings Unsorted'!$B$40, CONCAT(VLOOKUP($C42, 'Match Names'!$A$1:$D$22, 2, FALSE), ""!C3:R29"")), {12;18;24}, FALSE)), ""=0"") + COUNTIF(ARRAYFORMULA(HLOOKUP($B42, IMPORTRANGE('Prelim Rankings Unsort"&amp;"ed'!$B$41, CONCAT(VLOOKUP($C42, 'Match Names'!$A$1:$D$22, 3, FALSE), ""!C3:R29"")), {6;12;18}, FALSE)), ""=0"") + COUNTIF(ARRAYFORMULA(HLOOKUP($B42, IMPORTRANGE('Prelim Rankings Unsorted'!$B$42, CONCAT(VLOOKUP($C42, 'Match Names'!$A$1:$D$22, 4, FALSE), """&amp;"!C3:R29"")), {6;12;18}, FALSE)), ""=0"") + COUNTIF(ARRAYFORMULA(HLOOKUP($B42, IMPORTRANGE('Match Names'!$E$23, CONCAT(VLOOKUP($C42, 'Match Names'!$1:$22, 5, FALSE), ""!C3:R29"")), {4;13;18}, FALSE)), ""=0"") + COUNTIF(ARRAYFORMULA(HLOOKUP($B42, IMPORTRANG"&amp;"E('Match Names'!$F$23, CONCAT(VLOOKUP($C42, 'Match Names'!$1:$22, 6, FALSE), ""!C3:R29"")), {7;13;19}, FALSE)), ""=0"") + COUNTIF(ARRAYFORMULA(HLOOKUP($B42, IMPORTRANGE('Match Names'!$G$23, CONCAT(VLOOKUP($C42, 'Match Names'!$1:$22, 7, FALSE), ""!C3:R29"""&amp;")), {11;15;23}, FALSE)), ""=0"") + COUNTIF(ARRAYFORMULA(HLOOKUP($B42, IMPORTRANGE('Match Names'!$H$23, CONCAT(VLOOKUP($C42, 'Match Names'!$1:$22, 8, FALSE), ""!C3:R29"")), {6;12;18}, FALSE)), ""=0"")"),0.0)</f>
        <v>0</v>
      </c>
      <c r="G42" s="32">
        <f>IFERROR(__xludf.DUMMYFUNCTION("COUNTIF(ARRAYFORMULA(HLOOKUP($B42, IMPORTRANGE('Prelim Rankings Unsorted'!$B$40, CONCAT(VLOOKUP($C42, 'Match Names'!$A$1:$D$22, 2, FALSE), ""!C3:R29"")), {12;18;24}, FALSE)), ""=-4"") + COUNTIF(ARRAYFORMULA(HLOOKUP($B42, IMPORTRANGE('Prelim Rankings Unsor"&amp;"ted'!$B$41, CONCAT(VLOOKUP($C42, 'Match Names'!$A$1:$D$22, 3, FALSE), ""!C3:R29"")), {6;12;18}, FALSE)), ""=-4"") + COUNTIF(ARRAYFORMULA(HLOOKUP($B42, IMPORTRANGE('Prelim Rankings Unsorted'!$B$42, CONCAT(VLOOKUP($C42, 'Match Names'!$A$1:$D$22, 4, FALSE), "&amp;"""!C3:R29"")), {6;12;18}, FALSE)), ""=-4"") + COUNTIF(ARRAYFORMULA(HLOOKUP($B42, IMPORTRANGE('Match Names'!$E$23, CONCAT(VLOOKUP($C42, 'Match Names'!$1:$22, 5, FALSE), ""!C3:R29"")), {4;13;18}, FALSE)), ""=-4"") + COUNTIF(ARRAYFORMULA(HLOOKUP($B42, IMPORT"&amp;"RANGE('Match Names'!$F$23, CONCAT(VLOOKUP($C42, 'Match Names'!$1:$22, 6, FALSE), ""!C3:R29"")), {7;13;19}, FALSE)), ""=-4"") + COUNTIF(ARRAYFORMULA(HLOOKUP($B42, IMPORTRANGE('Match Names'!$G$23, CONCAT(VLOOKUP($C42, 'Match Names'!$1:$22, 7, FALSE), ""!C3:"&amp;"R29"")), {11;15;23}, FALSE)), ""=-4"") + COUNTIF(ARRAYFORMULA(HLOOKUP($B42, IMPORTRANGE('Match Names'!$H$23, CONCAT(VLOOKUP($C42, 'Match Names'!$1:$22, 8, FALSE), ""!C3:R29"")), {6;12;18}, FALSE)), ""=-4"")"),0.0)</f>
        <v>0</v>
      </c>
      <c r="H42" s="33">
        <f t="shared" si="1"/>
        <v>0</v>
      </c>
    </row>
    <row r="43">
      <c r="A43" s="31" t="s">
        <v>73</v>
      </c>
      <c r="B43" s="31" t="str">
        <f>VLOOKUP(CONCAT(A43, C43), 'Discord Username to Real Name'!C:D, 2, FALSE)</f>
        <v>oof7373#7373</v>
      </c>
      <c r="C43" s="31" t="s">
        <v>15</v>
      </c>
      <c r="D43" s="32">
        <f>IFERROR(__xludf.DUMMYFUNCTION("(3 - COUNTIF(IFERROR(ARRAYFORMULA(HLOOKUP($B43, IMPORTRANGE('Prelim Rankings Unsorted'!$B$40, CONCAT(VLOOKUP($C43, 'Match Names'!$A$1:$D$22, 2, FALSE), ""!C3:R29"")), {12;18;24}, FALSE)), 'Player Overall Stats Unsorted'!$AA$9:$AA$12), ""=X"")) + (3 - COUN"&amp;"TIF(IFERROR(ARRAYFORMULA(HLOOKUP($B43, IMPORTRANGE('Prelim Rankings Unsorted'!$B$41, CONCAT(VLOOKUP($C43, 'Match Names'!$A$1:$D$22, 3, FALSE), ""!C3:R29"")), {6;12;18}, FALSE)), 'Player Overall Stats Unsorted'!$AA$9:$AA$12), ""=X"")) + (3 - COUNTIF(IFERRO"&amp;"R(ARRAYFORMULA(HLOOKUP($B43, IMPORTRANGE('Prelim Rankings Unsorted'!$B$42, CONCAT(VLOOKUP($C43, 'Match Names'!$A$1:$D$22, 4, FALSE), ""!C3:R29"")), {6;12;18}, FALSE)), 'Player Overall Stats Unsorted'!$AA$9:$AA$12), ""=X"")) + (3 - COUNTIF(IFERROR(ARRAYFOR"&amp;"MULA(HLOOKUP($B43, IMPORTRANGE('Match Names'!$E$23, CONCAT(VLOOKUP($C43, 'Match Names'!$1:$22, 5, FALSE), ""!C3:R29"")), {4;13;18}, FALSE)), 'Player Overall Stats Unsorted'!$AA$9:$AA$12), ""=X"")) + (3 - COUNTIF(IFERROR(ARRAYFORMULA(HLOOKUP($B43, IMPORTRA"&amp;"NGE('Match Names'!$F$23, CONCAT(VLOOKUP($C43, 'Match Names'!$1:$22, 6, FALSE), ""!C3:R29"")), {7;13;19}, FALSE)), 'Player Overall Stats Unsorted'!$AA$9:$AA$12), ""=X"")) + (3 - COUNTIF(IFERROR(ARRAYFORMULA(HLOOKUP($B43, IMPORTRANGE('Match Names'!$G$23, CO"&amp;"NCAT(VLOOKUP($C43, 'Match Names'!$1:$22, 7, FALSE), ""!C3:R29"")), {11;15;23}, FALSE)), 'Player Overall Stats Unsorted'!$AA$9:$AA$12), ""=X"")) + (3 - COUNTIF(IFERROR(ARRAYFORMULA(HLOOKUP($B43, IMPORTRANGE('Match Names'!$H$23, CONCAT(VLOOKUP($C43, 'Match "&amp;"Names'!$1:$22, 8, FALSE), ""!C3:R29"")), {6;12;18}, FALSE)), 'Player Overall Stats Unsorted'!$AA$9:$AA$12), ""=X""))"),18.0)</f>
        <v>18</v>
      </c>
      <c r="E43" s="32">
        <f>IFERROR(__xludf.DUMMYFUNCTION("COUNTIF(ARRAYFORMULA(HLOOKUP($B43, IMPORTRANGE('Prelim Rankings Unsorted'!$B$40, CONCAT(VLOOKUP($C43, 'Match Names'!$A$1:$D$22, 2, FALSE), ""!C3:R29"")), {12;18;24}, FALSE)), ""=4"") + COUNTIF(ARRAYFORMULA(HLOOKUP($B43, IMPORTRANGE('Prelim Rankings Unsort"&amp;"ed'!$B$41, CONCAT(VLOOKUP($C43, 'Match Names'!$A$1:$D$22, 3, FALSE), ""!C3:R29"")), {6;12;18}, FALSE)), ""=4"") + COUNTIF(ARRAYFORMULA(HLOOKUP($B43, IMPORTRANGE('Prelim Rankings Unsorted'!$B$42, CONCAT(VLOOKUP($C43, 'Match Names'!$A$1:$D$22, 4, FALSE), """&amp;"!C3:R29"")), {6;12;18}, FALSE)), ""=4"") + COUNTIF(ARRAYFORMULA(HLOOKUP($B43, IMPORTRANGE('Match Names'!$E$23, CONCAT(VLOOKUP($C43, 'Match Names'!$1:$22, 5, FALSE), ""!C3:R29"")), {4;13;18}, FALSE)), ""=4"") + COUNTIF(ARRAYFORMULA(HLOOKUP($B43, IMPORTRANG"&amp;"E('Match Names'!$F$23, CONCAT(VLOOKUP($C43, 'Match Names'!$1:$22, 6, FALSE), ""!C3:R29"")), {7;13;19}, FALSE)), ""=4"") + COUNTIF(ARRAYFORMULA(HLOOKUP($B43, IMPORTRANGE('Match Names'!$G$23, CONCAT(VLOOKUP($C43, 'Match Names'!$1:$22, 7, FALSE), ""!C3:R29"""&amp;")), {11;15;23}, FALSE)), ""=4"") + COUNTIF(ARRAYFORMULA(HLOOKUP($B43, IMPORTRANGE('Match Names'!$H$23, CONCAT(VLOOKUP($C43, 'Match Names'!$1:$22, 8, FALSE), ""!C3:R29"")), {6;12;18}, FALSE)), ""=4"")"),6.0)</f>
        <v>6</v>
      </c>
      <c r="F43" s="32">
        <f>IFERROR(__xludf.DUMMYFUNCTION("COUNTIF(ARRAYFORMULA(HLOOKUP($B43, IMPORTRANGE('Prelim Rankings Unsorted'!$B$40, CONCAT(VLOOKUP($C43, 'Match Names'!$A$1:$D$22, 2, FALSE), ""!C3:R29"")), {12;18;24}, FALSE)), ""=0"") + COUNTIF(ARRAYFORMULA(HLOOKUP($B43, IMPORTRANGE('Prelim Rankings Unsort"&amp;"ed'!$B$41, CONCAT(VLOOKUP($C43, 'Match Names'!$A$1:$D$22, 3, FALSE), ""!C3:R29"")), {6;12;18}, FALSE)), ""=0"") + COUNTIF(ARRAYFORMULA(HLOOKUP($B43, IMPORTRANGE('Prelim Rankings Unsorted'!$B$42, CONCAT(VLOOKUP($C43, 'Match Names'!$A$1:$D$22, 4, FALSE), """&amp;"!C3:R29"")), {6;12;18}, FALSE)), ""=0"") + COUNTIF(ARRAYFORMULA(HLOOKUP($B43, IMPORTRANGE('Match Names'!$E$23, CONCAT(VLOOKUP($C43, 'Match Names'!$1:$22, 5, FALSE), ""!C3:R29"")), {4;13;18}, FALSE)), ""=0"") + COUNTIF(ARRAYFORMULA(HLOOKUP($B43, IMPORTRANG"&amp;"E('Match Names'!$F$23, CONCAT(VLOOKUP($C43, 'Match Names'!$1:$22, 6, FALSE), ""!C3:R29"")), {7;13;19}, FALSE)), ""=0"") + COUNTIF(ARRAYFORMULA(HLOOKUP($B43, IMPORTRANGE('Match Names'!$G$23, CONCAT(VLOOKUP($C43, 'Match Names'!$1:$22, 7, FALSE), ""!C3:R29"""&amp;")), {11;15;23}, FALSE)), ""=0"") + COUNTIF(ARRAYFORMULA(HLOOKUP($B43, IMPORTRANGE('Match Names'!$H$23, CONCAT(VLOOKUP($C43, 'Match Names'!$1:$22, 8, FALSE), ""!C3:R29"")), {6;12;18}, FALSE)), ""=0"")"),1.0)</f>
        <v>1</v>
      </c>
      <c r="G43" s="32">
        <f>IFERROR(__xludf.DUMMYFUNCTION("COUNTIF(ARRAYFORMULA(HLOOKUP($B43, IMPORTRANGE('Prelim Rankings Unsorted'!$B$40, CONCAT(VLOOKUP($C43, 'Match Names'!$A$1:$D$22, 2, FALSE), ""!C3:R29"")), {12;18;24}, FALSE)), ""=-4"") + COUNTIF(ARRAYFORMULA(HLOOKUP($B43, IMPORTRANGE('Prelim Rankings Unsor"&amp;"ted'!$B$41, CONCAT(VLOOKUP($C43, 'Match Names'!$A$1:$D$22, 3, FALSE), ""!C3:R29"")), {6;12;18}, FALSE)), ""=-4"") + COUNTIF(ARRAYFORMULA(HLOOKUP($B43, IMPORTRANGE('Prelim Rankings Unsorted'!$B$42, CONCAT(VLOOKUP($C43, 'Match Names'!$A$1:$D$22, 4, FALSE), "&amp;"""!C3:R29"")), {6;12;18}, FALSE)), ""=-4"") + COUNTIF(ARRAYFORMULA(HLOOKUP($B43, IMPORTRANGE('Match Names'!$E$23, CONCAT(VLOOKUP($C43, 'Match Names'!$1:$22, 5, FALSE), ""!C3:R29"")), {4;13;18}, FALSE)), ""=-4"") + COUNTIF(ARRAYFORMULA(HLOOKUP($B43, IMPORT"&amp;"RANGE('Match Names'!$F$23, CONCAT(VLOOKUP($C43, 'Match Names'!$1:$22, 6, FALSE), ""!C3:R29"")), {7;13;19}, FALSE)), ""=-4"") + COUNTIF(ARRAYFORMULA(HLOOKUP($B43, IMPORTRANGE('Match Names'!$G$23, CONCAT(VLOOKUP($C43, 'Match Names'!$1:$22, 7, FALSE), ""!C3:"&amp;"R29"")), {11;15;23}, FALSE)), ""=-4"") + COUNTIF(ARRAYFORMULA(HLOOKUP($B43, IMPORTRANGE('Match Names'!$H$23, CONCAT(VLOOKUP($C43, 'Match Names'!$1:$22, 8, FALSE), ""!C3:R29"")), {6;12;18}, FALSE)), ""=-4"")"),0.0)</f>
        <v>0</v>
      </c>
      <c r="H43" s="33">
        <f t="shared" si="1"/>
        <v>4</v>
      </c>
    </row>
    <row r="44">
      <c r="A44" s="31" t="s">
        <v>63</v>
      </c>
      <c r="B44" s="31" t="str">
        <f>VLOOKUP(CONCAT(A44, C44), 'Discord Username to Real Name'!C:D, 2, FALSE)</f>
        <v>effervescence#3904</v>
      </c>
      <c r="C44" s="31" t="s">
        <v>15</v>
      </c>
      <c r="D44" s="32">
        <f>IFERROR(__xludf.DUMMYFUNCTION("(3 - COUNTIF(IFERROR(ARRAYFORMULA(HLOOKUP($B44, IMPORTRANGE('Prelim Rankings Unsorted'!$B$40, CONCAT(VLOOKUP($C44, 'Match Names'!$A$1:$D$22, 2, FALSE), ""!C3:R29"")), {12;18;24}, FALSE)), 'Player Overall Stats Unsorted'!$AA$9:$AA$12), ""=X"")) + (3 - COUN"&amp;"TIF(IFERROR(ARRAYFORMULA(HLOOKUP($B44, IMPORTRANGE('Prelim Rankings Unsorted'!$B$41, CONCAT(VLOOKUP($C44, 'Match Names'!$A$1:$D$22, 3, FALSE), ""!C3:R29"")), {6;12;18}, FALSE)), 'Player Overall Stats Unsorted'!$AA$9:$AA$12), ""=X"")) + (3 - COUNTIF(IFERRO"&amp;"R(ARRAYFORMULA(HLOOKUP($B44, IMPORTRANGE('Prelim Rankings Unsorted'!$B$42, CONCAT(VLOOKUP($C44, 'Match Names'!$A$1:$D$22, 4, FALSE), ""!C3:R29"")), {6;12;18}, FALSE)), 'Player Overall Stats Unsorted'!$AA$9:$AA$12), ""=X"")) + (3 - COUNTIF(IFERROR(ARRAYFOR"&amp;"MULA(HLOOKUP($B44, IMPORTRANGE('Match Names'!$E$23, CONCAT(VLOOKUP($C44, 'Match Names'!$1:$22, 5, FALSE), ""!C3:R29"")), {4;13;18}, FALSE)), 'Player Overall Stats Unsorted'!$AA$9:$AA$12), ""=X"")) + (3 - COUNTIF(IFERROR(ARRAYFORMULA(HLOOKUP($B44, IMPORTRA"&amp;"NGE('Match Names'!$F$23, CONCAT(VLOOKUP($C44, 'Match Names'!$1:$22, 6, FALSE), ""!C3:R29"")), {7;13;19}, FALSE)), 'Player Overall Stats Unsorted'!$AA$9:$AA$12), ""=X"")) + (3 - COUNTIF(IFERROR(ARRAYFORMULA(HLOOKUP($B44, IMPORTRANGE('Match Names'!$G$23, CO"&amp;"NCAT(VLOOKUP($C44, 'Match Names'!$1:$22, 7, FALSE), ""!C3:R29"")), {11;15;23}, FALSE)), 'Player Overall Stats Unsorted'!$AA$9:$AA$12), ""=X"")) + (3 - COUNTIF(IFERROR(ARRAYFORMULA(HLOOKUP($B44, IMPORTRANGE('Match Names'!$H$23, CONCAT(VLOOKUP($C44, 'Match "&amp;"Names'!$1:$22, 8, FALSE), ""!C3:R29"")), {6;12;18}, FALSE)), 'Player Overall Stats Unsorted'!$AA$9:$AA$12), ""=X""))"),15.0)</f>
        <v>15</v>
      </c>
      <c r="E44" s="32">
        <f>IFERROR(__xludf.DUMMYFUNCTION("COUNTIF(ARRAYFORMULA(HLOOKUP($B44, IMPORTRANGE('Prelim Rankings Unsorted'!$B$40, CONCAT(VLOOKUP($C44, 'Match Names'!$A$1:$D$22, 2, FALSE), ""!C3:R29"")), {12;18;24}, FALSE)), ""=4"") + COUNTIF(ARRAYFORMULA(HLOOKUP($B44, IMPORTRANGE('Prelim Rankings Unsort"&amp;"ed'!$B$41, CONCAT(VLOOKUP($C44, 'Match Names'!$A$1:$D$22, 3, FALSE), ""!C3:R29"")), {6;12;18}, FALSE)), ""=4"") + COUNTIF(ARRAYFORMULA(HLOOKUP($B44, IMPORTRANGE('Prelim Rankings Unsorted'!$B$42, CONCAT(VLOOKUP($C44, 'Match Names'!$A$1:$D$22, 4, FALSE), """&amp;"!C3:R29"")), {6;12;18}, FALSE)), ""=4"") + COUNTIF(ARRAYFORMULA(HLOOKUP($B44, IMPORTRANGE('Match Names'!$E$23, CONCAT(VLOOKUP($C44, 'Match Names'!$1:$22, 5, FALSE), ""!C3:R29"")), {4;13;18}, FALSE)), ""=4"") + COUNTIF(ARRAYFORMULA(HLOOKUP($B44, IMPORTRANG"&amp;"E('Match Names'!$F$23, CONCAT(VLOOKUP($C44, 'Match Names'!$1:$22, 6, FALSE), ""!C3:R29"")), {7;13;19}, FALSE)), ""=4"") + COUNTIF(ARRAYFORMULA(HLOOKUP($B44, IMPORTRANGE('Match Names'!$G$23, CONCAT(VLOOKUP($C44, 'Match Names'!$1:$22, 7, FALSE), ""!C3:R29"""&amp;")), {11;15;23}, FALSE)), ""=4"") + COUNTIF(ARRAYFORMULA(HLOOKUP($B44, IMPORTRANGE('Match Names'!$H$23, CONCAT(VLOOKUP($C44, 'Match Names'!$1:$22, 8, FALSE), ""!C3:R29"")), {6;12;18}, FALSE)), ""=4"")"),2.0)</f>
        <v>2</v>
      </c>
      <c r="F44" s="32">
        <f>IFERROR(__xludf.DUMMYFUNCTION("COUNTIF(ARRAYFORMULA(HLOOKUP($B44, IMPORTRANGE('Prelim Rankings Unsorted'!$B$40, CONCAT(VLOOKUP($C44, 'Match Names'!$A$1:$D$22, 2, FALSE), ""!C3:R29"")), {12;18;24}, FALSE)), ""=0"") + COUNTIF(ARRAYFORMULA(HLOOKUP($B44, IMPORTRANGE('Prelim Rankings Unsort"&amp;"ed'!$B$41, CONCAT(VLOOKUP($C44, 'Match Names'!$A$1:$D$22, 3, FALSE), ""!C3:R29"")), {6;12;18}, FALSE)), ""=0"") + COUNTIF(ARRAYFORMULA(HLOOKUP($B44, IMPORTRANGE('Prelim Rankings Unsorted'!$B$42, CONCAT(VLOOKUP($C44, 'Match Names'!$A$1:$D$22, 4, FALSE), """&amp;"!C3:R29"")), {6;12;18}, FALSE)), ""=0"") + COUNTIF(ARRAYFORMULA(HLOOKUP($B44, IMPORTRANGE('Match Names'!$E$23, CONCAT(VLOOKUP($C44, 'Match Names'!$1:$22, 5, FALSE), ""!C3:R29"")), {4;13;18}, FALSE)), ""=0"") + COUNTIF(ARRAYFORMULA(HLOOKUP($B44, IMPORTRANG"&amp;"E('Match Names'!$F$23, CONCAT(VLOOKUP($C44, 'Match Names'!$1:$22, 6, FALSE), ""!C3:R29"")), {7;13;19}, FALSE)), ""=0"") + COUNTIF(ARRAYFORMULA(HLOOKUP($B44, IMPORTRANGE('Match Names'!$G$23, CONCAT(VLOOKUP($C44, 'Match Names'!$1:$22, 7, FALSE), ""!C3:R29"""&amp;")), {11;15;23}, FALSE)), ""=0"") + COUNTIF(ARRAYFORMULA(HLOOKUP($B44, IMPORTRANGE('Match Names'!$H$23, CONCAT(VLOOKUP($C44, 'Match Names'!$1:$22, 8, FALSE), ""!C3:R29"")), {6;12;18}, FALSE)), ""=0"")"),1.0)</f>
        <v>1</v>
      </c>
      <c r="G44" s="32">
        <f>IFERROR(__xludf.DUMMYFUNCTION("COUNTIF(ARRAYFORMULA(HLOOKUP($B44, IMPORTRANGE('Prelim Rankings Unsorted'!$B$40, CONCAT(VLOOKUP($C44, 'Match Names'!$A$1:$D$22, 2, FALSE), ""!C3:R29"")), {12;18;24}, FALSE)), ""=-4"") + COUNTIF(ARRAYFORMULA(HLOOKUP($B44, IMPORTRANGE('Prelim Rankings Unsor"&amp;"ted'!$B$41, CONCAT(VLOOKUP($C44, 'Match Names'!$A$1:$D$22, 3, FALSE), ""!C3:R29"")), {6;12;18}, FALSE)), ""=-4"") + COUNTIF(ARRAYFORMULA(HLOOKUP($B44, IMPORTRANGE('Prelim Rankings Unsorted'!$B$42, CONCAT(VLOOKUP($C44, 'Match Names'!$A$1:$D$22, 4, FALSE), "&amp;"""!C3:R29"")), {6;12;18}, FALSE)), ""=-4"") + COUNTIF(ARRAYFORMULA(HLOOKUP($B44, IMPORTRANGE('Match Names'!$E$23, CONCAT(VLOOKUP($C44, 'Match Names'!$1:$22, 5, FALSE), ""!C3:R29"")), {4;13;18}, FALSE)), ""=-4"") + COUNTIF(ARRAYFORMULA(HLOOKUP($B44, IMPORT"&amp;"RANGE('Match Names'!$F$23, CONCAT(VLOOKUP($C44, 'Match Names'!$1:$22, 6, FALSE), ""!C3:R29"")), {7;13;19}, FALSE)), ""=-4"") + COUNTIF(ARRAYFORMULA(HLOOKUP($B44, IMPORTRANGE('Match Names'!$G$23, CONCAT(VLOOKUP($C44, 'Match Names'!$1:$22, 7, FALSE), ""!C3:"&amp;"R29"")), {11;15;23}, FALSE)), ""=-4"") + COUNTIF(ARRAYFORMULA(HLOOKUP($B44, IMPORTRANGE('Match Names'!$H$23, CONCAT(VLOOKUP($C44, 'Match Names'!$1:$22, 8, FALSE), ""!C3:R29"")), {6;12;18}, FALSE)), ""=-4"")"),1.0)</f>
        <v>1</v>
      </c>
      <c r="H44" s="33">
        <f t="shared" si="1"/>
        <v>0.8</v>
      </c>
    </row>
    <row r="45">
      <c r="A45" s="31" t="s">
        <v>113</v>
      </c>
      <c r="B45" s="31" t="str">
        <f>VLOOKUP(CONCAT(A45, C45), 'Discord Username to Real Name'!C:D, 2, FALSE)</f>
        <v>a5a7#2184</v>
      </c>
      <c r="C45" s="31" t="s">
        <v>15</v>
      </c>
      <c r="D45" s="32">
        <f>IFERROR(__xludf.DUMMYFUNCTION("(3 - COUNTIF(IFERROR(ARRAYFORMULA(HLOOKUP($B45, IMPORTRANGE('Prelim Rankings Unsorted'!$B$40, CONCAT(VLOOKUP($C45, 'Match Names'!$A$1:$D$22, 2, FALSE), ""!C3:R29"")), {12;18;24}, FALSE)), 'Player Overall Stats Unsorted'!$AA$9:$AA$12), ""=X"")) + (3 - COUN"&amp;"TIF(IFERROR(ARRAYFORMULA(HLOOKUP($B45, IMPORTRANGE('Prelim Rankings Unsorted'!$B$41, CONCAT(VLOOKUP($C45, 'Match Names'!$A$1:$D$22, 3, FALSE), ""!C3:R29"")), {6;12;18}, FALSE)), 'Player Overall Stats Unsorted'!$AA$9:$AA$12), ""=X"")) + (3 - COUNTIF(IFERRO"&amp;"R(ARRAYFORMULA(HLOOKUP($B45, IMPORTRANGE('Prelim Rankings Unsorted'!$B$42, CONCAT(VLOOKUP($C45, 'Match Names'!$A$1:$D$22, 4, FALSE), ""!C3:R29"")), {6;12;18}, FALSE)), 'Player Overall Stats Unsorted'!$AA$9:$AA$12), ""=X"")) + (3 - COUNTIF(IFERROR(ARRAYFOR"&amp;"MULA(HLOOKUP($B45, IMPORTRANGE('Match Names'!$E$23, CONCAT(VLOOKUP($C45, 'Match Names'!$1:$22, 5, FALSE), ""!C3:R29"")), {4;13;18}, FALSE)), 'Player Overall Stats Unsorted'!$AA$9:$AA$12), ""=X"")) + (3 - COUNTIF(IFERROR(ARRAYFORMULA(HLOOKUP($B45, IMPORTRA"&amp;"NGE('Match Names'!$F$23, CONCAT(VLOOKUP($C45, 'Match Names'!$1:$22, 6, FALSE), ""!C3:R29"")), {7;13;19}, FALSE)), 'Player Overall Stats Unsorted'!$AA$9:$AA$12), ""=X"")) + (3 - COUNTIF(IFERROR(ARRAYFORMULA(HLOOKUP($B45, IMPORTRANGE('Match Names'!$G$23, CO"&amp;"NCAT(VLOOKUP($C45, 'Match Names'!$1:$22, 7, FALSE), ""!C3:R29"")), {11;15;23}, FALSE)), 'Player Overall Stats Unsorted'!$AA$9:$AA$12), ""=X"")) + (3 - COUNTIF(IFERROR(ARRAYFORMULA(HLOOKUP($B45, IMPORTRANGE('Match Names'!$H$23, CONCAT(VLOOKUP($C45, 'Match "&amp;"Names'!$1:$22, 8, FALSE), ""!C3:R29"")), {6;12;18}, FALSE)), 'Player Overall Stats Unsorted'!$AA$9:$AA$12), ""=X""))"),12.0)</f>
        <v>12</v>
      </c>
      <c r="E45" s="32">
        <f>IFERROR(__xludf.DUMMYFUNCTION("COUNTIF(ARRAYFORMULA(HLOOKUP($B45, IMPORTRANGE('Prelim Rankings Unsorted'!$B$40, CONCAT(VLOOKUP($C45, 'Match Names'!$A$1:$D$22, 2, FALSE), ""!C3:R29"")), {12;18;24}, FALSE)), ""=4"") + COUNTIF(ARRAYFORMULA(HLOOKUP($B45, IMPORTRANGE('Prelim Rankings Unsort"&amp;"ed'!$B$41, CONCAT(VLOOKUP($C45, 'Match Names'!$A$1:$D$22, 3, FALSE), ""!C3:R29"")), {6;12;18}, FALSE)), ""=4"") + COUNTIF(ARRAYFORMULA(HLOOKUP($B45, IMPORTRANGE('Prelim Rankings Unsorted'!$B$42, CONCAT(VLOOKUP($C45, 'Match Names'!$A$1:$D$22, 4, FALSE), """&amp;"!C3:R29"")), {6;12;18}, FALSE)), ""=4"") + COUNTIF(ARRAYFORMULA(HLOOKUP($B45, IMPORTRANGE('Match Names'!$E$23, CONCAT(VLOOKUP($C45, 'Match Names'!$1:$22, 5, FALSE), ""!C3:R29"")), {4;13;18}, FALSE)), ""=4"") + COUNTIF(ARRAYFORMULA(HLOOKUP($B45, IMPORTRANG"&amp;"E('Match Names'!$F$23, CONCAT(VLOOKUP($C45, 'Match Names'!$1:$22, 6, FALSE), ""!C3:R29"")), {7;13;19}, FALSE)), ""=4"") + COUNTIF(ARRAYFORMULA(HLOOKUP($B45, IMPORTRANGE('Match Names'!$G$23, CONCAT(VLOOKUP($C45, 'Match Names'!$1:$22, 7, FALSE), ""!C3:R29"""&amp;")), {11;15;23}, FALSE)), ""=4"") + COUNTIF(ARRAYFORMULA(HLOOKUP($B45, IMPORTRANGE('Match Names'!$H$23, CONCAT(VLOOKUP($C45, 'Match Names'!$1:$22, 8, FALSE), ""!C3:R29"")), {6;12;18}, FALSE)), ""=4"")"),0.0)</f>
        <v>0</v>
      </c>
      <c r="F45" s="32">
        <f>IFERROR(__xludf.DUMMYFUNCTION("COUNTIF(ARRAYFORMULA(HLOOKUP($B45, IMPORTRANGE('Prelim Rankings Unsorted'!$B$40, CONCAT(VLOOKUP($C45, 'Match Names'!$A$1:$D$22, 2, FALSE), ""!C3:R29"")), {12;18;24}, FALSE)), ""=0"") + COUNTIF(ARRAYFORMULA(HLOOKUP($B45, IMPORTRANGE('Prelim Rankings Unsort"&amp;"ed'!$B$41, CONCAT(VLOOKUP($C45, 'Match Names'!$A$1:$D$22, 3, FALSE), ""!C3:R29"")), {6;12;18}, FALSE)), ""=0"") + COUNTIF(ARRAYFORMULA(HLOOKUP($B45, IMPORTRANGE('Prelim Rankings Unsorted'!$B$42, CONCAT(VLOOKUP($C45, 'Match Names'!$A$1:$D$22, 4, FALSE), """&amp;"!C3:R29"")), {6;12;18}, FALSE)), ""=0"") + COUNTIF(ARRAYFORMULA(HLOOKUP($B45, IMPORTRANGE('Match Names'!$E$23, CONCAT(VLOOKUP($C45, 'Match Names'!$1:$22, 5, FALSE), ""!C3:R29"")), {4;13;18}, FALSE)), ""=0"") + COUNTIF(ARRAYFORMULA(HLOOKUP($B45, IMPORTRANG"&amp;"E('Match Names'!$F$23, CONCAT(VLOOKUP($C45, 'Match Names'!$1:$22, 6, FALSE), ""!C3:R29"")), {7;13;19}, FALSE)), ""=0"") + COUNTIF(ARRAYFORMULA(HLOOKUP($B45, IMPORTRANGE('Match Names'!$G$23, CONCAT(VLOOKUP($C45, 'Match Names'!$1:$22, 7, FALSE), ""!C3:R29"""&amp;")), {11;15;23}, FALSE)), ""=0"") + COUNTIF(ARRAYFORMULA(HLOOKUP($B45, IMPORTRANGE('Match Names'!$H$23, CONCAT(VLOOKUP($C45, 'Match Names'!$1:$22, 8, FALSE), ""!C3:R29"")), {6;12;18}, FALSE)), ""=0"")"),1.0)</f>
        <v>1</v>
      </c>
      <c r="G45" s="32">
        <f>IFERROR(__xludf.DUMMYFUNCTION("COUNTIF(ARRAYFORMULA(HLOOKUP($B45, IMPORTRANGE('Prelim Rankings Unsorted'!$B$40, CONCAT(VLOOKUP($C45, 'Match Names'!$A$1:$D$22, 2, FALSE), ""!C3:R29"")), {12;18;24}, FALSE)), ""=-4"") + COUNTIF(ARRAYFORMULA(HLOOKUP($B45, IMPORTRANGE('Prelim Rankings Unsor"&amp;"ted'!$B$41, CONCAT(VLOOKUP($C45, 'Match Names'!$A$1:$D$22, 3, FALSE), ""!C3:R29"")), {6;12;18}, FALSE)), ""=-4"") + COUNTIF(ARRAYFORMULA(HLOOKUP($B45, IMPORTRANGE('Prelim Rankings Unsorted'!$B$42, CONCAT(VLOOKUP($C45, 'Match Names'!$A$1:$D$22, 4, FALSE), "&amp;"""!C3:R29"")), {6;12;18}, FALSE)), ""=-4"") + COUNTIF(ARRAYFORMULA(HLOOKUP($B45, IMPORTRANGE('Match Names'!$E$23, CONCAT(VLOOKUP($C45, 'Match Names'!$1:$22, 5, FALSE), ""!C3:R29"")), {4;13;18}, FALSE)), ""=-4"") + COUNTIF(ARRAYFORMULA(HLOOKUP($B45, IMPORT"&amp;"RANGE('Match Names'!$F$23, CONCAT(VLOOKUP($C45, 'Match Names'!$1:$22, 6, FALSE), ""!C3:R29"")), {7;13;19}, FALSE)), ""=-4"") + COUNTIF(ARRAYFORMULA(HLOOKUP($B45, IMPORTRANGE('Match Names'!$G$23, CONCAT(VLOOKUP($C45, 'Match Names'!$1:$22, 7, FALSE), ""!C3:"&amp;"R29"")), {11;15;23}, FALSE)), ""=-4"") + COUNTIF(ARRAYFORMULA(HLOOKUP($B45, IMPORTRANGE('Match Names'!$H$23, CONCAT(VLOOKUP($C45, 'Match Names'!$1:$22, 8, FALSE), ""!C3:R29"")), {6;12;18}, FALSE)), ""=-4"")"),0.0)</f>
        <v>0</v>
      </c>
      <c r="H45" s="33">
        <f t="shared" si="1"/>
        <v>0</v>
      </c>
    </row>
    <row r="46">
      <c r="A46" s="31" t="s">
        <v>169</v>
      </c>
      <c r="B46" s="31" t="str">
        <f>VLOOKUP(CONCAT(A46, C46), 'Discord Username to Real Name'!C:D, 2, FALSE)</f>
        <v>Verisimilitude#2169</v>
      </c>
      <c r="C46" s="31" t="s">
        <v>15</v>
      </c>
      <c r="D46" s="32">
        <f>IFERROR(__xludf.DUMMYFUNCTION("(3 - COUNTIF(IFERROR(ARRAYFORMULA(HLOOKUP($B46, IMPORTRANGE('Prelim Rankings Unsorted'!$B$40, CONCAT(VLOOKUP($C46, 'Match Names'!$A$1:$D$22, 2, FALSE), ""!C3:R29"")), {12;18;24}, FALSE)), 'Player Overall Stats Unsorted'!$AA$9:$AA$12), ""=X"")) + (3 - COUN"&amp;"TIF(IFERROR(ARRAYFORMULA(HLOOKUP($B46, IMPORTRANGE('Prelim Rankings Unsorted'!$B$41, CONCAT(VLOOKUP($C46, 'Match Names'!$A$1:$D$22, 3, FALSE), ""!C3:R29"")), {6;12;18}, FALSE)), 'Player Overall Stats Unsorted'!$AA$9:$AA$12), ""=X"")) + (3 - COUNTIF(IFERRO"&amp;"R(ARRAYFORMULA(HLOOKUP($B46, IMPORTRANGE('Prelim Rankings Unsorted'!$B$42, CONCAT(VLOOKUP($C46, 'Match Names'!$A$1:$D$22, 4, FALSE), ""!C3:R29"")), {6;12;18}, FALSE)), 'Player Overall Stats Unsorted'!$AA$9:$AA$12), ""=X"")) + (3 - COUNTIF(IFERROR(ARRAYFOR"&amp;"MULA(HLOOKUP($B46, IMPORTRANGE('Match Names'!$E$23, CONCAT(VLOOKUP($C46, 'Match Names'!$1:$22, 5, FALSE), ""!C3:R29"")), {4;13;18}, FALSE)), 'Player Overall Stats Unsorted'!$AA$9:$AA$12), ""=X"")) + (3 - COUNTIF(IFERROR(ARRAYFORMULA(HLOOKUP($B46, IMPORTRA"&amp;"NGE('Match Names'!$F$23, CONCAT(VLOOKUP($C46, 'Match Names'!$1:$22, 6, FALSE), ""!C3:R29"")), {7;13;19}, FALSE)), 'Player Overall Stats Unsorted'!$AA$9:$AA$12), ""=X"")) + (3 - COUNTIF(IFERROR(ARRAYFORMULA(HLOOKUP($B46, IMPORTRANGE('Match Names'!$G$23, CO"&amp;"NCAT(VLOOKUP($C46, 'Match Names'!$1:$22, 7, FALSE), ""!C3:R29"")), {11;15;23}, FALSE)), 'Player Overall Stats Unsorted'!$AA$9:$AA$12), ""=X"")) + (3 - COUNTIF(IFERROR(ARRAYFORMULA(HLOOKUP($B46, IMPORTRANGE('Match Names'!$H$23, CONCAT(VLOOKUP($C46, 'Match "&amp;"Names'!$1:$22, 8, FALSE), ""!C3:R29"")), {6;12;18}, FALSE)), 'Player Overall Stats Unsorted'!$AA$9:$AA$12), ""=X""))"),10.0)</f>
        <v>10</v>
      </c>
      <c r="E46" s="32">
        <f>IFERROR(__xludf.DUMMYFUNCTION("COUNTIF(ARRAYFORMULA(HLOOKUP($B46, IMPORTRANGE('Prelim Rankings Unsorted'!$B$40, CONCAT(VLOOKUP($C46, 'Match Names'!$A$1:$D$22, 2, FALSE), ""!C3:R29"")), {12;18;24}, FALSE)), ""=4"") + COUNTIF(ARRAYFORMULA(HLOOKUP($B46, IMPORTRANGE('Prelim Rankings Unsort"&amp;"ed'!$B$41, CONCAT(VLOOKUP($C46, 'Match Names'!$A$1:$D$22, 3, FALSE), ""!C3:R29"")), {6;12;18}, FALSE)), ""=4"") + COUNTIF(ARRAYFORMULA(HLOOKUP($B46, IMPORTRANGE('Prelim Rankings Unsorted'!$B$42, CONCAT(VLOOKUP($C46, 'Match Names'!$A$1:$D$22, 4, FALSE), """&amp;"!C3:R29"")), {6;12;18}, FALSE)), ""=4"") + COUNTIF(ARRAYFORMULA(HLOOKUP($B46, IMPORTRANGE('Match Names'!$E$23, CONCAT(VLOOKUP($C46, 'Match Names'!$1:$22, 5, FALSE), ""!C3:R29"")), {4;13;18}, FALSE)), ""=4"") + COUNTIF(ARRAYFORMULA(HLOOKUP($B46, IMPORTRANG"&amp;"E('Match Names'!$F$23, CONCAT(VLOOKUP($C46, 'Match Names'!$1:$22, 6, FALSE), ""!C3:R29"")), {7;13;19}, FALSE)), ""=4"") + COUNTIF(ARRAYFORMULA(HLOOKUP($B46, IMPORTRANGE('Match Names'!$G$23, CONCAT(VLOOKUP($C46, 'Match Names'!$1:$22, 7, FALSE), ""!C3:R29"""&amp;")), {11;15;23}, FALSE)), ""=4"") + COUNTIF(ARRAYFORMULA(HLOOKUP($B46, IMPORTRANGE('Match Names'!$H$23, CONCAT(VLOOKUP($C46, 'Match Names'!$1:$22, 8, FALSE), ""!C3:R29"")), {6;12;18}, FALSE)), ""=4"")"),0.0)</f>
        <v>0</v>
      </c>
      <c r="F46" s="32">
        <f>IFERROR(__xludf.DUMMYFUNCTION("COUNTIF(ARRAYFORMULA(HLOOKUP($B46, IMPORTRANGE('Prelim Rankings Unsorted'!$B$40, CONCAT(VLOOKUP($C46, 'Match Names'!$A$1:$D$22, 2, FALSE), ""!C3:R29"")), {12;18;24}, FALSE)), ""=0"") + COUNTIF(ARRAYFORMULA(HLOOKUP($B46, IMPORTRANGE('Prelim Rankings Unsort"&amp;"ed'!$B$41, CONCAT(VLOOKUP($C46, 'Match Names'!$A$1:$D$22, 3, FALSE), ""!C3:R29"")), {6;12;18}, FALSE)), ""=0"") + COUNTIF(ARRAYFORMULA(HLOOKUP($B46, IMPORTRANGE('Prelim Rankings Unsorted'!$B$42, CONCAT(VLOOKUP($C46, 'Match Names'!$A$1:$D$22, 4, FALSE), """&amp;"!C3:R29"")), {6;12;18}, FALSE)), ""=0"") + COUNTIF(ARRAYFORMULA(HLOOKUP($B46, IMPORTRANGE('Match Names'!$E$23, CONCAT(VLOOKUP($C46, 'Match Names'!$1:$22, 5, FALSE), ""!C3:R29"")), {4;13;18}, FALSE)), ""=0"") + COUNTIF(ARRAYFORMULA(HLOOKUP($B46, IMPORTRANG"&amp;"E('Match Names'!$F$23, CONCAT(VLOOKUP($C46, 'Match Names'!$1:$22, 6, FALSE), ""!C3:R29"")), {7;13;19}, FALSE)), ""=0"") + COUNTIF(ARRAYFORMULA(HLOOKUP($B46, IMPORTRANGE('Match Names'!$G$23, CONCAT(VLOOKUP($C46, 'Match Names'!$1:$22, 7, FALSE), ""!C3:R29"""&amp;")), {11;15;23}, FALSE)), ""=0"") + COUNTIF(ARRAYFORMULA(HLOOKUP($B46, IMPORTRANGE('Match Names'!$H$23, CONCAT(VLOOKUP($C46, 'Match Names'!$1:$22, 8, FALSE), ""!C3:R29"")), {6;12;18}, FALSE)), ""=0"")"),0.0)</f>
        <v>0</v>
      </c>
      <c r="G46" s="32">
        <f>IFERROR(__xludf.DUMMYFUNCTION("COUNTIF(ARRAYFORMULA(HLOOKUP($B46, IMPORTRANGE('Prelim Rankings Unsorted'!$B$40, CONCAT(VLOOKUP($C46, 'Match Names'!$A$1:$D$22, 2, FALSE), ""!C3:R29"")), {12;18;24}, FALSE)), ""=-4"") + COUNTIF(ARRAYFORMULA(HLOOKUP($B46, IMPORTRANGE('Prelim Rankings Unsor"&amp;"ted'!$B$41, CONCAT(VLOOKUP($C46, 'Match Names'!$A$1:$D$22, 3, FALSE), ""!C3:R29"")), {6;12;18}, FALSE)), ""=-4"") + COUNTIF(ARRAYFORMULA(HLOOKUP($B46, IMPORTRANGE('Prelim Rankings Unsorted'!$B$42, CONCAT(VLOOKUP($C46, 'Match Names'!$A$1:$D$22, 4, FALSE), "&amp;"""!C3:R29"")), {6;12;18}, FALSE)), ""=-4"") + COUNTIF(ARRAYFORMULA(HLOOKUP($B46, IMPORTRANGE('Match Names'!$E$23, CONCAT(VLOOKUP($C46, 'Match Names'!$1:$22, 5, FALSE), ""!C3:R29"")), {4;13;18}, FALSE)), ""=-4"") + COUNTIF(ARRAYFORMULA(HLOOKUP($B46, IMPORT"&amp;"RANGE('Match Names'!$F$23, CONCAT(VLOOKUP($C46, 'Match Names'!$1:$22, 6, FALSE), ""!C3:R29"")), {7;13;19}, FALSE)), ""=-4"") + COUNTIF(ARRAYFORMULA(HLOOKUP($B46, IMPORTRANGE('Match Names'!$G$23, CONCAT(VLOOKUP($C46, 'Match Names'!$1:$22, 7, FALSE), ""!C3:"&amp;"R29"")), {11;15;23}, FALSE)), ""=-4"") + COUNTIF(ARRAYFORMULA(HLOOKUP($B46, IMPORTRANGE('Match Names'!$H$23, CONCAT(VLOOKUP($C46, 'Match Names'!$1:$22, 8, FALSE), ""!C3:R29"")), {6;12;18}, FALSE)), ""=-4"")"),0.0)</f>
        <v>0</v>
      </c>
      <c r="H46" s="33">
        <f t="shared" si="1"/>
        <v>0</v>
      </c>
    </row>
    <row r="47">
      <c r="A47" s="31" t="s">
        <v>127</v>
      </c>
      <c r="B47" s="31" t="str">
        <f>VLOOKUP(CONCAT(A47, C47), 'Discord Username to Real Name'!C:D, 2, FALSE)</f>
        <v>PerfectPenguin#3133</v>
      </c>
      <c r="C47" s="31" t="s">
        <v>15</v>
      </c>
      <c r="D47" s="32">
        <f>IFERROR(__xludf.DUMMYFUNCTION("(3 - COUNTIF(IFERROR(ARRAYFORMULA(HLOOKUP($B47, IMPORTRANGE('Prelim Rankings Unsorted'!$B$40, CONCAT(VLOOKUP($C47, 'Match Names'!$A$1:$D$22, 2, FALSE), ""!C3:R29"")), {12;18;24}, FALSE)), 'Player Overall Stats Unsorted'!$AA$9:$AA$12), ""=X"")) + (3 - COUN"&amp;"TIF(IFERROR(ARRAYFORMULA(HLOOKUP($B47, IMPORTRANGE('Prelim Rankings Unsorted'!$B$41, CONCAT(VLOOKUP($C47, 'Match Names'!$A$1:$D$22, 3, FALSE), ""!C3:R29"")), {6;12;18}, FALSE)), 'Player Overall Stats Unsorted'!$AA$9:$AA$12), ""=X"")) + (3 - COUNTIF(IFERRO"&amp;"R(ARRAYFORMULA(HLOOKUP($B47, IMPORTRANGE('Prelim Rankings Unsorted'!$B$42, CONCAT(VLOOKUP($C47, 'Match Names'!$A$1:$D$22, 4, FALSE), ""!C3:R29"")), {6;12;18}, FALSE)), 'Player Overall Stats Unsorted'!$AA$9:$AA$12), ""=X"")) + (3 - COUNTIF(IFERROR(ARRAYFOR"&amp;"MULA(HLOOKUP($B47, IMPORTRANGE('Match Names'!$E$23, CONCAT(VLOOKUP($C47, 'Match Names'!$1:$22, 5, FALSE), ""!C3:R29"")), {4;13;18}, FALSE)), 'Player Overall Stats Unsorted'!$AA$9:$AA$12), ""=X"")) + (3 - COUNTIF(IFERROR(ARRAYFORMULA(HLOOKUP($B47, IMPORTRA"&amp;"NGE('Match Names'!$F$23, CONCAT(VLOOKUP($C47, 'Match Names'!$1:$22, 6, FALSE), ""!C3:R29"")), {7;13;19}, FALSE)), 'Player Overall Stats Unsorted'!$AA$9:$AA$12), ""=X"")) + (3 - COUNTIF(IFERROR(ARRAYFORMULA(HLOOKUP($B47, IMPORTRANGE('Match Names'!$G$23, CO"&amp;"NCAT(VLOOKUP($C47, 'Match Names'!$1:$22, 7, FALSE), ""!C3:R29"")), {11;15;23}, FALSE)), 'Player Overall Stats Unsorted'!$AA$9:$AA$12), ""=X"")) + (3 - COUNTIF(IFERROR(ARRAYFORMULA(HLOOKUP($B47, IMPORTRANGE('Match Names'!$H$23, CONCAT(VLOOKUP($C47, 'Match "&amp;"Names'!$1:$22, 8, FALSE), ""!C3:R29"")), {6;12;18}, FALSE)), 'Player Overall Stats Unsorted'!$AA$9:$AA$12), ""=X""))"),18.0)</f>
        <v>18</v>
      </c>
      <c r="E47" s="32">
        <f>IFERROR(__xludf.DUMMYFUNCTION("COUNTIF(ARRAYFORMULA(HLOOKUP($B47, IMPORTRANGE('Prelim Rankings Unsorted'!$B$40, CONCAT(VLOOKUP($C47, 'Match Names'!$A$1:$D$22, 2, FALSE), ""!C3:R29"")), {12;18;24}, FALSE)), ""=4"") + COUNTIF(ARRAYFORMULA(HLOOKUP($B47, IMPORTRANGE('Prelim Rankings Unsort"&amp;"ed'!$B$41, CONCAT(VLOOKUP($C47, 'Match Names'!$A$1:$D$22, 3, FALSE), ""!C3:R29"")), {6;12;18}, FALSE)), ""=4"") + COUNTIF(ARRAYFORMULA(HLOOKUP($B47, IMPORTRANGE('Prelim Rankings Unsorted'!$B$42, CONCAT(VLOOKUP($C47, 'Match Names'!$A$1:$D$22, 4, FALSE), """&amp;"!C3:R29"")), {6;12;18}, FALSE)), ""=4"") + COUNTIF(ARRAYFORMULA(HLOOKUP($B47, IMPORTRANGE('Match Names'!$E$23, CONCAT(VLOOKUP($C47, 'Match Names'!$1:$22, 5, FALSE), ""!C3:R29"")), {4;13;18}, FALSE)), ""=4"") + COUNTIF(ARRAYFORMULA(HLOOKUP($B47, IMPORTRANG"&amp;"E('Match Names'!$F$23, CONCAT(VLOOKUP($C47, 'Match Names'!$1:$22, 6, FALSE), ""!C3:R29"")), {7;13;19}, FALSE)), ""=4"") + COUNTIF(ARRAYFORMULA(HLOOKUP($B47, IMPORTRANGE('Match Names'!$G$23, CONCAT(VLOOKUP($C47, 'Match Names'!$1:$22, 7, FALSE), ""!C3:R29"""&amp;")), {11;15;23}, FALSE)), ""=4"") + COUNTIF(ARRAYFORMULA(HLOOKUP($B47, IMPORTRANGE('Match Names'!$H$23, CONCAT(VLOOKUP($C47, 'Match Names'!$1:$22, 8, FALSE), ""!C3:R29"")), {6;12;18}, FALSE)), ""=4"")"),0.0)</f>
        <v>0</v>
      </c>
      <c r="F47" s="32">
        <f>IFERROR(__xludf.DUMMYFUNCTION("COUNTIF(ARRAYFORMULA(HLOOKUP($B47, IMPORTRANGE('Prelim Rankings Unsorted'!$B$40, CONCAT(VLOOKUP($C47, 'Match Names'!$A$1:$D$22, 2, FALSE), ""!C3:R29"")), {12;18;24}, FALSE)), ""=0"") + COUNTIF(ARRAYFORMULA(HLOOKUP($B47, IMPORTRANGE('Prelim Rankings Unsort"&amp;"ed'!$B$41, CONCAT(VLOOKUP($C47, 'Match Names'!$A$1:$D$22, 3, FALSE), ""!C3:R29"")), {6;12;18}, FALSE)), ""=0"") + COUNTIF(ARRAYFORMULA(HLOOKUP($B47, IMPORTRANGE('Prelim Rankings Unsorted'!$B$42, CONCAT(VLOOKUP($C47, 'Match Names'!$A$1:$D$22, 4, FALSE), """&amp;"!C3:R29"")), {6;12;18}, FALSE)), ""=0"") + COUNTIF(ARRAYFORMULA(HLOOKUP($B47, IMPORTRANGE('Match Names'!$E$23, CONCAT(VLOOKUP($C47, 'Match Names'!$1:$22, 5, FALSE), ""!C3:R29"")), {4;13;18}, FALSE)), ""=0"") + COUNTIF(ARRAYFORMULA(HLOOKUP($B47, IMPORTRANG"&amp;"E('Match Names'!$F$23, CONCAT(VLOOKUP($C47, 'Match Names'!$1:$22, 6, FALSE), ""!C3:R29"")), {7;13;19}, FALSE)), ""=0"") + COUNTIF(ARRAYFORMULA(HLOOKUP($B47, IMPORTRANGE('Match Names'!$G$23, CONCAT(VLOOKUP($C47, 'Match Names'!$1:$22, 7, FALSE), ""!C3:R29"""&amp;")), {11;15;23}, FALSE)), ""=0"") + COUNTIF(ARRAYFORMULA(HLOOKUP($B47, IMPORTRANGE('Match Names'!$H$23, CONCAT(VLOOKUP($C47, 'Match Names'!$1:$22, 8, FALSE), ""!C3:R29"")), {6;12;18}, FALSE)), ""=0"")"),1.0)</f>
        <v>1</v>
      </c>
      <c r="G47" s="32">
        <f>IFERROR(__xludf.DUMMYFUNCTION("COUNTIF(ARRAYFORMULA(HLOOKUP($B47, IMPORTRANGE('Prelim Rankings Unsorted'!$B$40, CONCAT(VLOOKUP($C47, 'Match Names'!$A$1:$D$22, 2, FALSE), ""!C3:R29"")), {12;18;24}, FALSE)), ""=-4"") + COUNTIF(ARRAYFORMULA(HLOOKUP($B47, IMPORTRANGE('Prelim Rankings Unsor"&amp;"ted'!$B$41, CONCAT(VLOOKUP($C47, 'Match Names'!$A$1:$D$22, 3, FALSE), ""!C3:R29"")), {6;12;18}, FALSE)), ""=-4"") + COUNTIF(ARRAYFORMULA(HLOOKUP($B47, IMPORTRANGE('Prelim Rankings Unsorted'!$B$42, CONCAT(VLOOKUP($C47, 'Match Names'!$A$1:$D$22, 4, FALSE), "&amp;"""!C3:R29"")), {6;12;18}, FALSE)), ""=-4"") + COUNTIF(ARRAYFORMULA(HLOOKUP($B47, IMPORTRANGE('Match Names'!$E$23, CONCAT(VLOOKUP($C47, 'Match Names'!$1:$22, 5, FALSE), ""!C3:R29"")), {4;13;18}, FALSE)), ""=-4"") + COUNTIF(ARRAYFORMULA(HLOOKUP($B47, IMPORT"&amp;"RANGE('Match Names'!$F$23, CONCAT(VLOOKUP($C47, 'Match Names'!$1:$22, 6, FALSE), ""!C3:R29"")), {7;13;19}, FALSE)), ""=-4"") + COUNTIF(ARRAYFORMULA(HLOOKUP($B47, IMPORTRANGE('Match Names'!$G$23, CONCAT(VLOOKUP($C47, 'Match Names'!$1:$22, 7, FALSE), ""!C3:"&amp;"R29"")), {11;15;23}, FALSE)), ""=-4"") + COUNTIF(ARRAYFORMULA(HLOOKUP($B47, IMPORTRANGE('Match Names'!$H$23, CONCAT(VLOOKUP($C47, 'Match Names'!$1:$22, 8, FALSE), ""!C3:R29"")), {6;12;18}, FALSE)), ""=-4"")"),0.0)</f>
        <v>0</v>
      </c>
      <c r="H47" s="33">
        <f t="shared" si="1"/>
        <v>0</v>
      </c>
    </row>
    <row r="48">
      <c r="A48" s="21" t="s">
        <v>41</v>
      </c>
      <c r="B48" s="31" t="str">
        <f>VLOOKUP(CONCAT(A48, C48), 'Discord Username to Real Name'!C:D, 2, FALSE)</f>
        <v>ClownFrogg𓆏#3571</v>
      </c>
      <c r="C48" s="21" t="s">
        <v>14</v>
      </c>
      <c r="D48" s="32">
        <f>IFERROR(__xludf.DUMMYFUNCTION("(3 - COUNTIF(IFERROR(ARRAYFORMULA(HLOOKUP($B48, IMPORTRANGE('Prelim Rankings Unsorted'!$B$40, CONCAT(VLOOKUP($C48, 'Match Names'!$A$1:$D$22, 2, FALSE), ""!C3:R29"")), {12;18;24}, FALSE)), 'Player Overall Stats Unsorted'!$AA$9:$AA$12), ""=X"")) + (3 - COUN"&amp;"TIF(IFERROR(ARRAYFORMULA(HLOOKUP($B48, IMPORTRANGE('Prelim Rankings Unsorted'!$B$41, CONCAT(VLOOKUP($C48, 'Match Names'!$A$1:$D$22, 3, FALSE), ""!C3:R29"")), {6;12;18}, FALSE)), 'Player Overall Stats Unsorted'!$AA$9:$AA$12), ""=X"")) + (3 - COUNTIF(IFERRO"&amp;"R(ARRAYFORMULA(HLOOKUP($B48, IMPORTRANGE('Prelim Rankings Unsorted'!$B$42, CONCAT(VLOOKUP($C48, 'Match Names'!$A$1:$D$22, 4, FALSE), ""!C3:R29"")), {6;12;18}, FALSE)), 'Player Overall Stats Unsorted'!$AA$9:$AA$12), ""=X"")) + (3 - COUNTIF(IFERROR(ARRAYFOR"&amp;"MULA(HLOOKUP($B48, IMPORTRANGE('Match Names'!$E$23, CONCAT(VLOOKUP($C48, 'Match Names'!$1:$22, 5, FALSE), ""!C3:R29"")), {4;13;18}, FALSE)), 'Player Overall Stats Unsorted'!$AA$9:$AA$12), ""=X"")) + (3 - COUNTIF(IFERROR(ARRAYFORMULA(HLOOKUP($B48, IMPORTRA"&amp;"NGE('Match Names'!$F$23, CONCAT(VLOOKUP($C48, 'Match Names'!$1:$22, 6, FALSE), ""!C3:R29"")), {7;13;19}, FALSE)), 'Player Overall Stats Unsorted'!$AA$9:$AA$12), ""=X"")) + (3 - COUNTIF(IFERROR(ARRAYFORMULA(HLOOKUP($B48, IMPORTRANGE('Match Names'!$G$23, CO"&amp;"NCAT(VLOOKUP($C48, 'Match Names'!$1:$22, 7, FALSE), ""!C3:R29"")), {11;15;23}, FALSE)), 'Player Overall Stats Unsorted'!$AA$9:$AA$12), ""=X"")) + (3 - COUNTIF(IFERROR(ARRAYFORMULA(HLOOKUP($B48, IMPORTRANGE('Match Names'!$H$23, CONCAT(VLOOKUP($C48, 'Match "&amp;"Names'!$1:$22, 8, FALSE), ""!C3:R29"")), {6;12;18}, FALSE)), 'Player Overall Stats Unsorted'!$AA$9:$AA$12), ""=X""))"),18.0)</f>
        <v>18</v>
      </c>
      <c r="E48" s="32">
        <f>IFERROR(__xludf.DUMMYFUNCTION("COUNTIF(ARRAYFORMULA(HLOOKUP($B48, IMPORTRANGE('Prelim Rankings Unsorted'!$B$40, CONCAT(VLOOKUP($C48, 'Match Names'!$A$1:$D$22, 2, FALSE), ""!C3:R29"")), {12;18;24}, FALSE)), ""=4"") + COUNTIF(ARRAYFORMULA(HLOOKUP($B48, IMPORTRANGE('Prelim Rankings Unsort"&amp;"ed'!$B$41, CONCAT(VLOOKUP($C48, 'Match Names'!$A$1:$D$22, 3, FALSE), ""!C3:R29"")), {6;12;18}, FALSE)), ""=4"") + COUNTIF(ARRAYFORMULA(HLOOKUP($B48, IMPORTRANGE('Prelim Rankings Unsorted'!$B$42, CONCAT(VLOOKUP($C48, 'Match Names'!$A$1:$D$22, 4, FALSE), """&amp;"!C3:R29"")), {6;12;18}, FALSE)), ""=4"") + COUNTIF(ARRAYFORMULA(HLOOKUP($B48, IMPORTRANGE('Match Names'!$E$23, CONCAT(VLOOKUP($C48, 'Match Names'!$1:$22, 5, FALSE), ""!C3:R29"")), {4;13;18}, FALSE)), ""=4"") + COUNTIF(ARRAYFORMULA(HLOOKUP($B48, IMPORTRANG"&amp;"E('Match Names'!$F$23, CONCAT(VLOOKUP($C48, 'Match Names'!$1:$22, 6, FALSE), ""!C3:R29"")), {7;13;19}, FALSE)), ""=4"") + COUNTIF(ARRAYFORMULA(HLOOKUP($B48, IMPORTRANGE('Match Names'!$G$23, CONCAT(VLOOKUP($C48, 'Match Names'!$1:$22, 7, FALSE), ""!C3:R29"""&amp;")), {11;15;23}, FALSE)), ""=4"") + COUNTIF(ARRAYFORMULA(HLOOKUP($B48, IMPORTRANGE('Match Names'!$H$23, CONCAT(VLOOKUP($C48, 'Match Names'!$1:$22, 8, FALSE), ""!C3:R29"")), {6;12;18}, FALSE)), ""=4"")"),1.0)</f>
        <v>1</v>
      </c>
      <c r="F48" s="32">
        <f>IFERROR(__xludf.DUMMYFUNCTION("COUNTIF(ARRAYFORMULA(HLOOKUP($B48, IMPORTRANGE('Prelim Rankings Unsorted'!$B$40, CONCAT(VLOOKUP($C48, 'Match Names'!$A$1:$D$22, 2, FALSE), ""!C3:R29"")), {12;18;24}, FALSE)), ""=0"") + COUNTIF(ARRAYFORMULA(HLOOKUP($B48, IMPORTRANGE('Prelim Rankings Unsort"&amp;"ed'!$B$41, CONCAT(VLOOKUP($C48, 'Match Names'!$A$1:$D$22, 3, FALSE), ""!C3:R29"")), {6;12;18}, FALSE)), ""=0"") + COUNTIF(ARRAYFORMULA(HLOOKUP($B48, IMPORTRANGE('Prelim Rankings Unsorted'!$B$42, CONCAT(VLOOKUP($C48, 'Match Names'!$A$1:$D$22, 4, FALSE), """&amp;"!C3:R29"")), {6;12;18}, FALSE)), ""=0"") + COUNTIF(ARRAYFORMULA(HLOOKUP($B48, IMPORTRANGE('Match Names'!$E$23, CONCAT(VLOOKUP($C48, 'Match Names'!$1:$22, 5, FALSE), ""!C3:R29"")), {4;13;18}, FALSE)), ""=0"") + COUNTIF(ARRAYFORMULA(HLOOKUP($B48, IMPORTRANG"&amp;"E('Match Names'!$F$23, CONCAT(VLOOKUP($C48, 'Match Names'!$1:$22, 6, FALSE), ""!C3:R29"")), {7;13;19}, FALSE)), ""=0"") + COUNTIF(ARRAYFORMULA(HLOOKUP($B48, IMPORTRANGE('Match Names'!$G$23, CONCAT(VLOOKUP($C48, 'Match Names'!$1:$22, 7, FALSE), ""!C3:R29"""&amp;")), {11;15;23}, FALSE)), ""=0"") + COUNTIF(ARRAYFORMULA(HLOOKUP($B48, IMPORTRANGE('Match Names'!$H$23, CONCAT(VLOOKUP($C48, 'Match Names'!$1:$22, 8, FALSE), ""!C3:R29"")), {6;12;18}, FALSE)), ""=0"")"),2.0)</f>
        <v>2</v>
      </c>
      <c r="G48" s="32">
        <f>IFERROR(__xludf.DUMMYFUNCTION("COUNTIF(ARRAYFORMULA(HLOOKUP($B48, IMPORTRANGE('Prelim Rankings Unsorted'!$B$40, CONCAT(VLOOKUP($C48, 'Match Names'!$A$1:$D$22, 2, FALSE), ""!C3:R29"")), {12;18;24}, FALSE)), ""=-4"") + COUNTIF(ARRAYFORMULA(HLOOKUP($B48, IMPORTRANGE('Prelim Rankings Unsor"&amp;"ted'!$B$41, CONCAT(VLOOKUP($C48, 'Match Names'!$A$1:$D$22, 3, FALSE), ""!C3:R29"")), {6;12;18}, FALSE)), ""=-4"") + COUNTIF(ARRAYFORMULA(HLOOKUP($B48, IMPORTRANGE('Prelim Rankings Unsorted'!$B$42, CONCAT(VLOOKUP($C48, 'Match Names'!$A$1:$D$22, 4, FALSE), "&amp;"""!C3:R29"")), {6;12;18}, FALSE)), ""=-4"") + COUNTIF(ARRAYFORMULA(HLOOKUP($B48, IMPORTRANGE('Match Names'!$E$23, CONCAT(VLOOKUP($C48, 'Match Names'!$1:$22, 5, FALSE), ""!C3:R29"")), {4;13;18}, FALSE)), ""=-4"") + COUNTIF(ARRAYFORMULA(HLOOKUP($B48, IMPORT"&amp;"RANGE('Match Names'!$F$23, CONCAT(VLOOKUP($C48, 'Match Names'!$1:$22, 6, FALSE), ""!C3:R29"")), {7;13;19}, FALSE)), ""=-4"") + COUNTIF(ARRAYFORMULA(HLOOKUP($B48, IMPORTRANGE('Match Names'!$G$23, CONCAT(VLOOKUP($C48, 'Match Names'!$1:$22, 7, FALSE), ""!C3:"&amp;"R29"")), {11;15;23}, FALSE)), ""=-4"") + COUNTIF(ARRAYFORMULA(HLOOKUP($B48, IMPORTRANGE('Match Names'!$H$23, CONCAT(VLOOKUP($C48, 'Match Names'!$1:$22, 8, FALSE), ""!C3:R29"")), {6;12;18}, FALSE)), ""=-4"")"),1.0)</f>
        <v>1</v>
      </c>
      <c r="H48" s="33">
        <f t="shared" si="1"/>
        <v>0</v>
      </c>
    </row>
    <row r="49">
      <c r="A49" s="21" t="s">
        <v>56</v>
      </c>
      <c r="B49" s="31" t="str">
        <f>VLOOKUP(CONCAT(A49, C49), 'Discord Username to Real Name'!C:D, 2, FALSE)</f>
        <v>WeisPickle#1350</v>
      </c>
      <c r="C49" s="21" t="s">
        <v>14</v>
      </c>
      <c r="D49" s="32">
        <f>IFERROR(__xludf.DUMMYFUNCTION("(3 - COUNTIF(IFERROR(ARRAYFORMULA(HLOOKUP($B49, IMPORTRANGE('Prelim Rankings Unsorted'!$B$40, CONCAT(VLOOKUP($C49, 'Match Names'!$A$1:$D$22, 2, FALSE), ""!C3:R29"")), {12;18;24}, FALSE)), 'Player Overall Stats Unsorted'!$AA$9:$AA$12), ""=X"")) + (3 - COUN"&amp;"TIF(IFERROR(ARRAYFORMULA(HLOOKUP($B49, IMPORTRANGE('Prelim Rankings Unsorted'!$B$41, CONCAT(VLOOKUP($C49, 'Match Names'!$A$1:$D$22, 3, FALSE), ""!C3:R29"")), {6;12;18}, FALSE)), 'Player Overall Stats Unsorted'!$AA$9:$AA$12), ""=X"")) + (3 - COUNTIF(IFERRO"&amp;"R(ARRAYFORMULA(HLOOKUP($B49, IMPORTRANGE('Prelim Rankings Unsorted'!$B$42, CONCAT(VLOOKUP($C49, 'Match Names'!$A$1:$D$22, 4, FALSE), ""!C3:R29"")), {6;12;18}, FALSE)), 'Player Overall Stats Unsorted'!$AA$9:$AA$12), ""=X"")) + (3 - COUNTIF(IFERROR(ARRAYFOR"&amp;"MULA(HLOOKUP($B49, IMPORTRANGE('Match Names'!$E$23, CONCAT(VLOOKUP($C49, 'Match Names'!$1:$22, 5, FALSE), ""!C3:R29"")), {4;13;18}, FALSE)), 'Player Overall Stats Unsorted'!$AA$9:$AA$12), ""=X"")) + (3 - COUNTIF(IFERROR(ARRAYFORMULA(HLOOKUP($B49, IMPORTRA"&amp;"NGE('Match Names'!$F$23, CONCAT(VLOOKUP($C49, 'Match Names'!$1:$22, 6, FALSE), ""!C3:R29"")), {7;13;19}, FALSE)), 'Player Overall Stats Unsorted'!$AA$9:$AA$12), ""=X"")) + (3 - COUNTIF(IFERROR(ARRAYFORMULA(HLOOKUP($B49, IMPORTRANGE('Match Names'!$G$23, CO"&amp;"NCAT(VLOOKUP($C49, 'Match Names'!$1:$22, 7, FALSE), ""!C3:R29"")), {11;15;23}, FALSE)), 'Player Overall Stats Unsorted'!$AA$9:$AA$12), ""=X"")) + (3 - COUNTIF(IFERROR(ARRAYFORMULA(HLOOKUP($B49, IMPORTRANGE('Match Names'!$H$23, CONCAT(VLOOKUP($C49, 'Match "&amp;"Names'!$1:$22, 8, FALSE), ""!C3:R29"")), {6;12;18}, FALSE)), 'Player Overall Stats Unsorted'!$AA$9:$AA$12), ""=X""))"),18.0)</f>
        <v>18</v>
      </c>
      <c r="E49" s="32">
        <f>IFERROR(__xludf.DUMMYFUNCTION("COUNTIF(ARRAYFORMULA(HLOOKUP($B49, IMPORTRANGE('Prelim Rankings Unsorted'!$B$40, CONCAT(VLOOKUP($C49, 'Match Names'!$A$1:$D$22, 2, FALSE), ""!C3:R29"")), {12;18;24}, FALSE)), ""=4"") + COUNTIF(ARRAYFORMULA(HLOOKUP($B49, IMPORTRANGE('Prelim Rankings Unsort"&amp;"ed'!$B$41, CONCAT(VLOOKUP($C49, 'Match Names'!$A$1:$D$22, 3, FALSE), ""!C3:R29"")), {6;12;18}, FALSE)), ""=4"") + COUNTIF(ARRAYFORMULA(HLOOKUP($B49, IMPORTRANGE('Prelim Rankings Unsorted'!$B$42, CONCAT(VLOOKUP($C49, 'Match Names'!$A$1:$D$22, 4, FALSE), """&amp;"!C3:R29"")), {6;12;18}, FALSE)), ""=4"") + COUNTIF(ARRAYFORMULA(HLOOKUP($B49, IMPORTRANGE('Match Names'!$E$23, CONCAT(VLOOKUP($C49, 'Match Names'!$1:$22, 5, FALSE), ""!C3:R29"")), {4;13;18}, FALSE)), ""=4"") + COUNTIF(ARRAYFORMULA(HLOOKUP($B49, IMPORTRANG"&amp;"E('Match Names'!$F$23, CONCAT(VLOOKUP($C49, 'Match Names'!$1:$22, 6, FALSE), ""!C3:R29"")), {7;13;19}, FALSE)), ""=4"") + COUNTIF(ARRAYFORMULA(HLOOKUP($B49, IMPORTRANGE('Match Names'!$G$23, CONCAT(VLOOKUP($C49, 'Match Names'!$1:$22, 7, FALSE), ""!C3:R29"""&amp;")), {11;15;23}, FALSE)), ""=4"") + COUNTIF(ARRAYFORMULA(HLOOKUP($B49, IMPORTRANGE('Match Names'!$H$23, CONCAT(VLOOKUP($C49, 'Match Names'!$1:$22, 8, FALSE), ""!C3:R29"")), {6;12;18}, FALSE)), ""=4"")"),4.0)</f>
        <v>4</v>
      </c>
      <c r="F49" s="32">
        <f>IFERROR(__xludf.DUMMYFUNCTION("COUNTIF(ARRAYFORMULA(HLOOKUP($B49, IMPORTRANGE('Prelim Rankings Unsorted'!$B$40, CONCAT(VLOOKUP($C49, 'Match Names'!$A$1:$D$22, 2, FALSE), ""!C3:R29"")), {12;18;24}, FALSE)), ""=0"") + COUNTIF(ARRAYFORMULA(HLOOKUP($B49, IMPORTRANGE('Prelim Rankings Unsort"&amp;"ed'!$B$41, CONCAT(VLOOKUP($C49, 'Match Names'!$A$1:$D$22, 3, FALSE), ""!C3:R29"")), {6;12;18}, FALSE)), ""=0"") + COUNTIF(ARRAYFORMULA(HLOOKUP($B49, IMPORTRANGE('Prelim Rankings Unsorted'!$B$42, CONCAT(VLOOKUP($C49, 'Match Names'!$A$1:$D$22, 4, FALSE), """&amp;"!C3:R29"")), {6;12;18}, FALSE)), ""=0"") + COUNTIF(ARRAYFORMULA(HLOOKUP($B49, IMPORTRANGE('Match Names'!$E$23, CONCAT(VLOOKUP($C49, 'Match Names'!$1:$22, 5, FALSE), ""!C3:R29"")), {4;13;18}, FALSE)), ""=0"") + COUNTIF(ARRAYFORMULA(HLOOKUP($B49, IMPORTRANG"&amp;"E('Match Names'!$F$23, CONCAT(VLOOKUP($C49, 'Match Names'!$1:$22, 6, FALSE), ""!C3:R29"")), {7;13;19}, FALSE)), ""=0"") + COUNTIF(ARRAYFORMULA(HLOOKUP($B49, IMPORTRANGE('Match Names'!$G$23, CONCAT(VLOOKUP($C49, 'Match Names'!$1:$22, 7, FALSE), ""!C3:R29"""&amp;")), {11;15;23}, FALSE)), ""=0"") + COUNTIF(ARRAYFORMULA(HLOOKUP($B49, IMPORTRANGE('Match Names'!$H$23, CONCAT(VLOOKUP($C49, 'Match Names'!$1:$22, 8, FALSE), ""!C3:R29"")), {6;12;18}, FALSE)), ""=0"")"),0.0)</f>
        <v>0</v>
      </c>
      <c r="G49" s="32">
        <f>IFERROR(__xludf.DUMMYFUNCTION("COUNTIF(ARRAYFORMULA(HLOOKUP($B49, IMPORTRANGE('Prelim Rankings Unsorted'!$B$40, CONCAT(VLOOKUP($C49, 'Match Names'!$A$1:$D$22, 2, FALSE), ""!C3:R29"")), {12;18;24}, FALSE)), ""=-4"") + COUNTIF(ARRAYFORMULA(HLOOKUP($B49, IMPORTRANGE('Prelim Rankings Unsor"&amp;"ted'!$B$41, CONCAT(VLOOKUP($C49, 'Match Names'!$A$1:$D$22, 3, FALSE), ""!C3:R29"")), {6;12;18}, FALSE)), ""=-4"") + COUNTIF(ARRAYFORMULA(HLOOKUP($B49, IMPORTRANGE('Prelim Rankings Unsorted'!$B$42, CONCAT(VLOOKUP($C49, 'Match Names'!$A$1:$D$22, 4, FALSE), "&amp;"""!C3:R29"")), {6;12;18}, FALSE)), ""=-4"") + COUNTIF(ARRAYFORMULA(HLOOKUP($B49, IMPORTRANGE('Match Names'!$E$23, CONCAT(VLOOKUP($C49, 'Match Names'!$1:$22, 5, FALSE), ""!C3:R29"")), {4;13;18}, FALSE)), ""=-4"") + COUNTIF(ARRAYFORMULA(HLOOKUP($B49, IMPORT"&amp;"RANGE('Match Names'!$F$23, CONCAT(VLOOKUP($C49, 'Match Names'!$1:$22, 6, FALSE), ""!C3:R29"")), {7;13;19}, FALSE)), ""=-4"") + COUNTIF(ARRAYFORMULA(HLOOKUP($B49, IMPORTRANGE('Match Names'!$G$23, CONCAT(VLOOKUP($C49, 'Match Names'!$1:$22, 7, FALSE), ""!C3:"&amp;"R29"")), {11;15;23}, FALSE)), ""=-4"") + COUNTIF(ARRAYFORMULA(HLOOKUP($B49, IMPORTRANGE('Match Names'!$H$23, CONCAT(VLOOKUP($C49, 'Match Names'!$1:$22, 8, FALSE), ""!C3:R29"")), {6;12;18}, FALSE)), ""=-4"")"),2.0)</f>
        <v>2</v>
      </c>
      <c r="H49" s="33">
        <f t="shared" si="1"/>
        <v>1.33</v>
      </c>
    </row>
    <row r="50">
      <c r="A50" s="21" t="s">
        <v>132</v>
      </c>
      <c r="B50" s="31" t="str">
        <f>VLOOKUP(CONCAT(A50, C50), 'Discord Username to Real Name'!C:D, 2, FALSE)</f>
        <v>Endoplasmic Rayticulum#6706</v>
      </c>
      <c r="C50" s="21" t="s">
        <v>14</v>
      </c>
      <c r="D50" s="32">
        <f>IFERROR(__xludf.DUMMYFUNCTION("(3 - COUNTIF(IFERROR(ARRAYFORMULA(HLOOKUP($B50, IMPORTRANGE('Prelim Rankings Unsorted'!$B$40, CONCAT(VLOOKUP($C50, 'Match Names'!$A$1:$D$22, 2, FALSE), ""!C3:R29"")), {12;18;24}, FALSE)), 'Player Overall Stats Unsorted'!$AA$9:$AA$12), ""=X"")) + (3 - COUN"&amp;"TIF(IFERROR(ARRAYFORMULA(HLOOKUP($B50, IMPORTRANGE('Prelim Rankings Unsorted'!$B$41, CONCAT(VLOOKUP($C50, 'Match Names'!$A$1:$D$22, 3, FALSE), ""!C3:R29"")), {6;12;18}, FALSE)), 'Player Overall Stats Unsorted'!$AA$9:$AA$12), ""=X"")) + (3 - COUNTIF(IFERRO"&amp;"R(ARRAYFORMULA(HLOOKUP($B50, IMPORTRANGE('Prelim Rankings Unsorted'!$B$42, CONCAT(VLOOKUP($C50, 'Match Names'!$A$1:$D$22, 4, FALSE), ""!C3:R29"")), {6;12;18}, FALSE)), 'Player Overall Stats Unsorted'!$AA$9:$AA$12), ""=X"")) + (3 - COUNTIF(IFERROR(ARRAYFOR"&amp;"MULA(HLOOKUP($B50, IMPORTRANGE('Match Names'!$E$23, CONCAT(VLOOKUP($C50, 'Match Names'!$1:$22, 5, FALSE), ""!C3:R29"")), {4;13;18}, FALSE)), 'Player Overall Stats Unsorted'!$AA$9:$AA$12), ""=X"")) + (3 - COUNTIF(IFERROR(ARRAYFORMULA(HLOOKUP($B50, IMPORTRA"&amp;"NGE('Match Names'!$F$23, CONCAT(VLOOKUP($C50, 'Match Names'!$1:$22, 6, FALSE), ""!C3:R29"")), {7;13;19}, FALSE)), 'Player Overall Stats Unsorted'!$AA$9:$AA$12), ""=X"")) + (3 - COUNTIF(IFERROR(ARRAYFORMULA(HLOOKUP($B50, IMPORTRANGE('Match Names'!$G$23, CO"&amp;"NCAT(VLOOKUP($C50, 'Match Names'!$1:$22, 7, FALSE), ""!C3:R29"")), {11;15;23}, FALSE)), 'Player Overall Stats Unsorted'!$AA$9:$AA$12), ""=X"")) + (3 - COUNTIF(IFERROR(ARRAYFORMULA(HLOOKUP($B50, IMPORTRANGE('Match Names'!$H$23, CONCAT(VLOOKUP($C50, 'Match "&amp;"Names'!$1:$22, 8, FALSE), ""!C3:R29"")), {6;12;18}, FALSE)), 'Player Overall Stats Unsorted'!$AA$9:$AA$12), ""=X""))"),18.0)</f>
        <v>18</v>
      </c>
      <c r="E50" s="32">
        <f>IFERROR(__xludf.DUMMYFUNCTION("COUNTIF(ARRAYFORMULA(HLOOKUP($B50, IMPORTRANGE('Prelim Rankings Unsorted'!$B$40, CONCAT(VLOOKUP($C50, 'Match Names'!$A$1:$D$22, 2, FALSE), ""!C3:R29"")), {12;18;24}, FALSE)), ""=4"") + COUNTIF(ARRAYFORMULA(HLOOKUP($B50, IMPORTRANGE('Prelim Rankings Unsort"&amp;"ed'!$B$41, CONCAT(VLOOKUP($C50, 'Match Names'!$A$1:$D$22, 3, FALSE), ""!C3:R29"")), {6;12;18}, FALSE)), ""=4"") + COUNTIF(ARRAYFORMULA(HLOOKUP($B50, IMPORTRANGE('Prelim Rankings Unsorted'!$B$42, CONCAT(VLOOKUP($C50, 'Match Names'!$A$1:$D$22, 4, FALSE), """&amp;"!C3:R29"")), {6;12;18}, FALSE)), ""=4"") + COUNTIF(ARRAYFORMULA(HLOOKUP($B50, IMPORTRANGE('Match Names'!$E$23, CONCAT(VLOOKUP($C50, 'Match Names'!$1:$22, 5, FALSE), ""!C3:R29"")), {4;13;18}, FALSE)), ""=4"") + COUNTIF(ARRAYFORMULA(HLOOKUP($B50, IMPORTRANG"&amp;"E('Match Names'!$F$23, CONCAT(VLOOKUP($C50, 'Match Names'!$1:$22, 6, FALSE), ""!C3:R29"")), {7;13;19}, FALSE)), ""=4"") + COUNTIF(ARRAYFORMULA(HLOOKUP($B50, IMPORTRANGE('Match Names'!$G$23, CONCAT(VLOOKUP($C50, 'Match Names'!$1:$22, 7, FALSE), ""!C3:R29"""&amp;")), {11;15;23}, FALSE)), ""=4"") + COUNTIF(ARRAYFORMULA(HLOOKUP($B50, IMPORTRANGE('Match Names'!$H$23, CONCAT(VLOOKUP($C50, 'Match Names'!$1:$22, 8, FALSE), ""!C3:R29"")), {6;12;18}, FALSE)), ""=4"")"),1.0)</f>
        <v>1</v>
      </c>
      <c r="F50" s="32">
        <f>IFERROR(__xludf.DUMMYFUNCTION("COUNTIF(ARRAYFORMULA(HLOOKUP($B50, IMPORTRANGE('Prelim Rankings Unsorted'!$B$40, CONCAT(VLOOKUP($C50, 'Match Names'!$A$1:$D$22, 2, FALSE), ""!C3:R29"")), {12;18;24}, FALSE)), ""=0"") + COUNTIF(ARRAYFORMULA(HLOOKUP($B50, IMPORTRANGE('Prelim Rankings Unsort"&amp;"ed'!$B$41, CONCAT(VLOOKUP($C50, 'Match Names'!$A$1:$D$22, 3, FALSE), ""!C3:R29"")), {6;12;18}, FALSE)), ""=0"") + COUNTIF(ARRAYFORMULA(HLOOKUP($B50, IMPORTRANGE('Prelim Rankings Unsorted'!$B$42, CONCAT(VLOOKUP($C50, 'Match Names'!$A$1:$D$22, 4, FALSE), """&amp;"!C3:R29"")), {6;12;18}, FALSE)), ""=0"") + COUNTIF(ARRAYFORMULA(HLOOKUP($B50, IMPORTRANGE('Match Names'!$E$23, CONCAT(VLOOKUP($C50, 'Match Names'!$1:$22, 5, FALSE), ""!C3:R29"")), {4;13;18}, FALSE)), ""=0"") + COUNTIF(ARRAYFORMULA(HLOOKUP($B50, IMPORTRANG"&amp;"E('Match Names'!$F$23, CONCAT(VLOOKUP($C50, 'Match Names'!$1:$22, 6, FALSE), ""!C3:R29"")), {7;13;19}, FALSE)), ""=0"") + COUNTIF(ARRAYFORMULA(HLOOKUP($B50, IMPORTRANGE('Match Names'!$G$23, CONCAT(VLOOKUP($C50, 'Match Names'!$1:$22, 7, FALSE), ""!C3:R29"""&amp;")), {11;15;23}, FALSE)), ""=0"") + COUNTIF(ARRAYFORMULA(HLOOKUP($B50, IMPORTRANGE('Match Names'!$H$23, CONCAT(VLOOKUP($C50, 'Match Names'!$1:$22, 8, FALSE), ""!C3:R29"")), {6;12;18}, FALSE)), ""=0"")"),0.0)</f>
        <v>0</v>
      </c>
      <c r="G50" s="32">
        <f>IFERROR(__xludf.DUMMYFUNCTION("COUNTIF(ARRAYFORMULA(HLOOKUP($B50, IMPORTRANGE('Prelim Rankings Unsorted'!$B$40, CONCAT(VLOOKUP($C50, 'Match Names'!$A$1:$D$22, 2, FALSE), ""!C3:R29"")), {12;18;24}, FALSE)), ""=-4"") + COUNTIF(ARRAYFORMULA(HLOOKUP($B50, IMPORTRANGE('Prelim Rankings Unsor"&amp;"ted'!$B$41, CONCAT(VLOOKUP($C50, 'Match Names'!$A$1:$D$22, 3, FALSE), ""!C3:R29"")), {6;12;18}, FALSE)), ""=-4"") + COUNTIF(ARRAYFORMULA(HLOOKUP($B50, IMPORTRANGE('Prelim Rankings Unsorted'!$B$42, CONCAT(VLOOKUP($C50, 'Match Names'!$A$1:$D$22, 4, FALSE), "&amp;"""!C3:R29"")), {6;12;18}, FALSE)), ""=-4"") + COUNTIF(ARRAYFORMULA(HLOOKUP($B50, IMPORTRANGE('Match Names'!$E$23, CONCAT(VLOOKUP($C50, 'Match Names'!$1:$22, 5, FALSE), ""!C3:R29"")), {4;13;18}, FALSE)), ""=-4"") + COUNTIF(ARRAYFORMULA(HLOOKUP($B50, IMPORT"&amp;"RANGE('Match Names'!$F$23, CONCAT(VLOOKUP($C50, 'Match Names'!$1:$22, 6, FALSE), ""!C3:R29"")), {7;13;19}, FALSE)), ""=-4"") + COUNTIF(ARRAYFORMULA(HLOOKUP($B50, IMPORTRANGE('Match Names'!$G$23, CONCAT(VLOOKUP($C50, 'Match Names'!$1:$22, 7, FALSE), ""!C3:"&amp;"R29"")), {11;15;23}, FALSE)), ""=-4"") + COUNTIF(ARRAYFORMULA(HLOOKUP($B50, IMPORTRANGE('Match Names'!$H$23, CONCAT(VLOOKUP($C50, 'Match Names'!$1:$22, 8, FALSE), ""!C3:R29"")), {6;12;18}, FALSE)), ""=-4"")"),1.0)</f>
        <v>1</v>
      </c>
      <c r="H50" s="33">
        <f t="shared" si="1"/>
        <v>0</v>
      </c>
    </row>
    <row r="51">
      <c r="A51" s="21" t="s">
        <v>119</v>
      </c>
      <c r="B51" s="31" t="str">
        <f>VLOOKUP(CONCAT(A51, C51), 'Discord Username to Real Name'!C:D, 2, FALSE)</f>
        <v>saltwater#3722</v>
      </c>
      <c r="C51" s="21" t="s">
        <v>14</v>
      </c>
      <c r="D51" s="32">
        <f>IFERROR(__xludf.DUMMYFUNCTION("(3 - COUNTIF(IFERROR(ARRAYFORMULA(HLOOKUP($B51, IMPORTRANGE('Prelim Rankings Unsorted'!$B$40, CONCAT(VLOOKUP($C51, 'Match Names'!$A$1:$D$22, 2, FALSE), ""!C3:R29"")), {12;18;24}, FALSE)), 'Player Overall Stats Unsorted'!$AA$9:$AA$12), ""=X"")) + (3 - COUN"&amp;"TIF(IFERROR(ARRAYFORMULA(HLOOKUP($B51, IMPORTRANGE('Prelim Rankings Unsorted'!$B$41, CONCAT(VLOOKUP($C51, 'Match Names'!$A$1:$D$22, 3, FALSE), ""!C3:R29"")), {6;12;18}, FALSE)), 'Player Overall Stats Unsorted'!$AA$9:$AA$12), ""=X"")) + (3 - COUNTIF(IFERRO"&amp;"R(ARRAYFORMULA(HLOOKUP($B51, IMPORTRANGE('Prelim Rankings Unsorted'!$B$42, CONCAT(VLOOKUP($C51, 'Match Names'!$A$1:$D$22, 4, FALSE), ""!C3:R29"")), {6;12;18}, FALSE)), 'Player Overall Stats Unsorted'!$AA$9:$AA$12), ""=X"")) + (3 - COUNTIF(IFERROR(ARRAYFOR"&amp;"MULA(HLOOKUP($B51, IMPORTRANGE('Match Names'!$E$23, CONCAT(VLOOKUP($C51, 'Match Names'!$1:$22, 5, FALSE), ""!C3:R29"")), {4;13;18}, FALSE)), 'Player Overall Stats Unsorted'!$AA$9:$AA$12), ""=X"")) + (3 - COUNTIF(IFERROR(ARRAYFORMULA(HLOOKUP($B51, IMPORTRA"&amp;"NGE('Match Names'!$F$23, CONCAT(VLOOKUP($C51, 'Match Names'!$1:$22, 6, FALSE), ""!C3:R29"")), {7;13;19}, FALSE)), 'Player Overall Stats Unsorted'!$AA$9:$AA$12), ""=X"")) + (3 - COUNTIF(IFERROR(ARRAYFORMULA(HLOOKUP($B51, IMPORTRANGE('Match Names'!$G$23, CO"&amp;"NCAT(VLOOKUP($C51, 'Match Names'!$1:$22, 7, FALSE), ""!C3:R29"")), {11;15;23}, FALSE)), 'Player Overall Stats Unsorted'!$AA$9:$AA$12), ""=X"")) + (3 - COUNTIF(IFERROR(ARRAYFORMULA(HLOOKUP($B51, IMPORTRANGE('Match Names'!$H$23, CONCAT(VLOOKUP($C51, 'Match "&amp;"Names'!$1:$22, 8, FALSE), ""!C3:R29"")), {6;12;18}, FALSE)), 'Player Overall Stats Unsorted'!$AA$9:$AA$12), ""=X""))"),7.0)</f>
        <v>7</v>
      </c>
      <c r="E51" s="32">
        <f>IFERROR(__xludf.DUMMYFUNCTION("COUNTIF(ARRAYFORMULA(HLOOKUP($B51, IMPORTRANGE('Prelim Rankings Unsorted'!$B$40, CONCAT(VLOOKUP($C51, 'Match Names'!$A$1:$D$22, 2, FALSE), ""!C3:R29"")), {12;18;24}, FALSE)), ""=4"") + COUNTIF(ARRAYFORMULA(HLOOKUP($B51, IMPORTRANGE('Prelim Rankings Unsort"&amp;"ed'!$B$41, CONCAT(VLOOKUP($C51, 'Match Names'!$A$1:$D$22, 3, FALSE), ""!C3:R29"")), {6;12;18}, FALSE)), ""=4"") + COUNTIF(ARRAYFORMULA(HLOOKUP($B51, IMPORTRANGE('Prelim Rankings Unsorted'!$B$42, CONCAT(VLOOKUP($C51, 'Match Names'!$A$1:$D$22, 4, FALSE), """&amp;"!C3:R29"")), {6;12;18}, FALSE)), ""=4"") + COUNTIF(ARRAYFORMULA(HLOOKUP($B51, IMPORTRANGE('Match Names'!$E$23, CONCAT(VLOOKUP($C51, 'Match Names'!$1:$22, 5, FALSE), ""!C3:R29"")), {4;13;18}, FALSE)), ""=4"") + COUNTIF(ARRAYFORMULA(HLOOKUP($B51, IMPORTRANG"&amp;"E('Match Names'!$F$23, CONCAT(VLOOKUP($C51, 'Match Names'!$1:$22, 6, FALSE), ""!C3:R29"")), {7;13;19}, FALSE)), ""=4"") + COUNTIF(ARRAYFORMULA(HLOOKUP($B51, IMPORTRANGE('Match Names'!$G$23, CONCAT(VLOOKUP($C51, 'Match Names'!$1:$22, 7, FALSE), ""!C3:R29"""&amp;")), {11;15;23}, FALSE)), ""=4"") + COUNTIF(ARRAYFORMULA(HLOOKUP($B51, IMPORTRANGE('Match Names'!$H$23, CONCAT(VLOOKUP($C51, 'Match Names'!$1:$22, 8, FALSE), ""!C3:R29"")), {6;12;18}, FALSE)), ""=4"")"),0.0)</f>
        <v>0</v>
      </c>
      <c r="F51" s="32">
        <f>IFERROR(__xludf.DUMMYFUNCTION("COUNTIF(ARRAYFORMULA(HLOOKUP($B51, IMPORTRANGE('Prelim Rankings Unsorted'!$B$40, CONCAT(VLOOKUP($C51, 'Match Names'!$A$1:$D$22, 2, FALSE), ""!C3:R29"")), {12;18;24}, FALSE)), ""=0"") + COUNTIF(ARRAYFORMULA(HLOOKUP($B51, IMPORTRANGE('Prelim Rankings Unsort"&amp;"ed'!$B$41, CONCAT(VLOOKUP($C51, 'Match Names'!$A$1:$D$22, 3, FALSE), ""!C3:R29"")), {6;12;18}, FALSE)), ""=0"") + COUNTIF(ARRAYFORMULA(HLOOKUP($B51, IMPORTRANGE('Prelim Rankings Unsorted'!$B$42, CONCAT(VLOOKUP($C51, 'Match Names'!$A$1:$D$22, 4, FALSE), """&amp;"!C3:R29"")), {6;12;18}, FALSE)), ""=0"") + COUNTIF(ARRAYFORMULA(HLOOKUP($B51, IMPORTRANGE('Match Names'!$E$23, CONCAT(VLOOKUP($C51, 'Match Names'!$1:$22, 5, FALSE), ""!C3:R29"")), {4;13;18}, FALSE)), ""=0"") + COUNTIF(ARRAYFORMULA(HLOOKUP($B51, IMPORTRANG"&amp;"E('Match Names'!$F$23, CONCAT(VLOOKUP($C51, 'Match Names'!$1:$22, 6, FALSE), ""!C3:R29"")), {7;13;19}, FALSE)), ""=0"") + COUNTIF(ARRAYFORMULA(HLOOKUP($B51, IMPORTRANGE('Match Names'!$G$23, CONCAT(VLOOKUP($C51, 'Match Names'!$1:$22, 7, FALSE), ""!C3:R29"""&amp;")), {11;15;23}, FALSE)), ""=0"") + COUNTIF(ARRAYFORMULA(HLOOKUP($B51, IMPORTRANGE('Match Names'!$H$23, CONCAT(VLOOKUP($C51, 'Match Names'!$1:$22, 8, FALSE), ""!C3:R29"")), {6;12;18}, FALSE)), ""=0"")"),0.0)</f>
        <v>0</v>
      </c>
      <c r="G51" s="32">
        <f>IFERROR(__xludf.DUMMYFUNCTION("COUNTIF(ARRAYFORMULA(HLOOKUP($B51, IMPORTRANGE('Prelim Rankings Unsorted'!$B$40, CONCAT(VLOOKUP($C51, 'Match Names'!$A$1:$D$22, 2, FALSE), ""!C3:R29"")), {12;18;24}, FALSE)), ""=-4"") + COUNTIF(ARRAYFORMULA(HLOOKUP($B51, IMPORTRANGE('Prelim Rankings Unsor"&amp;"ted'!$B$41, CONCAT(VLOOKUP($C51, 'Match Names'!$A$1:$D$22, 3, FALSE), ""!C3:R29"")), {6;12;18}, FALSE)), ""=-4"") + COUNTIF(ARRAYFORMULA(HLOOKUP($B51, IMPORTRANGE('Prelim Rankings Unsorted'!$B$42, CONCAT(VLOOKUP($C51, 'Match Names'!$A$1:$D$22, 4, FALSE), "&amp;"""!C3:R29"")), {6;12;18}, FALSE)), ""=-4"") + COUNTIF(ARRAYFORMULA(HLOOKUP($B51, IMPORTRANGE('Match Names'!$E$23, CONCAT(VLOOKUP($C51, 'Match Names'!$1:$22, 5, FALSE), ""!C3:R29"")), {4;13;18}, FALSE)), ""=-4"") + COUNTIF(ARRAYFORMULA(HLOOKUP($B51, IMPORT"&amp;"RANGE('Match Names'!$F$23, CONCAT(VLOOKUP($C51, 'Match Names'!$1:$22, 6, FALSE), ""!C3:R29"")), {7;13;19}, FALSE)), ""=-4"") + COUNTIF(ARRAYFORMULA(HLOOKUP($B51, IMPORTRANGE('Match Names'!$G$23, CONCAT(VLOOKUP($C51, 'Match Names'!$1:$22, 7, FALSE), ""!C3:"&amp;"R29"")), {11;15;23}, FALSE)), ""=-4"") + COUNTIF(ARRAYFORMULA(HLOOKUP($B51, IMPORTRANGE('Match Names'!$H$23, CONCAT(VLOOKUP($C51, 'Match Names'!$1:$22, 8, FALSE), ""!C3:R29"")), {6;12;18}, FALSE)), ""=-4"")"),0.0)</f>
        <v>0</v>
      </c>
      <c r="H51" s="33">
        <f t="shared" si="1"/>
        <v>0</v>
      </c>
    </row>
    <row r="52">
      <c r="A52" s="21" t="s">
        <v>67</v>
      </c>
      <c r="B52" s="31" t="str">
        <f>VLOOKUP(CONCAT(A52, C52), 'Discord Username to Real Name'!C:D, 2, FALSE)</f>
        <v>dannyridel#2256</v>
      </c>
      <c r="C52" s="21" t="s">
        <v>29</v>
      </c>
      <c r="D52" s="32">
        <f>IFERROR(__xludf.DUMMYFUNCTION("(3 - COUNTIF(IFERROR(ARRAYFORMULA(HLOOKUP($B52, IMPORTRANGE('Prelim Rankings Unsorted'!$B$40, CONCAT(VLOOKUP($C52, 'Match Names'!$A$1:$D$22, 2, FALSE), ""!C3:R29"")), {12;18;24}, FALSE)), 'Player Overall Stats Unsorted'!$AA$9:$AA$12), ""=X"")) + (3 - COUN"&amp;"TIF(IFERROR(ARRAYFORMULA(HLOOKUP($B52, IMPORTRANGE('Prelim Rankings Unsorted'!$B$41, CONCAT(VLOOKUP($C52, 'Match Names'!$A$1:$D$22, 3, FALSE), ""!C3:R29"")), {6;12;18}, FALSE)), 'Player Overall Stats Unsorted'!$AA$9:$AA$12), ""=X"")) + (3 - COUNTIF(IFERRO"&amp;"R(ARRAYFORMULA(HLOOKUP($B52, IMPORTRANGE('Prelim Rankings Unsorted'!$B$42, CONCAT(VLOOKUP($C52, 'Match Names'!$A$1:$D$22, 4, FALSE), ""!C3:R29"")), {6;12;18}, FALSE)), 'Player Overall Stats Unsorted'!$AA$9:$AA$12), ""=X"")) + (3 - COUNTIF(IFERROR(ARRAYFOR"&amp;"MULA(HLOOKUP($B52, IMPORTRANGE('Match Names'!$E$23, CONCAT(VLOOKUP($C52, 'Match Names'!$1:$22, 5, FALSE), ""!C3:R29"")), {4;13;18}, FALSE)), 'Player Overall Stats Unsorted'!$AA$9:$AA$12), ""=X"")) + (3 - COUNTIF(IFERROR(ARRAYFORMULA(HLOOKUP($B52, IMPORTRA"&amp;"NGE('Match Names'!$F$23, CONCAT(VLOOKUP($C52, 'Match Names'!$1:$22, 6, FALSE), ""!C3:R29"")), {7;13;19}, FALSE)), 'Player Overall Stats Unsorted'!$AA$9:$AA$12), ""=X"")) + (3 - COUNTIF(IFERROR(ARRAYFORMULA(HLOOKUP($B52, IMPORTRANGE('Match Names'!$G$23, CO"&amp;"NCAT(VLOOKUP($C52, 'Match Names'!$1:$22, 7, FALSE), ""!C3:R29"")), {11;15;23}, FALSE)), 'Player Overall Stats Unsorted'!$AA$9:$AA$12), ""=X"")) + (3 - COUNTIF(IFERROR(ARRAYFORMULA(HLOOKUP($B52, IMPORTRANGE('Match Names'!$H$23, CONCAT(VLOOKUP($C52, 'Match "&amp;"Names'!$1:$22, 8, FALSE), ""!C3:R29"")), {6;12;18}, FALSE)), 'Player Overall Stats Unsorted'!$AA$9:$AA$12), ""=X""))"),15.0)</f>
        <v>15</v>
      </c>
      <c r="E52" s="32">
        <f>IFERROR(__xludf.DUMMYFUNCTION("COUNTIF(ARRAYFORMULA(HLOOKUP($B52, IMPORTRANGE('Prelim Rankings Unsorted'!$B$40, CONCAT(VLOOKUP($C52, 'Match Names'!$A$1:$D$22, 2, FALSE), ""!C3:R29"")), {12;18;24}, FALSE)), ""=4"") + COUNTIF(ARRAYFORMULA(HLOOKUP($B52, IMPORTRANGE('Prelim Rankings Unsort"&amp;"ed'!$B$41, CONCAT(VLOOKUP($C52, 'Match Names'!$A$1:$D$22, 3, FALSE), ""!C3:R29"")), {6;12;18}, FALSE)), ""=4"") + COUNTIF(ARRAYFORMULA(HLOOKUP($B52, IMPORTRANGE('Prelim Rankings Unsorted'!$B$42, CONCAT(VLOOKUP($C52, 'Match Names'!$A$1:$D$22, 4, FALSE), """&amp;"!C3:R29"")), {6;12;18}, FALSE)), ""=4"") + COUNTIF(ARRAYFORMULA(HLOOKUP($B52, IMPORTRANGE('Match Names'!$E$23, CONCAT(VLOOKUP($C52, 'Match Names'!$1:$22, 5, FALSE), ""!C3:R29"")), {4;13;18}, FALSE)), ""=4"") + COUNTIF(ARRAYFORMULA(HLOOKUP($B52, IMPORTRANG"&amp;"E('Match Names'!$F$23, CONCAT(VLOOKUP($C52, 'Match Names'!$1:$22, 6, FALSE), ""!C3:R29"")), {7;13;19}, FALSE)), ""=4"") + COUNTIF(ARRAYFORMULA(HLOOKUP($B52, IMPORTRANGE('Match Names'!$G$23, CONCAT(VLOOKUP($C52, 'Match Names'!$1:$22, 7, FALSE), ""!C3:R29"""&amp;")), {11;15;23}, FALSE)), ""=4"") + COUNTIF(ARRAYFORMULA(HLOOKUP($B52, IMPORTRANGE('Match Names'!$H$23, CONCAT(VLOOKUP($C52, 'Match Names'!$1:$22, 8, FALSE), ""!C3:R29"")), {6;12;18}, FALSE)), ""=4"")"),0.0)</f>
        <v>0</v>
      </c>
      <c r="F52" s="32">
        <f>IFERROR(__xludf.DUMMYFUNCTION("COUNTIF(ARRAYFORMULA(HLOOKUP($B52, IMPORTRANGE('Prelim Rankings Unsorted'!$B$40, CONCAT(VLOOKUP($C52, 'Match Names'!$A$1:$D$22, 2, FALSE), ""!C3:R29"")), {12;18;24}, FALSE)), ""=0"") + COUNTIF(ARRAYFORMULA(HLOOKUP($B52, IMPORTRANGE('Prelim Rankings Unsort"&amp;"ed'!$B$41, CONCAT(VLOOKUP($C52, 'Match Names'!$A$1:$D$22, 3, FALSE), ""!C3:R29"")), {6;12;18}, FALSE)), ""=0"") + COUNTIF(ARRAYFORMULA(HLOOKUP($B52, IMPORTRANGE('Prelim Rankings Unsorted'!$B$42, CONCAT(VLOOKUP($C52, 'Match Names'!$A$1:$D$22, 4, FALSE), """&amp;"!C3:R29"")), {6;12;18}, FALSE)), ""=0"") + COUNTIF(ARRAYFORMULA(HLOOKUP($B52, IMPORTRANGE('Match Names'!$E$23, CONCAT(VLOOKUP($C52, 'Match Names'!$1:$22, 5, FALSE), ""!C3:R29"")), {4;13;18}, FALSE)), ""=0"") + COUNTIF(ARRAYFORMULA(HLOOKUP($B52, IMPORTRANG"&amp;"E('Match Names'!$F$23, CONCAT(VLOOKUP($C52, 'Match Names'!$1:$22, 6, FALSE), ""!C3:R29"")), {7;13;19}, FALSE)), ""=0"") + COUNTIF(ARRAYFORMULA(HLOOKUP($B52, IMPORTRANGE('Match Names'!$G$23, CONCAT(VLOOKUP($C52, 'Match Names'!$1:$22, 7, FALSE), ""!C3:R29"""&amp;")), {11;15;23}, FALSE)), ""=0"") + COUNTIF(ARRAYFORMULA(HLOOKUP($B52, IMPORTRANGE('Match Names'!$H$23, CONCAT(VLOOKUP($C52, 'Match Names'!$1:$22, 8, FALSE), ""!C3:R29"")), {6;12;18}, FALSE)), ""=0"")"),2.0)</f>
        <v>2</v>
      </c>
      <c r="G52" s="32">
        <f>IFERROR(__xludf.DUMMYFUNCTION("COUNTIF(ARRAYFORMULA(HLOOKUP($B52, IMPORTRANGE('Prelim Rankings Unsorted'!$B$40, CONCAT(VLOOKUP($C52, 'Match Names'!$A$1:$D$22, 2, FALSE), ""!C3:R29"")), {12;18;24}, FALSE)), ""=-4"") + COUNTIF(ARRAYFORMULA(HLOOKUP($B52, IMPORTRANGE('Prelim Rankings Unsor"&amp;"ted'!$B$41, CONCAT(VLOOKUP($C52, 'Match Names'!$A$1:$D$22, 3, FALSE), ""!C3:R29"")), {6;12;18}, FALSE)), ""=-4"") + COUNTIF(ARRAYFORMULA(HLOOKUP($B52, IMPORTRANGE('Prelim Rankings Unsorted'!$B$42, CONCAT(VLOOKUP($C52, 'Match Names'!$A$1:$D$22, 4, FALSE), "&amp;"""!C3:R29"")), {6;12;18}, FALSE)), ""=-4"") + COUNTIF(ARRAYFORMULA(HLOOKUP($B52, IMPORTRANGE('Match Names'!$E$23, CONCAT(VLOOKUP($C52, 'Match Names'!$1:$22, 5, FALSE), ""!C3:R29"")), {4;13;18}, FALSE)), ""=-4"") + COUNTIF(ARRAYFORMULA(HLOOKUP($B52, IMPORT"&amp;"RANGE('Match Names'!$F$23, CONCAT(VLOOKUP($C52, 'Match Names'!$1:$22, 6, FALSE), ""!C3:R29"")), {7;13;19}, FALSE)), ""=-4"") + COUNTIF(ARRAYFORMULA(HLOOKUP($B52, IMPORTRANGE('Match Names'!$G$23, CONCAT(VLOOKUP($C52, 'Match Names'!$1:$22, 7, FALSE), ""!C3:"&amp;"R29"")), {11;15;23}, FALSE)), ""=-4"") + COUNTIF(ARRAYFORMULA(HLOOKUP($B52, IMPORTRANGE('Match Names'!$H$23, CONCAT(VLOOKUP($C52, 'Match Names'!$1:$22, 8, FALSE), ""!C3:R29"")), {6;12;18}, FALSE)), ""=-4"")"),0.0)</f>
        <v>0</v>
      </c>
      <c r="H52" s="33">
        <f t="shared" si="1"/>
        <v>0</v>
      </c>
    </row>
    <row r="53">
      <c r="A53" s="21" t="s">
        <v>188</v>
      </c>
      <c r="B53" s="31" t="str">
        <f>VLOOKUP(CONCAT(A53, C53), 'Discord Username to Real Name'!C:D, 2, FALSE)</f>
        <v>Allusion#0092</v>
      </c>
      <c r="C53" s="21" t="s">
        <v>29</v>
      </c>
      <c r="D53" s="32">
        <f>IFERROR(__xludf.DUMMYFUNCTION("(3 - COUNTIF(IFERROR(ARRAYFORMULA(HLOOKUP($B53, IMPORTRANGE('Prelim Rankings Unsorted'!$B$40, CONCAT(VLOOKUP($C53, 'Match Names'!$A$1:$D$22, 2, FALSE), ""!C3:R29"")), {12;18;24}, FALSE)), 'Player Overall Stats Unsorted'!$AA$9:$AA$12), ""=X"")) + (3 - COUN"&amp;"TIF(IFERROR(ARRAYFORMULA(HLOOKUP($B53, IMPORTRANGE('Prelim Rankings Unsorted'!$B$41, CONCAT(VLOOKUP($C53, 'Match Names'!$A$1:$D$22, 3, FALSE), ""!C3:R29"")), {6;12;18}, FALSE)), 'Player Overall Stats Unsorted'!$AA$9:$AA$12), ""=X"")) + (3 - COUNTIF(IFERRO"&amp;"R(ARRAYFORMULA(HLOOKUP($B53, IMPORTRANGE('Prelim Rankings Unsorted'!$B$42, CONCAT(VLOOKUP($C53, 'Match Names'!$A$1:$D$22, 4, FALSE), ""!C3:R29"")), {6;12;18}, FALSE)), 'Player Overall Stats Unsorted'!$AA$9:$AA$12), ""=X"")) + (3 - COUNTIF(IFERROR(ARRAYFOR"&amp;"MULA(HLOOKUP($B53, IMPORTRANGE('Match Names'!$E$23, CONCAT(VLOOKUP($C53, 'Match Names'!$1:$22, 5, FALSE), ""!C3:R29"")), {4;13;18}, FALSE)), 'Player Overall Stats Unsorted'!$AA$9:$AA$12), ""=X"")) + (3 - COUNTIF(IFERROR(ARRAYFORMULA(HLOOKUP($B53, IMPORTRA"&amp;"NGE('Match Names'!$F$23, CONCAT(VLOOKUP($C53, 'Match Names'!$1:$22, 6, FALSE), ""!C3:R29"")), {7;13;19}, FALSE)), 'Player Overall Stats Unsorted'!$AA$9:$AA$12), ""=X"")) + (3 - COUNTIF(IFERROR(ARRAYFORMULA(HLOOKUP($B53, IMPORTRANGE('Match Names'!$G$23, CO"&amp;"NCAT(VLOOKUP($C53, 'Match Names'!$1:$22, 7, FALSE), ""!C3:R29"")), {11;15;23}, FALSE)), 'Player Overall Stats Unsorted'!$AA$9:$AA$12), ""=X"")) + (3 - COUNTIF(IFERROR(ARRAYFORMULA(HLOOKUP($B53, IMPORTRANGE('Match Names'!$H$23, CONCAT(VLOOKUP($C53, 'Match "&amp;"Names'!$1:$22, 8, FALSE), ""!C3:R29"")), {6;12;18}, FALSE)), 'Player Overall Stats Unsorted'!$AA$9:$AA$12), ""=X""))"),3.0)</f>
        <v>3</v>
      </c>
      <c r="E53" s="32">
        <f>IFERROR(__xludf.DUMMYFUNCTION("COUNTIF(ARRAYFORMULA(HLOOKUP($B53, IMPORTRANGE('Prelim Rankings Unsorted'!$B$40, CONCAT(VLOOKUP($C53, 'Match Names'!$A$1:$D$22, 2, FALSE), ""!C3:R29"")), {12;18;24}, FALSE)), ""=4"") + COUNTIF(ARRAYFORMULA(HLOOKUP($B53, IMPORTRANGE('Prelim Rankings Unsort"&amp;"ed'!$B$41, CONCAT(VLOOKUP($C53, 'Match Names'!$A$1:$D$22, 3, FALSE), ""!C3:R29"")), {6;12;18}, FALSE)), ""=4"") + COUNTIF(ARRAYFORMULA(HLOOKUP($B53, IMPORTRANGE('Prelim Rankings Unsorted'!$B$42, CONCAT(VLOOKUP($C53, 'Match Names'!$A$1:$D$22, 4, FALSE), """&amp;"!C3:R29"")), {6;12;18}, FALSE)), ""=4"") + COUNTIF(ARRAYFORMULA(HLOOKUP($B53, IMPORTRANGE('Match Names'!$E$23, CONCAT(VLOOKUP($C53, 'Match Names'!$1:$22, 5, FALSE), ""!C3:R29"")), {4;13;18}, FALSE)), ""=4"") + COUNTIF(ARRAYFORMULA(HLOOKUP($B53, IMPORTRANG"&amp;"E('Match Names'!$F$23, CONCAT(VLOOKUP($C53, 'Match Names'!$1:$22, 6, FALSE), ""!C3:R29"")), {7;13;19}, FALSE)), ""=4"") + COUNTIF(ARRAYFORMULA(HLOOKUP($B53, IMPORTRANGE('Match Names'!$G$23, CONCAT(VLOOKUP($C53, 'Match Names'!$1:$22, 7, FALSE), ""!C3:R29"""&amp;")), {11;15;23}, FALSE)), ""=4"") + COUNTIF(ARRAYFORMULA(HLOOKUP($B53, IMPORTRANGE('Match Names'!$H$23, CONCAT(VLOOKUP($C53, 'Match Names'!$1:$22, 8, FALSE), ""!C3:R29"")), {6;12;18}, FALSE)), ""=4"")"),0.0)</f>
        <v>0</v>
      </c>
      <c r="F53" s="32">
        <f>IFERROR(__xludf.DUMMYFUNCTION("COUNTIF(ARRAYFORMULA(HLOOKUP($B53, IMPORTRANGE('Prelim Rankings Unsorted'!$B$40, CONCAT(VLOOKUP($C53, 'Match Names'!$A$1:$D$22, 2, FALSE), ""!C3:R29"")), {12;18;24}, FALSE)), ""=0"") + COUNTIF(ARRAYFORMULA(HLOOKUP($B53, IMPORTRANGE('Prelim Rankings Unsort"&amp;"ed'!$B$41, CONCAT(VLOOKUP($C53, 'Match Names'!$A$1:$D$22, 3, FALSE), ""!C3:R29"")), {6;12;18}, FALSE)), ""=0"") + COUNTIF(ARRAYFORMULA(HLOOKUP($B53, IMPORTRANGE('Prelim Rankings Unsorted'!$B$42, CONCAT(VLOOKUP($C53, 'Match Names'!$A$1:$D$22, 4, FALSE), """&amp;"!C3:R29"")), {6;12;18}, FALSE)), ""=0"") + COUNTIF(ARRAYFORMULA(HLOOKUP($B53, IMPORTRANGE('Match Names'!$E$23, CONCAT(VLOOKUP($C53, 'Match Names'!$1:$22, 5, FALSE), ""!C3:R29"")), {4;13;18}, FALSE)), ""=0"") + COUNTIF(ARRAYFORMULA(HLOOKUP($B53, IMPORTRANG"&amp;"E('Match Names'!$F$23, CONCAT(VLOOKUP($C53, 'Match Names'!$1:$22, 6, FALSE), ""!C3:R29"")), {7;13;19}, FALSE)), ""=0"") + COUNTIF(ARRAYFORMULA(HLOOKUP($B53, IMPORTRANGE('Match Names'!$G$23, CONCAT(VLOOKUP($C53, 'Match Names'!$1:$22, 7, FALSE), ""!C3:R29"""&amp;")), {11;15;23}, FALSE)), ""=0"") + COUNTIF(ARRAYFORMULA(HLOOKUP($B53, IMPORTRANGE('Match Names'!$H$23, CONCAT(VLOOKUP($C53, 'Match Names'!$1:$22, 8, FALSE), ""!C3:R29"")), {6;12;18}, FALSE)), ""=0"")"),0.0)</f>
        <v>0</v>
      </c>
      <c r="G53" s="32">
        <f>IFERROR(__xludf.DUMMYFUNCTION("COUNTIF(ARRAYFORMULA(HLOOKUP($B53, IMPORTRANGE('Prelim Rankings Unsorted'!$B$40, CONCAT(VLOOKUP($C53, 'Match Names'!$A$1:$D$22, 2, FALSE), ""!C3:R29"")), {12;18;24}, FALSE)), ""=-4"") + COUNTIF(ARRAYFORMULA(HLOOKUP($B53, IMPORTRANGE('Prelim Rankings Unsor"&amp;"ted'!$B$41, CONCAT(VLOOKUP($C53, 'Match Names'!$A$1:$D$22, 3, FALSE), ""!C3:R29"")), {6;12;18}, FALSE)), ""=-4"") + COUNTIF(ARRAYFORMULA(HLOOKUP($B53, IMPORTRANGE('Prelim Rankings Unsorted'!$B$42, CONCAT(VLOOKUP($C53, 'Match Names'!$A$1:$D$22, 4, FALSE), "&amp;"""!C3:R29"")), {6;12;18}, FALSE)), ""=-4"") + COUNTIF(ARRAYFORMULA(HLOOKUP($B53, IMPORTRANGE('Match Names'!$E$23, CONCAT(VLOOKUP($C53, 'Match Names'!$1:$22, 5, FALSE), ""!C3:R29"")), {4;13;18}, FALSE)), ""=-4"") + COUNTIF(ARRAYFORMULA(HLOOKUP($B53, IMPORT"&amp;"RANGE('Match Names'!$F$23, CONCAT(VLOOKUP($C53, 'Match Names'!$1:$22, 6, FALSE), ""!C3:R29"")), {7;13;19}, FALSE)), ""=-4"") + COUNTIF(ARRAYFORMULA(HLOOKUP($B53, IMPORTRANGE('Match Names'!$G$23, CONCAT(VLOOKUP($C53, 'Match Names'!$1:$22, 7, FALSE), ""!C3:"&amp;"R29"")), {11;15;23}, FALSE)), ""=-4"") + COUNTIF(ARRAYFORMULA(HLOOKUP($B53, IMPORTRANGE('Match Names'!$H$23, CONCAT(VLOOKUP($C53, 'Match Names'!$1:$22, 8, FALSE), ""!C3:R29"")), {6;12;18}, FALSE)), ""=-4"")"),0.0)</f>
        <v>0</v>
      </c>
      <c r="H53" s="33">
        <f t="shared" si="1"/>
        <v>0</v>
      </c>
    </row>
    <row r="54">
      <c r="A54" s="21" t="s">
        <v>81</v>
      </c>
      <c r="B54" s="31" t="str">
        <f>VLOOKUP(CONCAT(A54, C54), 'Discord Username to Real Name'!C:D, 2, FALSE)</f>
        <v>grassisgood#9863</v>
      </c>
      <c r="C54" s="21" t="s">
        <v>29</v>
      </c>
      <c r="D54" s="32">
        <f>IFERROR(__xludf.DUMMYFUNCTION("(3 - COUNTIF(IFERROR(ARRAYFORMULA(HLOOKUP($B54, IMPORTRANGE('Prelim Rankings Unsorted'!$B$40, CONCAT(VLOOKUP($C54, 'Match Names'!$A$1:$D$22, 2, FALSE), ""!C3:R29"")), {12;18;24}, FALSE)), 'Player Overall Stats Unsorted'!$AA$9:$AA$12), ""=X"")) + (3 - COUN"&amp;"TIF(IFERROR(ARRAYFORMULA(HLOOKUP($B54, IMPORTRANGE('Prelim Rankings Unsorted'!$B$41, CONCAT(VLOOKUP($C54, 'Match Names'!$A$1:$D$22, 3, FALSE), ""!C3:R29"")), {6;12;18}, FALSE)), 'Player Overall Stats Unsorted'!$AA$9:$AA$12), ""=X"")) + (3 - COUNTIF(IFERRO"&amp;"R(ARRAYFORMULA(HLOOKUP($B54, IMPORTRANGE('Prelim Rankings Unsorted'!$B$42, CONCAT(VLOOKUP($C54, 'Match Names'!$A$1:$D$22, 4, FALSE), ""!C3:R29"")), {6;12;18}, FALSE)), 'Player Overall Stats Unsorted'!$AA$9:$AA$12), ""=X"")) + (3 - COUNTIF(IFERROR(ARRAYFOR"&amp;"MULA(HLOOKUP($B54, IMPORTRANGE('Match Names'!$E$23, CONCAT(VLOOKUP($C54, 'Match Names'!$1:$22, 5, FALSE), ""!C3:R29"")), {4;13;18}, FALSE)), 'Player Overall Stats Unsorted'!$AA$9:$AA$12), ""=X"")) + (3 - COUNTIF(IFERROR(ARRAYFORMULA(HLOOKUP($B54, IMPORTRA"&amp;"NGE('Match Names'!$F$23, CONCAT(VLOOKUP($C54, 'Match Names'!$1:$22, 6, FALSE), ""!C3:R29"")), {7;13;19}, FALSE)), 'Player Overall Stats Unsorted'!$AA$9:$AA$12), ""=X"")) + (3 - COUNTIF(IFERROR(ARRAYFORMULA(HLOOKUP($B54, IMPORTRANGE('Match Names'!$G$23, CO"&amp;"NCAT(VLOOKUP($C54, 'Match Names'!$1:$22, 7, FALSE), ""!C3:R29"")), {11;15;23}, FALSE)), 'Player Overall Stats Unsorted'!$AA$9:$AA$12), ""=X"")) + (3 - COUNTIF(IFERROR(ARRAYFORMULA(HLOOKUP($B54, IMPORTRANGE('Match Names'!$H$23, CONCAT(VLOOKUP($C54, 'Match "&amp;"Names'!$1:$22, 8, FALSE), ""!C3:R29"")), {6;12;18}, FALSE)), 'Player Overall Stats Unsorted'!$AA$9:$AA$12), ""=X""))"),15.0)</f>
        <v>15</v>
      </c>
      <c r="E54" s="32">
        <f>IFERROR(__xludf.DUMMYFUNCTION("COUNTIF(ARRAYFORMULA(HLOOKUP($B54, IMPORTRANGE('Prelim Rankings Unsorted'!$B$40, CONCAT(VLOOKUP($C54, 'Match Names'!$A$1:$D$22, 2, FALSE), ""!C3:R29"")), {12;18;24}, FALSE)), ""=4"") + COUNTIF(ARRAYFORMULA(HLOOKUP($B54, IMPORTRANGE('Prelim Rankings Unsort"&amp;"ed'!$B$41, CONCAT(VLOOKUP($C54, 'Match Names'!$A$1:$D$22, 3, FALSE), ""!C3:R29"")), {6;12;18}, FALSE)), ""=4"") + COUNTIF(ARRAYFORMULA(HLOOKUP($B54, IMPORTRANGE('Prelim Rankings Unsorted'!$B$42, CONCAT(VLOOKUP($C54, 'Match Names'!$A$1:$D$22, 4, FALSE), """&amp;"!C3:R29"")), {6;12;18}, FALSE)), ""=4"") + COUNTIF(ARRAYFORMULA(HLOOKUP($B54, IMPORTRANGE('Match Names'!$E$23, CONCAT(VLOOKUP($C54, 'Match Names'!$1:$22, 5, FALSE), ""!C3:R29"")), {4;13;18}, FALSE)), ""=4"") + COUNTIF(ARRAYFORMULA(HLOOKUP($B54, IMPORTRANG"&amp;"E('Match Names'!$F$23, CONCAT(VLOOKUP($C54, 'Match Names'!$1:$22, 6, FALSE), ""!C3:R29"")), {7;13;19}, FALSE)), ""=4"") + COUNTIF(ARRAYFORMULA(HLOOKUP($B54, IMPORTRANGE('Match Names'!$G$23, CONCAT(VLOOKUP($C54, 'Match Names'!$1:$22, 7, FALSE), ""!C3:R29"""&amp;")), {11;15;23}, FALSE)), ""=4"") + COUNTIF(ARRAYFORMULA(HLOOKUP($B54, IMPORTRANGE('Match Names'!$H$23, CONCAT(VLOOKUP($C54, 'Match Names'!$1:$22, 8, FALSE), ""!C3:R29"")), {6;12;18}, FALSE)), ""=4"")"),0.0)</f>
        <v>0</v>
      </c>
      <c r="F54" s="32">
        <f>IFERROR(__xludf.DUMMYFUNCTION("COUNTIF(ARRAYFORMULA(HLOOKUP($B54, IMPORTRANGE('Prelim Rankings Unsorted'!$B$40, CONCAT(VLOOKUP($C54, 'Match Names'!$A$1:$D$22, 2, FALSE), ""!C3:R29"")), {12;18;24}, FALSE)), ""=0"") + COUNTIF(ARRAYFORMULA(HLOOKUP($B54, IMPORTRANGE('Prelim Rankings Unsort"&amp;"ed'!$B$41, CONCAT(VLOOKUP($C54, 'Match Names'!$A$1:$D$22, 3, FALSE), ""!C3:R29"")), {6;12;18}, FALSE)), ""=0"") + COUNTIF(ARRAYFORMULA(HLOOKUP($B54, IMPORTRANGE('Prelim Rankings Unsorted'!$B$42, CONCAT(VLOOKUP($C54, 'Match Names'!$A$1:$D$22, 4, FALSE), """&amp;"!C3:R29"")), {6;12;18}, FALSE)), ""=0"") + COUNTIF(ARRAYFORMULA(HLOOKUP($B54, IMPORTRANGE('Match Names'!$E$23, CONCAT(VLOOKUP($C54, 'Match Names'!$1:$22, 5, FALSE), ""!C3:R29"")), {4;13;18}, FALSE)), ""=0"") + COUNTIF(ARRAYFORMULA(HLOOKUP($B54, IMPORTRANG"&amp;"E('Match Names'!$F$23, CONCAT(VLOOKUP($C54, 'Match Names'!$1:$22, 6, FALSE), ""!C3:R29"")), {7;13;19}, FALSE)), ""=0"") + COUNTIF(ARRAYFORMULA(HLOOKUP($B54, IMPORTRANGE('Match Names'!$G$23, CONCAT(VLOOKUP($C54, 'Match Names'!$1:$22, 7, FALSE), ""!C3:R29"""&amp;")), {11;15;23}, FALSE)), ""=0"") + COUNTIF(ARRAYFORMULA(HLOOKUP($B54, IMPORTRANGE('Match Names'!$H$23, CONCAT(VLOOKUP($C54, 'Match Names'!$1:$22, 8, FALSE), ""!C3:R29"")), {6;12;18}, FALSE)), ""=0"")"),0.0)</f>
        <v>0</v>
      </c>
      <c r="G54" s="32">
        <f>IFERROR(__xludf.DUMMYFUNCTION("COUNTIF(ARRAYFORMULA(HLOOKUP($B54, IMPORTRANGE('Prelim Rankings Unsorted'!$B$40, CONCAT(VLOOKUP($C54, 'Match Names'!$A$1:$D$22, 2, FALSE), ""!C3:R29"")), {12;18;24}, FALSE)), ""=-4"") + COUNTIF(ARRAYFORMULA(HLOOKUP($B54, IMPORTRANGE('Prelim Rankings Unsor"&amp;"ted'!$B$41, CONCAT(VLOOKUP($C54, 'Match Names'!$A$1:$D$22, 3, FALSE), ""!C3:R29"")), {6;12;18}, FALSE)), ""=-4"") + COUNTIF(ARRAYFORMULA(HLOOKUP($B54, IMPORTRANGE('Prelim Rankings Unsorted'!$B$42, CONCAT(VLOOKUP($C54, 'Match Names'!$A$1:$D$22, 4, FALSE), "&amp;"""!C3:R29"")), {6;12;18}, FALSE)), ""=-4"") + COUNTIF(ARRAYFORMULA(HLOOKUP($B54, IMPORTRANGE('Match Names'!$E$23, CONCAT(VLOOKUP($C54, 'Match Names'!$1:$22, 5, FALSE), ""!C3:R29"")), {4;13;18}, FALSE)), ""=-4"") + COUNTIF(ARRAYFORMULA(HLOOKUP($B54, IMPORT"&amp;"RANGE('Match Names'!$F$23, CONCAT(VLOOKUP($C54, 'Match Names'!$1:$22, 6, FALSE), ""!C3:R29"")), {7;13;19}, FALSE)), ""=-4"") + COUNTIF(ARRAYFORMULA(HLOOKUP($B54, IMPORTRANGE('Match Names'!$G$23, CONCAT(VLOOKUP($C54, 'Match Names'!$1:$22, 7, FALSE), ""!C3:"&amp;"R29"")), {11;15;23}, FALSE)), ""=-4"") + COUNTIF(ARRAYFORMULA(HLOOKUP($B54, IMPORTRANGE('Match Names'!$H$23, CONCAT(VLOOKUP($C54, 'Match Names'!$1:$22, 8, FALSE), ""!C3:R29"")), {6;12;18}, FALSE)), ""=-4"")"),0.0)</f>
        <v>0</v>
      </c>
      <c r="H54" s="33">
        <f t="shared" si="1"/>
        <v>0</v>
      </c>
    </row>
    <row r="55">
      <c r="A55" s="21" t="s">
        <v>190</v>
      </c>
      <c r="B55" s="31" t="str">
        <f>VLOOKUP(CONCAT(A55, C55), 'Discord Username to Real Name'!C:D, 2, FALSE)</f>
        <v>bread#1582</v>
      </c>
      <c r="C55" s="21" t="s">
        <v>29</v>
      </c>
      <c r="D55" s="32">
        <f>IFERROR(__xludf.DUMMYFUNCTION("(3 - COUNTIF(IFERROR(ARRAYFORMULA(HLOOKUP($B55, IMPORTRANGE('Prelim Rankings Unsorted'!$B$40, CONCAT(VLOOKUP($C55, 'Match Names'!$A$1:$D$22, 2, FALSE), ""!C3:R29"")), {12;18;24}, FALSE)), 'Player Overall Stats Unsorted'!$AA$9:$AA$12), ""=X"")) + (3 - COUN"&amp;"TIF(IFERROR(ARRAYFORMULA(HLOOKUP($B55, IMPORTRANGE('Prelim Rankings Unsorted'!$B$41, CONCAT(VLOOKUP($C55, 'Match Names'!$A$1:$D$22, 3, FALSE), ""!C3:R29"")), {6;12;18}, FALSE)), 'Player Overall Stats Unsorted'!$AA$9:$AA$12), ""=X"")) + (3 - COUNTIF(IFERRO"&amp;"R(ARRAYFORMULA(HLOOKUP($B55, IMPORTRANGE('Prelim Rankings Unsorted'!$B$42, CONCAT(VLOOKUP($C55, 'Match Names'!$A$1:$D$22, 4, FALSE), ""!C3:R29"")), {6;12;18}, FALSE)), 'Player Overall Stats Unsorted'!$AA$9:$AA$12), ""=X"")) + (3 - COUNTIF(IFERROR(ARRAYFOR"&amp;"MULA(HLOOKUP($B55, IMPORTRANGE('Match Names'!$E$23, CONCAT(VLOOKUP($C55, 'Match Names'!$1:$22, 5, FALSE), ""!C3:R29"")), {4;13;18}, FALSE)), 'Player Overall Stats Unsorted'!$AA$9:$AA$12), ""=X"")) + (3 - COUNTIF(IFERROR(ARRAYFORMULA(HLOOKUP($B55, IMPORTRA"&amp;"NGE('Match Names'!$F$23, CONCAT(VLOOKUP($C55, 'Match Names'!$1:$22, 6, FALSE), ""!C3:R29"")), {7;13;19}, FALSE)), 'Player Overall Stats Unsorted'!$AA$9:$AA$12), ""=X"")) + (3 - COUNTIF(IFERROR(ARRAYFORMULA(HLOOKUP($B55, IMPORTRANGE('Match Names'!$G$23, CO"&amp;"NCAT(VLOOKUP($C55, 'Match Names'!$1:$22, 7, FALSE), ""!C3:R29"")), {11;15;23}, FALSE)), 'Player Overall Stats Unsorted'!$AA$9:$AA$12), ""=X"")) + (3 - COUNTIF(IFERROR(ARRAYFORMULA(HLOOKUP($B55, IMPORTRANGE('Match Names'!$H$23, CONCAT(VLOOKUP($C55, 'Match "&amp;"Names'!$1:$22, 8, FALSE), ""!C3:R29"")), {6;12;18}, FALSE)), 'Player Overall Stats Unsorted'!$AA$9:$AA$12), ""=X""))"),3.0)</f>
        <v>3</v>
      </c>
      <c r="E55" s="32">
        <f>IFERROR(__xludf.DUMMYFUNCTION("COUNTIF(ARRAYFORMULA(HLOOKUP($B55, IMPORTRANGE('Prelim Rankings Unsorted'!$B$40, CONCAT(VLOOKUP($C55, 'Match Names'!$A$1:$D$22, 2, FALSE), ""!C3:R29"")), {12;18;24}, FALSE)), ""=4"") + COUNTIF(ARRAYFORMULA(HLOOKUP($B55, IMPORTRANGE('Prelim Rankings Unsort"&amp;"ed'!$B$41, CONCAT(VLOOKUP($C55, 'Match Names'!$A$1:$D$22, 3, FALSE), ""!C3:R29"")), {6;12;18}, FALSE)), ""=4"") + COUNTIF(ARRAYFORMULA(HLOOKUP($B55, IMPORTRANGE('Prelim Rankings Unsorted'!$B$42, CONCAT(VLOOKUP($C55, 'Match Names'!$A$1:$D$22, 4, FALSE), """&amp;"!C3:R29"")), {6;12;18}, FALSE)), ""=4"") + COUNTIF(ARRAYFORMULA(HLOOKUP($B55, IMPORTRANGE('Match Names'!$E$23, CONCAT(VLOOKUP($C55, 'Match Names'!$1:$22, 5, FALSE), ""!C3:R29"")), {4;13;18}, FALSE)), ""=4"") + COUNTIF(ARRAYFORMULA(HLOOKUP($B55, IMPORTRANG"&amp;"E('Match Names'!$F$23, CONCAT(VLOOKUP($C55, 'Match Names'!$1:$22, 6, FALSE), ""!C3:R29"")), {7;13;19}, FALSE)), ""=4"") + COUNTIF(ARRAYFORMULA(HLOOKUP($B55, IMPORTRANGE('Match Names'!$G$23, CONCAT(VLOOKUP($C55, 'Match Names'!$1:$22, 7, FALSE), ""!C3:R29"""&amp;")), {11;15;23}, FALSE)), ""=4"") + COUNTIF(ARRAYFORMULA(HLOOKUP($B55, IMPORTRANGE('Match Names'!$H$23, CONCAT(VLOOKUP($C55, 'Match Names'!$1:$22, 8, FALSE), ""!C3:R29"")), {6;12;18}, FALSE)), ""=4"")"),0.0)</f>
        <v>0</v>
      </c>
      <c r="F55" s="32">
        <f>IFERROR(__xludf.DUMMYFUNCTION("COUNTIF(ARRAYFORMULA(HLOOKUP($B55, IMPORTRANGE('Prelim Rankings Unsorted'!$B$40, CONCAT(VLOOKUP($C55, 'Match Names'!$A$1:$D$22, 2, FALSE), ""!C3:R29"")), {12;18;24}, FALSE)), ""=0"") + COUNTIF(ARRAYFORMULA(HLOOKUP($B55, IMPORTRANGE('Prelim Rankings Unsort"&amp;"ed'!$B$41, CONCAT(VLOOKUP($C55, 'Match Names'!$A$1:$D$22, 3, FALSE), ""!C3:R29"")), {6;12;18}, FALSE)), ""=0"") + COUNTIF(ARRAYFORMULA(HLOOKUP($B55, IMPORTRANGE('Prelim Rankings Unsorted'!$B$42, CONCAT(VLOOKUP($C55, 'Match Names'!$A$1:$D$22, 4, FALSE), """&amp;"!C3:R29"")), {6;12;18}, FALSE)), ""=0"") + COUNTIF(ARRAYFORMULA(HLOOKUP($B55, IMPORTRANGE('Match Names'!$E$23, CONCAT(VLOOKUP($C55, 'Match Names'!$1:$22, 5, FALSE), ""!C3:R29"")), {4;13;18}, FALSE)), ""=0"") + COUNTIF(ARRAYFORMULA(HLOOKUP($B55, IMPORTRANG"&amp;"E('Match Names'!$F$23, CONCAT(VLOOKUP($C55, 'Match Names'!$1:$22, 6, FALSE), ""!C3:R29"")), {7;13;19}, FALSE)), ""=0"") + COUNTIF(ARRAYFORMULA(HLOOKUP($B55, IMPORTRANGE('Match Names'!$G$23, CONCAT(VLOOKUP($C55, 'Match Names'!$1:$22, 7, FALSE), ""!C3:R29"""&amp;")), {11;15;23}, FALSE)), ""=0"") + COUNTIF(ARRAYFORMULA(HLOOKUP($B55, IMPORTRANGE('Match Names'!$H$23, CONCAT(VLOOKUP($C55, 'Match Names'!$1:$22, 8, FALSE), ""!C3:R29"")), {6;12;18}, FALSE)), ""=0"")"),0.0)</f>
        <v>0</v>
      </c>
      <c r="G55" s="32">
        <f>IFERROR(__xludf.DUMMYFUNCTION("COUNTIF(ARRAYFORMULA(HLOOKUP($B55, IMPORTRANGE('Prelim Rankings Unsorted'!$B$40, CONCAT(VLOOKUP($C55, 'Match Names'!$A$1:$D$22, 2, FALSE), ""!C3:R29"")), {12;18;24}, FALSE)), ""=-4"") + COUNTIF(ARRAYFORMULA(HLOOKUP($B55, IMPORTRANGE('Prelim Rankings Unsor"&amp;"ted'!$B$41, CONCAT(VLOOKUP($C55, 'Match Names'!$A$1:$D$22, 3, FALSE), ""!C3:R29"")), {6;12;18}, FALSE)), ""=-4"") + COUNTIF(ARRAYFORMULA(HLOOKUP($B55, IMPORTRANGE('Prelim Rankings Unsorted'!$B$42, CONCAT(VLOOKUP($C55, 'Match Names'!$A$1:$D$22, 4, FALSE), "&amp;"""!C3:R29"")), {6;12;18}, FALSE)), ""=-4"") + COUNTIF(ARRAYFORMULA(HLOOKUP($B55, IMPORTRANGE('Match Names'!$E$23, CONCAT(VLOOKUP($C55, 'Match Names'!$1:$22, 5, FALSE), ""!C3:R29"")), {4;13;18}, FALSE)), ""=-4"") + COUNTIF(ARRAYFORMULA(HLOOKUP($B55, IMPORT"&amp;"RANGE('Match Names'!$F$23, CONCAT(VLOOKUP($C55, 'Match Names'!$1:$22, 6, FALSE), ""!C3:R29"")), {7;13;19}, FALSE)), ""=-4"") + COUNTIF(ARRAYFORMULA(HLOOKUP($B55, IMPORTRANGE('Match Names'!$G$23, CONCAT(VLOOKUP($C55, 'Match Names'!$1:$22, 7, FALSE), ""!C3:"&amp;"R29"")), {11;15;23}, FALSE)), ""=-4"") + COUNTIF(ARRAYFORMULA(HLOOKUP($B55, IMPORTRANGE('Match Names'!$H$23, CONCAT(VLOOKUP($C55, 'Match Names'!$1:$22, 8, FALSE), ""!C3:R29"")), {6;12;18}, FALSE)), ""=-4"")"),0.0)</f>
        <v>0</v>
      </c>
      <c r="H55" s="33">
        <f t="shared" si="1"/>
        <v>0</v>
      </c>
    </row>
    <row r="56">
      <c r="A56" s="21" t="s">
        <v>140</v>
      </c>
      <c r="B56" s="31" t="str">
        <f>VLOOKUP(CONCAT(A56, C56), 'Discord Username to Real Name'!C:D, 2, FALSE)</f>
        <v>Jonathan Hu#9386</v>
      </c>
      <c r="C56" s="21" t="s">
        <v>29</v>
      </c>
      <c r="D56" s="32">
        <f>IFERROR(__xludf.DUMMYFUNCTION("(3 - COUNTIF(IFERROR(ARRAYFORMULA(HLOOKUP($B56, IMPORTRANGE('Prelim Rankings Unsorted'!$B$40, CONCAT(VLOOKUP($C56, 'Match Names'!$A$1:$D$22, 2, FALSE), ""!C3:R29"")), {12;18;24}, FALSE)), 'Player Overall Stats Unsorted'!$AA$9:$AA$12), ""=X"")) + (3 - COUN"&amp;"TIF(IFERROR(ARRAYFORMULA(HLOOKUP($B56, IMPORTRANGE('Prelim Rankings Unsorted'!$B$41, CONCAT(VLOOKUP($C56, 'Match Names'!$A$1:$D$22, 3, FALSE), ""!C3:R29"")), {6;12;18}, FALSE)), 'Player Overall Stats Unsorted'!$AA$9:$AA$12), ""=X"")) + (3 - COUNTIF(IFERRO"&amp;"R(ARRAYFORMULA(HLOOKUP($B56, IMPORTRANGE('Prelim Rankings Unsorted'!$B$42, CONCAT(VLOOKUP($C56, 'Match Names'!$A$1:$D$22, 4, FALSE), ""!C3:R29"")), {6;12;18}, FALSE)), 'Player Overall Stats Unsorted'!$AA$9:$AA$12), ""=X"")) + (3 - COUNTIF(IFERROR(ARRAYFOR"&amp;"MULA(HLOOKUP($B56, IMPORTRANGE('Match Names'!$E$23, CONCAT(VLOOKUP($C56, 'Match Names'!$1:$22, 5, FALSE), ""!C3:R29"")), {4;13;18}, FALSE)), 'Player Overall Stats Unsorted'!$AA$9:$AA$12), ""=X"")) + (3 - COUNTIF(IFERROR(ARRAYFORMULA(HLOOKUP($B56, IMPORTRA"&amp;"NGE('Match Names'!$F$23, CONCAT(VLOOKUP($C56, 'Match Names'!$1:$22, 6, FALSE), ""!C3:R29"")), {7;13;19}, FALSE)), 'Player Overall Stats Unsorted'!$AA$9:$AA$12), ""=X"")) + (3 - COUNTIF(IFERROR(ARRAYFORMULA(HLOOKUP($B56, IMPORTRANGE('Match Names'!$G$23, CO"&amp;"NCAT(VLOOKUP($C56, 'Match Names'!$1:$22, 7, FALSE), ""!C3:R29"")), {11;15;23}, FALSE)), 'Player Overall Stats Unsorted'!$AA$9:$AA$12), ""=X"")) + (3 - COUNTIF(IFERROR(ARRAYFORMULA(HLOOKUP($B56, IMPORTRANGE('Match Names'!$H$23, CONCAT(VLOOKUP($C56, 'Match "&amp;"Names'!$1:$22, 8, FALSE), ""!C3:R29"")), {6;12;18}, FALSE)), 'Player Overall Stats Unsorted'!$AA$9:$AA$12), ""=X""))"),12.0)</f>
        <v>12</v>
      </c>
      <c r="E56" s="32">
        <f>IFERROR(__xludf.DUMMYFUNCTION("COUNTIF(ARRAYFORMULA(HLOOKUP($B56, IMPORTRANGE('Prelim Rankings Unsorted'!$B$40, CONCAT(VLOOKUP($C56, 'Match Names'!$A$1:$D$22, 2, FALSE), ""!C3:R29"")), {12;18;24}, FALSE)), ""=4"") + COUNTIF(ARRAYFORMULA(HLOOKUP($B56, IMPORTRANGE('Prelim Rankings Unsort"&amp;"ed'!$B$41, CONCAT(VLOOKUP($C56, 'Match Names'!$A$1:$D$22, 3, FALSE), ""!C3:R29"")), {6;12;18}, FALSE)), ""=4"") + COUNTIF(ARRAYFORMULA(HLOOKUP($B56, IMPORTRANGE('Prelim Rankings Unsorted'!$B$42, CONCAT(VLOOKUP($C56, 'Match Names'!$A$1:$D$22, 4, FALSE), """&amp;"!C3:R29"")), {6;12;18}, FALSE)), ""=4"") + COUNTIF(ARRAYFORMULA(HLOOKUP($B56, IMPORTRANGE('Match Names'!$E$23, CONCAT(VLOOKUP($C56, 'Match Names'!$1:$22, 5, FALSE), ""!C3:R29"")), {4;13;18}, FALSE)), ""=4"") + COUNTIF(ARRAYFORMULA(HLOOKUP($B56, IMPORTRANG"&amp;"E('Match Names'!$F$23, CONCAT(VLOOKUP($C56, 'Match Names'!$1:$22, 6, FALSE), ""!C3:R29"")), {7;13;19}, FALSE)), ""=4"") + COUNTIF(ARRAYFORMULA(HLOOKUP($B56, IMPORTRANGE('Match Names'!$G$23, CONCAT(VLOOKUP($C56, 'Match Names'!$1:$22, 7, FALSE), ""!C3:R29"""&amp;")), {11;15;23}, FALSE)), ""=4"") + COUNTIF(ARRAYFORMULA(HLOOKUP($B56, IMPORTRANGE('Match Names'!$H$23, CONCAT(VLOOKUP($C56, 'Match Names'!$1:$22, 8, FALSE), ""!C3:R29"")), {6;12;18}, FALSE)), ""=4"")"),2.0)</f>
        <v>2</v>
      </c>
      <c r="F56" s="32">
        <f>IFERROR(__xludf.DUMMYFUNCTION("COUNTIF(ARRAYFORMULA(HLOOKUP($B56, IMPORTRANGE('Prelim Rankings Unsorted'!$B$40, CONCAT(VLOOKUP($C56, 'Match Names'!$A$1:$D$22, 2, FALSE), ""!C3:R29"")), {12;18;24}, FALSE)), ""=0"") + COUNTIF(ARRAYFORMULA(HLOOKUP($B56, IMPORTRANGE('Prelim Rankings Unsort"&amp;"ed'!$B$41, CONCAT(VLOOKUP($C56, 'Match Names'!$A$1:$D$22, 3, FALSE), ""!C3:R29"")), {6;12;18}, FALSE)), ""=0"") + COUNTIF(ARRAYFORMULA(HLOOKUP($B56, IMPORTRANGE('Prelim Rankings Unsorted'!$B$42, CONCAT(VLOOKUP($C56, 'Match Names'!$A$1:$D$22, 4, FALSE), """&amp;"!C3:R29"")), {6;12;18}, FALSE)), ""=0"") + COUNTIF(ARRAYFORMULA(HLOOKUP($B56, IMPORTRANGE('Match Names'!$E$23, CONCAT(VLOOKUP($C56, 'Match Names'!$1:$22, 5, FALSE), ""!C3:R29"")), {4;13;18}, FALSE)), ""=0"") + COUNTIF(ARRAYFORMULA(HLOOKUP($B56, IMPORTRANG"&amp;"E('Match Names'!$F$23, CONCAT(VLOOKUP($C56, 'Match Names'!$1:$22, 6, FALSE), ""!C3:R29"")), {7;13;19}, FALSE)), ""=0"") + COUNTIF(ARRAYFORMULA(HLOOKUP($B56, IMPORTRANGE('Match Names'!$G$23, CONCAT(VLOOKUP($C56, 'Match Names'!$1:$22, 7, FALSE), ""!C3:R29"""&amp;")), {11;15;23}, FALSE)), ""=0"") + COUNTIF(ARRAYFORMULA(HLOOKUP($B56, IMPORTRANGE('Match Names'!$H$23, CONCAT(VLOOKUP($C56, 'Match Names'!$1:$22, 8, FALSE), ""!C3:R29"")), {6;12;18}, FALSE)), ""=0"")"),0.0)</f>
        <v>0</v>
      </c>
      <c r="G56" s="32">
        <f>IFERROR(__xludf.DUMMYFUNCTION("COUNTIF(ARRAYFORMULA(HLOOKUP($B56, IMPORTRANGE('Prelim Rankings Unsorted'!$B$40, CONCAT(VLOOKUP($C56, 'Match Names'!$A$1:$D$22, 2, FALSE), ""!C3:R29"")), {12;18;24}, FALSE)), ""=-4"") + COUNTIF(ARRAYFORMULA(HLOOKUP($B56, IMPORTRANGE('Prelim Rankings Unsor"&amp;"ted'!$B$41, CONCAT(VLOOKUP($C56, 'Match Names'!$A$1:$D$22, 3, FALSE), ""!C3:R29"")), {6;12;18}, FALSE)), ""=-4"") + COUNTIF(ARRAYFORMULA(HLOOKUP($B56, IMPORTRANGE('Prelim Rankings Unsorted'!$B$42, CONCAT(VLOOKUP($C56, 'Match Names'!$A$1:$D$22, 4, FALSE), "&amp;"""!C3:R29"")), {6;12;18}, FALSE)), ""=-4"") + COUNTIF(ARRAYFORMULA(HLOOKUP($B56, IMPORTRANGE('Match Names'!$E$23, CONCAT(VLOOKUP($C56, 'Match Names'!$1:$22, 5, FALSE), ""!C3:R29"")), {4;13;18}, FALSE)), ""=-4"") + COUNTIF(ARRAYFORMULA(HLOOKUP($B56, IMPORT"&amp;"RANGE('Match Names'!$F$23, CONCAT(VLOOKUP($C56, 'Match Names'!$1:$22, 6, FALSE), ""!C3:R29"")), {7;13;19}, FALSE)), ""=-4"") + COUNTIF(ARRAYFORMULA(HLOOKUP($B56, IMPORTRANGE('Match Names'!$G$23, CONCAT(VLOOKUP($C56, 'Match Names'!$1:$22, 7, FALSE), ""!C3:"&amp;"R29"")), {11;15;23}, FALSE)), ""=-4"") + COUNTIF(ARRAYFORMULA(HLOOKUP($B56, IMPORTRANGE('Match Names'!$H$23, CONCAT(VLOOKUP($C56, 'Match Names'!$1:$22, 8, FALSE), ""!C3:R29"")), {6;12;18}, FALSE)), ""=-4"")"),0.0)</f>
        <v>0</v>
      </c>
      <c r="H56" s="33">
        <f t="shared" si="1"/>
        <v>2</v>
      </c>
    </row>
    <row r="57">
      <c r="A57" s="21" t="s">
        <v>154</v>
      </c>
      <c r="B57" s="31" t="str">
        <f>VLOOKUP(CONCAT(A57, C57), 'Discord Username to Real Name'!C:D, 2, FALSE)</f>
        <v>Shinybro64#1122</v>
      </c>
      <c r="C57" s="21" t="s">
        <v>29</v>
      </c>
      <c r="D57" s="32">
        <f>IFERROR(__xludf.DUMMYFUNCTION("(3 - COUNTIF(IFERROR(ARRAYFORMULA(HLOOKUP($B57, IMPORTRANGE('Prelim Rankings Unsorted'!$B$40, CONCAT(VLOOKUP($C57, 'Match Names'!$A$1:$D$22, 2, FALSE), ""!C3:R29"")), {12;18;24}, FALSE)), 'Player Overall Stats Unsorted'!$AA$9:$AA$12), ""=X"")) + (3 - COUN"&amp;"TIF(IFERROR(ARRAYFORMULA(HLOOKUP($B57, IMPORTRANGE('Prelim Rankings Unsorted'!$B$41, CONCAT(VLOOKUP($C57, 'Match Names'!$A$1:$D$22, 3, FALSE), ""!C3:R29"")), {6;12;18}, FALSE)), 'Player Overall Stats Unsorted'!$AA$9:$AA$12), ""=X"")) + (3 - COUNTIF(IFERRO"&amp;"R(ARRAYFORMULA(HLOOKUP($B57, IMPORTRANGE('Prelim Rankings Unsorted'!$B$42, CONCAT(VLOOKUP($C57, 'Match Names'!$A$1:$D$22, 4, FALSE), ""!C3:R29"")), {6;12;18}, FALSE)), 'Player Overall Stats Unsorted'!$AA$9:$AA$12), ""=X"")) + (3 - COUNTIF(IFERROR(ARRAYFOR"&amp;"MULA(HLOOKUP($B57, IMPORTRANGE('Match Names'!$E$23, CONCAT(VLOOKUP($C57, 'Match Names'!$1:$22, 5, FALSE), ""!C3:R29"")), {4;13;18}, FALSE)), 'Player Overall Stats Unsorted'!$AA$9:$AA$12), ""=X"")) + (3 - COUNTIF(IFERROR(ARRAYFORMULA(HLOOKUP($B57, IMPORTRA"&amp;"NGE('Match Names'!$F$23, CONCAT(VLOOKUP($C57, 'Match Names'!$1:$22, 6, FALSE), ""!C3:R29"")), {7;13;19}, FALSE)), 'Player Overall Stats Unsorted'!$AA$9:$AA$12), ""=X"")) + (3 - COUNTIF(IFERROR(ARRAYFORMULA(HLOOKUP($B57, IMPORTRANGE('Match Names'!$G$23, CO"&amp;"NCAT(VLOOKUP($C57, 'Match Names'!$1:$22, 7, FALSE), ""!C3:R29"")), {11;15;23}, FALSE)), 'Player Overall Stats Unsorted'!$AA$9:$AA$12), ""=X"")) + (3 - COUNTIF(IFERROR(ARRAYFORMULA(HLOOKUP($B57, IMPORTRANGE('Match Names'!$H$23, CONCAT(VLOOKUP($C57, 'Match "&amp;"Names'!$1:$22, 8, FALSE), ""!C3:R29"")), {6;12;18}, FALSE)), 'Player Overall Stats Unsorted'!$AA$9:$AA$12), ""=X""))"),12.0)</f>
        <v>12</v>
      </c>
      <c r="E57" s="32">
        <f>IFERROR(__xludf.DUMMYFUNCTION("COUNTIF(ARRAYFORMULA(HLOOKUP($B57, IMPORTRANGE('Prelim Rankings Unsorted'!$B$40, CONCAT(VLOOKUP($C57, 'Match Names'!$A$1:$D$22, 2, FALSE), ""!C3:R29"")), {12;18;24}, FALSE)), ""=4"") + COUNTIF(ARRAYFORMULA(HLOOKUP($B57, IMPORTRANGE('Prelim Rankings Unsort"&amp;"ed'!$B$41, CONCAT(VLOOKUP($C57, 'Match Names'!$A$1:$D$22, 3, FALSE), ""!C3:R29"")), {6;12;18}, FALSE)), ""=4"") + COUNTIF(ARRAYFORMULA(HLOOKUP($B57, IMPORTRANGE('Prelim Rankings Unsorted'!$B$42, CONCAT(VLOOKUP($C57, 'Match Names'!$A$1:$D$22, 4, FALSE), """&amp;"!C3:R29"")), {6;12;18}, FALSE)), ""=4"") + COUNTIF(ARRAYFORMULA(HLOOKUP($B57, IMPORTRANGE('Match Names'!$E$23, CONCAT(VLOOKUP($C57, 'Match Names'!$1:$22, 5, FALSE), ""!C3:R29"")), {4;13;18}, FALSE)), ""=4"") + COUNTIF(ARRAYFORMULA(HLOOKUP($B57, IMPORTRANG"&amp;"E('Match Names'!$F$23, CONCAT(VLOOKUP($C57, 'Match Names'!$1:$22, 6, FALSE), ""!C3:R29"")), {7;13;19}, FALSE)), ""=4"") + COUNTIF(ARRAYFORMULA(HLOOKUP($B57, IMPORTRANGE('Match Names'!$G$23, CONCAT(VLOOKUP($C57, 'Match Names'!$1:$22, 7, FALSE), ""!C3:R29"""&amp;")), {11;15;23}, FALSE)), ""=4"") + COUNTIF(ARRAYFORMULA(HLOOKUP($B57, IMPORTRANGE('Match Names'!$H$23, CONCAT(VLOOKUP($C57, 'Match Names'!$1:$22, 8, FALSE), ""!C3:R29"")), {6;12;18}, FALSE)), ""=4"")"),0.0)</f>
        <v>0</v>
      </c>
      <c r="F57" s="32">
        <f>IFERROR(__xludf.DUMMYFUNCTION("COUNTIF(ARRAYFORMULA(HLOOKUP($B57, IMPORTRANGE('Prelim Rankings Unsorted'!$B$40, CONCAT(VLOOKUP($C57, 'Match Names'!$A$1:$D$22, 2, FALSE), ""!C3:R29"")), {12;18;24}, FALSE)), ""=0"") + COUNTIF(ARRAYFORMULA(HLOOKUP($B57, IMPORTRANGE('Prelim Rankings Unsort"&amp;"ed'!$B$41, CONCAT(VLOOKUP($C57, 'Match Names'!$A$1:$D$22, 3, FALSE), ""!C3:R29"")), {6;12;18}, FALSE)), ""=0"") + COUNTIF(ARRAYFORMULA(HLOOKUP($B57, IMPORTRANGE('Prelim Rankings Unsorted'!$B$42, CONCAT(VLOOKUP($C57, 'Match Names'!$A$1:$D$22, 4, FALSE), """&amp;"!C3:R29"")), {6;12;18}, FALSE)), ""=0"") + COUNTIF(ARRAYFORMULA(HLOOKUP($B57, IMPORTRANGE('Match Names'!$E$23, CONCAT(VLOOKUP($C57, 'Match Names'!$1:$22, 5, FALSE), ""!C3:R29"")), {4;13;18}, FALSE)), ""=0"") + COUNTIF(ARRAYFORMULA(HLOOKUP($B57, IMPORTRANG"&amp;"E('Match Names'!$F$23, CONCAT(VLOOKUP($C57, 'Match Names'!$1:$22, 6, FALSE), ""!C3:R29"")), {7;13;19}, FALSE)), ""=0"") + COUNTIF(ARRAYFORMULA(HLOOKUP($B57, IMPORTRANGE('Match Names'!$G$23, CONCAT(VLOOKUP($C57, 'Match Names'!$1:$22, 7, FALSE), ""!C3:R29"""&amp;")), {11;15;23}, FALSE)), ""=0"") + COUNTIF(ARRAYFORMULA(HLOOKUP($B57, IMPORTRANGE('Match Names'!$H$23, CONCAT(VLOOKUP($C57, 'Match Names'!$1:$22, 8, FALSE), ""!C3:R29"")), {6;12;18}, FALSE)), ""=0"")"),0.0)</f>
        <v>0</v>
      </c>
      <c r="G57" s="32">
        <f>IFERROR(__xludf.DUMMYFUNCTION("COUNTIF(ARRAYFORMULA(HLOOKUP($B57, IMPORTRANGE('Prelim Rankings Unsorted'!$B$40, CONCAT(VLOOKUP($C57, 'Match Names'!$A$1:$D$22, 2, FALSE), ""!C3:R29"")), {12;18;24}, FALSE)), ""=-4"") + COUNTIF(ARRAYFORMULA(HLOOKUP($B57, IMPORTRANGE('Prelim Rankings Unsor"&amp;"ted'!$B$41, CONCAT(VLOOKUP($C57, 'Match Names'!$A$1:$D$22, 3, FALSE), ""!C3:R29"")), {6;12;18}, FALSE)), ""=-4"") + COUNTIF(ARRAYFORMULA(HLOOKUP($B57, IMPORTRANGE('Prelim Rankings Unsorted'!$B$42, CONCAT(VLOOKUP($C57, 'Match Names'!$A$1:$D$22, 4, FALSE), "&amp;"""!C3:R29"")), {6;12;18}, FALSE)), ""=-4"") + COUNTIF(ARRAYFORMULA(HLOOKUP($B57, IMPORTRANGE('Match Names'!$E$23, CONCAT(VLOOKUP($C57, 'Match Names'!$1:$22, 5, FALSE), ""!C3:R29"")), {4;13;18}, FALSE)), ""=-4"") + COUNTIF(ARRAYFORMULA(HLOOKUP($B57, IMPORT"&amp;"RANGE('Match Names'!$F$23, CONCAT(VLOOKUP($C57, 'Match Names'!$1:$22, 6, FALSE), ""!C3:R29"")), {7;13;19}, FALSE)), ""=-4"") + COUNTIF(ARRAYFORMULA(HLOOKUP($B57, IMPORTRANGE('Match Names'!$G$23, CONCAT(VLOOKUP($C57, 'Match Names'!$1:$22, 7, FALSE), ""!C3:"&amp;"R29"")), {11;15;23}, FALSE)), ""=-4"") + COUNTIF(ARRAYFORMULA(HLOOKUP($B57, IMPORTRANGE('Match Names'!$H$23, CONCAT(VLOOKUP($C57, 'Match Names'!$1:$22, 8, FALSE), ""!C3:R29"")), {6;12;18}, FALSE)), ""=-4"")"),0.0)</f>
        <v>0</v>
      </c>
      <c r="H57" s="33">
        <f t="shared" si="1"/>
        <v>0</v>
      </c>
    </row>
    <row r="58">
      <c r="A58" s="21" t="s">
        <v>82</v>
      </c>
      <c r="B58" s="31" t="str">
        <f>VLOOKUP(CONCAT(A58, C58), 'Discord Username to Real Name'!C:D, 2, FALSE)</f>
        <v>Cemo475#3867</v>
      </c>
      <c r="C58" s="21" t="s">
        <v>19</v>
      </c>
      <c r="D58" s="32">
        <f>IFERROR(__xludf.DUMMYFUNCTION("(3 - COUNTIF(IFERROR(ARRAYFORMULA(HLOOKUP($B58, IMPORTRANGE('Prelim Rankings Unsorted'!$B$40, CONCAT(VLOOKUP($C58, 'Match Names'!$A$1:$D$22, 2, FALSE), ""!C3:R29"")), {12;18;24}, FALSE)), 'Player Overall Stats Unsorted'!$AA$9:$AA$12), ""=X"")) + (3 - COUN"&amp;"TIF(IFERROR(ARRAYFORMULA(HLOOKUP($B58, IMPORTRANGE('Prelim Rankings Unsorted'!$B$41, CONCAT(VLOOKUP($C58, 'Match Names'!$A$1:$D$22, 3, FALSE), ""!C3:R29"")), {6;12;18}, FALSE)), 'Player Overall Stats Unsorted'!$AA$9:$AA$12), ""=X"")) + (3 - COUNTIF(IFERRO"&amp;"R(ARRAYFORMULA(HLOOKUP($B58, IMPORTRANGE('Prelim Rankings Unsorted'!$B$42, CONCAT(VLOOKUP($C58, 'Match Names'!$A$1:$D$22, 4, FALSE), ""!C3:R29"")), {6;12;18}, FALSE)), 'Player Overall Stats Unsorted'!$AA$9:$AA$12), ""=X"")) + (3 - COUNTIF(IFERROR(ARRAYFOR"&amp;"MULA(HLOOKUP($B58, IMPORTRANGE('Match Names'!$E$23, CONCAT(VLOOKUP($C58, 'Match Names'!$1:$22, 5, FALSE), ""!C3:R29"")), {4;13;18}, FALSE)), 'Player Overall Stats Unsorted'!$AA$9:$AA$12), ""=X"")) + (3 - COUNTIF(IFERROR(ARRAYFORMULA(HLOOKUP($B58, IMPORTRA"&amp;"NGE('Match Names'!$F$23, CONCAT(VLOOKUP($C58, 'Match Names'!$1:$22, 6, FALSE), ""!C3:R29"")), {7;13;19}, FALSE)), 'Player Overall Stats Unsorted'!$AA$9:$AA$12), ""=X"")) + (3 - COUNTIF(IFERROR(ARRAYFORMULA(HLOOKUP($B58, IMPORTRANGE('Match Names'!$G$23, CO"&amp;"NCAT(VLOOKUP($C58, 'Match Names'!$1:$22, 7, FALSE), ""!C3:R29"")), {11;15;23}, FALSE)), 'Player Overall Stats Unsorted'!$AA$9:$AA$12), ""=X"")) + (3 - COUNTIF(IFERROR(ARRAYFORMULA(HLOOKUP($B58, IMPORTRANGE('Match Names'!$H$23, CONCAT(VLOOKUP($C58, 'Match "&amp;"Names'!$1:$22, 8, FALSE), ""!C3:R29"")), {6;12;18}, FALSE)), 'Player Overall Stats Unsorted'!$AA$9:$AA$12), ""=X""))"),9.0)</f>
        <v>9</v>
      </c>
      <c r="E58" s="32">
        <f>IFERROR(__xludf.DUMMYFUNCTION("COUNTIF(ARRAYFORMULA(HLOOKUP($B58, IMPORTRANGE('Prelim Rankings Unsorted'!$B$40, CONCAT(VLOOKUP($C58, 'Match Names'!$A$1:$D$22, 2, FALSE), ""!C3:R29"")), {12;18;24}, FALSE)), ""=4"") + COUNTIF(ARRAYFORMULA(HLOOKUP($B58, IMPORTRANGE('Prelim Rankings Unsort"&amp;"ed'!$B$41, CONCAT(VLOOKUP($C58, 'Match Names'!$A$1:$D$22, 3, FALSE), ""!C3:R29"")), {6;12;18}, FALSE)), ""=4"") + COUNTIF(ARRAYFORMULA(HLOOKUP($B58, IMPORTRANGE('Prelim Rankings Unsorted'!$B$42, CONCAT(VLOOKUP($C58, 'Match Names'!$A$1:$D$22, 4, FALSE), """&amp;"!C3:R29"")), {6;12;18}, FALSE)), ""=4"") + COUNTIF(ARRAYFORMULA(HLOOKUP($B58, IMPORTRANGE('Match Names'!$E$23, CONCAT(VLOOKUP($C58, 'Match Names'!$1:$22, 5, FALSE), ""!C3:R29"")), {4;13;18}, FALSE)), ""=4"") + COUNTIF(ARRAYFORMULA(HLOOKUP($B58, IMPORTRANG"&amp;"E('Match Names'!$F$23, CONCAT(VLOOKUP($C58, 'Match Names'!$1:$22, 6, FALSE), ""!C3:R29"")), {7;13;19}, FALSE)), ""=4"") + COUNTIF(ARRAYFORMULA(HLOOKUP($B58, IMPORTRANGE('Match Names'!$G$23, CONCAT(VLOOKUP($C58, 'Match Names'!$1:$22, 7, FALSE), ""!C3:R29"""&amp;")), {11;15;23}, FALSE)), ""=4"") + COUNTIF(ARRAYFORMULA(HLOOKUP($B58, IMPORTRANGE('Match Names'!$H$23, CONCAT(VLOOKUP($C58, 'Match Names'!$1:$22, 8, FALSE), ""!C3:R29"")), {6;12;18}, FALSE)), ""=4"")"),1.0)</f>
        <v>1</v>
      </c>
      <c r="F58" s="32">
        <f>IFERROR(__xludf.DUMMYFUNCTION("COUNTIF(ARRAYFORMULA(HLOOKUP($B58, IMPORTRANGE('Prelim Rankings Unsorted'!$B$40, CONCAT(VLOOKUP($C58, 'Match Names'!$A$1:$D$22, 2, FALSE), ""!C3:R29"")), {12;18;24}, FALSE)), ""=0"") + COUNTIF(ARRAYFORMULA(HLOOKUP($B58, IMPORTRANGE('Prelim Rankings Unsort"&amp;"ed'!$B$41, CONCAT(VLOOKUP($C58, 'Match Names'!$A$1:$D$22, 3, FALSE), ""!C3:R29"")), {6;12;18}, FALSE)), ""=0"") + COUNTIF(ARRAYFORMULA(HLOOKUP($B58, IMPORTRANGE('Prelim Rankings Unsorted'!$B$42, CONCAT(VLOOKUP($C58, 'Match Names'!$A$1:$D$22, 4, FALSE), """&amp;"!C3:R29"")), {6;12;18}, FALSE)), ""=0"") + COUNTIF(ARRAYFORMULA(HLOOKUP($B58, IMPORTRANGE('Match Names'!$E$23, CONCAT(VLOOKUP($C58, 'Match Names'!$1:$22, 5, FALSE), ""!C3:R29"")), {4;13;18}, FALSE)), ""=0"") + COUNTIF(ARRAYFORMULA(HLOOKUP($B58, IMPORTRANG"&amp;"E('Match Names'!$F$23, CONCAT(VLOOKUP($C58, 'Match Names'!$1:$22, 6, FALSE), ""!C3:R29"")), {7;13;19}, FALSE)), ""=0"") + COUNTIF(ARRAYFORMULA(HLOOKUP($B58, IMPORTRANGE('Match Names'!$G$23, CONCAT(VLOOKUP($C58, 'Match Names'!$1:$22, 7, FALSE), ""!C3:R29"""&amp;")), {11;15;23}, FALSE)), ""=0"") + COUNTIF(ARRAYFORMULA(HLOOKUP($B58, IMPORTRANGE('Match Names'!$H$23, CONCAT(VLOOKUP($C58, 'Match Names'!$1:$22, 8, FALSE), ""!C3:R29"")), {6;12;18}, FALSE)), ""=0"")"),0.0)</f>
        <v>0</v>
      </c>
      <c r="G58" s="32">
        <f>IFERROR(__xludf.DUMMYFUNCTION("COUNTIF(ARRAYFORMULA(HLOOKUP($B58, IMPORTRANGE('Prelim Rankings Unsorted'!$B$40, CONCAT(VLOOKUP($C58, 'Match Names'!$A$1:$D$22, 2, FALSE), ""!C3:R29"")), {12;18;24}, FALSE)), ""=-4"") + COUNTIF(ARRAYFORMULA(HLOOKUP($B58, IMPORTRANGE('Prelim Rankings Unsor"&amp;"ted'!$B$41, CONCAT(VLOOKUP($C58, 'Match Names'!$A$1:$D$22, 3, FALSE), ""!C3:R29"")), {6;12;18}, FALSE)), ""=-4"") + COUNTIF(ARRAYFORMULA(HLOOKUP($B58, IMPORTRANGE('Prelim Rankings Unsorted'!$B$42, CONCAT(VLOOKUP($C58, 'Match Names'!$A$1:$D$22, 4, FALSE), "&amp;"""!C3:R29"")), {6;12;18}, FALSE)), ""=-4"") + COUNTIF(ARRAYFORMULA(HLOOKUP($B58, IMPORTRANGE('Match Names'!$E$23, CONCAT(VLOOKUP($C58, 'Match Names'!$1:$22, 5, FALSE), ""!C3:R29"")), {4;13;18}, FALSE)), ""=-4"") + COUNTIF(ARRAYFORMULA(HLOOKUP($B58, IMPORT"&amp;"RANGE('Match Names'!$F$23, CONCAT(VLOOKUP($C58, 'Match Names'!$1:$22, 6, FALSE), ""!C3:R29"")), {7;13;19}, FALSE)), ""=-4"") + COUNTIF(ARRAYFORMULA(HLOOKUP($B58, IMPORTRANGE('Match Names'!$G$23, CONCAT(VLOOKUP($C58, 'Match Names'!$1:$22, 7, FALSE), ""!C3:"&amp;"R29"")), {11;15;23}, FALSE)), ""=-4"") + COUNTIF(ARRAYFORMULA(HLOOKUP($B58, IMPORTRANGE('Match Names'!$H$23, CONCAT(VLOOKUP($C58, 'Match Names'!$1:$22, 8, FALSE), ""!C3:R29"")), {6;12;18}, FALSE)), ""=-4"")"),0.0)</f>
        <v>0</v>
      </c>
      <c r="H58" s="33">
        <f t="shared" si="1"/>
        <v>1.33</v>
      </c>
    </row>
    <row r="59">
      <c r="A59" s="21" t="s">
        <v>74</v>
      </c>
      <c r="B59" s="31" t="str">
        <f>VLOOKUP(CONCAT(A59, C59), 'Discord Username to Real Name'!C:D, 2, FALSE)</f>
        <v>Chris Ge#6364</v>
      </c>
      <c r="C59" s="21" t="s">
        <v>19</v>
      </c>
      <c r="D59" s="32">
        <f>IFERROR(__xludf.DUMMYFUNCTION("(3 - COUNTIF(IFERROR(ARRAYFORMULA(HLOOKUP($B59, IMPORTRANGE('Prelim Rankings Unsorted'!$B$40, CONCAT(VLOOKUP($C59, 'Match Names'!$A$1:$D$22, 2, FALSE), ""!C3:R29"")), {12;18;24}, FALSE)), 'Player Overall Stats Unsorted'!$AA$9:$AA$12), ""=X"")) + (3 - COUN"&amp;"TIF(IFERROR(ARRAYFORMULA(HLOOKUP($B59, IMPORTRANGE('Prelim Rankings Unsorted'!$B$41, CONCAT(VLOOKUP($C59, 'Match Names'!$A$1:$D$22, 3, FALSE), ""!C3:R29"")), {6;12;18}, FALSE)), 'Player Overall Stats Unsorted'!$AA$9:$AA$12), ""=X"")) + (3 - COUNTIF(IFERRO"&amp;"R(ARRAYFORMULA(HLOOKUP($B59, IMPORTRANGE('Prelim Rankings Unsorted'!$B$42, CONCAT(VLOOKUP($C59, 'Match Names'!$A$1:$D$22, 4, FALSE), ""!C3:R29"")), {6;12;18}, FALSE)), 'Player Overall Stats Unsorted'!$AA$9:$AA$12), ""=X"")) + (3 - COUNTIF(IFERROR(ARRAYFOR"&amp;"MULA(HLOOKUP($B59, IMPORTRANGE('Match Names'!$E$23, CONCAT(VLOOKUP($C59, 'Match Names'!$1:$22, 5, FALSE), ""!C3:R29"")), {4;13;18}, FALSE)), 'Player Overall Stats Unsorted'!$AA$9:$AA$12), ""=X"")) + (3 - COUNTIF(IFERROR(ARRAYFORMULA(HLOOKUP($B59, IMPORTRA"&amp;"NGE('Match Names'!$F$23, CONCAT(VLOOKUP($C59, 'Match Names'!$1:$22, 6, FALSE), ""!C3:R29"")), {7;13;19}, FALSE)), 'Player Overall Stats Unsorted'!$AA$9:$AA$12), ""=X"")) + (3 - COUNTIF(IFERROR(ARRAYFORMULA(HLOOKUP($B59, IMPORTRANGE('Match Names'!$G$23, CO"&amp;"NCAT(VLOOKUP($C59, 'Match Names'!$1:$22, 7, FALSE), ""!C3:R29"")), {11;15;23}, FALSE)), 'Player Overall Stats Unsorted'!$AA$9:$AA$12), ""=X"")) + (3 - COUNTIF(IFERROR(ARRAYFORMULA(HLOOKUP($B59, IMPORTRANGE('Match Names'!$H$23, CONCAT(VLOOKUP($C59, 'Match "&amp;"Names'!$1:$22, 8, FALSE), ""!C3:R29"")), {6;12;18}, FALSE)), 'Player Overall Stats Unsorted'!$AA$9:$AA$12), ""=X""))"),12.0)</f>
        <v>12</v>
      </c>
      <c r="E59" s="32">
        <f>IFERROR(__xludf.DUMMYFUNCTION("COUNTIF(ARRAYFORMULA(HLOOKUP($B59, IMPORTRANGE('Prelim Rankings Unsorted'!$B$40, CONCAT(VLOOKUP($C59, 'Match Names'!$A$1:$D$22, 2, FALSE), ""!C3:R29"")), {12;18;24}, FALSE)), ""=4"") + COUNTIF(ARRAYFORMULA(HLOOKUP($B59, IMPORTRANGE('Prelim Rankings Unsort"&amp;"ed'!$B$41, CONCAT(VLOOKUP($C59, 'Match Names'!$A$1:$D$22, 3, FALSE), ""!C3:R29"")), {6;12;18}, FALSE)), ""=4"") + COUNTIF(ARRAYFORMULA(HLOOKUP($B59, IMPORTRANGE('Prelim Rankings Unsorted'!$B$42, CONCAT(VLOOKUP($C59, 'Match Names'!$A$1:$D$22, 4, FALSE), """&amp;"!C3:R29"")), {6;12;18}, FALSE)), ""=4"") + COUNTIF(ARRAYFORMULA(HLOOKUP($B59, IMPORTRANGE('Match Names'!$E$23, CONCAT(VLOOKUP($C59, 'Match Names'!$1:$22, 5, FALSE), ""!C3:R29"")), {4;13;18}, FALSE)), ""=4"") + COUNTIF(ARRAYFORMULA(HLOOKUP($B59, IMPORTRANG"&amp;"E('Match Names'!$F$23, CONCAT(VLOOKUP($C59, 'Match Names'!$1:$22, 6, FALSE), ""!C3:R29"")), {7;13;19}, FALSE)), ""=4"") + COUNTIF(ARRAYFORMULA(HLOOKUP($B59, IMPORTRANGE('Match Names'!$G$23, CONCAT(VLOOKUP($C59, 'Match Names'!$1:$22, 7, FALSE), ""!C3:R29"""&amp;")), {11;15;23}, FALSE)), ""=4"") + COUNTIF(ARRAYFORMULA(HLOOKUP($B59, IMPORTRANGE('Match Names'!$H$23, CONCAT(VLOOKUP($C59, 'Match Names'!$1:$22, 8, FALSE), ""!C3:R29"")), {6;12;18}, FALSE)), ""=4"")"),1.0)</f>
        <v>1</v>
      </c>
      <c r="F59" s="32">
        <f>IFERROR(__xludf.DUMMYFUNCTION("COUNTIF(ARRAYFORMULA(HLOOKUP($B59, IMPORTRANGE('Prelim Rankings Unsorted'!$B$40, CONCAT(VLOOKUP($C59, 'Match Names'!$A$1:$D$22, 2, FALSE), ""!C3:R29"")), {12;18;24}, FALSE)), ""=0"") + COUNTIF(ARRAYFORMULA(HLOOKUP($B59, IMPORTRANGE('Prelim Rankings Unsort"&amp;"ed'!$B$41, CONCAT(VLOOKUP($C59, 'Match Names'!$A$1:$D$22, 3, FALSE), ""!C3:R29"")), {6;12;18}, FALSE)), ""=0"") + COUNTIF(ARRAYFORMULA(HLOOKUP($B59, IMPORTRANGE('Prelim Rankings Unsorted'!$B$42, CONCAT(VLOOKUP($C59, 'Match Names'!$A$1:$D$22, 4, FALSE), """&amp;"!C3:R29"")), {6;12;18}, FALSE)), ""=0"") + COUNTIF(ARRAYFORMULA(HLOOKUP($B59, IMPORTRANGE('Match Names'!$E$23, CONCAT(VLOOKUP($C59, 'Match Names'!$1:$22, 5, FALSE), ""!C3:R29"")), {4;13;18}, FALSE)), ""=0"") + COUNTIF(ARRAYFORMULA(HLOOKUP($B59, IMPORTRANG"&amp;"E('Match Names'!$F$23, CONCAT(VLOOKUP($C59, 'Match Names'!$1:$22, 6, FALSE), ""!C3:R29"")), {7;13;19}, FALSE)), ""=0"") + COUNTIF(ARRAYFORMULA(HLOOKUP($B59, IMPORTRANGE('Match Names'!$G$23, CONCAT(VLOOKUP($C59, 'Match Names'!$1:$22, 7, FALSE), ""!C3:R29"""&amp;")), {11;15;23}, FALSE)), ""=0"") + COUNTIF(ARRAYFORMULA(HLOOKUP($B59, IMPORTRANGE('Match Names'!$H$23, CONCAT(VLOOKUP($C59, 'Match Names'!$1:$22, 8, FALSE), ""!C3:R29"")), {6;12;18}, FALSE)), ""=0"")"),0.0)</f>
        <v>0</v>
      </c>
      <c r="G59" s="32">
        <f>IFERROR(__xludf.DUMMYFUNCTION("COUNTIF(ARRAYFORMULA(HLOOKUP($B59, IMPORTRANGE('Prelim Rankings Unsorted'!$B$40, CONCAT(VLOOKUP($C59, 'Match Names'!$A$1:$D$22, 2, FALSE), ""!C3:R29"")), {12;18;24}, FALSE)), ""=-4"") + COUNTIF(ARRAYFORMULA(HLOOKUP($B59, IMPORTRANGE('Prelim Rankings Unsor"&amp;"ted'!$B$41, CONCAT(VLOOKUP($C59, 'Match Names'!$A$1:$D$22, 3, FALSE), ""!C3:R29"")), {6;12;18}, FALSE)), ""=-4"") + COUNTIF(ARRAYFORMULA(HLOOKUP($B59, IMPORTRANGE('Prelim Rankings Unsorted'!$B$42, CONCAT(VLOOKUP($C59, 'Match Names'!$A$1:$D$22, 4, FALSE), "&amp;"""!C3:R29"")), {6;12;18}, FALSE)), ""=-4"") + COUNTIF(ARRAYFORMULA(HLOOKUP($B59, IMPORTRANGE('Match Names'!$E$23, CONCAT(VLOOKUP($C59, 'Match Names'!$1:$22, 5, FALSE), ""!C3:R29"")), {4;13;18}, FALSE)), ""=-4"") + COUNTIF(ARRAYFORMULA(HLOOKUP($B59, IMPORT"&amp;"RANGE('Match Names'!$F$23, CONCAT(VLOOKUP($C59, 'Match Names'!$1:$22, 6, FALSE), ""!C3:R29"")), {7;13;19}, FALSE)), ""=-4"") + COUNTIF(ARRAYFORMULA(HLOOKUP($B59, IMPORTRANGE('Match Names'!$G$23, CONCAT(VLOOKUP($C59, 'Match Names'!$1:$22, 7, FALSE), ""!C3:"&amp;"R29"")), {11;15;23}, FALSE)), ""=-4"") + COUNTIF(ARRAYFORMULA(HLOOKUP($B59, IMPORTRANGE('Match Names'!$H$23, CONCAT(VLOOKUP($C59, 'Match Names'!$1:$22, 8, FALSE), ""!C3:R29"")), {6;12;18}, FALSE)), ""=-4"")"),0.0)</f>
        <v>0</v>
      </c>
      <c r="H59" s="33">
        <f t="shared" si="1"/>
        <v>1</v>
      </c>
    </row>
    <row r="60">
      <c r="A60" s="21" t="s">
        <v>61</v>
      </c>
      <c r="B60" s="31" t="str">
        <f>VLOOKUP(CONCAT(A60, C60), 'Discord Username to Real Name'!C:D, 2, FALSE)</f>
        <v>chalk#0845</v>
      </c>
      <c r="C60" s="21" t="s">
        <v>19</v>
      </c>
      <c r="D60" s="32">
        <f>IFERROR(__xludf.DUMMYFUNCTION("(3 - COUNTIF(IFERROR(ARRAYFORMULA(HLOOKUP($B60, IMPORTRANGE('Prelim Rankings Unsorted'!$B$40, CONCAT(VLOOKUP($C60, 'Match Names'!$A$1:$D$22, 2, FALSE), ""!C3:R29"")), {12;18;24}, FALSE)), 'Player Overall Stats Unsorted'!$AA$9:$AA$12), ""=X"")) + (3 - COUN"&amp;"TIF(IFERROR(ARRAYFORMULA(HLOOKUP($B60, IMPORTRANGE('Prelim Rankings Unsorted'!$B$41, CONCAT(VLOOKUP($C60, 'Match Names'!$A$1:$D$22, 3, FALSE), ""!C3:R29"")), {6;12;18}, FALSE)), 'Player Overall Stats Unsorted'!$AA$9:$AA$12), ""=X"")) + (3 - COUNTIF(IFERRO"&amp;"R(ARRAYFORMULA(HLOOKUP($B60, IMPORTRANGE('Prelim Rankings Unsorted'!$B$42, CONCAT(VLOOKUP($C60, 'Match Names'!$A$1:$D$22, 4, FALSE), ""!C3:R29"")), {6;12;18}, FALSE)), 'Player Overall Stats Unsorted'!$AA$9:$AA$12), ""=X"")) + (3 - COUNTIF(IFERROR(ARRAYFOR"&amp;"MULA(HLOOKUP($B60, IMPORTRANGE('Match Names'!$E$23, CONCAT(VLOOKUP($C60, 'Match Names'!$1:$22, 5, FALSE), ""!C3:R29"")), {4;13;18}, FALSE)), 'Player Overall Stats Unsorted'!$AA$9:$AA$12), ""=X"")) + (3 - COUNTIF(IFERROR(ARRAYFORMULA(HLOOKUP($B60, IMPORTRA"&amp;"NGE('Match Names'!$F$23, CONCAT(VLOOKUP($C60, 'Match Names'!$1:$22, 6, FALSE), ""!C3:R29"")), {7;13;19}, FALSE)), 'Player Overall Stats Unsorted'!$AA$9:$AA$12), ""=X"")) + (3 - COUNTIF(IFERROR(ARRAYFORMULA(HLOOKUP($B60, IMPORTRANGE('Match Names'!$G$23, CO"&amp;"NCAT(VLOOKUP($C60, 'Match Names'!$1:$22, 7, FALSE), ""!C3:R29"")), {11;15;23}, FALSE)), 'Player Overall Stats Unsorted'!$AA$9:$AA$12), ""=X"")) + (3 - COUNTIF(IFERROR(ARRAYFORMULA(HLOOKUP($B60, IMPORTRANGE('Match Names'!$H$23, CONCAT(VLOOKUP($C60, 'Match "&amp;"Names'!$1:$22, 8, FALSE), ""!C3:R29"")), {6;12;18}, FALSE)), 'Player Overall Stats Unsorted'!$AA$9:$AA$12), ""=X""))"),9.0)</f>
        <v>9</v>
      </c>
      <c r="E60" s="32">
        <f>IFERROR(__xludf.DUMMYFUNCTION("COUNTIF(ARRAYFORMULA(HLOOKUP($B60, IMPORTRANGE('Prelim Rankings Unsorted'!$B$40, CONCAT(VLOOKUP($C60, 'Match Names'!$A$1:$D$22, 2, FALSE), ""!C3:R29"")), {12;18;24}, FALSE)), ""=4"") + COUNTIF(ARRAYFORMULA(HLOOKUP($B60, IMPORTRANGE('Prelim Rankings Unsort"&amp;"ed'!$B$41, CONCAT(VLOOKUP($C60, 'Match Names'!$A$1:$D$22, 3, FALSE), ""!C3:R29"")), {6;12;18}, FALSE)), ""=4"") + COUNTIF(ARRAYFORMULA(HLOOKUP($B60, IMPORTRANGE('Prelim Rankings Unsorted'!$B$42, CONCAT(VLOOKUP($C60, 'Match Names'!$A$1:$D$22, 4, FALSE), """&amp;"!C3:R29"")), {6;12;18}, FALSE)), ""=4"") + COUNTIF(ARRAYFORMULA(HLOOKUP($B60, IMPORTRANGE('Match Names'!$E$23, CONCAT(VLOOKUP($C60, 'Match Names'!$1:$22, 5, FALSE), ""!C3:R29"")), {4;13;18}, FALSE)), ""=4"") + COUNTIF(ARRAYFORMULA(HLOOKUP($B60, IMPORTRANG"&amp;"E('Match Names'!$F$23, CONCAT(VLOOKUP($C60, 'Match Names'!$1:$22, 6, FALSE), ""!C3:R29"")), {7;13;19}, FALSE)), ""=4"") + COUNTIF(ARRAYFORMULA(HLOOKUP($B60, IMPORTRANGE('Match Names'!$G$23, CONCAT(VLOOKUP($C60, 'Match Names'!$1:$22, 7, FALSE), ""!C3:R29"""&amp;")), {11;15;23}, FALSE)), ""=4"") + COUNTIF(ARRAYFORMULA(HLOOKUP($B60, IMPORTRANGE('Match Names'!$H$23, CONCAT(VLOOKUP($C60, 'Match Names'!$1:$22, 8, FALSE), ""!C3:R29"")), {6;12;18}, FALSE)), ""=4"")"),0.0)</f>
        <v>0</v>
      </c>
      <c r="F60" s="32">
        <f>IFERROR(__xludf.DUMMYFUNCTION("COUNTIF(ARRAYFORMULA(HLOOKUP($B60, IMPORTRANGE('Prelim Rankings Unsorted'!$B$40, CONCAT(VLOOKUP($C60, 'Match Names'!$A$1:$D$22, 2, FALSE), ""!C3:R29"")), {12;18;24}, FALSE)), ""=0"") + COUNTIF(ARRAYFORMULA(HLOOKUP($B60, IMPORTRANGE('Prelim Rankings Unsort"&amp;"ed'!$B$41, CONCAT(VLOOKUP($C60, 'Match Names'!$A$1:$D$22, 3, FALSE), ""!C3:R29"")), {6;12;18}, FALSE)), ""=0"") + COUNTIF(ARRAYFORMULA(HLOOKUP($B60, IMPORTRANGE('Prelim Rankings Unsorted'!$B$42, CONCAT(VLOOKUP($C60, 'Match Names'!$A$1:$D$22, 4, FALSE), """&amp;"!C3:R29"")), {6;12;18}, FALSE)), ""=0"") + COUNTIF(ARRAYFORMULA(HLOOKUP($B60, IMPORTRANGE('Match Names'!$E$23, CONCAT(VLOOKUP($C60, 'Match Names'!$1:$22, 5, FALSE), ""!C3:R29"")), {4;13;18}, FALSE)), ""=0"") + COUNTIF(ARRAYFORMULA(HLOOKUP($B60, IMPORTRANG"&amp;"E('Match Names'!$F$23, CONCAT(VLOOKUP($C60, 'Match Names'!$1:$22, 6, FALSE), ""!C3:R29"")), {7;13;19}, FALSE)), ""=0"") + COUNTIF(ARRAYFORMULA(HLOOKUP($B60, IMPORTRANGE('Match Names'!$G$23, CONCAT(VLOOKUP($C60, 'Match Names'!$1:$22, 7, FALSE), ""!C3:R29"""&amp;")), {11;15;23}, FALSE)), ""=0"") + COUNTIF(ARRAYFORMULA(HLOOKUP($B60, IMPORTRANGE('Match Names'!$H$23, CONCAT(VLOOKUP($C60, 'Match Names'!$1:$22, 8, FALSE), ""!C3:R29"")), {6;12;18}, FALSE)), ""=0"")"),0.0)</f>
        <v>0</v>
      </c>
      <c r="G60" s="32">
        <f>IFERROR(__xludf.DUMMYFUNCTION("COUNTIF(ARRAYFORMULA(HLOOKUP($B60, IMPORTRANGE('Prelim Rankings Unsorted'!$B$40, CONCAT(VLOOKUP($C60, 'Match Names'!$A$1:$D$22, 2, FALSE), ""!C3:R29"")), {12;18;24}, FALSE)), ""=-4"") + COUNTIF(ARRAYFORMULA(HLOOKUP($B60, IMPORTRANGE('Prelim Rankings Unsor"&amp;"ted'!$B$41, CONCAT(VLOOKUP($C60, 'Match Names'!$A$1:$D$22, 3, FALSE), ""!C3:R29"")), {6;12;18}, FALSE)), ""=-4"") + COUNTIF(ARRAYFORMULA(HLOOKUP($B60, IMPORTRANGE('Prelim Rankings Unsorted'!$B$42, CONCAT(VLOOKUP($C60, 'Match Names'!$A$1:$D$22, 4, FALSE), "&amp;"""!C3:R29"")), {6;12;18}, FALSE)), ""=-4"") + COUNTIF(ARRAYFORMULA(HLOOKUP($B60, IMPORTRANGE('Match Names'!$E$23, CONCAT(VLOOKUP($C60, 'Match Names'!$1:$22, 5, FALSE), ""!C3:R29"")), {4;13;18}, FALSE)), ""=-4"") + COUNTIF(ARRAYFORMULA(HLOOKUP($B60, IMPORT"&amp;"RANGE('Match Names'!$F$23, CONCAT(VLOOKUP($C60, 'Match Names'!$1:$22, 6, FALSE), ""!C3:R29"")), {7;13;19}, FALSE)), ""=-4"") + COUNTIF(ARRAYFORMULA(HLOOKUP($B60, IMPORTRANGE('Match Names'!$G$23, CONCAT(VLOOKUP($C60, 'Match Names'!$1:$22, 7, FALSE), ""!C3:"&amp;"R29"")), {11;15;23}, FALSE)), ""=-4"") + COUNTIF(ARRAYFORMULA(HLOOKUP($B60, IMPORTRANGE('Match Names'!$H$23, CONCAT(VLOOKUP($C60, 'Match Names'!$1:$22, 8, FALSE), ""!C3:R29"")), {6;12;18}, FALSE)), ""=-4"")"),0.0)</f>
        <v>0</v>
      </c>
      <c r="H60" s="33">
        <f t="shared" si="1"/>
        <v>0</v>
      </c>
    </row>
    <row r="61">
      <c r="A61" s="21" t="s">
        <v>106</v>
      </c>
      <c r="B61" s="31" t="str">
        <f>VLOOKUP(CONCAT(A61, C61), 'Discord Username to Real Name'!C:D, 2, FALSE)</f>
        <v>banane#7103</v>
      </c>
      <c r="C61" s="21" t="s">
        <v>19</v>
      </c>
      <c r="D61" s="32">
        <f>IFERROR(__xludf.DUMMYFUNCTION("(3 - COUNTIF(IFERROR(ARRAYFORMULA(HLOOKUP($B61, IMPORTRANGE('Prelim Rankings Unsorted'!$B$40, CONCAT(VLOOKUP($C61, 'Match Names'!$A$1:$D$22, 2, FALSE), ""!C3:R29"")), {12;18;24}, FALSE)), 'Player Overall Stats Unsorted'!$AA$9:$AA$12), ""=X"")) + (3 - COUN"&amp;"TIF(IFERROR(ARRAYFORMULA(HLOOKUP($B61, IMPORTRANGE('Prelim Rankings Unsorted'!$B$41, CONCAT(VLOOKUP($C61, 'Match Names'!$A$1:$D$22, 3, FALSE), ""!C3:R29"")), {6;12;18}, FALSE)), 'Player Overall Stats Unsorted'!$AA$9:$AA$12), ""=X"")) + (3 - COUNTIF(IFERRO"&amp;"R(ARRAYFORMULA(HLOOKUP($B61, IMPORTRANGE('Prelim Rankings Unsorted'!$B$42, CONCAT(VLOOKUP($C61, 'Match Names'!$A$1:$D$22, 4, FALSE), ""!C3:R29"")), {6;12;18}, FALSE)), 'Player Overall Stats Unsorted'!$AA$9:$AA$12), ""=X"")) + (3 - COUNTIF(IFERROR(ARRAYFOR"&amp;"MULA(HLOOKUP($B61, IMPORTRANGE('Match Names'!$E$23, CONCAT(VLOOKUP($C61, 'Match Names'!$1:$22, 5, FALSE), ""!C3:R29"")), {4;13;18}, FALSE)), 'Player Overall Stats Unsorted'!$AA$9:$AA$12), ""=X"")) + (3 - COUNTIF(IFERROR(ARRAYFORMULA(HLOOKUP($B61, IMPORTRA"&amp;"NGE('Match Names'!$F$23, CONCAT(VLOOKUP($C61, 'Match Names'!$1:$22, 6, FALSE), ""!C3:R29"")), {7;13;19}, FALSE)), 'Player Overall Stats Unsorted'!$AA$9:$AA$12), ""=X"")) + (3 - COUNTIF(IFERROR(ARRAYFORMULA(HLOOKUP($B61, IMPORTRANGE('Match Names'!$G$23, CO"&amp;"NCAT(VLOOKUP($C61, 'Match Names'!$1:$22, 7, FALSE), ""!C3:R29"")), {11;15;23}, FALSE)), 'Player Overall Stats Unsorted'!$AA$9:$AA$12), ""=X"")) + (3 - COUNTIF(IFERROR(ARRAYFORMULA(HLOOKUP($B61, IMPORTRANGE('Match Names'!$H$23, CONCAT(VLOOKUP($C61, 'Match "&amp;"Names'!$1:$22, 8, FALSE), ""!C3:R29"")), {6;12;18}, FALSE)), 'Player Overall Stats Unsorted'!$AA$9:$AA$12), ""=X""))"),10.0)</f>
        <v>10</v>
      </c>
      <c r="E61" s="32">
        <f>IFERROR(__xludf.DUMMYFUNCTION("COUNTIF(ARRAYFORMULA(HLOOKUP($B61, IMPORTRANGE('Prelim Rankings Unsorted'!$B$40, CONCAT(VLOOKUP($C61, 'Match Names'!$A$1:$D$22, 2, FALSE), ""!C3:R29"")), {12;18;24}, FALSE)), ""=4"") + COUNTIF(ARRAYFORMULA(HLOOKUP($B61, IMPORTRANGE('Prelim Rankings Unsort"&amp;"ed'!$B$41, CONCAT(VLOOKUP($C61, 'Match Names'!$A$1:$D$22, 3, FALSE), ""!C3:R29"")), {6;12;18}, FALSE)), ""=4"") + COUNTIF(ARRAYFORMULA(HLOOKUP($B61, IMPORTRANGE('Prelim Rankings Unsorted'!$B$42, CONCAT(VLOOKUP($C61, 'Match Names'!$A$1:$D$22, 4, FALSE), """&amp;"!C3:R29"")), {6;12;18}, FALSE)), ""=4"") + COUNTIF(ARRAYFORMULA(HLOOKUP($B61, IMPORTRANGE('Match Names'!$E$23, CONCAT(VLOOKUP($C61, 'Match Names'!$1:$22, 5, FALSE), ""!C3:R29"")), {4;13;18}, FALSE)), ""=4"") + COUNTIF(ARRAYFORMULA(HLOOKUP($B61, IMPORTRANG"&amp;"E('Match Names'!$F$23, CONCAT(VLOOKUP($C61, 'Match Names'!$1:$22, 6, FALSE), ""!C3:R29"")), {7;13;19}, FALSE)), ""=4"") + COUNTIF(ARRAYFORMULA(HLOOKUP($B61, IMPORTRANGE('Match Names'!$G$23, CONCAT(VLOOKUP($C61, 'Match Names'!$1:$22, 7, FALSE), ""!C3:R29"""&amp;")), {11;15;23}, FALSE)), ""=4"") + COUNTIF(ARRAYFORMULA(HLOOKUP($B61, IMPORTRANGE('Match Names'!$H$23, CONCAT(VLOOKUP($C61, 'Match Names'!$1:$22, 8, FALSE), ""!C3:R29"")), {6;12;18}, FALSE)), ""=4"")"),1.0)</f>
        <v>1</v>
      </c>
      <c r="F61" s="32">
        <f>IFERROR(__xludf.DUMMYFUNCTION("COUNTIF(ARRAYFORMULA(HLOOKUP($B61, IMPORTRANGE('Prelim Rankings Unsorted'!$B$40, CONCAT(VLOOKUP($C61, 'Match Names'!$A$1:$D$22, 2, FALSE), ""!C3:R29"")), {12;18;24}, FALSE)), ""=0"") + COUNTIF(ARRAYFORMULA(HLOOKUP($B61, IMPORTRANGE('Prelim Rankings Unsort"&amp;"ed'!$B$41, CONCAT(VLOOKUP($C61, 'Match Names'!$A$1:$D$22, 3, FALSE), ""!C3:R29"")), {6;12;18}, FALSE)), ""=0"") + COUNTIF(ARRAYFORMULA(HLOOKUP($B61, IMPORTRANGE('Prelim Rankings Unsorted'!$B$42, CONCAT(VLOOKUP($C61, 'Match Names'!$A$1:$D$22, 4, FALSE), """&amp;"!C3:R29"")), {6;12;18}, FALSE)), ""=0"") + COUNTIF(ARRAYFORMULA(HLOOKUP($B61, IMPORTRANGE('Match Names'!$E$23, CONCAT(VLOOKUP($C61, 'Match Names'!$1:$22, 5, FALSE), ""!C3:R29"")), {4;13;18}, FALSE)), ""=0"") + COUNTIF(ARRAYFORMULA(HLOOKUP($B61, IMPORTRANG"&amp;"E('Match Names'!$F$23, CONCAT(VLOOKUP($C61, 'Match Names'!$1:$22, 6, FALSE), ""!C3:R29"")), {7;13;19}, FALSE)), ""=0"") + COUNTIF(ARRAYFORMULA(HLOOKUP($B61, IMPORTRANGE('Match Names'!$G$23, CONCAT(VLOOKUP($C61, 'Match Names'!$1:$22, 7, FALSE), ""!C3:R29"""&amp;")), {11;15;23}, FALSE)), ""=0"") + COUNTIF(ARRAYFORMULA(HLOOKUP($B61, IMPORTRANGE('Match Names'!$H$23, CONCAT(VLOOKUP($C61, 'Match Names'!$1:$22, 8, FALSE), ""!C3:R29"")), {6;12;18}, FALSE)), ""=0"")"),0.0)</f>
        <v>0</v>
      </c>
      <c r="G61" s="32">
        <f>IFERROR(__xludf.DUMMYFUNCTION("COUNTIF(ARRAYFORMULA(HLOOKUP($B61, IMPORTRANGE('Prelim Rankings Unsorted'!$B$40, CONCAT(VLOOKUP($C61, 'Match Names'!$A$1:$D$22, 2, FALSE), ""!C3:R29"")), {12;18;24}, FALSE)), ""=-4"") + COUNTIF(ARRAYFORMULA(HLOOKUP($B61, IMPORTRANGE('Prelim Rankings Unsor"&amp;"ted'!$B$41, CONCAT(VLOOKUP($C61, 'Match Names'!$A$1:$D$22, 3, FALSE), ""!C3:R29"")), {6;12;18}, FALSE)), ""=-4"") + COUNTIF(ARRAYFORMULA(HLOOKUP($B61, IMPORTRANGE('Prelim Rankings Unsorted'!$B$42, CONCAT(VLOOKUP($C61, 'Match Names'!$A$1:$D$22, 4, FALSE), "&amp;"""!C3:R29"")), {6;12;18}, FALSE)), ""=-4"") + COUNTIF(ARRAYFORMULA(HLOOKUP($B61, IMPORTRANGE('Match Names'!$E$23, CONCAT(VLOOKUP($C61, 'Match Names'!$1:$22, 5, FALSE), ""!C3:R29"")), {4;13;18}, FALSE)), ""=-4"") + COUNTIF(ARRAYFORMULA(HLOOKUP($B61, IMPORT"&amp;"RANGE('Match Names'!$F$23, CONCAT(VLOOKUP($C61, 'Match Names'!$1:$22, 6, FALSE), ""!C3:R29"")), {7;13;19}, FALSE)), ""=-4"") + COUNTIF(ARRAYFORMULA(HLOOKUP($B61, IMPORTRANGE('Match Names'!$G$23, CONCAT(VLOOKUP($C61, 'Match Names'!$1:$22, 7, FALSE), ""!C3:"&amp;"R29"")), {11;15;23}, FALSE)), ""=-4"") + COUNTIF(ARRAYFORMULA(HLOOKUP($B61, IMPORTRANGE('Match Names'!$H$23, CONCAT(VLOOKUP($C61, 'Match Names'!$1:$22, 8, FALSE), ""!C3:R29"")), {6;12;18}, FALSE)), ""=-4"")"),0.0)</f>
        <v>0</v>
      </c>
      <c r="H61" s="33">
        <f t="shared" si="1"/>
        <v>1.2</v>
      </c>
    </row>
    <row r="62">
      <c r="A62" s="21" t="s">
        <v>65</v>
      </c>
      <c r="B62" s="31" t="str">
        <f>VLOOKUP(CONCAT(A62, C62), 'Discord Username to Real Name'!C:D, 2, FALSE)</f>
        <v>Sahas#5704</v>
      </c>
      <c r="C62" s="21" t="s">
        <v>19</v>
      </c>
      <c r="D62" s="32">
        <f>IFERROR(__xludf.DUMMYFUNCTION("(3 - COUNTIF(IFERROR(ARRAYFORMULA(HLOOKUP($B62, IMPORTRANGE('Prelim Rankings Unsorted'!$B$40, CONCAT(VLOOKUP($C62, 'Match Names'!$A$1:$D$22, 2, FALSE), ""!C3:R29"")), {12;18;24}, FALSE)), 'Player Overall Stats Unsorted'!$AA$9:$AA$12), ""=X"")) + (3 - COUN"&amp;"TIF(IFERROR(ARRAYFORMULA(HLOOKUP($B62, IMPORTRANGE('Prelim Rankings Unsorted'!$B$41, CONCAT(VLOOKUP($C62, 'Match Names'!$A$1:$D$22, 3, FALSE), ""!C3:R29"")), {6;12;18}, FALSE)), 'Player Overall Stats Unsorted'!$AA$9:$AA$12), ""=X"")) + (3 - COUNTIF(IFERRO"&amp;"R(ARRAYFORMULA(HLOOKUP($B62, IMPORTRANGE('Prelim Rankings Unsorted'!$B$42, CONCAT(VLOOKUP($C62, 'Match Names'!$A$1:$D$22, 4, FALSE), ""!C3:R29"")), {6;12;18}, FALSE)), 'Player Overall Stats Unsorted'!$AA$9:$AA$12), ""=X"")) + (3 - COUNTIF(IFERROR(ARRAYFOR"&amp;"MULA(HLOOKUP($B62, IMPORTRANGE('Match Names'!$E$23, CONCAT(VLOOKUP($C62, 'Match Names'!$1:$22, 5, FALSE), ""!C3:R29"")), {4;13;18}, FALSE)), 'Player Overall Stats Unsorted'!$AA$9:$AA$12), ""=X"")) + (3 - COUNTIF(IFERROR(ARRAYFORMULA(HLOOKUP($B62, IMPORTRA"&amp;"NGE('Match Names'!$F$23, CONCAT(VLOOKUP($C62, 'Match Names'!$1:$22, 6, FALSE), ""!C3:R29"")), {7;13;19}, FALSE)), 'Player Overall Stats Unsorted'!$AA$9:$AA$12), ""=X"")) + (3 - COUNTIF(IFERROR(ARRAYFORMULA(HLOOKUP($B62, IMPORTRANGE('Match Names'!$G$23, CO"&amp;"NCAT(VLOOKUP($C62, 'Match Names'!$1:$22, 7, FALSE), ""!C3:R29"")), {11;15;23}, FALSE)), 'Player Overall Stats Unsorted'!$AA$9:$AA$12), ""=X"")) + (3 - COUNTIF(IFERROR(ARRAYFORMULA(HLOOKUP($B62, IMPORTRANGE('Match Names'!$H$23, CONCAT(VLOOKUP($C62, 'Match "&amp;"Names'!$1:$22, 8, FALSE), ""!C3:R29"")), {6;12;18}, FALSE)), 'Player Overall Stats Unsorted'!$AA$9:$AA$12), ""=X""))"),12.0)</f>
        <v>12</v>
      </c>
      <c r="E62" s="32">
        <f>IFERROR(__xludf.DUMMYFUNCTION("COUNTIF(ARRAYFORMULA(HLOOKUP($B62, IMPORTRANGE('Prelim Rankings Unsorted'!$B$40, CONCAT(VLOOKUP($C62, 'Match Names'!$A$1:$D$22, 2, FALSE), ""!C3:R29"")), {12;18;24}, FALSE)), ""=4"") + COUNTIF(ARRAYFORMULA(HLOOKUP($B62, IMPORTRANGE('Prelim Rankings Unsort"&amp;"ed'!$B$41, CONCAT(VLOOKUP($C62, 'Match Names'!$A$1:$D$22, 3, FALSE), ""!C3:R29"")), {6;12;18}, FALSE)), ""=4"") + COUNTIF(ARRAYFORMULA(HLOOKUP($B62, IMPORTRANGE('Prelim Rankings Unsorted'!$B$42, CONCAT(VLOOKUP($C62, 'Match Names'!$A$1:$D$22, 4, FALSE), """&amp;"!C3:R29"")), {6;12;18}, FALSE)), ""=4"") + COUNTIF(ARRAYFORMULA(HLOOKUP($B62, IMPORTRANGE('Match Names'!$E$23, CONCAT(VLOOKUP($C62, 'Match Names'!$1:$22, 5, FALSE), ""!C3:R29"")), {4;13;18}, FALSE)), ""=4"") + COUNTIF(ARRAYFORMULA(HLOOKUP($B62, IMPORTRANG"&amp;"E('Match Names'!$F$23, CONCAT(VLOOKUP($C62, 'Match Names'!$1:$22, 6, FALSE), ""!C3:R29"")), {7;13;19}, FALSE)), ""=4"") + COUNTIF(ARRAYFORMULA(HLOOKUP($B62, IMPORTRANGE('Match Names'!$G$23, CONCAT(VLOOKUP($C62, 'Match Names'!$1:$22, 7, FALSE), ""!C3:R29"""&amp;")), {11;15;23}, FALSE)), ""=4"") + COUNTIF(ARRAYFORMULA(HLOOKUP($B62, IMPORTRANGE('Match Names'!$H$23, CONCAT(VLOOKUP($C62, 'Match Names'!$1:$22, 8, FALSE), ""!C3:R29"")), {6;12;18}, FALSE)), ""=4"")"),1.0)</f>
        <v>1</v>
      </c>
      <c r="F62" s="32">
        <f>IFERROR(__xludf.DUMMYFUNCTION("COUNTIF(ARRAYFORMULA(HLOOKUP($B62, IMPORTRANGE('Prelim Rankings Unsorted'!$B$40, CONCAT(VLOOKUP($C62, 'Match Names'!$A$1:$D$22, 2, FALSE), ""!C3:R29"")), {12;18;24}, FALSE)), ""=0"") + COUNTIF(ARRAYFORMULA(HLOOKUP($B62, IMPORTRANGE('Prelim Rankings Unsort"&amp;"ed'!$B$41, CONCAT(VLOOKUP($C62, 'Match Names'!$A$1:$D$22, 3, FALSE), ""!C3:R29"")), {6;12;18}, FALSE)), ""=0"") + COUNTIF(ARRAYFORMULA(HLOOKUP($B62, IMPORTRANGE('Prelim Rankings Unsorted'!$B$42, CONCAT(VLOOKUP($C62, 'Match Names'!$A$1:$D$22, 4, FALSE), """&amp;"!C3:R29"")), {6;12;18}, FALSE)), ""=0"") + COUNTIF(ARRAYFORMULA(HLOOKUP($B62, IMPORTRANGE('Match Names'!$E$23, CONCAT(VLOOKUP($C62, 'Match Names'!$1:$22, 5, FALSE), ""!C3:R29"")), {4;13;18}, FALSE)), ""=0"") + COUNTIF(ARRAYFORMULA(HLOOKUP($B62, IMPORTRANG"&amp;"E('Match Names'!$F$23, CONCAT(VLOOKUP($C62, 'Match Names'!$1:$22, 6, FALSE), ""!C3:R29"")), {7;13;19}, FALSE)), ""=0"") + COUNTIF(ARRAYFORMULA(HLOOKUP($B62, IMPORTRANGE('Match Names'!$G$23, CONCAT(VLOOKUP($C62, 'Match Names'!$1:$22, 7, FALSE), ""!C3:R29"""&amp;")), {11;15;23}, FALSE)), ""=0"") + COUNTIF(ARRAYFORMULA(HLOOKUP($B62, IMPORTRANGE('Match Names'!$H$23, CONCAT(VLOOKUP($C62, 'Match Names'!$1:$22, 8, FALSE), ""!C3:R29"")), {6;12;18}, FALSE)), ""=0"")"),0.0)</f>
        <v>0</v>
      </c>
      <c r="G62" s="32">
        <f>IFERROR(__xludf.DUMMYFUNCTION("COUNTIF(ARRAYFORMULA(HLOOKUP($B62, IMPORTRANGE('Prelim Rankings Unsorted'!$B$40, CONCAT(VLOOKUP($C62, 'Match Names'!$A$1:$D$22, 2, FALSE), ""!C3:R29"")), {12;18;24}, FALSE)), ""=-4"") + COUNTIF(ARRAYFORMULA(HLOOKUP($B62, IMPORTRANGE('Prelim Rankings Unsor"&amp;"ted'!$B$41, CONCAT(VLOOKUP($C62, 'Match Names'!$A$1:$D$22, 3, FALSE), ""!C3:R29"")), {6;12;18}, FALSE)), ""=-4"") + COUNTIF(ARRAYFORMULA(HLOOKUP($B62, IMPORTRANGE('Prelim Rankings Unsorted'!$B$42, CONCAT(VLOOKUP($C62, 'Match Names'!$A$1:$D$22, 4, FALSE), "&amp;"""!C3:R29"")), {6;12;18}, FALSE)), ""=-4"") + COUNTIF(ARRAYFORMULA(HLOOKUP($B62, IMPORTRANGE('Match Names'!$E$23, CONCAT(VLOOKUP($C62, 'Match Names'!$1:$22, 5, FALSE), ""!C3:R29"")), {4;13;18}, FALSE)), ""=-4"") + COUNTIF(ARRAYFORMULA(HLOOKUP($B62, IMPORT"&amp;"RANGE('Match Names'!$F$23, CONCAT(VLOOKUP($C62, 'Match Names'!$1:$22, 6, FALSE), ""!C3:R29"")), {7;13;19}, FALSE)), ""=-4"") + COUNTIF(ARRAYFORMULA(HLOOKUP($B62, IMPORTRANGE('Match Names'!$G$23, CONCAT(VLOOKUP($C62, 'Match Names'!$1:$22, 7, FALSE), ""!C3:"&amp;"R29"")), {11;15;23}, FALSE)), ""=-4"") + COUNTIF(ARRAYFORMULA(HLOOKUP($B62, IMPORTRANGE('Match Names'!$H$23, CONCAT(VLOOKUP($C62, 'Match Names'!$1:$22, 8, FALSE), ""!C3:R29"")), {6;12;18}, FALSE)), ""=-4"")"),0.0)</f>
        <v>0</v>
      </c>
      <c r="H62" s="33">
        <f t="shared" si="1"/>
        <v>1</v>
      </c>
    </row>
    <row r="63">
      <c r="A63" s="21" t="s">
        <v>134</v>
      </c>
      <c r="B63" s="31" t="str">
        <f>VLOOKUP(CONCAT(A63, C63), 'Discord Username to Real Name'!C:D, 2, FALSE)</f>
        <v>Jeffrey Li#1694</v>
      </c>
      <c r="C63" s="21" t="s">
        <v>22</v>
      </c>
      <c r="D63" s="32">
        <f>IFERROR(__xludf.DUMMYFUNCTION("(3 - COUNTIF(IFERROR(ARRAYFORMULA(HLOOKUP($B63, IMPORTRANGE('Prelim Rankings Unsorted'!$B$40, CONCAT(VLOOKUP($C63, 'Match Names'!$A$1:$D$22, 2, FALSE), ""!C3:R29"")), {12;18;24}, FALSE)), 'Player Overall Stats Unsorted'!$AA$9:$AA$12), ""=X"")) + (3 - COUN"&amp;"TIF(IFERROR(ARRAYFORMULA(HLOOKUP($B63, IMPORTRANGE('Prelim Rankings Unsorted'!$B$41, CONCAT(VLOOKUP($C63, 'Match Names'!$A$1:$D$22, 3, FALSE), ""!C3:R29"")), {6;12;18}, FALSE)), 'Player Overall Stats Unsorted'!$AA$9:$AA$12), ""=X"")) + (3 - COUNTIF(IFERRO"&amp;"R(ARRAYFORMULA(HLOOKUP($B63, IMPORTRANGE('Prelim Rankings Unsorted'!$B$42, CONCAT(VLOOKUP($C63, 'Match Names'!$A$1:$D$22, 4, FALSE), ""!C3:R29"")), {6;12;18}, FALSE)), 'Player Overall Stats Unsorted'!$AA$9:$AA$12), ""=X"")) + (3 - COUNTIF(IFERROR(ARRAYFOR"&amp;"MULA(HLOOKUP($B63, IMPORTRANGE('Match Names'!$E$23, CONCAT(VLOOKUP($C63, 'Match Names'!$1:$22, 5, FALSE), ""!C3:R29"")), {4;13;18}, FALSE)), 'Player Overall Stats Unsorted'!$AA$9:$AA$12), ""=X"")) + (3 - COUNTIF(IFERROR(ARRAYFORMULA(HLOOKUP($B63, IMPORTRA"&amp;"NGE('Match Names'!$F$23, CONCAT(VLOOKUP($C63, 'Match Names'!$1:$22, 6, FALSE), ""!C3:R29"")), {7;13;19}, FALSE)), 'Player Overall Stats Unsorted'!$AA$9:$AA$12), ""=X"")) + (3 - COUNTIF(IFERROR(ARRAYFORMULA(HLOOKUP($B63, IMPORTRANGE('Match Names'!$G$23, CO"&amp;"NCAT(VLOOKUP($C63, 'Match Names'!$1:$22, 7, FALSE), ""!C3:R29"")), {11;15;23}, FALSE)), 'Player Overall Stats Unsorted'!$AA$9:$AA$12), ""=X"")) + (3 - COUNTIF(IFERROR(ARRAYFORMULA(HLOOKUP($B63, IMPORTRANGE('Match Names'!$H$23, CONCAT(VLOOKUP($C63, 'Match "&amp;"Names'!$1:$22, 8, FALSE), ""!C3:R29"")), {6;12;18}, FALSE)), 'Player Overall Stats Unsorted'!$AA$9:$AA$12), ""=X""))"),16.0)</f>
        <v>16</v>
      </c>
      <c r="E63" s="32">
        <f>IFERROR(__xludf.DUMMYFUNCTION("COUNTIF(ARRAYFORMULA(HLOOKUP($B63, IMPORTRANGE('Prelim Rankings Unsorted'!$B$40, CONCAT(VLOOKUP($C63, 'Match Names'!$A$1:$D$22, 2, FALSE), ""!C3:R29"")), {12;18;24}, FALSE)), ""=4"") + COUNTIF(ARRAYFORMULA(HLOOKUP($B63, IMPORTRANGE('Prelim Rankings Unsort"&amp;"ed'!$B$41, CONCAT(VLOOKUP($C63, 'Match Names'!$A$1:$D$22, 3, FALSE), ""!C3:R29"")), {6;12;18}, FALSE)), ""=4"") + COUNTIF(ARRAYFORMULA(HLOOKUP($B63, IMPORTRANGE('Prelim Rankings Unsorted'!$B$42, CONCAT(VLOOKUP($C63, 'Match Names'!$A$1:$D$22, 4, FALSE), """&amp;"!C3:R29"")), {6;12;18}, FALSE)), ""=4"") + COUNTIF(ARRAYFORMULA(HLOOKUP($B63, IMPORTRANGE('Match Names'!$E$23, CONCAT(VLOOKUP($C63, 'Match Names'!$1:$22, 5, FALSE), ""!C3:R29"")), {4;13;18}, FALSE)), ""=4"") + COUNTIF(ARRAYFORMULA(HLOOKUP($B63, IMPORTRANG"&amp;"E('Match Names'!$F$23, CONCAT(VLOOKUP($C63, 'Match Names'!$1:$22, 6, FALSE), ""!C3:R29"")), {7;13;19}, FALSE)), ""=4"") + COUNTIF(ARRAYFORMULA(HLOOKUP($B63, IMPORTRANGE('Match Names'!$G$23, CONCAT(VLOOKUP($C63, 'Match Names'!$1:$22, 7, FALSE), ""!C3:R29"""&amp;")), {11;15;23}, FALSE)), ""=4"") + COUNTIF(ARRAYFORMULA(HLOOKUP($B63, IMPORTRANGE('Match Names'!$H$23, CONCAT(VLOOKUP($C63, 'Match Names'!$1:$22, 8, FALSE), ""!C3:R29"")), {6;12;18}, FALSE)), ""=4"")"),1.0)</f>
        <v>1</v>
      </c>
      <c r="F63" s="32">
        <f>IFERROR(__xludf.DUMMYFUNCTION("COUNTIF(ARRAYFORMULA(HLOOKUP($B63, IMPORTRANGE('Prelim Rankings Unsorted'!$B$40, CONCAT(VLOOKUP($C63, 'Match Names'!$A$1:$D$22, 2, FALSE), ""!C3:R29"")), {12;18;24}, FALSE)), ""=0"") + COUNTIF(ARRAYFORMULA(HLOOKUP($B63, IMPORTRANGE('Prelim Rankings Unsort"&amp;"ed'!$B$41, CONCAT(VLOOKUP($C63, 'Match Names'!$A$1:$D$22, 3, FALSE), ""!C3:R29"")), {6;12;18}, FALSE)), ""=0"") + COUNTIF(ARRAYFORMULA(HLOOKUP($B63, IMPORTRANGE('Prelim Rankings Unsorted'!$B$42, CONCAT(VLOOKUP($C63, 'Match Names'!$A$1:$D$22, 4, FALSE), """&amp;"!C3:R29"")), {6;12;18}, FALSE)), ""=0"") + COUNTIF(ARRAYFORMULA(HLOOKUP($B63, IMPORTRANGE('Match Names'!$E$23, CONCAT(VLOOKUP($C63, 'Match Names'!$1:$22, 5, FALSE), ""!C3:R29"")), {4;13;18}, FALSE)), ""=0"") + COUNTIF(ARRAYFORMULA(HLOOKUP($B63, IMPORTRANG"&amp;"E('Match Names'!$F$23, CONCAT(VLOOKUP($C63, 'Match Names'!$1:$22, 6, FALSE), ""!C3:R29"")), {7;13;19}, FALSE)), ""=0"") + COUNTIF(ARRAYFORMULA(HLOOKUP($B63, IMPORTRANGE('Match Names'!$G$23, CONCAT(VLOOKUP($C63, 'Match Names'!$1:$22, 7, FALSE), ""!C3:R29"""&amp;")), {11;15;23}, FALSE)), ""=0"") + COUNTIF(ARRAYFORMULA(HLOOKUP($B63, IMPORTRANGE('Match Names'!$H$23, CONCAT(VLOOKUP($C63, 'Match Names'!$1:$22, 8, FALSE), ""!C3:R29"")), {6;12;18}, FALSE)), ""=0"")"),0.0)</f>
        <v>0</v>
      </c>
      <c r="G63" s="32">
        <f>IFERROR(__xludf.DUMMYFUNCTION("COUNTIF(ARRAYFORMULA(HLOOKUP($B63, IMPORTRANGE('Prelim Rankings Unsorted'!$B$40, CONCAT(VLOOKUP($C63, 'Match Names'!$A$1:$D$22, 2, FALSE), ""!C3:R29"")), {12;18;24}, FALSE)), ""=-4"") + COUNTIF(ARRAYFORMULA(HLOOKUP($B63, IMPORTRANGE('Prelim Rankings Unsor"&amp;"ted'!$B$41, CONCAT(VLOOKUP($C63, 'Match Names'!$A$1:$D$22, 3, FALSE), ""!C3:R29"")), {6;12;18}, FALSE)), ""=-4"") + COUNTIF(ARRAYFORMULA(HLOOKUP($B63, IMPORTRANGE('Prelim Rankings Unsorted'!$B$42, CONCAT(VLOOKUP($C63, 'Match Names'!$A$1:$D$22, 4, FALSE), "&amp;"""!C3:R29"")), {6;12;18}, FALSE)), ""=-4"") + COUNTIF(ARRAYFORMULA(HLOOKUP($B63, IMPORTRANGE('Match Names'!$E$23, CONCAT(VLOOKUP($C63, 'Match Names'!$1:$22, 5, FALSE), ""!C3:R29"")), {4;13;18}, FALSE)), ""=-4"") + COUNTIF(ARRAYFORMULA(HLOOKUP($B63, IMPORT"&amp;"RANGE('Match Names'!$F$23, CONCAT(VLOOKUP($C63, 'Match Names'!$1:$22, 6, FALSE), ""!C3:R29"")), {7;13;19}, FALSE)), ""=-4"") + COUNTIF(ARRAYFORMULA(HLOOKUP($B63, IMPORTRANGE('Match Names'!$G$23, CONCAT(VLOOKUP($C63, 'Match Names'!$1:$22, 7, FALSE), ""!C3:"&amp;"R29"")), {11;15;23}, FALSE)), ""=-4"") + COUNTIF(ARRAYFORMULA(HLOOKUP($B63, IMPORTRANGE('Match Names'!$H$23, CONCAT(VLOOKUP($C63, 'Match Names'!$1:$22, 8, FALSE), ""!C3:R29"")), {6;12;18}, FALSE)), ""=-4"")"),0.0)</f>
        <v>0</v>
      </c>
      <c r="H63" s="33">
        <f t="shared" si="1"/>
        <v>0.75</v>
      </c>
    </row>
    <row r="64">
      <c r="A64" s="21" t="s">
        <v>13</v>
      </c>
      <c r="B64" s="31" t="str">
        <f>VLOOKUP(CONCAT(A64, C64), 'Discord Username to Real Name'!C:D, 2, FALSE)</f>
        <v>danliu488#6963</v>
      </c>
      <c r="C64" s="21" t="s">
        <v>22</v>
      </c>
      <c r="D64" s="32">
        <f>IFERROR(__xludf.DUMMYFUNCTION("(3 - COUNTIF(IFERROR(ARRAYFORMULA(HLOOKUP($B64, IMPORTRANGE('Prelim Rankings Unsorted'!$B$40, CONCAT(VLOOKUP($C64, 'Match Names'!$A$1:$D$22, 2, FALSE), ""!C3:R29"")), {12;18;24}, FALSE)), 'Player Overall Stats Unsorted'!$AA$9:$AA$12), ""=X"")) + (3 - COUN"&amp;"TIF(IFERROR(ARRAYFORMULA(HLOOKUP($B64, IMPORTRANGE('Prelim Rankings Unsorted'!$B$41, CONCAT(VLOOKUP($C64, 'Match Names'!$A$1:$D$22, 3, FALSE), ""!C3:R29"")), {6;12;18}, FALSE)), 'Player Overall Stats Unsorted'!$AA$9:$AA$12), ""=X"")) + (3 - COUNTIF(IFERRO"&amp;"R(ARRAYFORMULA(HLOOKUP($B64, IMPORTRANGE('Prelim Rankings Unsorted'!$B$42, CONCAT(VLOOKUP($C64, 'Match Names'!$A$1:$D$22, 4, FALSE), ""!C3:R29"")), {6;12;18}, FALSE)), 'Player Overall Stats Unsorted'!$AA$9:$AA$12), ""=X"")) + (3 - COUNTIF(IFERROR(ARRAYFOR"&amp;"MULA(HLOOKUP($B64, IMPORTRANGE('Match Names'!$E$23, CONCAT(VLOOKUP($C64, 'Match Names'!$1:$22, 5, FALSE), ""!C3:R29"")), {4;13;18}, FALSE)), 'Player Overall Stats Unsorted'!$AA$9:$AA$12), ""=X"")) + (3 - COUNTIF(IFERROR(ARRAYFORMULA(HLOOKUP($B64, IMPORTRA"&amp;"NGE('Match Names'!$F$23, CONCAT(VLOOKUP($C64, 'Match Names'!$1:$22, 6, FALSE), ""!C3:R29"")), {7;13;19}, FALSE)), 'Player Overall Stats Unsorted'!$AA$9:$AA$12), ""=X"")) + (3 - COUNTIF(IFERROR(ARRAYFORMULA(HLOOKUP($B64, IMPORTRANGE('Match Names'!$G$23, CO"&amp;"NCAT(VLOOKUP($C64, 'Match Names'!$1:$22, 7, FALSE), ""!C3:R29"")), {11;15;23}, FALSE)), 'Player Overall Stats Unsorted'!$AA$9:$AA$12), ""=X"")) + (3 - COUNTIF(IFERROR(ARRAYFORMULA(HLOOKUP($B64, IMPORTRANGE('Match Names'!$H$23, CONCAT(VLOOKUP($C64, 'Match "&amp;"Names'!$1:$22, 8, FALSE), ""!C3:R29"")), {6;12;18}, FALSE)), 'Player Overall Stats Unsorted'!$AA$9:$AA$12), ""=X""))"),18.0)</f>
        <v>18</v>
      </c>
      <c r="E64" s="32">
        <f>IFERROR(__xludf.DUMMYFUNCTION("COUNTIF(ARRAYFORMULA(HLOOKUP($B64, IMPORTRANGE('Prelim Rankings Unsorted'!$B$40, CONCAT(VLOOKUP($C64, 'Match Names'!$A$1:$D$22, 2, FALSE), ""!C3:R29"")), {12;18;24}, FALSE)), ""=4"") + COUNTIF(ARRAYFORMULA(HLOOKUP($B64, IMPORTRANGE('Prelim Rankings Unsort"&amp;"ed'!$B$41, CONCAT(VLOOKUP($C64, 'Match Names'!$A$1:$D$22, 3, FALSE), ""!C3:R29"")), {6;12;18}, FALSE)), ""=4"") + COUNTIF(ARRAYFORMULA(HLOOKUP($B64, IMPORTRANGE('Prelim Rankings Unsorted'!$B$42, CONCAT(VLOOKUP($C64, 'Match Names'!$A$1:$D$22, 4, FALSE), """&amp;"!C3:R29"")), {6;12;18}, FALSE)), ""=4"") + COUNTIF(ARRAYFORMULA(HLOOKUP($B64, IMPORTRANGE('Match Names'!$E$23, CONCAT(VLOOKUP($C64, 'Match Names'!$1:$22, 5, FALSE), ""!C3:R29"")), {4;13;18}, FALSE)), ""=4"") + COUNTIF(ARRAYFORMULA(HLOOKUP($B64, IMPORTRANG"&amp;"E('Match Names'!$F$23, CONCAT(VLOOKUP($C64, 'Match Names'!$1:$22, 6, FALSE), ""!C3:R29"")), {7;13;19}, FALSE)), ""=4"") + COUNTIF(ARRAYFORMULA(HLOOKUP($B64, IMPORTRANGE('Match Names'!$G$23, CONCAT(VLOOKUP($C64, 'Match Names'!$1:$22, 7, FALSE), ""!C3:R29"""&amp;")), {11;15;23}, FALSE)), ""=4"") + COUNTIF(ARRAYFORMULA(HLOOKUP($B64, IMPORTRANGE('Match Names'!$H$23, CONCAT(VLOOKUP($C64, 'Match Names'!$1:$22, 8, FALSE), ""!C3:R29"")), {6;12;18}, FALSE)), ""=4"")"),1.0)</f>
        <v>1</v>
      </c>
      <c r="F64" s="32">
        <f>IFERROR(__xludf.DUMMYFUNCTION("COUNTIF(ARRAYFORMULA(HLOOKUP($B64, IMPORTRANGE('Prelim Rankings Unsorted'!$B$40, CONCAT(VLOOKUP($C64, 'Match Names'!$A$1:$D$22, 2, FALSE), ""!C3:R29"")), {12;18;24}, FALSE)), ""=0"") + COUNTIF(ARRAYFORMULA(HLOOKUP($B64, IMPORTRANGE('Prelim Rankings Unsort"&amp;"ed'!$B$41, CONCAT(VLOOKUP($C64, 'Match Names'!$A$1:$D$22, 3, FALSE), ""!C3:R29"")), {6;12;18}, FALSE)), ""=0"") + COUNTIF(ARRAYFORMULA(HLOOKUP($B64, IMPORTRANGE('Prelim Rankings Unsorted'!$B$42, CONCAT(VLOOKUP($C64, 'Match Names'!$A$1:$D$22, 4, FALSE), """&amp;"!C3:R29"")), {6;12;18}, FALSE)), ""=0"") + COUNTIF(ARRAYFORMULA(HLOOKUP($B64, IMPORTRANGE('Match Names'!$E$23, CONCAT(VLOOKUP($C64, 'Match Names'!$1:$22, 5, FALSE), ""!C3:R29"")), {4;13;18}, FALSE)), ""=0"") + COUNTIF(ARRAYFORMULA(HLOOKUP($B64, IMPORTRANG"&amp;"E('Match Names'!$F$23, CONCAT(VLOOKUP($C64, 'Match Names'!$1:$22, 6, FALSE), ""!C3:R29"")), {7;13;19}, FALSE)), ""=0"") + COUNTIF(ARRAYFORMULA(HLOOKUP($B64, IMPORTRANGE('Match Names'!$G$23, CONCAT(VLOOKUP($C64, 'Match Names'!$1:$22, 7, FALSE), ""!C3:R29"""&amp;")), {11;15;23}, FALSE)), ""=0"") + COUNTIF(ARRAYFORMULA(HLOOKUP($B64, IMPORTRANGE('Match Names'!$H$23, CONCAT(VLOOKUP($C64, 'Match Names'!$1:$22, 8, FALSE), ""!C3:R29"")), {6;12;18}, FALSE)), ""=0"")"),0.0)</f>
        <v>0</v>
      </c>
      <c r="G64" s="32">
        <f>IFERROR(__xludf.DUMMYFUNCTION("COUNTIF(ARRAYFORMULA(HLOOKUP($B64, IMPORTRANGE('Prelim Rankings Unsorted'!$B$40, CONCAT(VLOOKUP($C64, 'Match Names'!$A$1:$D$22, 2, FALSE), ""!C3:R29"")), {12;18;24}, FALSE)), ""=-4"") + COUNTIF(ARRAYFORMULA(HLOOKUP($B64, IMPORTRANGE('Prelim Rankings Unsor"&amp;"ted'!$B$41, CONCAT(VLOOKUP($C64, 'Match Names'!$A$1:$D$22, 3, FALSE), ""!C3:R29"")), {6;12;18}, FALSE)), ""=-4"") + COUNTIF(ARRAYFORMULA(HLOOKUP($B64, IMPORTRANGE('Prelim Rankings Unsorted'!$B$42, CONCAT(VLOOKUP($C64, 'Match Names'!$A$1:$D$22, 4, FALSE), "&amp;"""!C3:R29"")), {6;12;18}, FALSE)), ""=-4"") + COUNTIF(ARRAYFORMULA(HLOOKUP($B64, IMPORTRANGE('Match Names'!$E$23, CONCAT(VLOOKUP($C64, 'Match Names'!$1:$22, 5, FALSE), ""!C3:R29"")), {4;13;18}, FALSE)), ""=-4"") + COUNTIF(ARRAYFORMULA(HLOOKUP($B64, IMPORT"&amp;"RANGE('Match Names'!$F$23, CONCAT(VLOOKUP($C64, 'Match Names'!$1:$22, 6, FALSE), ""!C3:R29"")), {7;13;19}, FALSE)), ""=-4"") + COUNTIF(ARRAYFORMULA(HLOOKUP($B64, IMPORTRANGE('Match Names'!$G$23, CONCAT(VLOOKUP($C64, 'Match Names'!$1:$22, 7, FALSE), ""!C3:"&amp;"R29"")), {11;15;23}, FALSE)), ""=-4"") + COUNTIF(ARRAYFORMULA(HLOOKUP($B64, IMPORTRANGE('Match Names'!$H$23, CONCAT(VLOOKUP($C64, 'Match Names'!$1:$22, 8, FALSE), ""!C3:R29"")), {6;12;18}, FALSE)), ""=-4"")"),0.0)</f>
        <v>0</v>
      </c>
      <c r="H64" s="33">
        <f t="shared" si="1"/>
        <v>0.67</v>
      </c>
    </row>
    <row r="65">
      <c r="A65" s="21" t="s">
        <v>99</v>
      </c>
      <c r="B65" s="31" t="str">
        <f>VLOOKUP(CONCAT(A65, C65), 'Discord Username to Real Name'!C:D, 2, FALSE)</f>
        <v>prr#4609</v>
      </c>
      <c r="C65" s="21" t="s">
        <v>22</v>
      </c>
      <c r="D65" s="32">
        <f>IFERROR(__xludf.DUMMYFUNCTION("(3 - COUNTIF(IFERROR(ARRAYFORMULA(HLOOKUP($B65, IMPORTRANGE('Prelim Rankings Unsorted'!$B$40, CONCAT(VLOOKUP($C65, 'Match Names'!$A$1:$D$22, 2, FALSE), ""!C3:R29"")), {12;18;24}, FALSE)), 'Player Overall Stats Unsorted'!$AA$9:$AA$12), ""=X"")) + (3 - COUN"&amp;"TIF(IFERROR(ARRAYFORMULA(HLOOKUP($B65, IMPORTRANGE('Prelim Rankings Unsorted'!$B$41, CONCAT(VLOOKUP($C65, 'Match Names'!$A$1:$D$22, 3, FALSE), ""!C3:R29"")), {6;12;18}, FALSE)), 'Player Overall Stats Unsorted'!$AA$9:$AA$12), ""=X"")) + (3 - COUNTIF(IFERRO"&amp;"R(ARRAYFORMULA(HLOOKUP($B65, IMPORTRANGE('Prelim Rankings Unsorted'!$B$42, CONCAT(VLOOKUP($C65, 'Match Names'!$A$1:$D$22, 4, FALSE), ""!C3:R29"")), {6;12;18}, FALSE)), 'Player Overall Stats Unsorted'!$AA$9:$AA$12), ""=X"")) + (3 - COUNTIF(IFERROR(ARRAYFOR"&amp;"MULA(HLOOKUP($B65, IMPORTRANGE('Match Names'!$E$23, CONCAT(VLOOKUP($C65, 'Match Names'!$1:$22, 5, FALSE), ""!C3:R29"")), {4;13;18}, FALSE)), 'Player Overall Stats Unsorted'!$AA$9:$AA$12), ""=X"")) + (3 - COUNTIF(IFERROR(ARRAYFORMULA(HLOOKUP($B65, IMPORTRA"&amp;"NGE('Match Names'!$F$23, CONCAT(VLOOKUP($C65, 'Match Names'!$1:$22, 6, FALSE), ""!C3:R29"")), {7;13;19}, FALSE)), 'Player Overall Stats Unsorted'!$AA$9:$AA$12), ""=X"")) + (3 - COUNTIF(IFERROR(ARRAYFORMULA(HLOOKUP($B65, IMPORTRANGE('Match Names'!$G$23, CO"&amp;"NCAT(VLOOKUP($C65, 'Match Names'!$1:$22, 7, FALSE), ""!C3:R29"")), {11;15;23}, FALSE)), 'Player Overall Stats Unsorted'!$AA$9:$AA$12), ""=X"")) + (3 - COUNTIF(IFERROR(ARRAYFORMULA(HLOOKUP($B65, IMPORTRANGE('Match Names'!$H$23, CONCAT(VLOOKUP($C65, 'Match "&amp;"Names'!$1:$22, 8, FALSE), ""!C3:R29"")), {6;12;18}, FALSE)), 'Player Overall Stats Unsorted'!$AA$9:$AA$12), ""=X""))"),14.0)</f>
        <v>14</v>
      </c>
      <c r="E65" s="32">
        <f>IFERROR(__xludf.DUMMYFUNCTION("COUNTIF(ARRAYFORMULA(HLOOKUP($B65, IMPORTRANGE('Prelim Rankings Unsorted'!$B$40, CONCAT(VLOOKUP($C65, 'Match Names'!$A$1:$D$22, 2, FALSE), ""!C3:R29"")), {12;18;24}, FALSE)), ""=4"") + COUNTIF(ARRAYFORMULA(HLOOKUP($B65, IMPORTRANGE('Prelim Rankings Unsort"&amp;"ed'!$B$41, CONCAT(VLOOKUP($C65, 'Match Names'!$A$1:$D$22, 3, FALSE), ""!C3:R29"")), {6;12;18}, FALSE)), ""=4"") + COUNTIF(ARRAYFORMULA(HLOOKUP($B65, IMPORTRANGE('Prelim Rankings Unsorted'!$B$42, CONCAT(VLOOKUP($C65, 'Match Names'!$A$1:$D$22, 4, FALSE), """&amp;"!C3:R29"")), {6;12;18}, FALSE)), ""=4"") + COUNTIF(ARRAYFORMULA(HLOOKUP($B65, IMPORTRANGE('Match Names'!$E$23, CONCAT(VLOOKUP($C65, 'Match Names'!$1:$22, 5, FALSE), ""!C3:R29"")), {4;13;18}, FALSE)), ""=4"") + COUNTIF(ARRAYFORMULA(HLOOKUP($B65, IMPORTRANG"&amp;"E('Match Names'!$F$23, CONCAT(VLOOKUP($C65, 'Match Names'!$1:$22, 6, FALSE), ""!C3:R29"")), {7;13;19}, FALSE)), ""=4"") + COUNTIF(ARRAYFORMULA(HLOOKUP($B65, IMPORTRANGE('Match Names'!$G$23, CONCAT(VLOOKUP($C65, 'Match Names'!$1:$22, 7, FALSE), ""!C3:R29"""&amp;")), {11;15;23}, FALSE)), ""=4"") + COUNTIF(ARRAYFORMULA(HLOOKUP($B65, IMPORTRANGE('Match Names'!$H$23, CONCAT(VLOOKUP($C65, 'Match Names'!$1:$22, 8, FALSE), ""!C3:R29"")), {6;12;18}, FALSE)), ""=4"")"),3.0)</f>
        <v>3</v>
      </c>
      <c r="F65" s="32">
        <f>IFERROR(__xludf.DUMMYFUNCTION("COUNTIF(ARRAYFORMULA(HLOOKUP($B65, IMPORTRANGE('Prelim Rankings Unsorted'!$B$40, CONCAT(VLOOKUP($C65, 'Match Names'!$A$1:$D$22, 2, FALSE), ""!C3:R29"")), {12;18;24}, FALSE)), ""=0"") + COUNTIF(ARRAYFORMULA(HLOOKUP($B65, IMPORTRANGE('Prelim Rankings Unsort"&amp;"ed'!$B$41, CONCAT(VLOOKUP($C65, 'Match Names'!$A$1:$D$22, 3, FALSE), ""!C3:R29"")), {6;12;18}, FALSE)), ""=0"") + COUNTIF(ARRAYFORMULA(HLOOKUP($B65, IMPORTRANGE('Prelim Rankings Unsorted'!$B$42, CONCAT(VLOOKUP($C65, 'Match Names'!$A$1:$D$22, 4, FALSE), """&amp;"!C3:R29"")), {6;12;18}, FALSE)), ""=0"") + COUNTIF(ARRAYFORMULA(HLOOKUP($B65, IMPORTRANGE('Match Names'!$E$23, CONCAT(VLOOKUP($C65, 'Match Names'!$1:$22, 5, FALSE), ""!C3:R29"")), {4;13;18}, FALSE)), ""=0"") + COUNTIF(ARRAYFORMULA(HLOOKUP($B65, IMPORTRANG"&amp;"E('Match Names'!$F$23, CONCAT(VLOOKUP($C65, 'Match Names'!$1:$22, 6, FALSE), ""!C3:R29"")), {7;13;19}, FALSE)), ""=0"") + COUNTIF(ARRAYFORMULA(HLOOKUP($B65, IMPORTRANGE('Match Names'!$G$23, CONCAT(VLOOKUP($C65, 'Match Names'!$1:$22, 7, FALSE), ""!C3:R29"""&amp;")), {11;15;23}, FALSE)), ""=0"") + COUNTIF(ARRAYFORMULA(HLOOKUP($B65, IMPORTRANGE('Match Names'!$H$23, CONCAT(VLOOKUP($C65, 'Match Names'!$1:$22, 8, FALSE), ""!C3:R29"")), {6;12;18}, FALSE)), ""=0"")"),0.0)</f>
        <v>0</v>
      </c>
      <c r="G65" s="32">
        <f>IFERROR(__xludf.DUMMYFUNCTION("COUNTIF(ARRAYFORMULA(HLOOKUP($B65, IMPORTRANGE('Prelim Rankings Unsorted'!$B$40, CONCAT(VLOOKUP($C65, 'Match Names'!$A$1:$D$22, 2, FALSE), ""!C3:R29"")), {12;18;24}, FALSE)), ""=-4"") + COUNTIF(ARRAYFORMULA(HLOOKUP($B65, IMPORTRANGE('Prelim Rankings Unsor"&amp;"ted'!$B$41, CONCAT(VLOOKUP($C65, 'Match Names'!$A$1:$D$22, 3, FALSE), ""!C3:R29"")), {6;12;18}, FALSE)), ""=-4"") + COUNTIF(ARRAYFORMULA(HLOOKUP($B65, IMPORTRANGE('Prelim Rankings Unsorted'!$B$42, CONCAT(VLOOKUP($C65, 'Match Names'!$A$1:$D$22, 4, FALSE), "&amp;"""!C3:R29"")), {6;12;18}, FALSE)), ""=-4"") + COUNTIF(ARRAYFORMULA(HLOOKUP($B65, IMPORTRANGE('Match Names'!$E$23, CONCAT(VLOOKUP($C65, 'Match Names'!$1:$22, 5, FALSE), ""!C3:R29"")), {4;13;18}, FALSE)), ""=-4"") + COUNTIF(ARRAYFORMULA(HLOOKUP($B65, IMPORT"&amp;"RANGE('Match Names'!$F$23, CONCAT(VLOOKUP($C65, 'Match Names'!$1:$22, 6, FALSE), ""!C3:R29"")), {7;13;19}, FALSE)), ""=-4"") + COUNTIF(ARRAYFORMULA(HLOOKUP($B65, IMPORTRANGE('Match Names'!$G$23, CONCAT(VLOOKUP($C65, 'Match Names'!$1:$22, 7, FALSE), ""!C3:"&amp;"R29"")), {11;15;23}, FALSE)), ""=-4"") + COUNTIF(ARRAYFORMULA(HLOOKUP($B65, IMPORTRANGE('Match Names'!$H$23, CONCAT(VLOOKUP($C65, 'Match Names'!$1:$22, 8, FALSE), ""!C3:R29"")), {6;12;18}, FALSE)), ""=-4"")"),0.0)</f>
        <v>0</v>
      </c>
      <c r="H65" s="33">
        <f t="shared" si="1"/>
        <v>2.57</v>
      </c>
    </row>
    <row r="66">
      <c r="A66" s="21" t="s">
        <v>174</v>
      </c>
      <c r="B66" s="31" t="str">
        <f>VLOOKUP(CONCAT(A66, C66), 'Discord Username to Real Name'!C:D, 2, FALSE)</f>
        <v>Static#2349</v>
      </c>
      <c r="C66" s="21" t="s">
        <v>22</v>
      </c>
      <c r="D66" s="32">
        <f>IFERROR(__xludf.DUMMYFUNCTION("(3 - COUNTIF(IFERROR(ARRAYFORMULA(HLOOKUP($B66, IMPORTRANGE('Prelim Rankings Unsorted'!$B$40, CONCAT(VLOOKUP($C66, 'Match Names'!$A$1:$D$22, 2, FALSE), ""!C3:R29"")), {12;18;24}, FALSE)), 'Player Overall Stats Unsorted'!$AA$9:$AA$12), ""=X"")) + (3 - COUN"&amp;"TIF(IFERROR(ARRAYFORMULA(HLOOKUP($B66, IMPORTRANGE('Prelim Rankings Unsorted'!$B$41, CONCAT(VLOOKUP($C66, 'Match Names'!$A$1:$D$22, 3, FALSE), ""!C3:R29"")), {6;12;18}, FALSE)), 'Player Overall Stats Unsorted'!$AA$9:$AA$12), ""=X"")) + (3 - COUNTIF(IFERRO"&amp;"R(ARRAYFORMULA(HLOOKUP($B66, IMPORTRANGE('Prelim Rankings Unsorted'!$B$42, CONCAT(VLOOKUP($C66, 'Match Names'!$A$1:$D$22, 4, FALSE), ""!C3:R29"")), {6;12;18}, FALSE)), 'Player Overall Stats Unsorted'!$AA$9:$AA$12), ""=X"")) + (3 - COUNTIF(IFERROR(ARRAYFOR"&amp;"MULA(HLOOKUP($B66, IMPORTRANGE('Match Names'!$E$23, CONCAT(VLOOKUP($C66, 'Match Names'!$1:$22, 5, FALSE), ""!C3:R29"")), {4;13;18}, FALSE)), 'Player Overall Stats Unsorted'!$AA$9:$AA$12), ""=X"")) + (3 - COUNTIF(IFERROR(ARRAYFORMULA(HLOOKUP($B66, IMPORTRA"&amp;"NGE('Match Names'!$F$23, CONCAT(VLOOKUP($C66, 'Match Names'!$1:$22, 6, FALSE), ""!C3:R29"")), {7;13;19}, FALSE)), 'Player Overall Stats Unsorted'!$AA$9:$AA$12), ""=X"")) + (3 - COUNTIF(IFERROR(ARRAYFORMULA(HLOOKUP($B66, IMPORTRANGE('Match Names'!$G$23, CO"&amp;"NCAT(VLOOKUP($C66, 'Match Names'!$1:$22, 7, FALSE), ""!C3:R29"")), {11;15;23}, FALSE)), 'Player Overall Stats Unsorted'!$AA$9:$AA$12), ""=X"")) + (3 - COUNTIF(IFERROR(ARRAYFORMULA(HLOOKUP($B66, IMPORTRANGE('Match Names'!$H$23, CONCAT(VLOOKUP($C66, 'Match "&amp;"Names'!$1:$22, 8, FALSE), ""!C3:R29"")), {6;12;18}, FALSE)), 'Player Overall Stats Unsorted'!$AA$9:$AA$12), ""=X""))"),12.0)</f>
        <v>12</v>
      </c>
      <c r="E66" s="32">
        <f>IFERROR(__xludf.DUMMYFUNCTION("COUNTIF(ARRAYFORMULA(HLOOKUP($B66, IMPORTRANGE('Prelim Rankings Unsorted'!$B$40, CONCAT(VLOOKUP($C66, 'Match Names'!$A$1:$D$22, 2, FALSE), ""!C3:R29"")), {12;18;24}, FALSE)), ""=4"") + COUNTIF(ARRAYFORMULA(HLOOKUP($B66, IMPORTRANGE('Prelim Rankings Unsort"&amp;"ed'!$B$41, CONCAT(VLOOKUP($C66, 'Match Names'!$A$1:$D$22, 3, FALSE), ""!C3:R29"")), {6;12;18}, FALSE)), ""=4"") + COUNTIF(ARRAYFORMULA(HLOOKUP($B66, IMPORTRANGE('Prelim Rankings Unsorted'!$B$42, CONCAT(VLOOKUP($C66, 'Match Names'!$A$1:$D$22, 4, FALSE), """&amp;"!C3:R29"")), {6;12;18}, FALSE)), ""=4"") + COUNTIF(ARRAYFORMULA(HLOOKUP($B66, IMPORTRANGE('Match Names'!$E$23, CONCAT(VLOOKUP($C66, 'Match Names'!$1:$22, 5, FALSE), ""!C3:R29"")), {4;13;18}, FALSE)), ""=4"") + COUNTIF(ARRAYFORMULA(HLOOKUP($B66, IMPORTRANG"&amp;"E('Match Names'!$F$23, CONCAT(VLOOKUP($C66, 'Match Names'!$1:$22, 6, FALSE), ""!C3:R29"")), {7;13;19}, FALSE)), ""=4"") + COUNTIF(ARRAYFORMULA(HLOOKUP($B66, IMPORTRANGE('Match Names'!$G$23, CONCAT(VLOOKUP($C66, 'Match Names'!$1:$22, 7, FALSE), ""!C3:R29"""&amp;")), {11;15;23}, FALSE)), ""=4"") + COUNTIF(ARRAYFORMULA(HLOOKUP($B66, IMPORTRANGE('Match Names'!$H$23, CONCAT(VLOOKUP($C66, 'Match Names'!$1:$22, 8, FALSE), ""!C3:R29"")), {6;12;18}, FALSE)), ""=4"")"),0.0)</f>
        <v>0</v>
      </c>
      <c r="F66" s="32">
        <f>IFERROR(__xludf.DUMMYFUNCTION("COUNTIF(ARRAYFORMULA(HLOOKUP($B66, IMPORTRANGE('Prelim Rankings Unsorted'!$B$40, CONCAT(VLOOKUP($C66, 'Match Names'!$A$1:$D$22, 2, FALSE), ""!C3:R29"")), {12;18;24}, FALSE)), ""=0"") + COUNTIF(ARRAYFORMULA(HLOOKUP($B66, IMPORTRANGE('Prelim Rankings Unsort"&amp;"ed'!$B$41, CONCAT(VLOOKUP($C66, 'Match Names'!$A$1:$D$22, 3, FALSE), ""!C3:R29"")), {6;12;18}, FALSE)), ""=0"") + COUNTIF(ARRAYFORMULA(HLOOKUP($B66, IMPORTRANGE('Prelim Rankings Unsorted'!$B$42, CONCAT(VLOOKUP($C66, 'Match Names'!$A$1:$D$22, 4, FALSE), """&amp;"!C3:R29"")), {6;12;18}, FALSE)), ""=0"") + COUNTIF(ARRAYFORMULA(HLOOKUP($B66, IMPORTRANGE('Match Names'!$E$23, CONCAT(VLOOKUP($C66, 'Match Names'!$1:$22, 5, FALSE), ""!C3:R29"")), {4;13;18}, FALSE)), ""=0"") + COUNTIF(ARRAYFORMULA(HLOOKUP($B66, IMPORTRANG"&amp;"E('Match Names'!$F$23, CONCAT(VLOOKUP($C66, 'Match Names'!$1:$22, 6, FALSE), ""!C3:R29"")), {7;13;19}, FALSE)), ""=0"") + COUNTIF(ARRAYFORMULA(HLOOKUP($B66, IMPORTRANGE('Match Names'!$G$23, CONCAT(VLOOKUP($C66, 'Match Names'!$1:$22, 7, FALSE), ""!C3:R29"""&amp;")), {11;15;23}, FALSE)), ""=0"") + COUNTIF(ARRAYFORMULA(HLOOKUP($B66, IMPORTRANGE('Match Names'!$H$23, CONCAT(VLOOKUP($C66, 'Match Names'!$1:$22, 8, FALSE), ""!C3:R29"")), {6;12;18}, FALSE)), ""=0"")"),0.0)</f>
        <v>0</v>
      </c>
      <c r="G66" s="32">
        <f>IFERROR(__xludf.DUMMYFUNCTION("COUNTIF(ARRAYFORMULA(HLOOKUP($B66, IMPORTRANGE('Prelim Rankings Unsorted'!$B$40, CONCAT(VLOOKUP($C66, 'Match Names'!$A$1:$D$22, 2, FALSE), ""!C3:R29"")), {12;18;24}, FALSE)), ""=-4"") + COUNTIF(ARRAYFORMULA(HLOOKUP($B66, IMPORTRANGE('Prelim Rankings Unsor"&amp;"ted'!$B$41, CONCAT(VLOOKUP($C66, 'Match Names'!$A$1:$D$22, 3, FALSE), ""!C3:R29"")), {6;12;18}, FALSE)), ""=-4"") + COUNTIF(ARRAYFORMULA(HLOOKUP($B66, IMPORTRANGE('Prelim Rankings Unsorted'!$B$42, CONCAT(VLOOKUP($C66, 'Match Names'!$A$1:$D$22, 4, FALSE), "&amp;"""!C3:R29"")), {6;12;18}, FALSE)), ""=-4"") + COUNTIF(ARRAYFORMULA(HLOOKUP($B66, IMPORTRANGE('Match Names'!$E$23, CONCAT(VLOOKUP($C66, 'Match Names'!$1:$22, 5, FALSE), ""!C3:R29"")), {4;13;18}, FALSE)), ""=-4"") + COUNTIF(ARRAYFORMULA(HLOOKUP($B66, IMPORT"&amp;"RANGE('Match Names'!$F$23, CONCAT(VLOOKUP($C66, 'Match Names'!$1:$22, 6, FALSE), ""!C3:R29"")), {7;13;19}, FALSE)), ""=-4"") + COUNTIF(ARRAYFORMULA(HLOOKUP($B66, IMPORTRANGE('Match Names'!$G$23, CONCAT(VLOOKUP($C66, 'Match Names'!$1:$22, 7, FALSE), ""!C3:"&amp;"R29"")), {11;15;23}, FALSE)), ""=-4"") + COUNTIF(ARRAYFORMULA(HLOOKUP($B66, IMPORTRANGE('Match Names'!$H$23, CONCAT(VLOOKUP($C66, 'Match Names'!$1:$22, 8, FALSE), ""!C3:R29"")), {6;12;18}, FALSE)), ""=-4"")"),0.0)</f>
        <v>0</v>
      </c>
      <c r="H66" s="33">
        <f t="shared" si="1"/>
        <v>0</v>
      </c>
    </row>
    <row r="67">
      <c r="A67" s="21" t="s">
        <v>79</v>
      </c>
      <c r="B67" s="31" t="str">
        <f>VLOOKUP(CONCAT(A67, C67), 'Discord Username to Real Name'!C:D, 2, FALSE)</f>
        <v>Serferducter#1979</v>
      </c>
      <c r="C67" s="21" t="s">
        <v>22</v>
      </c>
      <c r="D67" s="32">
        <f>IFERROR(__xludf.DUMMYFUNCTION("(3 - COUNTIF(IFERROR(ARRAYFORMULA(HLOOKUP($B67, IMPORTRANGE('Prelim Rankings Unsorted'!$B$40, CONCAT(VLOOKUP($C67, 'Match Names'!$A$1:$D$22, 2, FALSE), ""!C3:R29"")), {12;18;24}, FALSE)), 'Player Overall Stats Unsorted'!$AA$9:$AA$12), ""=X"")) + (3 - COUN"&amp;"TIF(IFERROR(ARRAYFORMULA(HLOOKUP($B67, IMPORTRANGE('Prelim Rankings Unsorted'!$B$41, CONCAT(VLOOKUP($C67, 'Match Names'!$A$1:$D$22, 3, FALSE), ""!C3:R29"")), {6;12;18}, FALSE)), 'Player Overall Stats Unsorted'!$AA$9:$AA$12), ""=X"")) + (3 - COUNTIF(IFERRO"&amp;"R(ARRAYFORMULA(HLOOKUP($B67, IMPORTRANGE('Prelim Rankings Unsorted'!$B$42, CONCAT(VLOOKUP($C67, 'Match Names'!$A$1:$D$22, 4, FALSE), ""!C3:R29"")), {6;12;18}, FALSE)), 'Player Overall Stats Unsorted'!$AA$9:$AA$12), ""=X"")) + (3 - COUNTIF(IFERROR(ARRAYFOR"&amp;"MULA(HLOOKUP($B67, IMPORTRANGE('Match Names'!$E$23, CONCAT(VLOOKUP($C67, 'Match Names'!$1:$22, 5, FALSE), ""!C3:R29"")), {4;13;18}, FALSE)), 'Player Overall Stats Unsorted'!$AA$9:$AA$12), ""=X"")) + (3 - COUNTIF(IFERROR(ARRAYFORMULA(HLOOKUP($B67, IMPORTRA"&amp;"NGE('Match Names'!$F$23, CONCAT(VLOOKUP($C67, 'Match Names'!$1:$22, 6, FALSE), ""!C3:R29"")), {7;13;19}, FALSE)), 'Player Overall Stats Unsorted'!$AA$9:$AA$12), ""=X"")) + (3 - COUNTIF(IFERROR(ARRAYFORMULA(HLOOKUP($B67, IMPORTRANGE('Match Names'!$G$23, CO"&amp;"NCAT(VLOOKUP($C67, 'Match Names'!$1:$22, 7, FALSE), ""!C3:R29"")), {11;15;23}, FALSE)), 'Player Overall Stats Unsorted'!$AA$9:$AA$12), ""=X"")) + (3 - COUNTIF(IFERROR(ARRAYFORMULA(HLOOKUP($B67, IMPORTRANGE('Match Names'!$H$23, CONCAT(VLOOKUP($C67, 'Match "&amp;"Names'!$1:$22, 8, FALSE), ""!C3:R29"")), {6;12;18}, FALSE)), 'Player Overall Stats Unsorted'!$AA$9:$AA$12), ""=X""))"),16.0)</f>
        <v>16</v>
      </c>
      <c r="E67" s="32">
        <f>IFERROR(__xludf.DUMMYFUNCTION("COUNTIF(ARRAYFORMULA(HLOOKUP($B67, IMPORTRANGE('Prelim Rankings Unsorted'!$B$40, CONCAT(VLOOKUP($C67, 'Match Names'!$A$1:$D$22, 2, FALSE), ""!C3:R29"")), {12;18;24}, FALSE)), ""=4"") + COUNTIF(ARRAYFORMULA(HLOOKUP($B67, IMPORTRANGE('Prelim Rankings Unsort"&amp;"ed'!$B$41, CONCAT(VLOOKUP($C67, 'Match Names'!$A$1:$D$22, 3, FALSE), ""!C3:R29"")), {6;12;18}, FALSE)), ""=4"") + COUNTIF(ARRAYFORMULA(HLOOKUP($B67, IMPORTRANGE('Prelim Rankings Unsorted'!$B$42, CONCAT(VLOOKUP($C67, 'Match Names'!$A$1:$D$22, 4, FALSE), """&amp;"!C3:R29"")), {6;12;18}, FALSE)), ""=4"") + COUNTIF(ARRAYFORMULA(HLOOKUP($B67, IMPORTRANGE('Match Names'!$E$23, CONCAT(VLOOKUP($C67, 'Match Names'!$1:$22, 5, FALSE), ""!C3:R29"")), {4;13;18}, FALSE)), ""=4"") + COUNTIF(ARRAYFORMULA(HLOOKUP($B67, IMPORTRANG"&amp;"E('Match Names'!$F$23, CONCAT(VLOOKUP($C67, 'Match Names'!$1:$22, 6, FALSE), ""!C3:R29"")), {7;13;19}, FALSE)), ""=4"") + COUNTIF(ARRAYFORMULA(HLOOKUP($B67, IMPORTRANGE('Match Names'!$G$23, CONCAT(VLOOKUP($C67, 'Match Names'!$1:$22, 7, FALSE), ""!C3:R29"""&amp;")), {11;15;23}, FALSE)), ""=4"") + COUNTIF(ARRAYFORMULA(HLOOKUP($B67, IMPORTRANGE('Match Names'!$H$23, CONCAT(VLOOKUP($C67, 'Match Names'!$1:$22, 8, FALSE), ""!C3:R29"")), {6;12;18}, FALSE)), ""=4"")"),4.0)</f>
        <v>4</v>
      </c>
      <c r="F67" s="32">
        <f>IFERROR(__xludf.DUMMYFUNCTION("COUNTIF(ARRAYFORMULA(HLOOKUP($B67, IMPORTRANGE('Prelim Rankings Unsorted'!$B$40, CONCAT(VLOOKUP($C67, 'Match Names'!$A$1:$D$22, 2, FALSE), ""!C3:R29"")), {12;18;24}, FALSE)), ""=0"") + COUNTIF(ARRAYFORMULA(HLOOKUP($B67, IMPORTRANGE('Prelim Rankings Unsort"&amp;"ed'!$B$41, CONCAT(VLOOKUP($C67, 'Match Names'!$A$1:$D$22, 3, FALSE), ""!C3:R29"")), {6;12;18}, FALSE)), ""=0"") + COUNTIF(ARRAYFORMULA(HLOOKUP($B67, IMPORTRANGE('Prelim Rankings Unsorted'!$B$42, CONCAT(VLOOKUP($C67, 'Match Names'!$A$1:$D$22, 4, FALSE), """&amp;"!C3:R29"")), {6;12;18}, FALSE)), ""=0"") + COUNTIF(ARRAYFORMULA(HLOOKUP($B67, IMPORTRANGE('Match Names'!$E$23, CONCAT(VLOOKUP($C67, 'Match Names'!$1:$22, 5, FALSE), ""!C3:R29"")), {4;13;18}, FALSE)), ""=0"") + COUNTIF(ARRAYFORMULA(HLOOKUP($B67, IMPORTRANG"&amp;"E('Match Names'!$F$23, CONCAT(VLOOKUP($C67, 'Match Names'!$1:$22, 6, FALSE), ""!C3:R29"")), {7;13;19}, FALSE)), ""=0"") + COUNTIF(ARRAYFORMULA(HLOOKUP($B67, IMPORTRANGE('Match Names'!$G$23, CONCAT(VLOOKUP($C67, 'Match Names'!$1:$22, 7, FALSE), ""!C3:R29"""&amp;")), {11;15;23}, FALSE)), ""=0"") + COUNTIF(ARRAYFORMULA(HLOOKUP($B67, IMPORTRANGE('Match Names'!$H$23, CONCAT(VLOOKUP($C67, 'Match Names'!$1:$22, 8, FALSE), ""!C3:R29"")), {6;12;18}, FALSE)), ""=0"")"),3.0)</f>
        <v>3</v>
      </c>
      <c r="G67" s="32">
        <f>IFERROR(__xludf.DUMMYFUNCTION("COUNTIF(ARRAYFORMULA(HLOOKUP($B67, IMPORTRANGE('Prelim Rankings Unsorted'!$B$40, CONCAT(VLOOKUP($C67, 'Match Names'!$A$1:$D$22, 2, FALSE), ""!C3:R29"")), {12;18;24}, FALSE)), ""=-4"") + COUNTIF(ARRAYFORMULA(HLOOKUP($B67, IMPORTRANGE('Prelim Rankings Unsor"&amp;"ted'!$B$41, CONCAT(VLOOKUP($C67, 'Match Names'!$A$1:$D$22, 3, FALSE), ""!C3:R29"")), {6;12;18}, FALSE)), ""=-4"") + COUNTIF(ARRAYFORMULA(HLOOKUP($B67, IMPORTRANGE('Prelim Rankings Unsorted'!$B$42, CONCAT(VLOOKUP($C67, 'Match Names'!$A$1:$D$22, 4, FALSE), "&amp;"""!C3:R29"")), {6;12;18}, FALSE)), ""=-4"") + COUNTIF(ARRAYFORMULA(HLOOKUP($B67, IMPORTRANGE('Match Names'!$E$23, CONCAT(VLOOKUP($C67, 'Match Names'!$1:$22, 5, FALSE), ""!C3:R29"")), {4;13;18}, FALSE)), ""=-4"") + COUNTIF(ARRAYFORMULA(HLOOKUP($B67, IMPORT"&amp;"RANGE('Match Names'!$F$23, CONCAT(VLOOKUP($C67, 'Match Names'!$1:$22, 6, FALSE), ""!C3:R29"")), {7;13;19}, FALSE)), ""=-4"") + COUNTIF(ARRAYFORMULA(HLOOKUP($B67, IMPORTRANGE('Match Names'!$G$23, CONCAT(VLOOKUP($C67, 'Match Names'!$1:$22, 7, FALSE), ""!C3:"&amp;"R29"")), {11;15;23}, FALSE)), ""=-4"") + COUNTIF(ARRAYFORMULA(HLOOKUP($B67, IMPORTRANGE('Match Names'!$H$23, CONCAT(VLOOKUP($C67, 'Match Names'!$1:$22, 8, FALSE), ""!C3:R29"")), {6;12;18}, FALSE)), ""=-4"")"),0.0)</f>
        <v>0</v>
      </c>
      <c r="H67" s="33">
        <f t="shared" si="1"/>
        <v>3</v>
      </c>
    </row>
    <row r="68">
      <c r="A68" s="21" t="s">
        <v>93</v>
      </c>
      <c r="B68" s="31" t="str">
        <f>VLOOKUP(CONCAT(A68, C68), 'Discord Username to Real Name'!C:D, 2, FALSE)</f>
        <v>Hyperion#5422</v>
      </c>
      <c r="C68" s="21" t="s">
        <v>30</v>
      </c>
      <c r="D68" s="32">
        <f>IFERROR(__xludf.DUMMYFUNCTION("(3 - COUNTIF(IFERROR(ARRAYFORMULA(HLOOKUP($B68, IMPORTRANGE('Prelim Rankings Unsorted'!$B$40, CONCAT(VLOOKUP($C68, 'Match Names'!$A$1:$D$22, 2, FALSE), ""!C3:R29"")), {12;18;24}, FALSE)), 'Player Overall Stats Unsorted'!$AA$9:$AA$12), ""=X"")) + (3 - COUN"&amp;"TIF(IFERROR(ARRAYFORMULA(HLOOKUP($B68, IMPORTRANGE('Prelim Rankings Unsorted'!$B$41, CONCAT(VLOOKUP($C68, 'Match Names'!$A$1:$D$22, 3, FALSE), ""!C3:R29"")), {6;12;18}, FALSE)), 'Player Overall Stats Unsorted'!$AA$9:$AA$12), ""=X"")) + (3 - COUNTIF(IFERRO"&amp;"R(ARRAYFORMULA(HLOOKUP($B68, IMPORTRANGE('Prelim Rankings Unsorted'!$B$42, CONCAT(VLOOKUP($C68, 'Match Names'!$A$1:$D$22, 4, FALSE), ""!C3:R29"")), {6;12;18}, FALSE)), 'Player Overall Stats Unsorted'!$AA$9:$AA$12), ""=X"")) + (3 - COUNTIF(IFERROR(ARRAYFOR"&amp;"MULA(HLOOKUP($B68, IMPORTRANGE('Match Names'!$E$23, CONCAT(VLOOKUP($C68, 'Match Names'!$1:$22, 5, FALSE), ""!C3:R29"")), {4;13;18}, FALSE)), 'Player Overall Stats Unsorted'!$AA$9:$AA$12), ""=X"")) + (3 - COUNTIF(IFERROR(ARRAYFORMULA(HLOOKUP($B68, IMPORTRA"&amp;"NGE('Match Names'!$F$23, CONCAT(VLOOKUP($C68, 'Match Names'!$1:$22, 6, FALSE), ""!C3:R29"")), {7;13;19}, FALSE)), 'Player Overall Stats Unsorted'!$AA$9:$AA$12), ""=X"")) + (3 - COUNTIF(IFERROR(ARRAYFORMULA(HLOOKUP($B68, IMPORTRANGE('Match Names'!$G$23, CO"&amp;"NCAT(VLOOKUP($C68, 'Match Names'!$1:$22, 7, FALSE), ""!C3:R29"")), {11;15;23}, FALSE)), 'Player Overall Stats Unsorted'!$AA$9:$AA$12), ""=X"")) + (3 - COUNTIF(IFERROR(ARRAYFORMULA(HLOOKUP($B68, IMPORTRANGE('Match Names'!$H$23, CONCAT(VLOOKUP($C68, 'Match "&amp;"Names'!$1:$22, 8, FALSE), ""!C3:R29"")), {6;12;18}, FALSE)), 'Player Overall Stats Unsorted'!$AA$9:$AA$12), ""=X""))"),12.0)</f>
        <v>12</v>
      </c>
      <c r="E68" s="32">
        <f>IFERROR(__xludf.DUMMYFUNCTION("COUNTIF(ARRAYFORMULA(HLOOKUP($B68, IMPORTRANGE('Prelim Rankings Unsorted'!$B$40, CONCAT(VLOOKUP($C68, 'Match Names'!$A$1:$D$22, 2, FALSE), ""!C3:R29"")), {12;18;24}, FALSE)), ""=4"") + COUNTIF(ARRAYFORMULA(HLOOKUP($B68, IMPORTRANGE('Prelim Rankings Unsort"&amp;"ed'!$B$41, CONCAT(VLOOKUP($C68, 'Match Names'!$A$1:$D$22, 3, FALSE), ""!C3:R29"")), {6;12;18}, FALSE)), ""=4"") + COUNTIF(ARRAYFORMULA(HLOOKUP($B68, IMPORTRANGE('Prelim Rankings Unsorted'!$B$42, CONCAT(VLOOKUP($C68, 'Match Names'!$A$1:$D$22, 4, FALSE), """&amp;"!C3:R29"")), {6;12;18}, FALSE)), ""=4"") + COUNTIF(ARRAYFORMULA(HLOOKUP($B68, IMPORTRANGE('Match Names'!$E$23, CONCAT(VLOOKUP($C68, 'Match Names'!$1:$22, 5, FALSE), ""!C3:R29"")), {4;13;18}, FALSE)), ""=4"") + COUNTIF(ARRAYFORMULA(HLOOKUP($B68, IMPORTRANG"&amp;"E('Match Names'!$F$23, CONCAT(VLOOKUP($C68, 'Match Names'!$1:$22, 6, FALSE), ""!C3:R29"")), {7;13;19}, FALSE)), ""=4"") + COUNTIF(ARRAYFORMULA(HLOOKUP($B68, IMPORTRANGE('Match Names'!$G$23, CONCAT(VLOOKUP($C68, 'Match Names'!$1:$22, 7, FALSE), ""!C3:R29"""&amp;")), {11;15;23}, FALSE)), ""=4"") + COUNTIF(ARRAYFORMULA(HLOOKUP($B68, IMPORTRANGE('Match Names'!$H$23, CONCAT(VLOOKUP($C68, 'Match Names'!$1:$22, 8, FALSE), ""!C3:R29"")), {6;12;18}, FALSE)), ""=4"")"),0.0)</f>
        <v>0</v>
      </c>
      <c r="F68" s="32">
        <f>IFERROR(__xludf.DUMMYFUNCTION("COUNTIF(ARRAYFORMULA(HLOOKUP($B68, IMPORTRANGE('Prelim Rankings Unsorted'!$B$40, CONCAT(VLOOKUP($C68, 'Match Names'!$A$1:$D$22, 2, FALSE), ""!C3:R29"")), {12;18;24}, FALSE)), ""=0"") + COUNTIF(ARRAYFORMULA(HLOOKUP($B68, IMPORTRANGE('Prelim Rankings Unsort"&amp;"ed'!$B$41, CONCAT(VLOOKUP($C68, 'Match Names'!$A$1:$D$22, 3, FALSE), ""!C3:R29"")), {6;12;18}, FALSE)), ""=0"") + COUNTIF(ARRAYFORMULA(HLOOKUP($B68, IMPORTRANGE('Prelim Rankings Unsorted'!$B$42, CONCAT(VLOOKUP($C68, 'Match Names'!$A$1:$D$22, 4, FALSE), """&amp;"!C3:R29"")), {6;12;18}, FALSE)), ""=0"") + COUNTIF(ARRAYFORMULA(HLOOKUP($B68, IMPORTRANGE('Match Names'!$E$23, CONCAT(VLOOKUP($C68, 'Match Names'!$1:$22, 5, FALSE), ""!C3:R29"")), {4;13;18}, FALSE)), ""=0"") + COUNTIF(ARRAYFORMULA(HLOOKUP($B68, IMPORTRANG"&amp;"E('Match Names'!$F$23, CONCAT(VLOOKUP($C68, 'Match Names'!$1:$22, 6, FALSE), ""!C3:R29"")), {7;13;19}, FALSE)), ""=0"") + COUNTIF(ARRAYFORMULA(HLOOKUP($B68, IMPORTRANGE('Match Names'!$G$23, CONCAT(VLOOKUP($C68, 'Match Names'!$1:$22, 7, FALSE), ""!C3:R29"""&amp;")), {11;15;23}, FALSE)), ""=0"") + COUNTIF(ARRAYFORMULA(HLOOKUP($B68, IMPORTRANGE('Match Names'!$H$23, CONCAT(VLOOKUP($C68, 'Match Names'!$1:$22, 8, FALSE), ""!C3:R29"")), {6;12;18}, FALSE)), ""=0"")"),1.0)</f>
        <v>1</v>
      </c>
      <c r="G68" s="32">
        <f>IFERROR(__xludf.DUMMYFUNCTION("COUNTIF(ARRAYFORMULA(HLOOKUP($B68, IMPORTRANGE('Prelim Rankings Unsorted'!$B$40, CONCAT(VLOOKUP($C68, 'Match Names'!$A$1:$D$22, 2, FALSE), ""!C3:R29"")), {12;18;24}, FALSE)), ""=-4"") + COUNTIF(ARRAYFORMULA(HLOOKUP($B68, IMPORTRANGE('Prelim Rankings Unsor"&amp;"ted'!$B$41, CONCAT(VLOOKUP($C68, 'Match Names'!$A$1:$D$22, 3, FALSE), ""!C3:R29"")), {6;12;18}, FALSE)), ""=-4"") + COUNTIF(ARRAYFORMULA(HLOOKUP($B68, IMPORTRANGE('Prelim Rankings Unsorted'!$B$42, CONCAT(VLOOKUP($C68, 'Match Names'!$A$1:$D$22, 4, FALSE), "&amp;"""!C3:R29"")), {6;12;18}, FALSE)), ""=-4"") + COUNTIF(ARRAYFORMULA(HLOOKUP($B68, IMPORTRANGE('Match Names'!$E$23, CONCAT(VLOOKUP($C68, 'Match Names'!$1:$22, 5, FALSE), ""!C3:R29"")), {4;13;18}, FALSE)), ""=-4"") + COUNTIF(ARRAYFORMULA(HLOOKUP($B68, IMPORT"&amp;"RANGE('Match Names'!$F$23, CONCAT(VLOOKUP($C68, 'Match Names'!$1:$22, 6, FALSE), ""!C3:R29"")), {7;13;19}, FALSE)), ""=-4"") + COUNTIF(ARRAYFORMULA(HLOOKUP($B68, IMPORTRANGE('Match Names'!$G$23, CONCAT(VLOOKUP($C68, 'Match Names'!$1:$22, 7, FALSE), ""!C3:"&amp;"R29"")), {11;15;23}, FALSE)), ""=-4"") + COUNTIF(ARRAYFORMULA(HLOOKUP($B68, IMPORTRANGE('Match Names'!$H$23, CONCAT(VLOOKUP($C68, 'Match Names'!$1:$22, 8, FALSE), ""!C3:R29"")), {6;12;18}, FALSE)), ""=-4"")"),0.0)</f>
        <v>0</v>
      </c>
      <c r="H68" s="33">
        <f t="shared" si="1"/>
        <v>0</v>
      </c>
    </row>
    <row r="69">
      <c r="A69" s="21" t="s">
        <v>160</v>
      </c>
      <c r="B69" s="31" t="str">
        <f>VLOOKUP(CONCAT(A69, C69), 'Discord Username to Real Name'!C:D, 2, FALSE)</f>
        <v>luczha003#3376</v>
      </c>
      <c r="C69" s="21" t="s">
        <v>30</v>
      </c>
      <c r="D69" s="32">
        <f>IFERROR(__xludf.DUMMYFUNCTION("(3 - COUNTIF(IFERROR(ARRAYFORMULA(HLOOKUP($B69, IMPORTRANGE('Prelim Rankings Unsorted'!$B$40, CONCAT(VLOOKUP($C69, 'Match Names'!$A$1:$D$22, 2, FALSE), ""!C3:R29"")), {12;18;24}, FALSE)), 'Player Overall Stats Unsorted'!$AA$9:$AA$12), ""=X"")) + (3 - COUN"&amp;"TIF(IFERROR(ARRAYFORMULA(HLOOKUP($B69, IMPORTRANGE('Prelim Rankings Unsorted'!$B$41, CONCAT(VLOOKUP($C69, 'Match Names'!$A$1:$D$22, 3, FALSE), ""!C3:R29"")), {6;12;18}, FALSE)), 'Player Overall Stats Unsorted'!$AA$9:$AA$12), ""=X"")) + (3 - COUNTIF(IFERRO"&amp;"R(ARRAYFORMULA(HLOOKUP($B69, IMPORTRANGE('Prelim Rankings Unsorted'!$B$42, CONCAT(VLOOKUP($C69, 'Match Names'!$A$1:$D$22, 4, FALSE), ""!C3:R29"")), {6;12;18}, FALSE)), 'Player Overall Stats Unsorted'!$AA$9:$AA$12), ""=X"")) + (3 - COUNTIF(IFERROR(ARRAYFOR"&amp;"MULA(HLOOKUP($B69, IMPORTRANGE('Match Names'!$E$23, CONCAT(VLOOKUP($C69, 'Match Names'!$1:$22, 5, FALSE), ""!C3:R29"")), {4;13;18}, FALSE)), 'Player Overall Stats Unsorted'!$AA$9:$AA$12), ""=X"")) + (3 - COUNTIF(IFERROR(ARRAYFORMULA(HLOOKUP($B69, IMPORTRA"&amp;"NGE('Match Names'!$F$23, CONCAT(VLOOKUP($C69, 'Match Names'!$1:$22, 6, FALSE), ""!C3:R29"")), {7;13;19}, FALSE)), 'Player Overall Stats Unsorted'!$AA$9:$AA$12), ""=X"")) + (3 - COUNTIF(IFERROR(ARRAYFORMULA(HLOOKUP($B69, IMPORTRANGE('Match Names'!$G$23, CO"&amp;"NCAT(VLOOKUP($C69, 'Match Names'!$1:$22, 7, FALSE), ""!C3:R29"")), {11;15;23}, FALSE)), 'Player Overall Stats Unsorted'!$AA$9:$AA$12), ""=X"")) + (3 - COUNTIF(IFERROR(ARRAYFORMULA(HLOOKUP($B69, IMPORTRANGE('Match Names'!$H$23, CONCAT(VLOOKUP($C69, 'Match "&amp;"Names'!$1:$22, 8, FALSE), ""!C3:R29"")), {6;12;18}, FALSE)), 'Player Overall Stats Unsorted'!$AA$9:$AA$12), ""=X""))"),9.0)</f>
        <v>9</v>
      </c>
      <c r="E69" s="32">
        <f>IFERROR(__xludf.DUMMYFUNCTION("COUNTIF(ARRAYFORMULA(HLOOKUP($B69, IMPORTRANGE('Prelim Rankings Unsorted'!$B$40, CONCAT(VLOOKUP($C69, 'Match Names'!$A$1:$D$22, 2, FALSE), ""!C3:R29"")), {12;18;24}, FALSE)), ""=4"") + COUNTIF(ARRAYFORMULA(HLOOKUP($B69, IMPORTRANGE('Prelim Rankings Unsort"&amp;"ed'!$B$41, CONCAT(VLOOKUP($C69, 'Match Names'!$A$1:$D$22, 3, FALSE), ""!C3:R29"")), {6;12;18}, FALSE)), ""=4"") + COUNTIF(ARRAYFORMULA(HLOOKUP($B69, IMPORTRANGE('Prelim Rankings Unsorted'!$B$42, CONCAT(VLOOKUP($C69, 'Match Names'!$A$1:$D$22, 4, FALSE), """&amp;"!C3:R29"")), {6;12;18}, FALSE)), ""=4"") + COUNTIF(ARRAYFORMULA(HLOOKUP($B69, IMPORTRANGE('Match Names'!$E$23, CONCAT(VLOOKUP($C69, 'Match Names'!$1:$22, 5, FALSE), ""!C3:R29"")), {4;13;18}, FALSE)), ""=4"") + COUNTIF(ARRAYFORMULA(HLOOKUP($B69, IMPORTRANG"&amp;"E('Match Names'!$F$23, CONCAT(VLOOKUP($C69, 'Match Names'!$1:$22, 6, FALSE), ""!C3:R29"")), {7;13;19}, FALSE)), ""=4"") + COUNTIF(ARRAYFORMULA(HLOOKUP($B69, IMPORTRANGE('Match Names'!$G$23, CONCAT(VLOOKUP($C69, 'Match Names'!$1:$22, 7, FALSE), ""!C3:R29"""&amp;")), {11;15;23}, FALSE)), ""=4"") + COUNTIF(ARRAYFORMULA(HLOOKUP($B69, IMPORTRANGE('Match Names'!$H$23, CONCAT(VLOOKUP($C69, 'Match Names'!$1:$22, 8, FALSE), ""!C3:R29"")), {6;12;18}, FALSE)), ""=4"")"),0.0)</f>
        <v>0</v>
      </c>
      <c r="F69" s="32">
        <f>IFERROR(__xludf.DUMMYFUNCTION("COUNTIF(ARRAYFORMULA(HLOOKUP($B69, IMPORTRANGE('Prelim Rankings Unsorted'!$B$40, CONCAT(VLOOKUP($C69, 'Match Names'!$A$1:$D$22, 2, FALSE), ""!C3:R29"")), {12;18;24}, FALSE)), ""=0"") + COUNTIF(ARRAYFORMULA(HLOOKUP($B69, IMPORTRANGE('Prelim Rankings Unsort"&amp;"ed'!$B$41, CONCAT(VLOOKUP($C69, 'Match Names'!$A$1:$D$22, 3, FALSE), ""!C3:R29"")), {6;12;18}, FALSE)), ""=0"") + COUNTIF(ARRAYFORMULA(HLOOKUP($B69, IMPORTRANGE('Prelim Rankings Unsorted'!$B$42, CONCAT(VLOOKUP($C69, 'Match Names'!$A$1:$D$22, 4, FALSE), """&amp;"!C3:R29"")), {6;12;18}, FALSE)), ""=0"") + COUNTIF(ARRAYFORMULA(HLOOKUP($B69, IMPORTRANGE('Match Names'!$E$23, CONCAT(VLOOKUP($C69, 'Match Names'!$1:$22, 5, FALSE), ""!C3:R29"")), {4;13;18}, FALSE)), ""=0"") + COUNTIF(ARRAYFORMULA(HLOOKUP($B69, IMPORTRANG"&amp;"E('Match Names'!$F$23, CONCAT(VLOOKUP($C69, 'Match Names'!$1:$22, 6, FALSE), ""!C3:R29"")), {7;13;19}, FALSE)), ""=0"") + COUNTIF(ARRAYFORMULA(HLOOKUP($B69, IMPORTRANGE('Match Names'!$G$23, CONCAT(VLOOKUP($C69, 'Match Names'!$1:$22, 7, FALSE), ""!C3:R29"""&amp;")), {11;15;23}, FALSE)), ""=0"") + COUNTIF(ARRAYFORMULA(HLOOKUP($B69, IMPORTRANGE('Match Names'!$H$23, CONCAT(VLOOKUP($C69, 'Match Names'!$1:$22, 8, FALSE), ""!C3:R29"")), {6;12;18}, FALSE)), ""=0"")"),0.0)</f>
        <v>0</v>
      </c>
      <c r="G69" s="32">
        <f>IFERROR(__xludf.DUMMYFUNCTION("COUNTIF(ARRAYFORMULA(HLOOKUP($B69, IMPORTRANGE('Prelim Rankings Unsorted'!$B$40, CONCAT(VLOOKUP($C69, 'Match Names'!$A$1:$D$22, 2, FALSE), ""!C3:R29"")), {12;18;24}, FALSE)), ""=-4"") + COUNTIF(ARRAYFORMULA(HLOOKUP($B69, IMPORTRANGE('Prelim Rankings Unsor"&amp;"ted'!$B$41, CONCAT(VLOOKUP($C69, 'Match Names'!$A$1:$D$22, 3, FALSE), ""!C3:R29"")), {6;12;18}, FALSE)), ""=-4"") + COUNTIF(ARRAYFORMULA(HLOOKUP($B69, IMPORTRANGE('Prelim Rankings Unsorted'!$B$42, CONCAT(VLOOKUP($C69, 'Match Names'!$A$1:$D$22, 4, FALSE), "&amp;"""!C3:R29"")), {6;12;18}, FALSE)), ""=-4"") + COUNTIF(ARRAYFORMULA(HLOOKUP($B69, IMPORTRANGE('Match Names'!$E$23, CONCAT(VLOOKUP($C69, 'Match Names'!$1:$22, 5, FALSE), ""!C3:R29"")), {4;13;18}, FALSE)), ""=-4"") + COUNTIF(ARRAYFORMULA(HLOOKUP($B69, IMPORT"&amp;"RANGE('Match Names'!$F$23, CONCAT(VLOOKUP($C69, 'Match Names'!$1:$22, 6, FALSE), ""!C3:R29"")), {7;13;19}, FALSE)), ""=-4"") + COUNTIF(ARRAYFORMULA(HLOOKUP($B69, IMPORTRANGE('Match Names'!$G$23, CONCAT(VLOOKUP($C69, 'Match Names'!$1:$22, 7, FALSE), ""!C3:"&amp;"R29"")), {11;15;23}, FALSE)), ""=-4"") + COUNTIF(ARRAYFORMULA(HLOOKUP($B69, IMPORTRANGE('Match Names'!$H$23, CONCAT(VLOOKUP($C69, 'Match Names'!$1:$22, 8, FALSE), ""!C3:R29"")), {6;12;18}, FALSE)), ""=-4"")"),1.0)</f>
        <v>1</v>
      </c>
      <c r="H69" s="33">
        <f t="shared" si="1"/>
        <v>-1.33</v>
      </c>
    </row>
    <row r="70">
      <c r="A70" s="21" t="s">
        <v>202</v>
      </c>
      <c r="B70" s="31" t="str">
        <f>VLOOKUP(CONCAT(A70, C70), 'Discord Username to Real Name'!C:D, 2, FALSE)</f>
        <v>Ritz#0792</v>
      </c>
      <c r="C70" s="21" t="s">
        <v>30</v>
      </c>
      <c r="D70" s="32">
        <f>IFERROR(__xludf.DUMMYFUNCTION("(3 - COUNTIF(IFERROR(ARRAYFORMULA(HLOOKUP($B70, IMPORTRANGE('Prelim Rankings Unsorted'!$B$40, CONCAT(VLOOKUP($C70, 'Match Names'!$A$1:$D$22, 2, FALSE), ""!C3:R29"")), {12;18;24}, FALSE)), 'Player Overall Stats Unsorted'!$AA$9:$AA$12), ""=X"")) + (3 - COUN"&amp;"TIF(IFERROR(ARRAYFORMULA(HLOOKUP($B70, IMPORTRANGE('Prelim Rankings Unsorted'!$B$41, CONCAT(VLOOKUP($C70, 'Match Names'!$A$1:$D$22, 3, FALSE), ""!C3:R29"")), {6;12;18}, FALSE)), 'Player Overall Stats Unsorted'!$AA$9:$AA$12), ""=X"")) + (3 - COUNTIF(IFERRO"&amp;"R(ARRAYFORMULA(HLOOKUP($B70, IMPORTRANGE('Prelim Rankings Unsorted'!$B$42, CONCAT(VLOOKUP($C70, 'Match Names'!$A$1:$D$22, 4, FALSE), ""!C3:R29"")), {6;12;18}, FALSE)), 'Player Overall Stats Unsorted'!$AA$9:$AA$12), ""=X"")) + (3 - COUNTIF(IFERROR(ARRAYFOR"&amp;"MULA(HLOOKUP($B70, IMPORTRANGE('Match Names'!$E$23, CONCAT(VLOOKUP($C70, 'Match Names'!$1:$22, 5, FALSE), ""!C3:R29"")), {4;13;18}, FALSE)), 'Player Overall Stats Unsorted'!$AA$9:$AA$12), ""=X"")) + (3 - COUNTIF(IFERROR(ARRAYFORMULA(HLOOKUP($B70, IMPORTRA"&amp;"NGE('Match Names'!$F$23, CONCAT(VLOOKUP($C70, 'Match Names'!$1:$22, 6, FALSE), ""!C3:R29"")), {7;13;19}, FALSE)), 'Player Overall Stats Unsorted'!$AA$9:$AA$12), ""=X"")) + (3 - COUNTIF(IFERROR(ARRAYFORMULA(HLOOKUP($B70, IMPORTRANGE('Match Names'!$G$23, CO"&amp;"NCAT(VLOOKUP($C70, 'Match Names'!$1:$22, 7, FALSE), ""!C3:R29"")), {11;15;23}, FALSE)), 'Player Overall Stats Unsorted'!$AA$9:$AA$12), ""=X"")) + (3 - COUNTIF(IFERROR(ARRAYFORMULA(HLOOKUP($B70, IMPORTRANGE('Match Names'!$H$23, CONCAT(VLOOKUP($C70, 'Match "&amp;"Names'!$1:$22, 8, FALSE), ""!C3:R29"")), {6;12;18}, FALSE)), 'Player Overall Stats Unsorted'!$AA$9:$AA$12), ""=X""))"),0.0)</f>
        <v>0</v>
      </c>
      <c r="E70" s="32">
        <f>IFERROR(__xludf.DUMMYFUNCTION("COUNTIF(ARRAYFORMULA(HLOOKUP($B70, IMPORTRANGE('Prelim Rankings Unsorted'!$B$40, CONCAT(VLOOKUP($C70, 'Match Names'!$A$1:$D$22, 2, FALSE), ""!C3:R29"")), {12;18;24}, FALSE)), ""=4"") + COUNTIF(ARRAYFORMULA(HLOOKUP($B70, IMPORTRANGE('Prelim Rankings Unsort"&amp;"ed'!$B$41, CONCAT(VLOOKUP($C70, 'Match Names'!$A$1:$D$22, 3, FALSE), ""!C3:R29"")), {6;12;18}, FALSE)), ""=4"") + COUNTIF(ARRAYFORMULA(HLOOKUP($B70, IMPORTRANGE('Prelim Rankings Unsorted'!$B$42, CONCAT(VLOOKUP($C70, 'Match Names'!$A$1:$D$22, 4, FALSE), """&amp;"!C3:R29"")), {6;12;18}, FALSE)), ""=4"") + COUNTIF(ARRAYFORMULA(HLOOKUP($B70, IMPORTRANGE('Match Names'!$E$23, CONCAT(VLOOKUP($C70, 'Match Names'!$1:$22, 5, FALSE), ""!C3:R29"")), {4;13;18}, FALSE)), ""=4"") + COUNTIF(ARRAYFORMULA(HLOOKUP($B70, IMPORTRANG"&amp;"E('Match Names'!$F$23, CONCAT(VLOOKUP($C70, 'Match Names'!$1:$22, 6, FALSE), ""!C3:R29"")), {7;13;19}, FALSE)), ""=4"") + COUNTIF(ARRAYFORMULA(HLOOKUP($B70, IMPORTRANGE('Match Names'!$G$23, CONCAT(VLOOKUP($C70, 'Match Names'!$1:$22, 7, FALSE), ""!C3:R29"""&amp;")), {11;15;23}, FALSE)), ""=4"") + COUNTIF(ARRAYFORMULA(HLOOKUP($B70, IMPORTRANGE('Match Names'!$H$23, CONCAT(VLOOKUP($C70, 'Match Names'!$1:$22, 8, FALSE), ""!C3:R29"")), {6;12;18}, FALSE)), ""=4"")"),0.0)</f>
        <v>0</v>
      </c>
      <c r="F70" s="32">
        <f>IFERROR(__xludf.DUMMYFUNCTION("COUNTIF(ARRAYFORMULA(HLOOKUP($B70, IMPORTRANGE('Prelim Rankings Unsorted'!$B$40, CONCAT(VLOOKUP($C70, 'Match Names'!$A$1:$D$22, 2, FALSE), ""!C3:R29"")), {12;18;24}, FALSE)), ""=0"") + COUNTIF(ARRAYFORMULA(HLOOKUP($B70, IMPORTRANGE('Prelim Rankings Unsort"&amp;"ed'!$B$41, CONCAT(VLOOKUP($C70, 'Match Names'!$A$1:$D$22, 3, FALSE), ""!C3:R29"")), {6;12;18}, FALSE)), ""=0"") + COUNTIF(ARRAYFORMULA(HLOOKUP($B70, IMPORTRANGE('Prelim Rankings Unsorted'!$B$42, CONCAT(VLOOKUP($C70, 'Match Names'!$A$1:$D$22, 4, FALSE), """&amp;"!C3:R29"")), {6;12;18}, FALSE)), ""=0"") + COUNTIF(ARRAYFORMULA(HLOOKUP($B70, IMPORTRANGE('Match Names'!$E$23, CONCAT(VLOOKUP($C70, 'Match Names'!$1:$22, 5, FALSE), ""!C3:R29"")), {4;13;18}, FALSE)), ""=0"") + COUNTIF(ARRAYFORMULA(HLOOKUP($B70, IMPORTRANG"&amp;"E('Match Names'!$F$23, CONCAT(VLOOKUP($C70, 'Match Names'!$1:$22, 6, FALSE), ""!C3:R29"")), {7;13;19}, FALSE)), ""=0"") + COUNTIF(ARRAYFORMULA(HLOOKUP($B70, IMPORTRANGE('Match Names'!$G$23, CONCAT(VLOOKUP($C70, 'Match Names'!$1:$22, 7, FALSE), ""!C3:R29"""&amp;")), {11;15;23}, FALSE)), ""=0"") + COUNTIF(ARRAYFORMULA(HLOOKUP($B70, IMPORTRANGE('Match Names'!$H$23, CONCAT(VLOOKUP($C70, 'Match Names'!$1:$22, 8, FALSE), ""!C3:R29"")), {6;12;18}, FALSE)), ""=0"")"),0.0)</f>
        <v>0</v>
      </c>
      <c r="G70" s="32">
        <f>IFERROR(__xludf.DUMMYFUNCTION("COUNTIF(ARRAYFORMULA(HLOOKUP($B70, IMPORTRANGE('Prelim Rankings Unsorted'!$B$40, CONCAT(VLOOKUP($C70, 'Match Names'!$A$1:$D$22, 2, FALSE), ""!C3:R29"")), {12;18;24}, FALSE)), ""=-4"") + COUNTIF(ARRAYFORMULA(HLOOKUP($B70, IMPORTRANGE('Prelim Rankings Unsor"&amp;"ted'!$B$41, CONCAT(VLOOKUP($C70, 'Match Names'!$A$1:$D$22, 3, FALSE), ""!C3:R29"")), {6;12;18}, FALSE)), ""=-4"") + COUNTIF(ARRAYFORMULA(HLOOKUP($B70, IMPORTRANGE('Prelim Rankings Unsorted'!$B$42, CONCAT(VLOOKUP($C70, 'Match Names'!$A$1:$D$22, 4, FALSE), "&amp;"""!C3:R29"")), {6;12;18}, FALSE)), ""=-4"") + COUNTIF(ARRAYFORMULA(HLOOKUP($B70, IMPORTRANGE('Match Names'!$E$23, CONCAT(VLOOKUP($C70, 'Match Names'!$1:$22, 5, FALSE), ""!C3:R29"")), {4;13;18}, FALSE)), ""=-4"") + COUNTIF(ARRAYFORMULA(HLOOKUP($B70, IMPORT"&amp;"RANGE('Match Names'!$F$23, CONCAT(VLOOKUP($C70, 'Match Names'!$1:$22, 6, FALSE), ""!C3:R29"")), {7;13;19}, FALSE)), ""=-4"") + COUNTIF(ARRAYFORMULA(HLOOKUP($B70, IMPORTRANGE('Match Names'!$G$23, CONCAT(VLOOKUP($C70, 'Match Names'!$1:$22, 7, FALSE), ""!C3:"&amp;"R29"")), {11;15;23}, FALSE)), ""=-4"") + COUNTIF(ARRAYFORMULA(HLOOKUP($B70, IMPORTRANGE('Match Names'!$H$23, CONCAT(VLOOKUP($C70, 'Match Names'!$1:$22, 8, FALSE), ""!C3:R29"")), {6;12;18}, FALSE)), ""=-4"")"),0.0)</f>
        <v>0</v>
      </c>
      <c r="H70" s="33">
        <f t="shared" si="1"/>
        <v>0</v>
      </c>
    </row>
    <row r="71">
      <c r="A71" s="21" t="s">
        <v>148</v>
      </c>
      <c r="B71" s="31" t="str">
        <f>VLOOKUP(CONCAT(A71, C71), 'Discord Username to Real Name'!C:D, 2, FALSE)</f>
        <v>RR#5337</v>
      </c>
      <c r="C71" s="21" t="s">
        <v>30</v>
      </c>
      <c r="D71" s="32">
        <f>IFERROR(__xludf.DUMMYFUNCTION("(3 - COUNTIF(IFERROR(ARRAYFORMULA(HLOOKUP($B71, IMPORTRANGE('Prelim Rankings Unsorted'!$B$40, CONCAT(VLOOKUP($C71, 'Match Names'!$A$1:$D$22, 2, FALSE), ""!C3:R29"")), {12;18;24}, FALSE)), 'Player Overall Stats Unsorted'!$AA$9:$AA$12), ""=X"")) + (3 - COUN"&amp;"TIF(IFERROR(ARRAYFORMULA(HLOOKUP($B71, IMPORTRANGE('Prelim Rankings Unsorted'!$B$41, CONCAT(VLOOKUP($C71, 'Match Names'!$A$1:$D$22, 3, FALSE), ""!C3:R29"")), {6;12;18}, FALSE)), 'Player Overall Stats Unsorted'!$AA$9:$AA$12), ""=X"")) + (3 - COUNTIF(IFERRO"&amp;"R(ARRAYFORMULA(HLOOKUP($B71, IMPORTRANGE('Prelim Rankings Unsorted'!$B$42, CONCAT(VLOOKUP($C71, 'Match Names'!$A$1:$D$22, 4, FALSE), ""!C3:R29"")), {6;12;18}, FALSE)), 'Player Overall Stats Unsorted'!$AA$9:$AA$12), ""=X"")) + (3 - COUNTIF(IFERROR(ARRAYFOR"&amp;"MULA(HLOOKUP($B71, IMPORTRANGE('Match Names'!$E$23, CONCAT(VLOOKUP($C71, 'Match Names'!$1:$22, 5, FALSE), ""!C3:R29"")), {4;13;18}, FALSE)), 'Player Overall Stats Unsorted'!$AA$9:$AA$12), ""=X"")) + (3 - COUNTIF(IFERROR(ARRAYFORMULA(HLOOKUP($B71, IMPORTRA"&amp;"NGE('Match Names'!$F$23, CONCAT(VLOOKUP($C71, 'Match Names'!$1:$22, 6, FALSE), ""!C3:R29"")), {7;13;19}, FALSE)), 'Player Overall Stats Unsorted'!$AA$9:$AA$12), ""=X"")) + (3 - COUNTIF(IFERROR(ARRAYFORMULA(HLOOKUP($B71, IMPORTRANGE('Match Names'!$G$23, CO"&amp;"NCAT(VLOOKUP($C71, 'Match Names'!$1:$22, 7, FALSE), ""!C3:R29"")), {11;15;23}, FALSE)), 'Player Overall Stats Unsorted'!$AA$9:$AA$12), ""=X"")) + (3 - COUNTIF(IFERROR(ARRAYFORMULA(HLOOKUP($B71, IMPORTRANGE('Match Names'!$H$23, CONCAT(VLOOKUP($C71, 'Match "&amp;"Names'!$1:$22, 8, FALSE), ""!C3:R29"")), {6;12;18}, FALSE)), 'Player Overall Stats Unsorted'!$AA$9:$AA$12), ""=X""))"),9.0)</f>
        <v>9</v>
      </c>
      <c r="E71" s="32">
        <f>IFERROR(__xludf.DUMMYFUNCTION("COUNTIF(ARRAYFORMULA(HLOOKUP($B71, IMPORTRANGE('Prelim Rankings Unsorted'!$B$40, CONCAT(VLOOKUP($C71, 'Match Names'!$A$1:$D$22, 2, FALSE), ""!C3:R29"")), {12;18;24}, FALSE)), ""=4"") + COUNTIF(ARRAYFORMULA(HLOOKUP($B71, IMPORTRANGE('Prelim Rankings Unsort"&amp;"ed'!$B$41, CONCAT(VLOOKUP($C71, 'Match Names'!$A$1:$D$22, 3, FALSE), ""!C3:R29"")), {6;12;18}, FALSE)), ""=4"") + COUNTIF(ARRAYFORMULA(HLOOKUP($B71, IMPORTRANGE('Prelim Rankings Unsorted'!$B$42, CONCAT(VLOOKUP($C71, 'Match Names'!$A$1:$D$22, 4, FALSE), """&amp;"!C3:R29"")), {6;12;18}, FALSE)), ""=4"") + COUNTIF(ARRAYFORMULA(HLOOKUP($B71, IMPORTRANGE('Match Names'!$E$23, CONCAT(VLOOKUP($C71, 'Match Names'!$1:$22, 5, FALSE), ""!C3:R29"")), {4;13;18}, FALSE)), ""=4"") + COUNTIF(ARRAYFORMULA(HLOOKUP($B71, IMPORTRANG"&amp;"E('Match Names'!$F$23, CONCAT(VLOOKUP($C71, 'Match Names'!$1:$22, 6, FALSE), ""!C3:R29"")), {7;13;19}, FALSE)), ""=4"") + COUNTIF(ARRAYFORMULA(HLOOKUP($B71, IMPORTRANGE('Match Names'!$G$23, CONCAT(VLOOKUP($C71, 'Match Names'!$1:$22, 7, FALSE), ""!C3:R29"""&amp;")), {11;15;23}, FALSE)), ""=4"") + COUNTIF(ARRAYFORMULA(HLOOKUP($B71, IMPORTRANGE('Match Names'!$H$23, CONCAT(VLOOKUP($C71, 'Match Names'!$1:$22, 8, FALSE), ""!C3:R29"")), {6;12;18}, FALSE)), ""=4"")"),0.0)</f>
        <v>0</v>
      </c>
      <c r="F71" s="32">
        <f>IFERROR(__xludf.DUMMYFUNCTION("COUNTIF(ARRAYFORMULA(HLOOKUP($B71, IMPORTRANGE('Prelim Rankings Unsorted'!$B$40, CONCAT(VLOOKUP($C71, 'Match Names'!$A$1:$D$22, 2, FALSE), ""!C3:R29"")), {12;18;24}, FALSE)), ""=0"") + COUNTIF(ARRAYFORMULA(HLOOKUP($B71, IMPORTRANGE('Prelim Rankings Unsort"&amp;"ed'!$B$41, CONCAT(VLOOKUP($C71, 'Match Names'!$A$1:$D$22, 3, FALSE), ""!C3:R29"")), {6;12;18}, FALSE)), ""=0"") + COUNTIF(ARRAYFORMULA(HLOOKUP($B71, IMPORTRANGE('Prelim Rankings Unsorted'!$B$42, CONCAT(VLOOKUP($C71, 'Match Names'!$A$1:$D$22, 4, FALSE), """&amp;"!C3:R29"")), {6;12;18}, FALSE)), ""=0"") + COUNTIF(ARRAYFORMULA(HLOOKUP($B71, IMPORTRANGE('Match Names'!$E$23, CONCAT(VLOOKUP($C71, 'Match Names'!$1:$22, 5, FALSE), ""!C3:R29"")), {4;13;18}, FALSE)), ""=0"") + COUNTIF(ARRAYFORMULA(HLOOKUP($B71, IMPORTRANG"&amp;"E('Match Names'!$F$23, CONCAT(VLOOKUP($C71, 'Match Names'!$1:$22, 6, FALSE), ""!C3:R29"")), {7;13;19}, FALSE)), ""=0"") + COUNTIF(ARRAYFORMULA(HLOOKUP($B71, IMPORTRANGE('Match Names'!$G$23, CONCAT(VLOOKUP($C71, 'Match Names'!$1:$22, 7, FALSE), ""!C3:R29"""&amp;")), {11;15;23}, FALSE)), ""=0"") + COUNTIF(ARRAYFORMULA(HLOOKUP($B71, IMPORTRANGE('Match Names'!$H$23, CONCAT(VLOOKUP($C71, 'Match Names'!$1:$22, 8, FALSE), ""!C3:R29"")), {6;12;18}, FALSE)), ""=0"")"),0.0)</f>
        <v>0</v>
      </c>
      <c r="G71" s="32">
        <f>IFERROR(__xludf.DUMMYFUNCTION("COUNTIF(ARRAYFORMULA(HLOOKUP($B71, IMPORTRANGE('Prelim Rankings Unsorted'!$B$40, CONCAT(VLOOKUP($C71, 'Match Names'!$A$1:$D$22, 2, FALSE), ""!C3:R29"")), {12;18;24}, FALSE)), ""=-4"") + COUNTIF(ARRAYFORMULA(HLOOKUP($B71, IMPORTRANGE('Prelim Rankings Unsor"&amp;"ted'!$B$41, CONCAT(VLOOKUP($C71, 'Match Names'!$A$1:$D$22, 3, FALSE), ""!C3:R29"")), {6;12;18}, FALSE)), ""=-4"") + COUNTIF(ARRAYFORMULA(HLOOKUP($B71, IMPORTRANGE('Prelim Rankings Unsorted'!$B$42, CONCAT(VLOOKUP($C71, 'Match Names'!$A$1:$D$22, 4, FALSE), "&amp;"""!C3:R29"")), {6;12;18}, FALSE)), ""=-4"") + COUNTIF(ARRAYFORMULA(HLOOKUP($B71, IMPORTRANGE('Match Names'!$E$23, CONCAT(VLOOKUP($C71, 'Match Names'!$1:$22, 5, FALSE), ""!C3:R29"")), {4;13;18}, FALSE)), ""=-4"") + COUNTIF(ARRAYFORMULA(HLOOKUP($B71, IMPORT"&amp;"RANGE('Match Names'!$F$23, CONCAT(VLOOKUP($C71, 'Match Names'!$1:$22, 6, FALSE), ""!C3:R29"")), {7;13;19}, FALSE)), ""=-4"") + COUNTIF(ARRAYFORMULA(HLOOKUP($B71, IMPORTRANGE('Match Names'!$G$23, CONCAT(VLOOKUP($C71, 'Match Names'!$1:$22, 7, FALSE), ""!C3:"&amp;"R29"")), {11;15;23}, FALSE)), ""=-4"") + COUNTIF(ARRAYFORMULA(HLOOKUP($B71, IMPORTRANGE('Match Names'!$H$23, CONCAT(VLOOKUP($C71, 'Match Names'!$1:$22, 8, FALSE), ""!C3:R29"")), {6;12;18}, FALSE)), ""=-4"")"),0.0)</f>
        <v>0</v>
      </c>
      <c r="H71" s="33">
        <f t="shared" si="1"/>
        <v>0</v>
      </c>
    </row>
    <row r="72">
      <c r="A72" s="21" t="s">
        <v>130</v>
      </c>
      <c r="B72" s="31" t="str">
        <f>VLOOKUP(CONCAT(A72, C72), 'Discord Username to Real Name'!C:D, 2, FALSE)</f>
        <v>crebz#4622</v>
      </c>
      <c r="C72" s="21" t="s">
        <v>30</v>
      </c>
      <c r="D72" s="32">
        <f>IFERROR(__xludf.DUMMYFUNCTION("(3 - COUNTIF(IFERROR(ARRAYFORMULA(HLOOKUP($B72, IMPORTRANGE('Prelim Rankings Unsorted'!$B$40, CONCAT(VLOOKUP($C72, 'Match Names'!$A$1:$D$22, 2, FALSE), ""!C3:R29"")), {12;18;24}, FALSE)), 'Player Overall Stats Unsorted'!$AA$9:$AA$12), ""=X"")) + (3 - COUN"&amp;"TIF(IFERROR(ARRAYFORMULA(HLOOKUP($B72, IMPORTRANGE('Prelim Rankings Unsorted'!$B$41, CONCAT(VLOOKUP($C72, 'Match Names'!$A$1:$D$22, 3, FALSE), ""!C3:R29"")), {6;12;18}, FALSE)), 'Player Overall Stats Unsorted'!$AA$9:$AA$12), ""=X"")) + (3 - COUNTIF(IFERRO"&amp;"R(ARRAYFORMULA(HLOOKUP($B72, IMPORTRANGE('Prelim Rankings Unsorted'!$B$42, CONCAT(VLOOKUP($C72, 'Match Names'!$A$1:$D$22, 4, FALSE), ""!C3:R29"")), {6;12;18}, FALSE)), 'Player Overall Stats Unsorted'!$AA$9:$AA$12), ""=X"")) + (3 - COUNTIF(IFERROR(ARRAYFOR"&amp;"MULA(HLOOKUP($B72, IMPORTRANGE('Match Names'!$E$23, CONCAT(VLOOKUP($C72, 'Match Names'!$1:$22, 5, FALSE), ""!C3:R29"")), {4;13;18}, FALSE)), 'Player Overall Stats Unsorted'!$AA$9:$AA$12), ""=X"")) + (3 - COUNTIF(IFERROR(ARRAYFORMULA(HLOOKUP($B72, IMPORTRA"&amp;"NGE('Match Names'!$F$23, CONCAT(VLOOKUP($C72, 'Match Names'!$1:$22, 6, FALSE), ""!C3:R29"")), {7;13;19}, FALSE)), 'Player Overall Stats Unsorted'!$AA$9:$AA$12), ""=X"")) + (3 - COUNTIF(IFERROR(ARRAYFORMULA(HLOOKUP($B72, IMPORTRANGE('Match Names'!$G$23, CO"&amp;"NCAT(VLOOKUP($C72, 'Match Names'!$1:$22, 7, FALSE), ""!C3:R29"")), {11;15;23}, FALSE)), 'Player Overall Stats Unsorted'!$AA$9:$AA$12), ""=X"")) + (3 - COUNTIF(IFERROR(ARRAYFORMULA(HLOOKUP($B72, IMPORTRANGE('Match Names'!$H$23, CONCAT(VLOOKUP($C72, 'Match "&amp;"Names'!$1:$22, 8, FALSE), ""!C3:R29"")), {6;12;18}, FALSE)), 'Player Overall Stats Unsorted'!$AA$9:$AA$12), ""=X""))"),9.0)</f>
        <v>9</v>
      </c>
      <c r="E72" s="32">
        <f>IFERROR(__xludf.DUMMYFUNCTION("COUNTIF(ARRAYFORMULA(HLOOKUP($B72, IMPORTRANGE('Prelim Rankings Unsorted'!$B$40, CONCAT(VLOOKUP($C72, 'Match Names'!$A$1:$D$22, 2, FALSE), ""!C3:R29"")), {12;18;24}, FALSE)), ""=4"") + COUNTIF(ARRAYFORMULA(HLOOKUP($B72, IMPORTRANGE('Prelim Rankings Unsort"&amp;"ed'!$B$41, CONCAT(VLOOKUP($C72, 'Match Names'!$A$1:$D$22, 3, FALSE), ""!C3:R29"")), {6;12;18}, FALSE)), ""=4"") + COUNTIF(ARRAYFORMULA(HLOOKUP($B72, IMPORTRANGE('Prelim Rankings Unsorted'!$B$42, CONCAT(VLOOKUP($C72, 'Match Names'!$A$1:$D$22, 4, FALSE), """&amp;"!C3:R29"")), {6;12;18}, FALSE)), ""=4"") + COUNTIF(ARRAYFORMULA(HLOOKUP($B72, IMPORTRANGE('Match Names'!$E$23, CONCAT(VLOOKUP($C72, 'Match Names'!$1:$22, 5, FALSE), ""!C3:R29"")), {4;13;18}, FALSE)), ""=4"") + COUNTIF(ARRAYFORMULA(HLOOKUP($B72, IMPORTRANG"&amp;"E('Match Names'!$F$23, CONCAT(VLOOKUP($C72, 'Match Names'!$1:$22, 6, FALSE), ""!C3:R29"")), {7;13;19}, FALSE)), ""=4"") + COUNTIF(ARRAYFORMULA(HLOOKUP($B72, IMPORTRANGE('Match Names'!$G$23, CONCAT(VLOOKUP($C72, 'Match Names'!$1:$22, 7, FALSE), ""!C3:R29"""&amp;")), {11;15;23}, FALSE)), ""=4"") + COUNTIF(ARRAYFORMULA(HLOOKUP($B72, IMPORTRANGE('Match Names'!$H$23, CONCAT(VLOOKUP($C72, 'Match Names'!$1:$22, 8, FALSE), ""!C3:R29"")), {6;12;18}, FALSE)), ""=4"")"),1.0)</f>
        <v>1</v>
      </c>
      <c r="F72" s="32">
        <f>IFERROR(__xludf.DUMMYFUNCTION("COUNTIF(ARRAYFORMULA(HLOOKUP($B72, IMPORTRANGE('Prelim Rankings Unsorted'!$B$40, CONCAT(VLOOKUP($C72, 'Match Names'!$A$1:$D$22, 2, FALSE), ""!C3:R29"")), {12;18;24}, FALSE)), ""=0"") + COUNTIF(ARRAYFORMULA(HLOOKUP($B72, IMPORTRANGE('Prelim Rankings Unsort"&amp;"ed'!$B$41, CONCAT(VLOOKUP($C72, 'Match Names'!$A$1:$D$22, 3, FALSE), ""!C3:R29"")), {6;12;18}, FALSE)), ""=0"") + COUNTIF(ARRAYFORMULA(HLOOKUP($B72, IMPORTRANGE('Prelim Rankings Unsorted'!$B$42, CONCAT(VLOOKUP($C72, 'Match Names'!$A$1:$D$22, 4, FALSE), """&amp;"!C3:R29"")), {6;12;18}, FALSE)), ""=0"") + COUNTIF(ARRAYFORMULA(HLOOKUP($B72, IMPORTRANGE('Match Names'!$E$23, CONCAT(VLOOKUP($C72, 'Match Names'!$1:$22, 5, FALSE), ""!C3:R29"")), {4;13;18}, FALSE)), ""=0"") + COUNTIF(ARRAYFORMULA(HLOOKUP($B72, IMPORTRANG"&amp;"E('Match Names'!$F$23, CONCAT(VLOOKUP($C72, 'Match Names'!$1:$22, 6, FALSE), ""!C3:R29"")), {7;13;19}, FALSE)), ""=0"") + COUNTIF(ARRAYFORMULA(HLOOKUP($B72, IMPORTRANGE('Match Names'!$G$23, CONCAT(VLOOKUP($C72, 'Match Names'!$1:$22, 7, FALSE), ""!C3:R29"""&amp;")), {11;15;23}, FALSE)), ""=0"") + COUNTIF(ARRAYFORMULA(HLOOKUP($B72, IMPORTRANGE('Match Names'!$H$23, CONCAT(VLOOKUP($C72, 'Match Names'!$1:$22, 8, FALSE), ""!C3:R29"")), {6;12;18}, FALSE)), ""=0"")"),0.0)</f>
        <v>0</v>
      </c>
      <c r="G72" s="32">
        <f>IFERROR(__xludf.DUMMYFUNCTION("COUNTIF(ARRAYFORMULA(HLOOKUP($B72, IMPORTRANGE('Prelim Rankings Unsorted'!$B$40, CONCAT(VLOOKUP($C72, 'Match Names'!$A$1:$D$22, 2, FALSE), ""!C3:R29"")), {12;18;24}, FALSE)), ""=-4"") + COUNTIF(ARRAYFORMULA(HLOOKUP($B72, IMPORTRANGE('Prelim Rankings Unsor"&amp;"ted'!$B$41, CONCAT(VLOOKUP($C72, 'Match Names'!$A$1:$D$22, 3, FALSE), ""!C3:R29"")), {6;12;18}, FALSE)), ""=-4"") + COUNTIF(ARRAYFORMULA(HLOOKUP($B72, IMPORTRANGE('Prelim Rankings Unsorted'!$B$42, CONCAT(VLOOKUP($C72, 'Match Names'!$A$1:$D$22, 4, FALSE), "&amp;"""!C3:R29"")), {6;12;18}, FALSE)), ""=-4"") + COUNTIF(ARRAYFORMULA(HLOOKUP($B72, IMPORTRANGE('Match Names'!$E$23, CONCAT(VLOOKUP($C72, 'Match Names'!$1:$22, 5, FALSE), ""!C3:R29"")), {4;13;18}, FALSE)), ""=-4"") + COUNTIF(ARRAYFORMULA(HLOOKUP($B72, IMPORT"&amp;"RANGE('Match Names'!$F$23, CONCAT(VLOOKUP($C72, 'Match Names'!$1:$22, 6, FALSE), ""!C3:R29"")), {7;13;19}, FALSE)), ""=-4"") + COUNTIF(ARRAYFORMULA(HLOOKUP($B72, IMPORTRANGE('Match Names'!$G$23, CONCAT(VLOOKUP($C72, 'Match Names'!$1:$22, 7, FALSE), ""!C3:"&amp;"R29"")), {11;15;23}, FALSE)), ""=-4"") + COUNTIF(ARRAYFORMULA(HLOOKUP($B72, IMPORTRANGE('Match Names'!$H$23, CONCAT(VLOOKUP($C72, 'Match Names'!$1:$22, 8, FALSE), ""!C3:R29"")), {6;12;18}, FALSE)), ""=-4"")"),0.0)</f>
        <v>0</v>
      </c>
      <c r="H72" s="33">
        <f t="shared" si="1"/>
        <v>1.33</v>
      </c>
    </row>
    <row r="73">
      <c r="A73" s="21" t="s">
        <v>53</v>
      </c>
      <c r="B73" s="31" t="str">
        <f>VLOOKUP(CONCAT(A73, C73), 'Discord Username to Real Name'!C:D, 2, FALSE)</f>
        <v>brandon.chang#3043</v>
      </c>
      <c r="C73" s="21" t="s">
        <v>24</v>
      </c>
      <c r="D73" s="32">
        <f>IFERROR(__xludf.DUMMYFUNCTION("(3 - COUNTIF(IFERROR(ARRAYFORMULA(HLOOKUP($B73, IMPORTRANGE('Prelim Rankings Unsorted'!$B$40, CONCAT(VLOOKUP($C73, 'Match Names'!$A$1:$D$22, 2, FALSE), ""!C3:R29"")), {12;18;24}, FALSE)), 'Player Overall Stats Unsorted'!$AA$9:$AA$12), ""=X"")) + (3 - COUN"&amp;"TIF(IFERROR(ARRAYFORMULA(HLOOKUP($B73, IMPORTRANGE('Prelim Rankings Unsorted'!$B$41, CONCAT(VLOOKUP($C73, 'Match Names'!$A$1:$D$22, 3, FALSE), ""!C3:R29"")), {6;12;18}, FALSE)), 'Player Overall Stats Unsorted'!$AA$9:$AA$12), ""=X"")) + (3 - COUNTIF(IFERRO"&amp;"R(ARRAYFORMULA(HLOOKUP($B73, IMPORTRANGE('Prelim Rankings Unsorted'!$B$42, CONCAT(VLOOKUP($C73, 'Match Names'!$A$1:$D$22, 4, FALSE), ""!C3:R29"")), {6;12;18}, FALSE)), 'Player Overall Stats Unsorted'!$AA$9:$AA$12), ""=X"")) + (3 - COUNTIF(IFERROR(ARRAYFOR"&amp;"MULA(HLOOKUP($B73, IMPORTRANGE('Match Names'!$E$23, CONCAT(VLOOKUP($C73, 'Match Names'!$1:$22, 5, FALSE), ""!C3:R29"")), {4;13;18}, FALSE)), 'Player Overall Stats Unsorted'!$AA$9:$AA$12), ""=X"")) + (3 - COUNTIF(IFERROR(ARRAYFORMULA(HLOOKUP($B73, IMPORTRA"&amp;"NGE('Match Names'!$F$23, CONCAT(VLOOKUP($C73, 'Match Names'!$1:$22, 6, FALSE), ""!C3:R29"")), {7;13;19}, FALSE)), 'Player Overall Stats Unsorted'!$AA$9:$AA$12), ""=X"")) + (3 - COUNTIF(IFERROR(ARRAYFORMULA(HLOOKUP($B73, IMPORTRANGE('Match Names'!$G$23, CO"&amp;"NCAT(VLOOKUP($C73, 'Match Names'!$1:$22, 7, FALSE), ""!C3:R29"")), {11;15;23}, FALSE)), 'Player Overall Stats Unsorted'!$AA$9:$AA$12), ""=X"")) + (3 - COUNTIF(IFERROR(ARRAYFORMULA(HLOOKUP($B73, IMPORTRANGE('Match Names'!$H$23, CONCAT(VLOOKUP($C73, 'Match "&amp;"Names'!$1:$22, 8, FALSE), ""!C3:R29"")), {6;12;18}, FALSE)), 'Player Overall Stats Unsorted'!$AA$9:$AA$12), ""=X""))"),13.0)</f>
        <v>13</v>
      </c>
      <c r="E73" s="32">
        <f>IFERROR(__xludf.DUMMYFUNCTION("COUNTIF(ARRAYFORMULA(HLOOKUP($B73, IMPORTRANGE('Prelim Rankings Unsorted'!$B$40, CONCAT(VLOOKUP($C73, 'Match Names'!$A$1:$D$22, 2, FALSE), ""!C3:R29"")), {12;18;24}, FALSE)), ""=4"") + COUNTIF(ARRAYFORMULA(HLOOKUP($B73, IMPORTRANGE('Prelim Rankings Unsort"&amp;"ed'!$B$41, CONCAT(VLOOKUP($C73, 'Match Names'!$A$1:$D$22, 3, FALSE), ""!C3:R29"")), {6;12;18}, FALSE)), ""=4"") + COUNTIF(ARRAYFORMULA(HLOOKUP($B73, IMPORTRANGE('Prelim Rankings Unsorted'!$B$42, CONCAT(VLOOKUP($C73, 'Match Names'!$A$1:$D$22, 4, FALSE), """&amp;"!C3:R29"")), {6;12;18}, FALSE)), ""=4"") + COUNTIF(ARRAYFORMULA(HLOOKUP($B73, IMPORTRANGE('Match Names'!$E$23, CONCAT(VLOOKUP($C73, 'Match Names'!$1:$22, 5, FALSE), ""!C3:R29"")), {4;13;18}, FALSE)), ""=4"") + COUNTIF(ARRAYFORMULA(HLOOKUP($B73, IMPORTRANG"&amp;"E('Match Names'!$F$23, CONCAT(VLOOKUP($C73, 'Match Names'!$1:$22, 6, FALSE), ""!C3:R29"")), {7;13;19}, FALSE)), ""=4"") + COUNTIF(ARRAYFORMULA(HLOOKUP($B73, IMPORTRANGE('Match Names'!$G$23, CONCAT(VLOOKUP($C73, 'Match Names'!$1:$22, 7, FALSE), ""!C3:R29"""&amp;")), {11;15;23}, FALSE)), ""=4"") + COUNTIF(ARRAYFORMULA(HLOOKUP($B73, IMPORTRANGE('Match Names'!$H$23, CONCAT(VLOOKUP($C73, 'Match Names'!$1:$22, 8, FALSE), ""!C3:R29"")), {6;12;18}, FALSE)), ""=4"")"),1.0)</f>
        <v>1</v>
      </c>
      <c r="F73" s="32">
        <f>IFERROR(__xludf.DUMMYFUNCTION("COUNTIF(ARRAYFORMULA(HLOOKUP($B73, IMPORTRANGE('Prelim Rankings Unsorted'!$B$40, CONCAT(VLOOKUP($C73, 'Match Names'!$A$1:$D$22, 2, FALSE), ""!C3:R29"")), {12;18;24}, FALSE)), ""=0"") + COUNTIF(ARRAYFORMULA(HLOOKUP($B73, IMPORTRANGE('Prelim Rankings Unsort"&amp;"ed'!$B$41, CONCAT(VLOOKUP($C73, 'Match Names'!$A$1:$D$22, 3, FALSE), ""!C3:R29"")), {6;12;18}, FALSE)), ""=0"") + COUNTIF(ARRAYFORMULA(HLOOKUP($B73, IMPORTRANGE('Prelim Rankings Unsorted'!$B$42, CONCAT(VLOOKUP($C73, 'Match Names'!$A$1:$D$22, 4, FALSE), """&amp;"!C3:R29"")), {6;12;18}, FALSE)), ""=0"") + COUNTIF(ARRAYFORMULA(HLOOKUP($B73, IMPORTRANGE('Match Names'!$E$23, CONCAT(VLOOKUP($C73, 'Match Names'!$1:$22, 5, FALSE), ""!C3:R29"")), {4;13;18}, FALSE)), ""=0"") + COUNTIF(ARRAYFORMULA(HLOOKUP($B73, IMPORTRANG"&amp;"E('Match Names'!$F$23, CONCAT(VLOOKUP($C73, 'Match Names'!$1:$22, 6, FALSE), ""!C3:R29"")), {7;13;19}, FALSE)), ""=0"") + COUNTIF(ARRAYFORMULA(HLOOKUP($B73, IMPORTRANGE('Match Names'!$G$23, CONCAT(VLOOKUP($C73, 'Match Names'!$1:$22, 7, FALSE), ""!C3:R29"""&amp;")), {11;15;23}, FALSE)), ""=0"") + COUNTIF(ARRAYFORMULA(HLOOKUP($B73, IMPORTRANGE('Match Names'!$H$23, CONCAT(VLOOKUP($C73, 'Match Names'!$1:$22, 8, FALSE), ""!C3:R29"")), {6;12;18}, FALSE)), ""=0"")"),1.0)</f>
        <v>1</v>
      </c>
      <c r="G73" s="32">
        <f>IFERROR(__xludf.DUMMYFUNCTION("COUNTIF(ARRAYFORMULA(HLOOKUP($B73, IMPORTRANGE('Prelim Rankings Unsorted'!$B$40, CONCAT(VLOOKUP($C73, 'Match Names'!$A$1:$D$22, 2, FALSE), ""!C3:R29"")), {12;18;24}, FALSE)), ""=-4"") + COUNTIF(ARRAYFORMULA(HLOOKUP($B73, IMPORTRANGE('Prelim Rankings Unsor"&amp;"ted'!$B$41, CONCAT(VLOOKUP($C73, 'Match Names'!$A$1:$D$22, 3, FALSE), ""!C3:R29"")), {6;12;18}, FALSE)), ""=-4"") + COUNTIF(ARRAYFORMULA(HLOOKUP($B73, IMPORTRANGE('Prelim Rankings Unsorted'!$B$42, CONCAT(VLOOKUP($C73, 'Match Names'!$A$1:$D$22, 4, FALSE), "&amp;"""!C3:R29"")), {6;12;18}, FALSE)), ""=-4"") + COUNTIF(ARRAYFORMULA(HLOOKUP($B73, IMPORTRANGE('Match Names'!$E$23, CONCAT(VLOOKUP($C73, 'Match Names'!$1:$22, 5, FALSE), ""!C3:R29"")), {4;13;18}, FALSE)), ""=-4"") + COUNTIF(ARRAYFORMULA(HLOOKUP($B73, IMPORT"&amp;"RANGE('Match Names'!$F$23, CONCAT(VLOOKUP($C73, 'Match Names'!$1:$22, 6, FALSE), ""!C3:R29"")), {7;13;19}, FALSE)), ""=-4"") + COUNTIF(ARRAYFORMULA(HLOOKUP($B73, IMPORTRANGE('Match Names'!$G$23, CONCAT(VLOOKUP($C73, 'Match Names'!$1:$22, 7, FALSE), ""!C3:"&amp;"R29"")), {11;15;23}, FALSE)), ""=-4"") + COUNTIF(ARRAYFORMULA(HLOOKUP($B73, IMPORTRANGE('Match Names'!$H$23, CONCAT(VLOOKUP($C73, 'Match Names'!$1:$22, 8, FALSE), ""!C3:R29"")), {6;12;18}, FALSE)), ""=-4"")"),0.0)</f>
        <v>0</v>
      </c>
      <c r="H73" s="33">
        <f t="shared" si="1"/>
        <v>0.92</v>
      </c>
    </row>
    <row r="74">
      <c r="A74" s="21" t="s">
        <v>136</v>
      </c>
      <c r="B74" s="31" t="str">
        <f>VLOOKUP(CONCAT(A74, C74), 'Discord Username to Real Name'!C:D, 2, FALSE)</f>
        <v>capriisun#3255</v>
      </c>
      <c r="C74" s="21" t="s">
        <v>24</v>
      </c>
      <c r="D74" s="32">
        <f>IFERROR(__xludf.DUMMYFUNCTION("(3 - COUNTIF(IFERROR(ARRAYFORMULA(HLOOKUP($B74, IMPORTRANGE('Prelim Rankings Unsorted'!$B$40, CONCAT(VLOOKUP($C74, 'Match Names'!$A$1:$D$22, 2, FALSE), ""!C3:R29"")), {12;18;24}, FALSE)), 'Player Overall Stats Unsorted'!$AA$9:$AA$12), ""=X"")) + (3 - COUN"&amp;"TIF(IFERROR(ARRAYFORMULA(HLOOKUP($B74, IMPORTRANGE('Prelim Rankings Unsorted'!$B$41, CONCAT(VLOOKUP($C74, 'Match Names'!$A$1:$D$22, 3, FALSE), ""!C3:R29"")), {6;12;18}, FALSE)), 'Player Overall Stats Unsorted'!$AA$9:$AA$12), ""=X"")) + (3 - COUNTIF(IFERRO"&amp;"R(ARRAYFORMULA(HLOOKUP($B74, IMPORTRANGE('Prelim Rankings Unsorted'!$B$42, CONCAT(VLOOKUP($C74, 'Match Names'!$A$1:$D$22, 4, FALSE), ""!C3:R29"")), {6;12;18}, FALSE)), 'Player Overall Stats Unsorted'!$AA$9:$AA$12), ""=X"")) + (3 - COUNTIF(IFERROR(ARRAYFOR"&amp;"MULA(HLOOKUP($B74, IMPORTRANGE('Match Names'!$E$23, CONCAT(VLOOKUP($C74, 'Match Names'!$1:$22, 5, FALSE), ""!C3:R29"")), {4;13;18}, FALSE)), 'Player Overall Stats Unsorted'!$AA$9:$AA$12), ""=X"")) + (3 - COUNTIF(IFERROR(ARRAYFORMULA(HLOOKUP($B74, IMPORTRA"&amp;"NGE('Match Names'!$F$23, CONCAT(VLOOKUP($C74, 'Match Names'!$1:$22, 6, FALSE), ""!C3:R29"")), {7;13;19}, FALSE)), 'Player Overall Stats Unsorted'!$AA$9:$AA$12), ""=X"")) + (3 - COUNTIF(IFERROR(ARRAYFORMULA(HLOOKUP($B74, IMPORTRANGE('Match Names'!$G$23, CO"&amp;"NCAT(VLOOKUP($C74, 'Match Names'!$1:$22, 7, FALSE), ""!C3:R29"")), {11;15;23}, FALSE)), 'Player Overall Stats Unsorted'!$AA$9:$AA$12), ""=X"")) + (3 - COUNTIF(IFERROR(ARRAYFORMULA(HLOOKUP($B74, IMPORTRANGE('Match Names'!$H$23, CONCAT(VLOOKUP($C74, 'Match "&amp;"Names'!$1:$22, 8, FALSE), ""!C3:R29"")), {6;12;18}, FALSE)), 'Player Overall Stats Unsorted'!$AA$9:$AA$12), ""=X""))"),10.0)</f>
        <v>10</v>
      </c>
      <c r="E74" s="32">
        <f>IFERROR(__xludf.DUMMYFUNCTION("COUNTIF(ARRAYFORMULA(HLOOKUP($B74, IMPORTRANGE('Prelim Rankings Unsorted'!$B$40, CONCAT(VLOOKUP($C74, 'Match Names'!$A$1:$D$22, 2, FALSE), ""!C3:R29"")), {12;18;24}, FALSE)), ""=4"") + COUNTIF(ARRAYFORMULA(HLOOKUP($B74, IMPORTRANGE('Prelim Rankings Unsort"&amp;"ed'!$B$41, CONCAT(VLOOKUP($C74, 'Match Names'!$A$1:$D$22, 3, FALSE), ""!C3:R29"")), {6;12;18}, FALSE)), ""=4"") + COUNTIF(ARRAYFORMULA(HLOOKUP($B74, IMPORTRANGE('Prelim Rankings Unsorted'!$B$42, CONCAT(VLOOKUP($C74, 'Match Names'!$A$1:$D$22, 4, FALSE), """&amp;"!C3:R29"")), {6;12;18}, FALSE)), ""=4"") + COUNTIF(ARRAYFORMULA(HLOOKUP($B74, IMPORTRANGE('Match Names'!$E$23, CONCAT(VLOOKUP($C74, 'Match Names'!$1:$22, 5, FALSE), ""!C3:R29"")), {4;13;18}, FALSE)), ""=4"") + COUNTIF(ARRAYFORMULA(HLOOKUP($B74, IMPORTRANG"&amp;"E('Match Names'!$F$23, CONCAT(VLOOKUP($C74, 'Match Names'!$1:$22, 6, FALSE), ""!C3:R29"")), {7;13;19}, FALSE)), ""=4"") + COUNTIF(ARRAYFORMULA(HLOOKUP($B74, IMPORTRANGE('Match Names'!$G$23, CONCAT(VLOOKUP($C74, 'Match Names'!$1:$22, 7, FALSE), ""!C3:R29"""&amp;")), {11;15;23}, FALSE)), ""=4"") + COUNTIF(ARRAYFORMULA(HLOOKUP($B74, IMPORTRANGE('Match Names'!$H$23, CONCAT(VLOOKUP($C74, 'Match Names'!$1:$22, 8, FALSE), ""!C3:R29"")), {6;12;18}, FALSE)), ""=4"")"),0.0)</f>
        <v>0</v>
      </c>
      <c r="F74" s="32">
        <f>IFERROR(__xludf.DUMMYFUNCTION("COUNTIF(ARRAYFORMULA(HLOOKUP($B74, IMPORTRANGE('Prelim Rankings Unsorted'!$B$40, CONCAT(VLOOKUP($C74, 'Match Names'!$A$1:$D$22, 2, FALSE), ""!C3:R29"")), {12;18;24}, FALSE)), ""=0"") + COUNTIF(ARRAYFORMULA(HLOOKUP($B74, IMPORTRANGE('Prelim Rankings Unsort"&amp;"ed'!$B$41, CONCAT(VLOOKUP($C74, 'Match Names'!$A$1:$D$22, 3, FALSE), ""!C3:R29"")), {6;12;18}, FALSE)), ""=0"") + COUNTIF(ARRAYFORMULA(HLOOKUP($B74, IMPORTRANGE('Prelim Rankings Unsorted'!$B$42, CONCAT(VLOOKUP($C74, 'Match Names'!$A$1:$D$22, 4, FALSE), """&amp;"!C3:R29"")), {6;12;18}, FALSE)), ""=0"") + COUNTIF(ARRAYFORMULA(HLOOKUP($B74, IMPORTRANGE('Match Names'!$E$23, CONCAT(VLOOKUP($C74, 'Match Names'!$1:$22, 5, FALSE), ""!C3:R29"")), {4;13;18}, FALSE)), ""=0"") + COUNTIF(ARRAYFORMULA(HLOOKUP($B74, IMPORTRANG"&amp;"E('Match Names'!$F$23, CONCAT(VLOOKUP($C74, 'Match Names'!$1:$22, 6, FALSE), ""!C3:R29"")), {7;13;19}, FALSE)), ""=0"") + COUNTIF(ARRAYFORMULA(HLOOKUP($B74, IMPORTRANGE('Match Names'!$G$23, CONCAT(VLOOKUP($C74, 'Match Names'!$1:$22, 7, FALSE), ""!C3:R29"""&amp;")), {11;15;23}, FALSE)), ""=0"") + COUNTIF(ARRAYFORMULA(HLOOKUP($B74, IMPORTRANGE('Match Names'!$H$23, CONCAT(VLOOKUP($C74, 'Match Names'!$1:$22, 8, FALSE), ""!C3:R29"")), {6;12;18}, FALSE)), ""=0"")"),1.0)</f>
        <v>1</v>
      </c>
      <c r="G74" s="32">
        <f>IFERROR(__xludf.DUMMYFUNCTION("COUNTIF(ARRAYFORMULA(HLOOKUP($B74, IMPORTRANGE('Prelim Rankings Unsorted'!$B$40, CONCAT(VLOOKUP($C74, 'Match Names'!$A$1:$D$22, 2, FALSE), ""!C3:R29"")), {12;18;24}, FALSE)), ""=-4"") + COUNTIF(ARRAYFORMULA(HLOOKUP($B74, IMPORTRANGE('Prelim Rankings Unsor"&amp;"ted'!$B$41, CONCAT(VLOOKUP($C74, 'Match Names'!$A$1:$D$22, 3, FALSE), ""!C3:R29"")), {6;12;18}, FALSE)), ""=-4"") + COUNTIF(ARRAYFORMULA(HLOOKUP($B74, IMPORTRANGE('Prelim Rankings Unsorted'!$B$42, CONCAT(VLOOKUP($C74, 'Match Names'!$A$1:$D$22, 4, FALSE), "&amp;"""!C3:R29"")), {6;12;18}, FALSE)), ""=-4"") + COUNTIF(ARRAYFORMULA(HLOOKUP($B74, IMPORTRANGE('Match Names'!$E$23, CONCAT(VLOOKUP($C74, 'Match Names'!$1:$22, 5, FALSE), ""!C3:R29"")), {4;13;18}, FALSE)), ""=-4"") + COUNTIF(ARRAYFORMULA(HLOOKUP($B74, IMPORT"&amp;"RANGE('Match Names'!$F$23, CONCAT(VLOOKUP($C74, 'Match Names'!$1:$22, 6, FALSE), ""!C3:R29"")), {7;13;19}, FALSE)), ""=-4"") + COUNTIF(ARRAYFORMULA(HLOOKUP($B74, IMPORTRANGE('Match Names'!$G$23, CONCAT(VLOOKUP($C74, 'Match Names'!$1:$22, 7, FALSE), ""!C3:"&amp;"R29"")), {11;15;23}, FALSE)), ""=-4"") + COUNTIF(ARRAYFORMULA(HLOOKUP($B74, IMPORTRANGE('Match Names'!$H$23, CONCAT(VLOOKUP($C74, 'Match Names'!$1:$22, 8, FALSE), ""!C3:R29"")), {6;12;18}, FALSE)), ""=-4"")"),0.0)</f>
        <v>0</v>
      </c>
      <c r="H74" s="33">
        <f t="shared" si="1"/>
        <v>0</v>
      </c>
    </row>
    <row r="75">
      <c r="A75" s="21" t="s">
        <v>52</v>
      </c>
      <c r="B75" s="31" t="str">
        <f>VLOOKUP(CONCAT(A75, C75), 'Discord Username to Real Name'!C:D, 2, FALSE)</f>
        <v>cindyhlu#0060</v>
      </c>
      <c r="C75" s="21" t="s">
        <v>24</v>
      </c>
      <c r="D75" s="32">
        <f>IFERROR(__xludf.DUMMYFUNCTION("(3 - COUNTIF(IFERROR(ARRAYFORMULA(HLOOKUP($B75, IMPORTRANGE('Prelim Rankings Unsorted'!$B$40, CONCAT(VLOOKUP($C75, 'Match Names'!$A$1:$D$22, 2, FALSE), ""!C3:R29"")), {12;18;24}, FALSE)), 'Player Overall Stats Unsorted'!$AA$9:$AA$12), ""=X"")) + (3 - COUN"&amp;"TIF(IFERROR(ARRAYFORMULA(HLOOKUP($B75, IMPORTRANGE('Prelim Rankings Unsorted'!$B$41, CONCAT(VLOOKUP($C75, 'Match Names'!$A$1:$D$22, 3, FALSE), ""!C3:R29"")), {6;12;18}, FALSE)), 'Player Overall Stats Unsorted'!$AA$9:$AA$12), ""=X"")) + (3 - COUNTIF(IFERRO"&amp;"R(ARRAYFORMULA(HLOOKUP($B75, IMPORTRANGE('Prelim Rankings Unsorted'!$B$42, CONCAT(VLOOKUP($C75, 'Match Names'!$A$1:$D$22, 4, FALSE), ""!C3:R29"")), {6;12;18}, FALSE)), 'Player Overall Stats Unsorted'!$AA$9:$AA$12), ""=X"")) + (3 - COUNTIF(IFERROR(ARRAYFOR"&amp;"MULA(HLOOKUP($B75, IMPORTRANGE('Match Names'!$E$23, CONCAT(VLOOKUP($C75, 'Match Names'!$1:$22, 5, FALSE), ""!C3:R29"")), {4;13;18}, FALSE)), 'Player Overall Stats Unsorted'!$AA$9:$AA$12), ""=X"")) + (3 - COUNTIF(IFERROR(ARRAYFORMULA(HLOOKUP($B75, IMPORTRA"&amp;"NGE('Match Names'!$F$23, CONCAT(VLOOKUP($C75, 'Match Names'!$1:$22, 6, FALSE), ""!C3:R29"")), {7;13;19}, FALSE)), 'Player Overall Stats Unsorted'!$AA$9:$AA$12), ""=X"")) + (3 - COUNTIF(IFERROR(ARRAYFORMULA(HLOOKUP($B75, IMPORTRANGE('Match Names'!$G$23, CO"&amp;"NCAT(VLOOKUP($C75, 'Match Names'!$1:$22, 7, FALSE), ""!C3:R29"")), {11;15;23}, FALSE)), 'Player Overall Stats Unsorted'!$AA$9:$AA$12), ""=X"")) + (3 - COUNTIF(IFERROR(ARRAYFORMULA(HLOOKUP($B75, IMPORTRANGE('Match Names'!$H$23, CONCAT(VLOOKUP($C75, 'Match "&amp;"Names'!$1:$22, 8, FALSE), ""!C3:R29"")), {6;12;18}, FALSE)), 'Player Overall Stats Unsorted'!$AA$9:$AA$12), ""=X""))"),11.0)</f>
        <v>11</v>
      </c>
      <c r="E75" s="32">
        <f>IFERROR(__xludf.DUMMYFUNCTION("COUNTIF(ARRAYFORMULA(HLOOKUP($B75, IMPORTRANGE('Prelim Rankings Unsorted'!$B$40, CONCAT(VLOOKUP($C75, 'Match Names'!$A$1:$D$22, 2, FALSE), ""!C3:R29"")), {12;18;24}, FALSE)), ""=4"") + COUNTIF(ARRAYFORMULA(HLOOKUP($B75, IMPORTRANGE('Prelim Rankings Unsort"&amp;"ed'!$B$41, CONCAT(VLOOKUP($C75, 'Match Names'!$A$1:$D$22, 3, FALSE), ""!C3:R29"")), {6;12;18}, FALSE)), ""=4"") + COUNTIF(ARRAYFORMULA(HLOOKUP($B75, IMPORTRANGE('Prelim Rankings Unsorted'!$B$42, CONCAT(VLOOKUP($C75, 'Match Names'!$A$1:$D$22, 4, FALSE), """&amp;"!C3:R29"")), {6;12;18}, FALSE)), ""=4"") + COUNTIF(ARRAYFORMULA(HLOOKUP($B75, IMPORTRANGE('Match Names'!$E$23, CONCAT(VLOOKUP($C75, 'Match Names'!$1:$22, 5, FALSE), ""!C3:R29"")), {4;13;18}, FALSE)), ""=4"") + COUNTIF(ARRAYFORMULA(HLOOKUP($B75, IMPORTRANG"&amp;"E('Match Names'!$F$23, CONCAT(VLOOKUP($C75, 'Match Names'!$1:$22, 6, FALSE), ""!C3:R29"")), {7;13;19}, FALSE)), ""=4"") + COUNTIF(ARRAYFORMULA(HLOOKUP($B75, IMPORTRANGE('Match Names'!$G$23, CONCAT(VLOOKUP($C75, 'Match Names'!$1:$22, 7, FALSE), ""!C3:R29"""&amp;")), {11;15;23}, FALSE)), ""=4"") + COUNTIF(ARRAYFORMULA(HLOOKUP($B75, IMPORTRANGE('Match Names'!$H$23, CONCAT(VLOOKUP($C75, 'Match Names'!$1:$22, 8, FALSE), ""!C3:R29"")), {6;12;18}, FALSE)), ""=4"")"),2.0)</f>
        <v>2</v>
      </c>
      <c r="F75" s="32">
        <f>IFERROR(__xludf.DUMMYFUNCTION("COUNTIF(ARRAYFORMULA(HLOOKUP($B75, IMPORTRANGE('Prelim Rankings Unsorted'!$B$40, CONCAT(VLOOKUP($C75, 'Match Names'!$A$1:$D$22, 2, FALSE), ""!C3:R29"")), {12;18;24}, FALSE)), ""=0"") + COUNTIF(ARRAYFORMULA(HLOOKUP($B75, IMPORTRANGE('Prelim Rankings Unsort"&amp;"ed'!$B$41, CONCAT(VLOOKUP($C75, 'Match Names'!$A$1:$D$22, 3, FALSE), ""!C3:R29"")), {6;12;18}, FALSE)), ""=0"") + COUNTIF(ARRAYFORMULA(HLOOKUP($B75, IMPORTRANGE('Prelim Rankings Unsorted'!$B$42, CONCAT(VLOOKUP($C75, 'Match Names'!$A$1:$D$22, 4, FALSE), """&amp;"!C3:R29"")), {6;12;18}, FALSE)), ""=0"") + COUNTIF(ARRAYFORMULA(HLOOKUP($B75, IMPORTRANGE('Match Names'!$E$23, CONCAT(VLOOKUP($C75, 'Match Names'!$1:$22, 5, FALSE), ""!C3:R29"")), {4;13;18}, FALSE)), ""=0"") + COUNTIF(ARRAYFORMULA(HLOOKUP($B75, IMPORTRANG"&amp;"E('Match Names'!$F$23, CONCAT(VLOOKUP($C75, 'Match Names'!$1:$22, 6, FALSE), ""!C3:R29"")), {7;13;19}, FALSE)), ""=0"") + COUNTIF(ARRAYFORMULA(HLOOKUP($B75, IMPORTRANGE('Match Names'!$G$23, CONCAT(VLOOKUP($C75, 'Match Names'!$1:$22, 7, FALSE), ""!C3:R29"""&amp;")), {11;15;23}, FALSE)), ""=0"") + COUNTIF(ARRAYFORMULA(HLOOKUP($B75, IMPORTRANGE('Match Names'!$H$23, CONCAT(VLOOKUP($C75, 'Match Names'!$1:$22, 8, FALSE), ""!C3:R29"")), {6;12;18}, FALSE)), ""=0"")"),0.0)</f>
        <v>0</v>
      </c>
      <c r="G75" s="32">
        <f>IFERROR(__xludf.DUMMYFUNCTION("COUNTIF(ARRAYFORMULA(HLOOKUP($B75, IMPORTRANGE('Prelim Rankings Unsorted'!$B$40, CONCAT(VLOOKUP($C75, 'Match Names'!$A$1:$D$22, 2, FALSE), ""!C3:R29"")), {12;18;24}, FALSE)), ""=-4"") + COUNTIF(ARRAYFORMULA(HLOOKUP($B75, IMPORTRANGE('Prelim Rankings Unsor"&amp;"ted'!$B$41, CONCAT(VLOOKUP($C75, 'Match Names'!$A$1:$D$22, 3, FALSE), ""!C3:R29"")), {6;12;18}, FALSE)), ""=-4"") + COUNTIF(ARRAYFORMULA(HLOOKUP($B75, IMPORTRANGE('Prelim Rankings Unsorted'!$B$42, CONCAT(VLOOKUP($C75, 'Match Names'!$A$1:$D$22, 4, FALSE), "&amp;"""!C3:R29"")), {6;12;18}, FALSE)), ""=-4"") + COUNTIF(ARRAYFORMULA(HLOOKUP($B75, IMPORTRANGE('Match Names'!$E$23, CONCAT(VLOOKUP($C75, 'Match Names'!$1:$22, 5, FALSE), ""!C3:R29"")), {4;13;18}, FALSE)), ""=-4"") + COUNTIF(ARRAYFORMULA(HLOOKUP($B75, IMPORT"&amp;"RANGE('Match Names'!$F$23, CONCAT(VLOOKUP($C75, 'Match Names'!$1:$22, 6, FALSE), ""!C3:R29"")), {7;13;19}, FALSE)), ""=-4"") + COUNTIF(ARRAYFORMULA(HLOOKUP($B75, IMPORTRANGE('Match Names'!$G$23, CONCAT(VLOOKUP($C75, 'Match Names'!$1:$22, 7, FALSE), ""!C3:"&amp;"R29"")), {11;15;23}, FALSE)), ""=-4"") + COUNTIF(ARRAYFORMULA(HLOOKUP($B75, IMPORTRANGE('Match Names'!$H$23, CONCAT(VLOOKUP($C75, 'Match Names'!$1:$22, 8, FALSE), ""!C3:R29"")), {6;12;18}, FALSE)), ""=-4"")"),0.0)</f>
        <v>0</v>
      </c>
      <c r="H75" s="33">
        <f t="shared" si="1"/>
        <v>2.18</v>
      </c>
    </row>
    <row r="76">
      <c r="A76" s="21" t="s">
        <v>13</v>
      </c>
      <c r="B76" s="31" t="str">
        <f>VLOOKUP(CONCAT(A76, C76), 'Discord Username to Real Name'!C:D, 2, FALSE)</f>
        <v>alienated#7505</v>
      </c>
      <c r="C76" s="21" t="s">
        <v>24</v>
      </c>
      <c r="D76" s="32">
        <f>IFERROR(__xludf.DUMMYFUNCTION("(3 - COUNTIF(IFERROR(ARRAYFORMULA(HLOOKUP($B76, IMPORTRANGE('Prelim Rankings Unsorted'!$B$40, CONCAT(VLOOKUP($C76, 'Match Names'!$A$1:$D$22, 2, FALSE), ""!C3:R29"")), {12;18;24}, FALSE)), 'Player Overall Stats Unsorted'!$AA$9:$AA$12), ""=X"")) + (3 - COUN"&amp;"TIF(IFERROR(ARRAYFORMULA(HLOOKUP($B76, IMPORTRANGE('Prelim Rankings Unsorted'!$B$41, CONCAT(VLOOKUP($C76, 'Match Names'!$A$1:$D$22, 3, FALSE), ""!C3:R29"")), {6;12;18}, FALSE)), 'Player Overall Stats Unsorted'!$AA$9:$AA$12), ""=X"")) + (3 - COUNTIF(IFERRO"&amp;"R(ARRAYFORMULA(HLOOKUP($B76, IMPORTRANGE('Prelim Rankings Unsorted'!$B$42, CONCAT(VLOOKUP($C76, 'Match Names'!$A$1:$D$22, 4, FALSE), ""!C3:R29"")), {6;12;18}, FALSE)), 'Player Overall Stats Unsorted'!$AA$9:$AA$12), ""=X"")) + (3 - COUNTIF(IFERROR(ARRAYFOR"&amp;"MULA(HLOOKUP($B76, IMPORTRANGE('Match Names'!$E$23, CONCAT(VLOOKUP($C76, 'Match Names'!$1:$22, 5, FALSE), ""!C3:R29"")), {4;13;18}, FALSE)), 'Player Overall Stats Unsorted'!$AA$9:$AA$12), ""=X"")) + (3 - COUNTIF(IFERROR(ARRAYFORMULA(HLOOKUP($B76, IMPORTRA"&amp;"NGE('Match Names'!$F$23, CONCAT(VLOOKUP($C76, 'Match Names'!$1:$22, 6, FALSE), ""!C3:R29"")), {7;13;19}, FALSE)), 'Player Overall Stats Unsorted'!$AA$9:$AA$12), ""=X"")) + (3 - COUNTIF(IFERROR(ARRAYFORMULA(HLOOKUP($B76, IMPORTRANGE('Match Names'!$G$23, CO"&amp;"NCAT(VLOOKUP($C76, 'Match Names'!$1:$22, 7, FALSE), ""!C3:R29"")), {11;15;23}, FALSE)), 'Player Overall Stats Unsorted'!$AA$9:$AA$12), ""=X"")) + (3 - COUNTIF(IFERROR(ARRAYFORMULA(HLOOKUP($B76, IMPORTRANGE('Match Names'!$H$23, CONCAT(VLOOKUP($C76, 'Match "&amp;"Names'!$1:$22, 8, FALSE), ""!C3:R29"")), {6;12;18}, FALSE)), 'Player Overall Stats Unsorted'!$AA$9:$AA$12), ""=X""))"),12.0)</f>
        <v>12</v>
      </c>
      <c r="E76" s="32">
        <f>IFERROR(__xludf.DUMMYFUNCTION("COUNTIF(ARRAYFORMULA(HLOOKUP($B76, IMPORTRANGE('Prelim Rankings Unsorted'!$B$40, CONCAT(VLOOKUP($C76, 'Match Names'!$A$1:$D$22, 2, FALSE), ""!C3:R29"")), {12;18;24}, FALSE)), ""=4"") + COUNTIF(ARRAYFORMULA(HLOOKUP($B76, IMPORTRANGE('Prelim Rankings Unsort"&amp;"ed'!$B$41, CONCAT(VLOOKUP($C76, 'Match Names'!$A$1:$D$22, 3, FALSE), ""!C3:R29"")), {6;12;18}, FALSE)), ""=4"") + COUNTIF(ARRAYFORMULA(HLOOKUP($B76, IMPORTRANGE('Prelim Rankings Unsorted'!$B$42, CONCAT(VLOOKUP($C76, 'Match Names'!$A$1:$D$22, 4, FALSE), """&amp;"!C3:R29"")), {6;12;18}, FALSE)), ""=4"") + COUNTIF(ARRAYFORMULA(HLOOKUP($B76, IMPORTRANGE('Match Names'!$E$23, CONCAT(VLOOKUP($C76, 'Match Names'!$1:$22, 5, FALSE), ""!C3:R29"")), {4;13;18}, FALSE)), ""=4"") + COUNTIF(ARRAYFORMULA(HLOOKUP($B76, IMPORTRANG"&amp;"E('Match Names'!$F$23, CONCAT(VLOOKUP($C76, 'Match Names'!$1:$22, 6, FALSE), ""!C3:R29"")), {7;13;19}, FALSE)), ""=4"") + COUNTIF(ARRAYFORMULA(HLOOKUP($B76, IMPORTRANGE('Match Names'!$G$23, CONCAT(VLOOKUP($C76, 'Match Names'!$1:$22, 7, FALSE), ""!C3:R29"""&amp;")), {11;15;23}, FALSE)), ""=4"") + COUNTIF(ARRAYFORMULA(HLOOKUP($B76, IMPORTRANGE('Match Names'!$H$23, CONCAT(VLOOKUP($C76, 'Match Names'!$1:$22, 8, FALSE), ""!C3:R29"")), {6;12;18}, FALSE)), ""=4"")"),4.0)</f>
        <v>4</v>
      </c>
      <c r="F76" s="32">
        <f>IFERROR(__xludf.DUMMYFUNCTION("COUNTIF(ARRAYFORMULA(HLOOKUP($B76, IMPORTRANGE('Prelim Rankings Unsorted'!$B$40, CONCAT(VLOOKUP($C76, 'Match Names'!$A$1:$D$22, 2, FALSE), ""!C3:R29"")), {12;18;24}, FALSE)), ""=0"") + COUNTIF(ARRAYFORMULA(HLOOKUP($B76, IMPORTRANGE('Prelim Rankings Unsort"&amp;"ed'!$B$41, CONCAT(VLOOKUP($C76, 'Match Names'!$A$1:$D$22, 3, FALSE), ""!C3:R29"")), {6;12;18}, FALSE)), ""=0"") + COUNTIF(ARRAYFORMULA(HLOOKUP($B76, IMPORTRANGE('Prelim Rankings Unsorted'!$B$42, CONCAT(VLOOKUP($C76, 'Match Names'!$A$1:$D$22, 4, FALSE), """&amp;"!C3:R29"")), {6;12;18}, FALSE)), ""=0"") + COUNTIF(ARRAYFORMULA(HLOOKUP($B76, IMPORTRANGE('Match Names'!$E$23, CONCAT(VLOOKUP($C76, 'Match Names'!$1:$22, 5, FALSE), ""!C3:R29"")), {4;13;18}, FALSE)), ""=0"") + COUNTIF(ARRAYFORMULA(HLOOKUP($B76, IMPORTRANG"&amp;"E('Match Names'!$F$23, CONCAT(VLOOKUP($C76, 'Match Names'!$1:$22, 6, FALSE), ""!C3:R29"")), {7;13;19}, FALSE)), ""=0"") + COUNTIF(ARRAYFORMULA(HLOOKUP($B76, IMPORTRANGE('Match Names'!$G$23, CONCAT(VLOOKUP($C76, 'Match Names'!$1:$22, 7, FALSE), ""!C3:R29"""&amp;")), {11;15;23}, FALSE)), ""=0"") + COUNTIF(ARRAYFORMULA(HLOOKUP($B76, IMPORTRANGE('Match Names'!$H$23, CONCAT(VLOOKUP($C76, 'Match Names'!$1:$22, 8, FALSE), ""!C3:R29"")), {6;12;18}, FALSE)), ""=0"")"),1.0)</f>
        <v>1</v>
      </c>
      <c r="G76" s="32">
        <f>IFERROR(__xludf.DUMMYFUNCTION("COUNTIF(ARRAYFORMULA(HLOOKUP($B76, IMPORTRANGE('Prelim Rankings Unsorted'!$B$40, CONCAT(VLOOKUP($C76, 'Match Names'!$A$1:$D$22, 2, FALSE), ""!C3:R29"")), {12;18;24}, FALSE)), ""=-4"") + COUNTIF(ARRAYFORMULA(HLOOKUP($B76, IMPORTRANGE('Prelim Rankings Unsor"&amp;"ted'!$B$41, CONCAT(VLOOKUP($C76, 'Match Names'!$A$1:$D$22, 3, FALSE), ""!C3:R29"")), {6;12;18}, FALSE)), ""=-4"") + COUNTIF(ARRAYFORMULA(HLOOKUP($B76, IMPORTRANGE('Prelim Rankings Unsorted'!$B$42, CONCAT(VLOOKUP($C76, 'Match Names'!$A$1:$D$22, 4, FALSE), "&amp;"""!C3:R29"")), {6;12;18}, FALSE)), ""=-4"") + COUNTIF(ARRAYFORMULA(HLOOKUP($B76, IMPORTRANGE('Match Names'!$E$23, CONCAT(VLOOKUP($C76, 'Match Names'!$1:$22, 5, FALSE), ""!C3:R29"")), {4;13;18}, FALSE)), ""=-4"") + COUNTIF(ARRAYFORMULA(HLOOKUP($B76, IMPORT"&amp;"RANGE('Match Names'!$F$23, CONCAT(VLOOKUP($C76, 'Match Names'!$1:$22, 6, FALSE), ""!C3:R29"")), {7;13;19}, FALSE)), ""=-4"") + COUNTIF(ARRAYFORMULA(HLOOKUP($B76, IMPORTRANGE('Match Names'!$G$23, CONCAT(VLOOKUP($C76, 'Match Names'!$1:$22, 7, FALSE), ""!C3:"&amp;"R29"")), {11;15;23}, FALSE)), ""=-4"") + COUNTIF(ARRAYFORMULA(HLOOKUP($B76, IMPORTRANGE('Match Names'!$H$23, CONCAT(VLOOKUP($C76, 'Match Names'!$1:$22, 8, FALSE), ""!C3:R29"")), {6;12;18}, FALSE)), ""=-4"")"),1.0)</f>
        <v>1</v>
      </c>
      <c r="H76" s="33">
        <f t="shared" si="1"/>
        <v>3</v>
      </c>
    </row>
    <row r="77">
      <c r="A77" s="21" t="s">
        <v>155</v>
      </c>
      <c r="B77" s="31" t="str">
        <f>VLOOKUP(CONCAT(A77, C77), 'Discord Username to Real Name'!C:D, 2, FALSE)</f>
        <v>xplt#4416</v>
      </c>
      <c r="C77" s="21" t="s">
        <v>24</v>
      </c>
      <c r="D77" s="32">
        <f>IFERROR(__xludf.DUMMYFUNCTION("(3 - COUNTIF(IFERROR(ARRAYFORMULA(HLOOKUP($B77, IMPORTRANGE('Prelim Rankings Unsorted'!$B$40, CONCAT(VLOOKUP($C77, 'Match Names'!$A$1:$D$22, 2, FALSE), ""!C3:R29"")), {12;18;24}, FALSE)), 'Player Overall Stats Unsorted'!$AA$9:$AA$12), ""=X"")) + (3 - COUN"&amp;"TIF(IFERROR(ARRAYFORMULA(HLOOKUP($B77, IMPORTRANGE('Prelim Rankings Unsorted'!$B$41, CONCAT(VLOOKUP($C77, 'Match Names'!$A$1:$D$22, 3, FALSE), ""!C3:R29"")), {6;12;18}, FALSE)), 'Player Overall Stats Unsorted'!$AA$9:$AA$12), ""=X"")) + (3 - COUNTIF(IFERRO"&amp;"R(ARRAYFORMULA(HLOOKUP($B77, IMPORTRANGE('Prelim Rankings Unsorted'!$B$42, CONCAT(VLOOKUP($C77, 'Match Names'!$A$1:$D$22, 4, FALSE), ""!C3:R29"")), {6;12;18}, FALSE)), 'Player Overall Stats Unsorted'!$AA$9:$AA$12), ""=X"")) + (3 - COUNTIF(IFERROR(ARRAYFOR"&amp;"MULA(HLOOKUP($B77, IMPORTRANGE('Match Names'!$E$23, CONCAT(VLOOKUP($C77, 'Match Names'!$1:$22, 5, FALSE), ""!C3:R29"")), {4;13;18}, FALSE)), 'Player Overall Stats Unsorted'!$AA$9:$AA$12), ""=X"")) + (3 - COUNTIF(IFERROR(ARRAYFORMULA(HLOOKUP($B77, IMPORTRA"&amp;"NGE('Match Names'!$F$23, CONCAT(VLOOKUP($C77, 'Match Names'!$1:$22, 6, FALSE), ""!C3:R29"")), {7;13;19}, FALSE)), 'Player Overall Stats Unsorted'!$AA$9:$AA$12), ""=X"")) + (3 - COUNTIF(IFERROR(ARRAYFORMULA(HLOOKUP($B77, IMPORTRANGE('Match Names'!$G$23, CO"&amp;"NCAT(VLOOKUP($C77, 'Match Names'!$1:$22, 7, FALSE), ""!C3:R29"")), {11;15;23}, FALSE)), 'Player Overall Stats Unsorted'!$AA$9:$AA$12), ""=X"")) + (3 - COUNTIF(IFERROR(ARRAYFORMULA(HLOOKUP($B77, IMPORTRANGE('Match Names'!$H$23, CONCAT(VLOOKUP($C77, 'Match "&amp;"Names'!$1:$22, 8, FALSE), ""!C3:R29"")), {6;12;18}, FALSE)), 'Player Overall Stats Unsorted'!$AA$9:$AA$12), ""=X""))"),13.0)</f>
        <v>13</v>
      </c>
      <c r="E77" s="32">
        <f>IFERROR(__xludf.DUMMYFUNCTION("COUNTIF(ARRAYFORMULA(HLOOKUP($B77, IMPORTRANGE('Prelim Rankings Unsorted'!$B$40, CONCAT(VLOOKUP($C77, 'Match Names'!$A$1:$D$22, 2, FALSE), ""!C3:R29"")), {12;18;24}, FALSE)), ""=4"") + COUNTIF(ARRAYFORMULA(HLOOKUP($B77, IMPORTRANGE('Prelim Rankings Unsort"&amp;"ed'!$B$41, CONCAT(VLOOKUP($C77, 'Match Names'!$A$1:$D$22, 3, FALSE), ""!C3:R29"")), {6;12;18}, FALSE)), ""=4"") + COUNTIF(ARRAYFORMULA(HLOOKUP($B77, IMPORTRANGE('Prelim Rankings Unsorted'!$B$42, CONCAT(VLOOKUP($C77, 'Match Names'!$A$1:$D$22, 4, FALSE), """&amp;"!C3:R29"")), {6;12;18}, FALSE)), ""=4"") + COUNTIF(ARRAYFORMULA(HLOOKUP($B77, IMPORTRANGE('Match Names'!$E$23, CONCAT(VLOOKUP($C77, 'Match Names'!$1:$22, 5, FALSE), ""!C3:R29"")), {4;13;18}, FALSE)), ""=4"") + COUNTIF(ARRAYFORMULA(HLOOKUP($B77, IMPORTRANG"&amp;"E('Match Names'!$F$23, CONCAT(VLOOKUP($C77, 'Match Names'!$1:$22, 6, FALSE), ""!C3:R29"")), {7;13;19}, FALSE)), ""=4"") + COUNTIF(ARRAYFORMULA(HLOOKUP($B77, IMPORTRANGE('Match Names'!$G$23, CONCAT(VLOOKUP($C77, 'Match Names'!$1:$22, 7, FALSE), ""!C3:R29"""&amp;")), {11;15;23}, FALSE)), ""=4"") + COUNTIF(ARRAYFORMULA(HLOOKUP($B77, IMPORTRANGE('Match Names'!$H$23, CONCAT(VLOOKUP($C77, 'Match Names'!$1:$22, 8, FALSE), ""!C3:R29"")), {6;12;18}, FALSE)), ""=4"")"),0.0)</f>
        <v>0</v>
      </c>
      <c r="F77" s="32">
        <f>IFERROR(__xludf.DUMMYFUNCTION("COUNTIF(ARRAYFORMULA(HLOOKUP($B77, IMPORTRANGE('Prelim Rankings Unsorted'!$B$40, CONCAT(VLOOKUP($C77, 'Match Names'!$A$1:$D$22, 2, FALSE), ""!C3:R29"")), {12;18;24}, FALSE)), ""=0"") + COUNTIF(ARRAYFORMULA(HLOOKUP($B77, IMPORTRANGE('Prelim Rankings Unsort"&amp;"ed'!$B$41, CONCAT(VLOOKUP($C77, 'Match Names'!$A$1:$D$22, 3, FALSE), ""!C3:R29"")), {6;12;18}, FALSE)), ""=0"") + COUNTIF(ARRAYFORMULA(HLOOKUP($B77, IMPORTRANGE('Prelim Rankings Unsorted'!$B$42, CONCAT(VLOOKUP($C77, 'Match Names'!$A$1:$D$22, 4, FALSE), """&amp;"!C3:R29"")), {6;12;18}, FALSE)), ""=0"") + COUNTIF(ARRAYFORMULA(HLOOKUP($B77, IMPORTRANGE('Match Names'!$E$23, CONCAT(VLOOKUP($C77, 'Match Names'!$1:$22, 5, FALSE), ""!C3:R29"")), {4;13;18}, FALSE)), ""=0"") + COUNTIF(ARRAYFORMULA(HLOOKUP($B77, IMPORTRANG"&amp;"E('Match Names'!$F$23, CONCAT(VLOOKUP($C77, 'Match Names'!$1:$22, 6, FALSE), ""!C3:R29"")), {7;13;19}, FALSE)), ""=0"") + COUNTIF(ARRAYFORMULA(HLOOKUP($B77, IMPORTRANGE('Match Names'!$G$23, CONCAT(VLOOKUP($C77, 'Match Names'!$1:$22, 7, FALSE), ""!C3:R29"""&amp;")), {11;15;23}, FALSE)), ""=0"") + COUNTIF(ARRAYFORMULA(HLOOKUP($B77, IMPORTRANGE('Match Names'!$H$23, CONCAT(VLOOKUP($C77, 'Match Names'!$1:$22, 8, FALSE), ""!C3:R29"")), {6;12;18}, FALSE)), ""=0"")"),0.0)</f>
        <v>0</v>
      </c>
      <c r="G77" s="32">
        <f>IFERROR(__xludf.DUMMYFUNCTION("COUNTIF(ARRAYFORMULA(HLOOKUP($B77, IMPORTRANGE('Prelim Rankings Unsorted'!$B$40, CONCAT(VLOOKUP($C77, 'Match Names'!$A$1:$D$22, 2, FALSE), ""!C3:R29"")), {12;18;24}, FALSE)), ""=-4"") + COUNTIF(ARRAYFORMULA(HLOOKUP($B77, IMPORTRANGE('Prelim Rankings Unsor"&amp;"ted'!$B$41, CONCAT(VLOOKUP($C77, 'Match Names'!$A$1:$D$22, 3, FALSE), ""!C3:R29"")), {6;12;18}, FALSE)), ""=-4"") + COUNTIF(ARRAYFORMULA(HLOOKUP($B77, IMPORTRANGE('Prelim Rankings Unsorted'!$B$42, CONCAT(VLOOKUP($C77, 'Match Names'!$A$1:$D$22, 4, FALSE), "&amp;"""!C3:R29"")), {6;12;18}, FALSE)), ""=-4"") + COUNTIF(ARRAYFORMULA(HLOOKUP($B77, IMPORTRANGE('Match Names'!$E$23, CONCAT(VLOOKUP($C77, 'Match Names'!$1:$22, 5, FALSE), ""!C3:R29"")), {4;13;18}, FALSE)), ""=-4"") + COUNTIF(ARRAYFORMULA(HLOOKUP($B77, IMPORT"&amp;"RANGE('Match Names'!$F$23, CONCAT(VLOOKUP($C77, 'Match Names'!$1:$22, 6, FALSE), ""!C3:R29"")), {7;13;19}, FALSE)), ""=-4"") + COUNTIF(ARRAYFORMULA(HLOOKUP($B77, IMPORTRANGE('Match Names'!$G$23, CONCAT(VLOOKUP($C77, 'Match Names'!$1:$22, 7, FALSE), ""!C3:"&amp;"R29"")), {11;15;23}, FALSE)), ""=-4"") + COUNTIF(ARRAYFORMULA(HLOOKUP($B77, IMPORTRANGE('Match Names'!$H$23, CONCAT(VLOOKUP($C77, 'Match Names'!$1:$22, 8, FALSE), ""!C3:R29"")), {6;12;18}, FALSE)), ""=-4"")"),0.0)</f>
        <v>0</v>
      </c>
      <c r="H77" s="33">
        <f t="shared" si="1"/>
        <v>0</v>
      </c>
    </row>
    <row r="78">
      <c r="A78" s="21" t="s">
        <v>150</v>
      </c>
      <c r="B78" s="31" t="str">
        <f>VLOOKUP(CONCAT(A78, C78), 'Discord Username to Real Name'!C:D, 2, FALSE)</f>
        <v>aaron0109#6251</v>
      </c>
      <c r="C78" s="21" t="s">
        <v>23</v>
      </c>
      <c r="D78" s="32">
        <f>IFERROR(__xludf.DUMMYFUNCTION("(3 - COUNTIF(IFERROR(ARRAYFORMULA(HLOOKUP($B78, IMPORTRANGE('Prelim Rankings Unsorted'!$B$40, CONCAT(VLOOKUP($C78, 'Match Names'!$A$1:$D$22, 2, FALSE), ""!C3:R29"")), {12;18;24}, FALSE)), 'Player Overall Stats Unsorted'!$AA$9:$AA$12), ""=X"")) + (3 - COUN"&amp;"TIF(IFERROR(ARRAYFORMULA(HLOOKUP($B78, IMPORTRANGE('Prelim Rankings Unsorted'!$B$41, CONCAT(VLOOKUP($C78, 'Match Names'!$A$1:$D$22, 3, FALSE), ""!C3:R29"")), {6;12;18}, FALSE)), 'Player Overall Stats Unsorted'!$AA$9:$AA$12), ""=X"")) + (3 - COUNTIF(IFERRO"&amp;"R(ARRAYFORMULA(HLOOKUP($B78, IMPORTRANGE('Prelim Rankings Unsorted'!$B$42, CONCAT(VLOOKUP($C78, 'Match Names'!$A$1:$D$22, 4, FALSE), ""!C3:R29"")), {6;12;18}, FALSE)), 'Player Overall Stats Unsorted'!$AA$9:$AA$12), ""=X"")) + (3 - COUNTIF(IFERROR(ARRAYFOR"&amp;"MULA(HLOOKUP($B78, IMPORTRANGE('Match Names'!$E$23, CONCAT(VLOOKUP($C78, 'Match Names'!$1:$22, 5, FALSE), ""!C3:R29"")), {4;13;18}, FALSE)), 'Player Overall Stats Unsorted'!$AA$9:$AA$12), ""=X"")) + (3 - COUNTIF(IFERROR(ARRAYFORMULA(HLOOKUP($B78, IMPORTRA"&amp;"NGE('Match Names'!$F$23, CONCAT(VLOOKUP($C78, 'Match Names'!$1:$22, 6, FALSE), ""!C3:R29"")), {7;13;19}, FALSE)), 'Player Overall Stats Unsorted'!$AA$9:$AA$12), ""=X"")) + (3 - COUNTIF(IFERROR(ARRAYFORMULA(HLOOKUP($B78, IMPORTRANGE('Match Names'!$G$23, CO"&amp;"NCAT(VLOOKUP($C78, 'Match Names'!$1:$22, 7, FALSE), ""!C3:R29"")), {11;15;23}, FALSE)), 'Player Overall Stats Unsorted'!$AA$9:$AA$12), ""=X"")) + (3 - COUNTIF(IFERROR(ARRAYFORMULA(HLOOKUP($B78, IMPORTRANGE('Match Names'!$H$23, CONCAT(VLOOKUP($C78, 'Match "&amp;"Names'!$1:$22, 8, FALSE), ""!C3:R29"")), {6;12;18}, FALSE)), 'Player Overall Stats Unsorted'!$AA$9:$AA$12), ""=X""))"),6.0)</f>
        <v>6</v>
      </c>
      <c r="E78" s="32">
        <f>IFERROR(__xludf.DUMMYFUNCTION("COUNTIF(ARRAYFORMULA(HLOOKUP($B78, IMPORTRANGE('Prelim Rankings Unsorted'!$B$40, CONCAT(VLOOKUP($C78, 'Match Names'!$A$1:$D$22, 2, FALSE), ""!C3:R29"")), {12;18;24}, FALSE)), ""=4"") + COUNTIF(ARRAYFORMULA(HLOOKUP($B78, IMPORTRANGE('Prelim Rankings Unsort"&amp;"ed'!$B$41, CONCAT(VLOOKUP($C78, 'Match Names'!$A$1:$D$22, 3, FALSE), ""!C3:R29"")), {6;12;18}, FALSE)), ""=4"") + COUNTIF(ARRAYFORMULA(HLOOKUP($B78, IMPORTRANGE('Prelim Rankings Unsorted'!$B$42, CONCAT(VLOOKUP($C78, 'Match Names'!$A$1:$D$22, 4, FALSE), """&amp;"!C3:R29"")), {6;12;18}, FALSE)), ""=4"") + COUNTIF(ARRAYFORMULA(HLOOKUP($B78, IMPORTRANGE('Match Names'!$E$23, CONCAT(VLOOKUP($C78, 'Match Names'!$1:$22, 5, FALSE), ""!C3:R29"")), {4;13;18}, FALSE)), ""=4"") + COUNTIF(ARRAYFORMULA(HLOOKUP($B78, IMPORTRANG"&amp;"E('Match Names'!$F$23, CONCAT(VLOOKUP($C78, 'Match Names'!$1:$22, 6, FALSE), ""!C3:R29"")), {7;13;19}, FALSE)), ""=4"") + COUNTIF(ARRAYFORMULA(HLOOKUP($B78, IMPORTRANGE('Match Names'!$G$23, CONCAT(VLOOKUP($C78, 'Match Names'!$1:$22, 7, FALSE), ""!C3:R29"""&amp;")), {11;15;23}, FALSE)), ""=4"") + COUNTIF(ARRAYFORMULA(HLOOKUP($B78, IMPORTRANGE('Match Names'!$H$23, CONCAT(VLOOKUP($C78, 'Match Names'!$1:$22, 8, FALSE), ""!C3:R29"")), {6;12;18}, FALSE)), ""=4"")"),0.0)</f>
        <v>0</v>
      </c>
      <c r="F78" s="32">
        <f>IFERROR(__xludf.DUMMYFUNCTION("COUNTIF(ARRAYFORMULA(HLOOKUP($B78, IMPORTRANGE('Prelim Rankings Unsorted'!$B$40, CONCAT(VLOOKUP($C78, 'Match Names'!$A$1:$D$22, 2, FALSE), ""!C3:R29"")), {12;18;24}, FALSE)), ""=0"") + COUNTIF(ARRAYFORMULA(HLOOKUP($B78, IMPORTRANGE('Prelim Rankings Unsort"&amp;"ed'!$B$41, CONCAT(VLOOKUP($C78, 'Match Names'!$A$1:$D$22, 3, FALSE), ""!C3:R29"")), {6;12;18}, FALSE)), ""=0"") + COUNTIF(ARRAYFORMULA(HLOOKUP($B78, IMPORTRANGE('Prelim Rankings Unsorted'!$B$42, CONCAT(VLOOKUP($C78, 'Match Names'!$A$1:$D$22, 4, FALSE), """&amp;"!C3:R29"")), {6;12;18}, FALSE)), ""=0"") + COUNTIF(ARRAYFORMULA(HLOOKUP($B78, IMPORTRANGE('Match Names'!$E$23, CONCAT(VLOOKUP($C78, 'Match Names'!$1:$22, 5, FALSE), ""!C3:R29"")), {4;13;18}, FALSE)), ""=0"") + COUNTIF(ARRAYFORMULA(HLOOKUP($B78, IMPORTRANG"&amp;"E('Match Names'!$F$23, CONCAT(VLOOKUP($C78, 'Match Names'!$1:$22, 6, FALSE), ""!C3:R29"")), {7;13;19}, FALSE)), ""=0"") + COUNTIF(ARRAYFORMULA(HLOOKUP($B78, IMPORTRANGE('Match Names'!$G$23, CONCAT(VLOOKUP($C78, 'Match Names'!$1:$22, 7, FALSE), ""!C3:R29"""&amp;")), {11;15;23}, FALSE)), ""=0"") + COUNTIF(ARRAYFORMULA(HLOOKUP($B78, IMPORTRANGE('Match Names'!$H$23, CONCAT(VLOOKUP($C78, 'Match Names'!$1:$22, 8, FALSE), ""!C3:R29"")), {6;12;18}, FALSE)), ""=0"")"),0.0)</f>
        <v>0</v>
      </c>
      <c r="G78" s="32">
        <f>IFERROR(__xludf.DUMMYFUNCTION("COUNTIF(ARRAYFORMULA(HLOOKUP($B78, IMPORTRANGE('Prelim Rankings Unsorted'!$B$40, CONCAT(VLOOKUP($C78, 'Match Names'!$A$1:$D$22, 2, FALSE), ""!C3:R29"")), {12;18;24}, FALSE)), ""=-4"") + COUNTIF(ARRAYFORMULA(HLOOKUP($B78, IMPORTRANGE('Prelim Rankings Unsor"&amp;"ted'!$B$41, CONCAT(VLOOKUP($C78, 'Match Names'!$A$1:$D$22, 3, FALSE), ""!C3:R29"")), {6;12;18}, FALSE)), ""=-4"") + COUNTIF(ARRAYFORMULA(HLOOKUP($B78, IMPORTRANGE('Prelim Rankings Unsorted'!$B$42, CONCAT(VLOOKUP($C78, 'Match Names'!$A$1:$D$22, 4, FALSE), "&amp;"""!C3:R29"")), {6;12;18}, FALSE)), ""=-4"") + COUNTIF(ARRAYFORMULA(HLOOKUP($B78, IMPORTRANGE('Match Names'!$E$23, CONCAT(VLOOKUP($C78, 'Match Names'!$1:$22, 5, FALSE), ""!C3:R29"")), {4;13;18}, FALSE)), ""=-4"") + COUNTIF(ARRAYFORMULA(HLOOKUP($B78, IMPORT"&amp;"RANGE('Match Names'!$F$23, CONCAT(VLOOKUP($C78, 'Match Names'!$1:$22, 6, FALSE), ""!C3:R29"")), {7;13;19}, FALSE)), ""=-4"") + COUNTIF(ARRAYFORMULA(HLOOKUP($B78, IMPORTRANGE('Match Names'!$G$23, CONCAT(VLOOKUP($C78, 'Match Names'!$1:$22, 7, FALSE), ""!C3:"&amp;"R29"")), {11;15;23}, FALSE)), ""=-4"") + COUNTIF(ARRAYFORMULA(HLOOKUP($B78, IMPORTRANGE('Match Names'!$H$23, CONCAT(VLOOKUP($C78, 'Match Names'!$1:$22, 8, FALSE), ""!C3:R29"")), {6;12;18}, FALSE)), ""=-4"")"),0.0)</f>
        <v>0</v>
      </c>
      <c r="H78" s="33">
        <f t="shared" si="1"/>
        <v>0</v>
      </c>
    </row>
    <row r="79">
      <c r="A79" s="21" t="s">
        <v>49</v>
      </c>
      <c r="B79" s="31" t="str">
        <f>VLOOKUP(CONCAT(A79, C79), 'Discord Username to Real Name'!C:D, 2, FALSE)</f>
        <v>avani#8445</v>
      </c>
      <c r="C79" s="21" t="s">
        <v>23</v>
      </c>
      <c r="D79" s="32">
        <f>IFERROR(__xludf.DUMMYFUNCTION("(3 - COUNTIF(IFERROR(ARRAYFORMULA(HLOOKUP($B79, IMPORTRANGE('Prelim Rankings Unsorted'!$B$40, CONCAT(VLOOKUP($C79, 'Match Names'!$A$1:$D$22, 2, FALSE), ""!C3:R29"")), {12;18;24}, FALSE)), 'Player Overall Stats Unsorted'!$AA$9:$AA$12), ""=X"")) + (3 - COUN"&amp;"TIF(IFERROR(ARRAYFORMULA(HLOOKUP($B79, IMPORTRANGE('Prelim Rankings Unsorted'!$B$41, CONCAT(VLOOKUP($C79, 'Match Names'!$A$1:$D$22, 3, FALSE), ""!C3:R29"")), {6;12;18}, FALSE)), 'Player Overall Stats Unsorted'!$AA$9:$AA$12), ""=X"")) + (3 - COUNTIF(IFERRO"&amp;"R(ARRAYFORMULA(HLOOKUP($B79, IMPORTRANGE('Prelim Rankings Unsorted'!$B$42, CONCAT(VLOOKUP($C79, 'Match Names'!$A$1:$D$22, 4, FALSE), ""!C3:R29"")), {6;12;18}, FALSE)), 'Player Overall Stats Unsorted'!$AA$9:$AA$12), ""=X"")) + (3 - COUNTIF(IFERROR(ARRAYFOR"&amp;"MULA(HLOOKUP($B79, IMPORTRANGE('Match Names'!$E$23, CONCAT(VLOOKUP($C79, 'Match Names'!$1:$22, 5, FALSE), ""!C3:R29"")), {4;13;18}, FALSE)), 'Player Overall Stats Unsorted'!$AA$9:$AA$12), ""=X"")) + (3 - COUNTIF(IFERROR(ARRAYFORMULA(HLOOKUP($B79, IMPORTRA"&amp;"NGE('Match Names'!$F$23, CONCAT(VLOOKUP($C79, 'Match Names'!$1:$22, 6, FALSE), ""!C3:R29"")), {7;13;19}, FALSE)), 'Player Overall Stats Unsorted'!$AA$9:$AA$12), ""=X"")) + (3 - COUNTIF(IFERROR(ARRAYFORMULA(HLOOKUP($B79, IMPORTRANGE('Match Names'!$G$23, CO"&amp;"NCAT(VLOOKUP($C79, 'Match Names'!$1:$22, 7, FALSE), ""!C3:R29"")), {11;15;23}, FALSE)), 'Player Overall Stats Unsorted'!$AA$9:$AA$12), ""=X"")) + (3 - COUNTIF(IFERROR(ARRAYFORMULA(HLOOKUP($B79, IMPORTRANGE('Match Names'!$H$23, CONCAT(VLOOKUP($C79, 'Match "&amp;"Names'!$1:$22, 8, FALSE), ""!C3:R29"")), {6;12;18}, FALSE)), 'Player Overall Stats Unsorted'!$AA$9:$AA$12), ""=X""))"),15.0)</f>
        <v>15</v>
      </c>
      <c r="E79" s="32">
        <f>IFERROR(__xludf.DUMMYFUNCTION("COUNTIF(ARRAYFORMULA(HLOOKUP($B79, IMPORTRANGE('Prelim Rankings Unsorted'!$B$40, CONCAT(VLOOKUP($C79, 'Match Names'!$A$1:$D$22, 2, FALSE), ""!C3:R29"")), {12;18;24}, FALSE)), ""=4"") + COUNTIF(ARRAYFORMULA(HLOOKUP($B79, IMPORTRANGE('Prelim Rankings Unsort"&amp;"ed'!$B$41, CONCAT(VLOOKUP($C79, 'Match Names'!$A$1:$D$22, 3, FALSE), ""!C3:R29"")), {6;12;18}, FALSE)), ""=4"") + COUNTIF(ARRAYFORMULA(HLOOKUP($B79, IMPORTRANGE('Prelim Rankings Unsorted'!$B$42, CONCAT(VLOOKUP($C79, 'Match Names'!$A$1:$D$22, 4, FALSE), """&amp;"!C3:R29"")), {6;12;18}, FALSE)), ""=4"") + COUNTIF(ARRAYFORMULA(HLOOKUP($B79, IMPORTRANGE('Match Names'!$E$23, CONCAT(VLOOKUP($C79, 'Match Names'!$1:$22, 5, FALSE), ""!C3:R29"")), {4;13;18}, FALSE)), ""=4"") + COUNTIF(ARRAYFORMULA(HLOOKUP($B79, IMPORTRANG"&amp;"E('Match Names'!$F$23, CONCAT(VLOOKUP($C79, 'Match Names'!$1:$22, 6, FALSE), ""!C3:R29"")), {7;13;19}, FALSE)), ""=4"") + COUNTIF(ARRAYFORMULA(HLOOKUP($B79, IMPORTRANGE('Match Names'!$G$23, CONCAT(VLOOKUP($C79, 'Match Names'!$1:$22, 7, FALSE), ""!C3:R29"""&amp;")), {11;15;23}, FALSE)), ""=4"") + COUNTIF(ARRAYFORMULA(HLOOKUP($B79, IMPORTRANGE('Match Names'!$H$23, CONCAT(VLOOKUP($C79, 'Match Names'!$1:$22, 8, FALSE), ""!C3:R29"")), {6;12;18}, FALSE)), ""=4"")"),1.0)</f>
        <v>1</v>
      </c>
      <c r="F79" s="32">
        <f>IFERROR(__xludf.DUMMYFUNCTION("COUNTIF(ARRAYFORMULA(HLOOKUP($B79, IMPORTRANGE('Prelim Rankings Unsorted'!$B$40, CONCAT(VLOOKUP($C79, 'Match Names'!$A$1:$D$22, 2, FALSE), ""!C3:R29"")), {12;18;24}, FALSE)), ""=0"") + COUNTIF(ARRAYFORMULA(HLOOKUP($B79, IMPORTRANGE('Prelim Rankings Unsort"&amp;"ed'!$B$41, CONCAT(VLOOKUP($C79, 'Match Names'!$A$1:$D$22, 3, FALSE), ""!C3:R29"")), {6;12;18}, FALSE)), ""=0"") + COUNTIF(ARRAYFORMULA(HLOOKUP($B79, IMPORTRANGE('Prelim Rankings Unsorted'!$B$42, CONCAT(VLOOKUP($C79, 'Match Names'!$A$1:$D$22, 4, FALSE), """&amp;"!C3:R29"")), {6;12;18}, FALSE)), ""=0"") + COUNTIF(ARRAYFORMULA(HLOOKUP($B79, IMPORTRANGE('Match Names'!$E$23, CONCAT(VLOOKUP($C79, 'Match Names'!$1:$22, 5, FALSE), ""!C3:R29"")), {4;13;18}, FALSE)), ""=0"") + COUNTIF(ARRAYFORMULA(HLOOKUP($B79, IMPORTRANG"&amp;"E('Match Names'!$F$23, CONCAT(VLOOKUP($C79, 'Match Names'!$1:$22, 6, FALSE), ""!C3:R29"")), {7;13;19}, FALSE)), ""=0"") + COUNTIF(ARRAYFORMULA(HLOOKUP($B79, IMPORTRANGE('Match Names'!$G$23, CONCAT(VLOOKUP($C79, 'Match Names'!$1:$22, 7, FALSE), ""!C3:R29"""&amp;")), {11;15;23}, FALSE)), ""=0"") + COUNTIF(ARRAYFORMULA(HLOOKUP($B79, IMPORTRANGE('Match Names'!$H$23, CONCAT(VLOOKUP($C79, 'Match Names'!$1:$22, 8, FALSE), ""!C3:R29"")), {6;12;18}, FALSE)), ""=0"")"),1.0)</f>
        <v>1</v>
      </c>
      <c r="G79" s="32">
        <f>IFERROR(__xludf.DUMMYFUNCTION("COUNTIF(ARRAYFORMULA(HLOOKUP($B79, IMPORTRANGE('Prelim Rankings Unsorted'!$B$40, CONCAT(VLOOKUP($C79, 'Match Names'!$A$1:$D$22, 2, FALSE), ""!C3:R29"")), {12;18;24}, FALSE)), ""=-4"") + COUNTIF(ARRAYFORMULA(HLOOKUP($B79, IMPORTRANGE('Prelim Rankings Unsor"&amp;"ted'!$B$41, CONCAT(VLOOKUP($C79, 'Match Names'!$A$1:$D$22, 3, FALSE), ""!C3:R29"")), {6;12;18}, FALSE)), ""=-4"") + COUNTIF(ARRAYFORMULA(HLOOKUP($B79, IMPORTRANGE('Prelim Rankings Unsorted'!$B$42, CONCAT(VLOOKUP($C79, 'Match Names'!$A$1:$D$22, 4, FALSE), "&amp;"""!C3:R29"")), {6;12;18}, FALSE)), ""=-4"") + COUNTIF(ARRAYFORMULA(HLOOKUP($B79, IMPORTRANGE('Match Names'!$E$23, CONCAT(VLOOKUP($C79, 'Match Names'!$1:$22, 5, FALSE), ""!C3:R29"")), {4;13;18}, FALSE)), ""=-4"") + COUNTIF(ARRAYFORMULA(HLOOKUP($B79, IMPORT"&amp;"RANGE('Match Names'!$F$23, CONCAT(VLOOKUP($C79, 'Match Names'!$1:$22, 6, FALSE), ""!C3:R29"")), {7;13;19}, FALSE)), ""=-4"") + COUNTIF(ARRAYFORMULA(HLOOKUP($B79, IMPORTRANGE('Match Names'!$G$23, CONCAT(VLOOKUP($C79, 'Match Names'!$1:$22, 7, FALSE), ""!C3:"&amp;"R29"")), {11;15;23}, FALSE)), ""=-4"") + COUNTIF(ARRAYFORMULA(HLOOKUP($B79, IMPORTRANGE('Match Names'!$H$23, CONCAT(VLOOKUP($C79, 'Match Names'!$1:$22, 8, FALSE), ""!C3:R29"")), {6;12;18}, FALSE)), ""=-4"")"),0.0)</f>
        <v>0</v>
      </c>
      <c r="H79" s="33">
        <f t="shared" si="1"/>
        <v>0.8</v>
      </c>
    </row>
    <row r="80">
      <c r="A80" s="21" t="s">
        <v>142</v>
      </c>
      <c r="B80" s="31" t="str">
        <f>VLOOKUP(CONCAT(A80, C80), 'Discord Username to Real Name'!C:D, 2, FALSE)</f>
        <v>Char#5513</v>
      </c>
      <c r="C80" s="21" t="s">
        <v>23</v>
      </c>
      <c r="D80" s="32">
        <f>IFERROR(__xludf.DUMMYFUNCTION("(3 - COUNTIF(IFERROR(ARRAYFORMULA(HLOOKUP($B80, IMPORTRANGE('Prelim Rankings Unsorted'!$B$40, CONCAT(VLOOKUP($C80, 'Match Names'!$A$1:$D$22, 2, FALSE), ""!C3:R29"")), {12;18;24}, FALSE)), 'Player Overall Stats Unsorted'!$AA$9:$AA$12), ""=X"")) + (3 - COUN"&amp;"TIF(IFERROR(ARRAYFORMULA(HLOOKUP($B80, IMPORTRANGE('Prelim Rankings Unsorted'!$B$41, CONCAT(VLOOKUP($C80, 'Match Names'!$A$1:$D$22, 3, FALSE), ""!C3:R29"")), {6;12;18}, FALSE)), 'Player Overall Stats Unsorted'!$AA$9:$AA$12), ""=X"")) + (3 - COUNTIF(IFERRO"&amp;"R(ARRAYFORMULA(HLOOKUP($B80, IMPORTRANGE('Prelim Rankings Unsorted'!$B$42, CONCAT(VLOOKUP($C80, 'Match Names'!$A$1:$D$22, 4, FALSE), ""!C3:R29"")), {6;12;18}, FALSE)), 'Player Overall Stats Unsorted'!$AA$9:$AA$12), ""=X"")) + (3 - COUNTIF(IFERROR(ARRAYFOR"&amp;"MULA(HLOOKUP($B80, IMPORTRANGE('Match Names'!$E$23, CONCAT(VLOOKUP($C80, 'Match Names'!$1:$22, 5, FALSE), ""!C3:R29"")), {4;13;18}, FALSE)), 'Player Overall Stats Unsorted'!$AA$9:$AA$12), ""=X"")) + (3 - COUNTIF(IFERROR(ARRAYFORMULA(HLOOKUP($B80, IMPORTRA"&amp;"NGE('Match Names'!$F$23, CONCAT(VLOOKUP($C80, 'Match Names'!$1:$22, 6, FALSE), ""!C3:R29"")), {7;13;19}, FALSE)), 'Player Overall Stats Unsorted'!$AA$9:$AA$12), ""=X"")) + (3 - COUNTIF(IFERROR(ARRAYFORMULA(HLOOKUP($B80, IMPORTRANGE('Match Names'!$G$23, CO"&amp;"NCAT(VLOOKUP($C80, 'Match Names'!$1:$22, 7, FALSE), ""!C3:R29"")), {11;15;23}, FALSE)), 'Player Overall Stats Unsorted'!$AA$9:$AA$12), ""=X"")) + (3 - COUNTIF(IFERROR(ARRAYFORMULA(HLOOKUP($B80, IMPORTRANGE('Match Names'!$H$23, CONCAT(VLOOKUP($C80, 'Match "&amp;"Names'!$1:$22, 8, FALSE), ""!C3:R29"")), {6;12;18}, FALSE)), 'Player Overall Stats Unsorted'!$AA$9:$AA$12), ""=X""))"),12.0)</f>
        <v>12</v>
      </c>
      <c r="E80" s="32">
        <f>IFERROR(__xludf.DUMMYFUNCTION("COUNTIF(ARRAYFORMULA(HLOOKUP($B80, IMPORTRANGE('Prelim Rankings Unsorted'!$B$40, CONCAT(VLOOKUP($C80, 'Match Names'!$A$1:$D$22, 2, FALSE), ""!C3:R29"")), {12;18;24}, FALSE)), ""=4"") + COUNTIF(ARRAYFORMULA(HLOOKUP($B80, IMPORTRANGE('Prelim Rankings Unsort"&amp;"ed'!$B$41, CONCAT(VLOOKUP($C80, 'Match Names'!$A$1:$D$22, 3, FALSE), ""!C3:R29"")), {6;12;18}, FALSE)), ""=4"") + COUNTIF(ARRAYFORMULA(HLOOKUP($B80, IMPORTRANGE('Prelim Rankings Unsorted'!$B$42, CONCAT(VLOOKUP($C80, 'Match Names'!$A$1:$D$22, 4, FALSE), """&amp;"!C3:R29"")), {6;12;18}, FALSE)), ""=4"") + COUNTIF(ARRAYFORMULA(HLOOKUP($B80, IMPORTRANGE('Match Names'!$E$23, CONCAT(VLOOKUP($C80, 'Match Names'!$1:$22, 5, FALSE), ""!C3:R29"")), {4;13;18}, FALSE)), ""=4"") + COUNTIF(ARRAYFORMULA(HLOOKUP($B80, IMPORTRANG"&amp;"E('Match Names'!$F$23, CONCAT(VLOOKUP($C80, 'Match Names'!$1:$22, 6, FALSE), ""!C3:R29"")), {7;13;19}, FALSE)), ""=4"") + COUNTIF(ARRAYFORMULA(HLOOKUP($B80, IMPORTRANGE('Match Names'!$G$23, CONCAT(VLOOKUP($C80, 'Match Names'!$1:$22, 7, FALSE), ""!C3:R29"""&amp;")), {11;15;23}, FALSE)), ""=4"") + COUNTIF(ARRAYFORMULA(HLOOKUP($B80, IMPORTRANGE('Match Names'!$H$23, CONCAT(VLOOKUP($C80, 'Match Names'!$1:$22, 8, FALSE), ""!C3:R29"")), {6;12;18}, FALSE)), ""=4"")"),0.0)</f>
        <v>0</v>
      </c>
      <c r="F80" s="32">
        <f>IFERROR(__xludf.DUMMYFUNCTION("COUNTIF(ARRAYFORMULA(HLOOKUP($B80, IMPORTRANGE('Prelim Rankings Unsorted'!$B$40, CONCAT(VLOOKUP($C80, 'Match Names'!$A$1:$D$22, 2, FALSE), ""!C3:R29"")), {12;18;24}, FALSE)), ""=0"") + COUNTIF(ARRAYFORMULA(HLOOKUP($B80, IMPORTRANGE('Prelim Rankings Unsort"&amp;"ed'!$B$41, CONCAT(VLOOKUP($C80, 'Match Names'!$A$1:$D$22, 3, FALSE), ""!C3:R29"")), {6;12;18}, FALSE)), ""=0"") + COUNTIF(ARRAYFORMULA(HLOOKUP($B80, IMPORTRANGE('Prelim Rankings Unsorted'!$B$42, CONCAT(VLOOKUP($C80, 'Match Names'!$A$1:$D$22, 4, FALSE), """&amp;"!C3:R29"")), {6;12;18}, FALSE)), ""=0"") + COUNTIF(ARRAYFORMULA(HLOOKUP($B80, IMPORTRANGE('Match Names'!$E$23, CONCAT(VLOOKUP($C80, 'Match Names'!$1:$22, 5, FALSE), ""!C3:R29"")), {4;13;18}, FALSE)), ""=0"") + COUNTIF(ARRAYFORMULA(HLOOKUP($B80, IMPORTRANG"&amp;"E('Match Names'!$F$23, CONCAT(VLOOKUP($C80, 'Match Names'!$1:$22, 6, FALSE), ""!C3:R29"")), {7;13;19}, FALSE)), ""=0"") + COUNTIF(ARRAYFORMULA(HLOOKUP($B80, IMPORTRANGE('Match Names'!$G$23, CONCAT(VLOOKUP($C80, 'Match Names'!$1:$22, 7, FALSE), ""!C3:R29"""&amp;")), {11;15;23}, FALSE)), ""=0"") + COUNTIF(ARRAYFORMULA(HLOOKUP($B80, IMPORTRANGE('Match Names'!$H$23, CONCAT(VLOOKUP($C80, 'Match Names'!$1:$22, 8, FALSE), ""!C3:R29"")), {6;12;18}, FALSE)), ""=0"")"),1.0)</f>
        <v>1</v>
      </c>
      <c r="G80" s="32">
        <f>IFERROR(__xludf.DUMMYFUNCTION("COUNTIF(ARRAYFORMULA(HLOOKUP($B80, IMPORTRANGE('Prelim Rankings Unsorted'!$B$40, CONCAT(VLOOKUP($C80, 'Match Names'!$A$1:$D$22, 2, FALSE), ""!C3:R29"")), {12;18;24}, FALSE)), ""=-4"") + COUNTIF(ARRAYFORMULA(HLOOKUP($B80, IMPORTRANGE('Prelim Rankings Unsor"&amp;"ted'!$B$41, CONCAT(VLOOKUP($C80, 'Match Names'!$A$1:$D$22, 3, FALSE), ""!C3:R29"")), {6;12;18}, FALSE)), ""=-4"") + COUNTIF(ARRAYFORMULA(HLOOKUP($B80, IMPORTRANGE('Prelim Rankings Unsorted'!$B$42, CONCAT(VLOOKUP($C80, 'Match Names'!$A$1:$D$22, 4, FALSE), "&amp;"""!C3:R29"")), {6;12;18}, FALSE)), ""=-4"") + COUNTIF(ARRAYFORMULA(HLOOKUP($B80, IMPORTRANGE('Match Names'!$E$23, CONCAT(VLOOKUP($C80, 'Match Names'!$1:$22, 5, FALSE), ""!C3:R29"")), {4;13;18}, FALSE)), ""=-4"") + COUNTIF(ARRAYFORMULA(HLOOKUP($B80, IMPORT"&amp;"RANGE('Match Names'!$F$23, CONCAT(VLOOKUP($C80, 'Match Names'!$1:$22, 6, FALSE), ""!C3:R29"")), {7;13;19}, FALSE)), ""=-4"") + COUNTIF(ARRAYFORMULA(HLOOKUP($B80, IMPORTRANGE('Match Names'!$G$23, CONCAT(VLOOKUP($C80, 'Match Names'!$1:$22, 7, FALSE), ""!C3:"&amp;"R29"")), {11;15;23}, FALSE)), ""=-4"") + COUNTIF(ARRAYFORMULA(HLOOKUP($B80, IMPORTRANGE('Match Names'!$H$23, CONCAT(VLOOKUP($C80, 'Match Names'!$1:$22, 8, FALSE), ""!C3:R29"")), {6;12;18}, FALSE)), ""=-4"")"),0.0)</f>
        <v>0</v>
      </c>
      <c r="H80" s="33">
        <f t="shared" si="1"/>
        <v>0</v>
      </c>
    </row>
    <row r="81">
      <c r="A81" s="21" t="s">
        <v>102</v>
      </c>
      <c r="B81" s="31" t="str">
        <f>VLOOKUP(CONCAT(A81, C81), 'Discord Username to Real Name'!C:D, 2, FALSE)</f>
        <v>Weber_Lin#5389</v>
      </c>
      <c r="C81" s="21" t="s">
        <v>23</v>
      </c>
      <c r="D81" s="32">
        <f>IFERROR(__xludf.DUMMYFUNCTION("(3 - COUNTIF(IFERROR(ARRAYFORMULA(HLOOKUP($B81, IMPORTRANGE('Prelim Rankings Unsorted'!$B$40, CONCAT(VLOOKUP($C81, 'Match Names'!$A$1:$D$22, 2, FALSE), ""!C3:R29"")), {12;18;24}, FALSE)), 'Player Overall Stats Unsorted'!$AA$9:$AA$12), ""=X"")) + (3 - COUN"&amp;"TIF(IFERROR(ARRAYFORMULA(HLOOKUP($B81, IMPORTRANGE('Prelim Rankings Unsorted'!$B$41, CONCAT(VLOOKUP($C81, 'Match Names'!$A$1:$D$22, 3, FALSE), ""!C3:R29"")), {6;12;18}, FALSE)), 'Player Overall Stats Unsorted'!$AA$9:$AA$12), ""=X"")) + (3 - COUNTIF(IFERRO"&amp;"R(ARRAYFORMULA(HLOOKUP($B81, IMPORTRANGE('Prelim Rankings Unsorted'!$B$42, CONCAT(VLOOKUP($C81, 'Match Names'!$A$1:$D$22, 4, FALSE), ""!C3:R29"")), {6;12;18}, FALSE)), 'Player Overall Stats Unsorted'!$AA$9:$AA$12), ""=X"")) + (3 - COUNTIF(IFERROR(ARRAYFOR"&amp;"MULA(HLOOKUP($B81, IMPORTRANGE('Match Names'!$E$23, CONCAT(VLOOKUP($C81, 'Match Names'!$1:$22, 5, FALSE), ""!C3:R29"")), {4;13;18}, FALSE)), 'Player Overall Stats Unsorted'!$AA$9:$AA$12), ""=X"")) + (3 - COUNTIF(IFERROR(ARRAYFORMULA(HLOOKUP($B81, IMPORTRA"&amp;"NGE('Match Names'!$F$23, CONCAT(VLOOKUP($C81, 'Match Names'!$1:$22, 6, FALSE), ""!C3:R29"")), {7;13;19}, FALSE)), 'Player Overall Stats Unsorted'!$AA$9:$AA$12), ""=X"")) + (3 - COUNTIF(IFERROR(ARRAYFORMULA(HLOOKUP($B81, IMPORTRANGE('Match Names'!$G$23, CO"&amp;"NCAT(VLOOKUP($C81, 'Match Names'!$1:$22, 7, FALSE), ""!C3:R29"")), {11;15;23}, FALSE)), 'Player Overall Stats Unsorted'!$AA$9:$AA$12), ""=X"")) + (3 - COUNTIF(IFERROR(ARRAYFORMULA(HLOOKUP($B81, IMPORTRANGE('Match Names'!$H$23, CONCAT(VLOOKUP($C81, 'Match "&amp;"Names'!$1:$22, 8, FALSE), ""!C3:R29"")), {6;12;18}, FALSE)), 'Player Overall Stats Unsorted'!$AA$9:$AA$12), ""=X""))"),15.0)</f>
        <v>15</v>
      </c>
      <c r="E81" s="32">
        <f>IFERROR(__xludf.DUMMYFUNCTION("COUNTIF(ARRAYFORMULA(HLOOKUP($B81, IMPORTRANGE('Prelim Rankings Unsorted'!$B$40, CONCAT(VLOOKUP($C81, 'Match Names'!$A$1:$D$22, 2, FALSE), ""!C3:R29"")), {12;18;24}, FALSE)), ""=4"") + COUNTIF(ARRAYFORMULA(HLOOKUP($B81, IMPORTRANGE('Prelim Rankings Unsort"&amp;"ed'!$B$41, CONCAT(VLOOKUP($C81, 'Match Names'!$A$1:$D$22, 3, FALSE), ""!C3:R29"")), {6;12;18}, FALSE)), ""=4"") + COUNTIF(ARRAYFORMULA(HLOOKUP($B81, IMPORTRANGE('Prelim Rankings Unsorted'!$B$42, CONCAT(VLOOKUP($C81, 'Match Names'!$A$1:$D$22, 4, FALSE), """&amp;"!C3:R29"")), {6;12;18}, FALSE)), ""=4"") + COUNTIF(ARRAYFORMULA(HLOOKUP($B81, IMPORTRANGE('Match Names'!$E$23, CONCAT(VLOOKUP($C81, 'Match Names'!$1:$22, 5, FALSE), ""!C3:R29"")), {4;13;18}, FALSE)), ""=4"") + COUNTIF(ARRAYFORMULA(HLOOKUP($B81, IMPORTRANG"&amp;"E('Match Names'!$F$23, CONCAT(VLOOKUP($C81, 'Match Names'!$1:$22, 6, FALSE), ""!C3:R29"")), {7;13;19}, FALSE)), ""=4"") + COUNTIF(ARRAYFORMULA(HLOOKUP($B81, IMPORTRANGE('Match Names'!$G$23, CONCAT(VLOOKUP($C81, 'Match Names'!$1:$22, 7, FALSE), ""!C3:R29"""&amp;")), {11;15;23}, FALSE)), ""=4"") + COUNTIF(ARRAYFORMULA(HLOOKUP($B81, IMPORTRANGE('Match Names'!$H$23, CONCAT(VLOOKUP($C81, 'Match Names'!$1:$22, 8, FALSE), ""!C3:R29"")), {6;12;18}, FALSE)), ""=4"")"),0.0)</f>
        <v>0</v>
      </c>
      <c r="F81" s="32">
        <f>IFERROR(__xludf.DUMMYFUNCTION("COUNTIF(ARRAYFORMULA(HLOOKUP($B81, IMPORTRANGE('Prelim Rankings Unsorted'!$B$40, CONCAT(VLOOKUP($C81, 'Match Names'!$A$1:$D$22, 2, FALSE), ""!C3:R29"")), {12;18;24}, FALSE)), ""=0"") + COUNTIF(ARRAYFORMULA(HLOOKUP($B81, IMPORTRANGE('Prelim Rankings Unsort"&amp;"ed'!$B$41, CONCAT(VLOOKUP($C81, 'Match Names'!$A$1:$D$22, 3, FALSE), ""!C3:R29"")), {6;12;18}, FALSE)), ""=0"") + COUNTIF(ARRAYFORMULA(HLOOKUP($B81, IMPORTRANGE('Prelim Rankings Unsorted'!$B$42, CONCAT(VLOOKUP($C81, 'Match Names'!$A$1:$D$22, 4, FALSE), """&amp;"!C3:R29"")), {6;12;18}, FALSE)), ""=0"") + COUNTIF(ARRAYFORMULA(HLOOKUP($B81, IMPORTRANGE('Match Names'!$E$23, CONCAT(VLOOKUP($C81, 'Match Names'!$1:$22, 5, FALSE), ""!C3:R29"")), {4;13;18}, FALSE)), ""=0"") + COUNTIF(ARRAYFORMULA(HLOOKUP($B81, IMPORTRANG"&amp;"E('Match Names'!$F$23, CONCAT(VLOOKUP($C81, 'Match Names'!$1:$22, 6, FALSE), ""!C3:R29"")), {7;13;19}, FALSE)), ""=0"") + COUNTIF(ARRAYFORMULA(HLOOKUP($B81, IMPORTRANGE('Match Names'!$G$23, CONCAT(VLOOKUP($C81, 'Match Names'!$1:$22, 7, FALSE), ""!C3:R29"""&amp;")), {11;15;23}, FALSE)), ""=0"") + COUNTIF(ARRAYFORMULA(HLOOKUP($B81, IMPORTRANGE('Match Names'!$H$23, CONCAT(VLOOKUP($C81, 'Match Names'!$1:$22, 8, FALSE), ""!C3:R29"")), {6;12;18}, FALSE)), ""=0"")"),1.0)</f>
        <v>1</v>
      </c>
      <c r="G81" s="32">
        <f>IFERROR(__xludf.DUMMYFUNCTION("COUNTIF(ARRAYFORMULA(HLOOKUP($B81, IMPORTRANGE('Prelim Rankings Unsorted'!$B$40, CONCAT(VLOOKUP($C81, 'Match Names'!$A$1:$D$22, 2, FALSE), ""!C3:R29"")), {12;18;24}, FALSE)), ""=-4"") + COUNTIF(ARRAYFORMULA(HLOOKUP($B81, IMPORTRANGE('Prelim Rankings Unsor"&amp;"ted'!$B$41, CONCAT(VLOOKUP($C81, 'Match Names'!$A$1:$D$22, 3, FALSE), ""!C3:R29"")), {6;12;18}, FALSE)), ""=-4"") + COUNTIF(ARRAYFORMULA(HLOOKUP($B81, IMPORTRANGE('Prelim Rankings Unsorted'!$B$42, CONCAT(VLOOKUP($C81, 'Match Names'!$A$1:$D$22, 4, FALSE), "&amp;"""!C3:R29"")), {6;12;18}, FALSE)), ""=-4"") + COUNTIF(ARRAYFORMULA(HLOOKUP($B81, IMPORTRANGE('Match Names'!$E$23, CONCAT(VLOOKUP($C81, 'Match Names'!$1:$22, 5, FALSE), ""!C3:R29"")), {4;13;18}, FALSE)), ""=-4"") + COUNTIF(ARRAYFORMULA(HLOOKUP($B81, IMPORT"&amp;"RANGE('Match Names'!$F$23, CONCAT(VLOOKUP($C81, 'Match Names'!$1:$22, 6, FALSE), ""!C3:R29"")), {7;13;19}, FALSE)), ""=-4"") + COUNTIF(ARRAYFORMULA(HLOOKUP($B81, IMPORTRANGE('Match Names'!$G$23, CONCAT(VLOOKUP($C81, 'Match Names'!$1:$22, 7, FALSE), ""!C3:"&amp;"R29"")), {11;15;23}, FALSE)), ""=-4"") + COUNTIF(ARRAYFORMULA(HLOOKUP($B81, IMPORTRANGE('Match Names'!$H$23, CONCAT(VLOOKUP($C81, 'Match Names'!$1:$22, 8, FALSE), ""!C3:R29"")), {6;12;18}, FALSE)), ""=-4"")"),0.0)</f>
        <v>0</v>
      </c>
      <c r="H81" s="33">
        <f t="shared" si="1"/>
        <v>0</v>
      </c>
    </row>
    <row r="82">
      <c r="A82" s="21" t="s">
        <v>43</v>
      </c>
      <c r="B82" s="31" t="str">
        <f>VLOOKUP(CONCAT(A82, C82), 'Discord Username to Real Name'!C:D, 2, FALSE)</f>
        <v>Xing#7270</v>
      </c>
      <c r="C82" s="21" t="s">
        <v>23</v>
      </c>
      <c r="D82" s="32">
        <f>IFERROR(__xludf.DUMMYFUNCTION("(3 - COUNTIF(IFERROR(ARRAYFORMULA(HLOOKUP($B82, IMPORTRANGE('Prelim Rankings Unsorted'!$B$40, CONCAT(VLOOKUP($C82, 'Match Names'!$A$1:$D$22, 2, FALSE), ""!C3:R29"")), {12;18;24}, FALSE)), 'Player Overall Stats Unsorted'!$AA$9:$AA$12), ""=X"")) + (3 - COUN"&amp;"TIF(IFERROR(ARRAYFORMULA(HLOOKUP($B82, IMPORTRANGE('Prelim Rankings Unsorted'!$B$41, CONCAT(VLOOKUP($C82, 'Match Names'!$A$1:$D$22, 3, FALSE), ""!C3:R29"")), {6;12;18}, FALSE)), 'Player Overall Stats Unsorted'!$AA$9:$AA$12), ""=X"")) + (3 - COUNTIF(IFERRO"&amp;"R(ARRAYFORMULA(HLOOKUP($B82, IMPORTRANGE('Prelim Rankings Unsorted'!$B$42, CONCAT(VLOOKUP($C82, 'Match Names'!$A$1:$D$22, 4, FALSE), ""!C3:R29"")), {6;12;18}, FALSE)), 'Player Overall Stats Unsorted'!$AA$9:$AA$12), ""=X"")) + (3 - COUNTIF(IFERROR(ARRAYFOR"&amp;"MULA(HLOOKUP($B82, IMPORTRANGE('Match Names'!$E$23, CONCAT(VLOOKUP($C82, 'Match Names'!$1:$22, 5, FALSE), ""!C3:R29"")), {4;13;18}, FALSE)), 'Player Overall Stats Unsorted'!$AA$9:$AA$12), ""=X"")) + (3 - COUNTIF(IFERROR(ARRAYFORMULA(HLOOKUP($B82, IMPORTRA"&amp;"NGE('Match Names'!$F$23, CONCAT(VLOOKUP($C82, 'Match Names'!$1:$22, 6, FALSE), ""!C3:R29"")), {7;13;19}, FALSE)), 'Player Overall Stats Unsorted'!$AA$9:$AA$12), ""=X"")) + (3 - COUNTIF(IFERROR(ARRAYFORMULA(HLOOKUP($B82, IMPORTRANGE('Match Names'!$G$23, CO"&amp;"NCAT(VLOOKUP($C82, 'Match Names'!$1:$22, 7, FALSE), ""!C3:R29"")), {11;15;23}, FALSE)), 'Player Overall Stats Unsorted'!$AA$9:$AA$12), ""=X"")) + (3 - COUNTIF(IFERROR(ARRAYFORMULA(HLOOKUP($B82, IMPORTRANGE('Match Names'!$H$23, CONCAT(VLOOKUP($C82, 'Match "&amp;"Names'!$1:$22, 8, FALSE), ""!C3:R29"")), {6;12;18}, FALSE)), 'Player Overall Stats Unsorted'!$AA$9:$AA$12), ""=X""))"),15.0)</f>
        <v>15</v>
      </c>
      <c r="E82" s="32">
        <f>IFERROR(__xludf.DUMMYFUNCTION("COUNTIF(ARRAYFORMULA(HLOOKUP($B82, IMPORTRANGE('Prelim Rankings Unsorted'!$B$40, CONCAT(VLOOKUP($C82, 'Match Names'!$A$1:$D$22, 2, FALSE), ""!C3:R29"")), {12;18;24}, FALSE)), ""=4"") + COUNTIF(ARRAYFORMULA(HLOOKUP($B82, IMPORTRANGE('Prelim Rankings Unsort"&amp;"ed'!$B$41, CONCAT(VLOOKUP($C82, 'Match Names'!$A$1:$D$22, 3, FALSE), ""!C3:R29"")), {6;12;18}, FALSE)), ""=4"") + COUNTIF(ARRAYFORMULA(HLOOKUP($B82, IMPORTRANGE('Prelim Rankings Unsorted'!$B$42, CONCAT(VLOOKUP($C82, 'Match Names'!$A$1:$D$22, 4, FALSE), """&amp;"!C3:R29"")), {6;12;18}, FALSE)), ""=4"") + COUNTIF(ARRAYFORMULA(HLOOKUP($B82, IMPORTRANGE('Match Names'!$E$23, CONCAT(VLOOKUP($C82, 'Match Names'!$1:$22, 5, FALSE), ""!C3:R29"")), {4;13;18}, FALSE)), ""=4"") + COUNTIF(ARRAYFORMULA(HLOOKUP($B82, IMPORTRANG"&amp;"E('Match Names'!$F$23, CONCAT(VLOOKUP($C82, 'Match Names'!$1:$22, 6, FALSE), ""!C3:R29"")), {7;13;19}, FALSE)), ""=4"") + COUNTIF(ARRAYFORMULA(HLOOKUP($B82, IMPORTRANGE('Match Names'!$G$23, CONCAT(VLOOKUP($C82, 'Match Names'!$1:$22, 7, FALSE), ""!C3:R29"""&amp;")), {11;15;23}, FALSE)), ""=4"") + COUNTIF(ARRAYFORMULA(HLOOKUP($B82, IMPORTRANGE('Match Names'!$H$23, CONCAT(VLOOKUP($C82, 'Match Names'!$1:$22, 8, FALSE), ""!C3:R29"")), {6;12;18}, FALSE)), ""=4"")"),9.0)</f>
        <v>9</v>
      </c>
      <c r="F82" s="32">
        <f>IFERROR(__xludf.DUMMYFUNCTION("COUNTIF(ARRAYFORMULA(HLOOKUP($B82, IMPORTRANGE('Prelim Rankings Unsorted'!$B$40, CONCAT(VLOOKUP($C82, 'Match Names'!$A$1:$D$22, 2, FALSE), ""!C3:R29"")), {12;18;24}, FALSE)), ""=0"") + COUNTIF(ARRAYFORMULA(HLOOKUP($B82, IMPORTRANGE('Prelim Rankings Unsort"&amp;"ed'!$B$41, CONCAT(VLOOKUP($C82, 'Match Names'!$A$1:$D$22, 3, FALSE), ""!C3:R29"")), {6;12;18}, FALSE)), ""=0"") + COUNTIF(ARRAYFORMULA(HLOOKUP($B82, IMPORTRANGE('Prelim Rankings Unsorted'!$B$42, CONCAT(VLOOKUP($C82, 'Match Names'!$A$1:$D$22, 4, FALSE), """&amp;"!C3:R29"")), {6;12;18}, FALSE)), ""=0"") + COUNTIF(ARRAYFORMULA(HLOOKUP($B82, IMPORTRANGE('Match Names'!$E$23, CONCAT(VLOOKUP($C82, 'Match Names'!$1:$22, 5, FALSE), ""!C3:R29"")), {4;13;18}, FALSE)), ""=0"") + COUNTIF(ARRAYFORMULA(HLOOKUP($B82, IMPORTRANG"&amp;"E('Match Names'!$F$23, CONCAT(VLOOKUP($C82, 'Match Names'!$1:$22, 6, FALSE), ""!C3:R29"")), {7;13;19}, FALSE)), ""=0"") + COUNTIF(ARRAYFORMULA(HLOOKUP($B82, IMPORTRANGE('Match Names'!$G$23, CONCAT(VLOOKUP($C82, 'Match Names'!$1:$22, 7, FALSE), ""!C3:R29"""&amp;")), {11;15;23}, FALSE)), ""=0"") + COUNTIF(ARRAYFORMULA(HLOOKUP($B82, IMPORTRANGE('Match Names'!$H$23, CONCAT(VLOOKUP($C82, 'Match Names'!$1:$22, 8, FALSE), ""!C3:R29"")), {6;12;18}, FALSE)), ""=0"")"),2.0)</f>
        <v>2</v>
      </c>
      <c r="G82" s="32">
        <f>IFERROR(__xludf.DUMMYFUNCTION("COUNTIF(ARRAYFORMULA(HLOOKUP($B82, IMPORTRANGE('Prelim Rankings Unsorted'!$B$40, CONCAT(VLOOKUP($C82, 'Match Names'!$A$1:$D$22, 2, FALSE), ""!C3:R29"")), {12;18;24}, FALSE)), ""=-4"") + COUNTIF(ARRAYFORMULA(HLOOKUP($B82, IMPORTRANGE('Prelim Rankings Unsor"&amp;"ted'!$B$41, CONCAT(VLOOKUP($C82, 'Match Names'!$A$1:$D$22, 3, FALSE), ""!C3:R29"")), {6;12;18}, FALSE)), ""=-4"") + COUNTIF(ARRAYFORMULA(HLOOKUP($B82, IMPORTRANGE('Prelim Rankings Unsorted'!$B$42, CONCAT(VLOOKUP($C82, 'Match Names'!$A$1:$D$22, 4, FALSE), "&amp;"""!C3:R29"")), {6;12;18}, FALSE)), ""=-4"") + COUNTIF(ARRAYFORMULA(HLOOKUP($B82, IMPORTRANGE('Match Names'!$E$23, CONCAT(VLOOKUP($C82, 'Match Names'!$1:$22, 5, FALSE), ""!C3:R29"")), {4;13;18}, FALSE)), ""=-4"") + COUNTIF(ARRAYFORMULA(HLOOKUP($B82, IMPORT"&amp;"RANGE('Match Names'!$F$23, CONCAT(VLOOKUP($C82, 'Match Names'!$1:$22, 6, FALSE), ""!C3:R29"")), {7;13;19}, FALSE)), ""=-4"") + COUNTIF(ARRAYFORMULA(HLOOKUP($B82, IMPORTRANGE('Match Names'!$G$23, CONCAT(VLOOKUP($C82, 'Match Names'!$1:$22, 7, FALSE), ""!C3:"&amp;"R29"")), {11;15;23}, FALSE)), ""=-4"") + COUNTIF(ARRAYFORMULA(HLOOKUP($B82, IMPORTRANGE('Match Names'!$H$23, CONCAT(VLOOKUP($C82, 'Match Names'!$1:$22, 8, FALSE), ""!C3:R29"")), {6;12;18}, FALSE)), ""=-4"")"),0.0)</f>
        <v>0</v>
      </c>
      <c r="H82" s="33">
        <f t="shared" si="1"/>
        <v>7.2</v>
      </c>
    </row>
    <row r="83">
      <c r="A83" s="21" t="s">
        <v>76</v>
      </c>
      <c r="B83" s="31" t="str">
        <f>VLOOKUP(CONCAT(A83, C83), 'Discord Username to Real Name'!C:D, 2, FALSE)</f>
        <v>Dr. Jess#0829</v>
      </c>
      <c r="C83" s="21" t="s">
        <v>26</v>
      </c>
      <c r="D83" s="32">
        <f>IFERROR(__xludf.DUMMYFUNCTION("(3 - COUNTIF(IFERROR(ARRAYFORMULA(HLOOKUP($B83, IMPORTRANGE('Prelim Rankings Unsorted'!$B$40, CONCAT(VLOOKUP($C83, 'Match Names'!$A$1:$D$22, 2, FALSE), ""!C3:R29"")), {12;18;24}, FALSE)), 'Player Overall Stats Unsorted'!$AA$9:$AA$12), ""=X"")) + (3 - COUN"&amp;"TIF(IFERROR(ARRAYFORMULA(HLOOKUP($B83, IMPORTRANGE('Prelim Rankings Unsorted'!$B$41, CONCAT(VLOOKUP($C83, 'Match Names'!$A$1:$D$22, 3, FALSE), ""!C3:R29"")), {6;12;18}, FALSE)), 'Player Overall Stats Unsorted'!$AA$9:$AA$12), ""=X"")) + (3 - COUNTIF(IFERRO"&amp;"R(ARRAYFORMULA(HLOOKUP($B83, IMPORTRANGE('Prelim Rankings Unsorted'!$B$42, CONCAT(VLOOKUP($C83, 'Match Names'!$A$1:$D$22, 4, FALSE), ""!C3:R29"")), {6;12;18}, FALSE)), 'Player Overall Stats Unsorted'!$AA$9:$AA$12), ""=X"")) + (3 - COUNTIF(IFERROR(ARRAYFOR"&amp;"MULA(HLOOKUP($B83, IMPORTRANGE('Match Names'!$E$23, CONCAT(VLOOKUP($C83, 'Match Names'!$1:$22, 5, FALSE), ""!C3:R29"")), {4;13;18}, FALSE)), 'Player Overall Stats Unsorted'!$AA$9:$AA$12), ""=X"")) + (3 - COUNTIF(IFERROR(ARRAYFORMULA(HLOOKUP($B83, IMPORTRA"&amp;"NGE('Match Names'!$F$23, CONCAT(VLOOKUP($C83, 'Match Names'!$1:$22, 6, FALSE), ""!C3:R29"")), {7;13;19}, FALSE)), 'Player Overall Stats Unsorted'!$AA$9:$AA$12), ""=X"")) + (3 - COUNTIF(IFERROR(ARRAYFORMULA(HLOOKUP($B83, IMPORTRANGE('Match Names'!$G$23, CO"&amp;"NCAT(VLOOKUP($C83, 'Match Names'!$1:$22, 7, FALSE), ""!C3:R29"")), {11;15;23}, FALSE)), 'Player Overall Stats Unsorted'!$AA$9:$AA$12), ""=X"")) + (3 - COUNTIF(IFERROR(ARRAYFORMULA(HLOOKUP($B83, IMPORTRANGE('Match Names'!$H$23, CONCAT(VLOOKUP($C83, 'Match "&amp;"Names'!$1:$22, 8, FALSE), ""!C3:R29"")), {6;12;18}, FALSE)), 'Player Overall Stats Unsorted'!$AA$9:$AA$12), ""=X""))"),9.0)</f>
        <v>9</v>
      </c>
      <c r="E83" s="32">
        <f>IFERROR(__xludf.DUMMYFUNCTION("COUNTIF(ARRAYFORMULA(HLOOKUP($B83, IMPORTRANGE('Prelim Rankings Unsorted'!$B$40, CONCAT(VLOOKUP($C83, 'Match Names'!$A$1:$D$22, 2, FALSE), ""!C3:R29"")), {12;18;24}, FALSE)), ""=4"") + COUNTIF(ARRAYFORMULA(HLOOKUP($B83, IMPORTRANGE('Prelim Rankings Unsort"&amp;"ed'!$B$41, CONCAT(VLOOKUP($C83, 'Match Names'!$A$1:$D$22, 3, FALSE), ""!C3:R29"")), {6;12;18}, FALSE)), ""=4"") + COUNTIF(ARRAYFORMULA(HLOOKUP($B83, IMPORTRANGE('Prelim Rankings Unsorted'!$B$42, CONCAT(VLOOKUP($C83, 'Match Names'!$A$1:$D$22, 4, FALSE), """&amp;"!C3:R29"")), {6;12;18}, FALSE)), ""=4"") + COUNTIF(ARRAYFORMULA(HLOOKUP($B83, IMPORTRANGE('Match Names'!$E$23, CONCAT(VLOOKUP($C83, 'Match Names'!$1:$22, 5, FALSE), ""!C3:R29"")), {4;13;18}, FALSE)), ""=4"") + COUNTIF(ARRAYFORMULA(HLOOKUP($B83, IMPORTRANG"&amp;"E('Match Names'!$F$23, CONCAT(VLOOKUP($C83, 'Match Names'!$1:$22, 6, FALSE), ""!C3:R29"")), {7;13;19}, FALSE)), ""=4"") + COUNTIF(ARRAYFORMULA(HLOOKUP($B83, IMPORTRANGE('Match Names'!$G$23, CONCAT(VLOOKUP($C83, 'Match Names'!$1:$22, 7, FALSE), ""!C3:R29"""&amp;")), {11;15;23}, FALSE)), ""=4"") + COUNTIF(ARRAYFORMULA(HLOOKUP($B83, IMPORTRANGE('Match Names'!$H$23, CONCAT(VLOOKUP($C83, 'Match Names'!$1:$22, 8, FALSE), ""!C3:R29"")), {6;12;18}, FALSE)), ""=4"")"),1.0)</f>
        <v>1</v>
      </c>
      <c r="F83" s="32">
        <f>IFERROR(__xludf.DUMMYFUNCTION("COUNTIF(ARRAYFORMULA(HLOOKUP($B83, IMPORTRANGE('Prelim Rankings Unsorted'!$B$40, CONCAT(VLOOKUP($C83, 'Match Names'!$A$1:$D$22, 2, FALSE), ""!C3:R29"")), {12;18;24}, FALSE)), ""=0"") + COUNTIF(ARRAYFORMULA(HLOOKUP($B83, IMPORTRANGE('Prelim Rankings Unsort"&amp;"ed'!$B$41, CONCAT(VLOOKUP($C83, 'Match Names'!$A$1:$D$22, 3, FALSE), ""!C3:R29"")), {6;12;18}, FALSE)), ""=0"") + COUNTIF(ARRAYFORMULA(HLOOKUP($B83, IMPORTRANGE('Prelim Rankings Unsorted'!$B$42, CONCAT(VLOOKUP($C83, 'Match Names'!$A$1:$D$22, 4, FALSE), """&amp;"!C3:R29"")), {6;12;18}, FALSE)), ""=0"") + COUNTIF(ARRAYFORMULA(HLOOKUP($B83, IMPORTRANGE('Match Names'!$E$23, CONCAT(VLOOKUP($C83, 'Match Names'!$1:$22, 5, FALSE), ""!C3:R29"")), {4;13;18}, FALSE)), ""=0"") + COUNTIF(ARRAYFORMULA(HLOOKUP($B83, IMPORTRANG"&amp;"E('Match Names'!$F$23, CONCAT(VLOOKUP($C83, 'Match Names'!$1:$22, 6, FALSE), ""!C3:R29"")), {7;13;19}, FALSE)), ""=0"") + COUNTIF(ARRAYFORMULA(HLOOKUP($B83, IMPORTRANGE('Match Names'!$G$23, CONCAT(VLOOKUP($C83, 'Match Names'!$1:$22, 7, FALSE), ""!C3:R29"""&amp;")), {11;15;23}, FALSE)), ""=0"") + COUNTIF(ARRAYFORMULA(HLOOKUP($B83, IMPORTRANGE('Match Names'!$H$23, CONCAT(VLOOKUP($C83, 'Match Names'!$1:$22, 8, FALSE), ""!C3:R29"")), {6;12;18}, FALSE)), ""=0"")"),1.0)</f>
        <v>1</v>
      </c>
      <c r="G83" s="32">
        <f>IFERROR(__xludf.DUMMYFUNCTION("COUNTIF(ARRAYFORMULA(HLOOKUP($B83, IMPORTRANGE('Prelim Rankings Unsorted'!$B$40, CONCAT(VLOOKUP($C83, 'Match Names'!$A$1:$D$22, 2, FALSE), ""!C3:R29"")), {12;18;24}, FALSE)), ""=-4"") + COUNTIF(ARRAYFORMULA(HLOOKUP($B83, IMPORTRANGE('Prelim Rankings Unsor"&amp;"ted'!$B$41, CONCAT(VLOOKUP($C83, 'Match Names'!$A$1:$D$22, 3, FALSE), ""!C3:R29"")), {6;12;18}, FALSE)), ""=-4"") + COUNTIF(ARRAYFORMULA(HLOOKUP($B83, IMPORTRANGE('Prelim Rankings Unsorted'!$B$42, CONCAT(VLOOKUP($C83, 'Match Names'!$A$1:$D$22, 4, FALSE), "&amp;"""!C3:R29"")), {6;12;18}, FALSE)), ""=-4"") + COUNTIF(ARRAYFORMULA(HLOOKUP($B83, IMPORTRANGE('Match Names'!$E$23, CONCAT(VLOOKUP($C83, 'Match Names'!$1:$22, 5, FALSE), ""!C3:R29"")), {4;13;18}, FALSE)), ""=-4"") + COUNTIF(ARRAYFORMULA(HLOOKUP($B83, IMPORT"&amp;"RANGE('Match Names'!$F$23, CONCAT(VLOOKUP($C83, 'Match Names'!$1:$22, 6, FALSE), ""!C3:R29"")), {7;13;19}, FALSE)), ""=-4"") + COUNTIF(ARRAYFORMULA(HLOOKUP($B83, IMPORTRANGE('Match Names'!$G$23, CONCAT(VLOOKUP($C83, 'Match Names'!$1:$22, 7, FALSE), ""!C3:"&amp;"R29"")), {11;15;23}, FALSE)), ""=-4"") + COUNTIF(ARRAYFORMULA(HLOOKUP($B83, IMPORTRANGE('Match Names'!$H$23, CONCAT(VLOOKUP($C83, 'Match Names'!$1:$22, 8, FALSE), ""!C3:R29"")), {6;12;18}, FALSE)), ""=-4"")"),0.0)</f>
        <v>0</v>
      </c>
      <c r="H83" s="33">
        <f t="shared" si="1"/>
        <v>1.33</v>
      </c>
    </row>
    <row r="84">
      <c r="A84" s="21" t="s">
        <v>181</v>
      </c>
      <c r="B84" s="31" t="str">
        <f>VLOOKUP(CONCAT(A84, C84), 'Discord Username to Real Name'!C:D, 2, FALSE)</f>
        <v>ronster#8561</v>
      </c>
      <c r="C84" s="21" t="s">
        <v>26</v>
      </c>
      <c r="D84" s="32">
        <f>IFERROR(__xludf.DUMMYFUNCTION("(3 - COUNTIF(IFERROR(ARRAYFORMULA(HLOOKUP($B84, IMPORTRANGE('Prelim Rankings Unsorted'!$B$40, CONCAT(VLOOKUP($C84, 'Match Names'!$A$1:$D$22, 2, FALSE), ""!C3:R29"")), {12;18;24}, FALSE)), 'Player Overall Stats Unsorted'!$AA$9:$AA$12), ""=X"")) + (3 - COUN"&amp;"TIF(IFERROR(ARRAYFORMULA(HLOOKUP($B84, IMPORTRANGE('Prelim Rankings Unsorted'!$B$41, CONCAT(VLOOKUP($C84, 'Match Names'!$A$1:$D$22, 3, FALSE), ""!C3:R29"")), {6;12;18}, FALSE)), 'Player Overall Stats Unsorted'!$AA$9:$AA$12), ""=X"")) + (3 - COUNTIF(IFERRO"&amp;"R(ARRAYFORMULA(HLOOKUP($B84, IMPORTRANGE('Prelim Rankings Unsorted'!$B$42, CONCAT(VLOOKUP($C84, 'Match Names'!$A$1:$D$22, 4, FALSE), ""!C3:R29"")), {6;12;18}, FALSE)), 'Player Overall Stats Unsorted'!$AA$9:$AA$12), ""=X"")) + (3 - COUNTIF(IFERROR(ARRAYFOR"&amp;"MULA(HLOOKUP($B84, IMPORTRANGE('Match Names'!$E$23, CONCAT(VLOOKUP($C84, 'Match Names'!$1:$22, 5, FALSE), ""!C3:R29"")), {4;13;18}, FALSE)), 'Player Overall Stats Unsorted'!$AA$9:$AA$12), ""=X"")) + (3 - COUNTIF(IFERROR(ARRAYFORMULA(HLOOKUP($B84, IMPORTRA"&amp;"NGE('Match Names'!$F$23, CONCAT(VLOOKUP($C84, 'Match Names'!$1:$22, 6, FALSE), ""!C3:R29"")), {7;13;19}, FALSE)), 'Player Overall Stats Unsorted'!$AA$9:$AA$12), ""=X"")) + (3 - COUNTIF(IFERROR(ARRAYFORMULA(HLOOKUP($B84, IMPORTRANGE('Match Names'!$G$23, CO"&amp;"NCAT(VLOOKUP($C84, 'Match Names'!$1:$22, 7, FALSE), ""!C3:R29"")), {11;15;23}, FALSE)), 'Player Overall Stats Unsorted'!$AA$9:$AA$12), ""=X"")) + (3 - COUNTIF(IFERROR(ARRAYFORMULA(HLOOKUP($B84, IMPORTRANGE('Match Names'!$H$23, CONCAT(VLOOKUP($C84, 'Match "&amp;"Names'!$1:$22, 8, FALSE), ""!C3:R29"")), {6;12;18}, FALSE)), 'Player Overall Stats Unsorted'!$AA$9:$AA$12), ""=X""))"),6.0)</f>
        <v>6</v>
      </c>
      <c r="E84" s="32">
        <f>IFERROR(__xludf.DUMMYFUNCTION("COUNTIF(ARRAYFORMULA(HLOOKUP($B84, IMPORTRANGE('Prelim Rankings Unsorted'!$B$40, CONCAT(VLOOKUP($C84, 'Match Names'!$A$1:$D$22, 2, FALSE), ""!C3:R29"")), {12;18;24}, FALSE)), ""=4"") + COUNTIF(ARRAYFORMULA(HLOOKUP($B84, IMPORTRANGE('Prelim Rankings Unsort"&amp;"ed'!$B$41, CONCAT(VLOOKUP($C84, 'Match Names'!$A$1:$D$22, 3, FALSE), ""!C3:R29"")), {6;12;18}, FALSE)), ""=4"") + COUNTIF(ARRAYFORMULA(HLOOKUP($B84, IMPORTRANGE('Prelim Rankings Unsorted'!$B$42, CONCAT(VLOOKUP($C84, 'Match Names'!$A$1:$D$22, 4, FALSE), """&amp;"!C3:R29"")), {6;12;18}, FALSE)), ""=4"") + COUNTIF(ARRAYFORMULA(HLOOKUP($B84, IMPORTRANGE('Match Names'!$E$23, CONCAT(VLOOKUP($C84, 'Match Names'!$1:$22, 5, FALSE), ""!C3:R29"")), {4;13;18}, FALSE)), ""=4"") + COUNTIF(ARRAYFORMULA(HLOOKUP($B84, IMPORTRANG"&amp;"E('Match Names'!$F$23, CONCAT(VLOOKUP($C84, 'Match Names'!$1:$22, 6, FALSE), ""!C3:R29"")), {7;13;19}, FALSE)), ""=4"") + COUNTIF(ARRAYFORMULA(HLOOKUP($B84, IMPORTRANGE('Match Names'!$G$23, CONCAT(VLOOKUP($C84, 'Match Names'!$1:$22, 7, FALSE), ""!C3:R29"""&amp;")), {11;15;23}, FALSE)), ""=4"") + COUNTIF(ARRAYFORMULA(HLOOKUP($B84, IMPORTRANGE('Match Names'!$H$23, CONCAT(VLOOKUP($C84, 'Match Names'!$1:$22, 8, FALSE), ""!C3:R29"")), {6;12;18}, FALSE)), ""=4"")"),0.0)</f>
        <v>0</v>
      </c>
      <c r="F84" s="32">
        <f>IFERROR(__xludf.DUMMYFUNCTION("COUNTIF(ARRAYFORMULA(HLOOKUP($B84, IMPORTRANGE('Prelim Rankings Unsorted'!$B$40, CONCAT(VLOOKUP($C84, 'Match Names'!$A$1:$D$22, 2, FALSE), ""!C3:R29"")), {12;18;24}, FALSE)), ""=0"") + COUNTIF(ARRAYFORMULA(HLOOKUP($B84, IMPORTRANGE('Prelim Rankings Unsort"&amp;"ed'!$B$41, CONCAT(VLOOKUP($C84, 'Match Names'!$A$1:$D$22, 3, FALSE), ""!C3:R29"")), {6;12;18}, FALSE)), ""=0"") + COUNTIF(ARRAYFORMULA(HLOOKUP($B84, IMPORTRANGE('Prelim Rankings Unsorted'!$B$42, CONCAT(VLOOKUP($C84, 'Match Names'!$A$1:$D$22, 4, FALSE), """&amp;"!C3:R29"")), {6;12;18}, FALSE)), ""=0"") + COUNTIF(ARRAYFORMULA(HLOOKUP($B84, IMPORTRANGE('Match Names'!$E$23, CONCAT(VLOOKUP($C84, 'Match Names'!$1:$22, 5, FALSE), ""!C3:R29"")), {4;13;18}, FALSE)), ""=0"") + COUNTIF(ARRAYFORMULA(HLOOKUP($B84, IMPORTRANG"&amp;"E('Match Names'!$F$23, CONCAT(VLOOKUP($C84, 'Match Names'!$1:$22, 6, FALSE), ""!C3:R29"")), {7;13;19}, FALSE)), ""=0"") + COUNTIF(ARRAYFORMULA(HLOOKUP($B84, IMPORTRANGE('Match Names'!$G$23, CONCAT(VLOOKUP($C84, 'Match Names'!$1:$22, 7, FALSE), ""!C3:R29"""&amp;")), {11;15;23}, FALSE)), ""=0"") + COUNTIF(ARRAYFORMULA(HLOOKUP($B84, IMPORTRANGE('Match Names'!$H$23, CONCAT(VLOOKUP($C84, 'Match Names'!$1:$22, 8, FALSE), ""!C3:R29"")), {6;12;18}, FALSE)), ""=0"")"),1.0)</f>
        <v>1</v>
      </c>
      <c r="G84" s="32">
        <f>IFERROR(__xludf.DUMMYFUNCTION("COUNTIF(ARRAYFORMULA(HLOOKUP($B84, IMPORTRANGE('Prelim Rankings Unsorted'!$B$40, CONCAT(VLOOKUP($C84, 'Match Names'!$A$1:$D$22, 2, FALSE), ""!C3:R29"")), {12;18;24}, FALSE)), ""=-4"") + COUNTIF(ARRAYFORMULA(HLOOKUP($B84, IMPORTRANGE('Prelim Rankings Unsor"&amp;"ted'!$B$41, CONCAT(VLOOKUP($C84, 'Match Names'!$A$1:$D$22, 3, FALSE), ""!C3:R29"")), {6;12;18}, FALSE)), ""=-4"") + COUNTIF(ARRAYFORMULA(HLOOKUP($B84, IMPORTRANGE('Prelim Rankings Unsorted'!$B$42, CONCAT(VLOOKUP($C84, 'Match Names'!$A$1:$D$22, 4, FALSE), "&amp;"""!C3:R29"")), {6;12;18}, FALSE)), ""=-4"") + COUNTIF(ARRAYFORMULA(HLOOKUP($B84, IMPORTRANGE('Match Names'!$E$23, CONCAT(VLOOKUP($C84, 'Match Names'!$1:$22, 5, FALSE), ""!C3:R29"")), {4;13;18}, FALSE)), ""=-4"") + COUNTIF(ARRAYFORMULA(HLOOKUP($B84, IMPORT"&amp;"RANGE('Match Names'!$F$23, CONCAT(VLOOKUP($C84, 'Match Names'!$1:$22, 6, FALSE), ""!C3:R29"")), {7;13;19}, FALSE)), ""=-4"") + COUNTIF(ARRAYFORMULA(HLOOKUP($B84, IMPORTRANGE('Match Names'!$G$23, CONCAT(VLOOKUP($C84, 'Match Names'!$1:$22, 7, FALSE), ""!C3:"&amp;"R29"")), {11;15;23}, FALSE)), ""=-4"") + COUNTIF(ARRAYFORMULA(HLOOKUP($B84, IMPORTRANGE('Match Names'!$H$23, CONCAT(VLOOKUP($C84, 'Match Names'!$1:$22, 8, FALSE), ""!C3:R29"")), {6;12;18}, FALSE)), ""=-4"")"),0.0)</f>
        <v>0</v>
      </c>
      <c r="H84" s="33">
        <f t="shared" si="1"/>
        <v>0</v>
      </c>
    </row>
    <row r="85">
      <c r="A85" s="21" t="s">
        <v>192</v>
      </c>
      <c r="B85" s="31" t="str">
        <f>VLOOKUP(CONCAT(A85, C85), 'Discord Username to Real Name'!C:D, 2, FALSE)</f>
        <v>aditi#0716</v>
      </c>
      <c r="C85" s="21" t="s">
        <v>26</v>
      </c>
      <c r="D85" s="32">
        <f>IFERROR(__xludf.DUMMYFUNCTION("(3 - COUNTIF(IFERROR(ARRAYFORMULA(HLOOKUP($B85, IMPORTRANGE('Prelim Rankings Unsorted'!$B$40, CONCAT(VLOOKUP($C85, 'Match Names'!$A$1:$D$22, 2, FALSE), ""!C3:R29"")), {12;18;24}, FALSE)), 'Player Overall Stats Unsorted'!$AA$9:$AA$12), ""=X"")) + (3 - COUN"&amp;"TIF(IFERROR(ARRAYFORMULA(HLOOKUP($B85, IMPORTRANGE('Prelim Rankings Unsorted'!$B$41, CONCAT(VLOOKUP($C85, 'Match Names'!$A$1:$D$22, 3, FALSE), ""!C3:R29"")), {6;12;18}, FALSE)), 'Player Overall Stats Unsorted'!$AA$9:$AA$12), ""=X"")) + (3 - COUNTIF(IFERRO"&amp;"R(ARRAYFORMULA(HLOOKUP($B85, IMPORTRANGE('Prelim Rankings Unsorted'!$B$42, CONCAT(VLOOKUP($C85, 'Match Names'!$A$1:$D$22, 4, FALSE), ""!C3:R29"")), {6;12;18}, FALSE)), 'Player Overall Stats Unsorted'!$AA$9:$AA$12), ""=X"")) + (3 - COUNTIF(IFERROR(ARRAYFOR"&amp;"MULA(HLOOKUP($B85, IMPORTRANGE('Match Names'!$E$23, CONCAT(VLOOKUP($C85, 'Match Names'!$1:$22, 5, FALSE), ""!C3:R29"")), {4;13;18}, FALSE)), 'Player Overall Stats Unsorted'!$AA$9:$AA$12), ""=X"")) + (3 - COUNTIF(IFERROR(ARRAYFORMULA(HLOOKUP($B85, IMPORTRA"&amp;"NGE('Match Names'!$F$23, CONCAT(VLOOKUP($C85, 'Match Names'!$1:$22, 6, FALSE), ""!C3:R29"")), {7;13;19}, FALSE)), 'Player Overall Stats Unsorted'!$AA$9:$AA$12), ""=X"")) + (3 - COUNTIF(IFERROR(ARRAYFORMULA(HLOOKUP($B85, IMPORTRANGE('Match Names'!$G$23, CO"&amp;"NCAT(VLOOKUP($C85, 'Match Names'!$1:$22, 7, FALSE), ""!C3:R29"")), {11;15;23}, FALSE)), 'Player Overall Stats Unsorted'!$AA$9:$AA$12), ""=X"")) + (3 - COUNTIF(IFERROR(ARRAYFORMULA(HLOOKUP($B85, IMPORTRANGE('Match Names'!$H$23, CONCAT(VLOOKUP($C85, 'Match "&amp;"Names'!$1:$22, 8, FALSE), ""!C3:R29"")), {6;12;18}, FALSE)), 'Player Overall Stats Unsorted'!$AA$9:$AA$12), ""=X""))"),3.0)</f>
        <v>3</v>
      </c>
      <c r="E85" s="32">
        <f>IFERROR(__xludf.DUMMYFUNCTION("COUNTIF(ARRAYFORMULA(HLOOKUP($B85, IMPORTRANGE('Prelim Rankings Unsorted'!$B$40, CONCAT(VLOOKUP($C85, 'Match Names'!$A$1:$D$22, 2, FALSE), ""!C3:R29"")), {12;18;24}, FALSE)), ""=4"") + COUNTIF(ARRAYFORMULA(HLOOKUP($B85, IMPORTRANGE('Prelim Rankings Unsort"&amp;"ed'!$B$41, CONCAT(VLOOKUP($C85, 'Match Names'!$A$1:$D$22, 3, FALSE), ""!C3:R29"")), {6;12;18}, FALSE)), ""=4"") + COUNTIF(ARRAYFORMULA(HLOOKUP($B85, IMPORTRANGE('Prelim Rankings Unsorted'!$B$42, CONCAT(VLOOKUP($C85, 'Match Names'!$A$1:$D$22, 4, FALSE), """&amp;"!C3:R29"")), {6;12;18}, FALSE)), ""=4"") + COUNTIF(ARRAYFORMULA(HLOOKUP($B85, IMPORTRANGE('Match Names'!$E$23, CONCAT(VLOOKUP($C85, 'Match Names'!$1:$22, 5, FALSE), ""!C3:R29"")), {4;13;18}, FALSE)), ""=4"") + COUNTIF(ARRAYFORMULA(HLOOKUP($B85, IMPORTRANG"&amp;"E('Match Names'!$F$23, CONCAT(VLOOKUP($C85, 'Match Names'!$1:$22, 6, FALSE), ""!C3:R29"")), {7;13;19}, FALSE)), ""=4"") + COUNTIF(ARRAYFORMULA(HLOOKUP($B85, IMPORTRANGE('Match Names'!$G$23, CONCAT(VLOOKUP($C85, 'Match Names'!$1:$22, 7, FALSE), ""!C3:R29"""&amp;")), {11;15;23}, FALSE)), ""=4"") + COUNTIF(ARRAYFORMULA(HLOOKUP($B85, IMPORTRANGE('Match Names'!$H$23, CONCAT(VLOOKUP($C85, 'Match Names'!$1:$22, 8, FALSE), ""!C3:R29"")), {6;12;18}, FALSE)), ""=4"")"),0.0)</f>
        <v>0</v>
      </c>
      <c r="F85" s="32">
        <f>IFERROR(__xludf.DUMMYFUNCTION("COUNTIF(ARRAYFORMULA(HLOOKUP($B85, IMPORTRANGE('Prelim Rankings Unsorted'!$B$40, CONCAT(VLOOKUP($C85, 'Match Names'!$A$1:$D$22, 2, FALSE), ""!C3:R29"")), {12;18;24}, FALSE)), ""=0"") + COUNTIF(ARRAYFORMULA(HLOOKUP($B85, IMPORTRANGE('Prelim Rankings Unsort"&amp;"ed'!$B$41, CONCAT(VLOOKUP($C85, 'Match Names'!$A$1:$D$22, 3, FALSE), ""!C3:R29"")), {6;12;18}, FALSE)), ""=0"") + COUNTIF(ARRAYFORMULA(HLOOKUP($B85, IMPORTRANGE('Prelim Rankings Unsorted'!$B$42, CONCAT(VLOOKUP($C85, 'Match Names'!$A$1:$D$22, 4, FALSE), """&amp;"!C3:R29"")), {6;12;18}, FALSE)), ""=0"") + COUNTIF(ARRAYFORMULA(HLOOKUP($B85, IMPORTRANGE('Match Names'!$E$23, CONCAT(VLOOKUP($C85, 'Match Names'!$1:$22, 5, FALSE), ""!C3:R29"")), {4;13;18}, FALSE)), ""=0"") + COUNTIF(ARRAYFORMULA(HLOOKUP($B85, IMPORTRANG"&amp;"E('Match Names'!$F$23, CONCAT(VLOOKUP($C85, 'Match Names'!$1:$22, 6, FALSE), ""!C3:R29"")), {7;13;19}, FALSE)), ""=0"") + COUNTIF(ARRAYFORMULA(HLOOKUP($B85, IMPORTRANGE('Match Names'!$G$23, CONCAT(VLOOKUP($C85, 'Match Names'!$1:$22, 7, FALSE), ""!C3:R29"""&amp;")), {11;15;23}, FALSE)), ""=0"") + COUNTIF(ARRAYFORMULA(HLOOKUP($B85, IMPORTRANGE('Match Names'!$H$23, CONCAT(VLOOKUP($C85, 'Match Names'!$1:$22, 8, FALSE), ""!C3:R29"")), {6;12;18}, FALSE)), ""=0"")"),0.0)</f>
        <v>0</v>
      </c>
      <c r="G85" s="32">
        <f>IFERROR(__xludf.DUMMYFUNCTION("COUNTIF(ARRAYFORMULA(HLOOKUP($B85, IMPORTRANGE('Prelim Rankings Unsorted'!$B$40, CONCAT(VLOOKUP($C85, 'Match Names'!$A$1:$D$22, 2, FALSE), ""!C3:R29"")), {12;18;24}, FALSE)), ""=-4"") + COUNTIF(ARRAYFORMULA(HLOOKUP($B85, IMPORTRANGE('Prelim Rankings Unsor"&amp;"ted'!$B$41, CONCAT(VLOOKUP($C85, 'Match Names'!$A$1:$D$22, 3, FALSE), ""!C3:R29"")), {6;12;18}, FALSE)), ""=-4"") + COUNTIF(ARRAYFORMULA(HLOOKUP($B85, IMPORTRANGE('Prelim Rankings Unsorted'!$B$42, CONCAT(VLOOKUP($C85, 'Match Names'!$A$1:$D$22, 4, FALSE), "&amp;"""!C3:R29"")), {6;12;18}, FALSE)), ""=-4"") + COUNTIF(ARRAYFORMULA(HLOOKUP($B85, IMPORTRANGE('Match Names'!$E$23, CONCAT(VLOOKUP($C85, 'Match Names'!$1:$22, 5, FALSE), ""!C3:R29"")), {4;13;18}, FALSE)), ""=-4"") + COUNTIF(ARRAYFORMULA(HLOOKUP($B85, IMPORT"&amp;"RANGE('Match Names'!$F$23, CONCAT(VLOOKUP($C85, 'Match Names'!$1:$22, 6, FALSE), ""!C3:R29"")), {7;13;19}, FALSE)), ""=-4"") + COUNTIF(ARRAYFORMULA(HLOOKUP($B85, IMPORTRANGE('Match Names'!$G$23, CONCAT(VLOOKUP($C85, 'Match Names'!$1:$22, 7, FALSE), ""!C3:"&amp;"R29"")), {11;15;23}, FALSE)), ""=-4"") + COUNTIF(ARRAYFORMULA(HLOOKUP($B85, IMPORTRANGE('Match Names'!$H$23, CONCAT(VLOOKUP($C85, 'Match Names'!$1:$22, 8, FALSE), ""!C3:R29"")), {6;12;18}, FALSE)), ""=-4"")"),0.0)</f>
        <v>0</v>
      </c>
      <c r="H85" s="33">
        <f t="shared" si="1"/>
        <v>0</v>
      </c>
    </row>
    <row r="86">
      <c r="A86" s="21" t="s">
        <v>37</v>
      </c>
      <c r="B86" s="31" t="str">
        <f>VLOOKUP(CONCAT(A86, C86), 'Discord Username to Real Name'!C:D, 2, FALSE)</f>
        <v>aurum#9391</v>
      </c>
      <c r="C86" s="21" t="s">
        <v>18</v>
      </c>
      <c r="D86" s="32">
        <f>IFERROR(__xludf.DUMMYFUNCTION("(3 - COUNTIF(IFERROR(ARRAYFORMULA(HLOOKUP($B86, IMPORTRANGE('Prelim Rankings Unsorted'!$B$40, CONCAT(VLOOKUP($C86, 'Match Names'!$A$1:$D$22, 2, FALSE), ""!C3:R29"")), {12;18;24}, FALSE)), 'Player Overall Stats Unsorted'!$AA$9:$AA$12), ""=X"")) + (3 - COUN"&amp;"TIF(IFERROR(ARRAYFORMULA(HLOOKUP($B86, IMPORTRANGE('Prelim Rankings Unsorted'!$B$41, CONCAT(VLOOKUP($C86, 'Match Names'!$A$1:$D$22, 3, FALSE), ""!C3:R29"")), {6;12;18}, FALSE)), 'Player Overall Stats Unsorted'!$AA$9:$AA$12), ""=X"")) + (3 - COUNTIF(IFERRO"&amp;"R(ARRAYFORMULA(HLOOKUP($B86, IMPORTRANGE('Prelim Rankings Unsorted'!$B$42, CONCAT(VLOOKUP($C86, 'Match Names'!$A$1:$D$22, 4, FALSE), ""!C3:R29"")), {6;12;18}, FALSE)), 'Player Overall Stats Unsorted'!$AA$9:$AA$12), ""=X"")) + (3 - COUNTIF(IFERROR(ARRAYFOR"&amp;"MULA(HLOOKUP($B86, IMPORTRANGE('Match Names'!$E$23, CONCAT(VLOOKUP($C86, 'Match Names'!$1:$22, 5, FALSE), ""!C3:R29"")), {4;13;18}, FALSE)), 'Player Overall Stats Unsorted'!$AA$9:$AA$12), ""=X"")) + (3 - COUNTIF(IFERROR(ARRAYFORMULA(HLOOKUP($B86, IMPORTRA"&amp;"NGE('Match Names'!$F$23, CONCAT(VLOOKUP($C86, 'Match Names'!$1:$22, 6, FALSE), ""!C3:R29"")), {7;13;19}, FALSE)), 'Player Overall Stats Unsorted'!$AA$9:$AA$12), ""=X"")) + (3 - COUNTIF(IFERROR(ARRAYFORMULA(HLOOKUP($B86, IMPORTRANGE('Match Names'!$G$23, CO"&amp;"NCAT(VLOOKUP($C86, 'Match Names'!$1:$22, 7, FALSE), ""!C3:R29"")), {11;15;23}, FALSE)), 'Player Overall Stats Unsorted'!$AA$9:$AA$12), ""=X"")) + (3 - COUNTIF(IFERROR(ARRAYFORMULA(HLOOKUP($B86, IMPORTRANGE('Match Names'!$H$23, CONCAT(VLOOKUP($C86, 'Match "&amp;"Names'!$1:$22, 8, FALSE), ""!C3:R29"")), {6;12;18}, FALSE)), 'Player Overall Stats Unsorted'!$AA$9:$AA$12), ""=X""))"),15.0)</f>
        <v>15</v>
      </c>
      <c r="E86" s="32">
        <f>IFERROR(__xludf.DUMMYFUNCTION("COUNTIF(ARRAYFORMULA(HLOOKUP($B86, IMPORTRANGE('Prelim Rankings Unsorted'!$B$40, CONCAT(VLOOKUP($C86, 'Match Names'!$A$1:$D$22, 2, FALSE), ""!C3:R29"")), {12;18;24}, FALSE)), ""=4"") + COUNTIF(ARRAYFORMULA(HLOOKUP($B86, IMPORTRANGE('Prelim Rankings Unsort"&amp;"ed'!$B$41, CONCAT(VLOOKUP($C86, 'Match Names'!$A$1:$D$22, 3, FALSE), ""!C3:R29"")), {6;12;18}, FALSE)), ""=4"") + COUNTIF(ARRAYFORMULA(HLOOKUP($B86, IMPORTRANGE('Prelim Rankings Unsorted'!$B$42, CONCAT(VLOOKUP($C86, 'Match Names'!$A$1:$D$22, 4, FALSE), """&amp;"!C3:R29"")), {6;12;18}, FALSE)), ""=4"") + COUNTIF(ARRAYFORMULA(HLOOKUP($B86, IMPORTRANGE('Match Names'!$E$23, CONCAT(VLOOKUP($C86, 'Match Names'!$1:$22, 5, FALSE), ""!C3:R29"")), {4;13;18}, FALSE)), ""=4"") + COUNTIF(ARRAYFORMULA(HLOOKUP($B86, IMPORTRANG"&amp;"E('Match Names'!$F$23, CONCAT(VLOOKUP($C86, 'Match Names'!$1:$22, 6, FALSE), ""!C3:R29"")), {7;13;19}, FALSE)), ""=4"") + COUNTIF(ARRAYFORMULA(HLOOKUP($B86, IMPORTRANGE('Match Names'!$G$23, CONCAT(VLOOKUP($C86, 'Match Names'!$1:$22, 7, FALSE), ""!C3:R29"""&amp;")), {11;15;23}, FALSE)), ""=4"") + COUNTIF(ARRAYFORMULA(HLOOKUP($B86, IMPORTRANGE('Match Names'!$H$23, CONCAT(VLOOKUP($C86, 'Match Names'!$1:$22, 8, FALSE), ""!C3:R29"")), {6;12;18}, FALSE)), ""=4"")"),7.0)</f>
        <v>7</v>
      </c>
      <c r="F86" s="32">
        <f>IFERROR(__xludf.DUMMYFUNCTION("COUNTIF(ARRAYFORMULA(HLOOKUP($B86, IMPORTRANGE('Prelim Rankings Unsorted'!$B$40, CONCAT(VLOOKUP($C86, 'Match Names'!$A$1:$D$22, 2, FALSE), ""!C3:R29"")), {12;18;24}, FALSE)), ""=0"") + COUNTIF(ARRAYFORMULA(HLOOKUP($B86, IMPORTRANGE('Prelim Rankings Unsort"&amp;"ed'!$B$41, CONCAT(VLOOKUP($C86, 'Match Names'!$A$1:$D$22, 3, FALSE), ""!C3:R29"")), {6;12;18}, FALSE)), ""=0"") + COUNTIF(ARRAYFORMULA(HLOOKUP($B86, IMPORTRANGE('Prelim Rankings Unsorted'!$B$42, CONCAT(VLOOKUP($C86, 'Match Names'!$A$1:$D$22, 4, FALSE), """&amp;"!C3:R29"")), {6;12;18}, FALSE)), ""=0"") + COUNTIF(ARRAYFORMULA(HLOOKUP($B86, IMPORTRANGE('Match Names'!$E$23, CONCAT(VLOOKUP($C86, 'Match Names'!$1:$22, 5, FALSE), ""!C3:R29"")), {4;13;18}, FALSE)), ""=0"") + COUNTIF(ARRAYFORMULA(HLOOKUP($B86, IMPORTRANG"&amp;"E('Match Names'!$F$23, CONCAT(VLOOKUP($C86, 'Match Names'!$1:$22, 6, FALSE), ""!C3:R29"")), {7;13;19}, FALSE)), ""=0"") + COUNTIF(ARRAYFORMULA(HLOOKUP($B86, IMPORTRANGE('Match Names'!$G$23, CONCAT(VLOOKUP($C86, 'Match Names'!$1:$22, 7, FALSE), ""!C3:R29"""&amp;")), {11;15;23}, FALSE)), ""=0"") + COUNTIF(ARRAYFORMULA(HLOOKUP($B86, IMPORTRANGE('Match Names'!$H$23, CONCAT(VLOOKUP($C86, 'Match Names'!$1:$22, 8, FALSE), ""!C3:R29"")), {6;12;18}, FALSE)), ""=0"")"),3.0)</f>
        <v>3</v>
      </c>
      <c r="G86" s="32">
        <f>IFERROR(__xludf.DUMMYFUNCTION("COUNTIF(ARRAYFORMULA(HLOOKUP($B86, IMPORTRANGE('Prelim Rankings Unsorted'!$B$40, CONCAT(VLOOKUP($C86, 'Match Names'!$A$1:$D$22, 2, FALSE), ""!C3:R29"")), {12;18;24}, FALSE)), ""=-4"") + COUNTIF(ARRAYFORMULA(HLOOKUP($B86, IMPORTRANGE('Prelim Rankings Unsor"&amp;"ted'!$B$41, CONCAT(VLOOKUP($C86, 'Match Names'!$A$1:$D$22, 3, FALSE), ""!C3:R29"")), {6;12;18}, FALSE)), ""=-4"") + COUNTIF(ARRAYFORMULA(HLOOKUP($B86, IMPORTRANGE('Prelim Rankings Unsorted'!$B$42, CONCAT(VLOOKUP($C86, 'Match Names'!$A$1:$D$22, 4, FALSE), "&amp;"""!C3:R29"")), {6;12;18}, FALSE)), ""=-4"") + COUNTIF(ARRAYFORMULA(HLOOKUP($B86, IMPORTRANGE('Match Names'!$E$23, CONCAT(VLOOKUP($C86, 'Match Names'!$1:$22, 5, FALSE), ""!C3:R29"")), {4;13;18}, FALSE)), ""=-4"") + COUNTIF(ARRAYFORMULA(HLOOKUP($B86, IMPORT"&amp;"RANGE('Match Names'!$F$23, CONCAT(VLOOKUP($C86, 'Match Names'!$1:$22, 6, FALSE), ""!C3:R29"")), {7;13;19}, FALSE)), ""=-4"") + COUNTIF(ARRAYFORMULA(HLOOKUP($B86, IMPORTRANGE('Match Names'!$G$23, CONCAT(VLOOKUP($C86, 'Match Names'!$1:$22, 7, FALSE), ""!C3:"&amp;"R29"")), {11;15;23}, FALSE)), ""=-4"") + COUNTIF(ARRAYFORMULA(HLOOKUP($B86, IMPORTRANGE('Match Names'!$H$23, CONCAT(VLOOKUP($C86, 'Match Names'!$1:$22, 8, FALSE), ""!C3:R29"")), {6;12;18}, FALSE)), ""=-4"")"),1.0)</f>
        <v>1</v>
      </c>
      <c r="H86" s="33">
        <f t="shared" si="1"/>
        <v>4.8</v>
      </c>
    </row>
    <row r="87">
      <c r="A87" s="21" t="s">
        <v>45</v>
      </c>
      <c r="B87" s="31" t="str">
        <f>VLOOKUP(CONCAT(A87, C87), 'Discord Username to Real Name'!C:D, 2, FALSE)</f>
        <v>Rosin#8074</v>
      </c>
      <c r="C87" s="21" t="s">
        <v>18</v>
      </c>
      <c r="D87" s="32">
        <f>IFERROR(__xludf.DUMMYFUNCTION("(3 - COUNTIF(IFERROR(ARRAYFORMULA(HLOOKUP($B87, IMPORTRANGE('Prelim Rankings Unsorted'!$B$40, CONCAT(VLOOKUP($C87, 'Match Names'!$A$1:$D$22, 2, FALSE), ""!C3:R29"")), {12;18;24}, FALSE)), 'Player Overall Stats Unsorted'!$AA$9:$AA$12), ""=X"")) + (3 - COUN"&amp;"TIF(IFERROR(ARRAYFORMULA(HLOOKUP($B87, IMPORTRANGE('Prelim Rankings Unsorted'!$B$41, CONCAT(VLOOKUP($C87, 'Match Names'!$A$1:$D$22, 3, FALSE), ""!C3:R29"")), {6;12;18}, FALSE)), 'Player Overall Stats Unsorted'!$AA$9:$AA$12), ""=X"")) + (3 - COUNTIF(IFERRO"&amp;"R(ARRAYFORMULA(HLOOKUP($B87, IMPORTRANGE('Prelim Rankings Unsorted'!$B$42, CONCAT(VLOOKUP($C87, 'Match Names'!$A$1:$D$22, 4, FALSE), ""!C3:R29"")), {6;12;18}, FALSE)), 'Player Overall Stats Unsorted'!$AA$9:$AA$12), ""=X"")) + (3 - COUNTIF(IFERROR(ARRAYFOR"&amp;"MULA(HLOOKUP($B87, IMPORTRANGE('Match Names'!$E$23, CONCAT(VLOOKUP($C87, 'Match Names'!$1:$22, 5, FALSE), ""!C3:R29"")), {4;13;18}, FALSE)), 'Player Overall Stats Unsorted'!$AA$9:$AA$12), ""=X"")) + (3 - COUNTIF(IFERROR(ARRAYFORMULA(HLOOKUP($B87, IMPORTRA"&amp;"NGE('Match Names'!$F$23, CONCAT(VLOOKUP($C87, 'Match Names'!$1:$22, 6, FALSE), ""!C3:R29"")), {7;13;19}, FALSE)), 'Player Overall Stats Unsorted'!$AA$9:$AA$12), ""=X"")) + (3 - COUNTIF(IFERROR(ARRAYFORMULA(HLOOKUP($B87, IMPORTRANGE('Match Names'!$G$23, CO"&amp;"NCAT(VLOOKUP($C87, 'Match Names'!$1:$22, 7, FALSE), ""!C3:R29"")), {11;15;23}, FALSE)), 'Player Overall Stats Unsorted'!$AA$9:$AA$12), ""=X"")) + (3 - COUNTIF(IFERROR(ARRAYFORMULA(HLOOKUP($B87, IMPORTRANGE('Match Names'!$H$23, CONCAT(VLOOKUP($C87, 'Match "&amp;"Names'!$1:$22, 8, FALSE), ""!C3:R29"")), {6;12;18}, FALSE)), 'Player Overall Stats Unsorted'!$AA$9:$AA$12), ""=X""))"),6.0)</f>
        <v>6</v>
      </c>
      <c r="E87" s="32">
        <f>IFERROR(__xludf.DUMMYFUNCTION("COUNTIF(ARRAYFORMULA(HLOOKUP($B87, IMPORTRANGE('Prelim Rankings Unsorted'!$B$40, CONCAT(VLOOKUP($C87, 'Match Names'!$A$1:$D$22, 2, FALSE), ""!C3:R29"")), {12;18;24}, FALSE)), ""=4"") + COUNTIF(ARRAYFORMULA(HLOOKUP($B87, IMPORTRANGE('Prelim Rankings Unsort"&amp;"ed'!$B$41, CONCAT(VLOOKUP($C87, 'Match Names'!$A$1:$D$22, 3, FALSE), ""!C3:R29"")), {6;12;18}, FALSE)), ""=4"") + COUNTIF(ARRAYFORMULA(HLOOKUP($B87, IMPORTRANGE('Prelim Rankings Unsorted'!$B$42, CONCAT(VLOOKUP($C87, 'Match Names'!$A$1:$D$22, 4, FALSE), """&amp;"!C3:R29"")), {6;12;18}, FALSE)), ""=4"") + COUNTIF(ARRAYFORMULA(HLOOKUP($B87, IMPORTRANGE('Match Names'!$E$23, CONCAT(VLOOKUP($C87, 'Match Names'!$1:$22, 5, FALSE), ""!C3:R29"")), {4;13;18}, FALSE)), ""=4"") + COUNTIF(ARRAYFORMULA(HLOOKUP($B87, IMPORTRANG"&amp;"E('Match Names'!$F$23, CONCAT(VLOOKUP($C87, 'Match Names'!$1:$22, 6, FALSE), ""!C3:R29"")), {7;13;19}, FALSE)), ""=4"") + COUNTIF(ARRAYFORMULA(HLOOKUP($B87, IMPORTRANGE('Match Names'!$G$23, CONCAT(VLOOKUP($C87, 'Match Names'!$1:$22, 7, FALSE), ""!C3:R29"""&amp;")), {11;15;23}, FALSE)), ""=4"") + COUNTIF(ARRAYFORMULA(HLOOKUP($B87, IMPORTRANGE('Match Names'!$H$23, CONCAT(VLOOKUP($C87, 'Match Names'!$1:$22, 8, FALSE), ""!C3:R29"")), {6;12;18}, FALSE)), ""=4"")"),1.0)</f>
        <v>1</v>
      </c>
      <c r="F87" s="32">
        <f>IFERROR(__xludf.DUMMYFUNCTION("COUNTIF(ARRAYFORMULA(HLOOKUP($B87, IMPORTRANGE('Prelim Rankings Unsorted'!$B$40, CONCAT(VLOOKUP($C87, 'Match Names'!$A$1:$D$22, 2, FALSE), ""!C3:R29"")), {12;18;24}, FALSE)), ""=0"") + COUNTIF(ARRAYFORMULA(HLOOKUP($B87, IMPORTRANGE('Prelim Rankings Unsort"&amp;"ed'!$B$41, CONCAT(VLOOKUP($C87, 'Match Names'!$A$1:$D$22, 3, FALSE), ""!C3:R29"")), {6;12;18}, FALSE)), ""=0"") + COUNTIF(ARRAYFORMULA(HLOOKUP($B87, IMPORTRANGE('Prelim Rankings Unsorted'!$B$42, CONCAT(VLOOKUP($C87, 'Match Names'!$A$1:$D$22, 4, FALSE), """&amp;"!C3:R29"")), {6;12;18}, FALSE)), ""=0"") + COUNTIF(ARRAYFORMULA(HLOOKUP($B87, IMPORTRANGE('Match Names'!$E$23, CONCAT(VLOOKUP($C87, 'Match Names'!$1:$22, 5, FALSE), ""!C3:R29"")), {4;13;18}, FALSE)), ""=0"") + COUNTIF(ARRAYFORMULA(HLOOKUP($B87, IMPORTRANG"&amp;"E('Match Names'!$F$23, CONCAT(VLOOKUP($C87, 'Match Names'!$1:$22, 6, FALSE), ""!C3:R29"")), {7;13;19}, FALSE)), ""=0"") + COUNTIF(ARRAYFORMULA(HLOOKUP($B87, IMPORTRANGE('Match Names'!$G$23, CONCAT(VLOOKUP($C87, 'Match Names'!$1:$22, 7, FALSE), ""!C3:R29"""&amp;")), {11;15;23}, FALSE)), ""=0"") + COUNTIF(ARRAYFORMULA(HLOOKUP($B87, IMPORTRANGE('Match Names'!$H$23, CONCAT(VLOOKUP($C87, 'Match Names'!$1:$22, 8, FALSE), ""!C3:R29"")), {6;12;18}, FALSE)), ""=0"")"),0.0)</f>
        <v>0</v>
      </c>
      <c r="G87" s="32">
        <f>IFERROR(__xludf.DUMMYFUNCTION("COUNTIF(ARRAYFORMULA(HLOOKUP($B87, IMPORTRANGE('Prelim Rankings Unsorted'!$B$40, CONCAT(VLOOKUP($C87, 'Match Names'!$A$1:$D$22, 2, FALSE), ""!C3:R29"")), {12;18;24}, FALSE)), ""=-4"") + COUNTIF(ARRAYFORMULA(HLOOKUP($B87, IMPORTRANGE('Prelim Rankings Unsor"&amp;"ted'!$B$41, CONCAT(VLOOKUP($C87, 'Match Names'!$A$1:$D$22, 3, FALSE), ""!C3:R29"")), {6;12;18}, FALSE)), ""=-4"") + COUNTIF(ARRAYFORMULA(HLOOKUP($B87, IMPORTRANGE('Prelim Rankings Unsorted'!$B$42, CONCAT(VLOOKUP($C87, 'Match Names'!$A$1:$D$22, 4, FALSE), "&amp;"""!C3:R29"")), {6;12;18}, FALSE)), ""=-4"") + COUNTIF(ARRAYFORMULA(HLOOKUP($B87, IMPORTRANGE('Match Names'!$E$23, CONCAT(VLOOKUP($C87, 'Match Names'!$1:$22, 5, FALSE), ""!C3:R29"")), {4;13;18}, FALSE)), ""=-4"") + COUNTIF(ARRAYFORMULA(HLOOKUP($B87, IMPORT"&amp;"RANGE('Match Names'!$F$23, CONCAT(VLOOKUP($C87, 'Match Names'!$1:$22, 6, FALSE), ""!C3:R29"")), {7;13;19}, FALSE)), ""=-4"") + COUNTIF(ARRAYFORMULA(HLOOKUP($B87, IMPORTRANGE('Match Names'!$G$23, CONCAT(VLOOKUP($C87, 'Match Names'!$1:$22, 7, FALSE), ""!C3:"&amp;"R29"")), {11;15;23}, FALSE)), ""=-4"") + COUNTIF(ARRAYFORMULA(HLOOKUP($B87, IMPORTRANGE('Match Names'!$H$23, CONCAT(VLOOKUP($C87, 'Match Names'!$1:$22, 8, FALSE), ""!C3:R29"")), {6;12;18}, FALSE)), ""=-4"")"),0.0)</f>
        <v>0</v>
      </c>
      <c r="H87" s="33">
        <f t="shared" si="1"/>
        <v>2</v>
      </c>
    </row>
    <row r="88">
      <c r="A88" s="23" t="s">
        <v>204</v>
      </c>
      <c r="B88" s="31" t="str">
        <f>VLOOKUP(CONCAT(A88, C88), 'Discord Username to Real Name'!C:D, 2, FALSE)</f>
        <v/>
      </c>
      <c r="C88" s="23" t="s">
        <v>18</v>
      </c>
      <c r="D88" s="32">
        <f>IFERROR(__xludf.DUMMYFUNCTION("(3 - COUNTIF(IFERROR(ARRAYFORMULA(HLOOKUP($B88, IMPORTRANGE('Prelim Rankings Unsorted'!$B$40, CONCAT(VLOOKUP($C88, 'Match Names'!$A$1:$D$22, 2, FALSE), ""!C3:R29"")), {12;18;24}, FALSE)), 'Player Overall Stats Unsorted'!$AA$9:$AA$12), ""=X"")) + (3 - COUN"&amp;"TIF(IFERROR(ARRAYFORMULA(HLOOKUP($B88, IMPORTRANGE('Prelim Rankings Unsorted'!$B$41, CONCAT(VLOOKUP($C88, 'Match Names'!$A$1:$D$22, 3, FALSE), ""!C3:R29"")), {6;12;18}, FALSE)), 'Player Overall Stats Unsorted'!$AA$9:$AA$12), ""=X"")) + (3 - COUNTIF(IFERRO"&amp;"R(ARRAYFORMULA(HLOOKUP($B88, IMPORTRANGE('Prelim Rankings Unsorted'!$B$42, CONCAT(VLOOKUP($C88, 'Match Names'!$A$1:$D$22, 4, FALSE), ""!C3:R29"")), {6;12;18}, FALSE)), 'Player Overall Stats Unsorted'!$AA$9:$AA$12), ""=X"")) + (3 - COUNTIF(IFERROR(ARRAYFOR"&amp;"MULA(HLOOKUP($B88, IMPORTRANGE('Match Names'!$E$23, CONCAT(VLOOKUP($C88, 'Match Names'!$1:$22, 5, FALSE), ""!C3:R29"")), {4;13;18}, FALSE)), 'Player Overall Stats Unsorted'!$AA$9:$AA$12), ""=X"")) + (3 - COUNTIF(IFERROR(ARRAYFORMULA(HLOOKUP($B88, IMPORTRA"&amp;"NGE('Match Names'!$F$23, CONCAT(VLOOKUP($C88, 'Match Names'!$1:$22, 6, FALSE), ""!C3:R29"")), {7;13;19}, FALSE)), 'Player Overall Stats Unsorted'!$AA$9:$AA$12), ""=X"")) + (3 - COUNTIF(IFERROR(ARRAYFORMULA(HLOOKUP($B88, IMPORTRANGE('Match Names'!$G$23, CO"&amp;"NCAT(VLOOKUP($C88, 'Match Names'!$1:$22, 7, FALSE), ""!C3:R29"")), {11;15;23}, FALSE)), 'Player Overall Stats Unsorted'!$AA$9:$AA$12), ""=X"")) + (3 - COUNTIF(IFERROR(ARRAYFORMULA(HLOOKUP($B88, IMPORTRANGE('Match Names'!$H$23, CONCAT(VLOOKUP($C88, 'Match "&amp;"Names'!$1:$22, 8, FALSE), ""!C3:R29"")), {6;12;18}, FALSE)), 'Player Overall Stats Unsorted'!$AA$9:$AA$12), ""=X""))"),0.0)</f>
        <v>0</v>
      </c>
      <c r="E88" s="32">
        <f>IFERROR(__xludf.DUMMYFUNCTION("COUNTIF(ARRAYFORMULA(HLOOKUP($B88, IMPORTRANGE('Prelim Rankings Unsorted'!$B$40, CONCAT(VLOOKUP($C88, 'Match Names'!$A$1:$D$22, 2, FALSE), ""!C3:R29"")), {12;18;24}, FALSE)), ""=4"") + COUNTIF(ARRAYFORMULA(HLOOKUP($B88, IMPORTRANGE('Prelim Rankings Unsort"&amp;"ed'!$B$41, CONCAT(VLOOKUP($C88, 'Match Names'!$A$1:$D$22, 3, FALSE), ""!C3:R29"")), {6;12;18}, FALSE)), ""=4"") + COUNTIF(ARRAYFORMULA(HLOOKUP($B88, IMPORTRANGE('Prelim Rankings Unsorted'!$B$42, CONCAT(VLOOKUP($C88, 'Match Names'!$A$1:$D$22, 4, FALSE), """&amp;"!C3:R29"")), {6;12;18}, FALSE)), ""=4"") + COUNTIF(ARRAYFORMULA(HLOOKUP($B88, IMPORTRANGE('Match Names'!$E$23, CONCAT(VLOOKUP($C88, 'Match Names'!$1:$22, 5, FALSE), ""!C3:R29"")), {4;13;18}, FALSE)), ""=4"") + COUNTIF(ARRAYFORMULA(HLOOKUP($B88, IMPORTRANG"&amp;"E('Match Names'!$F$23, CONCAT(VLOOKUP($C88, 'Match Names'!$1:$22, 6, FALSE), ""!C3:R29"")), {7;13;19}, FALSE)), ""=4"") + COUNTIF(ARRAYFORMULA(HLOOKUP($B88, IMPORTRANGE('Match Names'!$G$23, CONCAT(VLOOKUP($C88, 'Match Names'!$1:$22, 7, FALSE), ""!C3:R29"""&amp;")), {11;15;23}, FALSE)), ""=4"") + COUNTIF(ARRAYFORMULA(HLOOKUP($B88, IMPORTRANGE('Match Names'!$H$23, CONCAT(VLOOKUP($C88, 'Match Names'!$1:$22, 8, FALSE), ""!C3:R29"")), {6;12;18}, FALSE)), ""=4"")"),0.0)</f>
        <v>0</v>
      </c>
      <c r="F88" s="32">
        <f>IFERROR(__xludf.DUMMYFUNCTION("COUNTIF(ARRAYFORMULA(HLOOKUP($B88, IMPORTRANGE('Prelim Rankings Unsorted'!$B$40, CONCAT(VLOOKUP($C88, 'Match Names'!$A$1:$D$22, 2, FALSE), ""!C3:R29"")), {12;18;24}, FALSE)), ""=0"") + COUNTIF(ARRAYFORMULA(HLOOKUP($B88, IMPORTRANGE('Prelim Rankings Unsort"&amp;"ed'!$B$41, CONCAT(VLOOKUP($C88, 'Match Names'!$A$1:$D$22, 3, FALSE), ""!C3:R29"")), {6;12;18}, FALSE)), ""=0"") + COUNTIF(ARRAYFORMULA(HLOOKUP($B88, IMPORTRANGE('Prelim Rankings Unsorted'!$B$42, CONCAT(VLOOKUP($C88, 'Match Names'!$A$1:$D$22, 4, FALSE), """&amp;"!C3:R29"")), {6;12;18}, FALSE)), ""=0"") + COUNTIF(ARRAYFORMULA(HLOOKUP($B88, IMPORTRANGE('Match Names'!$E$23, CONCAT(VLOOKUP($C88, 'Match Names'!$1:$22, 5, FALSE), ""!C3:R29"")), {4;13;18}, FALSE)), ""=0"") + COUNTIF(ARRAYFORMULA(HLOOKUP($B88, IMPORTRANG"&amp;"E('Match Names'!$F$23, CONCAT(VLOOKUP($C88, 'Match Names'!$1:$22, 6, FALSE), ""!C3:R29"")), {7;13;19}, FALSE)), ""=0"") + COUNTIF(ARRAYFORMULA(HLOOKUP($B88, IMPORTRANGE('Match Names'!$G$23, CONCAT(VLOOKUP($C88, 'Match Names'!$1:$22, 7, FALSE), ""!C3:R29"""&amp;")), {11;15;23}, FALSE)), ""=0"") + COUNTIF(ARRAYFORMULA(HLOOKUP($B88, IMPORTRANGE('Match Names'!$H$23, CONCAT(VLOOKUP($C88, 'Match Names'!$1:$22, 8, FALSE), ""!C3:R29"")), {6;12;18}, FALSE)), ""=0"")"),0.0)</f>
        <v>0</v>
      </c>
      <c r="G88" s="32">
        <f>IFERROR(__xludf.DUMMYFUNCTION("COUNTIF(ARRAYFORMULA(HLOOKUP($B88, IMPORTRANGE('Prelim Rankings Unsorted'!$B$40, CONCAT(VLOOKUP($C88, 'Match Names'!$A$1:$D$22, 2, FALSE), ""!C3:R29"")), {12;18;24}, FALSE)), ""=-4"") + COUNTIF(ARRAYFORMULA(HLOOKUP($B88, IMPORTRANGE('Prelim Rankings Unsor"&amp;"ted'!$B$41, CONCAT(VLOOKUP($C88, 'Match Names'!$A$1:$D$22, 3, FALSE), ""!C3:R29"")), {6;12;18}, FALSE)), ""=-4"") + COUNTIF(ARRAYFORMULA(HLOOKUP($B88, IMPORTRANGE('Prelim Rankings Unsorted'!$B$42, CONCAT(VLOOKUP($C88, 'Match Names'!$A$1:$D$22, 4, FALSE), "&amp;"""!C3:R29"")), {6;12;18}, FALSE)), ""=-4"") + COUNTIF(ARRAYFORMULA(HLOOKUP($B88, IMPORTRANGE('Match Names'!$E$23, CONCAT(VLOOKUP($C88, 'Match Names'!$1:$22, 5, FALSE), ""!C3:R29"")), {4;13;18}, FALSE)), ""=-4"") + COUNTIF(ARRAYFORMULA(HLOOKUP($B88, IMPORT"&amp;"RANGE('Match Names'!$F$23, CONCAT(VLOOKUP($C88, 'Match Names'!$1:$22, 6, FALSE), ""!C3:R29"")), {7;13;19}, FALSE)), ""=-4"") + COUNTIF(ARRAYFORMULA(HLOOKUP($B88, IMPORTRANGE('Match Names'!$G$23, CONCAT(VLOOKUP($C88, 'Match Names'!$1:$22, 7, FALSE), ""!C3:"&amp;"R29"")), {11;15;23}, FALSE)), ""=-4"") + COUNTIF(ARRAYFORMULA(HLOOKUP($B88, IMPORTRANGE('Match Names'!$H$23, CONCAT(VLOOKUP($C88, 'Match Names'!$1:$22, 8, FALSE), ""!C3:R29"")), {6;12;18}, FALSE)), ""=-4"")"),0.0)</f>
        <v>0</v>
      </c>
      <c r="H88" s="33">
        <f t="shared" si="1"/>
        <v>0</v>
      </c>
    </row>
    <row r="89">
      <c r="A89" s="21" t="s">
        <v>117</v>
      </c>
      <c r="B89" s="31" t="str">
        <f>VLOOKUP(CONCAT(A89, C89), 'Discord Username to Real Name'!C:D, 2, FALSE)</f>
        <v>the-wraith#2013</v>
      </c>
      <c r="C89" s="21" t="s">
        <v>18</v>
      </c>
      <c r="D89" s="32">
        <f>IFERROR(__xludf.DUMMYFUNCTION("(3 - COUNTIF(IFERROR(ARRAYFORMULA(HLOOKUP($B89, IMPORTRANGE('Prelim Rankings Unsorted'!$B$40, CONCAT(VLOOKUP($C89, 'Match Names'!$A$1:$D$22, 2, FALSE), ""!C3:R29"")), {12;18;24}, FALSE)), 'Player Overall Stats Unsorted'!$AA$9:$AA$12), ""=X"")) + (3 - COUN"&amp;"TIF(IFERROR(ARRAYFORMULA(HLOOKUP($B89, IMPORTRANGE('Prelim Rankings Unsorted'!$B$41, CONCAT(VLOOKUP($C89, 'Match Names'!$A$1:$D$22, 3, FALSE), ""!C3:R29"")), {6;12;18}, FALSE)), 'Player Overall Stats Unsorted'!$AA$9:$AA$12), ""=X"")) + (3 - COUNTIF(IFERRO"&amp;"R(ARRAYFORMULA(HLOOKUP($B89, IMPORTRANGE('Prelim Rankings Unsorted'!$B$42, CONCAT(VLOOKUP($C89, 'Match Names'!$A$1:$D$22, 4, FALSE), ""!C3:R29"")), {6;12;18}, FALSE)), 'Player Overall Stats Unsorted'!$AA$9:$AA$12), ""=X"")) + (3 - COUNTIF(IFERROR(ARRAYFOR"&amp;"MULA(HLOOKUP($B89, IMPORTRANGE('Match Names'!$E$23, CONCAT(VLOOKUP($C89, 'Match Names'!$1:$22, 5, FALSE), ""!C3:R29"")), {4;13;18}, FALSE)), 'Player Overall Stats Unsorted'!$AA$9:$AA$12), ""=X"")) + (3 - COUNTIF(IFERROR(ARRAYFORMULA(HLOOKUP($B89, IMPORTRA"&amp;"NGE('Match Names'!$F$23, CONCAT(VLOOKUP($C89, 'Match Names'!$1:$22, 6, FALSE), ""!C3:R29"")), {7;13;19}, FALSE)), 'Player Overall Stats Unsorted'!$AA$9:$AA$12), ""=X"")) + (3 - COUNTIF(IFERROR(ARRAYFORMULA(HLOOKUP($B89, IMPORTRANGE('Match Names'!$G$23, CO"&amp;"NCAT(VLOOKUP($C89, 'Match Names'!$1:$22, 7, FALSE), ""!C3:R29"")), {11;15;23}, FALSE)), 'Player Overall Stats Unsorted'!$AA$9:$AA$12), ""=X"")) + (3 - COUNTIF(IFERROR(ARRAYFORMULA(HLOOKUP($B89, IMPORTRANGE('Match Names'!$H$23, CONCAT(VLOOKUP($C89, 'Match "&amp;"Names'!$1:$22, 8, FALSE), ""!C3:R29"")), {6;12;18}, FALSE)), 'Player Overall Stats Unsorted'!$AA$9:$AA$12), ""=X""))"),15.0)</f>
        <v>15</v>
      </c>
      <c r="E89" s="32">
        <f>IFERROR(__xludf.DUMMYFUNCTION("COUNTIF(ARRAYFORMULA(HLOOKUP($B89, IMPORTRANGE('Prelim Rankings Unsorted'!$B$40, CONCAT(VLOOKUP($C89, 'Match Names'!$A$1:$D$22, 2, FALSE), ""!C3:R29"")), {12;18;24}, FALSE)), ""=4"") + COUNTIF(ARRAYFORMULA(HLOOKUP($B89, IMPORTRANGE('Prelim Rankings Unsort"&amp;"ed'!$B$41, CONCAT(VLOOKUP($C89, 'Match Names'!$A$1:$D$22, 3, FALSE), ""!C3:R29"")), {6;12;18}, FALSE)), ""=4"") + COUNTIF(ARRAYFORMULA(HLOOKUP($B89, IMPORTRANGE('Prelim Rankings Unsorted'!$B$42, CONCAT(VLOOKUP($C89, 'Match Names'!$A$1:$D$22, 4, FALSE), """&amp;"!C3:R29"")), {6;12;18}, FALSE)), ""=4"") + COUNTIF(ARRAYFORMULA(HLOOKUP($B89, IMPORTRANGE('Match Names'!$E$23, CONCAT(VLOOKUP($C89, 'Match Names'!$1:$22, 5, FALSE), ""!C3:R29"")), {4;13;18}, FALSE)), ""=4"") + COUNTIF(ARRAYFORMULA(HLOOKUP($B89, IMPORTRANG"&amp;"E('Match Names'!$F$23, CONCAT(VLOOKUP($C89, 'Match Names'!$1:$22, 6, FALSE), ""!C3:R29"")), {7;13;19}, FALSE)), ""=4"") + COUNTIF(ARRAYFORMULA(HLOOKUP($B89, IMPORTRANGE('Match Names'!$G$23, CONCAT(VLOOKUP($C89, 'Match Names'!$1:$22, 7, FALSE), ""!C3:R29"""&amp;")), {11;15;23}, FALSE)), ""=4"") + COUNTIF(ARRAYFORMULA(HLOOKUP($B89, IMPORTRANGE('Match Names'!$H$23, CONCAT(VLOOKUP($C89, 'Match Names'!$1:$22, 8, FALSE), ""!C3:R29"")), {6;12;18}, FALSE)), ""=4"")"),1.0)</f>
        <v>1</v>
      </c>
      <c r="F89" s="32">
        <f>IFERROR(__xludf.DUMMYFUNCTION("COUNTIF(ARRAYFORMULA(HLOOKUP($B89, IMPORTRANGE('Prelim Rankings Unsorted'!$B$40, CONCAT(VLOOKUP($C89, 'Match Names'!$A$1:$D$22, 2, FALSE), ""!C3:R29"")), {12;18;24}, FALSE)), ""=0"") + COUNTIF(ARRAYFORMULA(HLOOKUP($B89, IMPORTRANGE('Prelim Rankings Unsort"&amp;"ed'!$B$41, CONCAT(VLOOKUP($C89, 'Match Names'!$A$1:$D$22, 3, FALSE), ""!C3:R29"")), {6;12;18}, FALSE)), ""=0"") + COUNTIF(ARRAYFORMULA(HLOOKUP($B89, IMPORTRANGE('Prelim Rankings Unsorted'!$B$42, CONCAT(VLOOKUP($C89, 'Match Names'!$A$1:$D$22, 4, FALSE), """&amp;"!C3:R29"")), {6;12;18}, FALSE)), ""=0"") + COUNTIF(ARRAYFORMULA(HLOOKUP($B89, IMPORTRANGE('Match Names'!$E$23, CONCAT(VLOOKUP($C89, 'Match Names'!$1:$22, 5, FALSE), ""!C3:R29"")), {4;13;18}, FALSE)), ""=0"") + COUNTIF(ARRAYFORMULA(HLOOKUP($B89, IMPORTRANG"&amp;"E('Match Names'!$F$23, CONCAT(VLOOKUP($C89, 'Match Names'!$1:$22, 6, FALSE), ""!C3:R29"")), {7;13;19}, FALSE)), ""=0"") + COUNTIF(ARRAYFORMULA(HLOOKUP($B89, IMPORTRANGE('Match Names'!$G$23, CONCAT(VLOOKUP($C89, 'Match Names'!$1:$22, 7, FALSE), ""!C3:R29"""&amp;")), {11;15;23}, FALSE)), ""=0"") + COUNTIF(ARRAYFORMULA(HLOOKUP($B89, IMPORTRANGE('Match Names'!$H$23, CONCAT(VLOOKUP($C89, 'Match Names'!$1:$22, 8, FALSE), ""!C3:R29"")), {6;12;18}, FALSE)), ""=0"")"),0.0)</f>
        <v>0</v>
      </c>
      <c r="G89" s="32">
        <f>IFERROR(__xludf.DUMMYFUNCTION("COUNTIF(ARRAYFORMULA(HLOOKUP($B89, IMPORTRANGE('Prelim Rankings Unsorted'!$B$40, CONCAT(VLOOKUP($C89, 'Match Names'!$A$1:$D$22, 2, FALSE), ""!C3:R29"")), {12;18;24}, FALSE)), ""=-4"") + COUNTIF(ARRAYFORMULA(HLOOKUP($B89, IMPORTRANGE('Prelim Rankings Unsor"&amp;"ted'!$B$41, CONCAT(VLOOKUP($C89, 'Match Names'!$A$1:$D$22, 3, FALSE), ""!C3:R29"")), {6;12;18}, FALSE)), ""=-4"") + COUNTIF(ARRAYFORMULA(HLOOKUP($B89, IMPORTRANGE('Prelim Rankings Unsorted'!$B$42, CONCAT(VLOOKUP($C89, 'Match Names'!$A$1:$D$22, 4, FALSE), "&amp;"""!C3:R29"")), {6;12;18}, FALSE)), ""=-4"") + COUNTIF(ARRAYFORMULA(HLOOKUP($B89, IMPORTRANGE('Match Names'!$E$23, CONCAT(VLOOKUP($C89, 'Match Names'!$1:$22, 5, FALSE), ""!C3:R29"")), {4;13;18}, FALSE)), ""=-4"") + COUNTIF(ARRAYFORMULA(HLOOKUP($B89, IMPORT"&amp;"RANGE('Match Names'!$F$23, CONCAT(VLOOKUP($C89, 'Match Names'!$1:$22, 6, FALSE), ""!C3:R29"")), {7;13;19}, FALSE)), ""=-4"") + COUNTIF(ARRAYFORMULA(HLOOKUP($B89, IMPORTRANGE('Match Names'!$G$23, CONCAT(VLOOKUP($C89, 'Match Names'!$1:$22, 7, FALSE), ""!C3:"&amp;"R29"")), {11;15;23}, FALSE)), ""=-4"") + COUNTIF(ARRAYFORMULA(HLOOKUP($B89, IMPORTRANGE('Match Names'!$H$23, CONCAT(VLOOKUP($C89, 'Match Names'!$1:$22, 8, FALSE), ""!C3:R29"")), {6;12;18}, FALSE)), ""=-4"")"),0.0)</f>
        <v>0</v>
      </c>
      <c r="H89" s="33">
        <f t="shared" si="1"/>
        <v>0.8</v>
      </c>
    </row>
    <row r="90">
      <c r="A90" s="21" t="s">
        <v>78</v>
      </c>
      <c r="B90" s="31" t="str">
        <f>VLOOKUP(CONCAT(A90, C90), 'Discord Username to Real Name'!C:D, 2, FALSE)</f>
        <v>avaebe#2714</v>
      </c>
      <c r="C90" s="21" t="s">
        <v>18</v>
      </c>
      <c r="D90" s="32">
        <f>IFERROR(__xludf.DUMMYFUNCTION("(3 - COUNTIF(IFERROR(ARRAYFORMULA(HLOOKUP($B90, IMPORTRANGE('Prelim Rankings Unsorted'!$B$40, CONCAT(VLOOKUP($C90, 'Match Names'!$A$1:$D$22, 2, FALSE), ""!C3:R29"")), {12;18;24}, FALSE)), 'Player Overall Stats Unsorted'!$AA$9:$AA$12), ""=X"")) + (3 - COUN"&amp;"TIF(IFERROR(ARRAYFORMULA(HLOOKUP($B90, IMPORTRANGE('Prelim Rankings Unsorted'!$B$41, CONCAT(VLOOKUP($C90, 'Match Names'!$A$1:$D$22, 3, FALSE), ""!C3:R29"")), {6;12;18}, FALSE)), 'Player Overall Stats Unsorted'!$AA$9:$AA$12), ""=X"")) + (3 - COUNTIF(IFERRO"&amp;"R(ARRAYFORMULA(HLOOKUP($B90, IMPORTRANGE('Prelim Rankings Unsorted'!$B$42, CONCAT(VLOOKUP($C90, 'Match Names'!$A$1:$D$22, 4, FALSE), ""!C3:R29"")), {6;12;18}, FALSE)), 'Player Overall Stats Unsorted'!$AA$9:$AA$12), ""=X"")) + (3 - COUNTIF(IFERROR(ARRAYFOR"&amp;"MULA(HLOOKUP($B90, IMPORTRANGE('Match Names'!$E$23, CONCAT(VLOOKUP($C90, 'Match Names'!$1:$22, 5, FALSE), ""!C3:R29"")), {4;13;18}, FALSE)), 'Player Overall Stats Unsorted'!$AA$9:$AA$12), ""=X"")) + (3 - COUNTIF(IFERROR(ARRAYFORMULA(HLOOKUP($B90, IMPORTRA"&amp;"NGE('Match Names'!$F$23, CONCAT(VLOOKUP($C90, 'Match Names'!$1:$22, 6, FALSE), ""!C3:R29"")), {7;13;19}, FALSE)), 'Player Overall Stats Unsorted'!$AA$9:$AA$12), ""=X"")) + (3 - COUNTIF(IFERROR(ARRAYFORMULA(HLOOKUP($B90, IMPORTRANGE('Match Names'!$G$23, CO"&amp;"NCAT(VLOOKUP($C90, 'Match Names'!$1:$22, 7, FALSE), ""!C3:R29"")), {11;15;23}, FALSE)), 'Player Overall Stats Unsorted'!$AA$9:$AA$12), ""=X"")) + (3 - COUNTIF(IFERROR(ARRAYFORMULA(HLOOKUP($B90, IMPORTRANGE('Match Names'!$H$23, CONCAT(VLOOKUP($C90, 'Match "&amp;"Names'!$1:$22, 8, FALSE), ""!C3:R29"")), {6;12;18}, FALSE)), 'Player Overall Stats Unsorted'!$AA$9:$AA$12), ""=X""))"),9.0)</f>
        <v>9</v>
      </c>
      <c r="E90" s="32">
        <f>IFERROR(__xludf.DUMMYFUNCTION("COUNTIF(ARRAYFORMULA(HLOOKUP($B90, IMPORTRANGE('Prelim Rankings Unsorted'!$B$40, CONCAT(VLOOKUP($C90, 'Match Names'!$A$1:$D$22, 2, FALSE), ""!C3:R29"")), {12;18;24}, FALSE)), ""=4"") + COUNTIF(ARRAYFORMULA(HLOOKUP($B90, IMPORTRANGE('Prelim Rankings Unsort"&amp;"ed'!$B$41, CONCAT(VLOOKUP($C90, 'Match Names'!$A$1:$D$22, 3, FALSE), ""!C3:R29"")), {6;12;18}, FALSE)), ""=4"") + COUNTIF(ARRAYFORMULA(HLOOKUP($B90, IMPORTRANGE('Prelim Rankings Unsorted'!$B$42, CONCAT(VLOOKUP($C90, 'Match Names'!$A$1:$D$22, 4, FALSE), """&amp;"!C3:R29"")), {6;12;18}, FALSE)), ""=4"") + COUNTIF(ARRAYFORMULA(HLOOKUP($B90, IMPORTRANGE('Match Names'!$E$23, CONCAT(VLOOKUP($C90, 'Match Names'!$1:$22, 5, FALSE), ""!C3:R29"")), {4;13;18}, FALSE)), ""=4"") + COUNTIF(ARRAYFORMULA(HLOOKUP($B90, IMPORTRANG"&amp;"E('Match Names'!$F$23, CONCAT(VLOOKUP($C90, 'Match Names'!$1:$22, 6, FALSE), ""!C3:R29"")), {7;13;19}, FALSE)), ""=4"") + COUNTIF(ARRAYFORMULA(HLOOKUP($B90, IMPORTRANGE('Match Names'!$G$23, CONCAT(VLOOKUP($C90, 'Match Names'!$1:$22, 7, FALSE), ""!C3:R29"""&amp;")), {11;15;23}, FALSE)), ""=4"") + COUNTIF(ARRAYFORMULA(HLOOKUP($B90, IMPORTRANGE('Match Names'!$H$23, CONCAT(VLOOKUP($C90, 'Match Names'!$1:$22, 8, FALSE), ""!C3:R29"")), {6;12;18}, FALSE)), ""=4"")"),0.0)</f>
        <v>0</v>
      </c>
      <c r="F90" s="32">
        <f>IFERROR(__xludf.DUMMYFUNCTION("COUNTIF(ARRAYFORMULA(HLOOKUP($B90, IMPORTRANGE('Prelim Rankings Unsorted'!$B$40, CONCAT(VLOOKUP($C90, 'Match Names'!$A$1:$D$22, 2, FALSE), ""!C3:R29"")), {12;18;24}, FALSE)), ""=0"") + COUNTIF(ARRAYFORMULA(HLOOKUP($B90, IMPORTRANGE('Prelim Rankings Unsort"&amp;"ed'!$B$41, CONCAT(VLOOKUP($C90, 'Match Names'!$A$1:$D$22, 3, FALSE), ""!C3:R29"")), {6;12;18}, FALSE)), ""=0"") + COUNTIF(ARRAYFORMULA(HLOOKUP($B90, IMPORTRANGE('Prelim Rankings Unsorted'!$B$42, CONCAT(VLOOKUP($C90, 'Match Names'!$A$1:$D$22, 4, FALSE), """&amp;"!C3:R29"")), {6;12;18}, FALSE)), ""=0"") + COUNTIF(ARRAYFORMULA(HLOOKUP($B90, IMPORTRANGE('Match Names'!$E$23, CONCAT(VLOOKUP($C90, 'Match Names'!$1:$22, 5, FALSE), ""!C3:R29"")), {4;13;18}, FALSE)), ""=0"") + COUNTIF(ARRAYFORMULA(HLOOKUP($B90, IMPORTRANG"&amp;"E('Match Names'!$F$23, CONCAT(VLOOKUP($C90, 'Match Names'!$1:$22, 6, FALSE), ""!C3:R29"")), {7;13;19}, FALSE)), ""=0"") + COUNTIF(ARRAYFORMULA(HLOOKUP($B90, IMPORTRANGE('Match Names'!$G$23, CONCAT(VLOOKUP($C90, 'Match Names'!$1:$22, 7, FALSE), ""!C3:R29"""&amp;")), {11;15;23}, FALSE)), ""=0"") + COUNTIF(ARRAYFORMULA(HLOOKUP($B90, IMPORTRANGE('Match Names'!$H$23, CONCAT(VLOOKUP($C90, 'Match Names'!$1:$22, 8, FALSE), ""!C3:R29"")), {6;12;18}, FALSE)), ""=0"")"),0.0)</f>
        <v>0</v>
      </c>
      <c r="G90" s="32">
        <f>IFERROR(__xludf.DUMMYFUNCTION("COUNTIF(ARRAYFORMULA(HLOOKUP($B90, IMPORTRANGE('Prelim Rankings Unsorted'!$B$40, CONCAT(VLOOKUP($C90, 'Match Names'!$A$1:$D$22, 2, FALSE), ""!C3:R29"")), {12;18;24}, FALSE)), ""=-4"") + COUNTIF(ARRAYFORMULA(HLOOKUP($B90, IMPORTRANGE('Prelim Rankings Unsor"&amp;"ted'!$B$41, CONCAT(VLOOKUP($C90, 'Match Names'!$A$1:$D$22, 3, FALSE), ""!C3:R29"")), {6;12;18}, FALSE)), ""=-4"") + COUNTIF(ARRAYFORMULA(HLOOKUP($B90, IMPORTRANGE('Prelim Rankings Unsorted'!$B$42, CONCAT(VLOOKUP($C90, 'Match Names'!$A$1:$D$22, 4, FALSE), "&amp;"""!C3:R29"")), {6;12;18}, FALSE)), ""=-4"") + COUNTIF(ARRAYFORMULA(HLOOKUP($B90, IMPORTRANGE('Match Names'!$E$23, CONCAT(VLOOKUP($C90, 'Match Names'!$1:$22, 5, FALSE), ""!C3:R29"")), {4;13;18}, FALSE)), ""=-4"") + COUNTIF(ARRAYFORMULA(HLOOKUP($B90, IMPORT"&amp;"RANGE('Match Names'!$F$23, CONCAT(VLOOKUP($C90, 'Match Names'!$1:$22, 6, FALSE), ""!C3:R29"")), {7;13;19}, FALSE)), ""=-4"") + COUNTIF(ARRAYFORMULA(HLOOKUP($B90, IMPORTRANGE('Match Names'!$G$23, CONCAT(VLOOKUP($C90, 'Match Names'!$1:$22, 7, FALSE), ""!C3:"&amp;"R29"")), {11;15;23}, FALSE)), ""=-4"") + COUNTIF(ARRAYFORMULA(HLOOKUP($B90, IMPORTRANGE('Match Names'!$H$23, CONCAT(VLOOKUP($C90, 'Match Names'!$1:$22, 8, FALSE), ""!C3:R29"")), {6;12;18}, FALSE)), ""=-4"")"),0.0)</f>
        <v>0</v>
      </c>
      <c r="H90" s="33">
        <f t="shared" si="1"/>
        <v>0</v>
      </c>
    </row>
    <row r="91">
      <c r="A91" s="21" t="s">
        <v>70</v>
      </c>
      <c r="B91" s="31" t="str">
        <f>VLOOKUP(CONCAT(A91, C91), 'Discord Username to Real Name'!C:D, 2, FALSE)</f>
        <v>aloevera42#2760</v>
      </c>
      <c r="C91" s="21" t="s">
        <v>28</v>
      </c>
      <c r="D91" s="32">
        <f>IFERROR(__xludf.DUMMYFUNCTION("(3 - COUNTIF(IFERROR(ARRAYFORMULA(HLOOKUP($B91, IMPORTRANGE('Prelim Rankings Unsorted'!$B$40, CONCAT(VLOOKUP($C91, 'Match Names'!$A$1:$D$22, 2, FALSE), ""!C3:R29"")), {12;18;24}, FALSE)), 'Player Overall Stats Unsorted'!$AA$9:$AA$12), ""=X"")) + (3 - COUN"&amp;"TIF(IFERROR(ARRAYFORMULA(HLOOKUP($B91, IMPORTRANGE('Prelim Rankings Unsorted'!$B$41, CONCAT(VLOOKUP($C91, 'Match Names'!$A$1:$D$22, 3, FALSE), ""!C3:R29"")), {6;12;18}, FALSE)), 'Player Overall Stats Unsorted'!$AA$9:$AA$12), ""=X"")) + (3 - COUNTIF(IFERRO"&amp;"R(ARRAYFORMULA(HLOOKUP($B91, IMPORTRANGE('Prelim Rankings Unsorted'!$B$42, CONCAT(VLOOKUP($C91, 'Match Names'!$A$1:$D$22, 4, FALSE), ""!C3:R29"")), {6;12;18}, FALSE)), 'Player Overall Stats Unsorted'!$AA$9:$AA$12), ""=X"")) + (3 - COUNTIF(IFERROR(ARRAYFOR"&amp;"MULA(HLOOKUP($B91, IMPORTRANGE('Match Names'!$E$23, CONCAT(VLOOKUP($C91, 'Match Names'!$1:$22, 5, FALSE), ""!C3:R29"")), {4;13;18}, FALSE)), 'Player Overall Stats Unsorted'!$AA$9:$AA$12), ""=X"")) + (3 - COUNTIF(IFERROR(ARRAYFORMULA(HLOOKUP($B91, IMPORTRA"&amp;"NGE('Match Names'!$F$23, CONCAT(VLOOKUP($C91, 'Match Names'!$1:$22, 6, FALSE), ""!C3:R29"")), {7;13;19}, FALSE)), 'Player Overall Stats Unsorted'!$AA$9:$AA$12), ""=X"")) + (3 - COUNTIF(IFERROR(ARRAYFORMULA(HLOOKUP($B91, IMPORTRANGE('Match Names'!$G$23, CO"&amp;"NCAT(VLOOKUP($C91, 'Match Names'!$1:$22, 7, FALSE), ""!C3:R29"")), {11;15;23}, FALSE)), 'Player Overall Stats Unsorted'!$AA$9:$AA$12), ""=X"")) + (3 - COUNTIF(IFERROR(ARRAYFORMULA(HLOOKUP($B91, IMPORTRANGE('Match Names'!$H$23, CONCAT(VLOOKUP($C91, 'Match "&amp;"Names'!$1:$22, 8, FALSE), ""!C3:R29"")), {6;12;18}, FALSE)), 'Player Overall Stats Unsorted'!$AA$9:$AA$12), ""=X""))"),12.0)</f>
        <v>12</v>
      </c>
      <c r="E91" s="32">
        <f>IFERROR(__xludf.DUMMYFUNCTION("COUNTIF(ARRAYFORMULA(HLOOKUP($B91, IMPORTRANGE('Prelim Rankings Unsorted'!$B$40, CONCAT(VLOOKUP($C91, 'Match Names'!$A$1:$D$22, 2, FALSE), ""!C3:R29"")), {12;18;24}, FALSE)), ""=4"") + COUNTIF(ARRAYFORMULA(HLOOKUP($B91, IMPORTRANGE('Prelim Rankings Unsort"&amp;"ed'!$B$41, CONCAT(VLOOKUP($C91, 'Match Names'!$A$1:$D$22, 3, FALSE), ""!C3:R29"")), {6;12;18}, FALSE)), ""=4"") + COUNTIF(ARRAYFORMULA(HLOOKUP($B91, IMPORTRANGE('Prelim Rankings Unsorted'!$B$42, CONCAT(VLOOKUP($C91, 'Match Names'!$A$1:$D$22, 4, FALSE), """&amp;"!C3:R29"")), {6;12;18}, FALSE)), ""=4"") + COUNTIF(ARRAYFORMULA(HLOOKUP($B91, IMPORTRANGE('Match Names'!$E$23, CONCAT(VLOOKUP($C91, 'Match Names'!$1:$22, 5, FALSE), ""!C3:R29"")), {4;13;18}, FALSE)), ""=4"") + COUNTIF(ARRAYFORMULA(HLOOKUP($B91, IMPORTRANG"&amp;"E('Match Names'!$F$23, CONCAT(VLOOKUP($C91, 'Match Names'!$1:$22, 6, FALSE), ""!C3:R29"")), {7;13;19}, FALSE)), ""=4"") + COUNTIF(ARRAYFORMULA(HLOOKUP($B91, IMPORTRANGE('Match Names'!$G$23, CONCAT(VLOOKUP($C91, 'Match Names'!$1:$22, 7, FALSE), ""!C3:R29"""&amp;")), {11;15;23}, FALSE)), ""=4"") + COUNTIF(ARRAYFORMULA(HLOOKUP($B91, IMPORTRANGE('Match Names'!$H$23, CONCAT(VLOOKUP($C91, 'Match Names'!$1:$22, 8, FALSE), ""!C3:R29"")), {6;12;18}, FALSE)), ""=4"")"),4.0)</f>
        <v>4</v>
      </c>
      <c r="F91" s="32">
        <f>IFERROR(__xludf.DUMMYFUNCTION("COUNTIF(ARRAYFORMULA(HLOOKUP($B91, IMPORTRANGE('Prelim Rankings Unsorted'!$B$40, CONCAT(VLOOKUP($C91, 'Match Names'!$A$1:$D$22, 2, FALSE), ""!C3:R29"")), {12;18;24}, FALSE)), ""=0"") + COUNTIF(ARRAYFORMULA(HLOOKUP($B91, IMPORTRANGE('Prelim Rankings Unsort"&amp;"ed'!$B$41, CONCAT(VLOOKUP($C91, 'Match Names'!$A$1:$D$22, 3, FALSE), ""!C3:R29"")), {6;12;18}, FALSE)), ""=0"") + COUNTIF(ARRAYFORMULA(HLOOKUP($B91, IMPORTRANGE('Prelim Rankings Unsorted'!$B$42, CONCAT(VLOOKUP($C91, 'Match Names'!$A$1:$D$22, 4, FALSE), """&amp;"!C3:R29"")), {6;12;18}, FALSE)), ""=0"") + COUNTIF(ARRAYFORMULA(HLOOKUP($B91, IMPORTRANGE('Match Names'!$E$23, CONCAT(VLOOKUP($C91, 'Match Names'!$1:$22, 5, FALSE), ""!C3:R29"")), {4;13;18}, FALSE)), ""=0"") + COUNTIF(ARRAYFORMULA(HLOOKUP($B91, IMPORTRANG"&amp;"E('Match Names'!$F$23, CONCAT(VLOOKUP($C91, 'Match Names'!$1:$22, 6, FALSE), ""!C3:R29"")), {7;13;19}, FALSE)), ""=0"") + COUNTIF(ARRAYFORMULA(HLOOKUP($B91, IMPORTRANGE('Match Names'!$G$23, CONCAT(VLOOKUP($C91, 'Match Names'!$1:$22, 7, FALSE), ""!C3:R29"""&amp;")), {11;15;23}, FALSE)), ""=0"") + COUNTIF(ARRAYFORMULA(HLOOKUP($B91, IMPORTRANGE('Match Names'!$H$23, CONCAT(VLOOKUP($C91, 'Match Names'!$1:$22, 8, FALSE), ""!C3:R29"")), {6;12;18}, FALSE)), ""=0"")"),1.0)</f>
        <v>1</v>
      </c>
      <c r="G91" s="32">
        <f>IFERROR(__xludf.DUMMYFUNCTION("COUNTIF(ARRAYFORMULA(HLOOKUP($B91, IMPORTRANGE('Prelim Rankings Unsorted'!$B$40, CONCAT(VLOOKUP($C91, 'Match Names'!$A$1:$D$22, 2, FALSE), ""!C3:R29"")), {12;18;24}, FALSE)), ""=-4"") + COUNTIF(ARRAYFORMULA(HLOOKUP($B91, IMPORTRANGE('Prelim Rankings Unsor"&amp;"ted'!$B$41, CONCAT(VLOOKUP($C91, 'Match Names'!$A$1:$D$22, 3, FALSE), ""!C3:R29"")), {6;12;18}, FALSE)), ""=-4"") + COUNTIF(ARRAYFORMULA(HLOOKUP($B91, IMPORTRANGE('Prelim Rankings Unsorted'!$B$42, CONCAT(VLOOKUP($C91, 'Match Names'!$A$1:$D$22, 4, FALSE), "&amp;"""!C3:R29"")), {6;12;18}, FALSE)), ""=-4"") + COUNTIF(ARRAYFORMULA(HLOOKUP($B91, IMPORTRANGE('Match Names'!$E$23, CONCAT(VLOOKUP($C91, 'Match Names'!$1:$22, 5, FALSE), ""!C3:R29"")), {4;13;18}, FALSE)), ""=-4"") + COUNTIF(ARRAYFORMULA(HLOOKUP($B91, IMPORT"&amp;"RANGE('Match Names'!$F$23, CONCAT(VLOOKUP($C91, 'Match Names'!$1:$22, 6, FALSE), ""!C3:R29"")), {7;13;19}, FALSE)), ""=-4"") + COUNTIF(ARRAYFORMULA(HLOOKUP($B91, IMPORTRANGE('Match Names'!$G$23, CONCAT(VLOOKUP($C91, 'Match Names'!$1:$22, 7, FALSE), ""!C3:"&amp;"R29"")), {11;15;23}, FALSE)), ""=-4"") + COUNTIF(ARRAYFORMULA(HLOOKUP($B91, IMPORTRANGE('Match Names'!$H$23, CONCAT(VLOOKUP($C91, 'Match Names'!$1:$22, 8, FALSE), ""!C3:R29"")), {6;12;18}, FALSE)), ""=-4"")"),0.0)</f>
        <v>0</v>
      </c>
      <c r="H91" s="33">
        <f t="shared" si="1"/>
        <v>4</v>
      </c>
    </row>
    <row r="92">
      <c r="A92" s="21" t="s">
        <v>69</v>
      </c>
      <c r="B92" s="31" t="str">
        <f>VLOOKUP(CONCAT(A92, C92), 'Discord Username to Real Name'!C:D, 2, FALSE)</f>
        <v>Cows#0460</v>
      </c>
      <c r="C92" s="21" t="s">
        <v>28</v>
      </c>
      <c r="D92" s="32">
        <f>IFERROR(__xludf.DUMMYFUNCTION("(3 - COUNTIF(IFERROR(ARRAYFORMULA(HLOOKUP($B92, IMPORTRANGE('Prelim Rankings Unsorted'!$B$40, CONCAT(VLOOKUP($C92, 'Match Names'!$A$1:$D$22, 2, FALSE), ""!C3:R29"")), {12;18;24}, FALSE)), 'Player Overall Stats Unsorted'!$AA$9:$AA$12), ""=X"")) + (3 - COUN"&amp;"TIF(IFERROR(ARRAYFORMULA(HLOOKUP($B92, IMPORTRANGE('Prelim Rankings Unsorted'!$B$41, CONCAT(VLOOKUP($C92, 'Match Names'!$A$1:$D$22, 3, FALSE), ""!C3:R29"")), {6;12;18}, FALSE)), 'Player Overall Stats Unsorted'!$AA$9:$AA$12), ""=X"")) + (3 - COUNTIF(IFERRO"&amp;"R(ARRAYFORMULA(HLOOKUP($B92, IMPORTRANGE('Prelim Rankings Unsorted'!$B$42, CONCAT(VLOOKUP($C92, 'Match Names'!$A$1:$D$22, 4, FALSE), ""!C3:R29"")), {6;12;18}, FALSE)), 'Player Overall Stats Unsorted'!$AA$9:$AA$12), ""=X"")) + (3 - COUNTIF(IFERROR(ARRAYFOR"&amp;"MULA(HLOOKUP($B92, IMPORTRANGE('Match Names'!$E$23, CONCAT(VLOOKUP($C92, 'Match Names'!$1:$22, 5, FALSE), ""!C3:R29"")), {4;13;18}, FALSE)), 'Player Overall Stats Unsorted'!$AA$9:$AA$12), ""=X"")) + (3 - COUNTIF(IFERROR(ARRAYFORMULA(HLOOKUP($B92, IMPORTRA"&amp;"NGE('Match Names'!$F$23, CONCAT(VLOOKUP($C92, 'Match Names'!$1:$22, 6, FALSE), ""!C3:R29"")), {7;13;19}, FALSE)), 'Player Overall Stats Unsorted'!$AA$9:$AA$12), ""=X"")) + (3 - COUNTIF(IFERROR(ARRAYFORMULA(HLOOKUP($B92, IMPORTRANGE('Match Names'!$G$23, CO"&amp;"NCAT(VLOOKUP($C92, 'Match Names'!$1:$22, 7, FALSE), ""!C3:R29"")), {11;15;23}, FALSE)), 'Player Overall Stats Unsorted'!$AA$9:$AA$12), ""=X"")) + (3 - COUNTIF(IFERROR(ARRAYFORMULA(HLOOKUP($B92, IMPORTRANGE('Match Names'!$H$23, CONCAT(VLOOKUP($C92, 'Match "&amp;"Names'!$1:$22, 8, FALSE), ""!C3:R29"")), {6;12;18}, FALSE)), 'Player Overall Stats Unsorted'!$AA$9:$AA$12), ""=X""))"),12.0)</f>
        <v>12</v>
      </c>
      <c r="E92" s="32">
        <f>IFERROR(__xludf.DUMMYFUNCTION("COUNTIF(ARRAYFORMULA(HLOOKUP($B92, IMPORTRANGE('Prelim Rankings Unsorted'!$B$40, CONCAT(VLOOKUP($C92, 'Match Names'!$A$1:$D$22, 2, FALSE), ""!C3:R29"")), {12;18;24}, FALSE)), ""=4"") + COUNTIF(ARRAYFORMULA(HLOOKUP($B92, IMPORTRANGE('Prelim Rankings Unsort"&amp;"ed'!$B$41, CONCAT(VLOOKUP($C92, 'Match Names'!$A$1:$D$22, 3, FALSE), ""!C3:R29"")), {6;12;18}, FALSE)), ""=4"") + COUNTIF(ARRAYFORMULA(HLOOKUP($B92, IMPORTRANGE('Prelim Rankings Unsorted'!$B$42, CONCAT(VLOOKUP($C92, 'Match Names'!$A$1:$D$22, 4, FALSE), """&amp;"!C3:R29"")), {6;12;18}, FALSE)), ""=4"") + COUNTIF(ARRAYFORMULA(HLOOKUP($B92, IMPORTRANGE('Match Names'!$E$23, CONCAT(VLOOKUP($C92, 'Match Names'!$1:$22, 5, FALSE), ""!C3:R29"")), {4;13;18}, FALSE)), ""=4"") + COUNTIF(ARRAYFORMULA(HLOOKUP($B92, IMPORTRANG"&amp;"E('Match Names'!$F$23, CONCAT(VLOOKUP($C92, 'Match Names'!$1:$22, 6, FALSE), ""!C3:R29"")), {7;13;19}, FALSE)), ""=4"") + COUNTIF(ARRAYFORMULA(HLOOKUP($B92, IMPORTRANGE('Match Names'!$G$23, CONCAT(VLOOKUP($C92, 'Match Names'!$1:$22, 7, FALSE), ""!C3:R29"""&amp;")), {11;15;23}, FALSE)), ""=4"") + COUNTIF(ARRAYFORMULA(HLOOKUP($B92, IMPORTRANGE('Match Names'!$H$23, CONCAT(VLOOKUP($C92, 'Match Names'!$1:$22, 8, FALSE), ""!C3:R29"")), {6;12;18}, FALSE)), ""=4"")"),0.0)</f>
        <v>0</v>
      </c>
      <c r="F92" s="32">
        <f>IFERROR(__xludf.DUMMYFUNCTION("COUNTIF(ARRAYFORMULA(HLOOKUP($B92, IMPORTRANGE('Prelim Rankings Unsorted'!$B$40, CONCAT(VLOOKUP($C92, 'Match Names'!$A$1:$D$22, 2, FALSE), ""!C3:R29"")), {12;18;24}, FALSE)), ""=0"") + COUNTIF(ARRAYFORMULA(HLOOKUP($B92, IMPORTRANGE('Prelim Rankings Unsort"&amp;"ed'!$B$41, CONCAT(VLOOKUP($C92, 'Match Names'!$A$1:$D$22, 3, FALSE), ""!C3:R29"")), {6;12;18}, FALSE)), ""=0"") + COUNTIF(ARRAYFORMULA(HLOOKUP($B92, IMPORTRANGE('Prelim Rankings Unsorted'!$B$42, CONCAT(VLOOKUP($C92, 'Match Names'!$A$1:$D$22, 4, FALSE), """&amp;"!C3:R29"")), {6;12;18}, FALSE)), ""=0"") + COUNTIF(ARRAYFORMULA(HLOOKUP($B92, IMPORTRANGE('Match Names'!$E$23, CONCAT(VLOOKUP($C92, 'Match Names'!$1:$22, 5, FALSE), ""!C3:R29"")), {4;13;18}, FALSE)), ""=0"") + COUNTIF(ARRAYFORMULA(HLOOKUP($B92, IMPORTRANG"&amp;"E('Match Names'!$F$23, CONCAT(VLOOKUP($C92, 'Match Names'!$1:$22, 6, FALSE), ""!C3:R29"")), {7;13;19}, FALSE)), ""=0"") + COUNTIF(ARRAYFORMULA(HLOOKUP($B92, IMPORTRANGE('Match Names'!$G$23, CONCAT(VLOOKUP($C92, 'Match Names'!$1:$22, 7, FALSE), ""!C3:R29"""&amp;")), {11;15;23}, FALSE)), ""=0"") + COUNTIF(ARRAYFORMULA(HLOOKUP($B92, IMPORTRANGE('Match Names'!$H$23, CONCAT(VLOOKUP($C92, 'Match Names'!$1:$22, 8, FALSE), ""!C3:R29"")), {6;12;18}, FALSE)), ""=0"")"),0.0)</f>
        <v>0</v>
      </c>
      <c r="G92" s="32">
        <f>IFERROR(__xludf.DUMMYFUNCTION("COUNTIF(ARRAYFORMULA(HLOOKUP($B92, IMPORTRANGE('Prelim Rankings Unsorted'!$B$40, CONCAT(VLOOKUP($C92, 'Match Names'!$A$1:$D$22, 2, FALSE), ""!C3:R29"")), {12;18;24}, FALSE)), ""=-4"") + COUNTIF(ARRAYFORMULA(HLOOKUP($B92, IMPORTRANGE('Prelim Rankings Unsor"&amp;"ted'!$B$41, CONCAT(VLOOKUP($C92, 'Match Names'!$A$1:$D$22, 3, FALSE), ""!C3:R29"")), {6;12;18}, FALSE)), ""=-4"") + COUNTIF(ARRAYFORMULA(HLOOKUP($B92, IMPORTRANGE('Prelim Rankings Unsorted'!$B$42, CONCAT(VLOOKUP($C92, 'Match Names'!$A$1:$D$22, 4, FALSE), "&amp;"""!C3:R29"")), {6;12;18}, FALSE)), ""=-4"") + COUNTIF(ARRAYFORMULA(HLOOKUP($B92, IMPORTRANGE('Match Names'!$E$23, CONCAT(VLOOKUP($C92, 'Match Names'!$1:$22, 5, FALSE), ""!C3:R29"")), {4;13;18}, FALSE)), ""=-4"") + COUNTIF(ARRAYFORMULA(HLOOKUP($B92, IMPORT"&amp;"RANGE('Match Names'!$F$23, CONCAT(VLOOKUP($C92, 'Match Names'!$1:$22, 6, FALSE), ""!C3:R29"")), {7;13;19}, FALSE)), ""=-4"") + COUNTIF(ARRAYFORMULA(HLOOKUP($B92, IMPORTRANGE('Match Names'!$G$23, CONCAT(VLOOKUP($C92, 'Match Names'!$1:$22, 7, FALSE), ""!C3:"&amp;"R29"")), {11;15;23}, FALSE)), ""=-4"") + COUNTIF(ARRAYFORMULA(HLOOKUP($B92, IMPORTRANGE('Match Names'!$H$23, CONCAT(VLOOKUP($C92, 'Match Names'!$1:$22, 8, FALSE), ""!C3:R29"")), {6;12;18}, FALSE)), ""=-4"")"),0.0)</f>
        <v>0</v>
      </c>
      <c r="H92" s="33">
        <f t="shared" si="1"/>
        <v>0</v>
      </c>
    </row>
    <row r="93">
      <c r="A93" s="21" t="s">
        <v>176</v>
      </c>
      <c r="B93" s="31" t="str">
        <f>VLOOKUP(CONCAT(A93, C93), 'Discord Username to Real Name'!C:D, 2, FALSE)</f>
        <v>aryc702#7517</v>
      </c>
      <c r="C93" s="21" t="s">
        <v>28</v>
      </c>
      <c r="D93" s="32">
        <f>IFERROR(__xludf.DUMMYFUNCTION("(3 - COUNTIF(IFERROR(ARRAYFORMULA(HLOOKUP($B93, IMPORTRANGE('Prelim Rankings Unsorted'!$B$40, CONCAT(VLOOKUP($C93, 'Match Names'!$A$1:$D$22, 2, FALSE), ""!C3:R29"")), {12;18;24}, FALSE)), 'Player Overall Stats Unsorted'!$AA$9:$AA$12), ""=X"")) + (3 - COUN"&amp;"TIF(IFERROR(ARRAYFORMULA(HLOOKUP($B93, IMPORTRANGE('Prelim Rankings Unsorted'!$B$41, CONCAT(VLOOKUP($C93, 'Match Names'!$A$1:$D$22, 3, FALSE), ""!C3:R29"")), {6;12;18}, FALSE)), 'Player Overall Stats Unsorted'!$AA$9:$AA$12), ""=X"")) + (3 - COUNTIF(IFERRO"&amp;"R(ARRAYFORMULA(HLOOKUP($B93, IMPORTRANGE('Prelim Rankings Unsorted'!$B$42, CONCAT(VLOOKUP($C93, 'Match Names'!$A$1:$D$22, 4, FALSE), ""!C3:R29"")), {6;12;18}, FALSE)), 'Player Overall Stats Unsorted'!$AA$9:$AA$12), ""=X"")) + (3 - COUNTIF(IFERROR(ARRAYFOR"&amp;"MULA(HLOOKUP($B93, IMPORTRANGE('Match Names'!$E$23, CONCAT(VLOOKUP($C93, 'Match Names'!$1:$22, 5, FALSE), ""!C3:R29"")), {4;13;18}, FALSE)), 'Player Overall Stats Unsorted'!$AA$9:$AA$12), ""=X"")) + (3 - COUNTIF(IFERROR(ARRAYFORMULA(HLOOKUP($B93, IMPORTRA"&amp;"NGE('Match Names'!$F$23, CONCAT(VLOOKUP($C93, 'Match Names'!$1:$22, 6, FALSE), ""!C3:R29"")), {7;13;19}, FALSE)), 'Player Overall Stats Unsorted'!$AA$9:$AA$12), ""=X"")) + (3 - COUNTIF(IFERROR(ARRAYFORMULA(HLOOKUP($B93, IMPORTRANGE('Match Names'!$G$23, CO"&amp;"NCAT(VLOOKUP($C93, 'Match Names'!$1:$22, 7, FALSE), ""!C3:R29"")), {11;15;23}, FALSE)), 'Player Overall Stats Unsorted'!$AA$9:$AA$12), ""=X"")) + (3 - COUNTIF(IFERROR(ARRAYFORMULA(HLOOKUP($B93, IMPORTRANGE('Match Names'!$H$23, CONCAT(VLOOKUP($C93, 'Match "&amp;"Names'!$1:$22, 8, FALSE), ""!C3:R29"")), {6;12;18}, FALSE)), 'Player Overall Stats Unsorted'!$AA$9:$AA$12), ""=X""))"),9.0)</f>
        <v>9</v>
      </c>
      <c r="E93" s="32">
        <f>IFERROR(__xludf.DUMMYFUNCTION("COUNTIF(ARRAYFORMULA(HLOOKUP($B93, IMPORTRANGE('Prelim Rankings Unsorted'!$B$40, CONCAT(VLOOKUP($C93, 'Match Names'!$A$1:$D$22, 2, FALSE), ""!C3:R29"")), {12;18;24}, FALSE)), ""=4"") + COUNTIF(ARRAYFORMULA(HLOOKUP($B93, IMPORTRANGE('Prelim Rankings Unsort"&amp;"ed'!$B$41, CONCAT(VLOOKUP($C93, 'Match Names'!$A$1:$D$22, 3, FALSE), ""!C3:R29"")), {6;12;18}, FALSE)), ""=4"") + COUNTIF(ARRAYFORMULA(HLOOKUP($B93, IMPORTRANGE('Prelim Rankings Unsorted'!$B$42, CONCAT(VLOOKUP($C93, 'Match Names'!$A$1:$D$22, 4, FALSE), """&amp;"!C3:R29"")), {6;12;18}, FALSE)), ""=4"") + COUNTIF(ARRAYFORMULA(HLOOKUP($B93, IMPORTRANGE('Match Names'!$E$23, CONCAT(VLOOKUP($C93, 'Match Names'!$1:$22, 5, FALSE), ""!C3:R29"")), {4;13;18}, FALSE)), ""=4"") + COUNTIF(ARRAYFORMULA(HLOOKUP($B93, IMPORTRANG"&amp;"E('Match Names'!$F$23, CONCAT(VLOOKUP($C93, 'Match Names'!$1:$22, 6, FALSE), ""!C3:R29"")), {7;13;19}, FALSE)), ""=4"") + COUNTIF(ARRAYFORMULA(HLOOKUP($B93, IMPORTRANGE('Match Names'!$G$23, CONCAT(VLOOKUP($C93, 'Match Names'!$1:$22, 7, FALSE), ""!C3:R29"""&amp;")), {11;15;23}, FALSE)), ""=4"") + COUNTIF(ARRAYFORMULA(HLOOKUP($B93, IMPORTRANGE('Match Names'!$H$23, CONCAT(VLOOKUP($C93, 'Match Names'!$1:$22, 8, FALSE), ""!C3:R29"")), {6;12;18}, FALSE)), ""=4"")"),0.0)</f>
        <v>0</v>
      </c>
      <c r="F93" s="32">
        <f>IFERROR(__xludf.DUMMYFUNCTION("COUNTIF(ARRAYFORMULA(HLOOKUP($B93, IMPORTRANGE('Prelim Rankings Unsorted'!$B$40, CONCAT(VLOOKUP($C93, 'Match Names'!$A$1:$D$22, 2, FALSE), ""!C3:R29"")), {12;18;24}, FALSE)), ""=0"") + COUNTIF(ARRAYFORMULA(HLOOKUP($B93, IMPORTRANGE('Prelim Rankings Unsort"&amp;"ed'!$B$41, CONCAT(VLOOKUP($C93, 'Match Names'!$A$1:$D$22, 3, FALSE), ""!C3:R29"")), {6;12;18}, FALSE)), ""=0"") + COUNTIF(ARRAYFORMULA(HLOOKUP($B93, IMPORTRANGE('Prelim Rankings Unsorted'!$B$42, CONCAT(VLOOKUP($C93, 'Match Names'!$A$1:$D$22, 4, FALSE), """&amp;"!C3:R29"")), {6;12;18}, FALSE)), ""=0"") + COUNTIF(ARRAYFORMULA(HLOOKUP($B93, IMPORTRANGE('Match Names'!$E$23, CONCAT(VLOOKUP($C93, 'Match Names'!$1:$22, 5, FALSE), ""!C3:R29"")), {4;13;18}, FALSE)), ""=0"") + COUNTIF(ARRAYFORMULA(HLOOKUP($B93, IMPORTRANG"&amp;"E('Match Names'!$F$23, CONCAT(VLOOKUP($C93, 'Match Names'!$1:$22, 6, FALSE), ""!C3:R29"")), {7;13;19}, FALSE)), ""=0"") + COUNTIF(ARRAYFORMULA(HLOOKUP($B93, IMPORTRANGE('Match Names'!$G$23, CONCAT(VLOOKUP($C93, 'Match Names'!$1:$22, 7, FALSE), ""!C3:R29"""&amp;")), {11;15;23}, FALSE)), ""=0"") + COUNTIF(ARRAYFORMULA(HLOOKUP($B93, IMPORTRANGE('Match Names'!$H$23, CONCAT(VLOOKUP($C93, 'Match Names'!$1:$22, 8, FALSE), ""!C3:R29"")), {6;12;18}, FALSE)), ""=0"")"),0.0)</f>
        <v>0</v>
      </c>
      <c r="G93" s="32">
        <f>IFERROR(__xludf.DUMMYFUNCTION("COUNTIF(ARRAYFORMULA(HLOOKUP($B93, IMPORTRANGE('Prelim Rankings Unsorted'!$B$40, CONCAT(VLOOKUP($C93, 'Match Names'!$A$1:$D$22, 2, FALSE), ""!C3:R29"")), {12;18;24}, FALSE)), ""=-4"") + COUNTIF(ARRAYFORMULA(HLOOKUP($B93, IMPORTRANGE('Prelim Rankings Unsor"&amp;"ted'!$B$41, CONCAT(VLOOKUP($C93, 'Match Names'!$A$1:$D$22, 3, FALSE), ""!C3:R29"")), {6;12;18}, FALSE)), ""=-4"") + COUNTIF(ARRAYFORMULA(HLOOKUP($B93, IMPORTRANGE('Prelim Rankings Unsorted'!$B$42, CONCAT(VLOOKUP($C93, 'Match Names'!$A$1:$D$22, 4, FALSE), "&amp;"""!C3:R29"")), {6;12;18}, FALSE)), ""=-4"") + COUNTIF(ARRAYFORMULA(HLOOKUP($B93, IMPORTRANGE('Match Names'!$E$23, CONCAT(VLOOKUP($C93, 'Match Names'!$1:$22, 5, FALSE), ""!C3:R29"")), {4;13;18}, FALSE)), ""=-4"") + COUNTIF(ARRAYFORMULA(HLOOKUP($B93, IMPORT"&amp;"RANGE('Match Names'!$F$23, CONCAT(VLOOKUP($C93, 'Match Names'!$1:$22, 6, FALSE), ""!C3:R29"")), {7;13;19}, FALSE)), ""=-4"") + COUNTIF(ARRAYFORMULA(HLOOKUP($B93, IMPORTRANGE('Match Names'!$G$23, CONCAT(VLOOKUP($C93, 'Match Names'!$1:$22, 7, FALSE), ""!C3:"&amp;"R29"")), {11;15;23}, FALSE)), ""=-4"") + COUNTIF(ARRAYFORMULA(HLOOKUP($B93, IMPORTRANGE('Match Names'!$H$23, CONCAT(VLOOKUP($C93, 'Match Names'!$1:$22, 8, FALSE), ""!C3:R29"")), {6;12;18}, FALSE)), ""=-4"")"),0.0)</f>
        <v>0</v>
      </c>
      <c r="H93" s="33">
        <f t="shared" si="1"/>
        <v>0</v>
      </c>
    </row>
    <row r="94">
      <c r="A94" s="21" t="s">
        <v>97</v>
      </c>
      <c r="B94" s="31" t="str">
        <f>VLOOKUP(CONCAT(A94, C94), 'Discord Username to Real Name'!C:D, 2, FALSE)</f>
        <v>very_creative_name#1358</v>
      </c>
      <c r="C94" s="21" t="s">
        <v>28</v>
      </c>
      <c r="D94" s="32">
        <f>IFERROR(__xludf.DUMMYFUNCTION("(3 - COUNTIF(IFERROR(ARRAYFORMULA(HLOOKUP($B94, IMPORTRANGE('Prelim Rankings Unsorted'!$B$40, CONCAT(VLOOKUP($C94, 'Match Names'!$A$1:$D$22, 2, FALSE), ""!C3:R29"")), {12;18;24}, FALSE)), 'Player Overall Stats Unsorted'!$AA$9:$AA$12), ""=X"")) + (3 - COUN"&amp;"TIF(IFERROR(ARRAYFORMULA(HLOOKUP($B94, IMPORTRANGE('Prelim Rankings Unsorted'!$B$41, CONCAT(VLOOKUP($C94, 'Match Names'!$A$1:$D$22, 3, FALSE), ""!C3:R29"")), {6;12;18}, FALSE)), 'Player Overall Stats Unsorted'!$AA$9:$AA$12), ""=X"")) + (3 - COUNTIF(IFERRO"&amp;"R(ARRAYFORMULA(HLOOKUP($B94, IMPORTRANGE('Prelim Rankings Unsorted'!$B$42, CONCAT(VLOOKUP($C94, 'Match Names'!$A$1:$D$22, 4, FALSE), ""!C3:R29"")), {6;12;18}, FALSE)), 'Player Overall Stats Unsorted'!$AA$9:$AA$12), ""=X"")) + (3 - COUNTIF(IFERROR(ARRAYFOR"&amp;"MULA(HLOOKUP($B94, IMPORTRANGE('Match Names'!$E$23, CONCAT(VLOOKUP($C94, 'Match Names'!$1:$22, 5, FALSE), ""!C3:R29"")), {4;13;18}, FALSE)), 'Player Overall Stats Unsorted'!$AA$9:$AA$12), ""=X"")) + (3 - COUNTIF(IFERROR(ARRAYFORMULA(HLOOKUP($B94, IMPORTRA"&amp;"NGE('Match Names'!$F$23, CONCAT(VLOOKUP($C94, 'Match Names'!$1:$22, 6, FALSE), ""!C3:R29"")), {7;13;19}, FALSE)), 'Player Overall Stats Unsorted'!$AA$9:$AA$12), ""=X"")) + (3 - COUNTIF(IFERROR(ARRAYFORMULA(HLOOKUP($B94, IMPORTRANGE('Match Names'!$G$23, CO"&amp;"NCAT(VLOOKUP($C94, 'Match Names'!$1:$22, 7, FALSE), ""!C3:R29"")), {11;15;23}, FALSE)), 'Player Overall Stats Unsorted'!$AA$9:$AA$12), ""=X"")) + (3 - COUNTIF(IFERROR(ARRAYFORMULA(HLOOKUP($B94, IMPORTRANGE('Match Names'!$H$23, CONCAT(VLOOKUP($C94, 'Match "&amp;"Names'!$1:$22, 8, FALSE), ""!C3:R29"")), {6;12;18}, FALSE)), 'Player Overall Stats Unsorted'!$AA$9:$AA$12), ""=X""))"),6.0)</f>
        <v>6</v>
      </c>
      <c r="E94" s="32">
        <f>IFERROR(__xludf.DUMMYFUNCTION("COUNTIF(ARRAYFORMULA(HLOOKUP($B94, IMPORTRANGE('Prelim Rankings Unsorted'!$B$40, CONCAT(VLOOKUP($C94, 'Match Names'!$A$1:$D$22, 2, FALSE), ""!C3:R29"")), {12;18;24}, FALSE)), ""=4"") + COUNTIF(ARRAYFORMULA(HLOOKUP($B94, IMPORTRANGE('Prelim Rankings Unsort"&amp;"ed'!$B$41, CONCAT(VLOOKUP($C94, 'Match Names'!$A$1:$D$22, 3, FALSE), ""!C3:R29"")), {6;12;18}, FALSE)), ""=4"") + COUNTIF(ARRAYFORMULA(HLOOKUP($B94, IMPORTRANGE('Prelim Rankings Unsorted'!$B$42, CONCAT(VLOOKUP($C94, 'Match Names'!$A$1:$D$22, 4, FALSE), """&amp;"!C3:R29"")), {6;12;18}, FALSE)), ""=4"") + COUNTIF(ARRAYFORMULA(HLOOKUP($B94, IMPORTRANGE('Match Names'!$E$23, CONCAT(VLOOKUP($C94, 'Match Names'!$1:$22, 5, FALSE), ""!C3:R29"")), {4;13;18}, FALSE)), ""=4"") + COUNTIF(ARRAYFORMULA(HLOOKUP($B94, IMPORTRANG"&amp;"E('Match Names'!$F$23, CONCAT(VLOOKUP($C94, 'Match Names'!$1:$22, 6, FALSE), ""!C3:R29"")), {7;13;19}, FALSE)), ""=4"") + COUNTIF(ARRAYFORMULA(HLOOKUP($B94, IMPORTRANGE('Match Names'!$G$23, CONCAT(VLOOKUP($C94, 'Match Names'!$1:$22, 7, FALSE), ""!C3:R29"""&amp;")), {11;15;23}, FALSE)), ""=4"") + COUNTIF(ARRAYFORMULA(HLOOKUP($B94, IMPORTRANGE('Match Names'!$H$23, CONCAT(VLOOKUP($C94, 'Match Names'!$1:$22, 8, FALSE), ""!C3:R29"")), {6;12;18}, FALSE)), ""=4"")"),1.0)</f>
        <v>1</v>
      </c>
      <c r="F94" s="32">
        <f>IFERROR(__xludf.DUMMYFUNCTION("COUNTIF(ARRAYFORMULA(HLOOKUP($B94, IMPORTRANGE('Prelim Rankings Unsorted'!$B$40, CONCAT(VLOOKUP($C94, 'Match Names'!$A$1:$D$22, 2, FALSE), ""!C3:R29"")), {12;18;24}, FALSE)), ""=0"") + COUNTIF(ARRAYFORMULA(HLOOKUP($B94, IMPORTRANGE('Prelim Rankings Unsort"&amp;"ed'!$B$41, CONCAT(VLOOKUP($C94, 'Match Names'!$A$1:$D$22, 3, FALSE), ""!C3:R29"")), {6;12;18}, FALSE)), ""=0"") + COUNTIF(ARRAYFORMULA(HLOOKUP($B94, IMPORTRANGE('Prelim Rankings Unsorted'!$B$42, CONCAT(VLOOKUP($C94, 'Match Names'!$A$1:$D$22, 4, FALSE), """&amp;"!C3:R29"")), {6;12;18}, FALSE)), ""=0"") + COUNTIF(ARRAYFORMULA(HLOOKUP($B94, IMPORTRANGE('Match Names'!$E$23, CONCAT(VLOOKUP($C94, 'Match Names'!$1:$22, 5, FALSE), ""!C3:R29"")), {4;13;18}, FALSE)), ""=0"") + COUNTIF(ARRAYFORMULA(HLOOKUP($B94, IMPORTRANG"&amp;"E('Match Names'!$F$23, CONCAT(VLOOKUP($C94, 'Match Names'!$1:$22, 6, FALSE), ""!C3:R29"")), {7;13;19}, FALSE)), ""=0"") + COUNTIF(ARRAYFORMULA(HLOOKUP($B94, IMPORTRANGE('Match Names'!$G$23, CONCAT(VLOOKUP($C94, 'Match Names'!$1:$22, 7, FALSE), ""!C3:R29"""&amp;")), {11;15;23}, FALSE)), ""=0"") + COUNTIF(ARRAYFORMULA(HLOOKUP($B94, IMPORTRANGE('Match Names'!$H$23, CONCAT(VLOOKUP($C94, 'Match Names'!$1:$22, 8, FALSE), ""!C3:R29"")), {6;12;18}, FALSE)), ""=0"")"),0.0)</f>
        <v>0</v>
      </c>
      <c r="G94" s="32">
        <f>IFERROR(__xludf.DUMMYFUNCTION("COUNTIF(ARRAYFORMULA(HLOOKUP($B94, IMPORTRANGE('Prelim Rankings Unsorted'!$B$40, CONCAT(VLOOKUP($C94, 'Match Names'!$A$1:$D$22, 2, FALSE), ""!C3:R29"")), {12;18;24}, FALSE)), ""=-4"") + COUNTIF(ARRAYFORMULA(HLOOKUP($B94, IMPORTRANGE('Prelim Rankings Unsor"&amp;"ted'!$B$41, CONCAT(VLOOKUP($C94, 'Match Names'!$A$1:$D$22, 3, FALSE), ""!C3:R29"")), {6;12;18}, FALSE)), ""=-4"") + COUNTIF(ARRAYFORMULA(HLOOKUP($B94, IMPORTRANGE('Prelim Rankings Unsorted'!$B$42, CONCAT(VLOOKUP($C94, 'Match Names'!$A$1:$D$22, 4, FALSE), "&amp;"""!C3:R29"")), {6;12;18}, FALSE)), ""=-4"") + COUNTIF(ARRAYFORMULA(HLOOKUP($B94, IMPORTRANGE('Match Names'!$E$23, CONCAT(VLOOKUP($C94, 'Match Names'!$1:$22, 5, FALSE), ""!C3:R29"")), {4;13;18}, FALSE)), ""=-4"") + COUNTIF(ARRAYFORMULA(HLOOKUP($B94, IMPORT"&amp;"RANGE('Match Names'!$F$23, CONCAT(VLOOKUP($C94, 'Match Names'!$1:$22, 6, FALSE), ""!C3:R29"")), {7;13;19}, FALSE)), ""=-4"") + COUNTIF(ARRAYFORMULA(HLOOKUP($B94, IMPORTRANGE('Match Names'!$G$23, CONCAT(VLOOKUP($C94, 'Match Names'!$1:$22, 7, FALSE), ""!C3:"&amp;"R29"")), {11;15;23}, FALSE)), ""=-4"") + COUNTIF(ARRAYFORMULA(HLOOKUP($B94, IMPORTRANGE('Match Names'!$H$23, CONCAT(VLOOKUP($C94, 'Match Names'!$1:$22, 8, FALSE), ""!C3:R29"")), {6;12;18}, FALSE)), ""=-4"")"),0.0)</f>
        <v>0</v>
      </c>
      <c r="H94" s="33">
        <f t="shared" si="1"/>
        <v>2</v>
      </c>
    </row>
    <row r="95">
      <c r="A95" s="21" t="s">
        <v>111</v>
      </c>
      <c r="B95" s="31" t="str">
        <f>VLOOKUP(CONCAT(A95, C95), 'Discord Username to Real Name'!C:D, 2, FALSE)</f>
        <v>margaret#3477</v>
      </c>
      <c r="C95" s="21" t="s">
        <v>28</v>
      </c>
      <c r="D95" s="32">
        <f>IFERROR(__xludf.DUMMYFUNCTION("(3 - COUNTIF(IFERROR(ARRAYFORMULA(HLOOKUP($B95, IMPORTRANGE('Prelim Rankings Unsorted'!$B$40, CONCAT(VLOOKUP($C95, 'Match Names'!$A$1:$D$22, 2, FALSE), ""!C3:R29"")), {12;18;24}, FALSE)), 'Player Overall Stats Unsorted'!$AA$9:$AA$12), ""=X"")) + (3 - COUN"&amp;"TIF(IFERROR(ARRAYFORMULA(HLOOKUP($B95, IMPORTRANGE('Prelim Rankings Unsorted'!$B$41, CONCAT(VLOOKUP($C95, 'Match Names'!$A$1:$D$22, 3, FALSE), ""!C3:R29"")), {6;12;18}, FALSE)), 'Player Overall Stats Unsorted'!$AA$9:$AA$12), ""=X"")) + (3 - COUNTIF(IFERRO"&amp;"R(ARRAYFORMULA(HLOOKUP($B95, IMPORTRANGE('Prelim Rankings Unsorted'!$B$42, CONCAT(VLOOKUP($C95, 'Match Names'!$A$1:$D$22, 4, FALSE), ""!C3:R29"")), {6;12;18}, FALSE)), 'Player Overall Stats Unsorted'!$AA$9:$AA$12), ""=X"")) + (3 - COUNTIF(IFERROR(ARRAYFOR"&amp;"MULA(HLOOKUP($B95, IMPORTRANGE('Match Names'!$E$23, CONCAT(VLOOKUP($C95, 'Match Names'!$1:$22, 5, FALSE), ""!C3:R29"")), {4;13;18}, FALSE)), 'Player Overall Stats Unsorted'!$AA$9:$AA$12), ""=X"")) + (3 - COUNTIF(IFERROR(ARRAYFORMULA(HLOOKUP($B95, IMPORTRA"&amp;"NGE('Match Names'!$F$23, CONCAT(VLOOKUP($C95, 'Match Names'!$1:$22, 6, FALSE), ""!C3:R29"")), {7;13;19}, FALSE)), 'Player Overall Stats Unsorted'!$AA$9:$AA$12), ""=X"")) + (3 - COUNTIF(IFERROR(ARRAYFORMULA(HLOOKUP($B95, IMPORTRANGE('Match Names'!$G$23, CO"&amp;"NCAT(VLOOKUP($C95, 'Match Names'!$1:$22, 7, FALSE), ""!C3:R29"")), {11;15;23}, FALSE)), 'Player Overall Stats Unsorted'!$AA$9:$AA$12), ""=X"")) + (3 - COUNTIF(IFERROR(ARRAYFORMULA(HLOOKUP($B95, IMPORTRANGE('Match Names'!$H$23, CONCAT(VLOOKUP($C95, 'Match "&amp;"Names'!$1:$22, 8, FALSE), ""!C3:R29"")), {6;12;18}, FALSE)), 'Player Overall Stats Unsorted'!$AA$9:$AA$12), ""=X""))"),9.0)</f>
        <v>9</v>
      </c>
      <c r="E95" s="32">
        <f>IFERROR(__xludf.DUMMYFUNCTION("COUNTIF(ARRAYFORMULA(HLOOKUP($B95, IMPORTRANGE('Prelim Rankings Unsorted'!$B$40, CONCAT(VLOOKUP($C95, 'Match Names'!$A$1:$D$22, 2, FALSE), ""!C3:R29"")), {12;18;24}, FALSE)), ""=4"") + COUNTIF(ARRAYFORMULA(HLOOKUP($B95, IMPORTRANGE('Prelim Rankings Unsort"&amp;"ed'!$B$41, CONCAT(VLOOKUP($C95, 'Match Names'!$A$1:$D$22, 3, FALSE), ""!C3:R29"")), {6;12;18}, FALSE)), ""=4"") + COUNTIF(ARRAYFORMULA(HLOOKUP($B95, IMPORTRANGE('Prelim Rankings Unsorted'!$B$42, CONCAT(VLOOKUP($C95, 'Match Names'!$A$1:$D$22, 4, FALSE), """&amp;"!C3:R29"")), {6;12;18}, FALSE)), ""=4"") + COUNTIF(ARRAYFORMULA(HLOOKUP($B95, IMPORTRANGE('Match Names'!$E$23, CONCAT(VLOOKUP($C95, 'Match Names'!$1:$22, 5, FALSE), ""!C3:R29"")), {4;13;18}, FALSE)), ""=4"") + COUNTIF(ARRAYFORMULA(HLOOKUP($B95, IMPORTRANG"&amp;"E('Match Names'!$F$23, CONCAT(VLOOKUP($C95, 'Match Names'!$1:$22, 6, FALSE), ""!C3:R29"")), {7;13;19}, FALSE)), ""=4"") + COUNTIF(ARRAYFORMULA(HLOOKUP($B95, IMPORTRANGE('Match Names'!$G$23, CONCAT(VLOOKUP($C95, 'Match Names'!$1:$22, 7, FALSE), ""!C3:R29"""&amp;")), {11;15;23}, FALSE)), ""=4"") + COUNTIF(ARRAYFORMULA(HLOOKUP($B95, IMPORTRANGE('Match Names'!$H$23, CONCAT(VLOOKUP($C95, 'Match Names'!$1:$22, 8, FALSE), ""!C3:R29"")), {6;12;18}, FALSE)), ""=4"")"),0.0)</f>
        <v>0</v>
      </c>
      <c r="F95" s="32">
        <f>IFERROR(__xludf.DUMMYFUNCTION("COUNTIF(ARRAYFORMULA(HLOOKUP($B95, IMPORTRANGE('Prelim Rankings Unsorted'!$B$40, CONCAT(VLOOKUP($C95, 'Match Names'!$A$1:$D$22, 2, FALSE), ""!C3:R29"")), {12;18;24}, FALSE)), ""=0"") + COUNTIF(ARRAYFORMULA(HLOOKUP($B95, IMPORTRANGE('Prelim Rankings Unsort"&amp;"ed'!$B$41, CONCAT(VLOOKUP($C95, 'Match Names'!$A$1:$D$22, 3, FALSE), ""!C3:R29"")), {6;12;18}, FALSE)), ""=0"") + COUNTIF(ARRAYFORMULA(HLOOKUP($B95, IMPORTRANGE('Prelim Rankings Unsorted'!$B$42, CONCAT(VLOOKUP($C95, 'Match Names'!$A$1:$D$22, 4, FALSE), """&amp;"!C3:R29"")), {6;12;18}, FALSE)), ""=0"") + COUNTIF(ARRAYFORMULA(HLOOKUP($B95, IMPORTRANGE('Match Names'!$E$23, CONCAT(VLOOKUP($C95, 'Match Names'!$1:$22, 5, FALSE), ""!C3:R29"")), {4;13;18}, FALSE)), ""=0"") + COUNTIF(ARRAYFORMULA(HLOOKUP($B95, IMPORTRANG"&amp;"E('Match Names'!$F$23, CONCAT(VLOOKUP($C95, 'Match Names'!$1:$22, 6, FALSE), ""!C3:R29"")), {7;13;19}, FALSE)), ""=0"") + COUNTIF(ARRAYFORMULA(HLOOKUP($B95, IMPORTRANGE('Match Names'!$G$23, CONCAT(VLOOKUP($C95, 'Match Names'!$1:$22, 7, FALSE), ""!C3:R29"""&amp;")), {11;15;23}, FALSE)), ""=0"") + COUNTIF(ARRAYFORMULA(HLOOKUP($B95, IMPORTRANGE('Match Names'!$H$23, CONCAT(VLOOKUP($C95, 'Match Names'!$1:$22, 8, FALSE), ""!C3:R29"")), {6;12;18}, FALSE)), ""=0"")"),0.0)</f>
        <v>0</v>
      </c>
      <c r="G95" s="32">
        <f>IFERROR(__xludf.DUMMYFUNCTION("COUNTIF(ARRAYFORMULA(HLOOKUP($B95, IMPORTRANGE('Prelim Rankings Unsorted'!$B$40, CONCAT(VLOOKUP($C95, 'Match Names'!$A$1:$D$22, 2, FALSE), ""!C3:R29"")), {12;18;24}, FALSE)), ""=-4"") + COUNTIF(ARRAYFORMULA(HLOOKUP($B95, IMPORTRANGE('Prelim Rankings Unsor"&amp;"ted'!$B$41, CONCAT(VLOOKUP($C95, 'Match Names'!$A$1:$D$22, 3, FALSE), ""!C3:R29"")), {6;12;18}, FALSE)), ""=-4"") + COUNTIF(ARRAYFORMULA(HLOOKUP($B95, IMPORTRANGE('Prelim Rankings Unsorted'!$B$42, CONCAT(VLOOKUP($C95, 'Match Names'!$A$1:$D$22, 4, FALSE), "&amp;"""!C3:R29"")), {6;12;18}, FALSE)), ""=-4"") + COUNTIF(ARRAYFORMULA(HLOOKUP($B95, IMPORTRANGE('Match Names'!$E$23, CONCAT(VLOOKUP($C95, 'Match Names'!$1:$22, 5, FALSE), ""!C3:R29"")), {4;13;18}, FALSE)), ""=-4"") + COUNTIF(ARRAYFORMULA(HLOOKUP($B95, IMPORT"&amp;"RANGE('Match Names'!$F$23, CONCAT(VLOOKUP($C95, 'Match Names'!$1:$22, 6, FALSE), ""!C3:R29"")), {7;13;19}, FALSE)), ""=-4"") + COUNTIF(ARRAYFORMULA(HLOOKUP($B95, IMPORTRANGE('Match Names'!$G$23, CONCAT(VLOOKUP($C95, 'Match Names'!$1:$22, 7, FALSE), ""!C3:"&amp;"R29"")), {11;15;23}, FALSE)), ""=-4"") + COUNTIF(ARRAYFORMULA(HLOOKUP($B95, IMPORTRANGE('Match Names'!$H$23, CONCAT(VLOOKUP($C95, 'Match Names'!$1:$22, 8, FALSE), ""!C3:R29"")), {6;12;18}, FALSE)), ""=-4"")"),1.0)</f>
        <v>1</v>
      </c>
      <c r="H95" s="33">
        <f t="shared" si="1"/>
        <v>-1.33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3.88"/>
    <col customWidth="1" min="3" max="3" width="29.38"/>
  </cols>
  <sheetData>
    <row r="1">
      <c r="A1" s="24" t="s">
        <v>1</v>
      </c>
      <c r="B1" s="24" t="s">
        <v>6</v>
      </c>
      <c r="C1" s="24" t="s">
        <v>7</v>
      </c>
      <c r="D1" s="24" t="s">
        <v>8</v>
      </c>
      <c r="E1" s="24" t="s">
        <v>9</v>
      </c>
      <c r="F1" s="24" t="s">
        <v>10</v>
      </c>
      <c r="G1" s="24" t="s">
        <v>11</v>
      </c>
      <c r="H1" s="25" t="s">
        <v>12</v>
      </c>
    </row>
    <row r="2">
      <c r="A2" s="27" t="str">
        <f t="array" ref="A2:H94">SORT('Energy Unsorted'!A3:H95, 8, FALSE, 4, FALSE, 3, TRUE, 1, TRUE)</f>
        <v>Xing</v>
      </c>
      <c r="B2" s="26" t="s">
        <v>44</v>
      </c>
      <c r="C2" s="26" t="s">
        <v>23</v>
      </c>
      <c r="D2" s="26">
        <v>15.0</v>
      </c>
      <c r="E2" s="26">
        <v>9.0</v>
      </c>
      <c r="F2" s="26">
        <v>2.0</v>
      </c>
      <c r="G2" s="26">
        <v>0.0</v>
      </c>
      <c r="H2" s="28">
        <v>7.2</v>
      </c>
    </row>
    <row r="3">
      <c r="A3" s="26" t="s">
        <v>39</v>
      </c>
      <c r="B3" s="26" t="s">
        <v>40</v>
      </c>
      <c r="C3" s="26" t="s">
        <v>21</v>
      </c>
      <c r="D3" s="26">
        <v>15.0</v>
      </c>
      <c r="E3" s="26">
        <v>6.0</v>
      </c>
      <c r="F3" s="26">
        <v>2.0</v>
      </c>
      <c r="G3" s="26">
        <v>0.0</v>
      </c>
      <c r="H3" s="28">
        <v>4.8</v>
      </c>
    </row>
    <row r="4">
      <c r="A4" s="26" t="s">
        <v>37</v>
      </c>
      <c r="B4" s="26" t="s">
        <v>38</v>
      </c>
      <c r="C4" s="26" t="s">
        <v>18</v>
      </c>
      <c r="D4" s="26">
        <v>15.0</v>
      </c>
      <c r="E4" s="26">
        <v>7.0</v>
      </c>
      <c r="F4" s="26">
        <v>3.0</v>
      </c>
      <c r="G4" s="26">
        <v>1.0</v>
      </c>
      <c r="H4" s="28">
        <v>4.8</v>
      </c>
    </row>
    <row r="5">
      <c r="A5" s="26" t="s">
        <v>73</v>
      </c>
      <c r="B5" s="26" t="s">
        <v>34</v>
      </c>
      <c r="C5" s="26" t="s">
        <v>15</v>
      </c>
      <c r="D5" s="26">
        <v>18.0</v>
      </c>
      <c r="E5" s="26">
        <v>6.0</v>
      </c>
      <c r="F5" s="26">
        <v>1.0</v>
      </c>
      <c r="G5" s="26">
        <v>0.0</v>
      </c>
      <c r="H5" s="28">
        <v>4.0</v>
      </c>
    </row>
    <row r="6">
      <c r="A6" s="26" t="s">
        <v>70</v>
      </c>
      <c r="B6" s="26" t="s">
        <v>72</v>
      </c>
      <c r="C6" s="26" t="s">
        <v>28</v>
      </c>
      <c r="D6" s="26">
        <v>12.0</v>
      </c>
      <c r="E6" s="26">
        <v>4.0</v>
      </c>
      <c r="F6" s="26">
        <v>1.0</v>
      </c>
      <c r="G6" s="26">
        <v>0.0</v>
      </c>
      <c r="H6" s="28">
        <v>4.0</v>
      </c>
    </row>
    <row r="7">
      <c r="A7" s="26" t="s">
        <v>86</v>
      </c>
      <c r="B7" s="26" t="s">
        <v>87</v>
      </c>
      <c r="C7" s="26" t="s">
        <v>16</v>
      </c>
      <c r="D7" s="26">
        <v>15.0</v>
      </c>
      <c r="E7" s="26">
        <v>4.0</v>
      </c>
      <c r="F7" s="26">
        <v>3.0</v>
      </c>
      <c r="G7" s="26">
        <v>0.0</v>
      </c>
      <c r="H7" s="28">
        <v>3.2</v>
      </c>
    </row>
    <row r="8">
      <c r="A8" s="26" t="s">
        <v>79</v>
      </c>
      <c r="B8" s="26" t="s">
        <v>80</v>
      </c>
      <c r="C8" s="26" t="s">
        <v>22</v>
      </c>
      <c r="D8" s="26">
        <v>16.0</v>
      </c>
      <c r="E8" s="26">
        <v>4.0</v>
      </c>
      <c r="F8" s="26">
        <v>3.0</v>
      </c>
      <c r="G8" s="26">
        <v>0.0</v>
      </c>
      <c r="H8" s="28">
        <v>3.0</v>
      </c>
    </row>
    <row r="9">
      <c r="A9" s="26" t="s">
        <v>13</v>
      </c>
      <c r="B9" s="26" t="s">
        <v>121</v>
      </c>
      <c r="C9" s="26" t="s">
        <v>24</v>
      </c>
      <c r="D9" s="26">
        <v>12.0</v>
      </c>
      <c r="E9" s="26">
        <v>4.0</v>
      </c>
      <c r="F9" s="26">
        <v>1.0</v>
      </c>
      <c r="G9" s="26">
        <v>1.0</v>
      </c>
      <c r="H9" s="28">
        <v>3.0</v>
      </c>
    </row>
    <row r="10">
      <c r="A10" s="26" t="s">
        <v>95</v>
      </c>
      <c r="B10" s="26" t="s">
        <v>96</v>
      </c>
      <c r="C10" s="26" t="s">
        <v>25</v>
      </c>
      <c r="D10" s="26">
        <v>18.0</v>
      </c>
      <c r="E10" s="26">
        <v>4.0</v>
      </c>
      <c r="F10" s="26">
        <v>0.0</v>
      </c>
      <c r="G10" s="26">
        <v>0.0</v>
      </c>
      <c r="H10" s="28">
        <v>2.67</v>
      </c>
    </row>
    <row r="11">
      <c r="A11" s="26" t="s">
        <v>99</v>
      </c>
      <c r="B11" s="26" t="s">
        <v>101</v>
      </c>
      <c r="C11" s="26" t="s">
        <v>22</v>
      </c>
      <c r="D11" s="26">
        <v>14.0</v>
      </c>
      <c r="E11" s="26">
        <v>3.0</v>
      </c>
      <c r="F11" s="26">
        <v>0.0</v>
      </c>
      <c r="G11" s="26">
        <v>0.0</v>
      </c>
      <c r="H11" s="28">
        <v>2.57</v>
      </c>
    </row>
    <row r="12">
      <c r="A12" s="26" t="s">
        <v>52</v>
      </c>
      <c r="B12" s="26" t="s">
        <v>54</v>
      </c>
      <c r="C12" s="26" t="s">
        <v>24</v>
      </c>
      <c r="D12" s="26">
        <v>11.0</v>
      </c>
      <c r="E12" s="26">
        <v>2.0</v>
      </c>
      <c r="F12" s="26">
        <v>0.0</v>
      </c>
      <c r="G12" s="26">
        <v>0.0</v>
      </c>
      <c r="H12" s="28">
        <v>2.18</v>
      </c>
    </row>
    <row r="13">
      <c r="A13" s="26" t="s">
        <v>48</v>
      </c>
      <c r="B13" s="26" t="s">
        <v>50</v>
      </c>
      <c r="C13" s="26" t="s">
        <v>27</v>
      </c>
      <c r="D13" s="26">
        <v>18.0</v>
      </c>
      <c r="E13" s="26">
        <v>3.0</v>
      </c>
      <c r="F13" s="26">
        <v>1.0</v>
      </c>
      <c r="G13" s="26">
        <v>0.0</v>
      </c>
      <c r="H13" s="28">
        <v>2.0</v>
      </c>
    </row>
    <row r="14">
      <c r="A14" s="26" t="s">
        <v>140</v>
      </c>
      <c r="B14" s="26" t="s">
        <v>141</v>
      </c>
      <c r="C14" s="26" t="s">
        <v>29</v>
      </c>
      <c r="D14" s="26">
        <v>12.0</v>
      </c>
      <c r="E14" s="26">
        <v>2.0</v>
      </c>
      <c r="F14" s="26">
        <v>0.0</v>
      </c>
      <c r="G14" s="26">
        <v>0.0</v>
      </c>
      <c r="H14" s="28">
        <v>2.0</v>
      </c>
    </row>
    <row r="15">
      <c r="A15" s="26" t="s">
        <v>35</v>
      </c>
      <c r="B15" s="26" t="s">
        <v>36</v>
      </c>
      <c r="C15" s="26" t="s">
        <v>17</v>
      </c>
      <c r="D15" s="26">
        <v>12.0</v>
      </c>
      <c r="E15" s="26">
        <v>2.0</v>
      </c>
      <c r="F15" s="26">
        <v>3.0</v>
      </c>
      <c r="G15" s="26">
        <v>0.0</v>
      </c>
      <c r="H15" s="28">
        <v>2.0</v>
      </c>
    </row>
    <row r="16">
      <c r="A16" s="26" t="s">
        <v>58</v>
      </c>
      <c r="B16" s="26" t="s">
        <v>59</v>
      </c>
      <c r="C16" s="26" t="s">
        <v>16</v>
      </c>
      <c r="D16" s="26">
        <v>12.0</v>
      </c>
      <c r="E16" s="26">
        <v>3.0</v>
      </c>
      <c r="F16" s="26">
        <v>1.0</v>
      </c>
      <c r="G16" s="26">
        <v>1.0</v>
      </c>
      <c r="H16" s="28">
        <v>2.0</v>
      </c>
    </row>
    <row r="17">
      <c r="A17" s="26" t="s">
        <v>88</v>
      </c>
      <c r="B17" s="26" t="s">
        <v>89</v>
      </c>
      <c r="C17" s="26" t="s">
        <v>31</v>
      </c>
      <c r="D17" s="26">
        <v>12.0</v>
      </c>
      <c r="E17" s="26">
        <v>2.0</v>
      </c>
      <c r="F17" s="26">
        <v>0.0</v>
      </c>
      <c r="G17" s="26">
        <v>0.0</v>
      </c>
      <c r="H17" s="28">
        <v>2.0</v>
      </c>
    </row>
    <row r="18">
      <c r="A18" s="26" t="s">
        <v>97</v>
      </c>
      <c r="B18" s="26" t="s">
        <v>98</v>
      </c>
      <c r="C18" s="26" t="s">
        <v>28</v>
      </c>
      <c r="D18" s="26">
        <v>6.0</v>
      </c>
      <c r="E18" s="26">
        <v>1.0</v>
      </c>
      <c r="F18" s="26">
        <v>0.0</v>
      </c>
      <c r="G18" s="26">
        <v>0.0</v>
      </c>
      <c r="H18" s="28">
        <v>2.0</v>
      </c>
    </row>
    <row r="19">
      <c r="A19" s="26" t="s">
        <v>45</v>
      </c>
      <c r="B19" s="26" t="s">
        <v>173</v>
      </c>
      <c r="C19" s="26" t="s">
        <v>18</v>
      </c>
      <c r="D19" s="26">
        <v>6.0</v>
      </c>
      <c r="E19" s="26">
        <v>1.0</v>
      </c>
      <c r="F19" s="26">
        <v>0.0</v>
      </c>
      <c r="G19" s="26">
        <v>0.0</v>
      </c>
      <c r="H19" s="28">
        <v>2.0</v>
      </c>
    </row>
    <row r="20">
      <c r="A20" s="26" t="s">
        <v>104</v>
      </c>
      <c r="B20" s="26" t="s">
        <v>105</v>
      </c>
      <c r="C20" s="26" t="s">
        <v>27</v>
      </c>
      <c r="D20" s="26">
        <v>16.0</v>
      </c>
      <c r="E20" s="26">
        <v>2.0</v>
      </c>
      <c r="F20" s="26">
        <v>1.0</v>
      </c>
      <c r="G20" s="26">
        <v>0.0</v>
      </c>
      <c r="H20" s="28">
        <v>1.5</v>
      </c>
    </row>
    <row r="21">
      <c r="A21" s="26" t="s">
        <v>124</v>
      </c>
      <c r="B21" s="26" t="s">
        <v>125</v>
      </c>
      <c r="C21" s="26" t="s">
        <v>25</v>
      </c>
      <c r="D21" s="26">
        <v>17.0</v>
      </c>
      <c r="E21" s="26">
        <v>3.0</v>
      </c>
      <c r="F21" s="26">
        <v>0.0</v>
      </c>
      <c r="G21" s="26">
        <v>1.0</v>
      </c>
      <c r="H21" s="28">
        <v>1.41</v>
      </c>
    </row>
    <row r="22">
      <c r="A22" s="26" t="s">
        <v>108</v>
      </c>
      <c r="B22" s="26" t="s">
        <v>109</v>
      </c>
      <c r="C22" s="26" t="s">
        <v>20</v>
      </c>
      <c r="D22" s="26">
        <v>18.0</v>
      </c>
      <c r="E22" s="26">
        <v>2.0</v>
      </c>
      <c r="F22" s="26">
        <v>0.0</v>
      </c>
      <c r="G22" s="26">
        <v>0.0</v>
      </c>
      <c r="H22" s="28">
        <v>1.33</v>
      </c>
    </row>
    <row r="23">
      <c r="A23" s="26" t="s">
        <v>45</v>
      </c>
      <c r="B23" s="26" t="s">
        <v>46</v>
      </c>
      <c r="C23" s="26" t="s">
        <v>20</v>
      </c>
      <c r="D23" s="26">
        <v>18.0</v>
      </c>
      <c r="E23" s="26">
        <v>2.0</v>
      </c>
      <c r="F23" s="26">
        <v>7.0</v>
      </c>
      <c r="G23" s="26">
        <v>0.0</v>
      </c>
      <c r="H23" s="28">
        <v>1.33</v>
      </c>
    </row>
    <row r="24">
      <c r="A24" s="26" t="s">
        <v>56</v>
      </c>
      <c r="B24" s="26" t="s">
        <v>57</v>
      </c>
      <c r="C24" s="26" t="s">
        <v>14</v>
      </c>
      <c r="D24" s="26">
        <v>18.0</v>
      </c>
      <c r="E24" s="26">
        <v>4.0</v>
      </c>
      <c r="F24" s="26">
        <v>0.0</v>
      </c>
      <c r="G24" s="26">
        <v>2.0</v>
      </c>
      <c r="H24" s="28">
        <v>1.33</v>
      </c>
    </row>
    <row r="25">
      <c r="A25" s="26" t="s">
        <v>76</v>
      </c>
      <c r="B25" s="26" t="s">
        <v>77</v>
      </c>
      <c r="C25" s="26" t="s">
        <v>26</v>
      </c>
      <c r="D25" s="26">
        <v>9.0</v>
      </c>
      <c r="E25" s="26">
        <v>1.0</v>
      </c>
      <c r="F25" s="26">
        <v>1.0</v>
      </c>
      <c r="G25" s="26">
        <v>0.0</v>
      </c>
      <c r="H25" s="28">
        <v>1.33</v>
      </c>
    </row>
    <row r="26">
      <c r="A26" s="26" t="s">
        <v>130</v>
      </c>
      <c r="B26" s="26" t="s">
        <v>131</v>
      </c>
      <c r="C26" s="26" t="s">
        <v>30</v>
      </c>
      <c r="D26" s="26">
        <v>9.0</v>
      </c>
      <c r="E26" s="26">
        <v>1.0</v>
      </c>
      <c r="F26" s="26">
        <v>0.0</v>
      </c>
      <c r="G26" s="26">
        <v>0.0</v>
      </c>
      <c r="H26" s="28">
        <v>1.33</v>
      </c>
    </row>
    <row r="27">
      <c r="A27" s="26" t="s">
        <v>82</v>
      </c>
      <c r="B27" s="26" t="s">
        <v>83</v>
      </c>
      <c r="C27" s="26" t="s">
        <v>19</v>
      </c>
      <c r="D27" s="26">
        <v>9.0</v>
      </c>
      <c r="E27" s="26">
        <v>1.0</v>
      </c>
      <c r="F27" s="26">
        <v>0.0</v>
      </c>
      <c r="G27" s="26">
        <v>0.0</v>
      </c>
      <c r="H27" s="28">
        <v>1.33</v>
      </c>
    </row>
    <row r="28">
      <c r="A28" s="26" t="s">
        <v>84</v>
      </c>
      <c r="B28" s="26" t="s">
        <v>85</v>
      </c>
      <c r="C28" s="26" t="s">
        <v>31</v>
      </c>
      <c r="D28" s="26">
        <v>9.0</v>
      </c>
      <c r="E28" s="26">
        <v>1.0</v>
      </c>
      <c r="F28" s="26">
        <v>2.0</v>
      </c>
      <c r="G28" s="26">
        <v>0.0</v>
      </c>
      <c r="H28" s="28">
        <v>1.33</v>
      </c>
    </row>
    <row r="29">
      <c r="A29" s="26" t="s">
        <v>106</v>
      </c>
      <c r="B29" s="26" t="s">
        <v>107</v>
      </c>
      <c r="C29" s="26" t="s">
        <v>19</v>
      </c>
      <c r="D29" s="26">
        <v>10.0</v>
      </c>
      <c r="E29" s="26">
        <v>1.0</v>
      </c>
      <c r="F29" s="26">
        <v>0.0</v>
      </c>
      <c r="G29" s="26">
        <v>0.0</v>
      </c>
      <c r="H29" s="28">
        <v>1.2</v>
      </c>
    </row>
    <row r="30">
      <c r="A30" s="26" t="s">
        <v>158</v>
      </c>
      <c r="B30" s="26" t="s">
        <v>159</v>
      </c>
      <c r="C30" s="26" t="s">
        <v>17</v>
      </c>
      <c r="D30" s="26">
        <v>12.0</v>
      </c>
      <c r="E30" s="26">
        <v>1.0</v>
      </c>
      <c r="F30" s="26">
        <v>0.0</v>
      </c>
      <c r="G30" s="26">
        <v>0.0</v>
      </c>
      <c r="H30" s="28">
        <v>1.0</v>
      </c>
    </row>
    <row r="31">
      <c r="A31" s="26" t="s">
        <v>74</v>
      </c>
      <c r="B31" s="26" t="s">
        <v>75</v>
      </c>
      <c r="C31" s="26" t="s">
        <v>19</v>
      </c>
      <c r="D31" s="26">
        <v>12.0</v>
      </c>
      <c r="E31" s="26">
        <v>1.0</v>
      </c>
      <c r="F31" s="26">
        <v>0.0</v>
      </c>
      <c r="G31" s="26">
        <v>0.0</v>
      </c>
      <c r="H31" s="28">
        <v>1.0</v>
      </c>
    </row>
    <row r="32">
      <c r="A32" s="26" t="s">
        <v>65</v>
      </c>
      <c r="B32" s="26" t="s">
        <v>66</v>
      </c>
      <c r="C32" s="26" t="s">
        <v>19</v>
      </c>
      <c r="D32" s="26">
        <v>12.0</v>
      </c>
      <c r="E32" s="26">
        <v>1.0</v>
      </c>
      <c r="F32" s="26">
        <v>0.0</v>
      </c>
      <c r="G32" s="26">
        <v>0.0</v>
      </c>
      <c r="H32" s="28">
        <v>1.0</v>
      </c>
    </row>
    <row r="33">
      <c r="A33" s="26" t="s">
        <v>53</v>
      </c>
      <c r="B33" s="26" t="s">
        <v>55</v>
      </c>
      <c r="C33" s="26" t="s">
        <v>24</v>
      </c>
      <c r="D33" s="26">
        <v>13.0</v>
      </c>
      <c r="E33" s="26">
        <v>1.0</v>
      </c>
      <c r="F33" s="26">
        <v>1.0</v>
      </c>
      <c r="G33" s="26">
        <v>0.0</v>
      </c>
      <c r="H33" s="28">
        <v>0.92</v>
      </c>
    </row>
    <row r="34">
      <c r="A34" s="26" t="s">
        <v>63</v>
      </c>
      <c r="B34" s="26" t="s">
        <v>64</v>
      </c>
      <c r="C34" s="26" t="s">
        <v>15</v>
      </c>
      <c r="D34" s="26">
        <v>15.0</v>
      </c>
      <c r="E34" s="26">
        <v>2.0</v>
      </c>
      <c r="F34" s="26">
        <v>1.0</v>
      </c>
      <c r="G34" s="26">
        <v>1.0</v>
      </c>
      <c r="H34" s="28">
        <v>0.8</v>
      </c>
    </row>
    <row r="35">
      <c r="A35" s="26" t="s">
        <v>143</v>
      </c>
      <c r="B35" s="26" t="s">
        <v>145</v>
      </c>
      <c r="C35" s="26" t="s">
        <v>21</v>
      </c>
      <c r="D35" s="26">
        <v>15.0</v>
      </c>
      <c r="E35" s="26">
        <v>1.0</v>
      </c>
      <c r="F35" s="26">
        <v>0.0</v>
      </c>
      <c r="G35" s="26">
        <v>0.0</v>
      </c>
      <c r="H35" s="28">
        <v>0.8</v>
      </c>
    </row>
    <row r="36">
      <c r="A36" s="26" t="s">
        <v>49</v>
      </c>
      <c r="B36" s="26" t="s">
        <v>51</v>
      </c>
      <c r="C36" s="26" t="s">
        <v>23</v>
      </c>
      <c r="D36" s="26">
        <v>15.0</v>
      </c>
      <c r="E36" s="26">
        <v>1.0</v>
      </c>
      <c r="F36" s="26">
        <v>1.0</v>
      </c>
      <c r="G36" s="26">
        <v>0.0</v>
      </c>
      <c r="H36" s="28">
        <v>0.8</v>
      </c>
    </row>
    <row r="37">
      <c r="A37" s="26" t="s">
        <v>117</v>
      </c>
      <c r="B37" s="26" t="s">
        <v>118</v>
      </c>
      <c r="C37" s="26" t="s">
        <v>18</v>
      </c>
      <c r="D37" s="26">
        <v>15.0</v>
      </c>
      <c r="E37" s="26">
        <v>1.0</v>
      </c>
      <c r="F37" s="26">
        <v>0.0</v>
      </c>
      <c r="G37" s="26">
        <v>0.0</v>
      </c>
      <c r="H37" s="28">
        <v>0.8</v>
      </c>
    </row>
    <row r="38">
      <c r="A38" s="26" t="s">
        <v>134</v>
      </c>
      <c r="B38" s="26" t="s">
        <v>135</v>
      </c>
      <c r="C38" s="26" t="s">
        <v>22</v>
      </c>
      <c r="D38" s="26">
        <v>16.0</v>
      </c>
      <c r="E38" s="26">
        <v>1.0</v>
      </c>
      <c r="F38" s="26">
        <v>0.0</v>
      </c>
      <c r="G38" s="26">
        <v>0.0</v>
      </c>
      <c r="H38" s="28">
        <v>0.75</v>
      </c>
    </row>
    <row r="39">
      <c r="A39" s="26" t="s">
        <v>13</v>
      </c>
      <c r="B39" s="26" t="s">
        <v>60</v>
      </c>
      <c r="C39" s="26" t="s">
        <v>22</v>
      </c>
      <c r="D39" s="26">
        <v>18.0</v>
      </c>
      <c r="E39" s="26">
        <v>1.0</v>
      </c>
      <c r="F39" s="26">
        <v>0.0</v>
      </c>
      <c r="G39" s="26">
        <v>0.0</v>
      </c>
      <c r="H39" s="28">
        <v>0.67</v>
      </c>
    </row>
    <row r="40">
      <c r="A40" s="26" t="s">
        <v>127</v>
      </c>
      <c r="B40" s="26" t="s">
        <v>129</v>
      </c>
      <c r="C40" s="26" t="s">
        <v>15</v>
      </c>
      <c r="D40" s="26">
        <v>18.0</v>
      </c>
      <c r="E40" s="26">
        <v>0.0</v>
      </c>
      <c r="F40" s="26">
        <v>1.0</v>
      </c>
      <c r="G40" s="26">
        <v>0.0</v>
      </c>
      <c r="H40" s="28">
        <v>0.0</v>
      </c>
    </row>
    <row r="41">
      <c r="A41" s="26" t="s">
        <v>13</v>
      </c>
      <c r="B41" s="26" t="s">
        <v>92</v>
      </c>
      <c r="C41" s="26" t="s">
        <v>25</v>
      </c>
      <c r="D41" s="26">
        <v>18.0</v>
      </c>
      <c r="E41" s="26">
        <v>0.0</v>
      </c>
      <c r="F41" s="26">
        <v>1.0</v>
      </c>
      <c r="G41" s="26">
        <v>0.0</v>
      </c>
      <c r="H41" s="28">
        <v>0.0</v>
      </c>
    </row>
    <row r="42">
      <c r="A42" s="26" t="s">
        <v>41</v>
      </c>
      <c r="B42" s="26" t="s">
        <v>42</v>
      </c>
      <c r="C42" s="26" t="s">
        <v>14</v>
      </c>
      <c r="D42" s="26">
        <v>18.0</v>
      </c>
      <c r="E42" s="26">
        <v>1.0</v>
      </c>
      <c r="F42" s="26">
        <v>2.0</v>
      </c>
      <c r="G42" s="26">
        <v>1.0</v>
      </c>
      <c r="H42" s="28">
        <v>0.0</v>
      </c>
    </row>
    <row r="43">
      <c r="A43" s="26" t="s">
        <v>132</v>
      </c>
      <c r="B43" s="26" t="s">
        <v>133</v>
      </c>
      <c r="C43" s="26" t="s">
        <v>14</v>
      </c>
      <c r="D43" s="26">
        <v>18.0</v>
      </c>
      <c r="E43" s="26">
        <v>1.0</v>
      </c>
      <c r="F43" s="26">
        <v>0.0</v>
      </c>
      <c r="G43" s="26">
        <v>1.0</v>
      </c>
      <c r="H43" s="28">
        <v>0.0</v>
      </c>
    </row>
    <row r="44">
      <c r="A44" s="26" t="s">
        <v>138</v>
      </c>
      <c r="B44" s="26" t="s">
        <v>139</v>
      </c>
      <c r="C44" s="26" t="s">
        <v>27</v>
      </c>
      <c r="D44" s="26">
        <v>16.0</v>
      </c>
      <c r="E44" s="26">
        <v>0.0</v>
      </c>
      <c r="F44" s="26">
        <v>1.0</v>
      </c>
      <c r="G44" s="26">
        <v>0.0</v>
      </c>
      <c r="H44" s="28">
        <v>0.0</v>
      </c>
    </row>
    <row r="45">
      <c r="A45" s="26" t="s">
        <v>67</v>
      </c>
      <c r="B45" s="26" t="s">
        <v>68</v>
      </c>
      <c r="C45" s="26" t="s">
        <v>29</v>
      </c>
      <c r="D45" s="26">
        <v>15.0</v>
      </c>
      <c r="E45" s="26">
        <v>0.0</v>
      </c>
      <c r="F45" s="26">
        <v>2.0</v>
      </c>
      <c r="G45" s="26">
        <v>0.0</v>
      </c>
      <c r="H45" s="28">
        <v>0.0</v>
      </c>
    </row>
    <row r="46">
      <c r="A46" s="26" t="s">
        <v>81</v>
      </c>
      <c r="B46" s="26" t="s">
        <v>47</v>
      </c>
      <c r="C46" s="26" t="s">
        <v>29</v>
      </c>
      <c r="D46" s="26">
        <v>15.0</v>
      </c>
      <c r="E46" s="26">
        <v>0.0</v>
      </c>
      <c r="F46" s="26">
        <v>0.0</v>
      </c>
      <c r="G46" s="26">
        <v>0.0</v>
      </c>
      <c r="H46" s="28">
        <v>0.0</v>
      </c>
    </row>
    <row r="47">
      <c r="A47" s="26" t="s">
        <v>102</v>
      </c>
      <c r="B47" s="26" t="s">
        <v>103</v>
      </c>
      <c r="C47" s="26" t="s">
        <v>23</v>
      </c>
      <c r="D47" s="26">
        <v>15.0</v>
      </c>
      <c r="E47" s="26">
        <v>0.0</v>
      </c>
      <c r="F47" s="26">
        <v>1.0</v>
      </c>
      <c r="G47" s="26">
        <v>0.0</v>
      </c>
      <c r="H47" s="28">
        <v>0.0</v>
      </c>
    </row>
    <row r="48">
      <c r="A48" s="26" t="s">
        <v>126</v>
      </c>
      <c r="B48" s="26" t="s">
        <v>128</v>
      </c>
      <c r="C48" s="26" t="s">
        <v>20</v>
      </c>
      <c r="D48" s="26">
        <v>15.0</v>
      </c>
      <c r="E48" s="26">
        <v>0.0</v>
      </c>
      <c r="F48" s="26">
        <v>0.0</v>
      </c>
      <c r="G48" s="26">
        <v>0.0</v>
      </c>
      <c r="H48" s="28">
        <v>0.0</v>
      </c>
    </row>
    <row r="49">
      <c r="A49" s="26" t="s">
        <v>122</v>
      </c>
      <c r="B49" s="26" t="s">
        <v>123</v>
      </c>
      <c r="C49" s="26" t="s">
        <v>27</v>
      </c>
      <c r="D49" s="26">
        <v>15.0</v>
      </c>
      <c r="E49" s="26">
        <v>0.0</v>
      </c>
      <c r="F49" s="26">
        <v>0.0</v>
      </c>
      <c r="G49" s="26">
        <v>0.0</v>
      </c>
      <c r="H49" s="28">
        <v>0.0</v>
      </c>
    </row>
    <row r="50">
      <c r="A50" s="26" t="s">
        <v>152</v>
      </c>
      <c r="B50" s="26" t="s">
        <v>153</v>
      </c>
      <c r="C50" s="26" t="s">
        <v>21</v>
      </c>
      <c r="D50" s="26">
        <v>13.0</v>
      </c>
      <c r="E50" s="26">
        <v>0.0</v>
      </c>
      <c r="F50" s="26">
        <v>0.0</v>
      </c>
      <c r="G50" s="26">
        <v>0.0</v>
      </c>
      <c r="H50" s="28">
        <v>0.0</v>
      </c>
    </row>
    <row r="51">
      <c r="A51" s="26" t="s">
        <v>155</v>
      </c>
      <c r="B51" s="26" t="s">
        <v>157</v>
      </c>
      <c r="C51" s="26" t="s">
        <v>24</v>
      </c>
      <c r="D51" s="26">
        <v>13.0</v>
      </c>
      <c r="E51" s="26">
        <v>0.0</v>
      </c>
      <c r="F51" s="26">
        <v>0.0</v>
      </c>
      <c r="G51" s="26">
        <v>0.0</v>
      </c>
      <c r="H51" s="28">
        <v>0.0</v>
      </c>
    </row>
    <row r="52">
      <c r="A52" s="26" t="s">
        <v>113</v>
      </c>
      <c r="B52" s="26" t="s">
        <v>114</v>
      </c>
      <c r="C52" s="26" t="s">
        <v>15</v>
      </c>
      <c r="D52" s="26">
        <v>12.0</v>
      </c>
      <c r="E52" s="26">
        <v>0.0</v>
      </c>
      <c r="F52" s="26">
        <v>1.0</v>
      </c>
      <c r="G52" s="26">
        <v>0.0</v>
      </c>
      <c r="H52" s="28">
        <v>0.0</v>
      </c>
    </row>
    <row r="53">
      <c r="A53" s="26" t="s">
        <v>154</v>
      </c>
      <c r="B53" s="26" t="s">
        <v>156</v>
      </c>
      <c r="C53" s="26" t="s">
        <v>29</v>
      </c>
      <c r="D53" s="26">
        <v>12.0</v>
      </c>
      <c r="E53" s="26">
        <v>0.0</v>
      </c>
      <c r="F53" s="26">
        <v>0.0</v>
      </c>
      <c r="G53" s="26">
        <v>0.0</v>
      </c>
      <c r="H53" s="28">
        <v>0.0</v>
      </c>
    </row>
    <row r="54">
      <c r="A54" s="26" t="s">
        <v>142</v>
      </c>
      <c r="B54" s="26" t="s">
        <v>144</v>
      </c>
      <c r="C54" s="26" t="s">
        <v>23</v>
      </c>
      <c r="D54" s="26">
        <v>12.0</v>
      </c>
      <c r="E54" s="26">
        <v>0.0</v>
      </c>
      <c r="F54" s="26">
        <v>1.0</v>
      </c>
      <c r="G54" s="26">
        <v>0.0</v>
      </c>
      <c r="H54" s="28">
        <v>0.0</v>
      </c>
    </row>
    <row r="55">
      <c r="A55" s="26" t="s">
        <v>115</v>
      </c>
      <c r="B55" s="26" t="s">
        <v>116</v>
      </c>
      <c r="C55" s="26" t="s">
        <v>20</v>
      </c>
      <c r="D55" s="26">
        <v>12.0</v>
      </c>
      <c r="E55" s="26">
        <v>0.0</v>
      </c>
      <c r="F55" s="26">
        <v>0.0</v>
      </c>
      <c r="G55" s="26">
        <v>0.0</v>
      </c>
      <c r="H55" s="28">
        <v>0.0</v>
      </c>
    </row>
    <row r="56">
      <c r="A56" s="26" t="s">
        <v>93</v>
      </c>
      <c r="B56" s="26" t="s">
        <v>94</v>
      </c>
      <c r="C56" s="26" t="s">
        <v>30</v>
      </c>
      <c r="D56" s="26">
        <v>12.0</v>
      </c>
      <c r="E56" s="26">
        <v>0.0</v>
      </c>
      <c r="F56" s="26">
        <v>1.0</v>
      </c>
      <c r="G56" s="26">
        <v>0.0</v>
      </c>
      <c r="H56" s="28">
        <v>0.0</v>
      </c>
    </row>
    <row r="57">
      <c r="A57" s="26" t="s">
        <v>162</v>
      </c>
      <c r="B57" s="26" t="s">
        <v>163</v>
      </c>
      <c r="C57" s="26" t="s">
        <v>16</v>
      </c>
      <c r="D57" s="26">
        <v>12.0</v>
      </c>
      <c r="E57" s="26">
        <v>0.0</v>
      </c>
      <c r="F57" s="26">
        <v>0.0</v>
      </c>
      <c r="G57" s="26">
        <v>0.0</v>
      </c>
      <c r="H57" s="28">
        <v>0.0</v>
      </c>
    </row>
    <row r="58">
      <c r="A58" s="26" t="s">
        <v>164</v>
      </c>
      <c r="B58" s="26" t="s">
        <v>165</v>
      </c>
      <c r="C58" s="26" t="s">
        <v>16</v>
      </c>
      <c r="D58" s="26">
        <v>12.0</v>
      </c>
      <c r="E58" s="26">
        <v>0.0</v>
      </c>
      <c r="F58" s="26">
        <v>0.0</v>
      </c>
      <c r="G58" s="26">
        <v>0.0</v>
      </c>
      <c r="H58" s="28">
        <v>0.0</v>
      </c>
    </row>
    <row r="59">
      <c r="A59" s="26" t="s">
        <v>174</v>
      </c>
      <c r="B59" s="26" t="s">
        <v>175</v>
      </c>
      <c r="C59" s="26" t="s">
        <v>22</v>
      </c>
      <c r="D59" s="26">
        <v>12.0</v>
      </c>
      <c r="E59" s="26">
        <v>0.0</v>
      </c>
      <c r="F59" s="26">
        <v>0.0</v>
      </c>
      <c r="G59" s="26">
        <v>0.0</v>
      </c>
      <c r="H59" s="28">
        <v>0.0</v>
      </c>
    </row>
    <row r="60">
      <c r="A60" s="26" t="s">
        <v>69</v>
      </c>
      <c r="B60" s="26" t="s">
        <v>71</v>
      </c>
      <c r="C60" s="26" t="s">
        <v>28</v>
      </c>
      <c r="D60" s="26">
        <v>12.0</v>
      </c>
      <c r="E60" s="26">
        <v>0.0</v>
      </c>
      <c r="F60" s="26">
        <v>0.0</v>
      </c>
      <c r="G60" s="26">
        <v>0.0</v>
      </c>
      <c r="H60" s="28">
        <v>0.0</v>
      </c>
    </row>
    <row r="61">
      <c r="A61" s="26" t="s">
        <v>167</v>
      </c>
      <c r="B61" s="26" t="s">
        <v>168</v>
      </c>
      <c r="C61" s="26" t="s">
        <v>31</v>
      </c>
      <c r="D61" s="26">
        <v>12.0</v>
      </c>
      <c r="E61" s="26">
        <v>0.0</v>
      </c>
      <c r="F61" s="26">
        <v>0.0</v>
      </c>
      <c r="G61" s="26">
        <v>0.0</v>
      </c>
      <c r="H61" s="28">
        <v>0.0</v>
      </c>
    </row>
    <row r="62">
      <c r="A62" s="26" t="s">
        <v>169</v>
      </c>
      <c r="B62" s="26" t="s">
        <v>170</v>
      </c>
      <c r="C62" s="26" t="s">
        <v>15</v>
      </c>
      <c r="D62" s="26">
        <v>10.0</v>
      </c>
      <c r="E62" s="26">
        <v>0.0</v>
      </c>
      <c r="F62" s="26">
        <v>0.0</v>
      </c>
      <c r="G62" s="26">
        <v>0.0</v>
      </c>
      <c r="H62" s="28">
        <v>0.0</v>
      </c>
    </row>
    <row r="63">
      <c r="A63" s="26" t="s">
        <v>90</v>
      </c>
      <c r="B63" s="26" t="s">
        <v>91</v>
      </c>
      <c r="C63" s="26" t="s">
        <v>25</v>
      </c>
      <c r="D63" s="26">
        <v>10.0</v>
      </c>
      <c r="E63" s="26">
        <v>0.0</v>
      </c>
      <c r="F63" s="26">
        <v>0.0</v>
      </c>
      <c r="G63" s="26">
        <v>0.0</v>
      </c>
      <c r="H63" s="28">
        <v>0.0</v>
      </c>
    </row>
    <row r="64">
      <c r="A64" s="26" t="s">
        <v>136</v>
      </c>
      <c r="B64" s="26" t="s">
        <v>137</v>
      </c>
      <c r="C64" s="26" t="s">
        <v>24</v>
      </c>
      <c r="D64" s="26">
        <v>10.0</v>
      </c>
      <c r="E64" s="26">
        <v>0.0</v>
      </c>
      <c r="F64" s="26">
        <v>1.0</v>
      </c>
      <c r="G64" s="26">
        <v>0.0</v>
      </c>
      <c r="H64" s="28">
        <v>0.0</v>
      </c>
    </row>
    <row r="65">
      <c r="A65" s="26" t="s">
        <v>82</v>
      </c>
      <c r="B65" s="26" t="s">
        <v>110</v>
      </c>
      <c r="C65" s="26" t="s">
        <v>5</v>
      </c>
      <c r="D65" s="26">
        <v>9.0</v>
      </c>
      <c r="E65" s="26">
        <v>0.0</v>
      </c>
      <c r="F65" s="26">
        <v>0.0</v>
      </c>
      <c r="G65" s="26">
        <v>0.0</v>
      </c>
      <c r="H65" s="28">
        <v>0.0</v>
      </c>
    </row>
    <row r="66">
      <c r="A66" s="26" t="s">
        <v>146</v>
      </c>
      <c r="B66" s="26" t="s">
        <v>147</v>
      </c>
      <c r="C66" s="26" t="s">
        <v>5</v>
      </c>
      <c r="D66" s="26">
        <v>9.0</v>
      </c>
      <c r="E66" s="26">
        <v>0.0</v>
      </c>
      <c r="F66" s="26">
        <v>0.0</v>
      </c>
      <c r="G66" s="26">
        <v>0.0</v>
      </c>
      <c r="H66" s="28">
        <v>0.0</v>
      </c>
    </row>
    <row r="67">
      <c r="A67" s="26" t="s">
        <v>148</v>
      </c>
      <c r="B67" s="26" t="s">
        <v>149</v>
      </c>
      <c r="C67" s="26" t="s">
        <v>30</v>
      </c>
      <c r="D67" s="26">
        <v>9.0</v>
      </c>
      <c r="E67" s="26">
        <v>0.0</v>
      </c>
      <c r="F67" s="26">
        <v>0.0</v>
      </c>
      <c r="G67" s="26">
        <v>0.0</v>
      </c>
      <c r="H67" s="28">
        <v>0.0</v>
      </c>
    </row>
    <row r="68">
      <c r="A68" s="26" t="s">
        <v>176</v>
      </c>
      <c r="B68" s="26" t="s">
        <v>177</v>
      </c>
      <c r="C68" s="26" t="s">
        <v>28</v>
      </c>
      <c r="D68" s="26">
        <v>9.0</v>
      </c>
      <c r="E68" s="26">
        <v>0.0</v>
      </c>
      <c r="F68" s="26">
        <v>0.0</v>
      </c>
      <c r="G68" s="26">
        <v>0.0</v>
      </c>
      <c r="H68" s="28">
        <v>0.0</v>
      </c>
    </row>
    <row r="69">
      <c r="A69" s="26" t="s">
        <v>78</v>
      </c>
      <c r="B69" s="26" t="s">
        <v>178</v>
      </c>
      <c r="C69" s="26" t="s">
        <v>18</v>
      </c>
      <c r="D69" s="26">
        <v>9.0</v>
      </c>
      <c r="E69" s="26">
        <v>0.0</v>
      </c>
      <c r="F69" s="26">
        <v>0.0</v>
      </c>
      <c r="G69" s="26">
        <v>0.0</v>
      </c>
      <c r="H69" s="28">
        <v>0.0</v>
      </c>
    </row>
    <row r="70">
      <c r="A70" s="26" t="s">
        <v>179</v>
      </c>
      <c r="B70" s="26" t="s">
        <v>180</v>
      </c>
      <c r="C70" s="26" t="s">
        <v>25</v>
      </c>
      <c r="D70" s="26">
        <v>9.0</v>
      </c>
      <c r="E70" s="26">
        <v>0.0</v>
      </c>
      <c r="F70" s="26">
        <v>0.0</v>
      </c>
      <c r="G70" s="26">
        <v>0.0</v>
      </c>
      <c r="H70" s="28">
        <v>0.0</v>
      </c>
    </row>
    <row r="71">
      <c r="A71" s="26" t="s">
        <v>61</v>
      </c>
      <c r="B71" s="26" t="s">
        <v>62</v>
      </c>
      <c r="C71" s="26" t="s">
        <v>19</v>
      </c>
      <c r="D71" s="26">
        <v>9.0</v>
      </c>
      <c r="E71" s="26">
        <v>0.0</v>
      </c>
      <c r="F71" s="26">
        <v>0.0</v>
      </c>
      <c r="G71" s="26">
        <v>0.0</v>
      </c>
      <c r="H71" s="28">
        <v>0.0</v>
      </c>
    </row>
    <row r="72">
      <c r="A72" s="26" t="s">
        <v>119</v>
      </c>
      <c r="B72" s="26" t="s">
        <v>120</v>
      </c>
      <c r="C72" s="26" t="s">
        <v>14</v>
      </c>
      <c r="D72" s="26">
        <v>7.0</v>
      </c>
      <c r="E72" s="26">
        <v>0.0</v>
      </c>
      <c r="F72" s="26">
        <v>0.0</v>
      </c>
      <c r="G72" s="26">
        <v>0.0</v>
      </c>
      <c r="H72" s="28">
        <v>0.0</v>
      </c>
    </row>
    <row r="73">
      <c r="A73" s="26" t="s">
        <v>181</v>
      </c>
      <c r="B73" s="26" t="s">
        <v>182</v>
      </c>
      <c r="C73" s="26" t="s">
        <v>26</v>
      </c>
      <c r="D73" s="26">
        <v>6.0</v>
      </c>
      <c r="E73" s="26">
        <v>0.0</v>
      </c>
      <c r="F73" s="26">
        <v>1.0</v>
      </c>
      <c r="G73" s="26">
        <v>0.0</v>
      </c>
      <c r="H73" s="28">
        <v>0.0</v>
      </c>
    </row>
    <row r="74">
      <c r="A74" s="26" t="s">
        <v>150</v>
      </c>
      <c r="B74" s="26" t="s">
        <v>151</v>
      </c>
      <c r="C74" s="26" t="s">
        <v>23</v>
      </c>
      <c r="D74" s="26">
        <v>6.0</v>
      </c>
      <c r="E74" s="26">
        <v>0.0</v>
      </c>
      <c r="F74" s="26">
        <v>0.0</v>
      </c>
      <c r="G74" s="26">
        <v>0.0</v>
      </c>
      <c r="H74" s="28">
        <v>0.0</v>
      </c>
    </row>
    <row r="75">
      <c r="A75" s="26" t="s">
        <v>183</v>
      </c>
      <c r="B75" s="26" t="s">
        <v>184</v>
      </c>
      <c r="C75" s="26" t="s">
        <v>20</v>
      </c>
      <c r="D75" s="26">
        <v>6.0</v>
      </c>
      <c r="E75" s="26">
        <v>0.0</v>
      </c>
      <c r="F75" s="26">
        <v>0.0</v>
      </c>
      <c r="G75" s="26">
        <v>0.0</v>
      </c>
      <c r="H75" s="28">
        <v>0.0</v>
      </c>
    </row>
    <row r="76">
      <c r="A76" s="26" t="s">
        <v>13</v>
      </c>
      <c r="B76" s="26" t="s">
        <v>185</v>
      </c>
      <c r="C76" s="26" t="s">
        <v>5</v>
      </c>
      <c r="D76" s="26">
        <v>6.0</v>
      </c>
      <c r="E76" s="26">
        <v>0.0</v>
      </c>
      <c r="F76" s="26">
        <v>0.0</v>
      </c>
      <c r="G76" s="26">
        <v>0.0</v>
      </c>
      <c r="H76" s="28">
        <v>0.0</v>
      </c>
    </row>
    <row r="77">
      <c r="A77" s="26" t="s">
        <v>171</v>
      </c>
      <c r="B77" s="26" t="s">
        <v>172</v>
      </c>
      <c r="C77" s="26" t="s">
        <v>16</v>
      </c>
      <c r="D77" s="26">
        <v>6.0</v>
      </c>
      <c r="E77" s="26">
        <v>0.0</v>
      </c>
      <c r="F77" s="26">
        <v>0.0</v>
      </c>
      <c r="G77" s="26">
        <v>0.0</v>
      </c>
      <c r="H77" s="28">
        <v>0.0</v>
      </c>
    </row>
    <row r="78">
      <c r="A78" s="26" t="s">
        <v>100</v>
      </c>
      <c r="B78" s="26" t="s">
        <v>100</v>
      </c>
      <c r="C78" s="26" t="s">
        <v>31</v>
      </c>
      <c r="D78" s="26">
        <v>6.0</v>
      </c>
      <c r="E78" s="26">
        <v>0.0</v>
      </c>
      <c r="F78" s="26">
        <v>0.0</v>
      </c>
      <c r="G78" s="26">
        <v>0.0</v>
      </c>
      <c r="H78" s="28">
        <v>0.0</v>
      </c>
    </row>
    <row r="79">
      <c r="A79" s="26" t="s">
        <v>78</v>
      </c>
      <c r="B79" s="26" t="s">
        <v>166</v>
      </c>
      <c r="C79" s="26" t="s">
        <v>5</v>
      </c>
      <c r="D79" s="26">
        <v>5.0</v>
      </c>
      <c r="E79" s="26">
        <v>0.0</v>
      </c>
      <c r="F79" s="26">
        <v>1.0</v>
      </c>
      <c r="G79" s="26">
        <v>0.0</v>
      </c>
      <c r="H79" s="28">
        <v>0.0</v>
      </c>
    </row>
    <row r="80">
      <c r="A80" s="26" t="s">
        <v>186</v>
      </c>
      <c r="B80" s="26" t="s">
        <v>187</v>
      </c>
      <c r="C80" s="26" t="s">
        <v>27</v>
      </c>
      <c r="D80" s="26">
        <v>5.0</v>
      </c>
      <c r="E80" s="26">
        <v>0.0</v>
      </c>
      <c r="F80" s="26">
        <v>0.0</v>
      </c>
      <c r="G80" s="26">
        <v>0.0</v>
      </c>
      <c r="H80" s="28">
        <v>0.0</v>
      </c>
    </row>
    <row r="81">
      <c r="A81" s="26" t="s">
        <v>188</v>
      </c>
      <c r="B81" s="26" t="s">
        <v>189</v>
      </c>
      <c r="C81" s="26" t="s">
        <v>29</v>
      </c>
      <c r="D81" s="26">
        <v>3.0</v>
      </c>
      <c r="E81" s="26">
        <v>0.0</v>
      </c>
      <c r="F81" s="26">
        <v>0.0</v>
      </c>
      <c r="G81" s="26">
        <v>0.0</v>
      </c>
      <c r="H81" s="28">
        <v>0.0</v>
      </c>
    </row>
    <row r="82">
      <c r="A82" s="26" t="s">
        <v>190</v>
      </c>
      <c r="B82" s="26" t="s">
        <v>191</v>
      </c>
      <c r="C82" s="26" t="s">
        <v>29</v>
      </c>
      <c r="D82" s="26">
        <v>3.0</v>
      </c>
      <c r="E82" s="26">
        <v>0.0</v>
      </c>
      <c r="F82" s="26">
        <v>0.0</v>
      </c>
      <c r="G82" s="26">
        <v>0.0</v>
      </c>
      <c r="H82" s="28">
        <v>0.0</v>
      </c>
    </row>
    <row r="83">
      <c r="A83" s="26" t="s">
        <v>192</v>
      </c>
      <c r="B83" s="26" t="s">
        <v>193</v>
      </c>
      <c r="C83" s="26" t="s">
        <v>26</v>
      </c>
      <c r="D83" s="26">
        <v>3.0</v>
      </c>
      <c r="E83" s="26">
        <v>0.0</v>
      </c>
      <c r="F83" s="26">
        <v>0.0</v>
      </c>
      <c r="G83" s="26">
        <v>0.0</v>
      </c>
      <c r="H83" s="28">
        <v>0.0</v>
      </c>
    </row>
    <row r="84">
      <c r="A84" s="26" t="s">
        <v>194</v>
      </c>
      <c r="B84" s="26" t="s">
        <v>195</v>
      </c>
      <c r="C84" s="26" t="s">
        <v>17</v>
      </c>
      <c r="D84" s="26">
        <v>0.0</v>
      </c>
      <c r="E84" s="26">
        <v>0.0</v>
      </c>
      <c r="F84" s="26">
        <v>0.0</v>
      </c>
      <c r="G84" s="26">
        <v>0.0</v>
      </c>
      <c r="H84" s="28">
        <v>0.0</v>
      </c>
    </row>
    <row r="85">
      <c r="A85" s="26" t="s">
        <v>196</v>
      </c>
      <c r="B85" s="26" t="s">
        <v>197</v>
      </c>
      <c r="C85" s="26" t="s">
        <v>17</v>
      </c>
      <c r="D85" s="26">
        <v>0.0</v>
      </c>
      <c r="E85" s="26">
        <v>0.0</v>
      </c>
      <c r="F85" s="26">
        <v>0.0</v>
      </c>
      <c r="G85" s="26">
        <v>0.0</v>
      </c>
      <c r="H85" s="28">
        <v>0.0</v>
      </c>
    </row>
    <row r="86">
      <c r="A86" s="26" t="s">
        <v>198</v>
      </c>
      <c r="B86" s="26"/>
      <c r="C86" s="26" t="s">
        <v>5</v>
      </c>
      <c r="D86" s="26">
        <v>0.0</v>
      </c>
      <c r="E86" s="26">
        <v>0.0</v>
      </c>
      <c r="F86" s="26">
        <v>0.0</v>
      </c>
      <c r="G86" s="26">
        <v>0.0</v>
      </c>
      <c r="H86" s="28">
        <v>0.0</v>
      </c>
    </row>
    <row r="87">
      <c r="A87" s="26" t="s">
        <v>33</v>
      </c>
      <c r="B87" s="26" t="s">
        <v>199</v>
      </c>
      <c r="C87" s="26" t="s">
        <v>5</v>
      </c>
      <c r="D87" s="26">
        <v>0.0</v>
      </c>
      <c r="E87" s="26">
        <v>0.0</v>
      </c>
      <c r="F87" s="26">
        <v>0.0</v>
      </c>
      <c r="G87" s="26">
        <v>0.0</v>
      </c>
      <c r="H87" s="28">
        <v>0.0</v>
      </c>
    </row>
    <row r="88">
      <c r="A88" s="26" t="s">
        <v>200</v>
      </c>
      <c r="B88" s="26" t="s">
        <v>201</v>
      </c>
      <c r="C88" s="26" t="s">
        <v>5</v>
      </c>
      <c r="D88" s="26">
        <v>0.0</v>
      </c>
      <c r="E88" s="26">
        <v>0.0</v>
      </c>
      <c r="F88" s="26">
        <v>0.0</v>
      </c>
      <c r="G88" s="26">
        <v>0.0</v>
      </c>
      <c r="H88" s="28">
        <v>0.0</v>
      </c>
    </row>
    <row r="89">
      <c r="A89" s="26" t="s">
        <v>202</v>
      </c>
      <c r="B89" s="26" t="s">
        <v>203</v>
      </c>
      <c r="C89" s="26" t="s">
        <v>30</v>
      </c>
      <c r="D89" s="26">
        <v>0.0</v>
      </c>
      <c r="E89" s="26">
        <v>0.0</v>
      </c>
      <c r="F89" s="26">
        <v>0.0</v>
      </c>
      <c r="G89" s="26">
        <v>0.0</v>
      </c>
      <c r="H89" s="28">
        <v>0.0</v>
      </c>
    </row>
    <row r="90">
      <c r="A90" s="26" t="s">
        <v>204</v>
      </c>
      <c r="B90" s="26"/>
      <c r="C90" s="26" t="s">
        <v>18</v>
      </c>
      <c r="D90" s="26">
        <v>0.0</v>
      </c>
      <c r="E90" s="26">
        <v>0.0</v>
      </c>
      <c r="F90" s="26">
        <v>0.0</v>
      </c>
      <c r="G90" s="26">
        <v>0.0</v>
      </c>
      <c r="H90" s="28">
        <v>0.0</v>
      </c>
    </row>
    <row r="91">
      <c r="A91" s="26" t="s">
        <v>205</v>
      </c>
      <c r="B91" s="26" t="s">
        <v>205</v>
      </c>
      <c r="C91" s="26" t="s">
        <v>31</v>
      </c>
      <c r="D91" s="26">
        <v>0.0</v>
      </c>
      <c r="E91" s="26">
        <v>0.0</v>
      </c>
      <c r="F91" s="26">
        <v>0.0</v>
      </c>
      <c r="G91" s="26">
        <v>0.0</v>
      </c>
      <c r="H91" s="28">
        <v>0.0</v>
      </c>
    </row>
    <row r="92">
      <c r="A92" s="26" t="s">
        <v>206</v>
      </c>
      <c r="B92" s="26" t="s">
        <v>207</v>
      </c>
      <c r="C92" s="26" t="s">
        <v>31</v>
      </c>
      <c r="D92" s="26">
        <v>0.0</v>
      </c>
      <c r="E92" s="26">
        <v>0.0</v>
      </c>
      <c r="F92" s="26">
        <v>0.0</v>
      </c>
      <c r="G92" s="26">
        <v>0.0</v>
      </c>
      <c r="H92" s="28">
        <v>0.0</v>
      </c>
    </row>
    <row r="93">
      <c r="A93" s="26" t="s">
        <v>160</v>
      </c>
      <c r="B93" s="26" t="s">
        <v>161</v>
      </c>
      <c r="C93" s="26" t="s">
        <v>30</v>
      </c>
      <c r="D93" s="26">
        <v>9.0</v>
      </c>
      <c r="E93" s="26">
        <v>0.0</v>
      </c>
      <c r="F93" s="26">
        <v>0.0</v>
      </c>
      <c r="G93" s="26">
        <v>1.0</v>
      </c>
      <c r="H93" s="28">
        <v>-1.33</v>
      </c>
    </row>
    <row r="94">
      <c r="A94" s="26" t="s">
        <v>111</v>
      </c>
      <c r="B94" s="26" t="s">
        <v>112</v>
      </c>
      <c r="C94" s="26" t="s">
        <v>28</v>
      </c>
      <c r="D94" s="26">
        <v>9.0</v>
      </c>
      <c r="E94" s="26">
        <v>0.0</v>
      </c>
      <c r="F94" s="26">
        <v>0.0</v>
      </c>
      <c r="G94" s="26">
        <v>1.0</v>
      </c>
      <c r="H94" s="28">
        <v>-1.33</v>
      </c>
    </row>
    <row r="95">
      <c r="A95" s="26"/>
      <c r="B95" s="26"/>
      <c r="C95" s="26"/>
      <c r="D95" s="26"/>
      <c r="E95" s="26"/>
      <c r="F95" s="26"/>
      <c r="G95" s="26"/>
      <c r="H95" s="28"/>
    </row>
    <row r="96">
      <c r="A96" s="26"/>
      <c r="B96" s="26"/>
      <c r="C96" s="26"/>
      <c r="D96" s="26"/>
      <c r="E96" s="26"/>
      <c r="F96" s="26"/>
      <c r="G96" s="26"/>
      <c r="H96" s="28"/>
    </row>
    <row r="97">
      <c r="A97" s="26"/>
      <c r="B97" s="26"/>
      <c r="C97" s="26"/>
      <c r="D97" s="26"/>
      <c r="E97" s="26"/>
      <c r="F97" s="26"/>
      <c r="G97" s="26"/>
      <c r="H97" s="28"/>
    </row>
    <row r="98">
      <c r="A98" s="26"/>
      <c r="B98" s="26"/>
      <c r="C98" s="26"/>
      <c r="D98" s="26"/>
      <c r="E98" s="26"/>
      <c r="F98" s="26"/>
      <c r="G98" s="26"/>
      <c r="H98" s="28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  <row r="1001">
      <c r="H1001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1">
      <c r="A1" s="4"/>
      <c r="B1" s="4"/>
      <c r="C1" s="4"/>
      <c r="D1" s="4"/>
      <c r="E1" s="4"/>
      <c r="F1" s="4"/>
      <c r="G1" s="4"/>
      <c r="H1" s="4"/>
    </row>
    <row r="2">
      <c r="A2" s="15" t="s">
        <v>1</v>
      </c>
      <c r="B2" s="15" t="s">
        <v>6</v>
      </c>
      <c r="C2" s="15" t="s">
        <v>7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</row>
    <row r="3">
      <c r="A3" s="38" t="s">
        <v>13</v>
      </c>
      <c r="B3" s="38" t="str">
        <f>VLOOKUP(CONCAT(A3, C3), 'Discord Username to Real Name'!C:D, 2, FALSE)</f>
        <v>DanielRocks(UrMom)#5639</v>
      </c>
      <c r="C3" s="38" t="s">
        <v>5</v>
      </c>
      <c r="D3" s="9">
        <f>IFERROR(__xludf.DUMMYFUNCTION("(4 - COUNTIF(IFERROR(ARRAYFORMULA(HLOOKUP($B3, IMPORTRANGE('Prelim Rankings Unsorted'!$B$40, CONCAT(VLOOKUP($C3, 'Match Names'!$A$1:$D$22, 2, FALSE), ""!C3:R29"")), {3;8;14;20}, FALSE)), 'Player Overall Stats Unsorted'!$AA$9:$AA$12), ""=X"")) + (4 - COUNT"&amp;"IF(IFERROR(ARRAYFORMULA(HLOOKUP($B3, IMPORTRANGE('Prelim Rankings Unsorted'!$B$41, CONCAT(VLOOKUP($C3, 'Match Names'!$A$1:$D$22, 3, FALSE), ""!C3:R29"")), {4;10;16;22}, FALSE)), 'Player Overall Stats Unsorted'!$AA$9:$AA$12), ""=X"")) + (4 - COUNTIF(IFERRO"&amp;"R(ARRAYFORMULA(HLOOKUP($B3, IMPORTRANGE('Prelim Rankings Unsorted'!$B$42, CONCAT(VLOOKUP($C3, 'Match Names'!$A$1:$D$22, 4, FALSE), ""!C3:R29"")), {2;8;14;20}, FALSE)), 'Player Overall Stats Unsorted'!$AA$9:$AA$12), ""=X"")) + (4 - COUNTIF(IFERROR(ARRAYFOR"&amp;"MULA(HLOOKUP($B3, IMPORTRANGE('Match Names'!$E$23, CONCAT(VLOOKUP($C3, 'Match Names'!$1:$22, 5, FALSE), ""!C3:R29"")), {3;7;18;23}, FALSE)), 'Player Overall Stats Unsorted'!$AA$9:$AA$12), ""=X"")) + (4 - COUNTIF(IFERROR(ARRAYFORMULA(HLOOKUP($B3, IMPORTRAN"&amp;"GE('Match Names'!$F$23, CONCAT(VLOOKUP($C3, 'Match Names'!$1:$22, 6, FALSE), ""!C3:R29"")), {6;12;18;24}, FALSE)), 'Player Overall Stats Unsorted'!$AA$9:$AA$12), ""=X"")) + (4 - COUNTIF(IFERROR(ARRAYFORMULA(HLOOKUP($B3, IMPORTRANGE('Match Names'!$G$23, CO"&amp;"NCAT(VLOOKUP($C3, 'Match Names'!$1:$22, 7, FALSE), ""!C3:R29"")), {2;7;17;21}, FALSE)), 'Player Overall Stats Unsorted'!$AA$9:$AA$12), ""=X"")) + (4 - COUNTIF(IFERROR(ARRAYFORMULA(HLOOKUP($B3, IMPORTRANGE('Match Names'!$H$23, CONCAT(VLOOKUP($C3, 'Match Na"&amp;"mes'!$1:$22, 8, FALSE), ""!C3:R29"")), {4;10;16;22}, FALSE)), 'Player Overall Stats Unsorted'!$AA$9:$AA$12), ""=X""))"),8.0)</f>
        <v>8</v>
      </c>
      <c r="E3" s="9">
        <f>IFERROR(__xludf.DUMMYFUNCTION("COUNTIF(ARRAYFORMULA(HLOOKUP($B3, IMPORTRANGE('Prelim Rankings Unsorted'!$B$40, CONCAT(VLOOKUP($C3, 'Match Names'!$A$1:$D$22, 2, FALSE), ""!C3:R29"")), {3;8;14;20}, FALSE)), ""=4"") + COUNTIF(ARRAYFORMULA(HLOOKUP($B3, IMPORTRANGE('Prelim Rankings Unsorted"&amp;"'!$B$41, CONCAT(VLOOKUP($C3, 'Match Names'!$A$1:$D$22, 3, FALSE), ""!C3:R29"")), {4;10;16;22}, FALSE)), ""=4"") + COUNTIF(ARRAYFORMULA(HLOOKUP($B3, IMPORTRANGE('Prelim Rankings Unsorted'!$B$42, CONCAT(VLOOKUP($C3, 'Match Names'!$A$1:$D$22, 4, FALSE), ""!C"&amp;"3:R29"")), {2;8;14;20}, FALSE)), ""=4"") + COUNTIF(ARRAYFORMULA(HLOOKUP($B3, IMPORTRANGE('Match Names'!$E$23, CONCAT(VLOOKUP($C3, 'Match Names'!$1:$22, 5, FALSE), ""!C3:R29"")), {3;7;18;23}, FALSE)), ""=4"") + COUNTIF(ARRAYFORMULA(HLOOKUP($B3, IMPORTRANGE"&amp;"('Match Names'!$F$23, CONCAT(VLOOKUP($C3, 'Match Names'!$1:$22, 6, FALSE), ""!C3:R29"")), {6;12;18;24}, FALSE)), ""=4"") + COUNTIF(ARRAYFORMULA(HLOOKUP($B3, IMPORTRANGE('Match Names'!$G$23, CONCAT(VLOOKUP($C3, 'Match Names'!$1:$22, 7, FALSE), ""!C3:R29"")"&amp;"), {2;7;17;21}, FALSE)), ""=4"") + COUNTIF(ARRAYFORMULA(HLOOKUP($B3, IMPORTRANGE('Match Names'!$H$23, CONCAT(VLOOKUP($C3, 'Match Names'!$1:$22, 8, FALSE), ""!C3:R29"")), {4;10;16;22}, FALSE)), ""=4"")"),0.0)</f>
        <v>0</v>
      </c>
      <c r="F3" s="9">
        <f>IFERROR(__xludf.DUMMYFUNCTION("COUNTIF(ARRAYFORMULA(HLOOKUP($B3, IMPORTRANGE('Prelim Rankings Unsorted'!$B$40, CONCAT(VLOOKUP($C3, 'Match Names'!$A$1:$D$22, 2, FALSE), ""!C3:R29"")), {3;8;14;20}, FALSE)), ""=0"") + COUNTIF(ARRAYFORMULA(HLOOKUP($B3, IMPORTRANGE('Prelim Rankings Unsorted"&amp;"'!$B$41, CONCAT(VLOOKUP($C3, 'Match Names'!$A$1:$D$22, 3, FALSE), ""!C3:R29"")), {4;10;16;22}, FALSE)), ""=0"") + COUNTIF(ARRAYFORMULA(HLOOKUP($B3, IMPORTRANGE('Prelim Rankings Unsorted'!$B$42, CONCAT(VLOOKUP($C3, 'Match Names'!$A$1:$D$22, 4, FALSE), ""!C"&amp;"3:R29"")), {2;8;14;20}, FALSE)), ""=0"") + COUNTIF(ARRAYFORMULA(HLOOKUP($B3, IMPORTRANGE('Match Names'!$E$23, CONCAT(VLOOKUP($C3, 'Match Names'!$1:$22, 5, FALSE), ""!C3:R29"")), {3;7;18;23}, FALSE)), ""=0"") + COUNTIF(ARRAYFORMULA(HLOOKUP($B3, IMPORTRANGE"&amp;"('Match Names'!$F$23, CONCAT(VLOOKUP($C3, 'Match Names'!$1:$22, 6, FALSE), ""!C3:R29"")), {6;12;18;24}, FALSE)), ""=0"") + COUNTIF(ARRAYFORMULA(HLOOKUP($B3, IMPORTRANGE('Match Names'!$G$23, CONCAT(VLOOKUP($C3, 'Match Names'!$1:$22, 7, FALSE), ""!C3:R29"")"&amp;"), {2;7;17;21}, FALSE)), ""=0"") + COUNTIF(ARRAYFORMULA(HLOOKUP($B3, IMPORTRANGE('Match Names'!$H$23, CONCAT(VLOOKUP($C3, 'Match Names'!$1:$22, 8, FALSE), ""!C3:R29"")), {4;10;16;22}, FALSE)), ""=0"")"),0.0)</f>
        <v>0</v>
      </c>
      <c r="G3" s="9">
        <f>IFERROR(__xludf.DUMMYFUNCTION("COUNTIF(ARRAYFORMULA(HLOOKUP($B3, IMPORTRANGE('Prelim Rankings Unsorted'!$B$40, CONCAT(VLOOKUP($C3, 'Match Names'!$A$1:$D$22, 2, FALSE), ""!C3:R29"")), {3;8;14;20}, FALSE)), ""=-4"") + COUNTIF(ARRAYFORMULA(HLOOKUP($B3, IMPORTRANGE('Prelim Rankings Unsorte"&amp;"d'!$B$41, CONCAT(VLOOKUP($C3, 'Match Names'!$A$1:$D$22, 3, FALSE), ""!C3:R29"")), {4;10;16;22}, FALSE)), ""=-4"") + COUNTIF(ARRAYFORMULA(HLOOKUP($B3, IMPORTRANGE('Prelim Rankings Unsorted'!$B$42, CONCAT(VLOOKUP($C3, 'Match Names'!$A$1:$D$22, 4, FALSE), """&amp;"!C3:R29"")), {2;8;14;20}, FALSE)), ""=-4"") + COUNTIF(ARRAYFORMULA(HLOOKUP($B3, IMPORTRANGE('Match Names'!$E$23, CONCAT(VLOOKUP($C3, 'Match Names'!$1:$22, 5, FALSE), ""!C3:R29"")), {3;7;18;23}, FALSE)), ""=-4"") + COUNTIF(ARRAYFORMULA(HLOOKUP($B3, IMPORTR"&amp;"ANGE('Match Names'!$F$23, CONCAT(VLOOKUP($C3, 'Match Names'!$1:$22, 6, FALSE), ""!C3:R29"")), {6;12;18;24}, FALSE)), ""=-4"") + COUNTIF(ARRAYFORMULA(HLOOKUP($B3, IMPORTRANGE('Match Names'!$G$23, CONCAT(VLOOKUP($C3, 'Match Names'!$1:$22, 7, FALSE), ""!C3:R"&amp;"29"")), {2;7;17;21}, FALSE)), ""=-4"") + COUNTIF(ARRAYFORMULA(HLOOKUP($B3, IMPORTRANGE('Match Names'!$H$23, CONCAT(VLOOKUP($C3, 'Match Names'!$1:$22, 8, FALSE), ""!C3:R29"")), {4;10;16;22}, FALSE)), ""=-4"")"),0.0)</f>
        <v>0</v>
      </c>
      <c r="H3" s="39">
        <f t="shared" ref="H3:H95" si="1">IFERROR(ROUND(((E3*4)+(G3*-4))/(D3/4), 2), 0)</f>
        <v>0</v>
      </c>
    </row>
    <row r="4">
      <c r="A4" s="4" t="s">
        <v>33</v>
      </c>
      <c r="B4" s="38" t="str">
        <f>VLOOKUP(CONCAT(A4, C4), 'Discord Username to Real Name'!C:D, 2, FALSE)</f>
        <v>Running Runin#5021</v>
      </c>
      <c r="C4" s="38" t="s">
        <v>5</v>
      </c>
      <c r="D4" s="9">
        <f>IFERROR(__xludf.DUMMYFUNCTION("(4 - COUNTIF(IFERROR(ARRAYFORMULA(HLOOKUP($B4, IMPORTRANGE('Prelim Rankings Unsorted'!$B$40, CONCAT(VLOOKUP($C4, 'Match Names'!$A$1:$D$22, 2, FALSE), ""!C3:R29"")), {3;8;14;20}, FALSE)), 'Player Overall Stats Unsorted'!$AA$9:$AA$12), ""=X"")) + (4 - COUNT"&amp;"IF(IFERROR(ARRAYFORMULA(HLOOKUP($B4, IMPORTRANGE('Prelim Rankings Unsorted'!$B$41, CONCAT(VLOOKUP($C4, 'Match Names'!$A$1:$D$22, 3, FALSE), ""!C3:R29"")), {4;10;16;22}, FALSE)), 'Player Overall Stats Unsorted'!$AA$9:$AA$12), ""=X"")) + (4 - COUNTIF(IFERRO"&amp;"R(ARRAYFORMULA(HLOOKUP($B4, IMPORTRANGE('Prelim Rankings Unsorted'!$B$42, CONCAT(VLOOKUP($C4, 'Match Names'!$A$1:$D$22, 4, FALSE), ""!C3:R29"")), {2;8;14;20}, FALSE)), 'Player Overall Stats Unsorted'!$AA$9:$AA$12), ""=X"")) + (4 - COUNTIF(IFERROR(ARRAYFOR"&amp;"MULA(HLOOKUP($B4, IMPORTRANGE('Match Names'!$E$23, CONCAT(VLOOKUP($C4, 'Match Names'!$1:$22, 5, FALSE), ""!C3:R29"")), {3;7;18;23}, FALSE)), 'Player Overall Stats Unsorted'!$AA$9:$AA$12), ""=X"")) + (4 - COUNTIF(IFERROR(ARRAYFORMULA(HLOOKUP($B4, IMPORTRAN"&amp;"GE('Match Names'!$F$23, CONCAT(VLOOKUP($C4, 'Match Names'!$1:$22, 6, FALSE), ""!C3:R29"")), {6;12;18;24}, FALSE)), 'Player Overall Stats Unsorted'!$AA$9:$AA$12), ""=X"")) + (4 - COUNTIF(IFERROR(ARRAYFORMULA(HLOOKUP($B4, IMPORTRANGE('Match Names'!$G$23, CO"&amp;"NCAT(VLOOKUP($C4, 'Match Names'!$1:$22, 7, FALSE), ""!C3:R29"")), {2;7;17;21}, FALSE)), 'Player Overall Stats Unsorted'!$AA$9:$AA$12), ""=X"")) + (4 - COUNTIF(IFERROR(ARRAYFORMULA(HLOOKUP($B4, IMPORTRANGE('Match Names'!$H$23, CONCAT(VLOOKUP($C4, 'Match Na"&amp;"mes'!$1:$22, 8, FALSE), ""!C3:R29"")), {4;10;16;22}, FALSE)), 'Player Overall Stats Unsorted'!$AA$9:$AA$12), ""=X""))"),0.0)</f>
        <v>0</v>
      </c>
      <c r="E4" s="9">
        <f>IFERROR(__xludf.DUMMYFUNCTION("COUNTIF(ARRAYFORMULA(HLOOKUP($B4, IMPORTRANGE('Prelim Rankings Unsorted'!$B$40, CONCAT(VLOOKUP($C4, 'Match Names'!$A$1:$D$22, 2, FALSE), ""!C3:R29"")), {3;8;14;20}, FALSE)), ""=4"") + COUNTIF(ARRAYFORMULA(HLOOKUP($B4, IMPORTRANGE('Prelim Rankings Unsorted"&amp;"'!$B$41, CONCAT(VLOOKUP($C4, 'Match Names'!$A$1:$D$22, 3, FALSE), ""!C3:R29"")), {4;10;16;22}, FALSE)), ""=4"") + COUNTIF(ARRAYFORMULA(HLOOKUP($B4, IMPORTRANGE('Prelim Rankings Unsorted'!$B$42, CONCAT(VLOOKUP($C4, 'Match Names'!$A$1:$D$22, 4, FALSE), ""!C"&amp;"3:R29"")), {2;8;14;20}, FALSE)), ""=4"") + COUNTIF(ARRAYFORMULA(HLOOKUP($B4, IMPORTRANGE('Match Names'!$E$23, CONCAT(VLOOKUP($C4, 'Match Names'!$1:$22, 5, FALSE), ""!C3:R29"")), {3;7;18;23}, FALSE)), ""=4"") + COUNTIF(ARRAYFORMULA(HLOOKUP($B4, IMPORTRANGE"&amp;"('Match Names'!$F$23, CONCAT(VLOOKUP($C4, 'Match Names'!$1:$22, 6, FALSE), ""!C3:R29"")), {6;12;18;24}, FALSE)), ""=4"") + COUNTIF(ARRAYFORMULA(HLOOKUP($B4, IMPORTRANGE('Match Names'!$G$23, CONCAT(VLOOKUP($C4, 'Match Names'!$1:$22, 7, FALSE), ""!C3:R29"")"&amp;"), {2;7;17;21}, FALSE)), ""=4"") + COUNTIF(ARRAYFORMULA(HLOOKUP($B4, IMPORTRANGE('Match Names'!$H$23, CONCAT(VLOOKUP($C4, 'Match Names'!$1:$22, 8, FALSE), ""!C3:R29"")), {4;10;16;22}, FALSE)), ""=4"")"),0.0)</f>
        <v>0</v>
      </c>
      <c r="F4" s="9">
        <f>IFERROR(__xludf.DUMMYFUNCTION("COUNTIF(ARRAYFORMULA(HLOOKUP($B4, IMPORTRANGE('Prelim Rankings Unsorted'!$B$40, CONCAT(VLOOKUP($C4, 'Match Names'!$A$1:$D$22, 2, FALSE), ""!C3:R29"")), {3;8;14;20}, FALSE)), ""=0"") + COUNTIF(ARRAYFORMULA(HLOOKUP($B4, IMPORTRANGE('Prelim Rankings Unsorted"&amp;"'!$B$41, CONCAT(VLOOKUP($C4, 'Match Names'!$A$1:$D$22, 3, FALSE), ""!C3:R29"")), {4;10;16;22}, FALSE)), ""=0"") + COUNTIF(ARRAYFORMULA(HLOOKUP($B4, IMPORTRANGE('Prelim Rankings Unsorted'!$B$42, CONCAT(VLOOKUP($C4, 'Match Names'!$A$1:$D$22, 4, FALSE), ""!C"&amp;"3:R29"")), {2;8;14;20}, FALSE)), ""=0"") + COUNTIF(ARRAYFORMULA(HLOOKUP($B4, IMPORTRANGE('Match Names'!$E$23, CONCAT(VLOOKUP($C4, 'Match Names'!$1:$22, 5, FALSE), ""!C3:R29"")), {3;7;18;23}, FALSE)), ""=0"") + COUNTIF(ARRAYFORMULA(HLOOKUP($B4, IMPORTRANGE"&amp;"('Match Names'!$F$23, CONCAT(VLOOKUP($C4, 'Match Names'!$1:$22, 6, FALSE), ""!C3:R29"")), {6;12;18;24}, FALSE)), ""=0"") + COUNTIF(ARRAYFORMULA(HLOOKUP($B4, IMPORTRANGE('Match Names'!$G$23, CONCAT(VLOOKUP($C4, 'Match Names'!$1:$22, 7, FALSE), ""!C3:R29"")"&amp;"), {2;7;17;21}, FALSE)), ""=0"") + COUNTIF(ARRAYFORMULA(HLOOKUP($B4, IMPORTRANGE('Match Names'!$H$23, CONCAT(VLOOKUP($C4, 'Match Names'!$1:$22, 8, FALSE), ""!C3:R29"")), {4;10;16;22}, FALSE)), ""=0"")"),0.0)</f>
        <v>0</v>
      </c>
      <c r="G4" s="9">
        <f>IFERROR(__xludf.DUMMYFUNCTION("COUNTIF(ARRAYFORMULA(HLOOKUP($B4, IMPORTRANGE('Prelim Rankings Unsorted'!$B$40, CONCAT(VLOOKUP($C4, 'Match Names'!$A$1:$D$22, 2, FALSE), ""!C3:R29"")), {3;8;14;20}, FALSE)), ""=-4"") + COUNTIF(ARRAYFORMULA(HLOOKUP($B4, IMPORTRANGE('Prelim Rankings Unsorte"&amp;"d'!$B$41, CONCAT(VLOOKUP($C4, 'Match Names'!$A$1:$D$22, 3, FALSE), ""!C3:R29"")), {4;10;16;22}, FALSE)), ""=-4"") + COUNTIF(ARRAYFORMULA(HLOOKUP($B4, IMPORTRANGE('Prelim Rankings Unsorted'!$B$42, CONCAT(VLOOKUP($C4, 'Match Names'!$A$1:$D$22, 4, FALSE), """&amp;"!C3:R29"")), {2;8;14;20}, FALSE)), ""=-4"") + COUNTIF(ARRAYFORMULA(HLOOKUP($B4, IMPORTRANGE('Match Names'!$E$23, CONCAT(VLOOKUP($C4, 'Match Names'!$1:$22, 5, FALSE), ""!C3:R29"")), {3;7;18;23}, FALSE)), ""=-4"") + COUNTIF(ARRAYFORMULA(HLOOKUP($B4, IMPORTR"&amp;"ANGE('Match Names'!$F$23, CONCAT(VLOOKUP($C4, 'Match Names'!$1:$22, 6, FALSE), ""!C3:R29"")), {6;12;18;24}, FALSE)), ""=-4"") + COUNTIF(ARRAYFORMULA(HLOOKUP($B4, IMPORTRANGE('Match Names'!$G$23, CONCAT(VLOOKUP($C4, 'Match Names'!$1:$22, 7, FALSE), ""!C3:R"&amp;"29"")), {2;7;17;21}, FALSE)), ""=-4"") + COUNTIF(ARRAYFORMULA(HLOOKUP($B4, IMPORTRANGE('Match Names'!$H$23, CONCAT(VLOOKUP($C4, 'Match Names'!$1:$22, 8, FALSE), ""!C3:R29"")), {4;10;16;22}, FALSE)), ""=-4"")"),0.0)</f>
        <v>0</v>
      </c>
      <c r="H4" s="39">
        <f t="shared" si="1"/>
        <v>0</v>
      </c>
    </row>
    <row r="5">
      <c r="A5" s="38" t="s">
        <v>78</v>
      </c>
      <c r="B5" s="38" t="str">
        <f>VLOOKUP(CONCAT(A5, C5), 'Discord Username to Real Name'!C:D, 2, FALSE)</f>
        <v>avaa#8678</v>
      </c>
      <c r="C5" s="38" t="s">
        <v>5</v>
      </c>
      <c r="D5" s="9">
        <f>IFERROR(__xludf.DUMMYFUNCTION("(4 - COUNTIF(IFERROR(ARRAYFORMULA(HLOOKUP($B5, IMPORTRANGE('Prelim Rankings Unsorted'!$B$40, CONCAT(VLOOKUP($C5, 'Match Names'!$A$1:$D$22, 2, FALSE), ""!C3:R29"")), {3;8;14;20}, FALSE)), 'Player Overall Stats Unsorted'!$AA$9:$AA$12), ""=X"")) + (4 - COUNT"&amp;"IF(IFERROR(ARRAYFORMULA(HLOOKUP($B5, IMPORTRANGE('Prelim Rankings Unsorted'!$B$41, CONCAT(VLOOKUP($C5, 'Match Names'!$A$1:$D$22, 3, FALSE), ""!C3:R29"")), {4;10;16;22}, FALSE)), 'Player Overall Stats Unsorted'!$AA$9:$AA$12), ""=X"")) + (4 - COUNTIF(IFERRO"&amp;"R(ARRAYFORMULA(HLOOKUP($B5, IMPORTRANGE('Prelim Rankings Unsorted'!$B$42, CONCAT(VLOOKUP($C5, 'Match Names'!$A$1:$D$22, 4, FALSE), ""!C3:R29"")), {2;8;14;20}, FALSE)), 'Player Overall Stats Unsorted'!$AA$9:$AA$12), ""=X"")) + (4 - COUNTIF(IFERROR(ARRAYFOR"&amp;"MULA(HLOOKUP($B5, IMPORTRANGE('Match Names'!$E$23, CONCAT(VLOOKUP($C5, 'Match Names'!$1:$22, 5, FALSE), ""!C3:R29"")), {3;7;18;23}, FALSE)), 'Player Overall Stats Unsorted'!$AA$9:$AA$12), ""=X"")) + (4 - COUNTIF(IFERROR(ARRAYFORMULA(HLOOKUP($B5, IMPORTRAN"&amp;"GE('Match Names'!$F$23, CONCAT(VLOOKUP($C5, 'Match Names'!$1:$22, 6, FALSE), ""!C3:R29"")), {6;12;18;24}, FALSE)), 'Player Overall Stats Unsorted'!$AA$9:$AA$12), ""=X"")) + (4 - COUNTIF(IFERROR(ARRAYFORMULA(HLOOKUP($B5, IMPORTRANGE('Match Names'!$G$23, CO"&amp;"NCAT(VLOOKUP($C5, 'Match Names'!$1:$22, 7, FALSE), ""!C3:R29"")), {2;7;17;21}, FALSE)), 'Player Overall Stats Unsorted'!$AA$9:$AA$12), ""=X"")) + (4 - COUNTIF(IFERROR(ARRAYFORMULA(HLOOKUP($B5, IMPORTRANGE('Match Names'!$H$23, CONCAT(VLOOKUP($C5, 'Match Na"&amp;"mes'!$1:$22, 8, FALSE), ""!C3:R29"")), {4;10;16;22}, FALSE)), 'Player Overall Stats Unsorted'!$AA$9:$AA$12), ""=X""))"),8.0)</f>
        <v>8</v>
      </c>
      <c r="E5" s="9">
        <f>IFERROR(__xludf.DUMMYFUNCTION("COUNTIF(ARRAYFORMULA(HLOOKUP($B5, IMPORTRANGE('Prelim Rankings Unsorted'!$B$40, CONCAT(VLOOKUP($C5, 'Match Names'!$A$1:$D$22, 2, FALSE), ""!C3:R29"")), {3;8;14;20}, FALSE)), ""=4"") + COUNTIF(ARRAYFORMULA(HLOOKUP($B5, IMPORTRANGE('Prelim Rankings Unsorted"&amp;"'!$B$41, CONCAT(VLOOKUP($C5, 'Match Names'!$A$1:$D$22, 3, FALSE), ""!C3:R29"")), {4;10;16;22}, FALSE)), ""=4"") + COUNTIF(ARRAYFORMULA(HLOOKUP($B5, IMPORTRANGE('Prelim Rankings Unsorted'!$B$42, CONCAT(VLOOKUP($C5, 'Match Names'!$A$1:$D$22, 4, FALSE), ""!C"&amp;"3:R29"")), {2;8;14;20}, FALSE)), ""=4"") + COUNTIF(ARRAYFORMULA(HLOOKUP($B5, IMPORTRANGE('Match Names'!$E$23, CONCAT(VLOOKUP($C5, 'Match Names'!$1:$22, 5, FALSE), ""!C3:R29"")), {3;7;18;23}, FALSE)), ""=4"") + COUNTIF(ARRAYFORMULA(HLOOKUP($B5, IMPORTRANGE"&amp;"('Match Names'!$F$23, CONCAT(VLOOKUP($C5, 'Match Names'!$1:$22, 6, FALSE), ""!C3:R29"")), {6;12;18;24}, FALSE)), ""=4"") + COUNTIF(ARRAYFORMULA(HLOOKUP($B5, IMPORTRANGE('Match Names'!$G$23, CONCAT(VLOOKUP($C5, 'Match Names'!$1:$22, 7, FALSE), ""!C3:R29"")"&amp;"), {2;7;17;21}, FALSE)), ""=4"") + COUNTIF(ARRAYFORMULA(HLOOKUP($B5, IMPORTRANGE('Match Names'!$H$23, CONCAT(VLOOKUP($C5, 'Match Names'!$1:$22, 8, FALSE), ""!C3:R29"")), {4;10;16;22}, FALSE)), ""=4"")"),0.0)</f>
        <v>0</v>
      </c>
      <c r="F5" s="9">
        <f>IFERROR(__xludf.DUMMYFUNCTION("COUNTIF(ARRAYFORMULA(HLOOKUP($B5, IMPORTRANGE('Prelim Rankings Unsorted'!$B$40, CONCAT(VLOOKUP($C5, 'Match Names'!$A$1:$D$22, 2, FALSE), ""!C3:R29"")), {3;8;14;20}, FALSE)), ""=0"") + COUNTIF(ARRAYFORMULA(HLOOKUP($B5, IMPORTRANGE('Prelim Rankings Unsorted"&amp;"'!$B$41, CONCAT(VLOOKUP($C5, 'Match Names'!$A$1:$D$22, 3, FALSE), ""!C3:R29"")), {4;10;16;22}, FALSE)), ""=0"") + COUNTIF(ARRAYFORMULA(HLOOKUP($B5, IMPORTRANGE('Prelim Rankings Unsorted'!$B$42, CONCAT(VLOOKUP($C5, 'Match Names'!$A$1:$D$22, 4, FALSE), ""!C"&amp;"3:R29"")), {2;8;14;20}, FALSE)), ""=0"") + COUNTIF(ARRAYFORMULA(HLOOKUP($B5, IMPORTRANGE('Match Names'!$E$23, CONCAT(VLOOKUP($C5, 'Match Names'!$1:$22, 5, FALSE), ""!C3:R29"")), {3;7;18;23}, FALSE)), ""=0"") + COUNTIF(ARRAYFORMULA(HLOOKUP($B5, IMPORTRANGE"&amp;"('Match Names'!$F$23, CONCAT(VLOOKUP($C5, 'Match Names'!$1:$22, 6, FALSE), ""!C3:R29"")), {6;12;18;24}, FALSE)), ""=0"") + COUNTIF(ARRAYFORMULA(HLOOKUP($B5, IMPORTRANGE('Match Names'!$G$23, CONCAT(VLOOKUP($C5, 'Match Names'!$1:$22, 7, FALSE), ""!C3:R29"")"&amp;"), {2;7;17;21}, FALSE)), ""=0"") + COUNTIF(ARRAYFORMULA(HLOOKUP($B5, IMPORTRANGE('Match Names'!$H$23, CONCAT(VLOOKUP($C5, 'Match Names'!$1:$22, 8, FALSE), ""!C3:R29"")), {4;10;16;22}, FALSE)), ""=0"")"),0.0)</f>
        <v>0</v>
      </c>
      <c r="G5" s="9">
        <f>IFERROR(__xludf.DUMMYFUNCTION("COUNTIF(ARRAYFORMULA(HLOOKUP($B5, IMPORTRANGE('Prelim Rankings Unsorted'!$B$40, CONCAT(VLOOKUP($C5, 'Match Names'!$A$1:$D$22, 2, FALSE), ""!C3:R29"")), {3;8;14;20}, FALSE)), ""=-4"") + COUNTIF(ARRAYFORMULA(HLOOKUP($B5, IMPORTRANGE('Prelim Rankings Unsorte"&amp;"d'!$B$41, CONCAT(VLOOKUP($C5, 'Match Names'!$A$1:$D$22, 3, FALSE), ""!C3:R29"")), {4;10;16;22}, FALSE)), ""=-4"") + COUNTIF(ARRAYFORMULA(HLOOKUP($B5, IMPORTRANGE('Prelim Rankings Unsorted'!$B$42, CONCAT(VLOOKUP($C5, 'Match Names'!$A$1:$D$22, 4, FALSE), """&amp;"!C3:R29"")), {2;8;14;20}, FALSE)), ""=-4"") + COUNTIF(ARRAYFORMULA(HLOOKUP($B5, IMPORTRANGE('Match Names'!$E$23, CONCAT(VLOOKUP($C5, 'Match Names'!$1:$22, 5, FALSE), ""!C3:R29"")), {3;7;18;23}, FALSE)), ""=-4"") + COUNTIF(ARRAYFORMULA(HLOOKUP($B5, IMPORTR"&amp;"ANGE('Match Names'!$F$23, CONCAT(VLOOKUP($C5, 'Match Names'!$1:$22, 6, FALSE), ""!C3:R29"")), {6;12;18;24}, FALSE)), ""=-4"") + COUNTIF(ARRAYFORMULA(HLOOKUP($B5, IMPORTRANGE('Match Names'!$G$23, CONCAT(VLOOKUP($C5, 'Match Names'!$1:$22, 7, FALSE), ""!C3:R"&amp;"29"")), {2;7;17;21}, FALSE)), ""=-4"") + COUNTIF(ARRAYFORMULA(HLOOKUP($B5, IMPORTRANGE('Match Names'!$H$23, CONCAT(VLOOKUP($C5, 'Match Names'!$1:$22, 8, FALSE), ""!C3:R29"")), {4;10;16;22}, FALSE)), ""=-4"")"),0.0)</f>
        <v>0</v>
      </c>
      <c r="H5" s="39">
        <f t="shared" si="1"/>
        <v>0</v>
      </c>
    </row>
    <row r="6">
      <c r="A6" s="38" t="s">
        <v>146</v>
      </c>
      <c r="B6" s="38" t="str">
        <f>VLOOKUP(CONCAT(A6, C6), 'Discord Username to Real Name'!C:D, 2, FALSE)</f>
        <v>Kevin Yang#3870</v>
      </c>
      <c r="C6" s="38" t="s">
        <v>5</v>
      </c>
      <c r="D6" s="9">
        <f>IFERROR(__xludf.DUMMYFUNCTION("(4 - COUNTIF(IFERROR(ARRAYFORMULA(HLOOKUP($B6, IMPORTRANGE('Prelim Rankings Unsorted'!$B$40, CONCAT(VLOOKUP($C6, 'Match Names'!$A$1:$D$22, 2, FALSE), ""!C3:R29"")), {3;8;14;20}, FALSE)), 'Player Overall Stats Unsorted'!$AA$9:$AA$12), ""=X"")) + (4 - COUNT"&amp;"IF(IFERROR(ARRAYFORMULA(HLOOKUP($B6, IMPORTRANGE('Prelim Rankings Unsorted'!$B$41, CONCAT(VLOOKUP($C6, 'Match Names'!$A$1:$D$22, 3, FALSE), ""!C3:R29"")), {4;10;16;22}, FALSE)), 'Player Overall Stats Unsorted'!$AA$9:$AA$12), ""=X"")) + (4 - COUNTIF(IFERRO"&amp;"R(ARRAYFORMULA(HLOOKUP($B6, IMPORTRANGE('Prelim Rankings Unsorted'!$B$42, CONCAT(VLOOKUP($C6, 'Match Names'!$A$1:$D$22, 4, FALSE), ""!C3:R29"")), {2;8;14;20}, FALSE)), 'Player Overall Stats Unsorted'!$AA$9:$AA$12), ""=X"")) + (4 - COUNTIF(IFERROR(ARRAYFOR"&amp;"MULA(HLOOKUP($B6, IMPORTRANGE('Match Names'!$E$23, CONCAT(VLOOKUP($C6, 'Match Names'!$1:$22, 5, FALSE), ""!C3:R29"")), {3;7;18;23}, FALSE)), 'Player Overall Stats Unsorted'!$AA$9:$AA$12), ""=X"")) + (4 - COUNTIF(IFERROR(ARRAYFORMULA(HLOOKUP($B6, IMPORTRAN"&amp;"GE('Match Names'!$F$23, CONCAT(VLOOKUP($C6, 'Match Names'!$1:$22, 6, FALSE), ""!C3:R29"")), {6;12;18;24}, FALSE)), 'Player Overall Stats Unsorted'!$AA$9:$AA$12), ""=X"")) + (4 - COUNTIF(IFERROR(ARRAYFORMULA(HLOOKUP($B6, IMPORTRANGE('Match Names'!$G$23, CO"&amp;"NCAT(VLOOKUP($C6, 'Match Names'!$1:$22, 7, FALSE), ""!C3:R29"")), {2;7;17;21}, FALSE)), 'Player Overall Stats Unsorted'!$AA$9:$AA$12), ""=X"")) + (4 - COUNTIF(IFERROR(ARRAYFORMULA(HLOOKUP($B6, IMPORTRANGE('Match Names'!$H$23, CONCAT(VLOOKUP($C6, 'Match Na"&amp;"mes'!$1:$22, 8, FALSE), ""!C3:R29"")), {4;10;16;22}, FALSE)), 'Player Overall Stats Unsorted'!$AA$9:$AA$12), ""=X""))"),12.0)</f>
        <v>12</v>
      </c>
      <c r="E6" s="9">
        <f>IFERROR(__xludf.DUMMYFUNCTION("COUNTIF(ARRAYFORMULA(HLOOKUP($B6, IMPORTRANGE('Prelim Rankings Unsorted'!$B$40, CONCAT(VLOOKUP($C6, 'Match Names'!$A$1:$D$22, 2, FALSE), ""!C3:R29"")), {3;8;14;20}, FALSE)), ""=4"") + COUNTIF(ARRAYFORMULA(HLOOKUP($B6, IMPORTRANGE('Prelim Rankings Unsorted"&amp;"'!$B$41, CONCAT(VLOOKUP($C6, 'Match Names'!$A$1:$D$22, 3, FALSE), ""!C3:R29"")), {4;10;16;22}, FALSE)), ""=4"") + COUNTIF(ARRAYFORMULA(HLOOKUP($B6, IMPORTRANGE('Prelim Rankings Unsorted'!$B$42, CONCAT(VLOOKUP($C6, 'Match Names'!$A$1:$D$22, 4, FALSE), ""!C"&amp;"3:R29"")), {2;8;14;20}, FALSE)), ""=4"") + COUNTIF(ARRAYFORMULA(HLOOKUP($B6, IMPORTRANGE('Match Names'!$E$23, CONCAT(VLOOKUP($C6, 'Match Names'!$1:$22, 5, FALSE), ""!C3:R29"")), {3;7;18;23}, FALSE)), ""=4"") + COUNTIF(ARRAYFORMULA(HLOOKUP($B6, IMPORTRANGE"&amp;"('Match Names'!$F$23, CONCAT(VLOOKUP($C6, 'Match Names'!$1:$22, 6, FALSE), ""!C3:R29"")), {6;12;18;24}, FALSE)), ""=4"") + COUNTIF(ARRAYFORMULA(HLOOKUP($B6, IMPORTRANGE('Match Names'!$G$23, CONCAT(VLOOKUP($C6, 'Match Names'!$1:$22, 7, FALSE), ""!C3:R29"")"&amp;"), {2;7;17;21}, FALSE)), ""=4"") + COUNTIF(ARRAYFORMULA(HLOOKUP($B6, IMPORTRANGE('Match Names'!$H$23, CONCAT(VLOOKUP($C6, 'Match Names'!$1:$22, 8, FALSE), ""!C3:R29"")), {4;10;16;22}, FALSE)), ""=4"")"),0.0)</f>
        <v>0</v>
      </c>
      <c r="F6" s="9">
        <f>IFERROR(__xludf.DUMMYFUNCTION("COUNTIF(ARRAYFORMULA(HLOOKUP($B6, IMPORTRANGE('Prelim Rankings Unsorted'!$B$40, CONCAT(VLOOKUP($C6, 'Match Names'!$A$1:$D$22, 2, FALSE), ""!C3:R29"")), {3;8;14;20}, FALSE)), ""=0"") + COUNTIF(ARRAYFORMULA(HLOOKUP($B6, IMPORTRANGE('Prelim Rankings Unsorted"&amp;"'!$B$41, CONCAT(VLOOKUP($C6, 'Match Names'!$A$1:$D$22, 3, FALSE), ""!C3:R29"")), {4;10;16;22}, FALSE)), ""=0"") + COUNTIF(ARRAYFORMULA(HLOOKUP($B6, IMPORTRANGE('Prelim Rankings Unsorted'!$B$42, CONCAT(VLOOKUP($C6, 'Match Names'!$A$1:$D$22, 4, FALSE), ""!C"&amp;"3:R29"")), {2;8;14;20}, FALSE)), ""=0"") + COUNTIF(ARRAYFORMULA(HLOOKUP($B6, IMPORTRANGE('Match Names'!$E$23, CONCAT(VLOOKUP($C6, 'Match Names'!$1:$22, 5, FALSE), ""!C3:R29"")), {3;7;18;23}, FALSE)), ""=0"") + COUNTIF(ARRAYFORMULA(HLOOKUP($B6, IMPORTRANGE"&amp;"('Match Names'!$F$23, CONCAT(VLOOKUP($C6, 'Match Names'!$1:$22, 6, FALSE), ""!C3:R29"")), {6;12;18;24}, FALSE)), ""=0"") + COUNTIF(ARRAYFORMULA(HLOOKUP($B6, IMPORTRANGE('Match Names'!$G$23, CONCAT(VLOOKUP($C6, 'Match Names'!$1:$22, 7, FALSE), ""!C3:R29"")"&amp;"), {2;7;17;21}, FALSE)), ""=0"") + COUNTIF(ARRAYFORMULA(HLOOKUP($B6, IMPORTRANGE('Match Names'!$H$23, CONCAT(VLOOKUP($C6, 'Match Names'!$1:$22, 8, FALSE), ""!C3:R29"")), {4;10;16;22}, FALSE)), ""=0"")"),0.0)</f>
        <v>0</v>
      </c>
      <c r="G6" s="9">
        <f>IFERROR(__xludf.DUMMYFUNCTION("COUNTIF(ARRAYFORMULA(HLOOKUP($B6, IMPORTRANGE('Prelim Rankings Unsorted'!$B$40, CONCAT(VLOOKUP($C6, 'Match Names'!$A$1:$D$22, 2, FALSE), ""!C3:R29"")), {3;8;14;20}, FALSE)), ""=-4"") + COUNTIF(ARRAYFORMULA(HLOOKUP($B6, IMPORTRANGE('Prelim Rankings Unsorte"&amp;"d'!$B$41, CONCAT(VLOOKUP($C6, 'Match Names'!$A$1:$D$22, 3, FALSE), ""!C3:R29"")), {4;10;16;22}, FALSE)), ""=-4"") + COUNTIF(ARRAYFORMULA(HLOOKUP($B6, IMPORTRANGE('Prelim Rankings Unsorted'!$B$42, CONCAT(VLOOKUP($C6, 'Match Names'!$A$1:$D$22, 4, FALSE), """&amp;"!C3:R29"")), {2;8;14;20}, FALSE)), ""=-4"") + COUNTIF(ARRAYFORMULA(HLOOKUP($B6, IMPORTRANGE('Match Names'!$E$23, CONCAT(VLOOKUP($C6, 'Match Names'!$1:$22, 5, FALSE), ""!C3:R29"")), {3;7;18;23}, FALSE)), ""=-4"") + COUNTIF(ARRAYFORMULA(HLOOKUP($B6, IMPORTR"&amp;"ANGE('Match Names'!$F$23, CONCAT(VLOOKUP($C6, 'Match Names'!$1:$22, 6, FALSE), ""!C3:R29"")), {6;12;18;24}, FALSE)), ""=-4"") + COUNTIF(ARRAYFORMULA(HLOOKUP($B6, IMPORTRANGE('Match Names'!$G$23, CONCAT(VLOOKUP($C6, 'Match Names'!$1:$22, 7, FALSE), ""!C3:R"&amp;"29"")), {2;7;17;21}, FALSE)), ""=-4"") + COUNTIF(ARRAYFORMULA(HLOOKUP($B6, IMPORTRANGE('Match Names'!$H$23, CONCAT(VLOOKUP($C6, 'Match Names'!$1:$22, 8, FALSE), ""!C3:R29"")), {4;10;16;22}, FALSE)), ""=-4"")"),0.0)</f>
        <v>0</v>
      </c>
      <c r="H6" s="39">
        <f t="shared" si="1"/>
        <v>0</v>
      </c>
    </row>
    <row r="7">
      <c r="A7" s="17" t="s">
        <v>198</v>
      </c>
      <c r="B7" s="40" t="str">
        <f>VLOOKUP(CONCAT(A7, C7), 'Discord Username to Real Name'!C:D, 2, FALSE)</f>
        <v/>
      </c>
      <c r="C7" s="41" t="s">
        <v>5</v>
      </c>
      <c r="D7" s="9">
        <f>IFERROR(__xludf.DUMMYFUNCTION("(4 - COUNTIF(IFERROR(ARRAYFORMULA(HLOOKUP($B7, IMPORTRANGE('Prelim Rankings Unsorted'!$B$40, CONCAT(VLOOKUP($C7, 'Match Names'!$A$1:$D$22, 2, FALSE), ""!C3:R29"")), {3;8;14;20}, FALSE)), 'Player Overall Stats Unsorted'!$AA$9:$AA$12), ""=X"")) + (4 - COUNT"&amp;"IF(IFERROR(ARRAYFORMULA(HLOOKUP($B7, IMPORTRANGE('Prelim Rankings Unsorted'!$B$41, CONCAT(VLOOKUP($C7, 'Match Names'!$A$1:$D$22, 3, FALSE), ""!C3:R29"")), {4;10;16;22}, FALSE)), 'Player Overall Stats Unsorted'!$AA$9:$AA$12), ""=X"")) + (4 - COUNTIF(IFERRO"&amp;"R(ARRAYFORMULA(HLOOKUP($B7, IMPORTRANGE('Prelim Rankings Unsorted'!$B$42, CONCAT(VLOOKUP($C7, 'Match Names'!$A$1:$D$22, 4, FALSE), ""!C3:R29"")), {2;8;14;20}, FALSE)), 'Player Overall Stats Unsorted'!$AA$9:$AA$12), ""=X"")) + (4 - COUNTIF(IFERROR(ARRAYFOR"&amp;"MULA(HLOOKUP($B7, IMPORTRANGE('Match Names'!$E$23, CONCAT(VLOOKUP($C7, 'Match Names'!$1:$22, 5, FALSE), ""!C3:R29"")), {3;7;18;23}, FALSE)), 'Player Overall Stats Unsorted'!$AA$9:$AA$12), ""=X"")) + (4 - COUNTIF(IFERROR(ARRAYFORMULA(HLOOKUP($B7, IMPORTRAN"&amp;"GE('Match Names'!$F$23, CONCAT(VLOOKUP($C7, 'Match Names'!$1:$22, 6, FALSE), ""!C3:R29"")), {6;12;18;24}, FALSE)), 'Player Overall Stats Unsorted'!$AA$9:$AA$12), ""=X"")) + (4 - COUNTIF(IFERROR(ARRAYFORMULA(HLOOKUP($B7, IMPORTRANGE('Match Names'!$G$23, CO"&amp;"NCAT(VLOOKUP($C7, 'Match Names'!$1:$22, 7, FALSE), ""!C3:R29"")), {2;7;17;21}, FALSE)), 'Player Overall Stats Unsorted'!$AA$9:$AA$12), ""=X"")) + (4 - COUNTIF(IFERROR(ARRAYFORMULA(HLOOKUP($B7, IMPORTRANGE('Match Names'!$H$23, CONCAT(VLOOKUP($C7, 'Match Na"&amp;"mes'!$1:$22, 8, FALSE), ""!C3:R29"")), {4;10;16;22}, FALSE)), 'Player Overall Stats Unsorted'!$AA$9:$AA$12), ""=X""))"),0.0)</f>
        <v>0</v>
      </c>
      <c r="E7" s="9">
        <f>IFERROR(__xludf.DUMMYFUNCTION("COUNTIF(ARRAYFORMULA(HLOOKUP($B7, IMPORTRANGE('Prelim Rankings Unsorted'!$B$40, CONCAT(VLOOKUP($C7, 'Match Names'!$A$1:$D$22, 2, FALSE), ""!C3:R29"")), {3;8;14;20}, FALSE)), ""=4"") + COUNTIF(ARRAYFORMULA(HLOOKUP($B7, IMPORTRANGE('Prelim Rankings Unsorted"&amp;"'!$B$41, CONCAT(VLOOKUP($C7, 'Match Names'!$A$1:$D$22, 3, FALSE), ""!C3:R29"")), {4;10;16;22}, FALSE)), ""=4"") + COUNTIF(ARRAYFORMULA(HLOOKUP($B7, IMPORTRANGE('Prelim Rankings Unsorted'!$B$42, CONCAT(VLOOKUP($C7, 'Match Names'!$A$1:$D$22, 4, FALSE), ""!C"&amp;"3:R29"")), {2;8;14;20}, FALSE)), ""=4"") + COUNTIF(ARRAYFORMULA(HLOOKUP($B7, IMPORTRANGE('Match Names'!$E$23, CONCAT(VLOOKUP($C7, 'Match Names'!$1:$22, 5, FALSE), ""!C3:R29"")), {3;7;18;23}, FALSE)), ""=4"") + COUNTIF(ARRAYFORMULA(HLOOKUP($B7, IMPORTRANGE"&amp;"('Match Names'!$F$23, CONCAT(VLOOKUP($C7, 'Match Names'!$1:$22, 6, FALSE), ""!C3:R29"")), {6;12;18;24}, FALSE)), ""=4"") + COUNTIF(ARRAYFORMULA(HLOOKUP($B7, IMPORTRANGE('Match Names'!$G$23, CONCAT(VLOOKUP($C7, 'Match Names'!$1:$22, 7, FALSE), ""!C3:R29"")"&amp;"), {2;7;17;21}, FALSE)), ""=4"") + COUNTIF(ARRAYFORMULA(HLOOKUP($B7, IMPORTRANGE('Match Names'!$H$23, CONCAT(VLOOKUP($C7, 'Match Names'!$1:$22, 8, FALSE), ""!C3:R29"")), {4;10;16;22}, FALSE)), ""=4"")"),0.0)</f>
        <v>0</v>
      </c>
      <c r="F7" s="9">
        <f>IFERROR(__xludf.DUMMYFUNCTION("COUNTIF(ARRAYFORMULA(HLOOKUP($B7, IMPORTRANGE('Prelim Rankings Unsorted'!$B$40, CONCAT(VLOOKUP($C7, 'Match Names'!$A$1:$D$22, 2, FALSE), ""!C3:R29"")), {3;8;14;20}, FALSE)), ""=0"") + COUNTIF(ARRAYFORMULA(HLOOKUP($B7, IMPORTRANGE('Prelim Rankings Unsorted"&amp;"'!$B$41, CONCAT(VLOOKUP($C7, 'Match Names'!$A$1:$D$22, 3, FALSE), ""!C3:R29"")), {4;10;16;22}, FALSE)), ""=0"") + COUNTIF(ARRAYFORMULA(HLOOKUP($B7, IMPORTRANGE('Prelim Rankings Unsorted'!$B$42, CONCAT(VLOOKUP($C7, 'Match Names'!$A$1:$D$22, 4, FALSE), ""!C"&amp;"3:R29"")), {2;8;14;20}, FALSE)), ""=0"") + COUNTIF(ARRAYFORMULA(HLOOKUP($B7, IMPORTRANGE('Match Names'!$E$23, CONCAT(VLOOKUP($C7, 'Match Names'!$1:$22, 5, FALSE), ""!C3:R29"")), {3;7;18;23}, FALSE)), ""=0"") + COUNTIF(ARRAYFORMULA(HLOOKUP($B7, IMPORTRANGE"&amp;"('Match Names'!$F$23, CONCAT(VLOOKUP($C7, 'Match Names'!$1:$22, 6, FALSE), ""!C3:R29"")), {6;12;18;24}, FALSE)), ""=0"") + COUNTIF(ARRAYFORMULA(HLOOKUP($B7, IMPORTRANGE('Match Names'!$G$23, CONCAT(VLOOKUP($C7, 'Match Names'!$1:$22, 7, FALSE), ""!C3:R29"")"&amp;"), {2;7;17;21}, FALSE)), ""=0"") + COUNTIF(ARRAYFORMULA(HLOOKUP($B7, IMPORTRANGE('Match Names'!$H$23, CONCAT(VLOOKUP($C7, 'Match Names'!$1:$22, 8, FALSE), ""!C3:R29"")), {4;10;16;22}, FALSE)), ""=0"")"),0.0)</f>
        <v>0</v>
      </c>
      <c r="G7" s="9">
        <f>IFERROR(__xludf.DUMMYFUNCTION("COUNTIF(ARRAYFORMULA(HLOOKUP($B7, IMPORTRANGE('Prelim Rankings Unsorted'!$B$40, CONCAT(VLOOKUP($C7, 'Match Names'!$A$1:$D$22, 2, FALSE), ""!C3:R29"")), {3;8;14;20}, FALSE)), ""=-4"") + COUNTIF(ARRAYFORMULA(HLOOKUP($B7, IMPORTRANGE('Prelim Rankings Unsorte"&amp;"d'!$B$41, CONCAT(VLOOKUP($C7, 'Match Names'!$A$1:$D$22, 3, FALSE), ""!C3:R29"")), {4;10;16;22}, FALSE)), ""=-4"") + COUNTIF(ARRAYFORMULA(HLOOKUP($B7, IMPORTRANGE('Prelim Rankings Unsorted'!$B$42, CONCAT(VLOOKUP($C7, 'Match Names'!$A$1:$D$22, 4, FALSE), """&amp;"!C3:R29"")), {2;8;14;20}, FALSE)), ""=-4"") + COUNTIF(ARRAYFORMULA(HLOOKUP($B7, IMPORTRANGE('Match Names'!$E$23, CONCAT(VLOOKUP($C7, 'Match Names'!$1:$22, 5, FALSE), ""!C3:R29"")), {3;7;18;23}, FALSE)), ""=-4"") + COUNTIF(ARRAYFORMULA(HLOOKUP($B7, IMPORTR"&amp;"ANGE('Match Names'!$F$23, CONCAT(VLOOKUP($C7, 'Match Names'!$1:$22, 6, FALSE), ""!C3:R29"")), {6;12;18;24}, FALSE)), ""=-4"") + COUNTIF(ARRAYFORMULA(HLOOKUP($B7, IMPORTRANGE('Match Names'!$G$23, CONCAT(VLOOKUP($C7, 'Match Names'!$1:$22, 7, FALSE), ""!C3:R"&amp;"29"")), {2;7;17;21}, FALSE)), ""=-4"") + COUNTIF(ARRAYFORMULA(HLOOKUP($B7, IMPORTRANGE('Match Names'!$H$23, CONCAT(VLOOKUP($C7, 'Match Names'!$1:$22, 8, FALSE), ""!C3:R29"")), {4;10;16;22}, FALSE)), ""=-4"")"),0.0)</f>
        <v>0</v>
      </c>
      <c r="H7" s="39">
        <f t="shared" si="1"/>
        <v>0</v>
      </c>
    </row>
    <row r="8">
      <c r="A8" s="38" t="s">
        <v>200</v>
      </c>
      <c r="B8" s="38" t="str">
        <f>VLOOKUP(CONCAT(A8, C8), 'Discord Username to Real Name'!C:D, 2, FALSE)</f>
        <v>Victoria123#0687</v>
      </c>
      <c r="C8" s="38" t="s">
        <v>5</v>
      </c>
      <c r="D8" s="9">
        <f>IFERROR(__xludf.DUMMYFUNCTION("(4 - COUNTIF(IFERROR(ARRAYFORMULA(HLOOKUP($B8, IMPORTRANGE('Prelim Rankings Unsorted'!$B$40, CONCAT(VLOOKUP($C8, 'Match Names'!$A$1:$D$22, 2, FALSE), ""!C3:R29"")), {3;8;14;20}, FALSE)), 'Player Overall Stats Unsorted'!$AA$9:$AA$12), ""=X"")) + (4 - COUNT"&amp;"IF(IFERROR(ARRAYFORMULA(HLOOKUP($B8, IMPORTRANGE('Prelim Rankings Unsorted'!$B$41, CONCAT(VLOOKUP($C8, 'Match Names'!$A$1:$D$22, 3, FALSE), ""!C3:R29"")), {4;10;16;22}, FALSE)), 'Player Overall Stats Unsorted'!$AA$9:$AA$12), ""=X"")) + (4 - COUNTIF(IFERRO"&amp;"R(ARRAYFORMULA(HLOOKUP($B8, IMPORTRANGE('Prelim Rankings Unsorted'!$B$42, CONCAT(VLOOKUP($C8, 'Match Names'!$A$1:$D$22, 4, FALSE), ""!C3:R29"")), {2;8;14;20}, FALSE)), 'Player Overall Stats Unsorted'!$AA$9:$AA$12), ""=X"")) + (4 - COUNTIF(IFERROR(ARRAYFOR"&amp;"MULA(HLOOKUP($B8, IMPORTRANGE('Match Names'!$E$23, CONCAT(VLOOKUP($C8, 'Match Names'!$1:$22, 5, FALSE), ""!C3:R29"")), {3;7;18;23}, FALSE)), 'Player Overall Stats Unsorted'!$AA$9:$AA$12), ""=X"")) + (4 - COUNTIF(IFERROR(ARRAYFORMULA(HLOOKUP($B8, IMPORTRAN"&amp;"GE('Match Names'!$F$23, CONCAT(VLOOKUP($C8, 'Match Names'!$1:$22, 6, FALSE), ""!C3:R29"")), {6;12;18;24}, FALSE)), 'Player Overall Stats Unsorted'!$AA$9:$AA$12), ""=X"")) + (4 - COUNTIF(IFERROR(ARRAYFORMULA(HLOOKUP($B8, IMPORTRANGE('Match Names'!$G$23, CO"&amp;"NCAT(VLOOKUP($C8, 'Match Names'!$1:$22, 7, FALSE), ""!C3:R29"")), {2;7;17;21}, FALSE)), 'Player Overall Stats Unsorted'!$AA$9:$AA$12), ""=X"")) + (4 - COUNTIF(IFERROR(ARRAYFORMULA(HLOOKUP($B8, IMPORTRANGE('Match Names'!$H$23, CONCAT(VLOOKUP($C8, 'Match Na"&amp;"mes'!$1:$22, 8, FALSE), ""!C3:R29"")), {4;10;16;22}, FALSE)), 'Player Overall Stats Unsorted'!$AA$9:$AA$12), ""=X""))"),0.0)</f>
        <v>0</v>
      </c>
      <c r="E8" s="9">
        <f>IFERROR(__xludf.DUMMYFUNCTION("COUNTIF(ARRAYFORMULA(HLOOKUP($B8, IMPORTRANGE('Prelim Rankings Unsorted'!$B$40, CONCAT(VLOOKUP($C8, 'Match Names'!$A$1:$D$22, 2, FALSE), ""!C3:R29"")), {3;8;14;20}, FALSE)), ""=4"") + COUNTIF(ARRAYFORMULA(HLOOKUP($B8, IMPORTRANGE('Prelim Rankings Unsorted"&amp;"'!$B$41, CONCAT(VLOOKUP($C8, 'Match Names'!$A$1:$D$22, 3, FALSE), ""!C3:R29"")), {4;10;16;22}, FALSE)), ""=4"") + COUNTIF(ARRAYFORMULA(HLOOKUP($B8, IMPORTRANGE('Prelim Rankings Unsorted'!$B$42, CONCAT(VLOOKUP($C8, 'Match Names'!$A$1:$D$22, 4, FALSE), ""!C"&amp;"3:R29"")), {2;8;14;20}, FALSE)), ""=4"") + COUNTIF(ARRAYFORMULA(HLOOKUP($B8, IMPORTRANGE('Match Names'!$E$23, CONCAT(VLOOKUP($C8, 'Match Names'!$1:$22, 5, FALSE), ""!C3:R29"")), {3;7;18;23}, FALSE)), ""=4"") + COUNTIF(ARRAYFORMULA(HLOOKUP($B8, IMPORTRANGE"&amp;"('Match Names'!$F$23, CONCAT(VLOOKUP($C8, 'Match Names'!$1:$22, 6, FALSE), ""!C3:R29"")), {6;12;18;24}, FALSE)), ""=4"") + COUNTIF(ARRAYFORMULA(HLOOKUP($B8, IMPORTRANGE('Match Names'!$G$23, CONCAT(VLOOKUP($C8, 'Match Names'!$1:$22, 7, FALSE), ""!C3:R29"")"&amp;"), {2;7;17;21}, FALSE)), ""=4"") + COUNTIF(ARRAYFORMULA(HLOOKUP($B8, IMPORTRANGE('Match Names'!$H$23, CONCAT(VLOOKUP($C8, 'Match Names'!$1:$22, 8, FALSE), ""!C3:R29"")), {4;10;16;22}, FALSE)), ""=4"")"),0.0)</f>
        <v>0</v>
      </c>
      <c r="F8" s="9">
        <f>IFERROR(__xludf.DUMMYFUNCTION("COUNTIF(ARRAYFORMULA(HLOOKUP($B8, IMPORTRANGE('Prelim Rankings Unsorted'!$B$40, CONCAT(VLOOKUP($C8, 'Match Names'!$A$1:$D$22, 2, FALSE), ""!C3:R29"")), {3;8;14;20}, FALSE)), ""=0"") + COUNTIF(ARRAYFORMULA(HLOOKUP($B8, IMPORTRANGE('Prelim Rankings Unsorted"&amp;"'!$B$41, CONCAT(VLOOKUP($C8, 'Match Names'!$A$1:$D$22, 3, FALSE), ""!C3:R29"")), {4;10;16;22}, FALSE)), ""=0"") + COUNTIF(ARRAYFORMULA(HLOOKUP($B8, IMPORTRANGE('Prelim Rankings Unsorted'!$B$42, CONCAT(VLOOKUP($C8, 'Match Names'!$A$1:$D$22, 4, FALSE), ""!C"&amp;"3:R29"")), {2;8;14;20}, FALSE)), ""=0"") + COUNTIF(ARRAYFORMULA(HLOOKUP($B8, IMPORTRANGE('Match Names'!$E$23, CONCAT(VLOOKUP($C8, 'Match Names'!$1:$22, 5, FALSE), ""!C3:R29"")), {3;7;18;23}, FALSE)), ""=0"") + COUNTIF(ARRAYFORMULA(HLOOKUP($B8, IMPORTRANGE"&amp;"('Match Names'!$F$23, CONCAT(VLOOKUP($C8, 'Match Names'!$1:$22, 6, FALSE), ""!C3:R29"")), {6;12;18;24}, FALSE)), ""=0"") + COUNTIF(ARRAYFORMULA(HLOOKUP($B8, IMPORTRANGE('Match Names'!$G$23, CONCAT(VLOOKUP($C8, 'Match Names'!$1:$22, 7, FALSE), ""!C3:R29"")"&amp;"), {2;7;17;21}, FALSE)), ""=0"") + COUNTIF(ARRAYFORMULA(HLOOKUP($B8, IMPORTRANGE('Match Names'!$H$23, CONCAT(VLOOKUP($C8, 'Match Names'!$1:$22, 8, FALSE), ""!C3:R29"")), {4;10;16;22}, FALSE)), ""=0"")"),0.0)</f>
        <v>0</v>
      </c>
      <c r="G8" s="9">
        <f>IFERROR(__xludf.DUMMYFUNCTION("COUNTIF(ARRAYFORMULA(HLOOKUP($B8, IMPORTRANGE('Prelim Rankings Unsorted'!$B$40, CONCAT(VLOOKUP($C8, 'Match Names'!$A$1:$D$22, 2, FALSE), ""!C3:R29"")), {3;8;14;20}, FALSE)), ""=-4"") + COUNTIF(ARRAYFORMULA(HLOOKUP($B8, IMPORTRANGE('Prelim Rankings Unsorte"&amp;"d'!$B$41, CONCAT(VLOOKUP($C8, 'Match Names'!$A$1:$D$22, 3, FALSE), ""!C3:R29"")), {4;10;16;22}, FALSE)), ""=-4"") + COUNTIF(ARRAYFORMULA(HLOOKUP($B8, IMPORTRANGE('Prelim Rankings Unsorted'!$B$42, CONCAT(VLOOKUP($C8, 'Match Names'!$A$1:$D$22, 4, FALSE), """&amp;"!C3:R29"")), {2;8;14;20}, FALSE)), ""=-4"") + COUNTIF(ARRAYFORMULA(HLOOKUP($B8, IMPORTRANGE('Match Names'!$E$23, CONCAT(VLOOKUP($C8, 'Match Names'!$1:$22, 5, FALSE), ""!C3:R29"")), {3;7;18;23}, FALSE)), ""=-4"") + COUNTIF(ARRAYFORMULA(HLOOKUP($B8, IMPORTR"&amp;"ANGE('Match Names'!$F$23, CONCAT(VLOOKUP($C8, 'Match Names'!$1:$22, 6, FALSE), ""!C3:R29"")), {6;12;18;24}, FALSE)), ""=-4"") + COUNTIF(ARRAYFORMULA(HLOOKUP($B8, IMPORTRANGE('Match Names'!$G$23, CONCAT(VLOOKUP($C8, 'Match Names'!$1:$22, 7, FALSE), ""!C3:R"&amp;"29"")), {2;7;17;21}, FALSE)), ""=-4"") + COUNTIF(ARRAYFORMULA(HLOOKUP($B8, IMPORTRANGE('Match Names'!$H$23, CONCAT(VLOOKUP($C8, 'Match Names'!$1:$22, 8, FALSE), ""!C3:R29"")), {4;10;16;22}, FALSE)), ""=-4"")"),0.0)</f>
        <v>0</v>
      </c>
      <c r="H8" s="39">
        <f t="shared" si="1"/>
        <v>0</v>
      </c>
    </row>
    <row r="9">
      <c r="A9" s="38" t="s">
        <v>82</v>
      </c>
      <c r="B9" s="38" t="str">
        <f>VLOOKUP(CONCAT(A9, C9), 'Discord Username to Real Name'!C:D, 2, FALSE)</f>
        <v>IAmNotJerry#6312</v>
      </c>
      <c r="C9" s="38" t="s">
        <v>5</v>
      </c>
      <c r="D9" s="9">
        <f>IFERROR(__xludf.DUMMYFUNCTION("(4 - COUNTIF(IFERROR(ARRAYFORMULA(HLOOKUP($B9, IMPORTRANGE('Prelim Rankings Unsorted'!$B$40, CONCAT(VLOOKUP($C9, 'Match Names'!$A$1:$D$22, 2, FALSE), ""!C3:R29"")), {3;8;14;20}, FALSE)), 'Player Overall Stats Unsorted'!$AA$9:$AA$12), ""=X"")) + (4 - COUNT"&amp;"IF(IFERROR(ARRAYFORMULA(HLOOKUP($B9, IMPORTRANGE('Prelim Rankings Unsorted'!$B$41, CONCAT(VLOOKUP($C9, 'Match Names'!$A$1:$D$22, 3, FALSE), ""!C3:R29"")), {4;10;16;22}, FALSE)), 'Player Overall Stats Unsorted'!$AA$9:$AA$12), ""=X"")) + (4 - COUNTIF(IFERRO"&amp;"R(ARRAYFORMULA(HLOOKUP($B9, IMPORTRANGE('Prelim Rankings Unsorted'!$B$42, CONCAT(VLOOKUP($C9, 'Match Names'!$A$1:$D$22, 4, FALSE), ""!C3:R29"")), {2;8;14;20}, FALSE)), 'Player Overall Stats Unsorted'!$AA$9:$AA$12), ""=X"")) + (4 - COUNTIF(IFERROR(ARRAYFOR"&amp;"MULA(HLOOKUP($B9, IMPORTRANGE('Match Names'!$E$23, CONCAT(VLOOKUP($C9, 'Match Names'!$1:$22, 5, FALSE), ""!C3:R29"")), {3;7;18;23}, FALSE)), 'Player Overall Stats Unsorted'!$AA$9:$AA$12), ""=X"")) + (4 - COUNTIF(IFERROR(ARRAYFORMULA(HLOOKUP($B9, IMPORTRAN"&amp;"GE('Match Names'!$F$23, CONCAT(VLOOKUP($C9, 'Match Names'!$1:$22, 6, FALSE), ""!C3:R29"")), {6;12;18;24}, FALSE)), 'Player Overall Stats Unsorted'!$AA$9:$AA$12), ""=X"")) + (4 - COUNTIF(IFERROR(ARRAYFORMULA(HLOOKUP($B9, IMPORTRANGE('Match Names'!$G$23, CO"&amp;"NCAT(VLOOKUP($C9, 'Match Names'!$1:$22, 7, FALSE), ""!C3:R29"")), {2;7;17;21}, FALSE)), 'Player Overall Stats Unsorted'!$AA$9:$AA$12), ""=X"")) + (4 - COUNTIF(IFERROR(ARRAYFORMULA(HLOOKUP($B9, IMPORTRANGE('Match Names'!$H$23, CONCAT(VLOOKUP($C9, 'Match Na"&amp;"mes'!$1:$22, 8, FALSE), ""!C3:R29"")), {4;10;16;22}, FALSE)), 'Player Overall Stats Unsorted'!$AA$9:$AA$12), ""=X""))"),12.0)</f>
        <v>12</v>
      </c>
      <c r="E9" s="9">
        <f>IFERROR(__xludf.DUMMYFUNCTION("COUNTIF(ARRAYFORMULA(HLOOKUP($B9, IMPORTRANGE('Prelim Rankings Unsorted'!$B$40, CONCAT(VLOOKUP($C9, 'Match Names'!$A$1:$D$22, 2, FALSE), ""!C3:R29"")), {3;8;14;20}, FALSE)), ""=4"") + COUNTIF(ARRAYFORMULA(HLOOKUP($B9, IMPORTRANGE('Prelim Rankings Unsorted"&amp;"'!$B$41, CONCAT(VLOOKUP($C9, 'Match Names'!$A$1:$D$22, 3, FALSE), ""!C3:R29"")), {4;10;16;22}, FALSE)), ""=4"") + COUNTIF(ARRAYFORMULA(HLOOKUP($B9, IMPORTRANGE('Prelim Rankings Unsorted'!$B$42, CONCAT(VLOOKUP($C9, 'Match Names'!$A$1:$D$22, 4, FALSE), ""!C"&amp;"3:R29"")), {2;8;14;20}, FALSE)), ""=4"") + COUNTIF(ARRAYFORMULA(HLOOKUP($B9, IMPORTRANGE('Match Names'!$E$23, CONCAT(VLOOKUP($C9, 'Match Names'!$1:$22, 5, FALSE), ""!C3:R29"")), {3;7;18;23}, FALSE)), ""=4"") + COUNTIF(ARRAYFORMULA(HLOOKUP($B9, IMPORTRANGE"&amp;"('Match Names'!$F$23, CONCAT(VLOOKUP($C9, 'Match Names'!$1:$22, 6, FALSE), ""!C3:R29"")), {6;12;18;24}, FALSE)), ""=4"") + COUNTIF(ARRAYFORMULA(HLOOKUP($B9, IMPORTRANGE('Match Names'!$G$23, CONCAT(VLOOKUP($C9, 'Match Names'!$1:$22, 7, FALSE), ""!C3:R29"")"&amp;"), {2;7;17;21}, FALSE)), ""=4"") + COUNTIF(ARRAYFORMULA(HLOOKUP($B9, IMPORTRANGE('Match Names'!$H$23, CONCAT(VLOOKUP($C9, 'Match Names'!$1:$22, 8, FALSE), ""!C3:R29"")), {4;10;16;22}, FALSE)), ""=4"")"),0.0)</f>
        <v>0</v>
      </c>
      <c r="F9" s="9">
        <f>IFERROR(__xludf.DUMMYFUNCTION("COUNTIF(ARRAYFORMULA(HLOOKUP($B9, IMPORTRANGE('Prelim Rankings Unsorted'!$B$40, CONCAT(VLOOKUP($C9, 'Match Names'!$A$1:$D$22, 2, FALSE), ""!C3:R29"")), {3;8;14;20}, FALSE)), ""=0"") + COUNTIF(ARRAYFORMULA(HLOOKUP($B9, IMPORTRANGE('Prelim Rankings Unsorted"&amp;"'!$B$41, CONCAT(VLOOKUP($C9, 'Match Names'!$A$1:$D$22, 3, FALSE), ""!C3:R29"")), {4;10;16;22}, FALSE)), ""=0"") + COUNTIF(ARRAYFORMULA(HLOOKUP($B9, IMPORTRANGE('Prelim Rankings Unsorted'!$B$42, CONCAT(VLOOKUP($C9, 'Match Names'!$A$1:$D$22, 4, FALSE), ""!C"&amp;"3:R29"")), {2;8;14;20}, FALSE)), ""=0"") + COUNTIF(ARRAYFORMULA(HLOOKUP($B9, IMPORTRANGE('Match Names'!$E$23, CONCAT(VLOOKUP($C9, 'Match Names'!$1:$22, 5, FALSE), ""!C3:R29"")), {3;7;18;23}, FALSE)), ""=0"") + COUNTIF(ARRAYFORMULA(HLOOKUP($B9, IMPORTRANGE"&amp;"('Match Names'!$F$23, CONCAT(VLOOKUP($C9, 'Match Names'!$1:$22, 6, FALSE), ""!C3:R29"")), {6;12;18;24}, FALSE)), ""=0"") + COUNTIF(ARRAYFORMULA(HLOOKUP($B9, IMPORTRANGE('Match Names'!$G$23, CONCAT(VLOOKUP($C9, 'Match Names'!$1:$22, 7, FALSE), ""!C3:R29"")"&amp;"), {2;7;17;21}, FALSE)), ""=0"") + COUNTIF(ARRAYFORMULA(HLOOKUP($B9, IMPORTRANGE('Match Names'!$H$23, CONCAT(VLOOKUP($C9, 'Match Names'!$1:$22, 8, FALSE), ""!C3:R29"")), {4;10;16;22}, FALSE)), ""=0"")"),2.0)</f>
        <v>2</v>
      </c>
      <c r="G9" s="9">
        <f>IFERROR(__xludf.DUMMYFUNCTION("COUNTIF(ARRAYFORMULA(HLOOKUP($B9, IMPORTRANGE('Prelim Rankings Unsorted'!$B$40, CONCAT(VLOOKUP($C9, 'Match Names'!$A$1:$D$22, 2, FALSE), ""!C3:R29"")), {3;8;14;20}, FALSE)), ""=-4"") + COUNTIF(ARRAYFORMULA(HLOOKUP($B9, IMPORTRANGE('Prelim Rankings Unsorte"&amp;"d'!$B$41, CONCAT(VLOOKUP($C9, 'Match Names'!$A$1:$D$22, 3, FALSE), ""!C3:R29"")), {4;10;16;22}, FALSE)), ""=-4"") + COUNTIF(ARRAYFORMULA(HLOOKUP($B9, IMPORTRANGE('Prelim Rankings Unsorted'!$B$42, CONCAT(VLOOKUP($C9, 'Match Names'!$A$1:$D$22, 4, FALSE), """&amp;"!C3:R29"")), {2;8;14;20}, FALSE)), ""=-4"") + COUNTIF(ARRAYFORMULA(HLOOKUP($B9, IMPORTRANGE('Match Names'!$E$23, CONCAT(VLOOKUP($C9, 'Match Names'!$1:$22, 5, FALSE), ""!C3:R29"")), {3;7;18;23}, FALSE)), ""=-4"") + COUNTIF(ARRAYFORMULA(HLOOKUP($B9, IMPORTR"&amp;"ANGE('Match Names'!$F$23, CONCAT(VLOOKUP($C9, 'Match Names'!$1:$22, 6, FALSE), ""!C3:R29"")), {6;12;18;24}, FALSE)), ""=-4"") + COUNTIF(ARRAYFORMULA(HLOOKUP($B9, IMPORTRANGE('Match Names'!$G$23, CONCAT(VLOOKUP($C9, 'Match Names'!$1:$22, 7, FALSE), ""!C3:R"&amp;"29"")), {2;7;17;21}, FALSE)), ""=-4"") + COUNTIF(ARRAYFORMULA(HLOOKUP($B9, IMPORTRANGE('Match Names'!$H$23, CONCAT(VLOOKUP($C9, 'Match Names'!$1:$22, 8, FALSE), ""!C3:R29"")), {4;10;16;22}, FALSE)), ""=-4"")"),0.0)</f>
        <v>0</v>
      </c>
      <c r="H9" s="39">
        <f t="shared" si="1"/>
        <v>0</v>
      </c>
    </row>
    <row r="10">
      <c r="A10" s="38" t="s">
        <v>196</v>
      </c>
      <c r="B10" s="38" t="str">
        <f>VLOOKUP(CONCAT(A10, C10), 'Discord Username to Real Name'!C:D, 2, FALSE)</f>
        <v>haybales#0656</v>
      </c>
      <c r="C10" s="38" t="s">
        <v>17</v>
      </c>
      <c r="D10" s="9">
        <f>IFERROR(__xludf.DUMMYFUNCTION("(4 - COUNTIF(IFERROR(ARRAYFORMULA(HLOOKUP($B10, IMPORTRANGE('Prelim Rankings Unsorted'!$B$40, CONCAT(VLOOKUP($C10, 'Match Names'!$A$1:$D$22, 2, FALSE), ""!C3:R29"")), {3;8;14;20}, FALSE)), 'Player Overall Stats Unsorted'!$AA$9:$AA$12), ""=X"")) + (4 - COU"&amp;"NTIF(IFERROR(ARRAYFORMULA(HLOOKUP($B10, IMPORTRANGE('Prelim Rankings Unsorted'!$B$41, CONCAT(VLOOKUP($C10, 'Match Names'!$A$1:$D$22, 3, FALSE), ""!C3:R29"")), {4;10;16;22}, FALSE)), 'Player Overall Stats Unsorted'!$AA$9:$AA$12), ""=X"")) + (4 - COUNTIF(IF"&amp;"ERROR(ARRAYFORMULA(HLOOKUP($B10, IMPORTRANGE('Prelim Rankings Unsorted'!$B$42, CONCAT(VLOOKUP($C10, 'Match Names'!$A$1:$D$22, 4, FALSE), ""!C3:R29"")), {2;8;14;20}, FALSE)), 'Player Overall Stats Unsorted'!$AA$9:$AA$12), ""=X"")) + (4 - COUNTIF(IFERROR(AR"&amp;"RAYFORMULA(HLOOKUP($B10, IMPORTRANGE('Match Names'!$E$23, CONCAT(VLOOKUP($C10, 'Match Names'!$1:$22, 5, FALSE), ""!C3:R29"")), {3;7;18;23}, FALSE)), 'Player Overall Stats Unsorted'!$AA$9:$AA$12), ""=X"")) + (4 - COUNTIF(IFERROR(ARRAYFORMULA(HLOOKUP($B10, "&amp;"IMPORTRANGE('Match Names'!$F$23, CONCAT(VLOOKUP($C10, 'Match Names'!$1:$22, 6, FALSE), ""!C3:R29"")), {6;12;18;24}, FALSE)), 'Player Overall Stats Unsorted'!$AA$9:$AA$12), ""=X"")) + (4 - COUNTIF(IFERROR(ARRAYFORMULA(HLOOKUP($B10, IMPORTRANGE('Match Names"&amp;"'!$G$23, CONCAT(VLOOKUP($C10, 'Match Names'!$1:$22, 7, FALSE), ""!C3:R29"")), {2;7;17;21}, FALSE)), 'Player Overall Stats Unsorted'!$AA$9:$AA$12), ""=X"")) + (4 - COUNTIF(IFERROR(ARRAYFORMULA(HLOOKUP($B10, IMPORTRANGE('Match Names'!$H$23, CONCAT(VLOOKUP($"&amp;"C10, 'Match Names'!$1:$22, 8, FALSE), ""!C3:R29"")), {4;10;16;22}, FALSE)), 'Player Overall Stats Unsorted'!$AA$9:$AA$12), ""=X""))"),0.0)</f>
        <v>0</v>
      </c>
      <c r="E10" s="9">
        <f>IFERROR(__xludf.DUMMYFUNCTION("COUNTIF(ARRAYFORMULA(HLOOKUP($B10, IMPORTRANGE('Prelim Rankings Unsorted'!$B$40, CONCAT(VLOOKUP($C10, 'Match Names'!$A$1:$D$22, 2, FALSE), ""!C3:R29"")), {3;8;14;20}, FALSE)), ""=4"") + COUNTIF(ARRAYFORMULA(HLOOKUP($B10, IMPORTRANGE('Prelim Rankings Unsor"&amp;"ted'!$B$41, CONCAT(VLOOKUP($C10, 'Match Names'!$A$1:$D$22, 3, FALSE), ""!C3:R29"")), {4;10;16;22}, FALSE)), ""=4"") + COUNTIF(ARRAYFORMULA(HLOOKUP($B10, IMPORTRANGE('Prelim Rankings Unsorted'!$B$42, CONCAT(VLOOKUP($C10, 'Match Names'!$A$1:$D$22, 4, FALSE)"&amp;", ""!C3:R29"")), {2;8;14;20}, FALSE)), ""=4"") + COUNTIF(ARRAYFORMULA(HLOOKUP($B10, IMPORTRANGE('Match Names'!$E$23, CONCAT(VLOOKUP($C10, 'Match Names'!$1:$22, 5, FALSE), ""!C3:R29"")), {3;7;18;23}, FALSE)), ""=4"") + COUNTIF(ARRAYFORMULA(HLOOKUP($B10, IM"&amp;"PORTRANGE('Match Names'!$F$23, CONCAT(VLOOKUP($C10, 'Match Names'!$1:$22, 6, FALSE), ""!C3:R29"")), {6;12;18;24}, FALSE)), ""=4"") + COUNTIF(ARRAYFORMULA(HLOOKUP($B10, IMPORTRANGE('Match Names'!$G$23, CONCAT(VLOOKUP($C10, 'Match Names'!$1:$22, 7, FALSE), "&amp;"""!C3:R29"")), {2;7;17;21}, FALSE)), ""=4"") + COUNTIF(ARRAYFORMULA(HLOOKUP($B10, IMPORTRANGE('Match Names'!$H$23, CONCAT(VLOOKUP($C10, 'Match Names'!$1:$22, 8, FALSE), ""!C3:R29"")), {4;10;16;22}, FALSE)), ""=4"")"),0.0)</f>
        <v>0</v>
      </c>
      <c r="F10" s="9">
        <f>IFERROR(__xludf.DUMMYFUNCTION("COUNTIF(ARRAYFORMULA(HLOOKUP($B10, IMPORTRANGE('Prelim Rankings Unsorted'!$B$40, CONCAT(VLOOKUP($C10, 'Match Names'!$A$1:$D$22, 2, FALSE), ""!C3:R29"")), {3;8;14;20}, FALSE)), ""=0"") + COUNTIF(ARRAYFORMULA(HLOOKUP($B10, IMPORTRANGE('Prelim Rankings Unsor"&amp;"ted'!$B$41, CONCAT(VLOOKUP($C10, 'Match Names'!$A$1:$D$22, 3, FALSE), ""!C3:R29"")), {4;10;16;22}, FALSE)), ""=0"") + COUNTIF(ARRAYFORMULA(HLOOKUP($B10, IMPORTRANGE('Prelim Rankings Unsorted'!$B$42, CONCAT(VLOOKUP($C10, 'Match Names'!$A$1:$D$22, 4, FALSE)"&amp;", ""!C3:R29"")), {2;8;14;20}, FALSE)), ""=0"") + COUNTIF(ARRAYFORMULA(HLOOKUP($B10, IMPORTRANGE('Match Names'!$E$23, CONCAT(VLOOKUP($C10, 'Match Names'!$1:$22, 5, FALSE), ""!C3:R29"")), {3;7;18;23}, FALSE)), ""=0"") + COUNTIF(ARRAYFORMULA(HLOOKUP($B10, IM"&amp;"PORTRANGE('Match Names'!$F$23, CONCAT(VLOOKUP($C10, 'Match Names'!$1:$22, 6, FALSE), ""!C3:R29"")), {6;12;18;24}, FALSE)), ""=0"") + COUNTIF(ARRAYFORMULA(HLOOKUP($B10, IMPORTRANGE('Match Names'!$G$23, CONCAT(VLOOKUP($C10, 'Match Names'!$1:$22, 7, FALSE), "&amp;"""!C3:R29"")), {2;7;17;21}, FALSE)), ""=0"") + COUNTIF(ARRAYFORMULA(HLOOKUP($B10, IMPORTRANGE('Match Names'!$H$23, CONCAT(VLOOKUP($C10, 'Match Names'!$1:$22, 8, FALSE), ""!C3:R29"")), {4;10;16;22}, FALSE)), ""=0"")"),0.0)</f>
        <v>0</v>
      </c>
      <c r="G10" s="9">
        <f>IFERROR(__xludf.DUMMYFUNCTION("COUNTIF(ARRAYFORMULA(HLOOKUP($B10, IMPORTRANGE('Prelim Rankings Unsorted'!$B$40, CONCAT(VLOOKUP($C10, 'Match Names'!$A$1:$D$22, 2, FALSE), ""!C3:R29"")), {3;8;14;20}, FALSE)), ""=-4"") + COUNTIF(ARRAYFORMULA(HLOOKUP($B10, IMPORTRANGE('Prelim Rankings Unso"&amp;"rted'!$B$41, CONCAT(VLOOKUP($C10, 'Match Names'!$A$1:$D$22, 3, FALSE), ""!C3:R29"")), {4;10;16;22}, FALSE)), ""=-4"") + COUNTIF(ARRAYFORMULA(HLOOKUP($B10, IMPORTRANGE('Prelim Rankings Unsorted'!$B$42, CONCAT(VLOOKUP($C10, 'Match Names'!$A$1:$D$22, 4, FALS"&amp;"E), ""!C3:R29"")), {2;8;14;20}, FALSE)), ""=-4"") + COUNTIF(ARRAYFORMULA(HLOOKUP($B10, IMPORTRANGE('Match Names'!$E$23, CONCAT(VLOOKUP($C10, 'Match Names'!$1:$22, 5, FALSE), ""!C3:R29"")), {3;7;18;23}, FALSE)), ""=-4"") + COUNTIF(ARRAYFORMULA(HLOOKUP($B10"&amp;", IMPORTRANGE('Match Names'!$F$23, CONCAT(VLOOKUP($C10, 'Match Names'!$1:$22, 6, FALSE), ""!C3:R29"")), {6;12;18;24}, FALSE)), ""=-4"") + COUNTIF(ARRAYFORMULA(HLOOKUP($B10, IMPORTRANGE('Match Names'!$G$23, CONCAT(VLOOKUP($C10, 'Match Names'!$1:$22, 7, FAL"&amp;"SE), ""!C3:R29"")), {2;7;17;21}, FALSE)), ""=-4"") + COUNTIF(ARRAYFORMULA(HLOOKUP($B10, IMPORTRANGE('Match Names'!$H$23, CONCAT(VLOOKUP($C10, 'Match Names'!$1:$22, 8, FALSE), ""!C3:R29"")), {4;10;16;22}, FALSE)), ""=-4"")"),0.0)</f>
        <v>0</v>
      </c>
      <c r="H10" s="39">
        <f t="shared" si="1"/>
        <v>0</v>
      </c>
    </row>
    <row r="11">
      <c r="A11" s="38" t="s">
        <v>194</v>
      </c>
      <c r="B11" s="38" t="str">
        <f>VLOOKUP(CONCAT(A11, C11), 'Discord Username to Real Name'!C:D, 2, FALSE)</f>
        <v>ez#5904</v>
      </c>
      <c r="C11" s="38" t="s">
        <v>17</v>
      </c>
      <c r="D11" s="9">
        <f>IFERROR(__xludf.DUMMYFUNCTION("(4 - COUNTIF(IFERROR(ARRAYFORMULA(HLOOKUP($B11, IMPORTRANGE('Prelim Rankings Unsorted'!$B$40, CONCAT(VLOOKUP($C11, 'Match Names'!$A$1:$D$22, 2, FALSE), ""!C3:R29"")), {3;8;14;20}, FALSE)), 'Player Overall Stats Unsorted'!$AA$9:$AA$12), ""=X"")) + (4 - COU"&amp;"NTIF(IFERROR(ARRAYFORMULA(HLOOKUP($B11, IMPORTRANGE('Prelim Rankings Unsorted'!$B$41, CONCAT(VLOOKUP($C11, 'Match Names'!$A$1:$D$22, 3, FALSE), ""!C3:R29"")), {4;10;16;22}, FALSE)), 'Player Overall Stats Unsorted'!$AA$9:$AA$12), ""=X"")) + (4 - COUNTIF(IF"&amp;"ERROR(ARRAYFORMULA(HLOOKUP($B11, IMPORTRANGE('Prelim Rankings Unsorted'!$B$42, CONCAT(VLOOKUP($C11, 'Match Names'!$A$1:$D$22, 4, FALSE), ""!C3:R29"")), {2;8;14;20}, FALSE)), 'Player Overall Stats Unsorted'!$AA$9:$AA$12), ""=X"")) + (4 - COUNTIF(IFERROR(AR"&amp;"RAYFORMULA(HLOOKUP($B11, IMPORTRANGE('Match Names'!$E$23, CONCAT(VLOOKUP($C11, 'Match Names'!$1:$22, 5, FALSE), ""!C3:R29"")), {3;7;18;23}, FALSE)), 'Player Overall Stats Unsorted'!$AA$9:$AA$12), ""=X"")) + (4 - COUNTIF(IFERROR(ARRAYFORMULA(HLOOKUP($B11, "&amp;"IMPORTRANGE('Match Names'!$F$23, CONCAT(VLOOKUP($C11, 'Match Names'!$1:$22, 6, FALSE), ""!C3:R29"")), {6;12;18;24}, FALSE)), 'Player Overall Stats Unsorted'!$AA$9:$AA$12), ""=X"")) + (4 - COUNTIF(IFERROR(ARRAYFORMULA(HLOOKUP($B11, IMPORTRANGE('Match Names"&amp;"'!$G$23, CONCAT(VLOOKUP($C11, 'Match Names'!$1:$22, 7, FALSE), ""!C3:R29"")), {2;7;17;21}, FALSE)), 'Player Overall Stats Unsorted'!$AA$9:$AA$12), ""=X"")) + (4 - COUNTIF(IFERROR(ARRAYFORMULA(HLOOKUP($B11, IMPORTRANGE('Match Names'!$H$23, CONCAT(VLOOKUP($"&amp;"C11, 'Match Names'!$1:$22, 8, FALSE), ""!C3:R29"")), {4;10;16;22}, FALSE)), 'Player Overall Stats Unsorted'!$AA$9:$AA$12), ""=X""))"),0.0)</f>
        <v>0</v>
      </c>
      <c r="E11" s="9">
        <f>IFERROR(__xludf.DUMMYFUNCTION("COUNTIF(ARRAYFORMULA(HLOOKUP($B11, IMPORTRANGE('Prelim Rankings Unsorted'!$B$40, CONCAT(VLOOKUP($C11, 'Match Names'!$A$1:$D$22, 2, FALSE), ""!C3:R29"")), {3;8;14;20}, FALSE)), ""=4"") + COUNTIF(ARRAYFORMULA(HLOOKUP($B11, IMPORTRANGE('Prelim Rankings Unsor"&amp;"ted'!$B$41, CONCAT(VLOOKUP($C11, 'Match Names'!$A$1:$D$22, 3, FALSE), ""!C3:R29"")), {4;10;16;22}, FALSE)), ""=4"") + COUNTIF(ARRAYFORMULA(HLOOKUP($B11, IMPORTRANGE('Prelim Rankings Unsorted'!$B$42, CONCAT(VLOOKUP($C11, 'Match Names'!$A$1:$D$22, 4, FALSE)"&amp;", ""!C3:R29"")), {2;8;14;20}, FALSE)), ""=4"") + COUNTIF(ARRAYFORMULA(HLOOKUP($B11, IMPORTRANGE('Match Names'!$E$23, CONCAT(VLOOKUP($C11, 'Match Names'!$1:$22, 5, FALSE), ""!C3:R29"")), {3;7;18;23}, FALSE)), ""=4"") + COUNTIF(ARRAYFORMULA(HLOOKUP($B11, IM"&amp;"PORTRANGE('Match Names'!$F$23, CONCAT(VLOOKUP($C11, 'Match Names'!$1:$22, 6, FALSE), ""!C3:R29"")), {6;12;18;24}, FALSE)), ""=4"") + COUNTIF(ARRAYFORMULA(HLOOKUP($B11, IMPORTRANGE('Match Names'!$G$23, CONCAT(VLOOKUP($C11, 'Match Names'!$1:$22, 7, FALSE), "&amp;"""!C3:R29"")), {2;7;17;21}, FALSE)), ""=4"") + COUNTIF(ARRAYFORMULA(HLOOKUP($B11, IMPORTRANGE('Match Names'!$H$23, CONCAT(VLOOKUP($C11, 'Match Names'!$1:$22, 8, FALSE), ""!C3:R29"")), {4;10;16;22}, FALSE)), ""=4"")"),0.0)</f>
        <v>0</v>
      </c>
      <c r="F11" s="9">
        <f>IFERROR(__xludf.DUMMYFUNCTION("COUNTIF(ARRAYFORMULA(HLOOKUP($B11, IMPORTRANGE('Prelim Rankings Unsorted'!$B$40, CONCAT(VLOOKUP($C11, 'Match Names'!$A$1:$D$22, 2, FALSE), ""!C3:R29"")), {3;8;14;20}, FALSE)), ""=0"") + COUNTIF(ARRAYFORMULA(HLOOKUP($B11, IMPORTRANGE('Prelim Rankings Unsor"&amp;"ted'!$B$41, CONCAT(VLOOKUP($C11, 'Match Names'!$A$1:$D$22, 3, FALSE), ""!C3:R29"")), {4;10;16;22}, FALSE)), ""=0"") + COUNTIF(ARRAYFORMULA(HLOOKUP($B11, IMPORTRANGE('Prelim Rankings Unsorted'!$B$42, CONCAT(VLOOKUP($C11, 'Match Names'!$A$1:$D$22, 4, FALSE)"&amp;", ""!C3:R29"")), {2;8;14;20}, FALSE)), ""=0"") + COUNTIF(ARRAYFORMULA(HLOOKUP($B11, IMPORTRANGE('Match Names'!$E$23, CONCAT(VLOOKUP($C11, 'Match Names'!$1:$22, 5, FALSE), ""!C3:R29"")), {3;7;18;23}, FALSE)), ""=0"") + COUNTIF(ARRAYFORMULA(HLOOKUP($B11, IM"&amp;"PORTRANGE('Match Names'!$F$23, CONCAT(VLOOKUP($C11, 'Match Names'!$1:$22, 6, FALSE), ""!C3:R29"")), {6;12;18;24}, FALSE)), ""=0"") + COUNTIF(ARRAYFORMULA(HLOOKUP($B11, IMPORTRANGE('Match Names'!$G$23, CONCAT(VLOOKUP($C11, 'Match Names'!$1:$22, 7, FALSE), "&amp;"""!C3:R29"")), {2;7;17;21}, FALSE)), ""=0"") + COUNTIF(ARRAYFORMULA(HLOOKUP($B11, IMPORTRANGE('Match Names'!$H$23, CONCAT(VLOOKUP($C11, 'Match Names'!$1:$22, 8, FALSE), ""!C3:R29"")), {4;10;16;22}, FALSE)), ""=0"")"),0.0)</f>
        <v>0</v>
      </c>
      <c r="G11" s="9">
        <f>IFERROR(__xludf.DUMMYFUNCTION("COUNTIF(ARRAYFORMULA(HLOOKUP($B11, IMPORTRANGE('Prelim Rankings Unsorted'!$B$40, CONCAT(VLOOKUP($C11, 'Match Names'!$A$1:$D$22, 2, FALSE), ""!C3:R29"")), {3;8;14;20}, FALSE)), ""=-4"") + COUNTIF(ARRAYFORMULA(HLOOKUP($B11, IMPORTRANGE('Prelim Rankings Unso"&amp;"rted'!$B$41, CONCAT(VLOOKUP($C11, 'Match Names'!$A$1:$D$22, 3, FALSE), ""!C3:R29"")), {4;10;16;22}, FALSE)), ""=-4"") + COUNTIF(ARRAYFORMULA(HLOOKUP($B11, IMPORTRANGE('Prelim Rankings Unsorted'!$B$42, CONCAT(VLOOKUP($C11, 'Match Names'!$A$1:$D$22, 4, FALS"&amp;"E), ""!C3:R29"")), {2;8;14;20}, FALSE)), ""=-4"") + COUNTIF(ARRAYFORMULA(HLOOKUP($B11, IMPORTRANGE('Match Names'!$E$23, CONCAT(VLOOKUP($C11, 'Match Names'!$1:$22, 5, FALSE), ""!C3:R29"")), {3;7;18;23}, FALSE)), ""=-4"") + COUNTIF(ARRAYFORMULA(HLOOKUP($B11"&amp;", IMPORTRANGE('Match Names'!$F$23, CONCAT(VLOOKUP($C11, 'Match Names'!$1:$22, 6, FALSE), ""!C3:R29"")), {6;12;18;24}, FALSE)), ""=-4"") + COUNTIF(ARRAYFORMULA(HLOOKUP($B11, IMPORTRANGE('Match Names'!$G$23, CONCAT(VLOOKUP($C11, 'Match Names'!$1:$22, 7, FAL"&amp;"SE), ""!C3:R29"")), {2;7;17;21}, FALSE)), ""=-4"") + COUNTIF(ARRAYFORMULA(HLOOKUP($B11, IMPORTRANGE('Match Names'!$H$23, CONCAT(VLOOKUP($C11, 'Match Names'!$1:$22, 8, FALSE), ""!C3:R29"")), {4;10;16;22}, FALSE)), ""=-4"")"),0.0)</f>
        <v>0</v>
      </c>
      <c r="H11" s="39">
        <f t="shared" si="1"/>
        <v>0</v>
      </c>
    </row>
    <row r="12">
      <c r="A12" s="38" t="s">
        <v>35</v>
      </c>
      <c r="B12" s="38" t="str">
        <f>VLOOKUP(CONCAT(A12, C12), 'Discord Username to Real Name'!C:D, 2, FALSE)</f>
        <v>borb#6872</v>
      </c>
      <c r="C12" s="38" t="s">
        <v>17</v>
      </c>
      <c r="D12" s="9">
        <f>IFERROR(__xludf.DUMMYFUNCTION("(4 - COUNTIF(IFERROR(ARRAYFORMULA(HLOOKUP($B12, IMPORTRANGE('Prelim Rankings Unsorted'!$B$40, CONCAT(VLOOKUP($C12, 'Match Names'!$A$1:$D$22, 2, FALSE), ""!C3:R29"")), {3;8;14;20}, FALSE)), 'Player Overall Stats Unsorted'!$AA$9:$AA$12), ""=X"")) + (4 - COU"&amp;"NTIF(IFERROR(ARRAYFORMULA(HLOOKUP($B12, IMPORTRANGE('Prelim Rankings Unsorted'!$B$41, CONCAT(VLOOKUP($C12, 'Match Names'!$A$1:$D$22, 3, FALSE), ""!C3:R29"")), {4;10;16;22}, FALSE)), 'Player Overall Stats Unsorted'!$AA$9:$AA$12), ""=X"")) + (4 - COUNTIF(IF"&amp;"ERROR(ARRAYFORMULA(HLOOKUP($B12, IMPORTRANGE('Prelim Rankings Unsorted'!$B$42, CONCAT(VLOOKUP($C12, 'Match Names'!$A$1:$D$22, 4, FALSE), ""!C3:R29"")), {2;8;14;20}, FALSE)), 'Player Overall Stats Unsorted'!$AA$9:$AA$12), ""=X"")) + (4 - COUNTIF(IFERROR(AR"&amp;"RAYFORMULA(HLOOKUP($B12, IMPORTRANGE('Match Names'!$E$23, CONCAT(VLOOKUP($C12, 'Match Names'!$1:$22, 5, FALSE), ""!C3:R29"")), {3;7;18;23}, FALSE)), 'Player Overall Stats Unsorted'!$AA$9:$AA$12), ""=X"")) + (4 - COUNTIF(IFERROR(ARRAYFORMULA(HLOOKUP($B12, "&amp;"IMPORTRANGE('Match Names'!$F$23, CONCAT(VLOOKUP($C12, 'Match Names'!$1:$22, 6, FALSE), ""!C3:R29"")), {6;12;18;24}, FALSE)), 'Player Overall Stats Unsorted'!$AA$9:$AA$12), ""=X"")) + (4 - COUNTIF(IFERROR(ARRAYFORMULA(HLOOKUP($B12, IMPORTRANGE('Match Names"&amp;"'!$G$23, CONCAT(VLOOKUP($C12, 'Match Names'!$1:$22, 7, FALSE), ""!C3:R29"")), {2;7;17;21}, FALSE)), 'Player Overall Stats Unsorted'!$AA$9:$AA$12), ""=X"")) + (4 - COUNTIF(IFERROR(ARRAYFORMULA(HLOOKUP($B12, IMPORTRANGE('Match Names'!$H$23, CONCAT(VLOOKUP($"&amp;"C12, 'Match Names'!$1:$22, 8, FALSE), ""!C3:R29"")), {4;10;16;22}, FALSE)), 'Player Overall Stats Unsorted'!$AA$9:$AA$12), ""=X""))"),16.0)</f>
        <v>16</v>
      </c>
      <c r="E12" s="9">
        <f>IFERROR(__xludf.DUMMYFUNCTION("COUNTIF(ARRAYFORMULA(HLOOKUP($B12, IMPORTRANGE('Prelim Rankings Unsorted'!$B$40, CONCAT(VLOOKUP($C12, 'Match Names'!$A$1:$D$22, 2, FALSE), ""!C3:R29"")), {3;8;14;20}, FALSE)), ""=4"") + COUNTIF(ARRAYFORMULA(HLOOKUP($B12, IMPORTRANGE('Prelim Rankings Unsor"&amp;"ted'!$B$41, CONCAT(VLOOKUP($C12, 'Match Names'!$A$1:$D$22, 3, FALSE), ""!C3:R29"")), {4;10;16;22}, FALSE)), ""=4"") + COUNTIF(ARRAYFORMULA(HLOOKUP($B12, IMPORTRANGE('Prelim Rankings Unsorted'!$B$42, CONCAT(VLOOKUP($C12, 'Match Names'!$A$1:$D$22, 4, FALSE)"&amp;", ""!C3:R29"")), {2;8;14;20}, FALSE)), ""=4"") + COUNTIF(ARRAYFORMULA(HLOOKUP($B12, IMPORTRANGE('Match Names'!$E$23, CONCAT(VLOOKUP($C12, 'Match Names'!$1:$22, 5, FALSE), ""!C3:R29"")), {3;7;18;23}, FALSE)), ""=4"") + COUNTIF(ARRAYFORMULA(HLOOKUP($B12, IM"&amp;"PORTRANGE('Match Names'!$F$23, CONCAT(VLOOKUP($C12, 'Match Names'!$1:$22, 6, FALSE), ""!C3:R29"")), {6;12;18;24}, FALSE)), ""=4"") + COUNTIF(ARRAYFORMULA(HLOOKUP($B12, IMPORTRANGE('Match Names'!$G$23, CONCAT(VLOOKUP($C12, 'Match Names'!$1:$22, 7, FALSE), "&amp;"""!C3:R29"")), {2;7;17;21}, FALSE)), ""=4"") + COUNTIF(ARRAYFORMULA(HLOOKUP($B12, IMPORTRANGE('Match Names'!$H$23, CONCAT(VLOOKUP($C12, 'Match Names'!$1:$22, 8, FALSE), ""!C3:R29"")), {4;10;16;22}, FALSE)), ""=4"")"),4.0)</f>
        <v>4</v>
      </c>
      <c r="F12" s="9">
        <f>IFERROR(__xludf.DUMMYFUNCTION("COUNTIF(ARRAYFORMULA(HLOOKUP($B12, IMPORTRANGE('Prelim Rankings Unsorted'!$B$40, CONCAT(VLOOKUP($C12, 'Match Names'!$A$1:$D$22, 2, FALSE), ""!C3:R29"")), {3;8;14;20}, FALSE)), ""=0"") + COUNTIF(ARRAYFORMULA(HLOOKUP($B12, IMPORTRANGE('Prelim Rankings Unsor"&amp;"ted'!$B$41, CONCAT(VLOOKUP($C12, 'Match Names'!$A$1:$D$22, 3, FALSE), ""!C3:R29"")), {4;10;16;22}, FALSE)), ""=0"") + COUNTIF(ARRAYFORMULA(HLOOKUP($B12, IMPORTRANGE('Prelim Rankings Unsorted'!$B$42, CONCAT(VLOOKUP($C12, 'Match Names'!$A$1:$D$22, 4, FALSE)"&amp;", ""!C3:R29"")), {2;8;14;20}, FALSE)), ""=0"") + COUNTIF(ARRAYFORMULA(HLOOKUP($B12, IMPORTRANGE('Match Names'!$E$23, CONCAT(VLOOKUP($C12, 'Match Names'!$1:$22, 5, FALSE), ""!C3:R29"")), {3;7;18;23}, FALSE)), ""=0"") + COUNTIF(ARRAYFORMULA(HLOOKUP($B12, IM"&amp;"PORTRANGE('Match Names'!$F$23, CONCAT(VLOOKUP($C12, 'Match Names'!$1:$22, 6, FALSE), ""!C3:R29"")), {6;12;18;24}, FALSE)), ""=0"") + COUNTIF(ARRAYFORMULA(HLOOKUP($B12, IMPORTRANGE('Match Names'!$G$23, CONCAT(VLOOKUP($C12, 'Match Names'!$1:$22, 7, FALSE), "&amp;"""!C3:R29"")), {2;7;17;21}, FALSE)), ""=0"") + COUNTIF(ARRAYFORMULA(HLOOKUP($B12, IMPORTRANGE('Match Names'!$H$23, CONCAT(VLOOKUP($C12, 'Match Names'!$1:$22, 8, FALSE), ""!C3:R29"")), {4;10;16;22}, FALSE)), ""=0"")"),6.0)</f>
        <v>6</v>
      </c>
      <c r="G12" s="9">
        <f>IFERROR(__xludf.DUMMYFUNCTION("COUNTIF(ARRAYFORMULA(HLOOKUP($B12, IMPORTRANGE('Prelim Rankings Unsorted'!$B$40, CONCAT(VLOOKUP($C12, 'Match Names'!$A$1:$D$22, 2, FALSE), ""!C3:R29"")), {3;8;14;20}, FALSE)), ""=-4"") + COUNTIF(ARRAYFORMULA(HLOOKUP($B12, IMPORTRANGE('Prelim Rankings Unso"&amp;"rted'!$B$41, CONCAT(VLOOKUP($C12, 'Match Names'!$A$1:$D$22, 3, FALSE), ""!C3:R29"")), {4;10;16;22}, FALSE)), ""=-4"") + COUNTIF(ARRAYFORMULA(HLOOKUP($B12, IMPORTRANGE('Prelim Rankings Unsorted'!$B$42, CONCAT(VLOOKUP($C12, 'Match Names'!$A$1:$D$22, 4, FALS"&amp;"E), ""!C3:R29"")), {2;8;14;20}, FALSE)), ""=-4"") + COUNTIF(ARRAYFORMULA(HLOOKUP($B12, IMPORTRANGE('Match Names'!$E$23, CONCAT(VLOOKUP($C12, 'Match Names'!$1:$22, 5, FALSE), ""!C3:R29"")), {3;7;18;23}, FALSE)), ""=-4"") + COUNTIF(ARRAYFORMULA(HLOOKUP($B12"&amp;", IMPORTRANGE('Match Names'!$F$23, CONCAT(VLOOKUP($C12, 'Match Names'!$1:$22, 6, FALSE), ""!C3:R29"")), {6;12;18;24}, FALSE)), ""=-4"") + COUNTIF(ARRAYFORMULA(HLOOKUP($B12, IMPORTRANGE('Match Names'!$G$23, CONCAT(VLOOKUP($C12, 'Match Names'!$1:$22, 7, FAL"&amp;"SE), ""!C3:R29"")), {2;7;17;21}, FALSE)), ""=-4"") + COUNTIF(ARRAYFORMULA(HLOOKUP($B12, IMPORTRANGE('Match Names'!$H$23, CONCAT(VLOOKUP($C12, 'Match Names'!$1:$22, 8, FALSE), ""!C3:R29"")), {4;10;16;22}, FALSE)), ""=-4"")"),0.0)</f>
        <v>0</v>
      </c>
      <c r="H12" s="39">
        <f t="shared" si="1"/>
        <v>4</v>
      </c>
    </row>
    <row r="13">
      <c r="A13" s="38" t="s">
        <v>158</v>
      </c>
      <c r="B13" s="38" t="str">
        <f>VLOOKUP(CONCAT(A13, C13), 'Discord Username to Real Name'!C:D, 2, FALSE)</f>
        <v>TreefallGap#0407</v>
      </c>
      <c r="C13" s="38" t="s">
        <v>17</v>
      </c>
      <c r="D13" s="9">
        <f>IFERROR(__xludf.DUMMYFUNCTION("(4 - COUNTIF(IFERROR(ARRAYFORMULA(HLOOKUP($B13, IMPORTRANGE('Prelim Rankings Unsorted'!$B$40, CONCAT(VLOOKUP($C13, 'Match Names'!$A$1:$D$22, 2, FALSE), ""!C3:R29"")), {3;8;14;20}, FALSE)), 'Player Overall Stats Unsorted'!$AA$9:$AA$12), ""=X"")) + (4 - COU"&amp;"NTIF(IFERROR(ARRAYFORMULA(HLOOKUP($B13, IMPORTRANGE('Prelim Rankings Unsorted'!$B$41, CONCAT(VLOOKUP($C13, 'Match Names'!$A$1:$D$22, 3, FALSE), ""!C3:R29"")), {4;10;16;22}, FALSE)), 'Player Overall Stats Unsorted'!$AA$9:$AA$12), ""=X"")) + (4 - COUNTIF(IF"&amp;"ERROR(ARRAYFORMULA(HLOOKUP($B13, IMPORTRANGE('Prelim Rankings Unsorted'!$B$42, CONCAT(VLOOKUP($C13, 'Match Names'!$A$1:$D$22, 4, FALSE), ""!C3:R29"")), {2;8;14;20}, FALSE)), 'Player Overall Stats Unsorted'!$AA$9:$AA$12), ""=X"")) + (4 - COUNTIF(IFERROR(AR"&amp;"RAYFORMULA(HLOOKUP($B13, IMPORTRANGE('Match Names'!$E$23, CONCAT(VLOOKUP($C13, 'Match Names'!$1:$22, 5, FALSE), ""!C3:R29"")), {3;7;18;23}, FALSE)), 'Player Overall Stats Unsorted'!$AA$9:$AA$12), ""=X"")) + (4 - COUNTIF(IFERROR(ARRAYFORMULA(HLOOKUP($B13, "&amp;"IMPORTRANGE('Match Names'!$F$23, CONCAT(VLOOKUP($C13, 'Match Names'!$1:$22, 6, FALSE), ""!C3:R29"")), {6;12;18;24}, FALSE)), 'Player Overall Stats Unsorted'!$AA$9:$AA$12), ""=X"")) + (4 - COUNTIF(IFERROR(ARRAYFORMULA(HLOOKUP($B13, IMPORTRANGE('Match Names"&amp;"'!$G$23, CONCAT(VLOOKUP($C13, 'Match Names'!$1:$22, 7, FALSE), ""!C3:R29"")), {2;7;17;21}, FALSE)), 'Player Overall Stats Unsorted'!$AA$9:$AA$12), ""=X"")) + (4 - COUNTIF(IFERROR(ARRAYFORMULA(HLOOKUP($B13, IMPORTRANGE('Match Names'!$H$23, CONCAT(VLOOKUP($"&amp;"C13, 'Match Names'!$1:$22, 8, FALSE), ""!C3:R29"")), {4;10;16;22}, FALSE)), 'Player Overall Stats Unsorted'!$AA$9:$AA$12), ""=X""))"),16.0)</f>
        <v>16</v>
      </c>
      <c r="E13" s="9">
        <f>IFERROR(__xludf.DUMMYFUNCTION("COUNTIF(ARRAYFORMULA(HLOOKUP($B13, IMPORTRANGE('Prelim Rankings Unsorted'!$B$40, CONCAT(VLOOKUP($C13, 'Match Names'!$A$1:$D$22, 2, FALSE), ""!C3:R29"")), {3;8;14;20}, FALSE)), ""=4"") + COUNTIF(ARRAYFORMULA(HLOOKUP($B13, IMPORTRANGE('Prelim Rankings Unsor"&amp;"ted'!$B$41, CONCAT(VLOOKUP($C13, 'Match Names'!$A$1:$D$22, 3, FALSE), ""!C3:R29"")), {4;10;16;22}, FALSE)), ""=4"") + COUNTIF(ARRAYFORMULA(HLOOKUP($B13, IMPORTRANGE('Prelim Rankings Unsorted'!$B$42, CONCAT(VLOOKUP($C13, 'Match Names'!$A$1:$D$22, 4, FALSE)"&amp;", ""!C3:R29"")), {2;8;14;20}, FALSE)), ""=4"") + COUNTIF(ARRAYFORMULA(HLOOKUP($B13, IMPORTRANGE('Match Names'!$E$23, CONCAT(VLOOKUP($C13, 'Match Names'!$1:$22, 5, FALSE), ""!C3:R29"")), {3;7;18;23}, FALSE)), ""=4"") + COUNTIF(ARRAYFORMULA(HLOOKUP($B13, IM"&amp;"PORTRANGE('Match Names'!$F$23, CONCAT(VLOOKUP($C13, 'Match Names'!$1:$22, 6, FALSE), ""!C3:R29"")), {6;12;18;24}, FALSE)), ""=4"") + COUNTIF(ARRAYFORMULA(HLOOKUP($B13, IMPORTRANGE('Match Names'!$G$23, CONCAT(VLOOKUP($C13, 'Match Names'!$1:$22, 7, FALSE), "&amp;"""!C3:R29"")), {2;7;17;21}, FALSE)), ""=4"") + COUNTIF(ARRAYFORMULA(HLOOKUP($B13, IMPORTRANGE('Match Names'!$H$23, CONCAT(VLOOKUP($C13, 'Match Names'!$1:$22, 8, FALSE), ""!C3:R29"")), {4;10;16;22}, FALSE)), ""=4"")"),0.0)</f>
        <v>0</v>
      </c>
      <c r="F13" s="9">
        <f>IFERROR(__xludf.DUMMYFUNCTION("COUNTIF(ARRAYFORMULA(HLOOKUP($B13, IMPORTRANGE('Prelim Rankings Unsorted'!$B$40, CONCAT(VLOOKUP($C13, 'Match Names'!$A$1:$D$22, 2, FALSE), ""!C3:R29"")), {3;8;14;20}, FALSE)), ""=0"") + COUNTIF(ARRAYFORMULA(HLOOKUP($B13, IMPORTRANGE('Prelim Rankings Unsor"&amp;"ted'!$B$41, CONCAT(VLOOKUP($C13, 'Match Names'!$A$1:$D$22, 3, FALSE), ""!C3:R29"")), {4;10;16;22}, FALSE)), ""=0"") + COUNTIF(ARRAYFORMULA(HLOOKUP($B13, IMPORTRANGE('Prelim Rankings Unsorted'!$B$42, CONCAT(VLOOKUP($C13, 'Match Names'!$A$1:$D$22, 4, FALSE)"&amp;", ""!C3:R29"")), {2;8;14;20}, FALSE)), ""=0"") + COUNTIF(ARRAYFORMULA(HLOOKUP($B13, IMPORTRANGE('Match Names'!$E$23, CONCAT(VLOOKUP($C13, 'Match Names'!$1:$22, 5, FALSE), ""!C3:R29"")), {3;7;18;23}, FALSE)), ""=0"") + COUNTIF(ARRAYFORMULA(HLOOKUP($B13, IM"&amp;"PORTRANGE('Match Names'!$F$23, CONCAT(VLOOKUP($C13, 'Match Names'!$1:$22, 6, FALSE), ""!C3:R29"")), {6;12;18;24}, FALSE)), ""=0"") + COUNTIF(ARRAYFORMULA(HLOOKUP($B13, IMPORTRANGE('Match Names'!$G$23, CONCAT(VLOOKUP($C13, 'Match Names'!$1:$22, 7, FALSE), "&amp;"""!C3:R29"")), {2;7;17;21}, FALSE)), ""=0"") + COUNTIF(ARRAYFORMULA(HLOOKUP($B13, IMPORTRANGE('Match Names'!$H$23, CONCAT(VLOOKUP($C13, 'Match Names'!$1:$22, 8, FALSE), ""!C3:R29"")), {4;10;16;22}, FALSE)), ""=0"")"),0.0)</f>
        <v>0</v>
      </c>
      <c r="G13" s="9">
        <f>IFERROR(__xludf.DUMMYFUNCTION("COUNTIF(ARRAYFORMULA(HLOOKUP($B13, IMPORTRANGE('Prelim Rankings Unsorted'!$B$40, CONCAT(VLOOKUP($C13, 'Match Names'!$A$1:$D$22, 2, FALSE), ""!C3:R29"")), {3;8;14;20}, FALSE)), ""=-4"") + COUNTIF(ARRAYFORMULA(HLOOKUP($B13, IMPORTRANGE('Prelim Rankings Unso"&amp;"rted'!$B$41, CONCAT(VLOOKUP($C13, 'Match Names'!$A$1:$D$22, 3, FALSE), ""!C3:R29"")), {4;10;16;22}, FALSE)), ""=-4"") + COUNTIF(ARRAYFORMULA(HLOOKUP($B13, IMPORTRANGE('Prelim Rankings Unsorted'!$B$42, CONCAT(VLOOKUP($C13, 'Match Names'!$A$1:$D$22, 4, FALS"&amp;"E), ""!C3:R29"")), {2;8;14;20}, FALSE)), ""=-4"") + COUNTIF(ARRAYFORMULA(HLOOKUP($B13, IMPORTRANGE('Match Names'!$E$23, CONCAT(VLOOKUP($C13, 'Match Names'!$1:$22, 5, FALSE), ""!C3:R29"")), {3;7;18;23}, FALSE)), ""=-4"") + COUNTIF(ARRAYFORMULA(HLOOKUP($B13"&amp;", IMPORTRANGE('Match Names'!$F$23, CONCAT(VLOOKUP($C13, 'Match Names'!$1:$22, 6, FALSE), ""!C3:R29"")), {6;12;18;24}, FALSE)), ""=-4"") + COUNTIF(ARRAYFORMULA(HLOOKUP($B13, IMPORTRANGE('Match Names'!$G$23, CONCAT(VLOOKUP($C13, 'Match Names'!$1:$22, 7, FAL"&amp;"SE), ""!C3:R29"")), {2;7;17;21}, FALSE)), ""=-4"") + COUNTIF(ARRAYFORMULA(HLOOKUP($B13, IMPORTRANGE('Match Names'!$H$23, CONCAT(VLOOKUP($C13, 'Match Names'!$1:$22, 8, FALSE), ""!C3:R29"")), {4;10;16;22}, FALSE)), ""=-4"")"),0.0)</f>
        <v>0</v>
      </c>
      <c r="H13" s="39">
        <f t="shared" si="1"/>
        <v>0</v>
      </c>
    </row>
    <row r="14">
      <c r="A14" s="7" t="s">
        <v>39</v>
      </c>
      <c r="B14" s="38" t="str">
        <f>VLOOKUP(CONCAT(A14, C14), 'Discord Username to Real Name'!C:D, 2, FALSE)</f>
        <v>ThisIsDenry#0446</v>
      </c>
      <c r="C14" s="38" t="s">
        <v>21</v>
      </c>
      <c r="D14" s="9">
        <f>IFERROR(__xludf.DUMMYFUNCTION("(4 - COUNTIF(IFERROR(ARRAYFORMULA(HLOOKUP($B14, IMPORTRANGE('Prelim Rankings Unsorted'!$B$40, CONCAT(VLOOKUP($C14, 'Match Names'!$A$1:$D$22, 2, FALSE), ""!C3:R29"")), {3;8;14;20}, FALSE)), 'Player Overall Stats Unsorted'!$AA$9:$AA$12), ""=X"")) + (4 - COU"&amp;"NTIF(IFERROR(ARRAYFORMULA(HLOOKUP($B14, IMPORTRANGE('Prelim Rankings Unsorted'!$B$41, CONCAT(VLOOKUP($C14, 'Match Names'!$A$1:$D$22, 3, FALSE), ""!C3:R29"")), {4;10;16;22}, FALSE)), 'Player Overall Stats Unsorted'!$AA$9:$AA$12), ""=X"")) + (4 - COUNTIF(IF"&amp;"ERROR(ARRAYFORMULA(HLOOKUP($B14, IMPORTRANGE('Prelim Rankings Unsorted'!$B$42, CONCAT(VLOOKUP($C14, 'Match Names'!$A$1:$D$22, 4, FALSE), ""!C3:R29"")), {2;8;14;20}, FALSE)), 'Player Overall Stats Unsorted'!$AA$9:$AA$12), ""=X"")) + (4 - COUNTIF(IFERROR(AR"&amp;"RAYFORMULA(HLOOKUP($B14, IMPORTRANGE('Match Names'!$E$23, CONCAT(VLOOKUP($C14, 'Match Names'!$1:$22, 5, FALSE), ""!C3:R29"")), {3;7;18;23}, FALSE)), 'Player Overall Stats Unsorted'!$AA$9:$AA$12), ""=X"")) + (4 - COUNTIF(IFERROR(ARRAYFORMULA(HLOOKUP($B14, "&amp;"IMPORTRANGE('Match Names'!$F$23, CONCAT(VLOOKUP($C14, 'Match Names'!$1:$22, 6, FALSE), ""!C3:R29"")), {6;12;18;24}, FALSE)), 'Player Overall Stats Unsorted'!$AA$9:$AA$12), ""=X"")) + (4 - COUNTIF(IFERROR(ARRAYFORMULA(HLOOKUP($B14, IMPORTRANGE('Match Names"&amp;"'!$G$23, CONCAT(VLOOKUP($C14, 'Match Names'!$1:$22, 7, FALSE), ""!C3:R29"")), {2;7;17;21}, FALSE)), 'Player Overall Stats Unsorted'!$AA$9:$AA$12), ""=X"")) + (4 - COUNTIF(IFERROR(ARRAYFORMULA(HLOOKUP($B14, IMPORTRANGE('Match Names'!$H$23, CONCAT(VLOOKUP($"&amp;"C14, 'Match Names'!$1:$22, 8, FALSE), ""!C3:R29"")), {4;10;16;22}, FALSE)), 'Player Overall Stats Unsorted'!$AA$9:$AA$12), ""=X""))"),20.0)</f>
        <v>20</v>
      </c>
      <c r="E14" s="9">
        <f>IFERROR(__xludf.DUMMYFUNCTION("COUNTIF(ARRAYFORMULA(HLOOKUP($B14, IMPORTRANGE('Prelim Rankings Unsorted'!$B$40, CONCAT(VLOOKUP($C14, 'Match Names'!$A$1:$D$22, 2, FALSE), ""!C3:R29"")), {3;8;14;20}, FALSE)), ""=4"") + COUNTIF(ARRAYFORMULA(HLOOKUP($B14, IMPORTRANGE('Prelim Rankings Unsor"&amp;"ted'!$B$41, CONCAT(VLOOKUP($C14, 'Match Names'!$A$1:$D$22, 3, FALSE), ""!C3:R29"")), {4;10;16;22}, FALSE)), ""=4"") + COUNTIF(ARRAYFORMULA(HLOOKUP($B14, IMPORTRANGE('Prelim Rankings Unsorted'!$B$42, CONCAT(VLOOKUP($C14, 'Match Names'!$A$1:$D$22, 4, FALSE)"&amp;", ""!C3:R29"")), {2;8;14;20}, FALSE)), ""=4"") + COUNTIF(ARRAYFORMULA(HLOOKUP($B14, IMPORTRANGE('Match Names'!$E$23, CONCAT(VLOOKUP($C14, 'Match Names'!$1:$22, 5, FALSE), ""!C3:R29"")), {3;7;18;23}, FALSE)), ""=4"") + COUNTIF(ARRAYFORMULA(HLOOKUP($B14, IM"&amp;"PORTRANGE('Match Names'!$F$23, CONCAT(VLOOKUP($C14, 'Match Names'!$1:$22, 6, FALSE), ""!C3:R29"")), {6;12;18;24}, FALSE)), ""=4"") + COUNTIF(ARRAYFORMULA(HLOOKUP($B14, IMPORTRANGE('Match Names'!$G$23, CONCAT(VLOOKUP($C14, 'Match Names'!$1:$22, 7, FALSE), "&amp;"""!C3:R29"")), {2;7;17;21}, FALSE)), ""=4"") + COUNTIF(ARRAYFORMULA(HLOOKUP($B14, IMPORTRANGE('Match Names'!$H$23, CONCAT(VLOOKUP($C14, 'Match Names'!$1:$22, 8, FALSE), ""!C3:R29"")), {4;10;16;22}, FALSE)), ""=4"")"),7.0)</f>
        <v>7</v>
      </c>
      <c r="F14" s="9">
        <f>IFERROR(__xludf.DUMMYFUNCTION("COUNTIF(ARRAYFORMULA(HLOOKUP($B14, IMPORTRANGE('Prelim Rankings Unsorted'!$B$40, CONCAT(VLOOKUP($C14, 'Match Names'!$A$1:$D$22, 2, FALSE), ""!C3:R29"")), {3;8;14;20}, FALSE)), ""=0"") + COUNTIF(ARRAYFORMULA(HLOOKUP($B14, IMPORTRANGE('Prelim Rankings Unsor"&amp;"ted'!$B$41, CONCAT(VLOOKUP($C14, 'Match Names'!$A$1:$D$22, 3, FALSE), ""!C3:R29"")), {4;10;16;22}, FALSE)), ""=0"") + COUNTIF(ARRAYFORMULA(HLOOKUP($B14, IMPORTRANGE('Prelim Rankings Unsorted'!$B$42, CONCAT(VLOOKUP($C14, 'Match Names'!$A$1:$D$22, 4, FALSE)"&amp;", ""!C3:R29"")), {2;8;14;20}, FALSE)), ""=0"") + COUNTIF(ARRAYFORMULA(HLOOKUP($B14, IMPORTRANGE('Match Names'!$E$23, CONCAT(VLOOKUP($C14, 'Match Names'!$1:$22, 5, FALSE), ""!C3:R29"")), {3;7;18;23}, FALSE)), ""=0"") + COUNTIF(ARRAYFORMULA(HLOOKUP($B14, IM"&amp;"PORTRANGE('Match Names'!$F$23, CONCAT(VLOOKUP($C14, 'Match Names'!$1:$22, 6, FALSE), ""!C3:R29"")), {6;12;18;24}, FALSE)), ""=0"") + COUNTIF(ARRAYFORMULA(HLOOKUP($B14, IMPORTRANGE('Match Names'!$G$23, CONCAT(VLOOKUP($C14, 'Match Names'!$1:$22, 7, FALSE), "&amp;"""!C3:R29"")), {2;7;17;21}, FALSE)), ""=0"") + COUNTIF(ARRAYFORMULA(HLOOKUP($B14, IMPORTRANGE('Match Names'!$H$23, CONCAT(VLOOKUP($C14, 'Match Names'!$1:$22, 8, FALSE), ""!C3:R29"")), {4;10;16;22}, FALSE)), ""=0"")"),7.0)</f>
        <v>7</v>
      </c>
      <c r="G14" s="9">
        <f>IFERROR(__xludf.DUMMYFUNCTION("COUNTIF(ARRAYFORMULA(HLOOKUP($B14, IMPORTRANGE('Prelim Rankings Unsorted'!$B$40, CONCAT(VLOOKUP($C14, 'Match Names'!$A$1:$D$22, 2, FALSE), ""!C3:R29"")), {3;8;14;20}, FALSE)), ""=-4"") + COUNTIF(ARRAYFORMULA(HLOOKUP($B14, IMPORTRANGE('Prelim Rankings Unso"&amp;"rted'!$B$41, CONCAT(VLOOKUP($C14, 'Match Names'!$A$1:$D$22, 3, FALSE), ""!C3:R29"")), {4;10;16;22}, FALSE)), ""=-4"") + COUNTIF(ARRAYFORMULA(HLOOKUP($B14, IMPORTRANGE('Prelim Rankings Unsorted'!$B$42, CONCAT(VLOOKUP($C14, 'Match Names'!$A$1:$D$22, 4, FALS"&amp;"E), ""!C3:R29"")), {2;8;14;20}, FALSE)), ""=-4"") + COUNTIF(ARRAYFORMULA(HLOOKUP($B14, IMPORTRANGE('Match Names'!$E$23, CONCAT(VLOOKUP($C14, 'Match Names'!$1:$22, 5, FALSE), ""!C3:R29"")), {3;7;18;23}, FALSE)), ""=-4"") + COUNTIF(ARRAYFORMULA(HLOOKUP($B14"&amp;", IMPORTRANGE('Match Names'!$F$23, CONCAT(VLOOKUP($C14, 'Match Names'!$1:$22, 6, FALSE), ""!C3:R29"")), {6;12;18;24}, FALSE)), ""=-4"") + COUNTIF(ARRAYFORMULA(HLOOKUP($B14, IMPORTRANGE('Match Names'!$G$23, CONCAT(VLOOKUP($C14, 'Match Names'!$1:$22, 7, FAL"&amp;"SE), ""!C3:R29"")), {2;7;17;21}, FALSE)), ""=-4"") + COUNTIF(ARRAYFORMULA(HLOOKUP($B14, IMPORTRANGE('Match Names'!$H$23, CONCAT(VLOOKUP($C14, 'Match Names'!$1:$22, 8, FALSE), ""!C3:R29"")), {4;10;16;22}, FALSE)), ""=-4"")"),0.0)</f>
        <v>0</v>
      </c>
      <c r="H14" s="39">
        <f t="shared" si="1"/>
        <v>5.6</v>
      </c>
    </row>
    <row r="15">
      <c r="A15" s="38" t="s">
        <v>152</v>
      </c>
      <c r="B15" s="38" t="str">
        <f>VLOOKUP(CONCAT(A15, C15), 'Discord Username to Real Name'!C:D, 2, FALSE)</f>
        <v>hsuehpooy#7813</v>
      </c>
      <c r="C15" s="38" t="s">
        <v>21</v>
      </c>
      <c r="D15" s="9">
        <f>IFERROR(__xludf.DUMMYFUNCTION("(4 - COUNTIF(IFERROR(ARRAYFORMULA(HLOOKUP($B15, IMPORTRANGE('Prelim Rankings Unsorted'!$B$40, CONCAT(VLOOKUP($C15, 'Match Names'!$A$1:$D$22, 2, FALSE), ""!C3:R29"")), {3;8;14;20}, FALSE)), 'Player Overall Stats Unsorted'!$AA$9:$AA$12), ""=X"")) + (4 - COU"&amp;"NTIF(IFERROR(ARRAYFORMULA(HLOOKUP($B15, IMPORTRANGE('Prelim Rankings Unsorted'!$B$41, CONCAT(VLOOKUP($C15, 'Match Names'!$A$1:$D$22, 3, FALSE), ""!C3:R29"")), {4;10;16;22}, FALSE)), 'Player Overall Stats Unsorted'!$AA$9:$AA$12), ""=X"")) + (4 - COUNTIF(IF"&amp;"ERROR(ARRAYFORMULA(HLOOKUP($B15, IMPORTRANGE('Prelim Rankings Unsorted'!$B$42, CONCAT(VLOOKUP($C15, 'Match Names'!$A$1:$D$22, 4, FALSE), ""!C3:R29"")), {2;8;14;20}, FALSE)), 'Player Overall Stats Unsorted'!$AA$9:$AA$12), ""=X"")) + (4 - COUNTIF(IFERROR(AR"&amp;"RAYFORMULA(HLOOKUP($B15, IMPORTRANGE('Match Names'!$E$23, CONCAT(VLOOKUP($C15, 'Match Names'!$1:$22, 5, FALSE), ""!C3:R29"")), {3;7;18;23}, FALSE)), 'Player Overall Stats Unsorted'!$AA$9:$AA$12), ""=X"")) + (4 - COUNTIF(IFERROR(ARRAYFORMULA(HLOOKUP($B15, "&amp;"IMPORTRANGE('Match Names'!$F$23, CONCAT(VLOOKUP($C15, 'Match Names'!$1:$22, 6, FALSE), ""!C3:R29"")), {6;12;18;24}, FALSE)), 'Player Overall Stats Unsorted'!$AA$9:$AA$12), ""=X"")) + (4 - COUNTIF(IFERROR(ARRAYFORMULA(HLOOKUP($B15, IMPORTRANGE('Match Names"&amp;"'!$G$23, CONCAT(VLOOKUP($C15, 'Match Names'!$1:$22, 7, FALSE), ""!C3:R29"")), {2;7;17;21}, FALSE)), 'Player Overall Stats Unsorted'!$AA$9:$AA$12), ""=X"")) + (4 - COUNTIF(IFERROR(ARRAYFORMULA(HLOOKUP($B15, IMPORTRANGE('Match Names'!$H$23, CONCAT(VLOOKUP($"&amp;"C15, 'Match Names'!$1:$22, 8, FALSE), ""!C3:R29"")), {4;10;16;22}, FALSE)), 'Player Overall Stats Unsorted'!$AA$9:$AA$12), ""=X""))"),18.0)</f>
        <v>18</v>
      </c>
      <c r="E15" s="9">
        <f>IFERROR(__xludf.DUMMYFUNCTION("COUNTIF(ARRAYFORMULA(HLOOKUP($B15, IMPORTRANGE('Prelim Rankings Unsorted'!$B$40, CONCAT(VLOOKUP($C15, 'Match Names'!$A$1:$D$22, 2, FALSE), ""!C3:R29"")), {3;8;14;20}, FALSE)), ""=4"") + COUNTIF(ARRAYFORMULA(HLOOKUP($B15, IMPORTRANGE('Prelim Rankings Unsor"&amp;"ted'!$B$41, CONCAT(VLOOKUP($C15, 'Match Names'!$A$1:$D$22, 3, FALSE), ""!C3:R29"")), {4;10;16;22}, FALSE)), ""=4"") + COUNTIF(ARRAYFORMULA(HLOOKUP($B15, IMPORTRANGE('Prelim Rankings Unsorted'!$B$42, CONCAT(VLOOKUP($C15, 'Match Names'!$A$1:$D$22, 4, FALSE)"&amp;", ""!C3:R29"")), {2;8;14;20}, FALSE)), ""=4"") + COUNTIF(ARRAYFORMULA(HLOOKUP($B15, IMPORTRANGE('Match Names'!$E$23, CONCAT(VLOOKUP($C15, 'Match Names'!$1:$22, 5, FALSE), ""!C3:R29"")), {3;7;18;23}, FALSE)), ""=4"") + COUNTIF(ARRAYFORMULA(HLOOKUP($B15, IM"&amp;"PORTRANGE('Match Names'!$F$23, CONCAT(VLOOKUP($C15, 'Match Names'!$1:$22, 6, FALSE), ""!C3:R29"")), {6;12;18;24}, FALSE)), ""=4"") + COUNTIF(ARRAYFORMULA(HLOOKUP($B15, IMPORTRANGE('Match Names'!$G$23, CONCAT(VLOOKUP($C15, 'Match Names'!$1:$22, 7, FALSE), "&amp;"""!C3:R29"")), {2;7;17;21}, FALSE)), ""=4"") + COUNTIF(ARRAYFORMULA(HLOOKUP($B15, IMPORTRANGE('Match Names'!$H$23, CONCAT(VLOOKUP($C15, 'Match Names'!$1:$22, 8, FALSE), ""!C3:R29"")), {4;10;16;22}, FALSE)), ""=4"")"),0.0)</f>
        <v>0</v>
      </c>
      <c r="F15" s="9">
        <f>IFERROR(__xludf.DUMMYFUNCTION("COUNTIF(ARRAYFORMULA(HLOOKUP($B15, IMPORTRANGE('Prelim Rankings Unsorted'!$B$40, CONCAT(VLOOKUP($C15, 'Match Names'!$A$1:$D$22, 2, FALSE), ""!C3:R29"")), {3;8;14;20}, FALSE)), ""=0"") + COUNTIF(ARRAYFORMULA(HLOOKUP($B15, IMPORTRANGE('Prelim Rankings Unsor"&amp;"ted'!$B$41, CONCAT(VLOOKUP($C15, 'Match Names'!$A$1:$D$22, 3, FALSE), ""!C3:R29"")), {4;10;16;22}, FALSE)), ""=0"") + COUNTIF(ARRAYFORMULA(HLOOKUP($B15, IMPORTRANGE('Prelim Rankings Unsorted'!$B$42, CONCAT(VLOOKUP($C15, 'Match Names'!$A$1:$D$22, 4, FALSE)"&amp;", ""!C3:R29"")), {2;8;14;20}, FALSE)), ""=0"") + COUNTIF(ARRAYFORMULA(HLOOKUP($B15, IMPORTRANGE('Match Names'!$E$23, CONCAT(VLOOKUP($C15, 'Match Names'!$1:$22, 5, FALSE), ""!C3:R29"")), {3;7;18;23}, FALSE)), ""=0"") + COUNTIF(ARRAYFORMULA(HLOOKUP($B15, IM"&amp;"PORTRANGE('Match Names'!$F$23, CONCAT(VLOOKUP($C15, 'Match Names'!$1:$22, 6, FALSE), ""!C3:R29"")), {6;12;18;24}, FALSE)), ""=0"") + COUNTIF(ARRAYFORMULA(HLOOKUP($B15, IMPORTRANGE('Match Names'!$G$23, CONCAT(VLOOKUP($C15, 'Match Names'!$1:$22, 7, FALSE), "&amp;"""!C3:R29"")), {2;7;17;21}, FALSE)), ""=0"") + COUNTIF(ARRAYFORMULA(HLOOKUP($B15, IMPORTRANGE('Match Names'!$H$23, CONCAT(VLOOKUP($C15, 'Match Names'!$1:$22, 8, FALSE), ""!C3:R29"")), {4;10;16;22}, FALSE)), ""=0"")"),0.0)</f>
        <v>0</v>
      </c>
      <c r="G15" s="9">
        <f>IFERROR(__xludf.DUMMYFUNCTION("COUNTIF(ARRAYFORMULA(HLOOKUP($B15, IMPORTRANGE('Prelim Rankings Unsorted'!$B$40, CONCAT(VLOOKUP($C15, 'Match Names'!$A$1:$D$22, 2, FALSE), ""!C3:R29"")), {3;8;14;20}, FALSE)), ""=-4"") + COUNTIF(ARRAYFORMULA(HLOOKUP($B15, IMPORTRANGE('Prelim Rankings Unso"&amp;"rted'!$B$41, CONCAT(VLOOKUP($C15, 'Match Names'!$A$1:$D$22, 3, FALSE), ""!C3:R29"")), {4;10;16;22}, FALSE)), ""=-4"") + COUNTIF(ARRAYFORMULA(HLOOKUP($B15, IMPORTRANGE('Prelim Rankings Unsorted'!$B$42, CONCAT(VLOOKUP($C15, 'Match Names'!$A$1:$D$22, 4, FALS"&amp;"E), ""!C3:R29"")), {2;8;14;20}, FALSE)), ""=-4"") + COUNTIF(ARRAYFORMULA(HLOOKUP($B15, IMPORTRANGE('Match Names'!$E$23, CONCAT(VLOOKUP($C15, 'Match Names'!$1:$22, 5, FALSE), ""!C3:R29"")), {3;7;18;23}, FALSE)), ""=-4"") + COUNTIF(ARRAYFORMULA(HLOOKUP($B15"&amp;", IMPORTRANGE('Match Names'!$F$23, CONCAT(VLOOKUP($C15, 'Match Names'!$1:$22, 6, FALSE), ""!C3:R29"")), {6;12;18;24}, FALSE)), ""=-4"") + COUNTIF(ARRAYFORMULA(HLOOKUP($B15, IMPORTRANGE('Match Names'!$G$23, CONCAT(VLOOKUP($C15, 'Match Names'!$1:$22, 7, FAL"&amp;"SE), ""!C3:R29"")), {2;7;17;21}, FALSE)), ""=-4"") + COUNTIF(ARRAYFORMULA(HLOOKUP($B15, IMPORTRANGE('Match Names'!$H$23, CONCAT(VLOOKUP($C15, 'Match Names'!$1:$22, 8, FALSE), ""!C3:R29"")), {4;10;16;22}, FALSE)), ""=-4"")"),0.0)</f>
        <v>0</v>
      </c>
      <c r="H15" s="39">
        <f t="shared" si="1"/>
        <v>0</v>
      </c>
    </row>
    <row r="16">
      <c r="A16" s="38" t="s">
        <v>143</v>
      </c>
      <c r="B16" s="38" t="str">
        <f>VLOOKUP(CONCAT(A16, C16), 'Discord Username to Real Name'!C:D, 2, FALSE)</f>
        <v>CheeseGr8ter#2134</v>
      </c>
      <c r="C16" s="38" t="s">
        <v>21</v>
      </c>
      <c r="D16" s="9">
        <f>IFERROR(__xludf.DUMMYFUNCTION("(4 - COUNTIF(IFERROR(ARRAYFORMULA(HLOOKUP($B16, IMPORTRANGE('Prelim Rankings Unsorted'!$B$40, CONCAT(VLOOKUP($C16, 'Match Names'!$A$1:$D$22, 2, FALSE), ""!C3:R29"")), {3;8;14;20}, FALSE)), 'Player Overall Stats Unsorted'!$AA$9:$AA$12), ""=X"")) + (4 - COU"&amp;"NTIF(IFERROR(ARRAYFORMULA(HLOOKUP($B16, IMPORTRANGE('Prelim Rankings Unsorted'!$B$41, CONCAT(VLOOKUP($C16, 'Match Names'!$A$1:$D$22, 3, FALSE), ""!C3:R29"")), {4;10;16;22}, FALSE)), 'Player Overall Stats Unsorted'!$AA$9:$AA$12), ""=X"")) + (4 - COUNTIF(IF"&amp;"ERROR(ARRAYFORMULA(HLOOKUP($B16, IMPORTRANGE('Prelim Rankings Unsorted'!$B$42, CONCAT(VLOOKUP($C16, 'Match Names'!$A$1:$D$22, 4, FALSE), ""!C3:R29"")), {2;8;14;20}, FALSE)), 'Player Overall Stats Unsorted'!$AA$9:$AA$12), ""=X"")) + (4 - COUNTIF(IFERROR(AR"&amp;"RAYFORMULA(HLOOKUP($B16, IMPORTRANGE('Match Names'!$E$23, CONCAT(VLOOKUP($C16, 'Match Names'!$1:$22, 5, FALSE), ""!C3:R29"")), {3;7;18;23}, FALSE)), 'Player Overall Stats Unsorted'!$AA$9:$AA$12), ""=X"")) + (4 - COUNTIF(IFERROR(ARRAYFORMULA(HLOOKUP($B16, "&amp;"IMPORTRANGE('Match Names'!$F$23, CONCAT(VLOOKUP($C16, 'Match Names'!$1:$22, 6, FALSE), ""!C3:R29"")), {6;12;18;24}, FALSE)), 'Player Overall Stats Unsorted'!$AA$9:$AA$12), ""=X"")) + (4 - COUNTIF(IFERROR(ARRAYFORMULA(HLOOKUP($B16, IMPORTRANGE('Match Names"&amp;"'!$G$23, CONCAT(VLOOKUP($C16, 'Match Names'!$1:$22, 7, FALSE), ""!C3:R29"")), {2;7;17;21}, FALSE)), 'Player Overall Stats Unsorted'!$AA$9:$AA$12), ""=X"")) + (4 - COUNTIF(IFERROR(ARRAYFORMULA(HLOOKUP($B16, IMPORTRANGE('Match Names'!$H$23, CONCAT(VLOOKUP($"&amp;"C16, 'Match Names'!$1:$22, 8, FALSE), ""!C3:R29"")), {4;10;16;22}, FALSE)), 'Player Overall Stats Unsorted'!$AA$9:$AA$12), ""=X""))"),20.0)</f>
        <v>20</v>
      </c>
      <c r="E16" s="9">
        <f>IFERROR(__xludf.DUMMYFUNCTION("COUNTIF(ARRAYFORMULA(HLOOKUP($B16, IMPORTRANGE('Prelim Rankings Unsorted'!$B$40, CONCAT(VLOOKUP($C16, 'Match Names'!$A$1:$D$22, 2, FALSE), ""!C3:R29"")), {3;8;14;20}, FALSE)), ""=4"") + COUNTIF(ARRAYFORMULA(HLOOKUP($B16, IMPORTRANGE('Prelim Rankings Unsor"&amp;"ted'!$B$41, CONCAT(VLOOKUP($C16, 'Match Names'!$A$1:$D$22, 3, FALSE), ""!C3:R29"")), {4;10;16;22}, FALSE)), ""=4"") + COUNTIF(ARRAYFORMULA(HLOOKUP($B16, IMPORTRANGE('Prelim Rankings Unsorted'!$B$42, CONCAT(VLOOKUP($C16, 'Match Names'!$A$1:$D$22, 4, FALSE)"&amp;", ""!C3:R29"")), {2;8;14;20}, FALSE)), ""=4"") + COUNTIF(ARRAYFORMULA(HLOOKUP($B16, IMPORTRANGE('Match Names'!$E$23, CONCAT(VLOOKUP($C16, 'Match Names'!$1:$22, 5, FALSE), ""!C3:R29"")), {3;7;18;23}, FALSE)), ""=4"") + COUNTIF(ARRAYFORMULA(HLOOKUP($B16, IM"&amp;"PORTRANGE('Match Names'!$F$23, CONCAT(VLOOKUP($C16, 'Match Names'!$1:$22, 6, FALSE), ""!C3:R29"")), {6;12;18;24}, FALSE)), ""=4"") + COUNTIF(ARRAYFORMULA(HLOOKUP($B16, IMPORTRANGE('Match Names'!$G$23, CONCAT(VLOOKUP($C16, 'Match Names'!$1:$22, 7, FALSE), "&amp;"""!C3:R29"")), {2;7;17;21}, FALSE)), ""=4"") + COUNTIF(ARRAYFORMULA(HLOOKUP($B16, IMPORTRANGE('Match Names'!$H$23, CONCAT(VLOOKUP($C16, 'Match Names'!$1:$22, 8, FALSE), ""!C3:R29"")), {4;10;16;22}, FALSE)), ""=4"")"),0.0)</f>
        <v>0</v>
      </c>
      <c r="F16" s="9">
        <f>IFERROR(__xludf.DUMMYFUNCTION("COUNTIF(ARRAYFORMULA(HLOOKUP($B16, IMPORTRANGE('Prelim Rankings Unsorted'!$B$40, CONCAT(VLOOKUP($C16, 'Match Names'!$A$1:$D$22, 2, FALSE), ""!C3:R29"")), {3;8;14;20}, FALSE)), ""=0"") + COUNTIF(ARRAYFORMULA(HLOOKUP($B16, IMPORTRANGE('Prelim Rankings Unsor"&amp;"ted'!$B$41, CONCAT(VLOOKUP($C16, 'Match Names'!$A$1:$D$22, 3, FALSE), ""!C3:R29"")), {4;10;16;22}, FALSE)), ""=0"") + COUNTIF(ARRAYFORMULA(HLOOKUP($B16, IMPORTRANGE('Prelim Rankings Unsorted'!$B$42, CONCAT(VLOOKUP($C16, 'Match Names'!$A$1:$D$22, 4, FALSE)"&amp;", ""!C3:R29"")), {2;8;14;20}, FALSE)), ""=0"") + COUNTIF(ARRAYFORMULA(HLOOKUP($B16, IMPORTRANGE('Match Names'!$E$23, CONCAT(VLOOKUP($C16, 'Match Names'!$1:$22, 5, FALSE), ""!C3:R29"")), {3;7;18;23}, FALSE)), ""=0"") + COUNTIF(ARRAYFORMULA(HLOOKUP($B16, IM"&amp;"PORTRANGE('Match Names'!$F$23, CONCAT(VLOOKUP($C16, 'Match Names'!$1:$22, 6, FALSE), ""!C3:R29"")), {6;12;18;24}, FALSE)), ""=0"") + COUNTIF(ARRAYFORMULA(HLOOKUP($B16, IMPORTRANGE('Match Names'!$G$23, CONCAT(VLOOKUP($C16, 'Match Names'!$1:$22, 7, FALSE), "&amp;"""!C3:R29"")), {2;7;17;21}, FALSE)), ""=0"") + COUNTIF(ARRAYFORMULA(HLOOKUP($B16, IMPORTRANGE('Match Names'!$H$23, CONCAT(VLOOKUP($C16, 'Match Names'!$1:$22, 8, FALSE), ""!C3:R29"")), {4;10;16;22}, FALSE)), ""=0"")"),0.0)</f>
        <v>0</v>
      </c>
      <c r="G16" s="9">
        <f>IFERROR(__xludf.DUMMYFUNCTION("COUNTIF(ARRAYFORMULA(HLOOKUP($B16, IMPORTRANGE('Prelim Rankings Unsorted'!$B$40, CONCAT(VLOOKUP($C16, 'Match Names'!$A$1:$D$22, 2, FALSE), ""!C3:R29"")), {3;8;14;20}, FALSE)), ""=-4"") + COUNTIF(ARRAYFORMULA(HLOOKUP($B16, IMPORTRANGE('Prelim Rankings Unso"&amp;"rted'!$B$41, CONCAT(VLOOKUP($C16, 'Match Names'!$A$1:$D$22, 3, FALSE), ""!C3:R29"")), {4;10;16;22}, FALSE)), ""=-4"") + COUNTIF(ARRAYFORMULA(HLOOKUP($B16, IMPORTRANGE('Prelim Rankings Unsorted'!$B$42, CONCAT(VLOOKUP($C16, 'Match Names'!$A$1:$D$22, 4, FALS"&amp;"E), ""!C3:R29"")), {2;8;14;20}, FALSE)), ""=-4"") + COUNTIF(ARRAYFORMULA(HLOOKUP($B16, IMPORTRANGE('Match Names'!$E$23, CONCAT(VLOOKUP($C16, 'Match Names'!$1:$22, 5, FALSE), ""!C3:R29"")), {3;7;18;23}, FALSE)), ""=-4"") + COUNTIF(ARRAYFORMULA(HLOOKUP($B16"&amp;", IMPORTRANGE('Match Names'!$F$23, CONCAT(VLOOKUP($C16, 'Match Names'!$1:$22, 6, FALSE), ""!C3:R29"")), {6;12;18;24}, FALSE)), ""=-4"") + COUNTIF(ARRAYFORMULA(HLOOKUP($B16, IMPORTRANGE('Match Names'!$G$23, CONCAT(VLOOKUP($C16, 'Match Names'!$1:$22, 7, FAL"&amp;"SE), ""!C3:R29"")), {2;7;17;21}, FALSE)), ""=-4"") + COUNTIF(ARRAYFORMULA(HLOOKUP($B16, IMPORTRANGE('Match Names'!$H$23, CONCAT(VLOOKUP($C16, 'Match Names'!$1:$22, 8, FALSE), ""!C3:R29"")), {4;10;16;22}, FALSE)), ""=-4"")"),0.0)</f>
        <v>0</v>
      </c>
      <c r="H16" s="39">
        <f t="shared" si="1"/>
        <v>0</v>
      </c>
    </row>
    <row r="17">
      <c r="A17" s="4" t="s">
        <v>88</v>
      </c>
      <c r="B17" s="38" t="str">
        <f>VLOOKUP(CONCAT(A17, C17), 'Discord Username to Real Name'!C:D, 2, FALSE)</f>
        <v>s0arbeacon#9262</v>
      </c>
      <c r="C17" s="38" t="s">
        <v>31</v>
      </c>
      <c r="D17" s="9">
        <f>IFERROR(__xludf.DUMMYFUNCTION("(4 - COUNTIF(IFERROR(ARRAYFORMULA(HLOOKUP($B17, IMPORTRANGE('Prelim Rankings Unsorted'!$B$40, CONCAT(VLOOKUP($C17, 'Match Names'!$A$1:$D$22, 2, FALSE), ""!C3:R29"")), {3;8;14;20}, FALSE)), 'Player Overall Stats Unsorted'!$AA$9:$AA$12), ""=X"")) + (4 - COU"&amp;"NTIF(IFERROR(ARRAYFORMULA(HLOOKUP($B17, IMPORTRANGE('Prelim Rankings Unsorted'!$B$41, CONCAT(VLOOKUP($C17, 'Match Names'!$A$1:$D$22, 3, FALSE), ""!C3:R29"")), {4;10;16;22}, FALSE)), 'Player Overall Stats Unsorted'!$AA$9:$AA$12), ""=X"")) + (4 - COUNTIF(IF"&amp;"ERROR(ARRAYFORMULA(HLOOKUP($B17, IMPORTRANGE('Prelim Rankings Unsorted'!$B$42, CONCAT(VLOOKUP($C17, 'Match Names'!$A$1:$D$22, 4, FALSE), ""!C3:R29"")), {2;8;14;20}, FALSE)), 'Player Overall Stats Unsorted'!$AA$9:$AA$12), ""=X"")) + (4 - COUNTIF(IFERROR(AR"&amp;"RAYFORMULA(HLOOKUP($B17, IMPORTRANGE('Match Names'!$E$23, CONCAT(VLOOKUP($C17, 'Match Names'!$1:$22, 5, FALSE), ""!C3:R29"")), {3;7;18;23}, FALSE)), 'Player Overall Stats Unsorted'!$AA$9:$AA$12), ""=X"")) + (4 - COUNTIF(IFERROR(ARRAYFORMULA(HLOOKUP($B17, "&amp;"IMPORTRANGE('Match Names'!$F$23, CONCAT(VLOOKUP($C17, 'Match Names'!$1:$22, 6, FALSE), ""!C3:R29"")), {6;12;18;24}, FALSE)), 'Player Overall Stats Unsorted'!$AA$9:$AA$12), ""=X"")) + (4 - COUNTIF(IFERROR(ARRAYFORMULA(HLOOKUP($B17, IMPORTRANGE('Match Names"&amp;"'!$G$23, CONCAT(VLOOKUP($C17, 'Match Names'!$1:$22, 7, FALSE), ""!C3:R29"")), {2;7;17;21}, FALSE)), 'Player Overall Stats Unsorted'!$AA$9:$AA$12), ""=X"")) + (4 - COUNTIF(IFERROR(ARRAYFORMULA(HLOOKUP($B17, IMPORTRANGE('Match Names'!$H$23, CONCAT(VLOOKUP($"&amp;"C17, 'Match Names'!$1:$22, 8, FALSE), ""!C3:R29"")), {4;10;16;22}, FALSE)), 'Player Overall Stats Unsorted'!$AA$9:$AA$12), ""=X""))"),16.0)</f>
        <v>16</v>
      </c>
      <c r="E17" s="9">
        <f>IFERROR(__xludf.DUMMYFUNCTION("COUNTIF(ARRAYFORMULA(HLOOKUP($B17, IMPORTRANGE('Prelim Rankings Unsorted'!$B$40, CONCAT(VLOOKUP($C17, 'Match Names'!$A$1:$D$22, 2, FALSE), ""!C3:R29"")), {3;8;14;20}, FALSE)), ""=4"") + COUNTIF(ARRAYFORMULA(HLOOKUP($B17, IMPORTRANGE('Prelim Rankings Unsor"&amp;"ted'!$B$41, CONCAT(VLOOKUP($C17, 'Match Names'!$A$1:$D$22, 3, FALSE), ""!C3:R29"")), {4;10;16;22}, FALSE)), ""=4"") + COUNTIF(ARRAYFORMULA(HLOOKUP($B17, IMPORTRANGE('Prelim Rankings Unsorted'!$B$42, CONCAT(VLOOKUP($C17, 'Match Names'!$A$1:$D$22, 4, FALSE)"&amp;", ""!C3:R29"")), {2;8;14;20}, FALSE)), ""=4"") + COUNTIF(ARRAYFORMULA(HLOOKUP($B17, IMPORTRANGE('Match Names'!$E$23, CONCAT(VLOOKUP($C17, 'Match Names'!$1:$22, 5, FALSE), ""!C3:R29"")), {3;7;18;23}, FALSE)), ""=4"") + COUNTIF(ARRAYFORMULA(HLOOKUP($B17, IM"&amp;"PORTRANGE('Match Names'!$F$23, CONCAT(VLOOKUP($C17, 'Match Names'!$1:$22, 6, FALSE), ""!C3:R29"")), {6;12;18;24}, FALSE)), ""=4"") + COUNTIF(ARRAYFORMULA(HLOOKUP($B17, IMPORTRANGE('Match Names'!$G$23, CONCAT(VLOOKUP($C17, 'Match Names'!$1:$22, 7, FALSE), "&amp;"""!C3:R29"")), {2;7;17;21}, FALSE)), ""=4"") + COUNTIF(ARRAYFORMULA(HLOOKUP($B17, IMPORTRANGE('Match Names'!$H$23, CONCAT(VLOOKUP($C17, 'Match Names'!$1:$22, 8, FALSE), ""!C3:R29"")), {4;10;16;22}, FALSE)), ""=4"")"),1.0)</f>
        <v>1</v>
      </c>
      <c r="F17" s="9">
        <f>IFERROR(__xludf.DUMMYFUNCTION("COUNTIF(ARRAYFORMULA(HLOOKUP($B17, IMPORTRANGE('Prelim Rankings Unsorted'!$B$40, CONCAT(VLOOKUP($C17, 'Match Names'!$A$1:$D$22, 2, FALSE), ""!C3:R29"")), {3;8;14;20}, FALSE)), ""=0"") + COUNTIF(ARRAYFORMULA(HLOOKUP($B17, IMPORTRANGE('Prelim Rankings Unsor"&amp;"ted'!$B$41, CONCAT(VLOOKUP($C17, 'Match Names'!$A$1:$D$22, 3, FALSE), ""!C3:R29"")), {4;10;16;22}, FALSE)), ""=0"") + COUNTIF(ARRAYFORMULA(HLOOKUP($B17, IMPORTRANGE('Prelim Rankings Unsorted'!$B$42, CONCAT(VLOOKUP($C17, 'Match Names'!$A$1:$D$22, 4, FALSE)"&amp;", ""!C3:R29"")), {2;8;14;20}, FALSE)), ""=0"") + COUNTIF(ARRAYFORMULA(HLOOKUP($B17, IMPORTRANGE('Match Names'!$E$23, CONCAT(VLOOKUP($C17, 'Match Names'!$1:$22, 5, FALSE), ""!C3:R29"")), {3;7;18;23}, FALSE)), ""=0"") + COUNTIF(ARRAYFORMULA(HLOOKUP($B17, IM"&amp;"PORTRANGE('Match Names'!$F$23, CONCAT(VLOOKUP($C17, 'Match Names'!$1:$22, 6, FALSE), ""!C3:R29"")), {6;12;18;24}, FALSE)), ""=0"") + COUNTIF(ARRAYFORMULA(HLOOKUP($B17, IMPORTRANGE('Match Names'!$G$23, CONCAT(VLOOKUP($C17, 'Match Names'!$1:$22, 7, FALSE), "&amp;"""!C3:R29"")), {2;7;17;21}, FALSE)), ""=0"") + COUNTIF(ARRAYFORMULA(HLOOKUP($B17, IMPORTRANGE('Match Names'!$H$23, CONCAT(VLOOKUP($C17, 'Match Names'!$1:$22, 8, FALSE), ""!C3:R29"")), {4;10;16;22}, FALSE)), ""=0"")"),6.0)</f>
        <v>6</v>
      </c>
      <c r="G17" s="9">
        <f>IFERROR(__xludf.DUMMYFUNCTION("COUNTIF(ARRAYFORMULA(HLOOKUP($B17, IMPORTRANGE('Prelim Rankings Unsorted'!$B$40, CONCAT(VLOOKUP($C17, 'Match Names'!$A$1:$D$22, 2, FALSE), ""!C3:R29"")), {3;8;14;20}, FALSE)), ""=-4"") + COUNTIF(ARRAYFORMULA(HLOOKUP($B17, IMPORTRANGE('Prelim Rankings Unso"&amp;"rted'!$B$41, CONCAT(VLOOKUP($C17, 'Match Names'!$A$1:$D$22, 3, FALSE), ""!C3:R29"")), {4;10;16;22}, FALSE)), ""=-4"") + COUNTIF(ARRAYFORMULA(HLOOKUP($B17, IMPORTRANGE('Prelim Rankings Unsorted'!$B$42, CONCAT(VLOOKUP($C17, 'Match Names'!$A$1:$D$22, 4, FALS"&amp;"E), ""!C3:R29"")), {2;8;14;20}, FALSE)), ""=-4"") + COUNTIF(ARRAYFORMULA(HLOOKUP($B17, IMPORTRANGE('Match Names'!$E$23, CONCAT(VLOOKUP($C17, 'Match Names'!$1:$22, 5, FALSE), ""!C3:R29"")), {3;7;18;23}, FALSE)), ""=-4"") + COUNTIF(ARRAYFORMULA(HLOOKUP($B17"&amp;", IMPORTRANGE('Match Names'!$F$23, CONCAT(VLOOKUP($C17, 'Match Names'!$1:$22, 6, FALSE), ""!C3:R29"")), {6;12;18;24}, FALSE)), ""=-4"") + COUNTIF(ARRAYFORMULA(HLOOKUP($B17, IMPORTRANGE('Match Names'!$G$23, CONCAT(VLOOKUP($C17, 'Match Names'!$1:$22, 7, FAL"&amp;"SE), ""!C3:R29"")), {2;7;17;21}, FALSE)), ""=-4"") + COUNTIF(ARRAYFORMULA(HLOOKUP($B17, IMPORTRANGE('Match Names'!$H$23, CONCAT(VLOOKUP($C17, 'Match Names'!$1:$22, 8, FALSE), ""!C3:R29"")), {4;10;16;22}, FALSE)), ""=-4"")"),1.0)</f>
        <v>1</v>
      </c>
      <c r="H17" s="39">
        <f t="shared" si="1"/>
        <v>0</v>
      </c>
    </row>
    <row r="18">
      <c r="A18" s="17" t="s">
        <v>206</v>
      </c>
      <c r="B18" s="38" t="str">
        <f>VLOOKUP(CONCAT(A18, C18), 'Discord Username to Real Name'!C:D, 2, FALSE)</f>
        <v>.penguin#3809</v>
      </c>
      <c r="C18" s="41" t="s">
        <v>31</v>
      </c>
      <c r="D18" s="9">
        <f>IFERROR(__xludf.DUMMYFUNCTION("(4 - COUNTIF(IFERROR(ARRAYFORMULA(HLOOKUP($B18, IMPORTRANGE('Prelim Rankings Unsorted'!$B$40, CONCAT(VLOOKUP($C18, 'Match Names'!$A$1:$D$22, 2, FALSE), ""!C3:R29"")), {3;8;14;20}, FALSE)), 'Player Overall Stats Unsorted'!$AA$9:$AA$12), ""=X"")) + (4 - COU"&amp;"NTIF(IFERROR(ARRAYFORMULA(HLOOKUP($B18, IMPORTRANGE('Prelim Rankings Unsorted'!$B$41, CONCAT(VLOOKUP($C18, 'Match Names'!$A$1:$D$22, 3, FALSE), ""!C3:R29"")), {4;10;16;22}, FALSE)), 'Player Overall Stats Unsorted'!$AA$9:$AA$12), ""=X"")) + (4 - COUNTIF(IF"&amp;"ERROR(ARRAYFORMULA(HLOOKUP($B18, IMPORTRANGE('Prelim Rankings Unsorted'!$B$42, CONCAT(VLOOKUP($C18, 'Match Names'!$A$1:$D$22, 4, FALSE), ""!C3:R29"")), {2;8;14;20}, FALSE)), 'Player Overall Stats Unsorted'!$AA$9:$AA$12), ""=X"")) + (4 - COUNTIF(IFERROR(AR"&amp;"RAYFORMULA(HLOOKUP($B18, IMPORTRANGE('Match Names'!$E$23, CONCAT(VLOOKUP($C18, 'Match Names'!$1:$22, 5, FALSE), ""!C3:R29"")), {3;7;18;23}, FALSE)), 'Player Overall Stats Unsorted'!$AA$9:$AA$12), ""=X"")) + (4 - COUNTIF(IFERROR(ARRAYFORMULA(HLOOKUP($B18, "&amp;"IMPORTRANGE('Match Names'!$F$23, CONCAT(VLOOKUP($C18, 'Match Names'!$1:$22, 6, FALSE), ""!C3:R29"")), {6;12;18;24}, FALSE)), 'Player Overall Stats Unsorted'!$AA$9:$AA$12), ""=X"")) + (4 - COUNTIF(IFERROR(ARRAYFORMULA(HLOOKUP($B18, IMPORTRANGE('Match Names"&amp;"'!$G$23, CONCAT(VLOOKUP($C18, 'Match Names'!$1:$22, 7, FALSE), ""!C3:R29"")), {2;7;17;21}, FALSE)), 'Player Overall Stats Unsorted'!$AA$9:$AA$12), ""=X"")) + (4 - COUNTIF(IFERROR(ARRAYFORMULA(HLOOKUP($B18, IMPORTRANGE('Match Names'!$H$23, CONCAT(VLOOKUP($"&amp;"C18, 'Match Names'!$1:$22, 8, FALSE), ""!C3:R29"")), {4;10;16;22}, FALSE)), 'Player Overall Stats Unsorted'!$AA$9:$AA$12), ""=X""))"),0.0)</f>
        <v>0</v>
      </c>
      <c r="E18" s="9">
        <f>IFERROR(__xludf.DUMMYFUNCTION("COUNTIF(ARRAYFORMULA(HLOOKUP($B18, IMPORTRANGE('Prelim Rankings Unsorted'!$B$40, CONCAT(VLOOKUP($C18, 'Match Names'!$A$1:$D$22, 2, FALSE), ""!C3:R29"")), {3;8;14;20}, FALSE)), ""=4"") + COUNTIF(ARRAYFORMULA(HLOOKUP($B18, IMPORTRANGE('Prelim Rankings Unsor"&amp;"ted'!$B$41, CONCAT(VLOOKUP($C18, 'Match Names'!$A$1:$D$22, 3, FALSE), ""!C3:R29"")), {4;10;16;22}, FALSE)), ""=4"") + COUNTIF(ARRAYFORMULA(HLOOKUP($B18, IMPORTRANGE('Prelim Rankings Unsorted'!$B$42, CONCAT(VLOOKUP($C18, 'Match Names'!$A$1:$D$22, 4, FALSE)"&amp;", ""!C3:R29"")), {2;8;14;20}, FALSE)), ""=4"") + COUNTIF(ARRAYFORMULA(HLOOKUP($B18, IMPORTRANGE('Match Names'!$E$23, CONCAT(VLOOKUP($C18, 'Match Names'!$1:$22, 5, FALSE), ""!C3:R29"")), {3;7;18;23}, FALSE)), ""=4"") + COUNTIF(ARRAYFORMULA(HLOOKUP($B18, IM"&amp;"PORTRANGE('Match Names'!$F$23, CONCAT(VLOOKUP($C18, 'Match Names'!$1:$22, 6, FALSE), ""!C3:R29"")), {6;12;18;24}, FALSE)), ""=4"") + COUNTIF(ARRAYFORMULA(HLOOKUP($B18, IMPORTRANGE('Match Names'!$G$23, CONCAT(VLOOKUP($C18, 'Match Names'!$1:$22, 7, FALSE), "&amp;"""!C3:R29"")), {2;7;17;21}, FALSE)), ""=4"") + COUNTIF(ARRAYFORMULA(HLOOKUP($B18, IMPORTRANGE('Match Names'!$H$23, CONCAT(VLOOKUP($C18, 'Match Names'!$1:$22, 8, FALSE), ""!C3:R29"")), {4;10;16;22}, FALSE)), ""=4"")"),0.0)</f>
        <v>0</v>
      </c>
      <c r="F18" s="9">
        <f>IFERROR(__xludf.DUMMYFUNCTION("COUNTIF(ARRAYFORMULA(HLOOKUP($B18, IMPORTRANGE('Prelim Rankings Unsorted'!$B$40, CONCAT(VLOOKUP($C18, 'Match Names'!$A$1:$D$22, 2, FALSE), ""!C3:R29"")), {3;8;14;20}, FALSE)), ""=0"") + COUNTIF(ARRAYFORMULA(HLOOKUP($B18, IMPORTRANGE('Prelim Rankings Unsor"&amp;"ted'!$B$41, CONCAT(VLOOKUP($C18, 'Match Names'!$A$1:$D$22, 3, FALSE), ""!C3:R29"")), {4;10;16;22}, FALSE)), ""=0"") + COUNTIF(ARRAYFORMULA(HLOOKUP($B18, IMPORTRANGE('Prelim Rankings Unsorted'!$B$42, CONCAT(VLOOKUP($C18, 'Match Names'!$A$1:$D$22, 4, FALSE)"&amp;", ""!C3:R29"")), {2;8;14;20}, FALSE)), ""=0"") + COUNTIF(ARRAYFORMULA(HLOOKUP($B18, IMPORTRANGE('Match Names'!$E$23, CONCAT(VLOOKUP($C18, 'Match Names'!$1:$22, 5, FALSE), ""!C3:R29"")), {3;7;18;23}, FALSE)), ""=0"") + COUNTIF(ARRAYFORMULA(HLOOKUP($B18, IM"&amp;"PORTRANGE('Match Names'!$F$23, CONCAT(VLOOKUP($C18, 'Match Names'!$1:$22, 6, FALSE), ""!C3:R29"")), {6;12;18;24}, FALSE)), ""=0"") + COUNTIF(ARRAYFORMULA(HLOOKUP($B18, IMPORTRANGE('Match Names'!$G$23, CONCAT(VLOOKUP($C18, 'Match Names'!$1:$22, 7, FALSE), "&amp;"""!C3:R29"")), {2;7;17;21}, FALSE)), ""=0"") + COUNTIF(ARRAYFORMULA(HLOOKUP($B18, IMPORTRANGE('Match Names'!$H$23, CONCAT(VLOOKUP($C18, 'Match Names'!$1:$22, 8, FALSE), ""!C3:R29"")), {4;10;16;22}, FALSE)), ""=0"")"),0.0)</f>
        <v>0</v>
      </c>
      <c r="G18" s="9">
        <f>IFERROR(__xludf.DUMMYFUNCTION("COUNTIF(ARRAYFORMULA(HLOOKUP($B18, IMPORTRANGE('Prelim Rankings Unsorted'!$B$40, CONCAT(VLOOKUP($C18, 'Match Names'!$A$1:$D$22, 2, FALSE), ""!C3:R29"")), {3;8;14;20}, FALSE)), ""=-4"") + COUNTIF(ARRAYFORMULA(HLOOKUP($B18, IMPORTRANGE('Prelim Rankings Unso"&amp;"rted'!$B$41, CONCAT(VLOOKUP($C18, 'Match Names'!$A$1:$D$22, 3, FALSE), ""!C3:R29"")), {4;10;16;22}, FALSE)), ""=-4"") + COUNTIF(ARRAYFORMULA(HLOOKUP($B18, IMPORTRANGE('Prelim Rankings Unsorted'!$B$42, CONCAT(VLOOKUP($C18, 'Match Names'!$A$1:$D$22, 4, FALS"&amp;"E), ""!C3:R29"")), {2;8;14;20}, FALSE)), ""=-4"") + COUNTIF(ARRAYFORMULA(HLOOKUP($B18, IMPORTRANGE('Match Names'!$E$23, CONCAT(VLOOKUP($C18, 'Match Names'!$1:$22, 5, FALSE), ""!C3:R29"")), {3;7;18;23}, FALSE)), ""=-4"") + COUNTIF(ARRAYFORMULA(HLOOKUP($B18"&amp;", IMPORTRANGE('Match Names'!$F$23, CONCAT(VLOOKUP($C18, 'Match Names'!$1:$22, 6, FALSE), ""!C3:R29"")), {6;12;18;24}, FALSE)), ""=-4"") + COUNTIF(ARRAYFORMULA(HLOOKUP($B18, IMPORTRANGE('Match Names'!$G$23, CONCAT(VLOOKUP($C18, 'Match Names'!$1:$22, 7, FAL"&amp;"SE), ""!C3:R29"")), {2;7;17;21}, FALSE)), ""=-4"") + COUNTIF(ARRAYFORMULA(HLOOKUP($B18, IMPORTRANGE('Match Names'!$H$23, CONCAT(VLOOKUP($C18, 'Match Names'!$1:$22, 8, FALSE), ""!C3:R29"")), {4;10;16;22}, FALSE)), ""=-4"")"),0.0)</f>
        <v>0</v>
      </c>
      <c r="H18" s="39">
        <f t="shared" si="1"/>
        <v>0</v>
      </c>
    </row>
    <row r="19">
      <c r="A19" s="4" t="s">
        <v>84</v>
      </c>
      <c r="B19" s="38" t="str">
        <f>VLOOKUP(CONCAT(A19, C19), 'Discord Username to Real Name'!C:D, 2, FALSE)</f>
        <v>spongebob#0577</v>
      </c>
      <c r="C19" s="38" t="s">
        <v>31</v>
      </c>
      <c r="D19" s="9">
        <f>IFERROR(__xludf.DUMMYFUNCTION("(4 - COUNTIF(IFERROR(ARRAYFORMULA(HLOOKUP($B19, IMPORTRANGE('Prelim Rankings Unsorted'!$B$40, CONCAT(VLOOKUP($C19, 'Match Names'!$A$1:$D$22, 2, FALSE), ""!C3:R29"")), {3;8;14;20}, FALSE)), 'Player Overall Stats Unsorted'!$AA$9:$AA$12), ""=X"")) + (4 - COU"&amp;"NTIF(IFERROR(ARRAYFORMULA(HLOOKUP($B19, IMPORTRANGE('Prelim Rankings Unsorted'!$B$41, CONCAT(VLOOKUP($C19, 'Match Names'!$A$1:$D$22, 3, FALSE), ""!C3:R29"")), {4;10;16;22}, FALSE)), 'Player Overall Stats Unsorted'!$AA$9:$AA$12), ""=X"")) + (4 - COUNTIF(IF"&amp;"ERROR(ARRAYFORMULA(HLOOKUP($B19, IMPORTRANGE('Prelim Rankings Unsorted'!$B$42, CONCAT(VLOOKUP($C19, 'Match Names'!$A$1:$D$22, 4, FALSE), ""!C3:R29"")), {2;8;14;20}, FALSE)), 'Player Overall Stats Unsorted'!$AA$9:$AA$12), ""=X"")) + (4 - COUNTIF(IFERROR(AR"&amp;"RAYFORMULA(HLOOKUP($B19, IMPORTRANGE('Match Names'!$E$23, CONCAT(VLOOKUP($C19, 'Match Names'!$1:$22, 5, FALSE), ""!C3:R29"")), {3;7;18;23}, FALSE)), 'Player Overall Stats Unsorted'!$AA$9:$AA$12), ""=X"")) + (4 - COUNTIF(IFERROR(ARRAYFORMULA(HLOOKUP($B19, "&amp;"IMPORTRANGE('Match Names'!$F$23, CONCAT(VLOOKUP($C19, 'Match Names'!$1:$22, 6, FALSE), ""!C3:R29"")), {6;12;18;24}, FALSE)), 'Player Overall Stats Unsorted'!$AA$9:$AA$12), ""=X"")) + (4 - COUNTIF(IFERROR(ARRAYFORMULA(HLOOKUP($B19, IMPORTRANGE('Match Names"&amp;"'!$G$23, CONCAT(VLOOKUP($C19, 'Match Names'!$1:$22, 7, FALSE), ""!C3:R29"")), {2;7;17;21}, FALSE)), 'Player Overall Stats Unsorted'!$AA$9:$AA$12), ""=X"")) + (4 - COUNTIF(IFERROR(ARRAYFORMULA(HLOOKUP($B19, IMPORTRANGE('Match Names'!$H$23, CONCAT(VLOOKUP($"&amp;"C19, 'Match Names'!$1:$22, 8, FALSE), ""!C3:R29"")), {4;10;16;22}, FALSE)), 'Player Overall Stats Unsorted'!$AA$9:$AA$12), ""=X""))"),12.0)</f>
        <v>12</v>
      </c>
      <c r="E19" s="9">
        <f>IFERROR(__xludf.DUMMYFUNCTION("COUNTIF(ARRAYFORMULA(HLOOKUP($B19, IMPORTRANGE('Prelim Rankings Unsorted'!$B$40, CONCAT(VLOOKUP($C19, 'Match Names'!$A$1:$D$22, 2, FALSE), ""!C3:R29"")), {3;8;14;20}, FALSE)), ""=4"") + COUNTIF(ARRAYFORMULA(HLOOKUP($B19, IMPORTRANGE('Prelim Rankings Unsor"&amp;"ted'!$B$41, CONCAT(VLOOKUP($C19, 'Match Names'!$A$1:$D$22, 3, FALSE), ""!C3:R29"")), {4;10;16;22}, FALSE)), ""=4"") + COUNTIF(ARRAYFORMULA(HLOOKUP($B19, IMPORTRANGE('Prelim Rankings Unsorted'!$B$42, CONCAT(VLOOKUP($C19, 'Match Names'!$A$1:$D$22, 4, FALSE)"&amp;", ""!C3:R29"")), {2;8;14;20}, FALSE)), ""=4"") + COUNTIF(ARRAYFORMULA(HLOOKUP($B19, IMPORTRANGE('Match Names'!$E$23, CONCAT(VLOOKUP($C19, 'Match Names'!$1:$22, 5, FALSE), ""!C3:R29"")), {3;7;18;23}, FALSE)), ""=4"") + COUNTIF(ARRAYFORMULA(HLOOKUP($B19, IM"&amp;"PORTRANGE('Match Names'!$F$23, CONCAT(VLOOKUP($C19, 'Match Names'!$1:$22, 6, FALSE), ""!C3:R29"")), {6;12;18;24}, FALSE)), ""=4"") + COUNTIF(ARRAYFORMULA(HLOOKUP($B19, IMPORTRANGE('Match Names'!$G$23, CONCAT(VLOOKUP($C19, 'Match Names'!$1:$22, 7, FALSE), "&amp;"""!C3:R29"")), {2;7;17;21}, FALSE)), ""=4"") + COUNTIF(ARRAYFORMULA(HLOOKUP($B19, IMPORTRANGE('Match Names'!$H$23, CONCAT(VLOOKUP($C19, 'Match Names'!$1:$22, 8, FALSE), ""!C3:R29"")), {4;10;16;22}, FALSE)), ""=4"")"),1.0)</f>
        <v>1</v>
      </c>
      <c r="F19" s="9">
        <f>IFERROR(__xludf.DUMMYFUNCTION("COUNTIF(ARRAYFORMULA(HLOOKUP($B19, IMPORTRANGE('Prelim Rankings Unsorted'!$B$40, CONCAT(VLOOKUP($C19, 'Match Names'!$A$1:$D$22, 2, FALSE), ""!C3:R29"")), {3;8;14;20}, FALSE)), ""=0"") + COUNTIF(ARRAYFORMULA(HLOOKUP($B19, IMPORTRANGE('Prelim Rankings Unsor"&amp;"ted'!$B$41, CONCAT(VLOOKUP($C19, 'Match Names'!$A$1:$D$22, 3, FALSE), ""!C3:R29"")), {4;10;16;22}, FALSE)), ""=0"") + COUNTIF(ARRAYFORMULA(HLOOKUP($B19, IMPORTRANGE('Prelim Rankings Unsorted'!$B$42, CONCAT(VLOOKUP($C19, 'Match Names'!$A$1:$D$22, 4, FALSE)"&amp;", ""!C3:R29"")), {2;8;14;20}, FALSE)), ""=0"") + COUNTIF(ARRAYFORMULA(HLOOKUP($B19, IMPORTRANGE('Match Names'!$E$23, CONCAT(VLOOKUP($C19, 'Match Names'!$1:$22, 5, FALSE), ""!C3:R29"")), {3;7;18;23}, FALSE)), ""=0"") + COUNTIF(ARRAYFORMULA(HLOOKUP($B19, IM"&amp;"PORTRANGE('Match Names'!$F$23, CONCAT(VLOOKUP($C19, 'Match Names'!$1:$22, 6, FALSE), ""!C3:R29"")), {6;12;18;24}, FALSE)), ""=0"") + COUNTIF(ARRAYFORMULA(HLOOKUP($B19, IMPORTRANGE('Match Names'!$G$23, CONCAT(VLOOKUP($C19, 'Match Names'!$1:$22, 7, FALSE), "&amp;"""!C3:R29"")), {2;7;17;21}, FALSE)), ""=0"") + COUNTIF(ARRAYFORMULA(HLOOKUP($B19, IMPORTRANGE('Match Names'!$H$23, CONCAT(VLOOKUP($C19, 'Match Names'!$1:$22, 8, FALSE), ""!C3:R29"")), {4;10;16;22}, FALSE)), ""=0"")"),0.0)</f>
        <v>0</v>
      </c>
      <c r="G19" s="9">
        <f>IFERROR(__xludf.DUMMYFUNCTION("COUNTIF(ARRAYFORMULA(HLOOKUP($B19, IMPORTRANGE('Prelim Rankings Unsorted'!$B$40, CONCAT(VLOOKUP($C19, 'Match Names'!$A$1:$D$22, 2, FALSE), ""!C3:R29"")), {3;8;14;20}, FALSE)), ""=-4"") + COUNTIF(ARRAYFORMULA(HLOOKUP($B19, IMPORTRANGE('Prelim Rankings Unso"&amp;"rted'!$B$41, CONCAT(VLOOKUP($C19, 'Match Names'!$A$1:$D$22, 3, FALSE), ""!C3:R29"")), {4;10;16;22}, FALSE)), ""=-4"") + COUNTIF(ARRAYFORMULA(HLOOKUP($B19, IMPORTRANGE('Prelim Rankings Unsorted'!$B$42, CONCAT(VLOOKUP($C19, 'Match Names'!$A$1:$D$22, 4, FALS"&amp;"E), ""!C3:R29"")), {2;8;14;20}, FALSE)), ""=-4"") + COUNTIF(ARRAYFORMULA(HLOOKUP($B19, IMPORTRANGE('Match Names'!$E$23, CONCAT(VLOOKUP($C19, 'Match Names'!$1:$22, 5, FALSE), ""!C3:R29"")), {3;7;18;23}, FALSE)), ""=-4"") + COUNTIF(ARRAYFORMULA(HLOOKUP($B19"&amp;", IMPORTRANGE('Match Names'!$F$23, CONCAT(VLOOKUP($C19, 'Match Names'!$1:$22, 6, FALSE), ""!C3:R29"")), {6;12;18;24}, FALSE)), ""=-4"") + COUNTIF(ARRAYFORMULA(HLOOKUP($B19, IMPORTRANGE('Match Names'!$G$23, CONCAT(VLOOKUP($C19, 'Match Names'!$1:$22, 7, FAL"&amp;"SE), ""!C3:R29"")), {2;7;17;21}, FALSE)), ""=-4"") + COUNTIF(ARRAYFORMULA(HLOOKUP($B19, IMPORTRANGE('Match Names'!$H$23, CONCAT(VLOOKUP($C19, 'Match Names'!$1:$22, 8, FALSE), ""!C3:R29"")), {4;10;16;22}, FALSE)), ""=-4"")"),0.0)</f>
        <v>0</v>
      </c>
      <c r="H19" s="39">
        <f t="shared" si="1"/>
        <v>1.33</v>
      </c>
    </row>
    <row r="20">
      <c r="A20" s="17" t="s">
        <v>100</v>
      </c>
      <c r="B20" s="38" t="str">
        <f>VLOOKUP(CONCAT(A20, C20), 'Discord Username to Real Name'!C:D, 2, FALSE)</f>
        <v>Izwerzx#2598</v>
      </c>
      <c r="C20" s="41" t="s">
        <v>31</v>
      </c>
      <c r="D20" s="9">
        <f>IFERROR(__xludf.DUMMYFUNCTION("(4 - COUNTIF(IFERROR(ARRAYFORMULA(HLOOKUP($B20, IMPORTRANGE('Prelim Rankings Unsorted'!$B$40, CONCAT(VLOOKUP($C20, 'Match Names'!$A$1:$D$22, 2, FALSE), ""!C3:R29"")), {3;8;14;20}, FALSE)), 'Player Overall Stats Unsorted'!$AA$9:$AA$12), ""=X"")) + (4 - COU"&amp;"NTIF(IFERROR(ARRAYFORMULA(HLOOKUP($B20, IMPORTRANGE('Prelim Rankings Unsorted'!$B$41, CONCAT(VLOOKUP($C20, 'Match Names'!$A$1:$D$22, 3, FALSE), ""!C3:R29"")), {4;10;16;22}, FALSE)), 'Player Overall Stats Unsorted'!$AA$9:$AA$12), ""=X"")) + (4 - COUNTIF(IF"&amp;"ERROR(ARRAYFORMULA(HLOOKUP($B20, IMPORTRANGE('Prelim Rankings Unsorted'!$B$42, CONCAT(VLOOKUP($C20, 'Match Names'!$A$1:$D$22, 4, FALSE), ""!C3:R29"")), {2;8;14;20}, FALSE)), 'Player Overall Stats Unsorted'!$AA$9:$AA$12), ""=X"")) + (4 - COUNTIF(IFERROR(AR"&amp;"RAYFORMULA(HLOOKUP($B20, IMPORTRANGE('Match Names'!$E$23, CONCAT(VLOOKUP($C20, 'Match Names'!$1:$22, 5, FALSE), ""!C3:R29"")), {3;7;18;23}, FALSE)), 'Player Overall Stats Unsorted'!$AA$9:$AA$12), ""=X"")) + (4 - COUNTIF(IFERROR(ARRAYFORMULA(HLOOKUP($B20, "&amp;"IMPORTRANGE('Match Names'!$F$23, CONCAT(VLOOKUP($C20, 'Match Names'!$1:$22, 6, FALSE), ""!C3:R29"")), {6;12;18;24}, FALSE)), 'Player Overall Stats Unsorted'!$AA$9:$AA$12), ""=X"")) + (4 - COUNTIF(IFERROR(ARRAYFORMULA(HLOOKUP($B20, IMPORTRANGE('Match Names"&amp;"'!$G$23, CONCAT(VLOOKUP($C20, 'Match Names'!$1:$22, 7, FALSE), ""!C3:R29"")), {2;7;17;21}, FALSE)), 'Player Overall Stats Unsorted'!$AA$9:$AA$12), ""=X"")) + (4 - COUNTIF(IFERROR(ARRAYFORMULA(HLOOKUP($B20, IMPORTRANGE('Match Names'!$H$23, CONCAT(VLOOKUP($"&amp;"C20, 'Match Names'!$1:$22, 8, FALSE), ""!C3:R29"")), {4;10;16;22}, FALSE)), 'Player Overall Stats Unsorted'!$AA$9:$AA$12), ""=X""))"),8.0)</f>
        <v>8</v>
      </c>
      <c r="E20" s="9">
        <f>IFERROR(__xludf.DUMMYFUNCTION("COUNTIF(ARRAYFORMULA(HLOOKUP($B20, IMPORTRANGE('Prelim Rankings Unsorted'!$B$40, CONCAT(VLOOKUP($C20, 'Match Names'!$A$1:$D$22, 2, FALSE), ""!C3:R29"")), {3;8;14;20}, FALSE)), ""=4"") + COUNTIF(ARRAYFORMULA(HLOOKUP($B20, IMPORTRANGE('Prelim Rankings Unsor"&amp;"ted'!$B$41, CONCAT(VLOOKUP($C20, 'Match Names'!$A$1:$D$22, 3, FALSE), ""!C3:R29"")), {4;10;16;22}, FALSE)), ""=4"") + COUNTIF(ARRAYFORMULA(HLOOKUP($B20, IMPORTRANGE('Prelim Rankings Unsorted'!$B$42, CONCAT(VLOOKUP($C20, 'Match Names'!$A$1:$D$22, 4, FALSE)"&amp;", ""!C3:R29"")), {2;8;14;20}, FALSE)), ""=4"") + COUNTIF(ARRAYFORMULA(HLOOKUP($B20, IMPORTRANGE('Match Names'!$E$23, CONCAT(VLOOKUP($C20, 'Match Names'!$1:$22, 5, FALSE), ""!C3:R29"")), {3;7;18;23}, FALSE)), ""=4"") + COUNTIF(ARRAYFORMULA(HLOOKUP($B20, IM"&amp;"PORTRANGE('Match Names'!$F$23, CONCAT(VLOOKUP($C20, 'Match Names'!$1:$22, 6, FALSE), ""!C3:R29"")), {6;12;18;24}, FALSE)), ""=4"") + COUNTIF(ARRAYFORMULA(HLOOKUP($B20, IMPORTRANGE('Match Names'!$G$23, CONCAT(VLOOKUP($C20, 'Match Names'!$1:$22, 7, FALSE), "&amp;"""!C3:R29"")), {2;7;17;21}, FALSE)), ""=4"") + COUNTIF(ARRAYFORMULA(HLOOKUP($B20, IMPORTRANGE('Match Names'!$H$23, CONCAT(VLOOKUP($C20, 'Match Names'!$1:$22, 8, FALSE), ""!C3:R29"")), {4;10;16;22}, FALSE)), ""=4"")"),0.0)</f>
        <v>0</v>
      </c>
      <c r="F20" s="9">
        <f>IFERROR(__xludf.DUMMYFUNCTION("COUNTIF(ARRAYFORMULA(HLOOKUP($B20, IMPORTRANGE('Prelim Rankings Unsorted'!$B$40, CONCAT(VLOOKUP($C20, 'Match Names'!$A$1:$D$22, 2, FALSE), ""!C3:R29"")), {3;8;14;20}, FALSE)), ""=0"") + COUNTIF(ARRAYFORMULA(HLOOKUP($B20, IMPORTRANGE('Prelim Rankings Unsor"&amp;"ted'!$B$41, CONCAT(VLOOKUP($C20, 'Match Names'!$A$1:$D$22, 3, FALSE), ""!C3:R29"")), {4;10;16;22}, FALSE)), ""=0"") + COUNTIF(ARRAYFORMULA(HLOOKUP($B20, IMPORTRANGE('Prelim Rankings Unsorted'!$B$42, CONCAT(VLOOKUP($C20, 'Match Names'!$A$1:$D$22, 4, FALSE)"&amp;", ""!C3:R29"")), {2;8;14;20}, FALSE)), ""=0"") + COUNTIF(ARRAYFORMULA(HLOOKUP($B20, IMPORTRANGE('Match Names'!$E$23, CONCAT(VLOOKUP($C20, 'Match Names'!$1:$22, 5, FALSE), ""!C3:R29"")), {3;7;18;23}, FALSE)), ""=0"") + COUNTIF(ARRAYFORMULA(HLOOKUP($B20, IM"&amp;"PORTRANGE('Match Names'!$F$23, CONCAT(VLOOKUP($C20, 'Match Names'!$1:$22, 6, FALSE), ""!C3:R29"")), {6;12;18;24}, FALSE)), ""=0"") + COUNTIF(ARRAYFORMULA(HLOOKUP($B20, IMPORTRANGE('Match Names'!$G$23, CONCAT(VLOOKUP($C20, 'Match Names'!$1:$22, 7, FALSE), "&amp;"""!C3:R29"")), {2;7;17;21}, FALSE)), ""=0"") + COUNTIF(ARRAYFORMULA(HLOOKUP($B20, IMPORTRANGE('Match Names'!$H$23, CONCAT(VLOOKUP($C20, 'Match Names'!$1:$22, 8, FALSE), ""!C3:R29"")), {4;10;16;22}, FALSE)), ""=0"")"),0.0)</f>
        <v>0</v>
      </c>
      <c r="G20" s="9">
        <f>IFERROR(__xludf.DUMMYFUNCTION("COUNTIF(ARRAYFORMULA(HLOOKUP($B20, IMPORTRANGE('Prelim Rankings Unsorted'!$B$40, CONCAT(VLOOKUP($C20, 'Match Names'!$A$1:$D$22, 2, FALSE), ""!C3:R29"")), {3;8;14;20}, FALSE)), ""=-4"") + COUNTIF(ARRAYFORMULA(HLOOKUP($B20, IMPORTRANGE('Prelim Rankings Unso"&amp;"rted'!$B$41, CONCAT(VLOOKUP($C20, 'Match Names'!$A$1:$D$22, 3, FALSE), ""!C3:R29"")), {4;10;16;22}, FALSE)), ""=-4"") + COUNTIF(ARRAYFORMULA(HLOOKUP($B20, IMPORTRANGE('Prelim Rankings Unsorted'!$B$42, CONCAT(VLOOKUP($C20, 'Match Names'!$A$1:$D$22, 4, FALS"&amp;"E), ""!C3:R29"")), {2;8;14;20}, FALSE)), ""=-4"") + COUNTIF(ARRAYFORMULA(HLOOKUP($B20, IMPORTRANGE('Match Names'!$E$23, CONCAT(VLOOKUP($C20, 'Match Names'!$1:$22, 5, FALSE), ""!C3:R29"")), {3;7;18;23}, FALSE)), ""=-4"") + COUNTIF(ARRAYFORMULA(HLOOKUP($B20"&amp;", IMPORTRANGE('Match Names'!$F$23, CONCAT(VLOOKUP($C20, 'Match Names'!$1:$22, 6, FALSE), ""!C3:R29"")), {6;12;18;24}, FALSE)), ""=-4"") + COUNTIF(ARRAYFORMULA(HLOOKUP($B20, IMPORTRANGE('Match Names'!$G$23, CONCAT(VLOOKUP($C20, 'Match Names'!$1:$22, 7, FAL"&amp;"SE), ""!C3:R29"")), {2;7;17;21}, FALSE)), ""=-4"") + COUNTIF(ARRAYFORMULA(HLOOKUP($B20, IMPORTRANGE('Match Names'!$H$23, CONCAT(VLOOKUP($C20, 'Match Names'!$1:$22, 8, FALSE), ""!C3:R29"")), {4;10;16;22}, FALSE)), ""=-4"")"),0.0)</f>
        <v>0</v>
      </c>
      <c r="H20" s="39">
        <f t="shared" si="1"/>
        <v>0</v>
      </c>
    </row>
    <row r="21">
      <c r="A21" s="38" t="s">
        <v>205</v>
      </c>
      <c r="B21" s="38" t="str">
        <f>VLOOKUP(CONCAT(A21, C21), 'Discord Username to Real Name'!C:D, 2, FALSE)</f>
        <v>Einglass#1845</v>
      </c>
      <c r="C21" s="38" t="s">
        <v>31</v>
      </c>
      <c r="D21" s="9">
        <f>IFERROR(__xludf.DUMMYFUNCTION("(4 - COUNTIF(IFERROR(ARRAYFORMULA(HLOOKUP($B21, IMPORTRANGE('Prelim Rankings Unsorted'!$B$40, CONCAT(VLOOKUP($C21, 'Match Names'!$A$1:$D$22, 2, FALSE), ""!C3:R29"")), {3;8;14;20}, FALSE)), 'Player Overall Stats Unsorted'!$AA$9:$AA$12), ""=X"")) + (4 - COU"&amp;"NTIF(IFERROR(ARRAYFORMULA(HLOOKUP($B21, IMPORTRANGE('Prelim Rankings Unsorted'!$B$41, CONCAT(VLOOKUP($C21, 'Match Names'!$A$1:$D$22, 3, FALSE), ""!C3:R29"")), {4;10;16;22}, FALSE)), 'Player Overall Stats Unsorted'!$AA$9:$AA$12), ""=X"")) + (4 - COUNTIF(IF"&amp;"ERROR(ARRAYFORMULA(HLOOKUP($B21, IMPORTRANGE('Prelim Rankings Unsorted'!$B$42, CONCAT(VLOOKUP($C21, 'Match Names'!$A$1:$D$22, 4, FALSE), ""!C3:R29"")), {2;8;14;20}, FALSE)), 'Player Overall Stats Unsorted'!$AA$9:$AA$12), ""=X"")) + (4 - COUNTIF(IFERROR(AR"&amp;"RAYFORMULA(HLOOKUP($B21, IMPORTRANGE('Match Names'!$E$23, CONCAT(VLOOKUP($C21, 'Match Names'!$1:$22, 5, FALSE), ""!C3:R29"")), {3;7;18;23}, FALSE)), 'Player Overall Stats Unsorted'!$AA$9:$AA$12), ""=X"")) + (4 - COUNTIF(IFERROR(ARRAYFORMULA(HLOOKUP($B21, "&amp;"IMPORTRANGE('Match Names'!$F$23, CONCAT(VLOOKUP($C21, 'Match Names'!$1:$22, 6, FALSE), ""!C3:R29"")), {6;12;18;24}, FALSE)), 'Player Overall Stats Unsorted'!$AA$9:$AA$12), ""=X"")) + (4 - COUNTIF(IFERROR(ARRAYFORMULA(HLOOKUP($B21, IMPORTRANGE('Match Names"&amp;"'!$G$23, CONCAT(VLOOKUP($C21, 'Match Names'!$1:$22, 7, FALSE), ""!C3:R29"")), {2;7;17;21}, FALSE)), 'Player Overall Stats Unsorted'!$AA$9:$AA$12), ""=X"")) + (4 - COUNTIF(IFERROR(ARRAYFORMULA(HLOOKUP($B21, IMPORTRANGE('Match Names'!$H$23, CONCAT(VLOOKUP($"&amp;"C21, 'Match Names'!$1:$22, 8, FALSE), ""!C3:R29"")), {4;10;16;22}, FALSE)), 'Player Overall Stats Unsorted'!$AA$9:$AA$12), ""=X""))"),0.0)</f>
        <v>0</v>
      </c>
      <c r="E21" s="9">
        <f>IFERROR(__xludf.DUMMYFUNCTION("COUNTIF(ARRAYFORMULA(HLOOKUP($B21, IMPORTRANGE('Prelim Rankings Unsorted'!$B$40, CONCAT(VLOOKUP($C21, 'Match Names'!$A$1:$D$22, 2, FALSE), ""!C3:R29"")), {3;8;14;20}, FALSE)), ""=4"") + COUNTIF(ARRAYFORMULA(HLOOKUP($B21, IMPORTRANGE('Prelim Rankings Unsor"&amp;"ted'!$B$41, CONCAT(VLOOKUP($C21, 'Match Names'!$A$1:$D$22, 3, FALSE), ""!C3:R29"")), {4;10;16;22}, FALSE)), ""=4"") + COUNTIF(ARRAYFORMULA(HLOOKUP($B21, IMPORTRANGE('Prelim Rankings Unsorted'!$B$42, CONCAT(VLOOKUP($C21, 'Match Names'!$A$1:$D$22, 4, FALSE)"&amp;", ""!C3:R29"")), {2;8;14;20}, FALSE)), ""=4"") + COUNTIF(ARRAYFORMULA(HLOOKUP($B21, IMPORTRANGE('Match Names'!$E$23, CONCAT(VLOOKUP($C21, 'Match Names'!$1:$22, 5, FALSE), ""!C3:R29"")), {3;7;18;23}, FALSE)), ""=4"") + COUNTIF(ARRAYFORMULA(HLOOKUP($B21, IM"&amp;"PORTRANGE('Match Names'!$F$23, CONCAT(VLOOKUP($C21, 'Match Names'!$1:$22, 6, FALSE), ""!C3:R29"")), {6;12;18;24}, FALSE)), ""=4"") + COUNTIF(ARRAYFORMULA(HLOOKUP($B21, IMPORTRANGE('Match Names'!$G$23, CONCAT(VLOOKUP($C21, 'Match Names'!$1:$22, 7, FALSE), "&amp;"""!C3:R29"")), {2;7;17;21}, FALSE)), ""=4"") + COUNTIF(ARRAYFORMULA(HLOOKUP($B21, IMPORTRANGE('Match Names'!$H$23, CONCAT(VLOOKUP($C21, 'Match Names'!$1:$22, 8, FALSE), ""!C3:R29"")), {4;10;16;22}, FALSE)), ""=4"")"),0.0)</f>
        <v>0</v>
      </c>
      <c r="F21" s="9">
        <f>IFERROR(__xludf.DUMMYFUNCTION("COUNTIF(ARRAYFORMULA(HLOOKUP($B21, IMPORTRANGE('Prelim Rankings Unsorted'!$B$40, CONCAT(VLOOKUP($C21, 'Match Names'!$A$1:$D$22, 2, FALSE), ""!C3:R29"")), {3;8;14;20}, FALSE)), ""=0"") + COUNTIF(ARRAYFORMULA(HLOOKUP($B21, IMPORTRANGE('Prelim Rankings Unsor"&amp;"ted'!$B$41, CONCAT(VLOOKUP($C21, 'Match Names'!$A$1:$D$22, 3, FALSE), ""!C3:R29"")), {4;10;16;22}, FALSE)), ""=0"") + COUNTIF(ARRAYFORMULA(HLOOKUP($B21, IMPORTRANGE('Prelim Rankings Unsorted'!$B$42, CONCAT(VLOOKUP($C21, 'Match Names'!$A$1:$D$22, 4, FALSE)"&amp;", ""!C3:R29"")), {2;8;14;20}, FALSE)), ""=0"") + COUNTIF(ARRAYFORMULA(HLOOKUP($B21, IMPORTRANGE('Match Names'!$E$23, CONCAT(VLOOKUP($C21, 'Match Names'!$1:$22, 5, FALSE), ""!C3:R29"")), {3;7;18;23}, FALSE)), ""=0"") + COUNTIF(ARRAYFORMULA(HLOOKUP($B21, IM"&amp;"PORTRANGE('Match Names'!$F$23, CONCAT(VLOOKUP($C21, 'Match Names'!$1:$22, 6, FALSE), ""!C3:R29"")), {6;12;18;24}, FALSE)), ""=0"") + COUNTIF(ARRAYFORMULA(HLOOKUP($B21, IMPORTRANGE('Match Names'!$G$23, CONCAT(VLOOKUP($C21, 'Match Names'!$1:$22, 7, FALSE), "&amp;"""!C3:R29"")), {2;7;17;21}, FALSE)), ""=0"") + COUNTIF(ARRAYFORMULA(HLOOKUP($B21, IMPORTRANGE('Match Names'!$H$23, CONCAT(VLOOKUP($C21, 'Match Names'!$1:$22, 8, FALSE), ""!C3:R29"")), {4;10;16;22}, FALSE)), ""=0"")"),0.0)</f>
        <v>0</v>
      </c>
      <c r="G21" s="9">
        <f>IFERROR(__xludf.DUMMYFUNCTION("COUNTIF(ARRAYFORMULA(HLOOKUP($B21, IMPORTRANGE('Prelim Rankings Unsorted'!$B$40, CONCAT(VLOOKUP($C21, 'Match Names'!$A$1:$D$22, 2, FALSE), ""!C3:R29"")), {3;8;14;20}, FALSE)), ""=-4"") + COUNTIF(ARRAYFORMULA(HLOOKUP($B21, IMPORTRANGE('Prelim Rankings Unso"&amp;"rted'!$B$41, CONCAT(VLOOKUP($C21, 'Match Names'!$A$1:$D$22, 3, FALSE), ""!C3:R29"")), {4;10;16;22}, FALSE)), ""=-4"") + COUNTIF(ARRAYFORMULA(HLOOKUP($B21, IMPORTRANGE('Prelim Rankings Unsorted'!$B$42, CONCAT(VLOOKUP($C21, 'Match Names'!$A$1:$D$22, 4, FALS"&amp;"E), ""!C3:R29"")), {2;8;14;20}, FALSE)), ""=-4"") + COUNTIF(ARRAYFORMULA(HLOOKUP($B21, IMPORTRANGE('Match Names'!$E$23, CONCAT(VLOOKUP($C21, 'Match Names'!$1:$22, 5, FALSE), ""!C3:R29"")), {3;7;18;23}, FALSE)), ""=-4"") + COUNTIF(ARRAYFORMULA(HLOOKUP($B21"&amp;", IMPORTRANGE('Match Names'!$F$23, CONCAT(VLOOKUP($C21, 'Match Names'!$1:$22, 6, FALSE), ""!C3:R29"")), {6;12;18;24}, FALSE)), ""=-4"") + COUNTIF(ARRAYFORMULA(HLOOKUP($B21, IMPORTRANGE('Match Names'!$G$23, CONCAT(VLOOKUP($C21, 'Match Names'!$1:$22, 7, FAL"&amp;"SE), ""!C3:R29"")), {2;7;17;21}, FALSE)), ""=-4"") + COUNTIF(ARRAYFORMULA(HLOOKUP($B21, IMPORTRANGE('Match Names'!$H$23, CONCAT(VLOOKUP($C21, 'Match Names'!$1:$22, 8, FALSE), ""!C3:R29"")), {4;10;16;22}, FALSE)), ""=-4"")"),0.0)</f>
        <v>0</v>
      </c>
      <c r="H21" s="39">
        <f t="shared" si="1"/>
        <v>0</v>
      </c>
    </row>
    <row r="22">
      <c r="A22" s="38" t="s">
        <v>167</v>
      </c>
      <c r="B22" s="38" t="str">
        <f>VLOOKUP(CONCAT(A22, C22), 'Discord Username to Real Name'!C:D, 2, FALSE)</f>
        <v>KOZlegend#1745</v>
      </c>
      <c r="C22" s="38" t="s">
        <v>31</v>
      </c>
      <c r="D22" s="9">
        <f>IFERROR(__xludf.DUMMYFUNCTION("(4 - COUNTIF(IFERROR(ARRAYFORMULA(HLOOKUP($B22, IMPORTRANGE('Prelim Rankings Unsorted'!$B$40, CONCAT(VLOOKUP($C22, 'Match Names'!$A$1:$D$22, 2, FALSE), ""!C3:R29"")), {3;8;14;20}, FALSE)), 'Player Overall Stats Unsorted'!$AA$9:$AA$12), ""=X"")) + (4 - COU"&amp;"NTIF(IFERROR(ARRAYFORMULA(HLOOKUP($B22, IMPORTRANGE('Prelim Rankings Unsorted'!$B$41, CONCAT(VLOOKUP($C22, 'Match Names'!$A$1:$D$22, 3, FALSE), ""!C3:R29"")), {4;10;16;22}, FALSE)), 'Player Overall Stats Unsorted'!$AA$9:$AA$12), ""=X"")) + (4 - COUNTIF(IF"&amp;"ERROR(ARRAYFORMULA(HLOOKUP($B22, IMPORTRANGE('Prelim Rankings Unsorted'!$B$42, CONCAT(VLOOKUP($C22, 'Match Names'!$A$1:$D$22, 4, FALSE), ""!C3:R29"")), {2;8;14;20}, FALSE)), 'Player Overall Stats Unsorted'!$AA$9:$AA$12), ""=X"")) + (4 - COUNTIF(IFERROR(AR"&amp;"RAYFORMULA(HLOOKUP($B22, IMPORTRANGE('Match Names'!$E$23, CONCAT(VLOOKUP($C22, 'Match Names'!$1:$22, 5, FALSE), ""!C3:R29"")), {3;7;18;23}, FALSE)), 'Player Overall Stats Unsorted'!$AA$9:$AA$12), ""=X"")) + (4 - COUNTIF(IFERROR(ARRAYFORMULA(HLOOKUP($B22, "&amp;"IMPORTRANGE('Match Names'!$F$23, CONCAT(VLOOKUP($C22, 'Match Names'!$1:$22, 6, FALSE), ""!C3:R29"")), {6;12;18;24}, FALSE)), 'Player Overall Stats Unsorted'!$AA$9:$AA$12), ""=X"")) + (4 - COUNTIF(IFERROR(ARRAYFORMULA(HLOOKUP($B22, IMPORTRANGE('Match Names"&amp;"'!$G$23, CONCAT(VLOOKUP($C22, 'Match Names'!$1:$22, 7, FALSE), ""!C3:R29"")), {2;7;17;21}, FALSE)), 'Player Overall Stats Unsorted'!$AA$9:$AA$12), ""=X"")) + (4 - COUNTIF(IFERROR(ARRAYFORMULA(HLOOKUP($B22, IMPORTRANGE('Match Names'!$H$23, CONCAT(VLOOKUP($"&amp;"C22, 'Match Names'!$1:$22, 8, FALSE), ""!C3:R29"")), {4;10;16;22}, FALSE)), 'Player Overall Stats Unsorted'!$AA$9:$AA$12), ""=X""))"),16.0)</f>
        <v>16</v>
      </c>
      <c r="E22" s="9">
        <f>IFERROR(__xludf.DUMMYFUNCTION("COUNTIF(ARRAYFORMULA(HLOOKUP($B22, IMPORTRANGE('Prelim Rankings Unsorted'!$B$40, CONCAT(VLOOKUP($C22, 'Match Names'!$A$1:$D$22, 2, FALSE), ""!C3:R29"")), {3;8;14;20}, FALSE)), ""=4"") + COUNTIF(ARRAYFORMULA(HLOOKUP($B22, IMPORTRANGE('Prelim Rankings Unsor"&amp;"ted'!$B$41, CONCAT(VLOOKUP($C22, 'Match Names'!$A$1:$D$22, 3, FALSE), ""!C3:R29"")), {4;10;16;22}, FALSE)), ""=4"") + COUNTIF(ARRAYFORMULA(HLOOKUP($B22, IMPORTRANGE('Prelim Rankings Unsorted'!$B$42, CONCAT(VLOOKUP($C22, 'Match Names'!$A$1:$D$22, 4, FALSE)"&amp;", ""!C3:R29"")), {2;8;14;20}, FALSE)), ""=4"") + COUNTIF(ARRAYFORMULA(HLOOKUP($B22, IMPORTRANGE('Match Names'!$E$23, CONCAT(VLOOKUP($C22, 'Match Names'!$1:$22, 5, FALSE), ""!C3:R29"")), {3;7;18;23}, FALSE)), ""=4"") + COUNTIF(ARRAYFORMULA(HLOOKUP($B22, IM"&amp;"PORTRANGE('Match Names'!$F$23, CONCAT(VLOOKUP($C22, 'Match Names'!$1:$22, 6, FALSE), ""!C3:R29"")), {6;12;18;24}, FALSE)), ""=4"") + COUNTIF(ARRAYFORMULA(HLOOKUP($B22, IMPORTRANGE('Match Names'!$G$23, CONCAT(VLOOKUP($C22, 'Match Names'!$1:$22, 7, FALSE), "&amp;"""!C3:R29"")), {2;7;17;21}, FALSE)), ""=4"") + COUNTIF(ARRAYFORMULA(HLOOKUP($B22, IMPORTRANGE('Match Names'!$H$23, CONCAT(VLOOKUP($C22, 'Match Names'!$1:$22, 8, FALSE), ""!C3:R29"")), {4;10;16;22}, FALSE)), ""=4"")"),0.0)</f>
        <v>0</v>
      </c>
      <c r="F22" s="9">
        <f>IFERROR(__xludf.DUMMYFUNCTION("COUNTIF(ARRAYFORMULA(HLOOKUP($B22, IMPORTRANGE('Prelim Rankings Unsorted'!$B$40, CONCAT(VLOOKUP($C22, 'Match Names'!$A$1:$D$22, 2, FALSE), ""!C3:R29"")), {3;8;14;20}, FALSE)), ""=0"") + COUNTIF(ARRAYFORMULA(HLOOKUP($B22, IMPORTRANGE('Prelim Rankings Unsor"&amp;"ted'!$B$41, CONCAT(VLOOKUP($C22, 'Match Names'!$A$1:$D$22, 3, FALSE), ""!C3:R29"")), {4;10;16;22}, FALSE)), ""=0"") + COUNTIF(ARRAYFORMULA(HLOOKUP($B22, IMPORTRANGE('Prelim Rankings Unsorted'!$B$42, CONCAT(VLOOKUP($C22, 'Match Names'!$A$1:$D$22, 4, FALSE)"&amp;", ""!C3:R29"")), {2;8;14;20}, FALSE)), ""=0"") + COUNTIF(ARRAYFORMULA(HLOOKUP($B22, IMPORTRANGE('Match Names'!$E$23, CONCAT(VLOOKUP($C22, 'Match Names'!$1:$22, 5, FALSE), ""!C3:R29"")), {3;7;18;23}, FALSE)), ""=0"") + COUNTIF(ARRAYFORMULA(HLOOKUP($B22, IM"&amp;"PORTRANGE('Match Names'!$F$23, CONCAT(VLOOKUP($C22, 'Match Names'!$1:$22, 6, FALSE), ""!C3:R29"")), {6;12;18;24}, FALSE)), ""=0"") + COUNTIF(ARRAYFORMULA(HLOOKUP($B22, IMPORTRANGE('Match Names'!$G$23, CONCAT(VLOOKUP($C22, 'Match Names'!$1:$22, 7, FALSE), "&amp;"""!C3:R29"")), {2;7;17;21}, FALSE)), ""=0"") + COUNTIF(ARRAYFORMULA(HLOOKUP($B22, IMPORTRANGE('Match Names'!$H$23, CONCAT(VLOOKUP($C22, 'Match Names'!$1:$22, 8, FALSE), ""!C3:R29"")), {4;10;16;22}, FALSE)), ""=0"")"),0.0)</f>
        <v>0</v>
      </c>
      <c r="G22" s="9">
        <f>IFERROR(__xludf.DUMMYFUNCTION("COUNTIF(ARRAYFORMULA(HLOOKUP($B22, IMPORTRANGE('Prelim Rankings Unsorted'!$B$40, CONCAT(VLOOKUP($C22, 'Match Names'!$A$1:$D$22, 2, FALSE), ""!C3:R29"")), {3;8;14;20}, FALSE)), ""=-4"") + COUNTIF(ARRAYFORMULA(HLOOKUP($B22, IMPORTRANGE('Prelim Rankings Unso"&amp;"rted'!$B$41, CONCAT(VLOOKUP($C22, 'Match Names'!$A$1:$D$22, 3, FALSE), ""!C3:R29"")), {4;10;16;22}, FALSE)), ""=-4"") + COUNTIF(ARRAYFORMULA(HLOOKUP($B22, IMPORTRANGE('Prelim Rankings Unsorted'!$B$42, CONCAT(VLOOKUP($C22, 'Match Names'!$A$1:$D$22, 4, FALS"&amp;"E), ""!C3:R29"")), {2;8;14;20}, FALSE)), ""=-4"") + COUNTIF(ARRAYFORMULA(HLOOKUP($B22, IMPORTRANGE('Match Names'!$E$23, CONCAT(VLOOKUP($C22, 'Match Names'!$1:$22, 5, FALSE), ""!C3:R29"")), {3;7;18;23}, FALSE)), ""=-4"") + COUNTIF(ARRAYFORMULA(HLOOKUP($B22"&amp;", IMPORTRANGE('Match Names'!$F$23, CONCAT(VLOOKUP($C22, 'Match Names'!$1:$22, 6, FALSE), ""!C3:R29"")), {6;12;18;24}, FALSE)), ""=-4"") + COUNTIF(ARRAYFORMULA(HLOOKUP($B22, IMPORTRANGE('Match Names'!$G$23, CONCAT(VLOOKUP($C22, 'Match Names'!$1:$22, 7, FAL"&amp;"SE), ""!C3:R29"")), {2;7;17;21}, FALSE)), ""=-4"") + COUNTIF(ARRAYFORMULA(HLOOKUP($B22, IMPORTRANGE('Match Names'!$H$23, CONCAT(VLOOKUP($C22, 'Match Names'!$1:$22, 8, FALSE), ""!C3:R29"")), {4;10;16;22}, FALSE)), ""=-4"")"),0.0)</f>
        <v>0</v>
      </c>
      <c r="H22" s="39">
        <f t="shared" si="1"/>
        <v>0</v>
      </c>
    </row>
    <row r="23">
      <c r="A23" s="38" t="s">
        <v>90</v>
      </c>
      <c r="B23" s="38" t="str">
        <f>VLOOKUP(CONCAT(A23, C23), 'Discord Username to Real Name'!C:D, 2, FALSE)</f>
        <v>hriday#5979</v>
      </c>
      <c r="C23" s="38" t="s">
        <v>25</v>
      </c>
      <c r="D23" s="9">
        <f>IFERROR(__xludf.DUMMYFUNCTION("(4 - COUNTIF(IFERROR(ARRAYFORMULA(HLOOKUP($B23, IMPORTRANGE('Prelim Rankings Unsorted'!$B$40, CONCAT(VLOOKUP($C23, 'Match Names'!$A$1:$D$22, 2, FALSE), ""!C3:R29"")), {3;8;14;20}, FALSE)), 'Player Overall Stats Unsorted'!$AA$9:$AA$12), ""=X"")) + (4 - COU"&amp;"NTIF(IFERROR(ARRAYFORMULA(HLOOKUP($B23, IMPORTRANGE('Prelim Rankings Unsorted'!$B$41, CONCAT(VLOOKUP($C23, 'Match Names'!$A$1:$D$22, 3, FALSE), ""!C3:R29"")), {4;10;16;22}, FALSE)), 'Player Overall Stats Unsorted'!$AA$9:$AA$12), ""=X"")) + (4 - COUNTIF(IF"&amp;"ERROR(ARRAYFORMULA(HLOOKUP($B23, IMPORTRANGE('Prelim Rankings Unsorted'!$B$42, CONCAT(VLOOKUP($C23, 'Match Names'!$A$1:$D$22, 4, FALSE), ""!C3:R29"")), {2;8;14;20}, FALSE)), 'Player Overall Stats Unsorted'!$AA$9:$AA$12), ""=X"")) + (4 - COUNTIF(IFERROR(AR"&amp;"RAYFORMULA(HLOOKUP($B23, IMPORTRANGE('Match Names'!$E$23, CONCAT(VLOOKUP($C23, 'Match Names'!$1:$22, 5, FALSE), ""!C3:R29"")), {3;7;18;23}, FALSE)), 'Player Overall Stats Unsorted'!$AA$9:$AA$12), ""=X"")) + (4 - COUNTIF(IFERROR(ARRAYFORMULA(HLOOKUP($B23, "&amp;"IMPORTRANGE('Match Names'!$F$23, CONCAT(VLOOKUP($C23, 'Match Names'!$1:$22, 6, FALSE), ""!C3:R29"")), {6;12;18;24}, FALSE)), 'Player Overall Stats Unsorted'!$AA$9:$AA$12), ""=X"")) + (4 - COUNTIF(IFERROR(ARRAYFORMULA(HLOOKUP($B23, IMPORTRANGE('Match Names"&amp;"'!$G$23, CONCAT(VLOOKUP($C23, 'Match Names'!$1:$22, 7, FALSE), ""!C3:R29"")), {2;7;17;21}, FALSE)), 'Player Overall Stats Unsorted'!$AA$9:$AA$12), ""=X"")) + (4 - COUNTIF(IFERROR(ARRAYFORMULA(HLOOKUP($B23, IMPORTRANGE('Match Names'!$H$23, CONCAT(VLOOKUP($"&amp;"C23, 'Match Names'!$1:$22, 8, FALSE), ""!C3:R29"")), {4;10;16;22}, FALSE)), 'Player Overall Stats Unsorted'!$AA$9:$AA$12), ""=X""))"),14.0)</f>
        <v>14</v>
      </c>
      <c r="E23" s="9">
        <f>IFERROR(__xludf.DUMMYFUNCTION("COUNTIF(ARRAYFORMULA(HLOOKUP($B23, IMPORTRANGE('Prelim Rankings Unsorted'!$B$40, CONCAT(VLOOKUP($C23, 'Match Names'!$A$1:$D$22, 2, FALSE), ""!C3:R29"")), {3;8;14;20}, FALSE)), ""=4"") + COUNTIF(ARRAYFORMULA(HLOOKUP($B23, IMPORTRANGE('Prelim Rankings Unsor"&amp;"ted'!$B$41, CONCAT(VLOOKUP($C23, 'Match Names'!$A$1:$D$22, 3, FALSE), ""!C3:R29"")), {4;10;16;22}, FALSE)), ""=4"") + COUNTIF(ARRAYFORMULA(HLOOKUP($B23, IMPORTRANGE('Prelim Rankings Unsorted'!$B$42, CONCAT(VLOOKUP($C23, 'Match Names'!$A$1:$D$22, 4, FALSE)"&amp;", ""!C3:R29"")), {2;8;14;20}, FALSE)), ""=4"") + COUNTIF(ARRAYFORMULA(HLOOKUP($B23, IMPORTRANGE('Match Names'!$E$23, CONCAT(VLOOKUP($C23, 'Match Names'!$1:$22, 5, FALSE), ""!C3:R29"")), {3;7;18;23}, FALSE)), ""=4"") + COUNTIF(ARRAYFORMULA(HLOOKUP($B23, IM"&amp;"PORTRANGE('Match Names'!$F$23, CONCAT(VLOOKUP($C23, 'Match Names'!$1:$22, 6, FALSE), ""!C3:R29"")), {6;12;18;24}, FALSE)), ""=4"") + COUNTIF(ARRAYFORMULA(HLOOKUP($B23, IMPORTRANGE('Match Names'!$G$23, CONCAT(VLOOKUP($C23, 'Match Names'!$1:$22, 7, FALSE), "&amp;"""!C3:R29"")), {2;7;17;21}, FALSE)), ""=4"") + COUNTIF(ARRAYFORMULA(HLOOKUP($B23, IMPORTRANGE('Match Names'!$H$23, CONCAT(VLOOKUP($C23, 'Match Names'!$1:$22, 8, FALSE), ""!C3:R29"")), {4;10;16;22}, FALSE)), ""=4"")"),0.0)</f>
        <v>0</v>
      </c>
      <c r="F23" s="9">
        <f>IFERROR(__xludf.DUMMYFUNCTION("COUNTIF(ARRAYFORMULA(HLOOKUP($B23, IMPORTRANGE('Prelim Rankings Unsorted'!$B$40, CONCAT(VLOOKUP($C23, 'Match Names'!$A$1:$D$22, 2, FALSE), ""!C3:R29"")), {3;8;14;20}, FALSE)), ""=0"") + COUNTIF(ARRAYFORMULA(HLOOKUP($B23, IMPORTRANGE('Prelim Rankings Unsor"&amp;"ted'!$B$41, CONCAT(VLOOKUP($C23, 'Match Names'!$A$1:$D$22, 3, FALSE), ""!C3:R29"")), {4;10;16;22}, FALSE)), ""=0"") + COUNTIF(ARRAYFORMULA(HLOOKUP($B23, IMPORTRANGE('Prelim Rankings Unsorted'!$B$42, CONCAT(VLOOKUP($C23, 'Match Names'!$A$1:$D$22, 4, FALSE)"&amp;", ""!C3:R29"")), {2;8;14;20}, FALSE)), ""=0"") + COUNTIF(ARRAYFORMULA(HLOOKUP($B23, IMPORTRANGE('Match Names'!$E$23, CONCAT(VLOOKUP($C23, 'Match Names'!$1:$22, 5, FALSE), ""!C3:R29"")), {3;7;18;23}, FALSE)), ""=0"") + COUNTIF(ARRAYFORMULA(HLOOKUP($B23, IM"&amp;"PORTRANGE('Match Names'!$F$23, CONCAT(VLOOKUP($C23, 'Match Names'!$1:$22, 6, FALSE), ""!C3:R29"")), {6;12;18;24}, FALSE)), ""=0"") + COUNTIF(ARRAYFORMULA(HLOOKUP($B23, IMPORTRANGE('Match Names'!$G$23, CONCAT(VLOOKUP($C23, 'Match Names'!$1:$22, 7, FALSE), "&amp;"""!C3:R29"")), {2;7;17;21}, FALSE)), ""=0"") + COUNTIF(ARRAYFORMULA(HLOOKUP($B23, IMPORTRANGE('Match Names'!$H$23, CONCAT(VLOOKUP($C23, 'Match Names'!$1:$22, 8, FALSE), ""!C3:R29"")), {4;10;16;22}, FALSE)), ""=0"")"),0.0)</f>
        <v>0</v>
      </c>
      <c r="G23" s="9">
        <f>IFERROR(__xludf.DUMMYFUNCTION("COUNTIF(ARRAYFORMULA(HLOOKUP($B23, IMPORTRANGE('Prelim Rankings Unsorted'!$B$40, CONCAT(VLOOKUP($C23, 'Match Names'!$A$1:$D$22, 2, FALSE), ""!C3:R29"")), {3;8;14;20}, FALSE)), ""=-4"") + COUNTIF(ARRAYFORMULA(HLOOKUP($B23, IMPORTRANGE('Prelim Rankings Unso"&amp;"rted'!$B$41, CONCAT(VLOOKUP($C23, 'Match Names'!$A$1:$D$22, 3, FALSE), ""!C3:R29"")), {4;10;16;22}, FALSE)), ""=-4"") + COUNTIF(ARRAYFORMULA(HLOOKUP($B23, IMPORTRANGE('Prelim Rankings Unsorted'!$B$42, CONCAT(VLOOKUP($C23, 'Match Names'!$A$1:$D$22, 4, FALS"&amp;"E), ""!C3:R29"")), {2;8;14;20}, FALSE)), ""=-4"") + COUNTIF(ARRAYFORMULA(HLOOKUP($B23, IMPORTRANGE('Match Names'!$E$23, CONCAT(VLOOKUP($C23, 'Match Names'!$1:$22, 5, FALSE), ""!C3:R29"")), {3;7;18;23}, FALSE)), ""=-4"") + COUNTIF(ARRAYFORMULA(HLOOKUP($B23"&amp;", IMPORTRANGE('Match Names'!$F$23, CONCAT(VLOOKUP($C23, 'Match Names'!$1:$22, 6, FALSE), ""!C3:R29"")), {6;12;18;24}, FALSE)), ""=-4"") + COUNTIF(ARRAYFORMULA(HLOOKUP($B23, IMPORTRANGE('Match Names'!$G$23, CONCAT(VLOOKUP($C23, 'Match Names'!$1:$22, 7, FAL"&amp;"SE), ""!C3:R29"")), {2;7;17;21}, FALSE)), ""=-4"") + COUNTIF(ARRAYFORMULA(HLOOKUP($B23, IMPORTRANGE('Match Names'!$H$23, CONCAT(VLOOKUP($C23, 'Match Names'!$1:$22, 8, FALSE), ""!C3:R29"")), {4;10;16;22}, FALSE)), ""=-4"")"),0.0)</f>
        <v>0</v>
      </c>
      <c r="H23" s="39">
        <f t="shared" si="1"/>
        <v>0</v>
      </c>
    </row>
    <row r="24">
      <c r="A24" s="38" t="s">
        <v>95</v>
      </c>
      <c r="B24" s="38" t="str">
        <f>VLOOKUP(CONCAT(A24, C24), 'Discord Username to Real Name'!C:D, 2, FALSE)</f>
        <v>ashrug0002#8740</v>
      </c>
      <c r="C24" s="38" t="s">
        <v>25</v>
      </c>
      <c r="D24" s="9">
        <f>IFERROR(__xludf.DUMMYFUNCTION("(4 - COUNTIF(IFERROR(ARRAYFORMULA(HLOOKUP($B24, IMPORTRANGE('Prelim Rankings Unsorted'!$B$40, CONCAT(VLOOKUP($C24, 'Match Names'!$A$1:$D$22, 2, FALSE), ""!C3:R29"")), {3;8;14;20}, FALSE)), 'Player Overall Stats Unsorted'!$AA$9:$AA$12), ""=X"")) + (4 - COU"&amp;"NTIF(IFERROR(ARRAYFORMULA(HLOOKUP($B24, IMPORTRANGE('Prelim Rankings Unsorted'!$B$41, CONCAT(VLOOKUP($C24, 'Match Names'!$A$1:$D$22, 3, FALSE), ""!C3:R29"")), {4;10;16;22}, FALSE)), 'Player Overall Stats Unsorted'!$AA$9:$AA$12), ""=X"")) + (4 - COUNTIF(IF"&amp;"ERROR(ARRAYFORMULA(HLOOKUP($B24, IMPORTRANGE('Prelim Rankings Unsorted'!$B$42, CONCAT(VLOOKUP($C24, 'Match Names'!$A$1:$D$22, 4, FALSE), ""!C3:R29"")), {2;8;14;20}, FALSE)), 'Player Overall Stats Unsorted'!$AA$9:$AA$12), ""=X"")) + (4 - COUNTIF(IFERROR(AR"&amp;"RAYFORMULA(HLOOKUP($B24, IMPORTRANGE('Match Names'!$E$23, CONCAT(VLOOKUP($C24, 'Match Names'!$1:$22, 5, FALSE), ""!C3:R29"")), {3;7;18;23}, FALSE)), 'Player Overall Stats Unsorted'!$AA$9:$AA$12), ""=X"")) + (4 - COUNTIF(IFERROR(ARRAYFORMULA(HLOOKUP($B24, "&amp;"IMPORTRANGE('Match Names'!$F$23, CONCAT(VLOOKUP($C24, 'Match Names'!$1:$22, 6, FALSE), ""!C3:R29"")), {6;12;18;24}, FALSE)), 'Player Overall Stats Unsorted'!$AA$9:$AA$12), ""=X"")) + (4 - COUNTIF(IFERROR(ARRAYFORMULA(HLOOKUP($B24, IMPORTRANGE('Match Names"&amp;"'!$G$23, CONCAT(VLOOKUP($C24, 'Match Names'!$1:$22, 7, FALSE), ""!C3:R29"")), {2;7;17;21}, FALSE)), 'Player Overall Stats Unsorted'!$AA$9:$AA$12), ""=X"")) + (4 - COUNTIF(IFERROR(ARRAYFORMULA(HLOOKUP($B24, IMPORTRANGE('Match Names'!$H$23, CONCAT(VLOOKUP($"&amp;"C24, 'Match Names'!$1:$22, 8, FALSE), ""!C3:R29"")), {4;10;16;22}, FALSE)), 'Player Overall Stats Unsorted'!$AA$9:$AA$12), ""=X""))"),24.0)</f>
        <v>24</v>
      </c>
      <c r="E24" s="9">
        <f>IFERROR(__xludf.DUMMYFUNCTION("COUNTIF(ARRAYFORMULA(HLOOKUP($B24, IMPORTRANGE('Prelim Rankings Unsorted'!$B$40, CONCAT(VLOOKUP($C24, 'Match Names'!$A$1:$D$22, 2, FALSE), ""!C3:R29"")), {3;8;14;20}, FALSE)), ""=4"") + COUNTIF(ARRAYFORMULA(HLOOKUP($B24, IMPORTRANGE('Prelim Rankings Unsor"&amp;"ted'!$B$41, CONCAT(VLOOKUP($C24, 'Match Names'!$A$1:$D$22, 3, FALSE), ""!C3:R29"")), {4;10;16;22}, FALSE)), ""=4"") + COUNTIF(ARRAYFORMULA(HLOOKUP($B24, IMPORTRANGE('Prelim Rankings Unsorted'!$B$42, CONCAT(VLOOKUP($C24, 'Match Names'!$A$1:$D$22, 4, FALSE)"&amp;", ""!C3:R29"")), {2;8;14;20}, FALSE)), ""=4"") + COUNTIF(ARRAYFORMULA(HLOOKUP($B24, IMPORTRANGE('Match Names'!$E$23, CONCAT(VLOOKUP($C24, 'Match Names'!$1:$22, 5, FALSE), ""!C3:R29"")), {3;7;18;23}, FALSE)), ""=4"") + COUNTIF(ARRAYFORMULA(HLOOKUP($B24, IM"&amp;"PORTRANGE('Match Names'!$F$23, CONCAT(VLOOKUP($C24, 'Match Names'!$1:$22, 6, FALSE), ""!C3:R29"")), {6;12;18;24}, FALSE)), ""=4"") + COUNTIF(ARRAYFORMULA(HLOOKUP($B24, IMPORTRANGE('Match Names'!$G$23, CONCAT(VLOOKUP($C24, 'Match Names'!$1:$22, 7, FALSE), "&amp;"""!C3:R29"")), {2;7;17;21}, FALSE)), ""=4"") + COUNTIF(ARRAYFORMULA(HLOOKUP($B24, IMPORTRANGE('Match Names'!$H$23, CONCAT(VLOOKUP($C24, 'Match Names'!$1:$22, 8, FALSE), ""!C3:R29"")), {4;10;16;22}, FALSE)), ""=4"")"),1.0)</f>
        <v>1</v>
      </c>
      <c r="F24" s="9">
        <f>IFERROR(__xludf.DUMMYFUNCTION("COUNTIF(ARRAYFORMULA(HLOOKUP($B24, IMPORTRANGE('Prelim Rankings Unsorted'!$B$40, CONCAT(VLOOKUP($C24, 'Match Names'!$A$1:$D$22, 2, FALSE), ""!C3:R29"")), {3;8;14;20}, FALSE)), ""=0"") + COUNTIF(ARRAYFORMULA(HLOOKUP($B24, IMPORTRANGE('Prelim Rankings Unsor"&amp;"ted'!$B$41, CONCAT(VLOOKUP($C24, 'Match Names'!$A$1:$D$22, 3, FALSE), ""!C3:R29"")), {4;10;16;22}, FALSE)), ""=0"") + COUNTIF(ARRAYFORMULA(HLOOKUP($B24, IMPORTRANGE('Prelim Rankings Unsorted'!$B$42, CONCAT(VLOOKUP($C24, 'Match Names'!$A$1:$D$22, 4, FALSE)"&amp;", ""!C3:R29"")), {2;8;14;20}, FALSE)), ""=0"") + COUNTIF(ARRAYFORMULA(HLOOKUP($B24, IMPORTRANGE('Match Names'!$E$23, CONCAT(VLOOKUP($C24, 'Match Names'!$1:$22, 5, FALSE), ""!C3:R29"")), {3;7;18;23}, FALSE)), ""=0"") + COUNTIF(ARRAYFORMULA(HLOOKUP($B24, IM"&amp;"PORTRANGE('Match Names'!$F$23, CONCAT(VLOOKUP($C24, 'Match Names'!$1:$22, 6, FALSE), ""!C3:R29"")), {6;12;18;24}, FALSE)), ""=0"") + COUNTIF(ARRAYFORMULA(HLOOKUP($B24, IMPORTRANGE('Match Names'!$G$23, CONCAT(VLOOKUP($C24, 'Match Names'!$1:$22, 7, FALSE), "&amp;"""!C3:R29"")), {2;7;17;21}, FALSE)), ""=0"") + COUNTIF(ARRAYFORMULA(HLOOKUP($B24, IMPORTRANGE('Match Names'!$H$23, CONCAT(VLOOKUP($C24, 'Match Names'!$1:$22, 8, FALSE), ""!C3:R29"")), {4;10;16;22}, FALSE)), ""=0"")"),1.0)</f>
        <v>1</v>
      </c>
      <c r="G24" s="9">
        <f>IFERROR(__xludf.DUMMYFUNCTION("COUNTIF(ARRAYFORMULA(HLOOKUP($B24, IMPORTRANGE('Prelim Rankings Unsorted'!$B$40, CONCAT(VLOOKUP($C24, 'Match Names'!$A$1:$D$22, 2, FALSE), ""!C3:R29"")), {3;8;14;20}, FALSE)), ""=-4"") + COUNTIF(ARRAYFORMULA(HLOOKUP($B24, IMPORTRANGE('Prelim Rankings Unso"&amp;"rted'!$B$41, CONCAT(VLOOKUP($C24, 'Match Names'!$A$1:$D$22, 3, FALSE), ""!C3:R29"")), {4;10;16;22}, FALSE)), ""=-4"") + COUNTIF(ARRAYFORMULA(HLOOKUP($B24, IMPORTRANGE('Prelim Rankings Unsorted'!$B$42, CONCAT(VLOOKUP($C24, 'Match Names'!$A$1:$D$22, 4, FALS"&amp;"E), ""!C3:R29"")), {2;8;14;20}, FALSE)), ""=-4"") + COUNTIF(ARRAYFORMULA(HLOOKUP($B24, IMPORTRANGE('Match Names'!$E$23, CONCAT(VLOOKUP($C24, 'Match Names'!$1:$22, 5, FALSE), ""!C3:R29"")), {3;7;18;23}, FALSE)), ""=-4"") + COUNTIF(ARRAYFORMULA(HLOOKUP($B24"&amp;", IMPORTRANGE('Match Names'!$F$23, CONCAT(VLOOKUP($C24, 'Match Names'!$1:$22, 6, FALSE), ""!C3:R29"")), {6;12;18;24}, FALSE)), ""=-4"") + COUNTIF(ARRAYFORMULA(HLOOKUP($B24, IMPORTRANGE('Match Names'!$G$23, CONCAT(VLOOKUP($C24, 'Match Names'!$1:$22, 7, FAL"&amp;"SE), ""!C3:R29"")), {2;7;17;21}, FALSE)), ""=-4"") + COUNTIF(ARRAYFORMULA(HLOOKUP($B24, IMPORTRANGE('Match Names'!$H$23, CONCAT(VLOOKUP($C24, 'Match Names'!$1:$22, 8, FALSE), ""!C3:R29"")), {4;10;16;22}, FALSE)), ""=-4"")"),0.0)</f>
        <v>0</v>
      </c>
      <c r="H24" s="39">
        <f t="shared" si="1"/>
        <v>0.67</v>
      </c>
    </row>
    <row r="25">
      <c r="A25" s="38" t="s">
        <v>124</v>
      </c>
      <c r="B25" s="38" t="str">
        <f>VLOOKUP(CONCAT(A25, C25), 'Discord Username to Real Name'!C:D, 2, FALSE)</f>
        <v>Connor Zhao#9139</v>
      </c>
      <c r="C25" s="38" t="s">
        <v>25</v>
      </c>
      <c r="D25" s="9">
        <f>IFERROR(__xludf.DUMMYFUNCTION("(4 - COUNTIF(IFERROR(ARRAYFORMULA(HLOOKUP($B25, IMPORTRANGE('Prelim Rankings Unsorted'!$B$40, CONCAT(VLOOKUP($C25, 'Match Names'!$A$1:$D$22, 2, FALSE), ""!C3:R29"")), {3;8;14;20}, FALSE)), 'Player Overall Stats Unsorted'!$AA$9:$AA$12), ""=X"")) + (4 - COU"&amp;"NTIF(IFERROR(ARRAYFORMULA(HLOOKUP($B25, IMPORTRANGE('Prelim Rankings Unsorted'!$B$41, CONCAT(VLOOKUP($C25, 'Match Names'!$A$1:$D$22, 3, FALSE), ""!C3:R29"")), {4;10;16;22}, FALSE)), 'Player Overall Stats Unsorted'!$AA$9:$AA$12), ""=X"")) + (4 - COUNTIF(IF"&amp;"ERROR(ARRAYFORMULA(HLOOKUP($B25, IMPORTRANGE('Prelim Rankings Unsorted'!$B$42, CONCAT(VLOOKUP($C25, 'Match Names'!$A$1:$D$22, 4, FALSE), ""!C3:R29"")), {2;8;14;20}, FALSE)), 'Player Overall Stats Unsorted'!$AA$9:$AA$12), ""=X"")) + (4 - COUNTIF(IFERROR(AR"&amp;"RAYFORMULA(HLOOKUP($B25, IMPORTRANGE('Match Names'!$E$23, CONCAT(VLOOKUP($C25, 'Match Names'!$1:$22, 5, FALSE), ""!C3:R29"")), {3;7;18;23}, FALSE)), 'Player Overall Stats Unsorted'!$AA$9:$AA$12), ""=X"")) + (4 - COUNTIF(IFERROR(ARRAYFORMULA(HLOOKUP($B25, "&amp;"IMPORTRANGE('Match Names'!$F$23, CONCAT(VLOOKUP($C25, 'Match Names'!$1:$22, 6, FALSE), ""!C3:R29"")), {6;12;18;24}, FALSE)), 'Player Overall Stats Unsorted'!$AA$9:$AA$12), ""=X"")) + (4 - COUNTIF(IFERROR(ARRAYFORMULA(HLOOKUP($B25, IMPORTRANGE('Match Names"&amp;"'!$G$23, CONCAT(VLOOKUP($C25, 'Match Names'!$1:$22, 7, FALSE), ""!C3:R29"")), {2;7;17;21}, FALSE)), 'Player Overall Stats Unsorted'!$AA$9:$AA$12), ""=X"")) + (4 - COUNTIF(IFERROR(ARRAYFORMULA(HLOOKUP($B25, IMPORTRANGE('Match Names'!$H$23, CONCAT(VLOOKUP($"&amp;"C25, 'Match Names'!$1:$22, 8, FALSE), ""!C3:R29"")), {4;10;16;22}, FALSE)), 'Player Overall Stats Unsorted'!$AA$9:$AA$12), ""=X""))"),22.0)</f>
        <v>22</v>
      </c>
      <c r="E25" s="9">
        <f>IFERROR(__xludf.DUMMYFUNCTION("COUNTIF(ARRAYFORMULA(HLOOKUP($B25, IMPORTRANGE('Prelim Rankings Unsorted'!$B$40, CONCAT(VLOOKUP($C25, 'Match Names'!$A$1:$D$22, 2, FALSE), ""!C3:R29"")), {3;8;14;20}, FALSE)), ""=4"") + COUNTIF(ARRAYFORMULA(HLOOKUP($B25, IMPORTRANGE('Prelim Rankings Unsor"&amp;"ted'!$B$41, CONCAT(VLOOKUP($C25, 'Match Names'!$A$1:$D$22, 3, FALSE), ""!C3:R29"")), {4;10;16;22}, FALSE)), ""=4"") + COUNTIF(ARRAYFORMULA(HLOOKUP($B25, IMPORTRANGE('Prelim Rankings Unsorted'!$B$42, CONCAT(VLOOKUP($C25, 'Match Names'!$A$1:$D$22, 4, FALSE)"&amp;", ""!C3:R29"")), {2;8;14;20}, FALSE)), ""=4"") + COUNTIF(ARRAYFORMULA(HLOOKUP($B25, IMPORTRANGE('Match Names'!$E$23, CONCAT(VLOOKUP($C25, 'Match Names'!$1:$22, 5, FALSE), ""!C3:R29"")), {3;7;18;23}, FALSE)), ""=4"") + COUNTIF(ARRAYFORMULA(HLOOKUP($B25, IM"&amp;"PORTRANGE('Match Names'!$F$23, CONCAT(VLOOKUP($C25, 'Match Names'!$1:$22, 6, FALSE), ""!C3:R29"")), {6;12;18;24}, FALSE)), ""=4"") + COUNTIF(ARRAYFORMULA(HLOOKUP($B25, IMPORTRANGE('Match Names'!$G$23, CONCAT(VLOOKUP($C25, 'Match Names'!$1:$22, 7, FALSE), "&amp;"""!C3:R29"")), {2;7;17;21}, FALSE)), ""=4"") + COUNTIF(ARRAYFORMULA(HLOOKUP($B25, IMPORTRANGE('Match Names'!$H$23, CONCAT(VLOOKUP($C25, 'Match Names'!$1:$22, 8, FALSE), ""!C3:R29"")), {4;10;16;22}, FALSE)), ""=4"")"),0.0)</f>
        <v>0</v>
      </c>
      <c r="F25" s="9">
        <f>IFERROR(__xludf.DUMMYFUNCTION("COUNTIF(ARRAYFORMULA(HLOOKUP($B25, IMPORTRANGE('Prelim Rankings Unsorted'!$B$40, CONCAT(VLOOKUP($C25, 'Match Names'!$A$1:$D$22, 2, FALSE), ""!C3:R29"")), {3;8;14;20}, FALSE)), ""=0"") + COUNTIF(ARRAYFORMULA(HLOOKUP($B25, IMPORTRANGE('Prelim Rankings Unsor"&amp;"ted'!$B$41, CONCAT(VLOOKUP($C25, 'Match Names'!$A$1:$D$22, 3, FALSE), ""!C3:R29"")), {4;10;16;22}, FALSE)), ""=0"") + COUNTIF(ARRAYFORMULA(HLOOKUP($B25, IMPORTRANGE('Prelim Rankings Unsorted'!$B$42, CONCAT(VLOOKUP($C25, 'Match Names'!$A$1:$D$22, 4, FALSE)"&amp;", ""!C3:R29"")), {2;8;14;20}, FALSE)), ""=0"") + COUNTIF(ARRAYFORMULA(HLOOKUP($B25, IMPORTRANGE('Match Names'!$E$23, CONCAT(VLOOKUP($C25, 'Match Names'!$1:$22, 5, FALSE), ""!C3:R29"")), {3;7;18;23}, FALSE)), ""=0"") + COUNTIF(ARRAYFORMULA(HLOOKUP($B25, IM"&amp;"PORTRANGE('Match Names'!$F$23, CONCAT(VLOOKUP($C25, 'Match Names'!$1:$22, 6, FALSE), ""!C3:R29"")), {6;12;18;24}, FALSE)), ""=0"") + COUNTIF(ARRAYFORMULA(HLOOKUP($B25, IMPORTRANGE('Match Names'!$G$23, CONCAT(VLOOKUP($C25, 'Match Names'!$1:$22, 7, FALSE), "&amp;"""!C3:R29"")), {2;7;17;21}, FALSE)), ""=0"") + COUNTIF(ARRAYFORMULA(HLOOKUP($B25, IMPORTRANGE('Match Names'!$H$23, CONCAT(VLOOKUP($C25, 'Match Names'!$1:$22, 8, FALSE), ""!C3:R29"")), {4;10;16;22}, FALSE)), ""=0"")"),2.0)</f>
        <v>2</v>
      </c>
      <c r="G25" s="9">
        <f>IFERROR(__xludf.DUMMYFUNCTION("COUNTIF(ARRAYFORMULA(HLOOKUP($B25, IMPORTRANGE('Prelim Rankings Unsorted'!$B$40, CONCAT(VLOOKUP($C25, 'Match Names'!$A$1:$D$22, 2, FALSE), ""!C3:R29"")), {3;8;14;20}, FALSE)), ""=-4"") + COUNTIF(ARRAYFORMULA(HLOOKUP($B25, IMPORTRANGE('Prelim Rankings Unso"&amp;"rted'!$B$41, CONCAT(VLOOKUP($C25, 'Match Names'!$A$1:$D$22, 3, FALSE), ""!C3:R29"")), {4;10;16;22}, FALSE)), ""=-4"") + COUNTIF(ARRAYFORMULA(HLOOKUP($B25, IMPORTRANGE('Prelim Rankings Unsorted'!$B$42, CONCAT(VLOOKUP($C25, 'Match Names'!$A$1:$D$22, 4, FALS"&amp;"E), ""!C3:R29"")), {2;8;14;20}, FALSE)), ""=-4"") + COUNTIF(ARRAYFORMULA(HLOOKUP($B25, IMPORTRANGE('Match Names'!$E$23, CONCAT(VLOOKUP($C25, 'Match Names'!$1:$22, 5, FALSE), ""!C3:R29"")), {3;7;18;23}, FALSE)), ""=-4"") + COUNTIF(ARRAYFORMULA(HLOOKUP($B25"&amp;", IMPORTRANGE('Match Names'!$F$23, CONCAT(VLOOKUP($C25, 'Match Names'!$1:$22, 6, FALSE), ""!C3:R29"")), {6;12;18;24}, FALSE)), ""=-4"") + COUNTIF(ARRAYFORMULA(HLOOKUP($B25, IMPORTRANGE('Match Names'!$G$23, CONCAT(VLOOKUP($C25, 'Match Names'!$1:$22, 7, FAL"&amp;"SE), ""!C3:R29"")), {2;7;17;21}, FALSE)), ""=-4"") + COUNTIF(ARRAYFORMULA(HLOOKUP($B25, IMPORTRANGE('Match Names'!$H$23, CONCAT(VLOOKUP($C25, 'Match Names'!$1:$22, 8, FALSE), ""!C3:R29"")), {4;10;16;22}, FALSE)), ""=-4"")"),0.0)</f>
        <v>0</v>
      </c>
      <c r="H25" s="39">
        <f t="shared" si="1"/>
        <v>0</v>
      </c>
    </row>
    <row r="26">
      <c r="A26" s="38" t="s">
        <v>13</v>
      </c>
      <c r="B26" s="38" t="str">
        <f>VLOOKUP(CONCAT(A26, C26), 'Discord Username to Real Name'!C:D, 2, FALSE)</f>
        <v>asiangold#6836</v>
      </c>
      <c r="C26" s="38" t="s">
        <v>25</v>
      </c>
      <c r="D26" s="9">
        <f>IFERROR(__xludf.DUMMYFUNCTION("(4 - COUNTIF(IFERROR(ARRAYFORMULA(HLOOKUP($B26, IMPORTRANGE('Prelim Rankings Unsorted'!$B$40, CONCAT(VLOOKUP($C26, 'Match Names'!$A$1:$D$22, 2, FALSE), ""!C3:R29"")), {3;8;14;20}, FALSE)), 'Player Overall Stats Unsorted'!$AA$9:$AA$12), ""=X"")) + (4 - COU"&amp;"NTIF(IFERROR(ARRAYFORMULA(HLOOKUP($B26, IMPORTRANGE('Prelim Rankings Unsorted'!$B$41, CONCAT(VLOOKUP($C26, 'Match Names'!$A$1:$D$22, 3, FALSE), ""!C3:R29"")), {4;10;16;22}, FALSE)), 'Player Overall Stats Unsorted'!$AA$9:$AA$12), ""=X"")) + (4 - COUNTIF(IF"&amp;"ERROR(ARRAYFORMULA(HLOOKUP($B26, IMPORTRANGE('Prelim Rankings Unsorted'!$B$42, CONCAT(VLOOKUP($C26, 'Match Names'!$A$1:$D$22, 4, FALSE), ""!C3:R29"")), {2;8;14;20}, FALSE)), 'Player Overall Stats Unsorted'!$AA$9:$AA$12), ""=X"")) + (4 - COUNTIF(IFERROR(AR"&amp;"RAYFORMULA(HLOOKUP($B26, IMPORTRANGE('Match Names'!$E$23, CONCAT(VLOOKUP($C26, 'Match Names'!$1:$22, 5, FALSE), ""!C3:R29"")), {3;7;18;23}, FALSE)), 'Player Overall Stats Unsorted'!$AA$9:$AA$12), ""=X"")) + (4 - COUNTIF(IFERROR(ARRAYFORMULA(HLOOKUP($B26, "&amp;"IMPORTRANGE('Match Names'!$F$23, CONCAT(VLOOKUP($C26, 'Match Names'!$1:$22, 6, FALSE), ""!C3:R29"")), {6;12;18;24}, FALSE)), 'Player Overall Stats Unsorted'!$AA$9:$AA$12), ""=X"")) + (4 - COUNTIF(IFERROR(ARRAYFORMULA(HLOOKUP($B26, IMPORTRANGE('Match Names"&amp;"'!$G$23, CONCAT(VLOOKUP($C26, 'Match Names'!$1:$22, 7, FALSE), ""!C3:R29"")), {2;7;17;21}, FALSE)), 'Player Overall Stats Unsorted'!$AA$9:$AA$12), ""=X"")) + (4 - COUNTIF(IFERROR(ARRAYFORMULA(HLOOKUP($B26, IMPORTRANGE('Match Names'!$H$23, CONCAT(VLOOKUP($"&amp;"C26, 'Match Names'!$1:$22, 8, FALSE), ""!C3:R29"")), {4;10;16;22}, FALSE)), 'Player Overall Stats Unsorted'!$AA$9:$AA$12), ""=X""))"),24.0)</f>
        <v>24</v>
      </c>
      <c r="E26" s="9">
        <f>IFERROR(__xludf.DUMMYFUNCTION("COUNTIF(ARRAYFORMULA(HLOOKUP($B26, IMPORTRANGE('Prelim Rankings Unsorted'!$B$40, CONCAT(VLOOKUP($C26, 'Match Names'!$A$1:$D$22, 2, FALSE), ""!C3:R29"")), {3;8;14;20}, FALSE)), ""=4"") + COUNTIF(ARRAYFORMULA(HLOOKUP($B26, IMPORTRANGE('Prelim Rankings Unsor"&amp;"ted'!$B$41, CONCAT(VLOOKUP($C26, 'Match Names'!$A$1:$D$22, 3, FALSE), ""!C3:R29"")), {4;10;16;22}, FALSE)), ""=4"") + COUNTIF(ARRAYFORMULA(HLOOKUP($B26, IMPORTRANGE('Prelim Rankings Unsorted'!$B$42, CONCAT(VLOOKUP($C26, 'Match Names'!$A$1:$D$22, 4, FALSE)"&amp;", ""!C3:R29"")), {2;8;14;20}, FALSE)), ""=4"") + COUNTIF(ARRAYFORMULA(HLOOKUP($B26, IMPORTRANGE('Match Names'!$E$23, CONCAT(VLOOKUP($C26, 'Match Names'!$1:$22, 5, FALSE), ""!C3:R29"")), {3;7;18;23}, FALSE)), ""=4"") + COUNTIF(ARRAYFORMULA(HLOOKUP($B26, IM"&amp;"PORTRANGE('Match Names'!$F$23, CONCAT(VLOOKUP($C26, 'Match Names'!$1:$22, 6, FALSE), ""!C3:R29"")), {6;12;18;24}, FALSE)), ""=4"") + COUNTIF(ARRAYFORMULA(HLOOKUP($B26, IMPORTRANGE('Match Names'!$G$23, CONCAT(VLOOKUP($C26, 'Match Names'!$1:$22, 7, FALSE), "&amp;"""!C3:R29"")), {2;7;17;21}, FALSE)), ""=4"") + COUNTIF(ARRAYFORMULA(HLOOKUP($B26, IMPORTRANGE('Match Names'!$H$23, CONCAT(VLOOKUP($C26, 'Match Names'!$1:$22, 8, FALSE), ""!C3:R29"")), {4;10;16;22}, FALSE)), ""=4"")"),11.0)</f>
        <v>11</v>
      </c>
      <c r="F26" s="9">
        <f>IFERROR(__xludf.DUMMYFUNCTION("COUNTIF(ARRAYFORMULA(HLOOKUP($B26, IMPORTRANGE('Prelim Rankings Unsorted'!$B$40, CONCAT(VLOOKUP($C26, 'Match Names'!$A$1:$D$22, 2, FALSE), ""!C3:R29"")), {3;8;14;20}, FALSE)), ""=0"") + COUNTIF(ARRAYFORMULA(HLOOKUP($B26, IMPORTRANGE('Prelim Rankings Unsor"&amp;"ted'!$B$41, CONCAT(VLOOKUP($C26, 'Match Names'!$A$1:$D$22, 3, FALSE), ""!C3:R29"")), {4;10;16;22}, FALSE)), ""=0"") + COUNTIF(ARRAYFORMULA(HLOOKUP($B26, IMPORTRANGE('Prelim Rankings Unsorted'!$B$42, CONCAT(VLOOKUP($C26, 'Match Names'!$A$1:$D$22, 4, FALSE)"&amp;", ""!C3:R29"")), {2;8;14;20}, FALSE)), ""=0"") + COUNTIF(ARRAYFORMULA(HLOOKUP($B26, IMPORTRANGE('Match Names'!$E$23, CONCAT(VLOOKUP($C26, 'Match Names'!$1:$22, 5, FALSE), ""!C3:R29"")), {3;7;18;23}, FALSE)), ""=0"") + COUNTIF(ARRAYFORMULA(HLOOKUP($B26, IM"&amp;"PORTRANGE('Match Names'!$F$23, CONCAT(VLOOKUP($C26, 'Match Names'!$1:$22, 6, FALSE), ""!C3:R29"")), {6;12;18;24}, FALSE)), ""=0"") + COUNTIF(ARRAYFORMULA(HLOOKUP($B26, IMPORTRANGE('Match Names'!$G$23, CONCAT(VLOOKUP($C26, 'Match Names'!$1:$22, 7, FALSE), "&amp;"""!C3:R29"")), {2;7;17;21}, FALSE)), ""=0"") + COUNTIF(ARRAYFORMULA(HLOOKUP($B26, IMPORTRANGE('Match Names'!$H$23, CONCAT(VLOOKUP($C26, 'Match Names'!$1:$22, 8, FALSE), ""!C3:R29"")), {4;10;16;22}, FALSE)), ""=0"")"),1.0)</f>
        <v>1</v>
      </c>
      <c r="G26" s="9">
        <f>IFERROR(__xludf.DUMMYFUNCTION("COUNTIF(ARRAYFORMULA(HLOOKUP($B26, IMPORTRANGE('Prelim Rankings Unsorted'!$B$40, CONCAT(VLOOKUP($C26, 'Match Names'!$A$1:$D$22, 2, FALSE), ""!C3:R29"")), {3;8;14;20}, FALSE)), ""=-4"") + COUNTIF(ARRAYFORMULA(HLOOKUP($B26, IMPORTRANGE('Prelim Rankings Unso"&amp;"rted'!$B$41, CONCAT(VLOOKUP($C26, 'Match Names'!$A$1:$D$22, 3, FALSE), ""!C3:R29"")), {4;10;16;22}, FALSE)), ""=-4"") + COUNTIF(ARRAYFORMULA(HLOOKUP($B26, IMPORTRANGE('Prelim Rankings Unsorted'!$B$42, CONCAT(VLOOKUP($C26, 'Match Names'!$A$1:$D$22, 4, FALS"&amp;"E), ""!C3:R29"")), {2;8;14;20}, FALSE)), ""=-4"") + COUNTIF(ARRAYFORMULA(HLOOKUP($B26, IMPORTRANGE('Match Names'!$E$23, CONCAT(VLOOKUP($C26, 'Match Names'!$1:$22, 5, FALSE), ""!C3:R29"")), {3;7;18;23}, FALSE)), ""=-4"") + COUNTIF(ARRAYFORMULA(HLOOKUP($B26"&amp;", IMPORTRANGE('Match Names'!$F$23, CONCAT(VLOOKUP($C26, 'Match Names'!$1:$22, 6, FALSE), ""!C3:R29"")), {6;12;18;24}, FALSE)), ""=-4"") + COUNTIF(ARRAYFORMULA(HLOOKUP($B26, IMPORTRANGE('Match Names'!$G$23, CONCAT(VLOOKUP($C26, 'Match Names'!$1:$22, 7, FAL"&amp;"SE), ""!C3:R29"")), {2;7;17;21}, FALSE)), ""=-4"") + COUNTIF(ARRAYFORMULA(HLOOKUP($B26, IMPORTRANGE('Match Names'!$H$23, CONCAT(VLOOKUP($C26, 'Match Names'!$1:$22, 8, FALSE), ""!C3:R29"")), {4;10;16;22}, FALSE)), ""=-4"")"),0.0)</f>
        <v>0</v>
      </c>
      <c r="H26" s="39">
        <f t="shared" si="1"/>
        <v>7.33</v>
      </c>
    </row>
    <row r="27">
      <c r="A27" s="38" t="s">
        <v>179</v>
      </c>
      <c r="B27" s="38" t="str">
        <f>VLOOKUP(CONCAT(A27, C27), 'Discord Username to Real Name'!C:D, 2, FALSE)</f>
        <v>Nutritious Soup#4238</v>
      </c>
      <c r="C27" s="38" t="s">
        <v>25</v>
      </c>
      <c r="D27" s="9">
        <f>IFERROR(__xludf.DUMMYFUNCTION("(4 - COUNTIF(IFERROR(ARRAYFORMULA(HLOOKUP($B27, IMPORTRANGE('Prelim Rankings Unsorted'!$B$40, CONCAT(VLOOKUP($C27, 'Match Names'!$A$1:$D$22, 2, FALSE), ""!C3:R29"")), {3;8;14;20}, FALSE)), 'Player Overall Stats Unsorted'!$AA$9:$AA$12), ""=X"")) + (4 - COU"&amp;"NTIF(IFERROR(ARRAYFORMULA(HLOOKUP($B27, IMPORTRANGE('Prelim Rankings Unsorted'!$B$41, CONCAT(VLOOKUP($C27, 'Match Names'!$A$1:$D$22, 3, FALSE), ""!C3:R29"")), {4;10;16;22}, FALSE)), 'Player Overall Stats Unsorted'!$AA$9:$AA$12), ""=X"")) + (4 - COUNTIF(IF"&amp;"ERROR(ARRAYFORMULA(HLOOKUP($B27, IMPORTRANGE('Prelim Rankings Unsorted'!$B$42, CONCAT(VLOOKUP($C27, 'Match Names'!$A$1:$D$22, 4, FALSE), ""!C3:R29"")), {2;8;14;20}, FALSE)), 'Player Overall Stats Unsorted'!$AA$9:$AA$12), ""=X"")) + (4 - COUNTIF(IFERROR(AR"&amp;"RAYFORMULA(HLOOKUP($B27, IMPORTRANGE('Match Names'!$E$23, CONCAT(VLOOKUP($C27, 'Match Names'!$1:$22, 5, FALSE), ""!C3:R29"")), {3;7;18;23}, FALSE)), 'Player Overall Stats Unsorted'!$AA$9:$AA$12), ""=X"")) + (4 - COUNTIF(IFERROR(ARRAYFORMULA(HLOOKUP($B27, "&amp;"IMPORTRANGE('Match Names'!$F$23, CONCAT(VLOOKUP($C27, 'Match Names'!$1:$22, 6, FALSE), ""!C3:R29"")), {6;12;18;24}, FALSE)), 'Player Overall Stats Unsorted'!$AA$9:$AA$12), ""=X"")) + (4 - COUNTIF(IFERROR(ARRAYFORMULA(HLOOKUP($B27, IMPORTRANGE('Match Names"&amp;"'!$G$23, CONCAT(VLOOKUP($C27, 'Match Names'!$1:$22, 7, FALSE), ""!C3:R29"")), {2;7;17;21}, FALSE)), 'Player Overall Stats Unsorted'!$AA$9:$AA$12), ""=X"")) + (4 - COUNTIF(IFERROR(ARRAYFORMULA(HLOOKUP($B27, IMPORTRANGE('Match Names'!$H$23, CONCAT(VLOOKUP($"&amp;"C27, 'Match Names'!$1:$22, 8, FALSE), ""!C3:R29"")), {4;10;16;22}, FALSE)), 'Player Overall Stats Unsorted'!$AA$9:$AA$12), ""=X""))"),12.0)</f>
        <v>12</v>
      </c>
      <c r="E27" s="9">
        <f>IFERROR(__xludf.DUMMYFUNCTION("COUNTIF(ARRAYFORMULA(HLOOKUP($B27, IMPORTRANGE('Prelim Rankings Unsorted'!$B$40, CONCAT(VLOOKUP($C27, 'Match Names'!$A$1:$D$22, 2, FALSE), ""!C3:R29"")), {3;8;14;20}, FALSE)), ""=4"") + COUNTIF(ARRAYFORMULA(HLOOKUP($B27, IMPORTRANGE('Prelim Rankings Unsor"&amp;"ted'!$B$41, CONCAT(VLOOKUP($C27, 'Match Names'!$A$1:$D$22, 3, FALSE), ""!C3:R29"")), {4;10;16;22}, FALSE)), ""=4"") + COUNTIF(ARRAYFORMULA(HLOOKUP($B27, IMPORTRANGE('Prelim Rankings Unsorted'!$B$42, CONCAT(VLOOKUP($C27, 'Match Names'!$A$1:$D$22, 4, FALSE)"&amp;", ""!C3:R29"")), {2;8;14;20}, FALSE)), ""=4"") + COUNTIF(ARRAYFORMULA(HLOOKUP($B27, IMPORTRANGE('Match Names'!$E$23, CONCAT(VLOOKUP($C27, 'Match Names'!$1:$22, 5, FALSE), ""!C3:R29"")), {3;7;18;23}, FALSE)), ""=4"") + COUNTIF(ARRAYFORMULA(HLOOKUP($B27, IM"&amp;"PORTRANGE('Match Names'!$F$23, CONCAT(VLOOKUP($C27, 'Match Names'!$1:$22, 6, FALSE), ""!C3:R29"")), {6;12;18;24}, FALSE)), ""=4"") + COUNTIF(ARRAYFORMULA(HLOOKUP($B27, IMPORTRANGE('Match Names'!$G$23, CONCAT(VLOOKUP($C27, 'Match Names'!$1:$22, 7, FALSE), "&amp;"""!C3:R29"")), {2;7;17;21}, FALSE)), ""=4"") + COUNTIF(ARRAYFORMULA(HLOOKUP($B27, IMPORTRANGE('Match Names'!$H$23, CONCAT(VLOOKUP($C27, 'Match Names'!$1:$22, 8, FALSE), ""!C3:R29"")), {4;10;16;22}, FALSE)), ""=4"")"),0.0)</f>
        <v>0</v>
      </c>
      <c r="F27" s="9">
        <f>IFERROR(__xludf.DUMMYFUNCTION("COUNTIF(ARRAYFORMULA(HLOOKUP($B27, IMPORTRANGE('Prelim Rankings Unsorted'!$B$40, CONCAT(VLOOKUP($C27, 'Match Names'!$A$1:$D$22, 2, FALSE), ""!C3:R29"")), {3;8;14;20}, FALSE)), ""=0"") + COUNTIF(ARRAYFORMULA(HLOOKUP($B27, IMPORTRANGE('Prelim Rankings Unsor"&amp;"ted'!$B$41, CONCAT(VLOOKUP($C27, 'Match Names'!$A$1:$D$22, 3, FALSE), ""!C3:R29"")), {4;10;16;22}, FALSE)), ""=0"") + COUNTIF(ARRAYFORMULA(HLOOKUP($B27, IMPORTRANGE('Prelim Rankings Unsorted'!$B$42, CONCAT(VLOOKUP($C27, 'Match Names'!$A$1:$D$22, 4, FALSE)"&amp;", ""!C3:R29"")), {2;8;14;20}, FALSE)), ""=0"") + COUNTIF(ARRAYFORMULA(HLOOKUP($B27, IMPORTRANGE('Match Names'!$E$23, CONCAT(VLOOKUP($C27, 'Match Names'!$1:$22, 5, FALSE), ""!C3:R29"")), {3;7;18;23}, FALSE)), ""=0"") + COUNTIF(ARRAYFORMULA(HLOOKUP($B27, IM"&amp;"PORTRANGE('Match Names'!$F$23, CONCAT(VLOOKUP($C27, 'Match Names'!$1:$22, 6, FALSE), ""!C3:R29"")), {6;12;18;24}, FALSE)), ""=0"") + COUNTIF(ARRAYFORMULA(HLOOKUP($B27, IMPORTRANGE('Match Names'!$G$23, CONCAT(VLOOKUP($C27, 'Match Names'!$1:$22, 7, FALSE), "&amp;"""!C3:R29"")), {2;7;17;21}, FALSE)), ""=0"") + COUNTIF(ARRAYFORMULA(HLOOKUP($B27, IMPORTRANGE('Match Names'!$H$23, CONCAT(VLOOKUP($C27, 'Match Names'!$1:$22, 8, FALSE), ""!C3:R29"")), {4;10;16;22}, FALSE)), ""=0"")"),0.0)</f>
        <v>0</v>
      </c>
      <c r="G27" s="9">
        <f>IFERROR(__xludf.DUMMYFUNCTION("COUNTIF(ARRAYFORMULA(HLOOKUP($B27, IMPORTRANGE('Prelim Rankings Unsorted'!$B$40, CONCAT(VLOOKUP($C27, 'Match Names'!$A$1:$D$22, 2, FALSE), ""!C3:R29"")), {3;8;14;20}, FALSE)), ""=-4"") + COUNTIF(ARRAYFORMULA(HLOOKUP($B27, IMPORTRANGE('Prelim Rankings Unso"&amp;"rted'!$B$41, CONCAT(VLOOKUP($C27, 'Match Names'!$A$1:$D$22, 3, FALSE), ""!C3:R29"")), {4;10;16;22}, FALSE)), ""=-4"") + COUNTIF(ARRAYFORMULA(HLOOKUP($B27, IMPORTRANGE('Prelim Rankings Unsorted'!$B$42, CONCAT(VLOOKUP($C27, 'Match Names'!$A$1:$D$22, 4, FALS"&amp;"E), ""!C3:R29"")), {2;8;14;20}, FALSE)), ""=-4"") + COUNTIF(ARRAYFORMULA(HLOOKUP($B27, IMPORTRANGE('Match Names'!$E$23, CONCAT(VLOOKUP($C27, 'Match Names'!$1:$22, 5, FALSE), ""!C3:R29"")), {3;7;18;23}, FALSE)), ""=-4"") + COUNTIF(ARRAYFORMULA(HLOOKUP($B27"&amp;", IMPORTRANGE('Match Names'!$F$23, CONCAT(VLOOKUP($C27, 'Match Names'!$1:$22, 6, FALSE), ""!C3:R29"")), {6;12;18;24}, FALSE)), ""=-4"") + COUNTIF(ARRAYFORMULA(HLOOKUP($B27, IMPORTRANGE('Match Names'!$G$23, CONCAT(VLOOKUP($C27, 'Match Names'!$1:$22, 7, FAL"&amp;"SE), ""!C3:R29"")), {2;7;17;21}, FALSE)), ""=-4"") + COUNTIF(ARRAYFORMULA(HLOOKUP($B27, IMPORTRANGE('Match Names'!$H$23, CONCAT(VLOOKUP($C27, 'Match Names'!$1:$22, 8, FALSE), ""!C3:R29"")), {4;10;16;22}, FALSE)), ""=-4"")"),0.0)</f>
        <v>0</v>
      </c>
      <c r="H27" s="39">
        <f t="shared" si="1"/>
        <v>0</v>
      </c>
    </row>
    <row r="28">
      <c r="A28" s="38" t="s">
        <v>48</v>
      </c>
      <c r="B28" s="38" t="str">
        <f>VLOOKUP(CONCAT(A28, C28), 'Discord Username to Real Name'!C:D, 2, FALSE)</f>
        <v>a Aquilae#6100</v>
      </c>
      <c r="C28" s="38" t="s">
        <v>27</v>
      </c>
      <c r="D28" s="9">
        <f>IFERROR(__xludf.DUMMYFUNCTION("(4 - COUNTIF(IFERROR(ARRAYFORMULA(HLOOKUP($B28, IMPORTRANGE('Prelim Rankings Unsorted'!$B$40, CONCAT(VLOOKUP($C28, 'Match Names'!$A$1:$D$22, 2, FALSE), ""!C3:R29"")), {3;8;14;20}, FALSE)), 'Player Overall Stats Unsorted'!$AA$9:$AA$12), ""=X"")) + (4 - COU"&amp;"NTIF(IFERROR(ARRAYFORMULA(HLOOKUP($B28, IMPORTRANGE('Prelim Rankings Unsorted'!$B$41, CONCAT(VLOOKUP($C28, 'Match Names'!$A$1:$D$22, 3, FALSE), ""!C3:R29"")), {4;10;16;22}, FALSE)), 'Player Overall Stats Unsorted'!$AA$9:$AA$12), ""=X"")) + (4 - COUNTIF(IF"&amp;"ERROR(ARRAYFORMULA(HLOOKUP($B28, IMPORTRANGE('Prelim Rankings Unsorted'!$B$42, CONCAT(VLOOKUP($C28, 'Match Names'!$A$1:$D$22, 4, FALSE), ""!C3:R29"")), {2;8;14;20}, FALSE)), 'Player Overall Stats Unsorted'!$AA$9:$AA$12), ""=X"")) + (4 - COUNTIF(IFERROR(AR"&amp;"RAYFORMULA(HLOOKUP($B28, IMPORTRANGE('Match Names'!$E$23, CONCAT(VLOOKUP($C28, 'Match Names'!$1:$22, 5, FALSE), ""!C3:R29"")), {3;7;18;23}, FALSE)), 'Player Overall Stats Unsorted'!$AA$9:$AA$12), ""=X"")) + (4 - COUNTIF(IFERROR(ARRAYFORMULA(HLOOKUP($B28, "&amp;"IMPORTRANGE('Match Names'!$F$23, CONCAT(VLOOKUP($C28, 'Match Names'!$1:$22, 6, FALSE), ""!C3:R29"")), {6;12;18;24}, FALSE)), 'Player Overall Stats Unsorted'!$AA$9:$AA$12), ""=X"")) + (4 - COUNTIF(IFERROR(ARRAYFORMULA(HLOOKUP($B28, IMPORTRANGE('Match Names"&amp;"'!$G$23, CONCAT(VLOOKUP($C28, 'Match Names'!$1:$22, 7, FALSE), ""!C3:R29"")), {2;7;17;21}, FALSE)), 'Player Overall Stats Unsorted'!$AA$9:$AA$12), ""=X"")) + (4 - COUNTIF(IFERROR(ARRAYFORMULA(HLOOKUP($B28, IMPORTRANGE('Match Names'!$H$23, CONCAT(VLOOKUP($"&amp;"C28, 'Match Names'!$1:$22, 8, FALSE), ""!C3:R29"")), {4;10;16;22}, FALSE)), 'Player Overall Stats Unsorted'!$AA$9:$AA$12), ""=X""))"),24.0)</f>
        <v>24</v>
      </c>
      <c r="E28" s="9">
        <f>IFERROR(__xludf.DUMMYFUNCTION("COUNTIF(ARRAYFORMULA(HLOOKUP($B28, IMPORTRANGE('Prelim Rankings Unsorted'!$B$40, CONCAT(VLOOKUP($C28, 'Match Names'!$A$1:$D$22, 2, FALSE), ""!C3:R29"")), {3;8;14;20}, FALSE)), ""=4"") + COUNTIF(ARRAYFORMULA(HLOOKUP($B28, IMPORTRANGE('Prelim Rankings Unsor"&amp;"ted'!$B$41, CONCAT(VLOOKUP($C28, 'Match Names'!$A$1:$D$22, 3, FALSE), ""!C3:R29"")), {4;10;16;22}, FALSE)), ""=4"") + COUNTIF(ARRAYFORMULA(HLOOKUP($B28, IMPORTRANGE('Prelim Rankings Unsorted'!$B$42, CONCAT(VLOOKUP($C28, 'Match Names'!$A$1:$D$22, 4, FALSE)"&amp;", ""!C3:R29"")), {2;8;14;20}, FALSE)), ""=4"") + COUNTIF(ARRAYFORMULA(HLOOKUP($B28, IMPORTRANGE('Match Names'!$E$23, CONCAT(VLOOKUP($C28, 'Match Names'!$1:$22, 5, FALSE), ""!C3:R29"")), {3;7;18;23}, FALSE)), ""=4"") + COUNTIF(ARRAYFORMULA(HLOOKUP($B28, IM"&amp;"PORTRANGE('Match Names'!$F$23, CONCAT(VLOOKUP($C28, 'Match Names'!$1:$22, 6, FALSE), ""!C3:R29"")), {6;12;18;24}, FALSE)), ""=4"") + COUNTIF(ARRAYFORMULA(HLOOKUP($B28, IMPORTRANGE('Match Names'!$G$23, CONCAT(VLOOKUP($C28, 'Match Names'!$1:$22, 7, FALSE), "&amp;"""!C3:R29"")), {2;7;17;21}, FALSE)), ""=4"") + COUNTIF(ARRAYFORMULA(HLOOKUP($B28, IMPORTRANGE('Match Names'!$H$23, CONCAT(VLOOKUP($C28, 'Match Names'!$1:$22, 8, FALSE), ""!C3:R29"")), {4;10;16;22}, FALSE)), ""=4"")"),4.0)</f>
        <v>4</v>
      </c>
      <c r="F28" s="9">
        <f>IFERROR(__xludf.DUMMYFUNCTION("COUNTIF(ARRAYFORMULA(HLOOKUP($B28, IMPORTRANGE('Prelim Rankings Unsorted'!$B$40, CONCAT(VLOOKUP($C28, 'Match Names'!$A$1:$D$22, 2, FALSE), ""!C3:R29"")), {3;8;14;20}, FALSE)), ""=0"") + COUNTIF(ARRAYFORMULA(HLOOKUP($B28, IMPORTRANGE('Prelim Rankings Unsor"&amp;"ted'!$B$41, CONCAT(VLOOKUP($C28, 'Match Names'!$A$1:$D$22, 3, FALSE), ""!C3:R29"")), {4;10;16;22}, FALSE)), ""=0"") + COUNTIF(ARRAYFORMULA(HLOOKUP($B28, IMPORTRANGE('Prelim Rankings Unsorted'!$B$42, CONCAT(VLOOKUP($C28, 'Match Names'!$A$1:$D$22, 4, FALSE)"&amp;", ""!C3:R29"")), {2;8;14;20}, FALSE)), ""=0"") + COUNTIF(ARRAYFORMULA(HLOOKUP($B28, IMPORTRANGE('Match Names'!$E$23, CONCAT(VLOOKUP($C28, 'Match Names'!$1:$22, 5, FALSE), ""!C3:R29"")), {3;7;18;23}, FALSE)), ""=0"") + COUNTIF(ARRAYFORMULA(HLOOKUP($B28, IM"&amp;"PORTRANGE('Match Names'!$F$23, CONCAT(VLOOKUP($C28, 'Match Names'!$1:$22, 6, FALSE), ""!C3:R29"")), {6;12;18;24}, FALSE)), ""=0"") + COUNTIF(ARRAYFORMULA(HLOOKUP($B28, IMPORTRANGE('Match Names'!$G$23, CONCAT(VLOOKUP($C28, 'Match Names'!$1:$22, 7, FALSE), "&amp;"""!C3:R29"")), {2;7;17;21}, FALSE)), ""=0"") + COUNTIF(ARRAYFORMULA(HLOOKUP($B28, IMPORTRANGE('Match Names'!$H$23, CONCAT(VLOOKUP($C28, 'Match Names'!$1:$22, 8, FALSE), ""!C3:R29"")), {4;10;16;22}, FALSE)), ""=0"")"),6.0)</f>
        <v>6</v>
      </c>
      <c r="G28" s="9">
        <f>IFERROR(__xludf.DUMMYFUNCTION("COUNTIF(ARRAYFORMULA(HLOOKUP($B28, IMPORTRANGE('Prelim Rankings Unsorted'!$B$40, CONCAT(VLOOKUP($C28, 'Match Names'!$A$1:$D$22, 2, FALSE), ""!C3:R29"")), {3;8;14;20}, FALSE)), ""=-4"") + COUNTIF(ARRAYFORMULA(HLOOKUP($B28, IMPORTRANGE('Prelim Rankings Unso"&amp;"rted'!$B$41, CONCAT(VLOOKUP($C28, 'Match Names'!$A$1:$D$22, 3, FALSE), ""!C3:R29"")), {4;10;16;22}, FALSE)), ""=-4"") + COUNTIF(ARRAYFORMULA(HLOOKUP($B28, IMPORTRANGE('Prelim Rankings Unsorted'!$B$42, CONCAT(VLOOKUP($C28, 'Match Names'!$A$1:$D$22, 4, FALS"&amp;"E), ""!C3:R29"")), {2;8;14;20}, FALSE)), ""=-4"") + COUNTIF(ARRAYFORMULA(HLOOKUP($B28, IMPORTRANGE('Match Names'!$E$23, CONCAT(VLOOKUP($C28, 'Match Names'!$1:$22, 5, FALSE), ""!C3:R29"")), {3;7;18;23}, FALSE)), ""=-4"") + COUNTIF(ARRAYFORMULA(HLOOKUP($B28"&amp;", IMPORTRANGE('Match Names'!$F$23, CONCAT(VLOOKUP($C28, 'Match Names'!$1:$22, 6, FALSE), ""!C3:R29"")), {6;12;18;24}, FALSE)), ""=-4"") + COUNTIF(ARRAYFORMULA(HLOOKUP($B28, IMPORTRANGE('Match Names'!$G$23, CONCAT(VLOOKUP($C28, 'Match Names'!$1:$22, 7, FAL"&amp;"SE), ""!C3:R29"")), {2;7;17;21}, FALSE)), ""=-4"") + COUNTIF(ARRAYFORMULA(HLOOKUP($B28, IMPORTRANGE('Match Names'!$H$23, CONCAT(VLOOKUP($C28, 'Match Names'!$1:$22, 8, FALSE), ""!C3:R29"")), {4;10;16;22}, FALSE)), ""=-4"")"),0.0)</f>
        <v>0</v>
      </c>
      <c r="H28" s="39">
        <f t="shared" si="1"/>
        <v>2.67</v>
      </c>
    </row>
    <row r="29">
      <c r="A29" s="38" t="s">
        <v>122</v>
      </c>
      <c r="B29" s="38" t="str">
        <f>VLOOKUP(CONCAT(A29, C29), 'Discord Username to Real Name'!C:D, 2, FALSE)</f>
        <v>emu#0818</v>
      </c>
      <c r="C29" s="38" t="s">
        <v>27</v>
      </c>
      <c r="D29" s="9">
        <f>IFERROR(__xludf.DUMMYFUNCTION("(4 - COUNTIF(IFERROR(ARRAYFORMULA(HLOOKUP($B29, IMPORTRANGE('Prelim Rankings Unsorted'!$B$40, CONCAT(VLOOKUP($C29, 'Match Names'!$A$1:$D$22, 2, FALSE), ""!C3:R29"")), {3;8;14;20}, FALSE)), 'Player Overall Stats Unsorted'!$AA$9:$AA$12), ""=X"")) + (4 - COU"&amp;"NTIF(IFERROR(ARRAYFORMULA(HLOOKUP($B29, IMPORTRANGE('Prelim Rankings Unsorted'!$B$41, CONCAT(VLOOKUP($C29, 'Match Names'!$A$1:$D$22, 3, FALSE), ""!C3:R29"")), {4;10;16;22}, FALSE)), 'Player Overall Stats Unsorted'!$AA$9:$AA$12), ""=X"")) + (4 - COUNTIF(IF"&amp;"ERROR(ARRAYFORMULA(HLOOKUP($B29, IMPORTRANGE('Prelim Rankings Unsorted'!$B$42, CONCAT(VLOOKUP($C29, 'Match Names'!$A$1:$D$22, 4, FALSE), ""!C3:R29"")), {2;8;14;20}, FALSE)), 'Player Overall Stats Unsorted'!$AA$9:$AA$12), ""=X"")) + (4 - COUNTIF(IFERROR(AR"&amp;"RAYFORMULA(HLOOKUP($B29, IMPORTRANGE('Match Names'!$E$23, CONCAT(VLOOKUP($C29, 'Match Names'!$1:$22, 5, FALSE), ""!C3:R29"")), {3;7;18;23}, FALSE)), 'Player Overall Stats Unsorted'!$AA$9:$AA$12), ""=X"")) + (4 - COUNTIF(IFERROR(ARRAYFORMULA(HLOOKUP($B29, "&amp;"IMPORTRANGE('Match Names'!$F$23, CONCAT(VLOOKUP($C29, 'Match Names'!$1:$22, 6, FALSE), ""!C3:R29"")), {6;12;18;24}, FALSE)), 'Player Overall Stats Unsorted'!$AA$9:$AA$12), ""=X"")) + (4 - COUNTIF(IFERROR(ARRAYFORMULA(HLOOKUP($B29, IMPORTRANGE('Match Names"&amp;"'!$G$23, CONCAT(VLOOKUP($C29, 'Match Names'!$1:$22, 7, FALSE), ""!C3:R29"")), {2;7;17;21}, FALSE)), 'Player Overall Stats Unsorted'!$AA$9:$AA$12), ""=X"")) + (4 - COUNTIF(IFERROR(ARRAYFORMULA(HLOOKUP($B29, IMPORTRANGE('Match Names'!$H$23, CONCAT(VLOOKUP($"&amp;"C29, 'Match Names'!$1:$22, 8, FALSE), ""!C3:R29"")), {4;10;16;22}, FALSE)), 'Player Overall Stats Unsorted'!$AA$9:$AA$12), ""=X""))"),20.0)</f>
        <v>20</v>
      </c>
      <c r="E29" s="9">
        <f>IFERROR(__xludf.DUMMYFUNCTION("COUNTIF(ARRAYFORMULA(HLOOKUP($B29, IMPORTRANGE('Prelim Rankings Unsorted'!$B$40, CONCAT(VLOOKUP($C29, 'Match Names'!$A$1:$D$22, 2, FALSE), ""!C3:R29"")), {3;8;14;20}, FALSE)), ""=4"") + COUNTIF(ARRAYFORMULA(HLOOKUP($B29, IMPORTRANGE('Prelim Rankings Unsor"&amp;"ted'!$B$41, CONCAT(VLOOKUP($C29, 'Match Names'!$A$1:$D$22, 3, FALSE), ""!C3:R29"")), {4;10;16;22}, FALSE)), ""=4"") + COUNTIF(ARRAYFORMULA(HLOOKUP($B29, IMPORTRANGE('Prelim Rankings Unsorted'!$B$42, CONCAT(VLOOKUP($C29, 'Match Names'!$A$1:$D$22, 4, FALSE)"&amp;", ""!C3:R29"")), {2;8;14;20}, FALSE)), ""=4"") + COUNTIF(ARRAYFORMULA(HLOOKUP($B29, IMPORTRANGE('Match Names'!$E$23, CONCAT(VLOOKUP($C29, 'Match Names'!$1:$22, 5, FALSE), ""!C3:R29"")), {3;7;18;23}, FALSE)), ""=4"") + COUNTIF(ARRAYFORMULA(HLOOKUP($B29, IM"&amp;"PORTRANGE('Match Names'!$F$23, CONCAT(VLOOKUP($C29, 'Match Names'!$1:$22, 6, FALSE), ""!C3:R29"")), {6;12;18;24}, FALSE)), ""=4"") + COUNTIF(ARRAYFORMULA(HLOOKUP($B29, IMPORTRANGE('Match Names'!$G$23, CONCAT(VLOOKUP($C29, 'Match Names'!$1:$22, 7, FALSE), "&amp;"""!C3:R29"")), {2;7;17;21}, FALSE)), ""=4"") + COUNTIF(ARRAYFORMULA(HLOOKUP($B29, IMPORTRANGE('Match Names'!$H$23, CONCAT(VLOOKUP($C29, 'Match Names'!$1:$22, 8, FALSE), ""!C3:R29"")), {4;10;16;22}, FALSE)), ""=4"")"),0.0)</f>
        <v>0</v>
      </c>
      <c r="F29" s="9">
        <f>IFERROR(__xludf.DUMMYFUNCTION("COUNTIF(ARRAYFORMULA(HLOOKUP($B29, IMPORTRANGE('Prelim Rankings Unsorted'!$B$40, CONCAT(VLOOKUP($C29, 'Match Names'!$A$1:$D$22, 2, FALSE), ""!C3:R29"")), {3;8;14;20}, FALSE)), ""=0"") + COUNTIF(ARRAYFORMULA(HLOOKUP($B29, IMPORTRANGE('Prelim Rankings Unsor"&amp;"ted'!$B$41, CONCAT(VLOOKUP($C29, 'Match Names'!$A$1:$D$22, 3, FALSE), ""!C3:R29"")), {4;10;16;22}, FALSE)), ""=0"") + COUNTIF(ARRAYFORMULA(HLOOKUP($B29, IMPORTRANGE('Prelim Rankings Unsorted'!$B$42, CONCAT(VLOOKUP($C29, 'Match Names'!$A$1:$D$22, 4, FALSE)"&amp;", ""!C3:R29"")), {2;8;14;20}, FALSE)), ""=0"") + COUNTIF(ARRAYFORMULA(HLOOKUP($B29, IMPORTRANGE('Match Names'!$E$23, CONCAT(VLOOKUP($C29, 'Match Names'!$1:$22, 5, FALSE), ""!C3:R29"")), {3;7;18;23}, FALSE)), ""=0"") + COUNTIF(ARRAYFORMULA(HLOOKUP($B29, IM"&amp;"PORTRANGE('Match Names'!$F$23, CONCAT(VLOOKUP($C29, 'Match Names'!$1:$22, 6, FALSE), ""!C3:R29"")), {6;12;18;24}, FALSE)), ""=0"") + COUNTIF(ARRAYFORMULA(HLOOKUP($B29, IMPORTRANGE('Match Names'!$G$23, CONCAT(VLOOKUP($C29, 'Match Names'!$1:$22, 7, FALSE), "&amp;"""!C3:R29"")), {2;7;17;21}, FALSE)), ""=0"") + COUNTIF(ARRAYFORMULA(HLOOKUP($B29, IMPORTRANGE('Match Names'!$H$23, CONCAT(VLOOKUP($C29, 'Match Names'!$1:$22, 8, FALSE), ""!C3:R29"")), {4;10;16;22}, FALSE)), ""=0"")"),0.0)</f>
        <v>0</v>
      </c>
      <c r="G29" s="9">
        <f>IFERROR(__xludf.DUMMYFUNCTION("COUNTIF(ARRAYFORMULA(HLOOKUP($B29, IMPORTRANGE('Prelim Rankings Unsorted'!$B$40, CONCAT(VLOOKUP($C29, 'Match Names'!$A$1:$D$22, 2, FALSE), ""!C3:R29"")), {3;8;14;20}, FALSE)), ""=-4"") + COUNTIF(ARRAYFORMULA(HLOOKUP($B29, IMPORTRANGE('Prelim Rankings Unso"&amp;"rted'!$B$41, CONCAT(VLOOKUP($C29, 'Match Names'!$A$1:$D$22, 3, FALSE), ""!C3:R29"")), {4;10;16;22}, FALSE)), ""=-4"") + COUNTIF(ARRAYFORMULA(HLOOKUP($B29, IMPORTRANGE('Prelim Rankings Unsorted'!$B$42, CONCAT(VLOOKUP($C29, 'Match Names'!$A$1:$D$22, 4, FALS"&amp;"E), ""!C3:R29"")), {2;8;14;20}, FALSE)), ""=-4"") + COUNTIF(ARRAYFORMULA(HLOOKUP($B29, IMPORTRANGE('Match Names'!$E$23, CONCAT(VLOOKUP($C29, 'Match Names'!$1:$22, 5, FALSE), ""!C3:R29"")), {3;7;18;23}, FALSE)), ""=-4"") + COUNTIF(ARRAYFORMULA(HLOOKUP($B29"&amp;", IMPORTRANGE('Match Names'!$F$23, CONCAT(VLOOKUP($C29, 'Match Names'!$1:$22, 6, FALSE), ""!C3:R29"")), {6;12;18;24}, FALSE)), ""=-4"") + COUNTIF(ARRAYFORMULA(HLOOKUP($B29, IMPORTRANGE('Match Names'!$G$23, CONCAT(VLOOKUP($C29, 'Match Names'!$1:$22, 7, FAL"&amp;"SE), ""!C3:R29"")), {2;7;17;21}, FALSE)), ""=-4"") + COUNTIF(ARRAYFORMULA(HLOOKUP($B29, IMPORTRANGE('Match Names'!$H$23, CONCAT(VLOOKUP($C29, 'Match Names'!$1:$22, 8, FALSE), ""!C3:R29"")), {4;10;16;22}, FALSE)), ""=-4"")"),0.0)</f>
        <v>0</v>
      </c>
      <c r="H29" s="39">
        <f t="shared" si="1"/>
        <v>0</v>
      </c>
    </row>
    <row r="30">
      <c r="A30" s="38" t="s">
        <v>138</v>
      </c>
      <c r="B30" s="38" t="str">
        <f>VLOOKUP(CONCAT(A30, C30), 'Discord Username to Real Name'!C:D, 2, FALSE)</f>
        <v>sachiko#9539</v>
      </c>
      <c r="C30" s="38" t="s">
        <v>27</v>
      </c>
      <c r="D30" s="9">
        <f>IFERROR(__xludf.DUMMYFUNCTION("(4 - COUNTIF(IFERROR(ARRAYFORMULA(HLOOKUP($B30, IMPORTRANGE('Prelim Rankings Unsorted'!$B$40, CONCAT(VLOOKUP($C30, 'Match Names'!$A$1:$D$22, 2, FALSE), ""!C3:R29"")), {3;8;14;20}, FALSE)), 'Player Overall Stats Unsorted'!$AA$9:$AA$12), ""=X"")) + (4 - COU"&amp;"NTIF(IFERROR(ARRAYFORMULA(HLOOKUP($B30, IMPORTRANGE('Prelim Rankings Unsorted'!$B$41, CONCAT(VLOOKUP($C30, 'Match Names'!$A$1:$D$22, 3, FALSE), ""!C3:R29"")), {4;10;16;22}, FALSE)), 'Player Overall Stats Unsorted'!$AA$9:$AA$12), ""=X"")) + (4 - COUNTIF(IF"&amp;"ERROR(ARRAYFORMULA(HLOOKUP($B30, IMPORTRANGE('Prelim Rankings Unsorted'!$B$42, CONCAT(VLOOKUP($C30, 'Match Names'!$A$1:$D$22, 4, FALSE), ""!C3:R29"")), {2;8;14;20}, FALSE)), 'Player Overall Stats Unsorted'!$AA$9:$AA$12), ""=X"")) + (4 - COUNTIF(IFERROR(AR"&amp;"RAYFORMULA(HLOOKUP($B30, IMPORTRANGE('Match Names'!$E$23, CONCAT(VLOOKUP($C30, 'Match Names'!$1:$22, 5, FALSE), ""!C3:R29"")), {3;7;18;23}, FALSE)), 'Player Overall Stats Unsorted'!$AA$9:$AA$12), ""=X"")) + (4 - COUNTIF(IFERROR(ARRAYFORMULA(HLOOKUP($B30, "&amp;"IMPORTRANGE('Match Names'!$F$23, CONCAT(VLOOKUP($C30, 'Match Names'!$1:$22, 6, FALSE), ""!C3:R29"")), {6;12;18;24}, FALSE)), 'Player Overall Stats Unsorted'!$AA$9:$AA$12), ""=X"")) + (4 - COUNTIF(IFERROR(ARRAYFORMULA(HLOOKUP($B30, IMPORTRANGE('Match Names"&amp;"'!$G$23, CONCAT(VLOOKUP($C30, 'Match Names'!$1:$22, 7, FALSE), ""!C3:R29"")), {2;7;17;21}, FALSE)), 'Player Overall Stats Unsorted'!$AA$9:$AA$12), ""=X"")) + (4 - COUNTIF(IFERROR(ARRAYFORMULA(HLOOKUP($B30, IMPORTRANGE('Match Names'!$H$23, CONCAT(VLOOKUP($"&amp;"C30, 'Match Names'!$1:$22, 8, FALSE), ""!C3:R29"")), {4;10;16;22}, FALSE)), 'Player Overall Stats Unsorted'!$AA$9:$AA$12), ""=X""))"),22.0)</f>
        <v>22</v>
      </c>
      <c r="E30" s="9">
        <f>IFERROR(__xludf.DUMMYFUNCTION("COUNTIF(ARRAYFORMULA(HLOOKUP($B30, IMPORTRANGE('Prelim Rankings Unsorted'!$B$40, CONCAT(VLOOKUP($C30, 'Match Names'!$A$1:$D$22, 2, FALSE), ""!C3:R29"")), {3;8;14;20}, FALSE)), ""=4"") + COUNTIF(ARRAYFORMULA(HLOOKUP($B30, IMPORTRANGE('Prelim Rankings Unsor"&amp;"ted'!$B$41, CONCAT(VLOOKUP($C30, 'Match Names'!$A$1:$D$22, 3, FALSE), ""!C3:R29"")), {4;10;16;22}, FALSE)), ""=4"") + COUNTIF(ARRAYFORMULA(HLOOKUP($B30, IMPORTRANGE('Prelim Rankings Unsorted'!$B$42, CONCAT(VLOOKUP($C30, 'Match Names'!$A$1:$D$22, 4, FALSE)"&amp;", ""!C3:R29"")), {2;8;14;20}, FALSE)), ""=4"") + COUNTIF(ARRAYFORMULA(HLOOKUP($B30, IMPORTRANGE('Match Names'!$E$23, CONCAT(VLOOKUP($C30, 'Match Names'!$1:$22, 5, FALSE), ""!C3:R29"")), {3;7;18;23}, FALSE)), ""=4"") + COUNTIF(ARRAYFORMULA(HLOOKUP($B30, IM"&amp;"PORTRANGE('Match Names'!$F$23, CONCAT(VLOOKUP($C30, 'Match Names'!$1:$22, 6, FALSE), ""!C3:R29"")), {6;12;18;24}, FALSE)), ""=4"") + COUNTIF(ARRAYFORMULA(HLOOKUP($B30, IMPORTRANGE('Match Names'!$G$23, CONCAT(VLOOKUP($C30, 'Match Names'!$1:$22, 7, FALSE), "&amp;"""!C3:R29"")), {2;7;17;21}, FALSE)), ""=4"") + COUNTIF(ARRAYFORMULA(HLOOKUP($B30, IMPORTRANGE('Match Names'!$H$23, CONCAT(VLOOKUP($C30, 'Match Names'!$1:$22, 8, FALSE), ""!C3:R29"")), {4;10;16;22}, FALSE)), ""=4"")"),1.0)</f>
        <v>1</v>
      </c>
      <c r="F30" s="9">
        <f>IFERROR(__xludf.DUMMYFUNCTION("COUNTIF(ARRAYFORMULA(HLOOKUP($B30, IMPORTRANGE('Prelim Rankings Unsorted'!$B$40, CONCAT(VLOOKUP($C30, 'Match Names'!$A$1:$D$22, 2, FALSE), ""!C3:R29"")), {3;8;14;20}, FALSE)), ""=0"") + COUNTIF(ARRAYFORMULA(HLOOKUP($B30, IMPORTRANGE('Prelim Rankings Unsor"&amp;"ted'!$B$41, CONCAT(VLOOKUP($C30, 'Match Names'!$A$1:$D$22, 3, FALSE), ""!C3:R29"")), {4;10;16;22}, FALSE)), ""=0"") + COUNTIF(ARRAYFORMULA(HLOOKUP($B30, IMPORTRANGE('Prelim Rankings Unsorted'!$B$42, CONCAT(VLOOKUP($C30, 'Match Names'!$A$1:$D$22, 4, FALSE)"&amp;", ""!C3:R29"")), {2;8;14;20}, FALSE)), ""=0"") + COUNTIF(ARRAYFORMULA(HLOOKUP($B30, IMPORTRANGE('Match Names'!$E$23, CONCAT(VLOOKUP($C30, 'Match Names'!$1:$22, 5, FALSE), ""!C3:R29"")), {3;7;18;23}, FALSE)), ""=0"") + COUNTIF(ARRAYFORMULA(HLOOKUP($B30, IM"&amp;"PORTRANGE('Match Names'!$F$23, CONCAT(VLOOKUP($C30, 'Match Names'!$1:$22, 6, FALSE), ""!C3:R29"")), {6;12;18;24}, FALSE)), ""=0"") + COUNTIF(ARRAYFORMULA(HLOOKUP($B30, IMPORTRANGE('Match Names'!$G$23, CONCAT(VLOOKUP($C30, 'Match Names'!$1:$22, 7, FALSE), "&amp;"""!C3:R29"")), {2;7;17;21}, FALSE)), ""=0"") + COUNTIF(ARRAYFORMULA(HLOOKUP($B30, IMPORTRANGE('Match Names'!$H$23, CONCAT(VLOOKUP($C30, 'Match Names'!$1:$22, 8, FALSE), ""!C3:R29"")), {4;10;16;22}, FALSE)), ""=0"")"),0.0)</f>
        <v>0</v>
      </c>
      <c r="G30" s="9">
        <f>IFERROR(__xludf.DUMMYFUNCTION("COUNTIF(ARRAYFORMULA(HLOOKUP($B30, IMPORTRANGE('Prelim Rankings Unsorted'!$B$40, CONCAT(VLOOKUP($C30, 'Match Names'!$A$1:$D$22, 2, FALSE), ""!C3:R29"")), {3;8;14;20}, FALSE)), ""=-4"") + COUNTIF(ARRAYFORMULA(HLOOKUP($B30, IMPORTRANGE('Prelim Rankings Unso"&amp;"rted'!$B$41, CONCAT(VLOOKUP($C30, 'Match Names'!$A$1:$D$22, 3, FALSE), ""!C3:R29"")), {4;10;16;22}, FALSE)), ""=-4"") + COUNTIF(ARRAYFORMULA(HLOOKUP($B30, IMPORTRANGE('Prelim Rankings Unsorted'!$B$42, CONCAT(VLOOKUP($C30, 'Match Names'!$A$1:$D$22, 4, FALS"&amp;"E), ""!C3:R29"")), {2;8;14;20}, FALSE)), ""=-4"") + COUNTIF(ARRAYFORMULA(HLOOKUP($B30, IMPORTRANGE('Match Names'!$E$23, CONCAT(VLOOKUP($C30, 'Match Names'!$1:$22, 5, FALSE), ""!C3:R29"")), {3;7;18;23}, FALSE)), ""=-4"") + COUNTIF(ARRAYFORMULA(HLOOKUP($B30"&amp;", IMPORTRANGE('Match Names'!$F$23, CONCAT(VLOOKUP($C30, 'Match Names'!$1:$22, 6, FALSE), ""!C3:R29"")), {6;12;18;24}, FALSE)), ""=-4"") + COUNTIF(ARRAYFORMULA(HLOOKUP($B30, IMPORTRANGE('Match Names'!$G$23, CONCAT(VLOOKUP($C30, 'Match Names'!$1:$22, 7, FAL"&amp;"SE), ""!C3:R29"")), {2;7;17;21}, FALSE)), ""=-4"") + COUNTIF(ARRAYFORMULA(HLOOKUP($B30, IMPORTRANGE('Match Names'!$H$23, CONCAT(VLOOKUP($C30, 'Match Names'!$1:$22, 8, FALSE), ""!C3:R29"")), {4;10;16;22}, FALSE)), ""=-4"")"),0.0)</f>
        <v>0</v>
      </c>
      <c r="H30" s="39">
        <f t="shared" si="1"/>
        <v>0.73</v>
      </c>
    </row>
    <row r="31">
      <c r="A31" s="38" t="s">
        <v>186</v>
      </c>
      <c r="B31" s="38" t="str">
        <f>VLOOKUP(CONCAT(A31, C31), 'Discord Username to Real Name'!C:D, 2, FALSE)</f>
        <v>audrey#4828</v>
      </c>
      <c r="C31" s="38" t="s">
        <v>27</v>
      </c>
      <c r="D31" s="9">
        <f>IFERROR(__xludf.DUMMYFUNCTION("(4 - COUNTIF(IFERROR(ARRAYFORMULA(HLOOKUP($B31, IMPORTRANGE('Prelim Rankings Unsorted'!$B$40, CONCAT(VLOOKUP($C31, 'Match Names'!$A$1:$D$22, 2, FALSE), ""!C3:R29"")), {3;8;14;20}, FALSE)), 'Player Overall Stats Unsorted'!$AA$9:$AA$12), ""=X"")) + (4 - COU"&amp;"NTIF(IFERROR(ARRAYFORMULA(HLOOKUP($B31, IMPORTRANGE('Prelim Rankings Unsorted'!$B$41, CONCAT(VLOOKUP($C31, 'Match Names'!$A$1:$D$22, 3, FALSE), ""!C3:R29"")), {4;10;16;22}, FALSE)), 'Player Overall Stats Unsorted'!$AA$9:$AA$12), ""=X"")) + (4 - COUNTIF(IF"&amp;"ERROR(ARRAYFORMULA(HLOOKUP($B31, IMPORTRANGE('Prelim Rankings Unsorted'!$B$42, CONCAT(VLOOKUP($C31, 'Match Names'!$A$1:$D$22, 4, FALSE), ""!C3:R29"")), {2;8;14;20}, FALSE)), 'Player Overall Stats Unsorted'!$AA$9:$AA$12), ""=X"")) + (4 - COUNTIF(IFERROR(AR"&amp;"RAYFORMULA(HLOOKUP($B31, IMPORTRANGE('Match Names'!$E$23, CONCAT(VLOOKUP($C31, 'Match Names'!$1:$22, 5, FALSE), ""!C3:R29"")), {3;7;18;23}, FALSE)), 'Player Overall Stats Unsorted'!$AA$9:$AA$12), ""=X"")) + (4 - COUNTIF(IFERROR(ARRAYFORMULA(HLOOKUP($B31, "&amp;"IMPORTRANGE('Match Names'!$F$23, CONCAT(VLOOKUP($C31, 'Match Names'!$1:$22, 6, FALSE), ""!C3:R29"")), {6;12;18;24}, FALSE)), 'Player Overall Stats Unsorted'!$AA$9:$AA$12), ""=X"")) + (4 - COUNTIF(IFERROR(ARRAYFORMULA(HLOOKUP($B31, IMPORTRANGE('Match Names"&amp;"'!$G$23, CONCAT(VLOOKUP($C31, 'Match Names'!$1:$22, 7, FALSE), ""!C3:R29"")), {2;7;17;21}, FALSE)), 'Player Overall Stats Unsorted'!$AA$9:$AA$12), ""=X"")) + (4 - COUNTIF(IFERROR(ARRAYFORMULA(HLOOKUP($B31, IMPORTRANGE('Match Names'!$H$23, CONCAT(VLOOKUP($"&amp;"C31, 'Match Names'!$1:$22, 8, FALSE), ""!C3:R29"")), {4;10;16;22}, FALSE)), 'Player Overall Stats Unsorted'!$AA$9:$AA$12), ""=X""))"),6.0)</f>
        <v>6</v>
      </c>
      <c r="E31" s="9">
        <f>IFERROR(__xludf.DUMMYFUNCTION("COUNTIF(ARRAYFORMULA(HLOOKUP($B31, IMPORTRANGE('Prelim Rankings Unsorted'!$B$40, CONCAT(VLOOKUP($C31, 'Match Names'!$A$1:$D$22, 2, FALSE), ""!C3:R29"")), {3;8;14;20}, FALSE)), ""=4"") + COUNTIF(ARRAYFORMULA(HLOOKUP($B31, IMPORTRANGE('Prelim Rankings Unsor"&amp;"ted'!$B$41, CONCAT(VLOOKUP($C31, 'Match Names'!$A$1:$D$22, 3, FALSE), ""!C3:R29"")), {4;10;16;22}, FALSE)), ""=4"") + COUNTIF(ARRAYFORMULA(HLOOKUP($B31, IMPORTRANGE('Prelim Rankings Unsorted'!$B$42, CONCAT(VLOOKUP($C31, 'Match Names'!$A$1:$D$22, 4, FALSE)"&amp;", ""!C3:R29"")), {2;8;14;20}, FALSE)), ""=4"") + COUNTIF(ARRAYFORMULA(HLOOKUP($B31, IMPORTRANGE('Match Names'!$E$23, CONCAT(VLOOKUP($C31, 'Match Names'!$1:$22, 5, FALSE), ""!C3:R29"")), {3;7;18;23}, FALSE)), ""=4"") + COUNTIF(ARRAYFORMULA(HLOOKUP($B31, IM"&amp;"PORTRANGE('Match Names'!$F$23, CONCAT(VLOOKUP($C31, 'Match Names'!$1:$22, 6, FALSE), ""!C3:R29"")), {6;12;18;24}, FALSE)), ""=4"") + COUNTIF(ARRAYFORMULA(HLOOKUP($B31, IMPORTRANGE('Match Names'!$G$23, CONCAT(VLOOKUP($C31, 'Match Names'!$1:$22, 7, FALSE), "&amp;"""!C3:R29"")), {2;7;17;21}, FALSE)), ""=4"") + COUNTIF(ARRAYFORMULA(HLOOKUP($B31, IMPORTRANGE('Match Names'!$H$23, CONCAT(VLOOKUP($C31, 'Match Names'!$1:$22, 8, FALSE), ""!C3:R29"")), {4;10;16;22}, FALSE)), ""=4"")"),0.0)</f>
        <v>0</v>
      </c>
      <c r="F31" s="9">
        <f>IFERROR(__xludf.DUMMYFUNCTION("COUNTIF(ARRAYFORMULA(HLOOKUP($B31, IMPORTRANGE('Prelim Rankings Unsorted'!$B$40, CONCAT(VLOOKUP($C31, 'Match Names'!$A$1:$D$22, 2, FALSE), ""!C3:R29"")), {3;8;14;20}, FALSE)), ""=0"") + COUNTIF(ARRAYFORMULA(HLOOKUP($B31, IMPORTRANGE('Prelim Rankings Unsor"&amp;"ted'!$B$41, CONCAT(VLOOKUP($C31, 'Match Names'!$A$1:$D$22, 3, FALSE), ""!C3:R29"")), {4;10;16;22}, FALSE)), ""=0"") + COUNTIF(ARRAYFORMULA(HLOOKUP($B31, IMPORTRANGE('Prelim Rankings Unsorted'!$B$42, CONCAT(VLOOKUP($C31, 'Match Names'!$A$1:$D$22, 4, FALSE)"&amp;", ""!C3:R29"")), {2;8;14;20}, FALSE)), ""=0"") + COUNTIF(ARRAYFORMULA(HLOOKUP($B31, IMPORTRANGE('Match Names'!$E$23, CONCAT(VLOOKUP($C31, 'Match Names'!$1:$22, 5, FALSE), ""!C3:R29"")), {3;7;18;23}, FALSE)), ""=0"") + COUNTIF(ARRAYFORMULA(HLOOKUP($B31, IM"&amp;"PORTRANGE('Match Names'!$F$23, CONCAT(VLOOKUP($C31, 'Match Names'!$1:$22, 6, FALSE), ""!C3:R29"")), {6;12;18;24}, FALSE)), ""=0"") + COUNTIF(ARRAYFORMULA(HLOOKUP($B31, IMPORTRANGE('Match Names'!$G$23, CONCAT(VLOOKUP($C31, 'Match Names'!$1:$22, 7, FALSE), "&amp;"""!C3:R29"")), {2;7;17;21}, FALSE)), ""=0"") + COUNTIF(ARRAYFORMULA(HLOOKUP($B31, IMPORTRANGE('Match Names'!$H$23, CONCAT(VLOOKUP($C31, 'Match Names'!$1:$22, 8, FALSE), ""!C3:R29"")), {4;10;16;22}, FALSE)), ""=0"")"),0.0)</f>
        <v>0</v>
      </c>
      <c r="G31" s="9">
        <f>IFERROR(__xludf.DUMMYFUNCTION("COUNTIF(ARRAYFORMULA(HLOOKUP($B31, IMPORTRANGE('Prelim Rankings Unsorted'!$B$40, CONCAT(VLOOKUP($C31, 'Match Names'!$A$1:$D$22, 2, FALSE), ""!C3:R29"")), {3;8;14;20}, FALSE)), ""=-4"") + COUNTIF(ARRAYFORMULA(HLOOKUP($B31, IMPORTRANGE('Prelim Rankings Unso"&amp;"rted'!$B$41, CONCAT(VLOOKUP($C31, 'Match Names'!$A$1:$D$22, 3, FALSE), ""!C3:R29"")), {4;10;16;22}, FALSE)), ""=-4"") + COUNTIF(ARRAYFORMULA(HLOOKUP($B31, IMPORTRANGE('Prelim Rankings Unsorted'!$B$42, CONCAT(VLOOKUP($C31, 'Match Names'!$A$1:$D$22, 4, FALS"&amp;"E), ""!C3:R29"")), {2;8;14;20}, FALSE)), ""=-4"") + COUNTIF(ARRAYFORMULA(HLOOKUP($B31, IMPORTRANGE('Match Names'!$E$23, CONCAT(VLOOKUP($C31, 'Match Names'!$1:$22, 5, FALSE), ""!C3:R29"")), {3;7;18;23}, FALSE)), ""=-4"") + COUNTIF(ARRAYFORMULA(HLOOKUP($B31"&amp;", IMPORTRANGE('Match Names'!$F$23, CONCAT(VLOOKUP($C31, 'Match Names'!$1:$22, 6, FALSE), ""!C3:R29"")), {6;12;18;24}, FALSE)), ""=-4"") + COUNTIF(ARRAYFORMULA(HLOOKUP($B31, IMPORTRANGE('Match Names'!$G$23, CONCAT(VLOOKUP($C31, 'Match Names'!$1:$22, 7, FAL"&amp;"SE), ""!C3:R29"")), {2;7;17;21}, FALSE)), ""=-4"") + COUNTIF(ARRAYFORMULA(HLOOKUP($B31, IMPORTRANGE('Match Names'!$H$23, CONCAT(VLOOKUP($C31, 'Match Names'!$1:$22, 8, FALSE), ""!C3:R29"")), {4;10;16;22}, FALSE)), ""=-4"")"),0.0)</f>
        <v>0</v>
      </c>
      <c r="H31" s="39">
        <f t="shared" si="1"/>
        <v>0</v>
      </c>
    </row>
    <row r="32">
      <c r="A32" s="38" t="s">
        <v>104</v>
      </c>
      <c r="B32" s="38" t="str">
        <f>VLOOKUP(CONCAT(A32, C32), 'Discord Username to Real Name'!C:D, 2, FALSE)</f>
        <v>Logan L.#8589</v>
      </c>
      <c r="C32" s="38" t="s">
        <v>27</v>
      </c>
      <c r="D32" s="9">
        <f>IFERROR(__xludf.DUMMYFUNCTION("(4 - COUNTIF(IFERROR(ARRAYFORMULA(HLOOKUP($B32, IMPORTRANGE('Prelim Rankings Unsorted'!$B$40, CONCAT(VLOOKUP($C32, 'Match Names'!$A$1:$D$22, 2, FALSE), ""!C3:R29"")), {3;8;14;20}, FALSE)), 'Player Overall Stats Unsorted'!$AA$9:$AA$12), ""=X"")) + (4 - COU"&amp;"NTIF(IFERROR(ARRAYFORMULA(HLOOKUP($B32, IMPORTRANGE('Prelim Rankings Unsorted'!$B$41, CONCAT(VLOOKUP($C32, 'Match Names'!$A$1:$D$22, 3, FALSE), ""!C3:R29"")), {4;10;16;22}, FALSE)), 'Player Overall Stats Unsorted'!$AA$9:$AA$12), ""=X"")) + (4 - COUNTIF(IF"&amp;"ERROR(ARRAYFORMULA(HLOOKUP($B32, IMPORTRANGE('Prelim Rankings Unsorted'!$B$42, CONCAT(VLOOKUP($C32, 'Match Names'!$A$1:$D$22, 4, FALSE), ""!C3:R29"")), {2;8;14;20}, FALSE)), 'Player Overall Stats Unsorted'!$AA$9:$AA$12), ""=X"")) + (4 - COUNTIF(IFERROR(AR"&amp;"RAYFORMULA(HLOOKUP($B32, IMPORTRANGE('Match Names'!$E$23, CONCAT(VLOOKUP($C32, 'Match Names'!$1:$22, 5, FALSE), ""!C3:R29"")), {3;7;18;23}, FALSE)), 'Player Overall Stats Unsorted'!$AA$9:$AA$12), ""=X"")) + (4 - COUNTIF(IFERROR(ARRAYFORMULA(HLOOKUP($B32, "&amp;"IMPORTRANGE('Match Names'!$F$23, CONCAT(VLOOKUP($C32, 'Match Names'!$1:$22, 6, FALSE), ""!C3:R29"")), {6;12;18;24}, FALSE)), 'Player Overall Stats Unsorted'!$AA$9:$AA$12), ""=X"")) + (4 - COUNTIF(IFERROR(ARRAYFORMULA(HLOOKUP($B32, IMPORTRANGE('Match Names"&amp;"'!$G$23, CONCAT(VLOOKUP($C32, 'Match Names'!$1:$22, 7, FALSE), ""!C3:R29"")), {2;7;17;21}, FALSE)), 'Player Overall Stats Unsorted'!$AA$9:$AA$12), ""=X"")) + (4 - COUNTIF(IFERROR(ARRAYFORMULA(HLOOKUP($B32, IMPORTRANGE('Match Names'!$H$23, CONCAT(VLOOKUP($"&amp;"C32, 'Match Names'!$1:$22, 8, FALSE), ""!C3:R29"")), {4;10;16;22}, FALSE)), 'Player Overall Stats Unsorted'!$AA$9:$AA$12), ""=X""))"),22.0)</f>
        <v>22</v>
      </c>
      <c r="E32" s="9">
        <f>IFERROR(__xludf.DUMMYFUNCTION("COUNTIF(ARRAYFORMULA(HLOOKUP($B32, IMPORTRANGE('Prelim Rankings Unsorted'!$B$40, CONCAT(VLOOKUP($C32, 'Match Names'!$A$1:$D$22, 2, FALSE), ""!C3:R29"")), {3;8;14;20}, FALSE)), ""=4"") + COUNTIF(ARRAYFORMULA(HLOOKUP($B32, IMPORTRANGE('Prelim Rankings Unsor"&amp;"ted'!$B$41, CONCAT(VLOOKUP($C32, 'Match Names'!$A$1:$D$22, 3, FALSE), ""!C3:R29"")), {4;10;16;22}, FALSE)), ""=4"") + COUNTIF(ARRAYFORMULA(HLOOKUP($B32, IMPORTRANGE('Prelim Rankings Unsorted'!$B$42, CONCAT(VLOOKUP($C32, 'Match Names'!$A$1:$D$22, 4, FALSE)"&amp;", ""!C3:R29"")), {2;8;14;20}, FALSE)), ""=4"") + COUNTIF(ARRAYFORMULA(HLOOKUP($B32, IMPORTRANGE('Match Names'!$E$23, CONCAT(VLOOKUP($C32, 'Match Names'!$1:$22, 5, FALSE), ""!C3:R29"")), {3;7;18;23}, FALSE)), ""=4"") + COUNTIF(ARRAYFORMULA(HLOOKUP($B32, IM"&amp;"PORTRANGE('Match Names'!$F$23, CONCAT(VLOOKUP($C32, 'Match Names'!$1:$22, 6, FALSE), ""!C3:R29"")), {6;12;18;24}, FALSE)), ""=4"") + COUNTIF(ARRAYFORMULA(HLOOKUP($B32, IMPORTRANGE('Match Names'!$G$23, CONCAT(VLOOKUP($C32, 'Match Names'!$1:$22, 7, FALSE), "&amp;"""!C3:R29"")), {2;7;17;21}, FALSE)), ""=4"") + COUNTIF(ARRAYFORMULA(HLOOKUP($B32, IMPORTRANGE('Match Names'!$H$23, CONCAT(VLOOKUP($C32, 'Match Names'!$1:$22, 8, FALSE), ""!C3:R29"")), {4;10;16;22}, FALSE)), ""=4"")"),0.0)</f>
        <v>0</v>
      </c>
      <c r="F32" s="9">
        <f>IFERROR(__xludf.DUMMYFUNCTION("COUNTIF(ARRAYFORMULA(HLOOKUP($B32, IMPORTRANGE('Prelim Rankings Unsorted'!$B$40, CONCAT(VLOOKUP($C32, 'Match Names'!$A$1:$D$22, 2, FALSE), ""!C3:R29"")), {3;8;14;20}, FALSE)), ""=0"") + COUNTIF(ARRAYFORMULA(HLOOKUP($B32, IMPORTRANGE('Prelim Rankings Unsor"&amp;"ted'!$B$41, CONCAT(VLOOKUP($C32, 'Match Names'!$A$1:$D$22, 3, FALSE), ""!C3:R29"")), {4;10;16;22}, FALSE)), ""=0"") + COUNTIF(ARRAYFORMULA(HLOOKUP($B32, IMPORTRANGE('Prelim Rankings Unsorted'!$B$42, CONCAT(VLOOKUP($C32, 'Match Names'!$A$1:$D$22, 4, FALSE)"&amp;", ""!C3:R29"")), {2;8;14;20}, FALSE)), ""=0"") + COUNTIF(ARRAYFORMULA(HLOOKUP($B32, IMPORTRANGE('Match Names'!$E$23, CONCAT(VLOOKUP($C32, 'Match Names'!$1:$22, 5, FALSE), ""!C3:R29"")), {3;7;18;23}, FALSE)), ""=0"") + COUNTIF(ARRAYFORMULA(HLOOKUP($B32, IM"&amp;"PORTRANGE('Match Names'!$F$23, CONCAT(VLOOKUP($C32, 'Match Names'!$1:$22, 6, FALSE), ""!C3:R29"")), {6;12;18;24}, FALSE)), ""=0"") + COUNTIF(ARRAYFORMULA(HLOOKUP($B32, IMPORTRANGE('Match Names'!$G$23, CONCAT(VLOOKUP($C32, 'Match Names'!$1:$22, 7, FALSE), "&amp;"""!C3:R29"")), {2;7;17;21}, FALSE)), ""=0"") + COUNTIF(ARRAYFORMULA(HLOOKUP($B32, IMPORTRANGE('Match Names'!$H$23, CONCAT(VLOOKUP($C32, 'Match Names'!$1:$22, 8, FALSE), ""!C3:R29"")), {4;10;16;22}, FALSE)), ""=0"")"),4.0)</f>
        <v>4</v>
      </c>
      <c r="G32" s="9">
        <f>IFERROR(__xludf.DUMMYFUNCTION("COUNTIF(ARRAYFORMULA(HLOOKUP($B32, IMPORTRANGE('Prelim Rankings Unsorted'!$B$40, CONCAT(VLOOKUP($C32, 'Match Names'!$A$1:$D$22, 2, FALSE), ""!C3:R29"")), {3;8;14;20}, FALSE)), ""=-4"") + COUNTIF(ARRAYFORMULA(HLOOKUP($B32, IMPORTRANGE('Prelim Rankings Unso"&amp;"rted'!$B$41, CONCAT(VLOOKUP($C32, 'Match Names'!$A$1:$D$22, 3, FALSE), ""!C3:R29"")), {4;10;16;22}, FALSE)), ""=-4"") + COUNTIF(ARRAYFORMULA(HLOOKUP($B32, IMPORTRANGE('Prelim Rankings Unsorted'!$B$42, CONCAT(VLOOKUP($C32, 'Match Names'!$A$1:$D$22, 4, FALS"&amp;"E), ""!C3:R29"")), {2;8;14;20}, FALSE)), ""=-4"") + COUNTIF(ARRAYFORMULA(HLOOKUP($B32, IMPORTRANGE('Match Names'!$E$23, CONCAT(VLOOKUP($C32, 'Match Names'!$1:$22, 5, FALSE), ""!C3:R29"")), {3;7;18;23}, FALSE)), ""=-4"") + COUNTIF(ARRAYFORMULA(HLOOKUP($B32"&amp;", IMPORTRANGE('Match Names'!$F$23, CONCAT(VLOOKUP($C32, 'Match Names'!$1:$22, 6, FALSE), ""!C3:R29"")), {6;12;18;24}, FALSE)), ""=-4"") + COUNTIF(ARRAYFORMULA(HLOOKUP($B32, IMPORTRANGE('Match Names'!$G$23, CONCAT(VLOOKUP($C32, 'Match Names'!$1:$22, 7, FAL"&amp;"SE), ""!C3:R29"")), {2;7;17;21}, FALSE)), ""=-4"") + COUNTIF(ARRAYFORMULA(HLOOKUP($B32, IMPORTRANGE('Match Names'!$H$23, CONCAT(VLOOKUP($C32, 'Match Names'!$1:$22, 8, FALSE), ""!C3:R29"")), {4;10;16;22}, FALSE)), ""=-4"")"),0.0)</f>
        <v>0</v>
      </c>
      <c r="H32" s="39">
        <f t="shared" si="1"/>
        <v>0</v>
      </c>
    </row>
    <row r="33">
      <c r="A33" s="38" t="s">
        <v>45</v>
      </c>
      <c r="B33" s="38" t="str">
        <f>VLOOKUP(CONCAT(A33, C33), 'Discord Username to Real Name'!C:D, 2, FALSE)</f>
        <v>(Stitch)^2#3169</v>
      </c>
      <c r="C33" s="38" t="s">
        <v>20</v>
      </c>
      <c r="D33" s="9">
        <f>IFERROR(__xludf.DUMMYFUNCTION("(4 - COUNTIF(IFERROR(ARRAYFORMULA(HLOOKUP($B33, IMPORTRANGE('Prelim Rankings Unsorted'!$B$40, CONCAT(VLOOKUP($C33, 'Match Names'!$A$1:$D$22, 2, FALSE), ""!C3:R29"")), {3;8;14;20}, FALSE)), 'Player Overall Stats Unsorted'!$AA$9:$AA$12), ""=X"")) + (4 - COU"&amp;"NTIF(IFERROR(ARRAYFORMULA(HLOOKUP($B33, IMPORTRANGE('Prelim Rankings Unsorted'!$B$41, CONCAT(VLOOKUP($C33, 'Match Names'!$A$1:$D$22, 3, FALSE), ""!C3:R29"")), {4;10;16;22}, FALSE)), 'Player Overall Stats Unsorted'!$AA$9:$AA$12), ""=X"")) + (4 - COUNTIF(IF"&amp;"ERROR(ARRAYFORMULA(HLOOKUP($B33, IMPORTRANGE('Prelim Rankings Unsorted'!$B$42, CONCAT(VLOOKUP($C33, 'Match Names'!$A$1:$D$22, 4, FALSE), ""!C3:R29"")), {2;8;14;20}, FALSE)), 'Player Overall Stats Unsorted'!$AA$9:$AA$12), ""=X"")) + (4 - COUNTIF(IFERROR(AR"&amp;"RAYFORMULA(HLOOKUP($B33, IMPORTRANGE('Match Names'!$E$23, CONCAT(VLOOKUP($C33, 'Match Names'!$1:$22, 5, FALSE), ""!C3:R29"")), {3;7;18;23}, FALSE)), 'Player Overall Stats Unsorted'!$AA$9:$AA$12), ""=X"")) + (4 - COUNTIF(IFERROR(ARRAYFORMULA(HLOOKUP($B33, "&amp;"IMPORTRANGE('Match Names'!$F$23, CONCAT(VLOOKUP($C33, 'Match Names'!$1:$22, 6, FALSE), ""!C3:R29"")), {6;12;18;24}, FALSE)), 'Player Overall Stats Unsorted'!$AA$9:$AA$12), ""=X"")) + (4 - COUNTIF(IFERROR(ARRAYFORMULA(HLOOKUP($B33, IMPORTRANGE('Match Names"&amp;"'!$G$23, CONCAT(VLOOKUP($C33, 'Match Names'!$1:$22, 7, FALSE), ""!C3:R29"")), {2;7;17;21}, FALSE)), 'Player Overall Stats Unsorted'!$AA$9:$AA$12), ""=X"")) + (4 - COUNTIF(IFERROR(ARRAYFORMULA(HLOOKUP($B33, IMPORTRANGE('Match Names'!$H$23, CONCAT(VLOOKUP($"&amp;"C33, 'Match Names'!$1:$22, 8, FALSE), ""!C3:R29"")), {4;10;16;22}, FALSE)), 'Player Overall Stats Unsorted'!$AA$9:$AA$12), ""=X""))"),24.0)</f>
        <v>24</v>
      </c>
      <c r="E33" s="9">
        <f>IFERROR(__xludf.DUMMYFUNCTION("COUNTIF(ARRAYFORMULA(HLOOKUP($B33, IMPORTRANGE('Prelim Rankings Unsorted'!$B$40, CONCAT(VLOOKUP($C33, 'Match Names'!$A$1:$D$22, 2, FALSE), ""!C3:R29"")), {3;8;14;20}, FALSE)), ""=4"") + COUNTIF(ARRAYFORMULA(HLOOKUP($B33, IMPORTRANGE('Prelim Rankings Unsor"&amp;"ted'!$B$41, CONCAT(VLOOKUP($C33, 'Match Names'!$A$1:$D$22, 3, FALSE), ""!C3:R29"")), {4;10;16;22}, FALSE)), ""=4"") + COUNTIF(ARRAYFORMULA(HLOOKUP($B33, IMPORTRANGE('Prelim Rankings Unsorted'!$B$42, CONCAT(VLOOKUP($C33, 'Match Names'!$A$1:$D$22, 4, FALSE)"&amp;", ""!C3:R29"")), {2;8;14;20}, FALSE)), ""=4"") + COUNTIF(ARRAYFORMULA(HLOOKUP($B33, IMPORTRANGE('Match Names'!$E$23, CONCAT(VLOOKUP($C33, 'Match Names'!$1:$22, 5, FALSE), ""!C3:R29"")), {3;7;18;23}, FALSE)), ""=4"") + COUNTIF(ARRAYFORMULA(HLOOKUP($B33, IM"&amp;"PORTRANGE('Match Names'!$F$23, CONCAT(VLOOKUP($C33, 'Match Names'!$1:$22, 6, FALSE), ""!C3:R29"")), {6;12;18;24}, FALSE)), ""=4"") + COUNTIF(ARRAYFORMULA(HLOOKUP($B33, IMPORTRANGE('Match Names'!$G$23, CONCAT(VLOOKUP($C33, 'Match Names'!$1:$22, 7, FALSE), "&amp;"""!C3:R29"")), {2;7;17;21}, FALSE)), ""=4"") + COUNTIF(ARRAYFORMULA(HLOOKUP($B33, IMPORTRANGE('Match Names'!$H$23, CONCAT(VLOOKUP($C33, 'Match Names'!$1:$22, 8, FALSE), ""!C3:R29"")), {4;10;16;22}, FALSE)), ""=4"")"),2.0)</f>
        <v>2</v>
      </c>
      <c r="F33" s="9">
        <f>IFERROR(__xludf.DUMMYFUNCTION("COUNTIF(ARRAYFORMULA(HLOOKUP($B33, IMPORTRANGE('Prelim Rankings Unsorted'!$B$40, CONCAT(VLOOKUP($C33, 'Match Names'!$A$1:$D$22, 2, FALSE), ""!C3:R29"")), {3;8;14;20}, FALSE)), ""=0"") + COUNTIF(ARRAYFORMULA(HLOOKUP($B33, IMPORTRANGE('Prelim Rankings Unsor"&amp;"ted'!$B$41, CONCAT(VLOOKUP($C33, 'Match Names'!$A$1:$D$22, 3, FALSE), ""!C3:R29"")), {4;10;16;22}, FALSE)), ""=0"") + COUNTIF(ARRAYFORMULA(HLOOKUP($B33, IMPORTRANGE('Prelim Rankings Unsorted'!$B$42, CONCAT(VLOOKUP($C33, 'Match Names'!$A$1:$D$22, 4, FALSE)"&amp;", ""!C3:R29"")), {2;8;14;20}, FALSE)), ""=0"") + COUNTIF(ARRAYFORMULA(HLOOKUP($B33, IMPORTRANGE('Match Names'!$E$23, CONCAT(VLOOKUP($C33, 'Match Names'!$1:$22, 5, FALSE), ""!C3:R29"")), {3;7;18;23}, FALSE)), ""=0"") + COUNTIF(ARRAYFORMULA(HLOOKUP($B33, IM"&amp;"PORTRANGE('Match Names'!$F$23, CONCAT(VLOOKUP($C33, 'Match Names'!$1:$22, 6, FALSE), ""!C3:R29"")), {6;12;18;24}, FALSE)), ""=0"") + COUNTIF(ARRAYFORMULA(HLOOKUP($B33, IMPORTRANGE('Match Names'!$G$23, CONCAT(VLOOKUP($C33, 'Match Names'!$1:$22, 7, FALSE), "&amp;"""!C3:R29"")), {2;7;17;21}, FALSE)), ""=0"") + COUNTIF(ARRAYFORMULA(HLOOKUP($B33, IMPORTRANGE('Match Names'!$H$23, CONCAT(VLOOKUP($C33, 'Match Names'!$1:$22, 8, FALSE), ""!C3:R29"")), {4;10;16;22}, FALSE)), ""=0"")"),2.0)</f>
        <v>2</v>
      </c>
      <c r="G33" s="9">
        <f>IFERROR(__xludf.DUMMYFUNCTION("COUNTIF(ARRAYFORMULA(HLOOKUP($B33, IMPORTRANGE('Prelim Rankings Unsorted'!$B$40, CONCAT(VLOOKUP($C33, 'Match Names'!$A$1:$D$22, 2, FALSE), ""!C3:R29"")), {3;8;14;20}, FALSE)), ""=-4"") + COUNTIF(ARRAYFORMULA(HLOOKUP($B33, IMPORTRANGE('Prelim Rankings Unso"&amp;"rted'!$B$41, CONCAT(VLOOKUP($C33, 'Match Names'!$A$1:$D$22, 3, FALSE), ""!C3:R29"")), {4;10;16;22}, FALSE)), ""=-4"") + COUNTIF(ARRAYFORMULA(HLOOKUP($B33, IMPORTRANGE('Prelim Rankings Unsorted'!$B$42, CONCAT(VLOOKUP($C33, 'Match Names'!$A$1:$D$22, 4, FALS"&amp;"E), ""!C3:R29"")), {2;8;14;20}, FALSE)), ""=-4"") + COUNTIF(ARRAYFORMULA(HLOOKUP($B33, IMPORTRANGE('Match Names'!$E$23, CONCAT(VLOOKUP($C33, 'Match Names'!$1:$22, 5, FALSE), ""!C3:R29"")), {3;7;18;23}, FALSE)), ""=-4"") + COUNTIF(ARRAYFORMULA(HLOOKUP($B33"&amp;", IMPORTRANGE('Match Names'!$F$23, CONCAT(VLOOKUP($C33, 'Match Names'!$1:$22, 6, FALSE), ""!C3:R29"")), {6;12;18;24}, FALSE)), ""=-4"") + COUNTIF(ARRAYFORMULA(HLOOKUP($B33, IMPORTRANGE('Match Names'!$G$23, CONCAT(VLOOKUP($C33, 'Match Names'!$1:$22, 7, FAL"&amp;"SE), ""!C3:R29"")), {2;7;17;21}, FALSE)), ""=-4"") + COUNTIF(ARRAYFORMULA(HLOOKUP($B33, IMPORTRANGE('Match Names'!$H$23, CONCAT(VLOOKUP($C33, 'Match Names'!$1:$22, 8, FALSE), ""!C3:R29"")), {4;10;16;22}, FALSE)), ""=-4"")"),0.0)</f>
        <v>0</v>
      </c>
      <c r="H33" s="39">
        <f t="shared" si="1"/>
        <v>1.33</v>
      </c>
    </row>
    <row r="34">
      <c r="A34" s="38" t="s">
        <v>108</v>
      </c>
      <c r="B34" s="38" t="str">
        <f>VLOOKUP(CONCAT(A34, C34), 'Discord Username to Real Name'!C:D, 2, FALSE)</f>
        <v>Oshimimers#4758</v>
      </c>
      <c r="C34" s="38" t="s">
        <v>20</v>
      </c>
      <c r="D34" s="9">
        <f>IFERROR(__xludf.DUMMYFUNCTION("(4 - COUNTIF(IFERROR(ARRAYFORMULA(HLOOKUP($B34, IMPORTRANGE('Prelim Rankings Unsorted'!$B$40, CONCAT(VLOOKUP($C34, 'Match Names'!$A$1:$D$22, 2, FALSE), ""!C3:R29"")), {3;8;14;20}, FALSE)), 'Player Overall Stats Unsorted'!$AA$9:$AA$12), ""=X"")) + (4 - COU"&amp;"NTIF(IFERROR(ARRAYFORMULA(HLOOKUP($B34, IMPORTRANGE('Prelim Rankings Unsorted'!$B$41, CONCAT(VLOOKUP($C34, 'Match Names'!$A$1:$D$22, 3, FALSE), ""!C3:R29"")), {4;10;16;22}, FALSE)), 'Player Overall Stats Unsorted'!$AA$9:$AA$12), ""=X"")) + (4 - COUNTIF(IF"&amp;"ERROR(ARRAYFORMULA(HLOOKUP($B34, IMPORTRANGE('Prelim Rankings Unsorted'!$B$42, CONCAT(VLOOKUP($C34, 'Match Names'!$A$1:$D$22, 4, FALSE), ""!C3:R29"")), {2;8;14;20}, FALSE)), 'Player Overall Stats Unsorted'!$AA$9:$AA$12), ""=X"")) + (4 - COUNTIF(IFERROR(AR"&amp;"RAYFORMULA(HLOOKUP($B34, IMPORTRANGE('Match Names'!$E$23, CONCAT(VLOOKUP($C34, 'Match Names'!$1:$22, 5, FALSE), ""!C3:R29"")), {3;7;18;23}, FALSE)), 'Player Overall Stats Unsorted'!$AA$9:$AA$12), ""=X"")) + (4 - COUNTIF(IFERROR(ARRAYFORMULA(HLOOKUP($B34, "&amp;"IMPORTRANGE('Match Names'!$F$23, CONCAT(VLOOKUP($C34, 'Match Names'!$1:$22, 6, FALSE), ""!C3:R29"")), {6;12;18;24}, FALSE)), 'Player Overall Stats Unsorted'!$AA$9:$AA$12), ""=X"")) + (4 - COUNTIF(IFERROR(ARRAYFORMULA(HLOOKUP($B34, IMPORTRANGE('Match Names"&amp;"'!$G$23, CONCAT(VLOOKUP($C34, 'Match Names'!$1:$22, 7, FALSE), ""!C3:R29"")), {2;7;17;21}, FALSE)), 'Player Overall Stats Unsorted'!$AA$9:$AA$12), ""=X"")) + (4 - COUNTIF(IFERROR(ARRAYFORMULA(HLOOKUP($B34, IMPORTRANGE('Match Names'!$H$23, CONCAT(VLOOKUP($"&amp;"C34, 'Match Names'!$1:$22, 8, FALSE), ""!C3:R29"")), {4;10;16;22}, FALSE)), 'Player Overall Stats Unsorted'!$AA$9:$AA$12), ""=X""))"),24.0)</f>
        <v>24</v>
      </c>
      <c r="E34" s="9">
        <f>IFERROR(__xludf.DUMMYFUNCTION("COUNTIF(ARRAYFORMULA(HLOOKUP($B34, IMPORTRANGE('Prelim Rankings Unsorted'!$B$40, CONCAT(VLOOKUP($C34, 'Match Names'!$A$1:$D$22, 2, FALSE), ""!C3:R29"")), {3;8;14;20}, FALSE)), ""=4"") + COUNTIF(ARRAYFORMULA(HLOOKUP($B34, IMPORTRANGE('Prelim Rankings Unsor"&amp;"ted'!$B$41, CONCAT(VLOOKUP($C34, 'Match Names'!$A$1:$D$22, 3, FALSE), ""!C3:R29"")), {4;10;16;22}, FALSE)), ""=4"") + COUNTIF(ARRAYFORMULA(HLOOKUP($B34, IMPORTRANGE('Prelim Rankings Unsorted'!$B$42, CONCAT(VLOOKUP($C34, 'Match Names'!$A$1:$D$22, 4, FALSE)"&amp;", ""!C3:R29"")), {2;8;14;20}, FALSE)), ""=4"") + COUNTIF(ARRAYFORMULA(HLOOKUP($B34, IMPORTRANGE('Match Names'!$E$23, CONCAT(VLOOKUP($C34, 'Match Names'!$1:$22, 5, FALSE), ""!C3:R29"")), {3;7;18;23}, FALSE)), ""=4"") + COUNTIF(ARRAYFORMULA(HLOOKUP($B34, IM"&amp;"PORTRANGE('Match Names'!$F$23, CONCAT(VLOOKUP($C34, 'Match Names'!$1:$22, 6, FALSE), ""!C3:R29"")), {6;12;18;24}, FALSE)), ""=4"") + COUNTIF(ARRAYFORMULA(HLOOKUP($B34, IMPORTRANGE('Match Names'!$G$23, CONCAT(VLOOKUP($C34, 'Match Names'!$1:$22, 7, FALSE), "&amp;"""!C3:R29"")), {2;7;17;21}, FALSE)), ""=4"") + COUNTIF(ARRAYFORMULA(HLOOKUP($B34, IMPORTRANGE('Match Names'!$H$23, CONCAT(VLOOKUP($C34, 'Match Names'!$1:$22, 8, FALSE), ""!C3:R29"")), {4;10;16;22}, FALSE)), ""=4"")"),7.0)</f>
        <v>7</v>
      </c>
      <c r="F34" s="9">
        <f>IFERROR(__xludf.DUMMYFUNCTION("COUNTIF(ARRAYFORMULA(HLOOKUP($B34, IMPORTRANGE('Prelim Rankings Unsorted'!$B$40, CONCAT(VLOOKUP($C34, 'Match Names'!$A$1:$D$22, 2, FALSE), ""!C3:R29"")), {3;8;14;20}, FALSE)), ""=0"") + COUNTIF(ARRAYFORMULA(HLOOKUP($B34, IMPORTRANGE('Prelim Rankings Unsor"&amp;"ted'!$B$41, CONCAT(VLOOKUP($C34, 'Match Names'!$A$1:$D$22, 3, FALSE), ""!C3:R29"")), {4;10;16;22}, FALSE)), ""=0"") + COUNTIF(ARRAYFORMULA(HLOOKUP($B34, IMPORTRANGE('Prelim Rankings Unsorted'!$B$42, CONCAT(VLOOKUP($C34, 'Match Names'!$A$1:$D$22, 4, FALSE)"&amp;", ""!C3:R29"")), {2;8;14;20}, FALSE)), ""=0"") + COUNTIF(ARRAYFORMULA(HLOOKUP($B34, IMPORTRANGE('Match Names'!$E$23, CONCAT(VLOOKUP($C34, 'Match Names'!$1:$22, 5, FALSE), ""!C3:R29"")), {3;7;18;23}, FALSE)), ""=0"") + COUNTIF(ARRAYFORMULA(HLOOKUP($B34, IM"&amp;"PORTRANGE('Match Names'!$F$23, CONCAT(VLOOKUP($C34, 'Match Names'!$1:$22, 6, FALSE), ""!C3:R29"")), {6;12;18;24}, FALSE)), ""=0"") + COUNTIF(ARRAYFORMULA(HLOOKUP($B34, IMPORTRANGE('Match Names'!$G$23, CONCAT(VLOOKUP($C34, 'Match Names'!$1:$22, 7, FALSE), "&amp;"""!C3:R29"")), {2;7;17;21}, FALSE)), ""=0"") + COUNTIF(ARRAYFORMULA(HLOOKUP($B34, IMPORTRANGE('Match Names'!$H$23, CONCAT(VLOOKUP($C34, 'Match Names'!$1:$22, 8, FALSE), ""!C3:R29"")), {4;10;16;22}, FALSE)), ""=0"")"),3.0)</f>
        <v>3</v>
      </c>
      <c r="G34" s="9">
        <f>IFERROR(__xludf.DUMMYFUNCTION("COUNTIF(ARRAYFORMULA(HLOOKUP($B34, IMPORTRANGE('Prelim Rankings Unsorted'!$B$40, CONCAT(VLOOKUP($C34, 'Match Names'!$A$1:$D$22, 2, FALSE), ""!C3:R29"")), {3;8;14;20}, FALSE)), ""=-4"") + COUNTIF(ARRAYFORMULA(HLOOKUP($B34, IMPORTRANGE('Prelim Rankings Unso"&amp;"rted'!$B$41, CONCAT(VLOOKUP($C34, 'Match Names'!$A$1:$D$22, 3, FALSE), ""!C3:R29"")), {4;10;16;22}, FALSE)), ""=-4"") + COUNTIF(ARRAYFORMULA(HLOOKUP($B34, IMPORTRANGE('Prelim Rankings Unsorted'!$B$42, CONCAT(VLOOKUP($C34, 'Match Names'!$A$1:$D$22, 4, FALS"&amp;"E), ""!C3:R29"")), {2;8;14;20}, FALSE)), ""=-4"") + COUNTIF(ARRAYFORMULA(HLOOKUP($B34, IMPORTRANGE('Match Names'!$E$23, CONCAT(VLOOKUP($C34, 'Match Names'!$1:$22, 5, FALSE), ""!C3:R29"")), {3;7;18;23}, FALSE)), ""=-4"") + COUNTIF(ARRAYFORMULA(HLOOKUP($B34"&amp;", IMPORTRANGE('Match Names'!$F$23, CONCAT(VLOOKUP($C34, 'Match Names'!$1:$22, 6, FALSE), ""!C3:R29"")), {6;12;18;24}, FALSE)), ""=-4"") + COUNTIF(ARRAYFORMULA(HLOOKUP($B34, IMPORTRANGE('Match Names'!$G$23, CONCAT(VLOOKUP($C34, 'Match Names'!$1:$22, 7, FAL"&amp;"SE), ""!C3:R29"")), {2;7;17;21}, FALSE)), ""=-4"") + COUNTIF(ARRAYFORMULA(HLOOKUP($B34, IMPORTRANGE('Match Names'!$H$23, CONCAT(VLOOKUP($C34, 'Match Names'!$1:$22, 8, FALSE), ""!C3:R29"")), {4;10;16;22}, FALSE)), ""=-4"")"),1.0)</f>
        <v>1</v>
      </c>
      <c r="H34" s="39">
        <f t="shared" si="1"/>
        <v>4</v>
      </c>
    </row>
    <row r="35">
      <c r="A35" s="38" t="s">
        <v>183</v>
      </c>
      <c r="B35" s="38" t="str">
        <f>VLOOKUP(CONCAT(A35, C35), 'Discord Username to Real Name'!C:D, 2, FALSE)</f>
        <v>Paradoxygen#5753</v>
      </c>
      <c r="C35" s="38" t="s">
        <v>20</v>
      </c>
      <c r="D35" s="9">
        <f>IFERROR(__xludf.DUMMYFUNCTION("(4 - COUNTIF(IFERROR(ARRAYFORMULA(HLOOKUP($B35, IMPORTRANGE('Prelim Rankings Unsorted'!$B$40, CONCAT(VLOOKUP($C35, 'Match Names'!$A$1:$D$22, 2, FALSE), ""!C3:R29"")), {3;8;14;20}, FALSE)), 'Player Overall Stats Unsorted'!$AA$9:$AA$12), ""=X"")) + (4 - COU"&amp;"NTIF(IFERROR(ARRAYFORMULA(HLOOKUP($B35, IMPORTRANGE('Prelim Rankings Unsorted'!$B$41, CONCAT(VLOOKUP($C35, 'Match Names'!$A$1:$D$22, 3, FALSE), ""!C3:R29"")), {4;10;16;22}, FALSE)), 'Player Overall Stats Unsorted'!$AA$9:$AA$12), ""=X"")) + (4 - COUNTIF(IF"&amp;"ERROR(ARRAYFORMULA(HLOOKUP($B35, IMPORTRANGE('Prelim Rankings Unsorted'!$B$42, CONCAT(VLOOKUP($C35, 'Match Names'!$A$1:$D$22, 4, FALSE), ""!C3:R29"")), {2;8;14;20}, FALSE)), 'Player Overall Stats Unsorted'!$AA$9:$AA$12), ""=X"")) + (4 - COUNTIF(IFERROR(AR"&amp;"RAYFORMULA(HLOOKUP($B35, IMPORTRANGE('Match Names'!$E$23, CONCAT(VLOOKUP($C35, 'Match Names'!$1:$22, 5, FALSE), ""!C3:R29"")), {3;7;18;23}, FALSE)), 'Player Overall Stats Unsorted'!$AA$9:$AA$12), ""=X"")) + (4 - COUNTIF(IFERROR(ARRAYFORMULA(HLOOKUP($B35, "&amp;"IMPORTRANGE('Match Names'!$F$23, CONCAT(VLOOKUP($C35, 'Match Names'!$1:$22, 6, FALSE), ""!C3:R29"")), {6;12;18;24}, FALSE)), 'Player Overall Stats Unsorted'!$AA$9:$AA$12), ""=X"")) + (4 - COUNTIF(IFERROR(ARRAYFORMULA(HLOOKUP($B35, IMPORTRANGE('Match Names"&amp;"'!$G$23, CONCAT(VLOOKUP($C35, 'Match Names'!$1:$22, 7, FALSE), ""!C3:R29"")), {2;7;17;21}, FALSE)), 'Player Overall Stats Unsorted'!$AA$9:$AA$12), ""=X"")) + (4 - COUNTIF(IFERROR(ARRAYFORMULA(HLOOKUP($B35, IMPORTRANGE('Match Names'!$H$23, CONCAT(VLOOKUP($"&amp;"C35, 'Match Names'!$1:$22, 8, FALSE), ""!C3:R29"")), {4;10;16;22}, FALSE)), 'Player Overall Stats Unsorted'!$AA$9:$AA$12), ""=X""))"),8.0)</f>
        <v>8</v>
      </c>
      <c r="E35" s="9">
        <f>IFERROR(__xludf.DUMMYFUNCTION("COUNTIF(ARRAYFORMULA(HLOOKUP($B35, IMPORTRANGE('Prelim Rankings Unsorted'!$B$40, CONCAT(VLOOKUP($C35, 'Match Names'!$A$1:$D$22, 2, FALSE), ""!C3:R29"")), {3;8;14;20}, FALSE)), ""=4"") + COUNTIF(ARRAYFORMULA(HLOOKUP($B35, IMPORTRANGE('Prelim Rankings Unsor"&amp;"ted'!$B$41, CONCAT(VLOOKUP($C35, 'Match Names'!$A$1:$D$22, 3, FALSE), ""!C3:R29"")), {4;10;16;22}, FALSE)), ""=4"") + COUNTIF(ARRAYFORMULA(HLOOKUP($B35, IMPORTRANGE('Prelim Rankings Unsorted'!$B$42, CONCAT(VLOOKUP($C35, 'Match Names'!$A$1:$D$22, 4, FALSE)"&amp;", ""!C3:R29"")), {2;8;14;20}, FALSE)), ""=4"") + COUNTIF(ARRAYFORMULA(HLOOKUP($B35, IMPORTRANGE('Match Names'!$E$23, CONCAT(VLOOKUP($C35, 'Match Names'!$1:$22, 5, FALSE), ""!C3:R29"")), {3;7;18;23}, FALSE)), ""=4"") + COUNTIF(ARRAYFORMULA(HLOOKUP($B35, IM"&amp;"PORTRANGE('Match Names'!$F$23, CONCAT(VLOOKUP($C35, 'Match Names'!$1:$22, 6, FALSE), ""!C3:R29"")), {6;12;18;24}, FALSE)), ""=4"") + COUNTIF(ARRAYFORMULA(HLOOKUP($B35, IMPORTRANGE('Match Names'!$G$23, CONCAT(VLOOKUP($C35, 'Match Names'!$1:$22, 7, FALSE), "&amp;"""!C3:R29"")), {2;7;17;21}, FALSE)), ""=4"") + COUNTIF(ARRAYFORMULA(HLOOKUP($B35, IMPORTRANGE('Match Names'!$H$23, CONCAT(VLOOKUP($C35, 'Match Names'!$1:$22, 8, FALSE), ""!C3:R29"")), {4;10;16;22}, FALSE)), ""=4"")"),0.0)</f>
        <v>0</v>
      </c>
      <c r="F35" s="9">
        <f>IFERROR(__xludf.DUMMYFUNCTION("COUNTIF(ARRAYFORMULA(HLOOKUP($B35, IMPORTRANGE('Prelim Rankings Unsorted'!$B$40, CONCAT(VLOOKUP($C35, 'Match Names'!$A$1:$D$22, 2, FALSE), ""!C3:R29"")), {3;8;14;20}, FALSE)), ""=0"") + COUNTIF(ARRAYFORMULA(HLOOKUP($B35, IMPORTRANGE('Prelim Rankings Unsor"&amp;"ted'!$B$41, CONCAT(VLOOKUP($C35, 'Match Names'!$A$1:$D$22, 3, FALSE), ""!C3:R29"")), {4;10;16;22}, FALSE)), ""=0"") + COUNTIF(ARRAYFORMULA(HLOOKUP($B35, IMPORTRANGE('Prelim Rankings Unsorted'!$B$42, CONCAT(VLOOKUP($C35, 'Match Names'!$A$1:$D$22, 4, FALSE)"&amp;", ""!C3:R29"")), {2;8;14;20}, FALSE)), ""=0"") + COUNTIF(ARRAYFORMULA(HLOOKUP($B35, IMPORTRANGE('Match Names'!$E$23, CONCAT(VLOOKUP($C35, 'Match Names'!$1:$22, 5, FALSE), ""!C3:R29"")), {3;7;18;23}, FALSE)), ""=0"") + COUNTIF(ARRAYFORMULA(HLOOKUP($B35, IM"&amp;"PORTRANGE('Match Names'!$F$23, CONCAT(VLOOKUP($C35, 'Match Names'!$1:$22, 6, FALSE), ""!C3:R29"")), {6;12;18;24}, FALSE)), ""=0"") + COUNTIF(ARRAYFORMULA(HLOOKUP($B35, IMPORTRANGE('Match Names'!$G$23, CONCAT(VLOOKUP($C35, 'Match Names'!$1:$22, 7, FALSE), "&amp;"""!C3:R29"")), {2;7;17;21}, FALSE)), ""=0"") + COUNTIF(ARRAYFORMULA(HLOOKUP($B35, IMPORTRANGE('Match Names'!$H$23, CONCAT(VLOOKUP($C35, 'Match Names'!$1:$22, 8, FALSE), ""!C3:R29"")), {4;10;16;22}, FALSE)), ""=0"")"),0.0)</f>
        <v>0</v>
      </c>
      <c r="G35" s="9">
        <f>IFERROR(__xludf.DUMMYFUNCTION("COUNTIF(ARRAYFORMULA(HLOOKUP($B35, IMPORTRANGE('Prelim Rankings Unsorted'!$B$40, CONCAT(VLOOKUP($C35, 'Match Names'!$A$1:$D$22, 2, FALSE), ""!C3:R29"")), {3;8;14;20}, FALSE)), ""=-4"") + COUNTIF(ARRAYFORMULA(HLOOKUP($B35, IMPORTRANGE('Prelim Rankings Unso"&amp;"rted'!$B$41, CONCAT(VLOOKUP($C35, 'Match Names'!$A$1:$D$22, 3, FALSE), ""!C3:R29"")), {4;10;16;22}, FALSE)), ""=-4"") + COUNTIF(ARRAYFORMULA(HLOOKUP($B35, IMPORTRANGE('Prelim Rankings Unsorted'!$B$42, CONCAT(VLOOKUP($C35, 'Match Names'!$A$1:$D$22, 4, FALS"&amp;"E), ""!C3:R29"")), {2;8;14;20}, FALSE)), ""=-4"") + COUNTIF(ARRAYFORMULA(HLOOKUP($B35, IMPORTRANGE('Match Names'!$E$23, CONCAT(VLOOKUP($C35, 'Match Names'!$1:$22, 5, FALSE), ""!C3:R29"")), {3;7;18;23}, FALSE)), ""=-4"") + COUNTIF(ARRAYFORMULA(HLOOKUP($B35"&amp;", IMPORTRANGE('Match Names'!$F$23, CONCAT(VLOOKUP($C35, 'Match Names'!$1:$22, 6, FALSE), ""!C3:R29"")), {6;12;18;24}, FALSE)), ""=-4"") + COUNTIF(ARRAYFORMULA(HLOOKUP($B35, IMPORTRANGE('Match Names'!$G$23, CONCAT(VLOOKUP($C35, 'Match Names'!$1:$22, 7, FAL"&amp;"SE), ""!C3:R29"")), {2;7;17;21}, FALSE)), ""=-4"") + COUNTIF(ARRAYFORMULA(HLOOKUP($B35, IMPORTRANGE('Match Names'!$H$23, CONCAT(VLOOKUP($C35, 'Match Names'!$1:$22, 8, FALSE), ""!C3:R29"")), {4;10;16;22}, FALSE)), ""=-4"")"),0.0)</f>
        <v>0</v>
      </c>
      <c r="H35" s="39">
        <f t="shared" si="1"/>
        <v>0</v>
      </c>
    </row>
    <row r="36">
      <c r="A36" s="38" t="s">
        <v>126</v>
      </c>
      <c r="B36" s="38" t="str">
        <f>VLOOKUP(CONCAT(A36, C36), 'Discord Username to Real Name'!C:D, 2, FALSE)</f>
        <v>MR_67#1546</v>
      </c>
      <c r="C36" s="38" t="s">
        <v>20</v>
      </c>
      <c r="D36" s="9">
        <f>IFERROR(__xludf.DUMMYFUNCTION("(4 - COUNTIF(IFERROR(ARRAYFORMULA(HLOOKUP($B36, IMPORTRANGE('Prelim Rankings Unsorted'!$B$40, CONCAT(VLOOKUP($C36, 'Match Names'!$A$1:$D$22, 2, FALSE), ""!C3:R29"")), {3;8;14;20}, FALSE)), 'Player Overall Stats Unsorted'!$AA$9:$AA$12), ""=X"")) + (4 - COU"&amp;"NTIF(IFERROR(ARRAYFORMULA(HLOOKUP($B36, IMPORTRANGE('Prelim Rankings Unsorted'!$B$41, CONCAT(VLOOKUP($C36, 'Match Names'!$A$1:$D$22, 3, FALSE), ""!C3:R29"")), {4;10;16;22}, FALSE)), 'Player Overall Stats Unsorted'!$AA$9:$AA$12), ""=X"")) + (4 - COUNTIF(IF"&amp;"ERROR(ARRAYFORMULA(HLOOKUP($B36, IMPORTRANGE('Prelim Rankings Unsorted'!$B$42, CONCAT(VLOOKUP($C36, 'Match Names'!$A$1:$D$22, 4, FALSE), ""!C3:R29"")), {2;8;14;20}, FALSE)), 'Player Overall Stats Unsorted'!$AA$9:$AA$12), ""=X"")) + (4 - COUNTIF(IFERROR(AR"&amp;"RAYFORMULA(HLOOKUP($B36, IMPORTRANGE('Match Names'!$E$23, CONCAT(VLOOKUP($C36, 'Match Names'!$1:$22, 5, FALSE), ""!C3:R29"")), {3;7;18;23}, FALSE)), 'Player Overall Stats Unsorted'!$AA$9:$AA$12), ""=X"")) + (4 - COUNTIF(IFERROR(ARRAYFORMULA(HLOOKUP($B36, "&amp;"IMPORTRANGE('Match Names'!$F$23, CONCAT(VLOOKUP($C36, 'Match Names'!$1:$22, 6, FALSE), ""!C3:R29"")), {6;12;18;24}, FALSE)), 'Player Overall Stats Unsorted'!$AA$9:$AA$12), ""=X"")) + (4 - COUNTIF(IFERROR(ARRAYFORMULA(HLOOKUP($B36, IMPORTRANGE('Match Names"&amp;"'!$G$23, CONCAT(VLOOKUP($C36, 'Match Names'!$1:$22, 7, FALSE), ""!C3:R29"")), {2;7;17;21}, FALSE)), 'Player Overall Stats Unsorted'!$AA$9:$AA$12), ""=X"")) + (4 - COUNTIF(IFERROR(ARRAYFORMULA(HLOOKUP($B36, IMPORTRANGE('Match Names'!$H$23, CONCAT(VLOOKUP($"&amp;"C36, 'Match Names'!$1:$22, 8, FALSE), ""!C3:R29"")), {4;10;16;22}, FALSE)), 'Player Overall Stats Unsorted'!$AA$9:$AA$12), ""=X""))"),20.0)</f>
        <v>20</v>
      </c>
      <c r="E36" s="9">
        <f>IFERROR(__xludf.DUMMYFUNCTION("COUNTIF(ARRAYFORMULA(HLOOKUP($B36, IMPORTRANGE('Prelim Rankings Unsorted'!$B$40, CONCAT(VLOOKUP($C36, 'Match Names'!$A$1:$D$22, 2, FALSE), ""!C3:R29"")), {3;8;14;20}, FALSE)), ""=4"") + COUNTIF(ARRAYFORMULA(HLOOKUP($B36, IMPORTRANGE('Prelim Rankings Unsor"&amp;"ted'!$B$41, CONCAT(VLOOKUP($C36, 'Match Names'!$A$1:$D$22, 3, FALSE), ""!C3:R29"")), {4;10;16;22}, FALSE)), ""=4"") + COUNTIF(ARRAYFORMULA(HLOOKUP($B36, IMPORTRANGE('Prelim Rankings Unsorted'!$B$42, CONCAT(VLOOKUP($C36, 'Match Names'!$A$1:$D$22, 4, FALSE)"&amp;", ""!C3:R29"")), {2;8;14;20}, FALSE)), ""=4"") + COUNTIF(ARRAYFORMULA(HLOOKUP($B36, IMPORTRANGE('Match Names'!$E$23, CONCAT(VLOOKUP($C36, 'Match Names'!$1:$22, 5, FALSE), ""!C3:R29"")), {3;7;18;23}, FALSE)), ""=4"") + COUNTIF(ARRAYFORMULA(HLOOKUP($B36, IM"&amp;"PORTRANGE('Match Names'!$F$23, CONCAT(VLOOKUP($C36, 'Match Names'!$1:$22, 6, FALSE), ""!C3:R29"")), {6;12;18;24}, FALSE)), ""=4"") + COUNTIF(ARRAYFORMULA(HLOOKUP($B36, IMPORTRANGE('Match Names'!$G$23, CONCAT(VLOOKUP($C36, 'Match Names'!$1:$22, 7, FALSE), "&amp;"""!C3:R29"")), {2;7;17;21}, FALSE)), ""=4"") + COUNTIF(ARRAYFORMULA(HLOOKUP($B36, IMPORTRANGE('Match Names'!$H$23, CONCAT(VLOOKUP($C36, 'Match Names'!$1:$22, 8, FALSE), ""!C3:R29"")), {4;10;16;22}, FALSE)), ""=4"")"),0.0)</f>
        <v>0</v>
      </c>
      <c r="F36" s="9">
        <f>IFERROR(__xludf.DUMMYFUNCTION("COUNTIF(ARRAYFORMULA(HLOOKUP($B36, IMPORTRANGE('Prelim Rankings Unsorted'!$B$40, CONCAT(VLOOKUP($C36, 'Match Names'!$A$1:$D$22, 2, FALSE), ""!C3:R29"")), {3;8;14;20}, FALSE)), ""=0"") + COUNTIF(ARRAYFORMULA(HLOOKUP($B36, IMPORTRANGE('Prelim Rankings Unsor"&amp;"ted'!$B$41, CONCAT(VLOOKUP($C36, 'Match Names'!$A$1:$D$22, 3, FALSE), ""!C3:R29"")), {4;10;16;22}, FALSE)), ""=0"") + COUNTIF(ARRAYFORMULA(HLOOKUP($B36, IMPORTRANGE('Prelim Rankings Unsorted'!$B$42, CONCAT(VLOOKUP($C36, 'Match Names'!$A$1:$D$22, 4, FALSE)"&amp;", ""!C3:R29"")), {2;8;14;20}, FALSE)), ""=0"") + COUNTIF(ARRAYFORMULA(HLOOKUP($B36, IMPORTRANGE('Match Names'!$E$23, CONCAT(VLOOKUP($C36, 'Match Names'!$1:$22, 5, FALSE), ""!C3:R29"")), {3;7;18;23}, FALSE)), ""=0"") + COUNTIF(ARRAYFORMULA(HLOOKUP($B36, IM"&amp;"PORTRANGE('Match Names'!$F$23, CONCAT(VLOOKUP($C36, 'Match Names'!$1:$22, 6, FALSE), ""!C3:R29"")), {6;12;18;24}, FALSE)), ""=0"") + COUNTIF(ARRAYFORMULA(HLOOKUP($B36, IMPORTRANGE('Match Names'!$G$23, CONCAT(VLOOKUP($C36, 'Match Names'!$1:$22, 7, FALSE), "&amp;"""!C3:R29"")), {2;7;17;21}, FALSE)), ""=0"") + COUNTIF(ARRAYFORMULA(HLOOKUP($B36, IMPORTRANGE('Match Names'!$H$23, CONCAT(VLOOKUP($C36, 'Match Names'!$1:$22, 8, FALSE), ""!C3:R29"")), {4;10;16;22}, FALSE)), ""=0"")"),0.0)</f>
        <v>0</v>
      </c>
      <c r="G36" s="9">
        <f>IFERROR(__xludf.DUMMYFUNCTION("COUNTIF(ARRAYFORMULA(HLOOKUP($B36, IMPORTRANGE('Prelim Rankings Unsorted'!$B$40, CONCAT(VLOOKUP($C36, 'Match Names'!$A$1:$D$22, 2, FALSE), ""!C3:R29"")), {3;8;14;20}, FALSE)), ""=-4"") + COUNTIF(ARRAYFORMULA(HLOOKUP($B36, IMPORTRANGE('Prelim Rankings Unso"&amp;"rted'!$B$41, CONCAT(VLOOKUP($C36, 'Match Names'!$A$1:$D$22, 3, FALSE), ""!C3:R29"")), {4;10;16;22}, FALSE)), ""=-4"") + COUNTIF(ARRAYFORMULA(HLOOKUP($B36, IMPORTRANGE('Prelim Rankings Unsorted'!$B$42, CONCAT(VLOOKUP($C36, 'Match Names'!$A$1:$D$22, 4, FALS"&amp;"E), ""!C3:R29"")), {2;8;14;20}, FALSE)), ""=-4"") + COUNTIF(ARRAYFORMULA(HLOOKUP($B36, IMPORTRANGE('Match Names'!$E$23, CONCAT(VLOOKUP($C36, 'Match Names'!$1:$22, 5, FALSE), ""!C3:R29"")), {3;7;18;23}, FALSE)), ""=-4"") + COUNTIF(ARRAYFORMULA(HLOOKUP($B36"&amp;", IMPORTRANGE('Match Names'!$F$23, CONCAT(VLOOKUP($C36, 'Match Names'!$1:$22, 6, FALSE), ""!C3:R29"")), {6;12;18;24}, FALSE)), ""=-4"") + COUNTIF(ARRAYFORMULA(HLOOKUP($B36, IMPORTRANGE('Match Names'!$G$23, CONCAT(VLOOKUP($C36, 'Match Names'!$1:$22, 7, FAL"&amp;"SE), ""!C3:R29"")), {2;7;17;21}, FALSE)), ""=-4"") + COUNTIF(ARRAYFORMULA(HLOOKUP($B36, IMPORTRANGE('Match Names'!$H$23, CONCAT(VLOOKUP($C36, 'Match Names'!$1:$22, 8, FALSE), ""!C3:R29"")), {4;10;16;22}, FALSE)), ""=-4"")"),0.0)</f>
        <v>0</v>
      </c>
      <c r="H36" s="39">
        <f t="shared" si="1"/>
        <v>0</v>
      </c>
    </row>
    <row r="37">
      <c r="A37" s="38" t="s">
        <v>115</v>
      </c>
      <c r="B37" s="38" t="str">
        <f>VLOOKUP(CONCAT(A37, C37), 'Discord Username to Real Name'!C:D, 2, FALSE)</f>
        <v>choiboi#3455</v>
      </c>
      <c r="C37" s="38" t="s">
        <v>20</v>
      </c>
      <c r="D37" s="9">
        <f>IFERROR(__xludf.DUMMYFUNCTION("(4 - COUNTIF(IFERROR(ARRAYFORMULA(HLOOKUP($B37, IMPORTRANGE('Prelim Rankings Unsorted'!$B$40, CONCAT(VLOOKUP($C37, 'Match Names'!$A$1:$D$22, 2, FALSE), ""!C3:R29"")), {3;8;14;20}, FALSE)), 'Player Overall Stats Unsorted'!$AA$9:$AA$12), ""=X"")) + (4 - COU"&amp;"NTIF(IFERROR(ARRAYFORMULA(HLOOKUP($B37, IMPORTRANGE('Prelim Rankings Unsorted'!$B$41, CONCAT(VLOOKUP($C37, 'Match Names'!$A$1:$D$22, 3, FALSE), ""!C3:R29"")), {4;10;16;22}, FALSE)), 'Player Overall Stats Unsorted'!$AA$9:$AA$12), ""=X"")) + (4 - COUNTIF(IF"&amp;"ERROR(ARRAYFORMULA(HLOOKUP($B37, IMPORTRANGE('Prelim Rankings Unsorted'!$B$42, CONCAT(VLOOKUP($C37, 'Match Names'!$A$1:$D$22, 4, FALSE), ""!C3:R29"")), {2;8;14;20}, FALSE)), 'Player Overall Stats Unsorted'!$AA$9:$AA$12), ""=X"")) + (4 - COUNTIF(IFERROR(AR"&amp;"RAYFORMULA(HLOOKUP($B37, IMPORTRANGE('Match Names'!$E$23, CONCAT(VLOOKUP($C37, 'Match Names'!$1:$22, 5, FALSE), ""!C3:R29"")), {3;7;18;23}, FALSE)), 'Player Overall Stats Unsorted'!$AA$9:$AA$12), ""=X"")) + (4 - COUNTIF(IFERROR(ARRAYFORMULA(HLOOKUP($B37, "&amp;"IMPORTRANGE('Match Names'!$F$23, CONCAT(VLOOKUP($C37, 'Match Names'!$1:$22, 6, FALSE), ""!C3:R29"")), {6;12;18;24}, FALSE)), 'Player Overall Stats Unsorted'!$AA$9:$AA$12), ""=X"")) + (4 - COUNTIF(IFERROR(ARRAYFORMULA(HLOOKUP($B37, IMPORTRANGE('Match Names"&amp;"'!$G$23, CONCAT(VLOOKUP($C37, 'Match Names'!$1:$22, 7, FALSE), ""!C3:R29"")), {2;7;17;21}, FALSE)), 'Player Overall Stats Unsorted'!$AA$9:$AA$12), ""=X"")) + (4 - COUNTIF(IFERROR(ARRAYFORMULA(HLOOKUP($B37, IMPORTRANGE('Match Names'!$H$23, CONCAT(VLOOKUP($"&amp;"C37, 'Match Names'!$1:$22, 8, FALSE), ""!C3:R29"")), {4;10;16;22}, FALSE)), 'Player Overall Stats Unsorted'!$AA$9:$AA$12), ""=X""))"),16.0)</f>
        <v>16</v>
      </c>
      <c r="E37" s="9">
        <f>IFERROR(__xludf.DUMMYFUNCTION("COUNTIF(ARRAYFORMULA(HLOOKUP($B37, IMPORTRANGE('Prelim Rankings Unsorted'!$B$40, CONCAT(VLOOKUP($C37, 'Match Names'!$A$1:$D$22, 2, FALSE), ""!C3:R29"")), {3;8;14;20}, FALSE)), ""=4"") + COUNTIF(ARRAYFORMULA(HLOOKUP($B37, IMPORTRANGE('Prelim Rankings Unsor"&amp;"ted'!$B$41, CONCAT(VLOOKUP($C37, 'Match Names'!$A$1:$D$22, 3, FALSE), ""!C3:R29"")), {4;10;16;22}, FALSE)), ""=4"") + COUNTIF(ARRAYFORMULA(HLOOKUP($B37, IMPORTRANGE('Prelim Rankings Unsorted'!$B$42, CONCAT(VLOOKUP($C37, 'Match Names'!$A$1:$D$22, 4, FALSE)"&amp;", ""!C3:R29"")), {2;8;14;20}, FALSE)), ""=4"") + COUNTIF(ARRAYFORMULA(HLOOKUP($B37, IMPORTRANGE('Match Names'!$E$23, CONCAT(VLOOKUP($C37, 'Match Names'!$1:$22, 5, FALSE), ""!C3:R29"")), {3;7;18;23}, FALSE)), ""=4"") + COUNTIF(ARRAYFORMULA(HLOOKUP($B37, IM"&amp;"PORTRANGE('Match Names'!$F$23, CONCAT(VLOOKUP($C37, 'Match Names'!$1:$22, 6, FALSE), ""!C3:R29"")), {6;12;18;24}, FALSE)), ""=4"") + COUNTIF(ARRAYFORMULA(HLOOKUP($B37, IMPORTRANGE('Match Names'!$G$23, CONCAT(VLOOKUP($C37, 'Match Names'!$1:$22, 7, FALSE), "&amp;"""!C3:R29"")), {2;7;17;21}, FALSE)), ""=4"") + COUNTIF(ARRAYFORMULA(HLOOKUP($B37, IMPORTRANGE('Match Names'!$H$23, CONCAT(VLOOKUP($C37, 'Match Names'!$1:$22, 8, FALSE), ""!C3:R29"")), {4;10;16;22}, FALSE)), ""=4"")"),0.0)</f>
        <v>0</v>
      </c>
      <c r="F37" s="9">
        <f>IFERROR(__xludf.DUMMYFUNCTION("COUNTIF(ARRAYFORMULA(HLOOKUP($B37, IMPORTRANGE('Prelim Rankings Unsorted'!$B$40, CONCAT(VLOOKUP($C37, 'Match Names'!$A$1:$D$22, 2, FALSE), ""!C3:R29"")), {3;8;14;20}, FALSE)), ""=0"") + COUNTIF(ARRAYFORMULA(HLOOKUP($B37, IMPORTRANGE('Prelim Rankings Unsor"&amp;"ted'!$B$41, CONCAT(VLOOKUP($C37, 'Match Names'!$A$1:$D$22, 3, FALSE), ""!C3:R29"")), {4;10;16;22}, FALSE)), ""=0"") + COUNTIF(ARRAYFORMULA(HLOOKUP($B37, IMPORTRANGE('Prelim Rankings Unsorted'!$B$42, CONCAT(VLOOKUP($C37, 'Match Names'!$A$1:$D$22, 4, FALSE)"&amp;", ""!C3:R29"")), {2;8;14;20}, FALSE)), ""=0"") + COUNTIF(ARRAYFORMULA(HLOOKUP($B37, IMPORTRANGE('Match Names'!$E$23, CONCAT(VLOOKUP($C37, 'Match Names'!$1:$22, 5, FALSE), ""!C3:R29"")), {3;7;18;23}, FALSE)), ""=0"") + COUNTIF(ARRAYFORMULA(HLOOKUP($B37, IM"&amp;"PORTRANGE('Match Names'!$F$23, CONCAT(VLOOKUP($C37, 'Match Names'!$1:$22, 6, FALSE), ""!C3:R29"")), {6;12;18;24}, FALSE)), ""=0"") + COUNTIF(ARRAYFORMULA(HLOOKUP($B37, IMPORTRANGE('Match Names'!$G$23, CONCAT(VLOOKUP($C37, 'Match Names'!$1:$22, 7, FALSE), "&amp;"""!C3:R29"")), {2;7;17;21}, FALSE)), ""=0"") + COUNTIF(ARRAYFORMULA(HLOOKUP($B37, IMPORTRANGE('Match Names'!$H$23, CONCAT(VLOOKUP($C37, 'Match Names'!$1:$22, 8, FALSE), ""!C3:R29"")), {4;10;16;22}, FALSE)), ""=0"")"),0.0)</f>
        <v>0</v>
      </c>
      <c r="G37" s="9">
        <f>IFERROR(__xludf.DUMMYFUNCTION("COUNTIF(ARRAYFORMULA(HLOOKUP($B37, IMPORTRANGE('Prelim Rankings Unsorted'!$B$40, CONCAT(VLOOKUP($C37, 'Match Names'!$A$1:$D$22, 2, FALSE), ""!C3:R29"")), {3;8;14;20}, FALSE)), ""=-4"") + COUNTIF(ARRAYFORMULA(HLOOKUP($B37, IMPORTRANGE('Prelim Rankings Unso"&amp;"rted'!$B$41, CONCAT(VLOOKUP($C37, 'Match Names'!$A$1:$D$22, 3, FALSE), ""!C3:R29"")), {4;10;16;22}, FALSE)), ""=-4"") + COUNTIF(ARRAYFORMULA(HLOOKUP($B37, IMPORTRANGE('Prelim Rankings Unsorted'!$B$42, CONCAT(VLOOKUP($C37, 'Match Names'!$A$1:$D$22, 4, FALS"&amp;"E), ""!C3:R29"")), {2;8;14;20}, FALSE)), ""=-4"") + COUNTIF(ARRAYFORMULA(HLOOKUP($B37, IMPORTRANGE('Match Names'!$E$23, CONCAT(VLOOKUP($C37, 'Match Names'!$1:$22, 5, FALSE), ""!C3:R29"")), {3;7;18;23}, FALSE)), ""=-4"") + COUNTIF(ARRAYFORMULA(HLOOKUP($B37"&amp;", IMPORTRANGE('Match Names'!$F$23, CONCAT(VLOOKUP($C37, 'Match Names'!$1:$22, 6, FALSE), ""!C3:R29"")), {6;12;18;24}, FALSE)), ""=-4"") + COUNTIF(ARRAYFORMULA(HLOOKUP($B37, IMPORTRANGE('Match Names'!$G$23, CONCAT(VLOOKUP($C37, 'Match Names'!$1:$22, 7, FAL"&amp;"SE), ""!C3:R29"")), {2;7;17;21}, FALSE)), ""=-4"") + COUNTIF(ARRAYFORMULA(HLOOKUP($B37, IMPORTRANGE('Match Names'!$H$23, CONCAT(VLOOKUP($C37, 'Match Names'!$1:$22, 8, FALSE), ""!C3:R29"")), {4;10;16;22}, FALSE)), ""=-4"")"),0.0)</f>
        <v>0</v>
      </c>
      <c r="H37" s="39">
        <f t="shared" si="1"/>
        <v>0</v>
      </c>
    </row>
    <row r="38">
      <c r="A38" s="38" t="s">
        <v>58</v>
      </c>
      <c r="B38" s="38" t="str">
        <f>VLOOKUP(CONCAT(A38, C38), 'Discord Username to Real Name'!C:D, 2, FALSE)</f>
        <v>nshapiro#4660</v>
      </c>
      <c r="C38" s="38" t="s">
        <v>16</v>
      </c>
      <c r="D38" s="9">
        <f>IFERROR(__xludf.DUMMYFUNCTION("(4 - COUNTIF(IFERROR(ARRAYFORMULA(HLOOKUP($B38, IMPORTRANGE('Prelim Rankings Unsorted'!$B$40, CONCAT(VLOOKUP($C38, 'Match Names'!$A$1:$D$22, 2, FALSE), ""!C3:R29"")), {3;8;14;20}, FALSE)), 'Player Overall Stats Unsorted'!$AA$9:$AA$12), ""=X"")) + (4 - COU"&amp;"NTIF(IFERROR(ARRAYFORMULA(HLOOKUP($B38, IMPORTRANGE('Prelim Rankings Unsorted'!$B$41, CONCAT(VLOOKUP($C38, 'Match Names'!$A$1:$D$22, 3, FALSE), ""!C3:R29"")), {4;10;16;22}, FALSE)), 'Player Overall Stats Unsorted'!$AA$9:$AA$12), ""=X"")) + (4 - COUNTIF(IF"&amp;"ERROR(ARRAYFORMULA(HLOOKUP($B38, IMPORTRANGE('Prelim Rankings Unsorted'!$B$42, CONCAT(VLOOKUP($C38, 'Match Names'!$A$1:$D$22, 4, FALSE), ""!C3:R29"")), {2;8;14;20}, FALSE)), 'Player Overall Stats Unsorted'!$AA$9:$AA$12), ""=X"")) + (4 - COUNTIF(IFERROR(AR"&amp;"RAYFORMULA(HLOOKUP($B38, IMPORTRANGE('Match Names'!$E$23, CONCAT(VLOOKUP($C38, 'Match Names'!$1:$22, 5, FALSE), ""!C3:R29"")), {3;7;18;23}, FALSE)), 'Player Overall Stats Unsorted'!$AA$9:$AA$12), ""=X"")) + (4 - COUNTIF(IFERROR(ARRAYFORMULA(HLOOKUP($B38, "&amp;"IMPORTRANGE('Match Names'!$F$23, CONCAT(VLOOKUP($C38, 'Match Names'!$1:$22, 6, FALSE), ""!C3:R29"")), {6;12;18;24}, FALSE)), 'Player Overall Stats Unsorted'!$AA$9:$AA$12), ""=X"")) + (4 - COUNTIF(IFERROR(ARRAYFORMULA(HLOOKUP($B38, IMPORTRANGE('Match Names"&amp;"'!$G$23, CONCAT(VLOOKUP($C38, 'Match Names'!$1:$22, 7, FALSE), ""!C3:R29"")), {2;7;17;21}, FALSE)), 'Player Overall Stats Unsorted'!$AA$9:$AA$12), ""=X"")) + (4 - COUNTIF(IFERROR(ARRAYFORMULA(HLOOKUP($B38, IMPORTRANGE('Match Names'!$H$23, CONCAT(VLOOKUP($"&amp;"C38, 'Match Names'!$1:$22, 8, FALSE), ""!C3:R29"")), {4;10;16;22}, FALSE)), 'Player Overall Stats Unsorted'!$AA$9:$AA$12), ""=X""))"),16.0)</f>
        <v>16</v>
      </c>
      <c r="E38" s="9">
        <f>IFERROR(__xludf.DUMMYFUNCTION("COUNTIF(ARRAYFORMULA(HLOOKUP($B38, IMPORTRANGE('Prelim Rankings Unsorted'!$B$40, CONCAT(VLOOKUP($C38, 'Match Names'!$A$1:$D$22, 2, FALSE), ""!C3:R29"")), {3;8;14;20}, FALSE)), ""=4"") + COUNTIF(ARRAYFORMULA(HLOOKUP($B38, IMPORTRANGE('Prelim Rankings Unsor"&amp;"ted'!$B$41, CONCAT(VLOOKUP($C38, 'Match Names'!$A$1:$D$22, 3, FALSE), ""!C3:R29"")), {4;10;16;22}, FALSE)), ""=4"") + COUNTIF(ARRAYFORMULA(HLOOKUP($B38, IMPORTRANGE('Prelim Rankings Unsorted'!$B$42, CONCAT(VLOOKUP($C38, 'Match Names'!$A$1:$D$22, 4, FALSE)"&amp;", ""!C3:R29"")), {2;8;14;20}, FALSE)), ""=4"") + COUNTIF(ARRAYFORMULA(HLOOKUP($B38, IMPORTRANGE('Match Names'!$E$23, CONCAT(VLOOKUP($C38, 'Match Names'!$1:$22, 5, FALSE), ""!C3:R29"")), {3;7;18;23}, FALSE)), ""=4"") + COUNTIF(ARRAYFORMULA(HLOOKUP($B38, IM"&amp;"PORTRANGE('Match Names'!$F$23, CONCAT(VLOOKUP($C38, 'Match Names'!$1:$22, 6, FALSE), ""!C3:R29"")), {6;12;18;24}, FALSE)), ""=4"") + COUNTIF(ARRAYFORMULA(HLOOKUP($B38, IMPORTRANGE('Match Names'!$G$23, CONCAT(VLOOKUP($C38, 'Match Names'!$1:$22, 7, FALSE), "&amp;"""!C3:R29"")), {2;7;17;21}, FALSE)), ""=4"") + COUNTIF(ARRAYFORMULA(HLOOKUP($B38, IMPORTRANGE('Match Names'!$H$23, CONCAT(VLOOKUP($C38, 'Match Names'!$1:$22, 8, FALSE), ""!C3:R29"")), {4;10;16;22}, FALSE)), ""=4"")"),2.0)</f>
        <v>2</v>
      </c>
      <c r="F38" s="9">
        <f>IFERROR(__xludf.DUMMYFUNCTION("COUNTIF(ARRAYFORMULA(HLOOKUP($B38, IMPORTRANGE('Prelim Rankings Unsorted'!$B$40, CONCAT(VLOOKUP($C38, 'Match Names'!$A$1:$D$22, 2, FALSE), ""!C3:R29"")), {3;8;14;20}, FALSE)), ""=0"") + COUNTIF(ARRAYFORMULA(HLOOKUP($B38, IMPORTRANGE('Prelim Rankings Unsor"&amp;"ted'!$B$41, CONCAT(VLOOKUP($C38, 'Match Names'!$A$1:$D$22, 3, FALSE), ""!C3:R29"")), {4;10;16;22}, FALSE)), ""=0"") + COUNTIF(ARRAYFORMULA(HLOOKUP($B38, IMPORTRANGE('Prelim Rankings Unsorted'!$B$42, CONCAT(VLOOKUP($C38, 'Match Names'!$A$1:$D$22, 4, FALSE)"&amp;", ""!C3:R29"")), {2;8;14;20}, FALSE)), ""=0"") + COUNTIF(ARRAYFORMULA(HLOOKUP($B38, IMPORTRANGE('Match Names'!$E$23, CONCAT(VLOOKUP($C38, 'Match Names'!$1:$22, 5, FALSE), ""!C3:R29"")), {3;7;18;23}, FALSE)), ""=0"") + COUNTIF(ARRAYFORMULA(HLOOKUP($B38, IM"&amp;"PORTRANGE('Match Names'!$F$23, CONCAT(VLOOKUP($C38, 'Match Names'!$1:$22, 6, FALSE), ""!C3:R29"")), {6;12;18;24}, FALSE)), ""=0"") + COUNTIF(ARRAYFORMULA(HLOOKUP($B38, IMPORTRANGE('Match Names'!$G$23, CONCAT(VLOOKUP($C38, 'Match Names'!$1:$22, 7, FALSE), "&amp;"""!C3:R29"")), {2;7;17;21}, FALSE)), ""=0"") + COUNTIF(ARRAYFORMULA(HLOOKUP($B38, IMPORTRANGE('Match Names'!$H$23, CONCAT(VLOOKUP($C38, 'Match Names'!$1:$22, 8, FALSE), ""!C3:R29"")), {4;10;16;22}, FALSE)), ""=0"")"),0.0)</f>
        <v>0</v>
      </c>
      <c r="G38" s="9">
        <f>IFERROR(__xludf.DUMMYFUNCTION("COUNTIF(ARRAYFORMULA(HLOOKUP($B38, IMPORTRANGE('Prelim Rankings Unsorted'!$B$40, CONCAT(VLOOKUP($C38, 'Match Names'!$A$1:$D$22, 2, FALSE), ""!C3:R29"")), {3;8;14;20}, FALSE)), ""=-4"") + COUNTIF(ARRAYFORMULA(HLOOKUP($B38, IMPORTRANGE('Prelim Rankings Unso"&amp;"rted'!$B$41, CONCAT(VLOOKUP($C38, 'Match Names'!$A$1:$D$22, 3, FALSE), ""!C3:R29"")), {4;10;16;22}, FALSE)), ""=-4"") + COUNTIF(ARRAYFORMULA(HLOOKUP($B38, IMPORTRANGE('Prelim Rankings Unsorted'!$B$42, CONCAT(VLOOKUP($C38, 'Match Names'!$A$1:$D$22, 4, FALS"&amp;"E), ""!C3:R29"")), {2;8;14;20}, FALSE)), ""=-4"") + COUNTIF(ARRAYFORMULA(HLOOKUP($B38, IMPORTRANGE('Match Names'!$E$23, CONCAT(VLOOKUP($C38, 'Match Names'!$1:$22, 5, FALSE), ""!C3:R29"")), {3;7;18;23}, FALSE)), ""=-4"") + COUNTIF(ARRAYFORMULA(HLOOKUP($B38"&amp;", IMPORTRANGE('Match Names'!$F$23, CONCAT(VLOOKUP($C38, 'Match Names'!$1:$22, 6, FALSE), ""!C3:R29"")), {6;12;18;24}, FALSE)), ""=-4"") + COUNTIF(ARRAYFORMULA(HLOOKUP($B38, IMPORTRANGE('Match Names'!$G$23, CONCAT(VLOOKUP($C38, 'Match Names'!$1:$22, 7, FAL"&amp;"SE), ""!C3:R29"")), {2;7;17;21}, FALSE)), ""=-4"") + COUNTIF(ARRAYFORMULA(HLOOKUP($B38, IMPORTRANGE('Match Names'!$H$23, CONCAT(VLOOKUP($C38, 'Match Names'!$1:$22, 8, FALSE), ""!C3:R29"")), {4;10;16;22}, FALSE)), ""=-4"")"),0.0)</f>
        <v>0</v>
      </c>
      <c r="H38" s="39">
        <f t="shared" si="1"/>
        <v>2</v>
      </c>
    </row>
    <row r="39">
      <c r="A39" s="38" t="s">
        <v>86</v>
      </c>
      <c r="B39" s="38" t="str">
        <f>VLOOKUP(CONCAT(A39, C39), 'Discord Username to Real Name'!C:D, 2, FALSE)</f>
        <v>Henryb#9686</v>
      </c>
      <c r="C39" s="38" t="s">
        <v>16</v>
      </c>
      <c r="D39" s="9">
        <f>IFERROR(__xludf.DUMMYFUNCTION("(4 - COUNTIF(IFERROR(ARRAYFORMULA(HLOOKUP($B39, IMPORTRANGE('Prelim Rankings Unsorted'!$B$40, CONCAT(VLOOKUP($C39, 'Match Names'!$A$1:$D$22, 2, FALSE), ""!C3:R29"")), {3;8;14;20}, FALSE)), 'Player Overall Stats Unsorted'!$AA$9:$AA$12), ""=X"")) + (4 - COU"&amp;"NTIF(IFERROR(ARRAYFORMULA(HLOOKUP($B39, IMPORTRANGE('Prelim Rankings Unsorted'!$B$41, CONCAT(VLOOKUP($C39, 'Match Names'!$A$1:$D$22, 3, FALSE), ""!C3:R29"")), {4;10;16;22}, FALSE)), 'Player Overall Stats Unsorted'!$AA$9:$AA$12), ""=X"")) + (4 - COUNTIF(IF"&amp;"ERROR(ARRAYFORMULA(HLOOKUP($B39, IMPORTRANGE('Prelim Rankings Unsorted'!$B$42, CONCAT(VLOOKUP($C39, 'Match Names'!$A$1:$D$22, 4, FALSE), ""!C3:R29"")), {2;8;14;20}, FALSE)), 'Player Overall Stats Unsorted'!$AA$9:$AA$12), ""=X"")) + (4 - COUNTIF(IFERROR(AR"&amp;"RAYFORMULA(HLOOKUP($B39, IMPORTRANGE('Match Names'!$E$23, CONCAT(VLOOKUP($C39, 'Match Names'!$1:$22, 5, FALSE), ""!C3:R29"")), {3;7;18;23}, FALSE)), 'Player Overall Stats Unsorted'!$AA$9:$AA$12), ""=X"")) + (4 - COUNTIF(IFERROR(ARRAYFORMULA(HLOOKUP($B39, "&amp;"IMPORTRANGE('Match Names'!$F$23, CONCAT(VLOOKUP($C39, 'Match Names'!$1:$22, 6, FALSE), ""!C3:R29"")), {6;12;18;24}, FALSE)), 'Player Overall Stats Unsorted'!$AA$9:$AA$12), ""=X"")) + (4 - COUNTIF(IFERROR(ARRAYFORMULA(HLOOKUP($B39, IMPORTRANGE('Match Names"&amp;"'!$G$23, CONCAT(VLOOKUP($C39, 'Match Names'!$1:$22, 7, FALSE), ""!C3:R29"")), {2;7;17;21}, FALSE)), 'Player Overall Stats Unsorted'!$AA$9:$AA$12), ""=X"")) + (4 - COUNTIF(IFERROR(ARRAYFORMULA(HLOOKUP($B39, IMPORTRANGE('Match Names'!$H$23, CONCAT(VLOOKUP($"&amp;"C39, 'Match Names'!$1:$22, 8, FALSE), ""!C3:R29"")), {4;10;16;22}, FALSE)), 'Player Overall Stats Unsorted'!$AA$9:$AA$12), ""=X""))"),20.0)</f>
        <v>20</v>
      </c>
      <c r="E39" s="9">
        <f>IFERROR(__xludf.DUMMYFUNCTION("COUNTIF(ARRAYFORMULA(HLOOKUP($B39, IMPORTRANGE('Prelim Rankings Unsorted'!$B$40, CONCAT(VLOOKUP($C39, 'Match Names'!$A$1:$D$22, 2, FALSE), ""!C3:R29"")), {3;8;14;20}, FALSE)), ""=4"") + COUNTIF(ARRAYFORMULA(HLOOKUP($B39, IMPORTRANGE('Prelim Rankings Unsor"&amp;"ted'!$B$41, CONCAT(VLOOKUP($C39, 'Match Names'!$A$1:$D$22, 3, FALSE), ""!C3:R29"")), {4;10;16;22}, FALSE)), ""=4"") + COUNTIF(ARRAYFORMULA(HLOOKUP($B39, IMPORTRANGE('Prelim Rankings Unsorted'!$B$42, CONCAT(VLOOKUP($C39, 'Match Names'!$A$1:$D$22, 4, FALSE)"&amp;", ""!C3:R29"")), {2;8;14;20}, FALSE)), ""=4"") + COUNTIF(ARRAYFORMULA(HLOOKUP($B39, IMPORTRANGE('Match Names'!$E$23, CONCAT(VLOOKUP($C39, 'Match Names'!$1:$22, 5, FALSE), ""!C3:R29"")), {3;7;18;23}, FALSE)), ""=4"") + COUNTIF(ARRAYFORMULA(HLOOKUP($B39, IM"&amp;"PORTRANGE('Match Names'!$F$23, CONCAT(VLOOKUP($C39, 'Match Names'!$1:$22, 6, FALSE), ""!C3:R29"")), {6;12;18;24}, FALSE)), ""=4"") + COUNTIF(ARRAYFORMULA(HLOOKUP($B39, IMPORTRANGE('Match Names'!$G$23, CONCAT(VLOOKUP($C39, 'Match Names'!$1:$22, 7, FALSE), "&amp;"""!C3:R29"")), {2;7;17;21}, FALSE)), ""=4"") + COUNTIF(ARRAYFORMULA(HLOOKUP($B39, IMPORTRANGE('Match Names'!$H$23, CONCAT(VLOOKUP($C39, 'Match Names'!$1:$22, 8, FALSE), ""!C3:R29"")), {4;10;16;22}, FALSE)), ""=4"")"),6.0)</f>
        <v>6</v>
      </c>
      <c r="F39" s="9">
        <f>IFERROR(__xludf.DUMMYFUNCTION("COUNTIF(ARRAYFORMULA(HLOOKUP($B39, IMPORTRANGE('Prelim Rankings Unsorted'!$B$40, CONCAT(VLOOKUP($C39, 'Match Names'!$A$1:$D$22, 2, FALSE), ""!C3:R29"")), {3;8;14;20}, FALSE)), ""=0"") + COUNTIF(ARRAYFORMULA(HLOOKUP($B39, IMPORTRANGE('Prelim Rankings Unsor"&amp;"ted'!$B$41, CONCAT(VLOOKUP($C39, 'Match Names'!$A$1:$D$22, 3, FALSE), ""!C3:R29"")), {4;10;16;22}, FALSE)), ""=0"") + COUNTIF(ARRAYFORMULA(HLOOKUP($B39, IMPORTRANGE('Prelim Rankings Unsorted'!$B$42, CONCAT(VLOOKUP($C39, 'Match Names'!$A$1:$D$22, 4, FALSE)"&amp;", ""!C3:R29"")), {2;8;14;20}, FALSE)), ""=0"") + COUNTIF(ARRAYFORMULA(HLOOKUP($B39, IMPORTRANGE('Match Names'!$E$23, CONCAT(VLOOKUP($C39, 'Match Names'!$1:$22, 5, FALSE), ""!C3:R29"")), {3;7;18;23}, FALSE)), ""=0"") + COUNTIF(ARRAYFORMULA(HLOOKUP($B39, IM"&amp;"PORTRANGE('Match Names'!$F$23, CONCAT(VLOOKUP($C39, 'Match Names'!$1:$22, 6, FALSE), ""!C3:R29"")), {6;12;18;24}, FALSE)), ""=0"") + COUNTIF(ARRAYFORMULA(HLOOKUP($B39, IMPORTRANGE('Match Names'!$G$23, CONCAT(VLOOKUP($C39, 'Match Names'!$1:$22, 7, FALSE), "&amp;"""!C3:R29"")), {2;7;17;21}, FALSE)), ""=0"") + COUNTIF(ARRAYFORMULA(HLOOKUP($B39, IMPORTRANGE('Match Names'!$H$23, CONCAT(VLOOKUP($C39, 'Match Names'!$1:$22, 8, FALSE), ""!C3:R29"")), {4;10;16;22}, FALSE)), ""=0"")"),6.0)</f>
        <v>6</v>
      </c>
      <c r="G39" s="9">
        <f>IFERROR(__xludf.DUMMYFUNCTION("COUNTIF(ARRAYFORMULA(HLOOKUP($B39, IMPORTRANGE('Prelim Rankings Unsorted'!$B$40, CONCAT(VLOOKUP($C39, 'Match Names'!$A$1:$D$22, 2, FALSE), ""!C3:R29"")), {3;8;14;20}, FALSE)), ""=-4"") + COUNTIF(ARRAYFORMULA(HLOOKUP($B39, IMPORTRANGE('Prelim Rankings Unso"&amp;"rted'!$B$41, CONCAT(VLOOKUP($C39, 'Match Names'!$A$1:$D$22, 3, FALSE), ""!C3:R29"")), {4;10;16;22}, FALSE)), ""=-4"") + COUNTIF(ARRAYFORMULA(HLOOKUP($B39, IMPORTRANGE('Prelim Rankings Unsorted'!$B$42, CONCAT(VLOOKUP($C39, 'Match Names'!$A$1:$D$22, 4, FALS"&amp;"E), ""!C3:R29"")), {2;8;14;20}, FALSE)), ""=-4"") + COUNTIF(ARRAYFORMULA(HLOOKUP($B39, IMPORTRANGE('Match Names'!$E$23, CONCAT(VLOOKUP($C39, 'Match Names'!$1:$22, 5, FALSE), ""!C3:R29"")), {3;7;18;23}, FALSE)), ""=-4"") + COUNTIF(ARRAYFORMULA(HLOOKUP($B39"&amp;", IMPORTRANGE('Match Names'!$F$23, CONCAT(VLOOKUP($C39, 'Match Names'!$1:$22, 6, FALSE), ""!C3:R29"")), {6;12;18;24}, FALSE)), ""=-4"") + COUNTIF(ARRAYFORMULA(HLOOKUP($B39, IMPORTRANGE('Match Names'!$G$23, CONCAT(VLOOKUP($C39, 'Match Names'!$1:$22, 7, FAL"&amp;"SE), ""!C3:R29"")), {2;7;17;21}, FALSE)), ""=-4"") + COUNTIF(ARRAYFORMULA(HLOOKUP($B39, IMPORTRANGE('Match Names'!$H$23, CONCAT(VLOOKUP($C39, 'Match Names'!$1:$22, 8, FALSE), ""!C3:R29"")), {4;10;16;22}, FALSE)), ""=-4"")"),0.0)</f>
        <v>0</v>
      </c>
      <c r="H39" s="39">
        <f t="shared" si="1"/>
        <v>4.8</v>
      </c>
    </row>
    <row r="40">
      <c r="A40" s="38" t="s">
        <v>164</v>
      </c>
      <c r="B40" s="38" t="str">
        <f>VLOOKUP(CONCAT(A40, C40), 'Discord Username to Real Name'!C:D, 2, FALSE)</f>
        <v>Teji11#5265</v>
      </c>
      <c r="C40" s="38" t="s">
        <v>16</v>
      </c>
      <c r="D40" s="9">
        <f>IFERROR(__xludf.DUMMYFUNCTION("(4 - COUNTIF(IFERROR(ARRAYFORMULA(HLOOKUP($B40, IMPORTRANGE('Prelim Rankings Unsorted'!$B$40, CONCAT(VLOOKUP($C40, 'Match Names'!$A$1:$D$22, 2, FALSE), ""!C3:R29"")), {3;8;14;20}, FALSE)), 'Player Overall Stats Unsorted'!$AA$9:$AA$12), ""=X"")) + (4 - COU"&amp;"NTIF(IFERROR(ARRAYFORMULA(HLOOKUP($B40, IMPORTRANGE('Prelim Rankings Unsorted'!$B$41, CONCAT(VLOOKUP($C40, 'Match Names'!$A$1:$D$22, 3, FALSE), ""!C3:R29"")), {4;10;16;22}, FALSE)), 'Player Overall Stats Unsorted'!$AA$9:$AA$12), ""=X"")) + (4 - COUNTIF(IF"&amp;"ERROR(ARRAYFORMULA(HLOOKUP($B40, IMPORTRANGE('Prelim Rankings Unsorted'!$B$42, CONCAT(VLOOKUP($C40, 'Match Names'!$A$1:$D$22, 4, FALSE), ""!C3:R29"")), {2;8;14;20}, FALSE)), 'Player Overall Stats Unsorted'!$AA$9:$AA$12), ""=X"")) + (4 - COUNTIF(IFERROR(AR"&amp;"RAYFORMULA(HLOOKUP($B40, IMPORTRANGE('Match Names'!$E$23, CONCAT(VLOOKUP($C40, 'Match Names'!$1:$22, 5, FALSE), ""!C3:R29"")), {3;7;18;23}, FALSE)), 'Player Overall Stats Unsorted'!$AA$9:$AA$12), ""=X"")) + (4 - COUNTIF(IFERROR(ARRAYFORMULA(HLOOKUP($B40, "&amp;"IMPORTRANGE('Match Names'!$F$23, CONCAT(VLOOKUP($C40, 'Match Names'!$1:$22, 6, FALSE), ""!C3:R29"")), {6;12;18;24}, FALSE)), 'Player Overall Stats Unsorted'!$AA$9:$AA$12), ""=X"")) + (4 - COUNTIF(IFERROR(ARRAYFORMULA(HLOOKUP($B40, IMPORTRANGE('Match Names"&amp;"'!$G$23, CONCAT(VLOOKUP($C40, 'Match Names'!$1:$22, 7, FALSE), ""!C3:R29"")), {2;7;17;21}, FALSE)), 'Player Overall Stats Unsorted'!$AA$9:$AA$12), ""=X"")) + (4 - COUNTIF(IFERROR(ARRAYFORMULA(HLOOKUP($B40, IMPORTRANGE('Match Names'!$H$23, CONCAT(VLOOKUP($"&amp;"C40, 'Match Names'!$1:$22, 8, FALSE), ""!C3:R29"")), {4;10;16;22}, FALSE)), 'Player Overall Stats Unsorted'!$AA$9:$AA$12), ""=X""))"),16.0)</f>
        <v>16</v>
      </c>
      <c r="E40" s="9">
        <f>IFERROR(__xludf.DUMMYFUNCTION("COUNTIF(ARRAYFORMULA(HLOOKUP($B40, IMPORTRANGE('Prelim Rankings Unsorted'!$B$40, CONCAT(VLOOKUP($C40, 'Match Names'!$A$1:$D$22, 2, FALSE), ""!C3:R29"")), {3;8;14;20}, FALSE)), ""=4"") + COUNTIF(ARRAYFORMULA(HLOOKUP($B40, IMPORTRANGE('Prelim Rankings Unsor"&amp;"ted'!$B$41, CONCAT(VLOOKUP($C40, 'Match Names'!$A$1:$D$22, 3, FALSE), ""!C3:R29"")), {4;10;16;22}, FALSE)), ""=4"") + COUNTIF(ARRAYFORMULA(HLOOKUP($B40, IMPORTRANGE('Prelim Rankings Unsorted'!$B$42, CONCAT(VLOOKUP($C40, 'Match Names'!$A$1:$D$22, 4, FALSE)"&amp;", ""!C3:R29"")), {2;8;14;20}, FALSE)), ""=4"") + COUNTIF(ARRAYFORMULA(HLOOKUP($B40, IMPORTRANGE('Match Names'!$E$23, CONCAT(VLOOKUP($C40, 'Match Names'!$1:$22, 5, FALSE), ""!C3:R29"")), {3;7;18;23}, FALSE)), ""=4"") + COUNTIF(ARRAYFORMULA(HLOOKUP($B40, IM"&amp;"PORTRANGE('Match Names'!$F$23, CONCAT(VLOOKUP($C40, 'Match Names'!$1:$22, 6, FALSE), ""!C3:R29"")), {6;12;18;24}, FALSE)), ""=4"") + COUNTIF(ARRAYFORMULA(HLOOKUP($B40, IMPORTRANGE('Match Names'!$G$23, CONCAT(VLOOKUP($C40, 'Match Names'!$1:$22, 7, FALSE), "&amp;"""!C3:R29"")), {2;7;17;21}, FALSE)), ""=4"") + COUNTIF(ARRAYFORMULA(HLOOKUP($B40, IMPORTRANGE('Match Names'!$H$23, CONCAT(VLOOKUP($C40, 'Match Names'!$1:$22, 8, FALSE), ""!C3:R29"")), {4;10;16;22}, FALSE)), ""=4"")"),0.0)</f>
        <v>0</v>
      </c>
      <c r="F40" s="9">
        <f>IFERROR(__xludf.DUMMYFUNCTION("COUNTIF(ARRAYFORMULA(HLOOKUP($B40, IMPORTRANGE('Prelim Rankings Unsorted'!$B$40, CONCAT(VLOOKUP($C40, 'Match Names'!$A$1:$D$22, 2, FALSE), ""!C3:R29"")), {3;8;14;20}, FALSE)), ""=0"") + COUNTIF(ARRAYFORMULA(HLOOKUP($B40, IMPORTRANGE('Prelim Rankings Unsor"&amp;"ted'!$B$41, CONCAT(VLOOKUP($C40, 'Match Names'!$A$1:$D$22, 3, FALSE), ""!C3:R29"")), {4;10;16;22}, FALSE)), ""=0"") + COUNTIF(ARRAYFORMULA(HLOOKUP($B40, IMPORTRANGE('Prelim Rankings Unsorted'!$B$42, CONCAT(VLOOKUP($C40, 'Match Names'!$A$1:$D$22, 4, FALSE)"&amp;", ""!C3:R29"")), {2;8;14;20}, FALSE)), ""=0"") + COUNTIF(ARRAYFORMULA(HLOOKUP($B40, IMPORTRANGE('Match Names'!$E$23, CONCAT(VLOOKUP($C40, 'Match Names'!$1:$22, 5, FALSE), ""!C3:R29"")), {3;7;18;23}, FALSE)), ""=0"") + COUNTIF(ARRAYFORMULA(HLOOKUP($B40, IM"&amp;"PORTRANGE('Match Names'!$F$23, CONCAT(VLOOKUP($C40, 'Match Names'!$1:$22, 6, FALSE), ""!C3:R29"")), {6;12;18;24}, FALSE)), ""=0"") + COUNTIF(ARRAYFORMULA(HLOOKUP($B40, IMPORTRANGE('Match Names'!$G$23, CONCAT(VLOOKUP($C40, 'Match Names'!$1:$22, 7, FALSE), "&amp;"""!C3:R29"")), {2;7;17;21}, FALSE)), ""=0"") + COUNTIF(ARRAYFORMULA(HLOOKUP($B40, IMPORTRANGE('Match Names'!$H$23, CONCAT(VLOOKUP($C40, 'Match Names'!$1:$22, 8, FALSE), ""!C3:R29"")), {4;10;16;22}, FALSE)), ""=0"")"),0.0)</f>
        <v>0</v>
      </c>
      <c r="G40" s="9">
        <f>IFERROR(__xludf.DUMMYFUNCTION("COUNTIF(ARRAYFORMULA(HLOOKUP($B40, IMPORTRANGE('Prelim Rankings Unsorted'!$B$40, CONCAT(VLOOKUP($C40, 'Match Names'!$A$1:$D$22, 2, FALSE), ""!C3:R29"")), {3;8;14;20}, FALSE)), ""=-4"") + COUNTIF(ARRAYFORMULA(HLOOKUP($B40, IMPORTRANGE('Prelim Rankings Unso"&amp;"rted'!$B$41, CONCAT(VLOOKUP($C40, 'Match Names'!$A$1:$D$22, 3, FALSE), ""!C3:R29"")), {4;10;16;22}, FALSE)), ""=-4"") + COUNTIF(ARRAYFORMULA(HLOOKUP($B40, IMPORTRANGE('Prelim Rankings Unsorted'!$B$42, CONCAT(VLOOKUP($C40, 'Match Names'!$A$1:$D$22, 4, FALS"&amp;"E), ""!C3:R29"")), {2;8;14;20}, FALSE)), ""=-4"") + COUNTIF(ARRAYFORMULA(HLOOKUP($B40, IMPORTRANGE('Match Names'!$E$23, CONCAT(VLOOKUP($C40, 'Match Names'!$1:$22, 5, FALSE), ""!C3:R29"")), {3;7;18;23}, FALSE)), ""=-4"") + COUNTIF(ARRAYFORMULA(HLOOKUP($B40"&amp;", IMPORTRANGE('Match Names'!$F$23, CONCAT(VLOOKUP($C40, 'Match Names'!$1:$22, 6, FALSE), ""!C3:R29"")), {6;12;18;24}, FALSE)), ""=-4"") + COUNTIF(ARRAYFORMULA(HLOOKUP($B40, IMPORTRANGE('Match Names'!$G$23, CONCAT(VLOOKUP($C40, 'Match Names'!$1:$22, 7, FAL"&amp;"SE), ""!C3:R29"")), {2;7;17;21}, FALSE)), ""=-4"") + COUNTIF(ARRAYFORMULA(HLOOKUP($B40, IMPORTRANGE('Match Names'!$H$23, CONCAT(VLOOKUP($C40, 'Match Names'!$1:$22, 8, FALSE), ""!C3:R29"")), {4;10;16;22}, FALSE)), ""=-4"")"),0.0)</f>
        <v>0</v>
      </c>
      <c r="H40" s="39">
        <f t="shared" si="1"/>
        <v>0</v>
      </c>
    </row>
    <row r="41">
      <c r="A41" s="38" t="s">
        <v>162</v>
      </c>
      <c r="B41" s="38" t="str">
        <f>VLOOKUP(CONCAT(A41, C41), 'Discord Username to Real Name'!C:D, 2, FALSE)</f>
        <v>Ajay G.#0147</v>
      </c>
      <c r="C41" s="38" t="s">
        <v>16</v>
      </c>
      <c r="D41" s="9">
        <f>IFERROR(__xludf.DUMMYFUNCTION("(4 - COUNTIF(IFERROR(ARRAYFORMULA(HLOOKUP($B41, IMPORTRANGE('Prelim Rankings Unsorted'!$B$40, CONCAT(VLOOKUP($C41, 'Match Names'!$A$1:$D$22, 2, FALSE), ""!C3:R29"")), {3;8;14;20}, FALSE)), 'Player Overall Stats Unsorted'!$AA$9:$AA$12), ""=X"")) + (4 - COU"&amp;"NTIF(IFERROR(ARRAYFORMULA(HLOOKUP($B41, IMPORTRANGE('Prelim Rankings Unsorted'!$B$41, CONCAT(VLOOKUP($C41, 'Match Names'!$A$1:$D$22, 3, FALSE), ""!C3:R29"")), {4;10;16;22}, FALSE)), 'Player Overall Stats Unsorted'!$AA$9:$AA$12), ""=X"")) + (4 - COUNTIF(IF"&amp;"ERROR(ARRAYFORMULA(HLOOKUP($B41, IMPORTRANGE('Prelim Rankings Unsorted'!$B$42, CONCAT(VLOOKUP($C41, 'Match Names'!$A$1:$D$22, 4, FALSE), ""!C3:R29"")), {2;8;14;20}, FALSE)), 'Player Overall Stats Unsorted'!$AA$9:$AA$12), ""=X"")) + (4 - COUNTIF(IFERROR(AR"&amp;"RAYFORMULA(HLOOKUP($B41, IMPORTRANGE('Match Names'!$E$23, CONCAT(VLOOKUP($C41, 'Match Names'!$1:$22, 5, FALSE), ""!C3:R29"")), {3;7;18;23}, FALSE)), 'Player Overall Stats Unsorted'!$AA$9:$AA$12), ""=X"")) + (4 - COUNTIF(IFERROR(ARRAYFORMULA(HLOOKUP($B41, "&amp;"IMPORTRANGE('Match Names'!$F$23, CONCAT(VLOOKUP($C41, 'Match Names'!$1:$22, 6, FALSE), ""!C3:R29"")), {6;12;18;24}, FALSE)), 'Player Overall Stats Unsorted'!$AA$9:$AA$12), ""=X"")) + (4 - COUNTIF(IFERROR(ARRAYFORMULA(HLOOKUP($B41, IMPORTRANGE('Match Names"&amp;"'!$G$23, CONCAT(VLOOKUP($C41, 'Match Names'!$1:$22, 7, FALSE), ""!C3:R29"")), {2;7;17;21}, FALSE)), 'Player Overall Stats Unsorted'!$AA$9:$AA$12), ""=X"")) + (4 - COUNTIF(IFERROR(ARRAYFORMULA(HLOOKUP($B41, IMPORTRANGE('Match Names'!$H$23, CONCAT(VLOOKUP($"&amp;"C41, 'Match Names'!$1:$22, 8, FALSE), ""!C3:R29"")), {4;10;16;22}, FALSE)), 'Player Overall Stats Unsorted'!$AA$9:$AA$12), ""=X""))"),16.0)</f>
        <v>16</v>
      </c>
      <c r="E41" s="9">
        <f>IFERROR(__xludf.DUMMYFUNCTION("COUNTIF(ARRAYFORMULA(HLOOKUP($B41, IMPORTRANGE('Prelim Rankings Unsorted'!$B$40, CONCAT(VLOOKUP($C41, 'Match Names'!$A$1:$D$22, 2, FALSE), ""!C3:R29"")), {3;8;14;20}, FALSE)), ""=4"") + COUNTIF(ARRAYFORMULA(HLOOKUP($B41, IMPORTRANGE('Prelim Rankings Unsor"&amp;"ted'!$B$41, CONCAT(VLOOKUP($C41, 'Match Names'!$A$1:$D$22, 3, FALSE), ""!C3:R29"")), {4;10;16;22}, FALSE)), ""=4"") + COUNTIF(ARRAYFORMULA(HLOOKUP($B41, IMPORTRANGE('Prelim Rankings Unsorted'!$B$42, CONCAT(VLOOKUP($C41, 'Match Names'!$A$1:$D$22, 4, FALSE)"&amp;", ""!C3:R29"")), {2;8;14;20}, FALSE)), ""=4"") + COUNTIF(ARRAYFORMULA(HLOOKUP($B41, IMPORTRANGE('Match Names'!$E$23, CONCAT(VLOOKUP($C41, 'Match Names'!$1:$22, 5, FALSE), ""!C3:R29"")), {3;7;18;23}, FALSE)), ""=4"") + COUNTIF(ARRAYFORMULA(HLOOKUP($B41, IM"&amp;"PORTRANGE('Match Names'!$F$23, CONCAT(VLOOKUP($C41, 'Match Names'!$1:$22, 6, FALSE), ""!C3:R29"")), {6;12;18;24}, FALSE)), ""=4"") + COUNTIF(ARRAYFORMULA(HLOOKUP($B41, IMPORTRANGE('Match Names'!$G$23, CONCAT(VLOOKUP($C41, 'Match Names'!$1:$22, 7, FALSE), "&amp;"""!C3:R29"")), {2;7;17;21}, FALSE)), ""=4"") + COUNTIF(ARRAYFORMULA(HLOOKUP($B41, IMPORTRANGE('Match Names'!$H$23, CONCAT(VLOOKUP($C41, 'Match Names'!$1:$22, 8, FALSE), ""!C3:R29"")), {4;10;16;22}, FALSE)), ""=4"")"),0.0)</f>
        <v>0</v>
      </c>
      <c r="F41" s="9">
        <f>IFERROR(__xludf.DUMMYFUNCTION("COUNTIF(ARRAYFORMULA(HLOOKUP($B41, IMPORTRANGE('Prelim Rankings Unsorted'!$B$40, CONCAT(VLOOKUP($C41, 'Match Names'!$A$1:$D$22, 2, FALSE), ""!C3:R29"")), {3;8;14;20}, FALSE)), ""=0"") + COUNTIF(ARRAYFORMULA(HLOOKUP($B41, IMPORTRANGE('Prelim Rankings Unsor"&amp;"ted'!$B$41, CONCAT(VLOOKUP($C41, 'Match Names'!$A$1:$D$22, 3, FALSE), ""!C3:R29"")), {4;10;16;22}, FALSE)), ""=0"") + COUNTIF(ARRAYFORMULA(HLOOKUP($B41, IMPORTRANGE('Prelim Rankings Unsorted'!$B$42, CONCAT(VLOOKUP($C41, 'Match Names'!$A$1:$D$22, 4, FALSE)"&amp;", ""!C3:R29"")), {2;8;14;20}, FALSE)), ""=0"") + COUNTIF(ARRAYFORMULA(HLOOKUP($B41, IMPORTRANGE('Match Names'!$E$23, CONCAT(VLOOKUP($C41, 'Match Names'!$1:$22, 5, FALSE), ""!C3:R29"")), {3;7;18;23}, FALSE)), ""=0"") + COUNTIF(ARRAYFORMULA(HLOOKUP($B41, IM"&amp;"PORTRANGE('Match Names'!$F$23, CONCAT(VLOOKUP($C41, 'Match Names'!$1:$22, 6, FALSE), ""!C3:R29"")), {6;12;18;24}, FALSE)), ""=0"") + COUNTIF(ARRAYFORMULA(HLOOKUP($B41, IMPORTRANGE('Match Names'!$G$23, CONCAT(VLOOKUP($C41, 'Match Names'!$1:$22, 7, FALSE), "&amp;"""!C3:R29"")), {2;7;17;21}, FALSE)), ""=0"") + COUNTIF(ARRAYFORMULA(HLOOKUP($B41, IMPORTRANGE('Match Names'!$H$23, CONCAT(VLOOKUP($C41, 'Match Names'!$1:$22, 8, FALSE), ""!C3:R29"")), {4;10;16;22}, FALSE)), ""=0"")"),0.0)</f>
        <v>0</v>
      </c>
      <c r="G41" s="9">
        <f>IFERROR(__xludf.DUMMYFUNCTION("COUNTIF(ARRAYFORMULA(HLOOKUP($B41, IMPORTRANGE('Prelim Rankings Unsorted'!$B$40, CONCAT(VLOOKUP($C41, 'Match Names'!$A$1:$D$22, 2, FALSE), ""!C3:R29"")), {3;8;14;20}, FALSE)), ""=-4"") + COUNTIF(ARRAYFORMULA(HLOOKUP($B41, IMPORTRANGE('Prelim Rankings Unso"&amp;"rted'!$B$41, CONCAT(VLOOKUP($C41, 'Match Names'!$A$1:$D$22, 3, FALSE), ""!C3:R29"")), {4;10;16;22}, FALSE)), ""=-4"") + COUNTIF(ARRAYFORMULA(HLOOKUP($B41, IMPORTRANGE('Prelim Rankings Unsorted'!$B$42, CONCAT(VLOOKUP($C41, 'Match Names'!$A$1:$D$22, 4, FALS"&amp;"E), ""!C3:R29"")), {2;8;14;20}, FALSE)), ""=-4"") + COUNTIF(ARRAYFORMULA(HLOOKUP($B41, IMPORTRANGE('Match Names'!$E$23, CONCAT(VLOOKUP($C41, 'Match Names'!$1:$22, 5, FALSE), ""!C3:R29"")), {3;7;18;23}, FALSE)), ""=-4"") + COUNTIF(ARRAYFORMULA(HLOOKUP($B41"&amp;", IMPORTRANGE('Match Names'!$F$23, CONCAT(VLOOKUP($C41, 'Match Names'!$1:$22, 6, FALSE), ""!C3:R29"")), {6;12;18;24}, FALSE)), ""=-4"") + COUNTIF(ARRAYFORMULA(HLOOKUP($B41, IMPORTRANGE('Match Names'!$G$23, CONCAT(VLOOKUP($C41, 'Match Names'!$1:$22, 7, FAL"&amp;"SE), ""!C3:R29"")), {2;7;17;21}, FALSE)), ""=-4"") + COUNTIF(ARRAYFORMULA(HLOOKUP($B41, IMPORTRANGE('Match Names'!$H$23, CONCAT(VLOOKUP($C41, 'Match Names'!$1:$22, 8, FALSE), ""!C3:R29"")), {4;10;16;22}, FALSE)), ""=-4"")"),0.0)</f>
        <v>0</v>
      </c>
      <c r="H41" s="39">
        <f t="shared" si="1"/>
        <v>0</v>
      </c>
    </row>
    <row r="42">
      <c r="A42" s="38" t="s">
        <v>171</v>
      </c>
      <c r="B42" s="38" t="str">
        <f>VLOOKUP(CONCAT(A42, C42), 'Discord Username to Real Name'!C:D, 2, FALSE)</f>
        <v>Tencor7144#2297</v>
      </c>
      <c r="C42" s="38" t="s">
        <v>16</v>
      </c>
      <c r="D42" s="9">
        <f>IFERROR(__xludf.DUMMYFUNCTION("(4 - COUNTIF(IFERROR(ARRAYFORMULA(HLOOKUP($B42, IMPORTRANGE('Prelim Rankings Unsorted'!$B$40, CONCAT(VLOOKUP($C42, 'Match Names'!$A$1:$D$22, 2, FALSE), ""!C3:R29"")), {3;8;14;20}, FALSE)), 'Player Overall Stats Unsorted'!$AA$9:$AA$12), ""=X"")) + (4 - COU"&amp;"NTIF(IFERROR(ARRAYFORMULA(HLOOKUP($B42, IMPORTRANGE('Prelim Rankings Unsorted'!$B$41, CONCAT(VLOOKUP($C42, 'Match Names'!$A$1:$D$22, 3, FALSE), ""!C3:R29"")), {4;10;16;22}, FALSE)), 'Player Overall Stats Unsorted'!$AA$9:$AA$12), ""=X"")) + (4 - COUNTIF(IF"&amp;"ERROR(ARRAYFORMULA(HLOOKUP($B42, IMPORTRANGE('Prelim Rankings Unsorted'!$B$42, CONCAT(VLOOKUP($C42, 'Match Names'!$A$1:$D$22, 4, FALSE), ""!C3:R29"")), {2;8;14;20}, FALSE)), 'Player Overall Stats Unsorted'!$AA$9:$AA$12), ""=X"")) + (4 - COUNTIF(IFERROR(AR"&amp;"RAYFORMULA(HLOOKUP($B42, IMPORTRANGE('Match Names'!$E$23, CONCAT(VLOOKUP($C42, 'Match Names'!$1:$22, 5, FALSE), ""!C3:R29"")), {3;7;18;23}, FALSE)), 'Player Overall Stats Unsorted'!$AA$9:$AA$12), ""=X"")) + (4 - COUNTIF(IFERROR(ARRAYFORMULA(HLOOKUP($B42, "&amp;"IMPORTRANGE('Match Names'!$F$23, CONCAT(VLOOKUP($C42, 'Match Names'!$1:$22, 6, FALSE), ""!C3:R29"")), {6;12;18;24}, FALSE)), 'Player Overall Stats Unsorted'!$AA$9:$AA$12), ""=X"")) + (4 - COUNTIF(IFERROR(ARRAYFORMULA(HLOOKUP($B42, IMPORTRANGE('Match Names"&amp;"'!$G$23, CONCAT(VLOOKUP($C42, 'Match Names'!$1:$22, 7, FALSE), ""!C3:R29"")), {2;7;17;21}, FALSE)), 'Player Overall Stats Unsorted'!$AA$9:$AA$12), ""=X"")) + (4 - COUNTIF(IFERROR(ARRAYFORMULA(HLOOKUP($B42, IMPORTRANGE('Match Names'!$H$23, CONCAT(VLOOKUP($"&amp;"C42, 'Match Names'!$1:$22, 8, FALSE), ""!C3:R29"")), {4;10;16;22}, FALSE)), 'Player Overall Stats Unsorted'!$AA$9:$AA$12), ""=X""))"),8.0)</f>
        <v>8</v>
      </c>
      <c r="E42" s="9">
        <f>IFERROR(__xludf.DUMMYFUNCTION("COUNTIF(ARRAYFORMULA(HLOOKUP($B42, IMPORTRANGE('Prelim Rankings Unsorted'!$B$40, CONCAT(VLOOKUP($C42, 'Match Names'!$A$1:$D$22, 2, FALSE), ""!C3:R29"")), {3;8;14;20}, FALSE)), ""=4"") + COUNTIF(ARRAYFORMULA(HLOOKUP($B42, IMPORTRANGE('Prelim Rankings Unsor"&amp;"ted'!$B$41, CONCAT(VLOOKUP($C42, 'Match Names'!$A$1:$D$22, 3, FALSE), ""!C3:R29"")), {4;10;16;22}, FALSE)), ""=4"") + COUNTIF(ARRAYFORMULA(HLOOKUP($B42, IMPORTRANGE('Prelim Rankings Unsorted'!$B$42, CONCAT(VLOOKUP($C42, 'Match Names'!$A$1:$D$22, 4, FALSE)"&amp;", ""!C3:R29"")), {2;8;14;20}, FALSE)), ""=4"") + COUNTIF(ARRAYFORMULA(HLOOKUP($B42, IMPORTRANGE('Match Names'!$E$23, CONCAT(VLOOKUP($C42, 'Match Names'!$1:$22, 5, FALSE), ""!C3:R29"")), {3;7;18;23}, FALSE)), ""=4"") + COUNTIF(ARRAYFORMULA(HLOOKUP($B42, IM"&amp;"PORTRANGE('Match Names'!$F$23, CONCAT(VLOOKUP($C42, 'Match Names'!$1:$22, 6, FALSE), ""!C3:R29"")), {6;12;18;24}, FALSE)), ""=4"") + COUNTIF(ARRAYFORMULA(HLOOKUP($B42, IMPORTRANGE('Match Names'!$G$23, CONCAT(VLOOKUP($C42, 'Match Names'!$1:$22, 7, FALSE), "&amp;"""!C3:R29"")), {2;7;17;21}, FALSE)), ""=4"") + COUNTIF(ARRAYFORMULA(HLOOKUP($B42, IMPORTRANGE('Match Names'!$H$23, CONCAT(VLOOKUP($C42, 'Match Names'!$1:$22, 8, FALSE), ""!C3:R29"")), {4;10;16;22}, FALSE)), ""=4"")"),0.0)</f>
        <v>0</v>
      </c>
      <c r="F42" s="9">
        <f>IFERROR(__xludf.DUMMYFUNCTION("COUNTIF(ARRAYFORMULA(HLOOKUP($B42, IMPORTRANGE('Prelim Rankings Unsorted'!$B$40, CONCAT(VLOOKUP($C42, 'Match Names'!$A$1:$D$22, 2, FALSE), ""!C3:R29"")), {3;8;14;20}, FALSE)), ""=0"") + COUNTIF(ARRAYFORMULA(HLOOKUP($B42, IMPORTRANGE('Prelim Rankings Unsor"&amp;"ted'!$B$41, CONCAT(VLOOKUP($C42, 'Match Names'!$A$1:$D$22, 3, FALSE), ""!C3:R29"")), {4;10;16;22}, FALSE)), ""=0"") + COUNTIF(ARRAYFORMULA(HLOOKUP($B42, IMPORTRANGE('Prelim Rankings Unsorted'!$B$42, CONCAT(VLOOKUP($C42, 'Match Names'!$A$1:$D$22, 4, FALSE)"&amp;", ""!C3:R29"")), {2;8;14;20}, FALSE)), ""=0"") + COUNTIF(ARRAYFORMULA(HLOOKUP($B42, IMPORTRANGE('Match Names'!$E$23, CONCAT(VLOOKUP($C42, 'Match Names'!$1:$22, 5, FALSE), ""!C3:R29"")), {3;7;18;23}, FALSE)), ""=0"") + COUNTIF(ARRAYFORMULA(HLOOKUP($B42, IM"&amp;"PORTRANGE('Match Names'!$F$23, CONCAT(VLOOKUP($C42, 'Match Names'!$1:$22, 6, FALSE), ""!C3:R29"")), {6;12;18;24}, FALSE)), ""=0"") + COUNTIF(ARRAYFORMULA(HLOOKUP($B42, IMPORTRANGE('Match Names'!$G$23, CONCAT(VLOOKUP($C42, 'Match Names'!$1:$22, 7, FALSE), "&amp;"""!C3:R29"")), {2;7;17;21}, FALSE)), ""=0"") + COUNTIF(ARRAYFORMULA(HLOOKUP($B42, IMPORTRANGE('Match Names'!$H$23, CONCAT(VLOOKUP($C42, 'Match Names'!$1:$22, 8, FALSE), ""!C3:R29"")), {4;10;16;22}, FALSE)), ""=0"")"),1.0)</f>
        <v>1</v>
      </c>
      <c r="G42" s="9">
        <f>IFERROR(__xludf.DUMMYFUNCTION("COUNTIF(ARRAYFORMULA(HLOOKUP($B42, IMPORTRANGE('Prelim Rankings Unsorted'!$B$40, CONCAT(VLOOKUP($C42, 'Match Names'!$A$1:$D$22, 2, FALSE), ""!C3:R29"")), {3;8;14;20}, FALSE)), ""=-4"") + COUNTIF(ARRAYFORMULA(HLOOKUP($B42, IMPORTRANGE('Prelim Rankings Unso"&amp;"rted'!$B$41, CONCAT(VLOOKUP($C42, 'Match Names'!$A$1:$D$22, 3, FALSE), ""!C3:R29"")), {4;10;16;22}, FALSE)), ""=-4"") + COUNTIF(ARRAYFORMULA(HLOOKUP($B42, IMPORTRANGE('Prelim Rankings Unsorted'!$B$42, CONCAT(VLOOKUP($C42, 'Match Names'!$A$1:$D$22, 4, FALS"&amp;"E), ""!C3:R29"")), {2;8;14;20}, FALSE)), ""=-4"") + COUNTIF(ARRAYFORMULA(HLOOKUP($B42, IMPORTRANGE('Match Names'!$E$23, CONCAT(VLOOKUP($C42, 'Match Names'!$1:$22, 5, FALSE), ""!C3:R29"")), {3;7;18;23}, FALSE)), ""=-4"") + COUNTIF(ARRAYFORMULA(HLOOKUP($B42"&amp;", IMPORTRANGE('Match Names'!$F$23, CONCAT(VLOOKUP($C42, 'Match Names'!$1:$22, 6, FALSE), ""!C3:R29"")), {6;12;18;24}, FALSE)), ""=-4"") + COUNTIF(ARRAYFORMULA(HLOOKUP($B42, IMPORTRANGE('Match Names'!$G$23, CONCAT(VLOOKUP($C42, 'Match Names'!$1:$22, 7, FAL"&amp;"SE), ""!C3:R29"")), {2;7;17;21}, FALSE)), ""=-4"") + COUNTIF(ARRAYFORMULA(HLOOKUP($B42, IMPORTRANGE('Match Names'!$H$23, CONCAT(VLOOKUP($C42, 'Match Names'!$1:$22, 8, FALSE), ""!C3:R29"")), {4;10;16;22}, FALSE)), ""=-4"")"),0.0)</f>
        <v>0</v>
      </c>
      <c r="H42" s="39">
        <f t="shared" si="1"/>
        <v>0</v>
      </c>
    </row>
    <row r="43">
      <c r="A43" s="38" t="s">
        <v>73</v>
      </c>
      <c r="B43" s="38" t="str">
        <f>VLOOKUP(CONCAT(A43, C43), 'Discord Username to Real Name'!C:D, 2, FALSE)</f>
        <v>oof7373#7373</v>
      </c>
      <c r="C43" s="38" t="s">
        <v>15</v>
      </c>
      <c r="D43" s="9">
        <f>IFERROR(__xludf.DUMMYFUNCTION("(4 - COUNTIF(IFERROR(ARRAYFORMULA(HLOOKUP($B43, IMPORTRANGE('Prelim Rankings Unsorted'!$B$40, CONCAT(VLOOKUP($C43, 'Match Names'!$A$1:$D$22, 2, FALSE), ""!C3:R29"")), {3;8;14;20}, FALSE)), 'Player Overall Stats Unsorted'!$AA$9:$AA$12), ""=X"")) + (4 - COU"&amp;"NTIF(IFERROR(ARRAYFORMULA(HLOOKUP($B43, IMPORTRANGE('Prelim Rankings Unsorted'!$B$41, CONCAT(VLOOKUP($C43, 'Match Names'!$A$1:$D$22, 3, FALSE), ""!C3:R29"")), {4;10;16;22}, FALSE)), 'Player Overall Stats Unsorted'!$AA$9:$AA$12), ""=X"")) + (4 - COUNTIF(IF"&amp;"ERROR(ARRAYFORMULA(HLOOKUP($B43, IMPORTRANGE('Prelim Rankings Unsorted'!$B$42, CONCAT(VLOOKUP($C43, 'Match Names'!$A$1:$D$22, 4, FALSE), ""!C3:R29"")), {2;8;14;20}, FALSE)), 'Player Overall Stats Unsorted'!$AA$9:$AA$12), ""=X"")) + (4 - COUNTIF(IFERROR(AR"&amp;"RAYFORMULA(HLOOKUP($B43, IMPORTRANGE('Match Names'!$E$23, CONCAT(VLOOKUP($C43, 'Match Names'!$1:$22, 5, FALSE), ""!C3:R29"")), {3;7;18;23}, FALSE)), 'Player Overall Stats Unsorted'!$AA$9:$AA$12), ""=X"")) + (4 - COUNTIF(IFERROR(ARRAYFORMULA(HLOOKUP($B43, "&amp;"IMPORTRANGE('Match Names'!$F$23, CONCAT(VLOOKUP($C43, 'Match Names'!$1:$22, 6, FALSE), ""!C3:R29"")), {6;12;18;24}, FALSE)), 'Player Overall Stats Unsorted'!$AA$9:$AA$12), ""=X"")) + (4 - COUNTIF(IFERROR(ARRAYFORMULA(HLOOKUP($B43, IMPORTRANGE('Match Names"&amp;"'!$G$23, CONCAT(VLOOKUP($C43, 'Match Names'!$1:$22, 7, FALSE), ""!C3:R29"")), {2;7;17;21}, FALSE)), 'Player Overall Stats Unsorted'!$AA$9:$AA$12), ""=X"")) + (4 - COUNTIF(IFERROR(ARRAYFORMULA(HLOOKUP($B43, IMPORTRANGE('Match Names'!$H$23, CONCAT(VLOOKUP($"&amp;"C43, 'Match Names'!$1:$22, 8, FALSE), ""!C3:R29"")), {4;10;16;22}, FALSE)), 'Player Overall Stats Unsorted'!$AA$9:$AA$12), ""=X""))"),24.0)</f>
        <v>24</v>
      </c>
      <c r="E43" s="9">
        <f>IFERROR(__xludf.DUMMYFUNCTION("COUNTIF(ARRAYFORMULA(HLOOKUP($B43, IMPORTRANGE('Prelim Rankings Unsorted'!$B$40, CONCAT(VLOOKUP($C43, 'Match Names'!$A$1:$D$22, 2, FALSE), ""!C3:R29"")), {3;8;14;20}, FALSE)), ""=4"") + COUNTIF(ARRAYFORMULA(HLOOKUP($B43, IMPORTRANGE('Prelim Rankings Unsor"&amp;"ted'!$B$41, CONCAT(VLOOKUP($C43, 'Match Names'!$A$1:$D$22, 3, FALSE), ""!C3:R29"")), {4;10;16;22}, FALSE)), ""=4"") + COUNTIF(ARRAYFORMULA(HLOOKUP($B43, IMPORTRANGE('Prelim Rankings Unsorted'!$B$42, CONCAT(VLOOKUP($C43, 'Match Names'!$A$1:$D$22, 4, FALSE)"&amp;", ""!C3:R29"")), {2;8;14;20}, FALSE)), ""=4"") + COUNTIF(ARRAYFORMULA(HLOOKUP($B43, IMPORTRANGE('Match Names'!$E$23, CONCAT(VLOOKUP($C43, 'Match Names'!$1:$22, 5, FALSE), ""!C3:R29"")), {3;7;18;23}, FALSE)), ""=4"") + COUNTIF(ARRAYFORMULA(HLOOKUP($B43, IM"&amp;"PORTRANGE('Match Names'!$F$23, CONCAT(VLOOKUP($C43, 'Match Names'!$1:$22, 6, FALSE), ""!C3:R29"")), {6;12;18;24}, FALSE)), ""=4"") + COUNTIF(ARRAYFORMULA(HLOOKUP($B43, IMPORTRANGE('Match Names'!$G$23, CONCAT(VLOOKUP($C43, 'Match Names'!$1:$22, 7, FALSE), "&amp;"""!C3:R29"")), {2;7;17;21}, FALSE)), ""=4"") + COUNTIF(ARRAYFORMULA(HLOOKUP($B43, IMPORTRANGE('Match Names'!$H$23, CONCAT(VLOOKUP($C43, 'Match Names'!$1:$22, 8, FALSE), ""!C3:R29"")), {4;10;16;22}, FALSE)), ""=4"")"),12.0)</f>
        <v>12</v>
      </c>
      <c r="F43" s="9">
        <f>IFERROR(__xludf.DUMMYFUNCTION("COUNTIF(ARRAYFORMULA(HLOOKUP($B43, IMPORTRANGE('Prelim Rankings Unsorted'!$B$40, CONCAT(VLOOKUP($C43, 'Match Names'!$A$1:$D$22, 2, FALSE), ""!C3:R29"")), {3;8;14;20}, FALSE)), ""=0"") + COUNTIF(ARRAYFORMULA(HLOOKUP($B43, IMPORTRANGE('Prelim Rankings Unsor"&amp;"ted'!$B$41, CONCAT(VLOOKUP($C43, 'Match Names'!$A$1:$D$22, 3, FALSE), ""!C3:R29"")), {4;10;16;22}, FALSE)), ""=0"") + COUNTIF(ARRAYFORMULA(HLOOKUP($B43, IMPORTRANGE('Prelim Rankings Unsorted'!$B$42, CONCAT(VLOOKUP($C43, 'Match Names'!$A$1:$D$22, 4, FALSE)"&amp;", ""!C3:R29"")), {2;8;14;20}, FALSE)), ""=0"") + COUNTIF(ARRAYFORMULA(HLOOKUP($B43, IMPORTRANGE('Match Names'!$E$23, CONCAT(VLOOKUP($C43, 'Match Names'!$1:$22, 5, FALSE), ""!C3:R29"")), {3;7;18;23}, FALSE)), ""=0"") + COUNTIF(ARRAYFORMULA(HLOOKUP($B43, IM"&amp;"PORTRANGE('Match Names'!$F$23, CONCAT(VLOOKUP($C43, 'Match Names'!$1:$22, 6, FALSE), ""!C3:R29"")), {6;12;18;24}, FALSE)), ""=0"") + COUNTIF(ARRAYFORMULA(HLOOKUP($B43, IMPORTRANGE('Match Names'!$G$23, CONCAT(VLOOKUP($C43, 'Match Names'!$1:$22, 7, FALSE), "&amp;"""!C3:R29"")), {2;7;17;21}, FALSE)), ""=0"") + COUNTIF(ARRAYFORMULA(HLOOKUP($B43, IMPORTRANGE('Match Names'!$H$23, CONCAT(VLOOKUP($C43, 'Match Names'!$1:$22, 8, FALSE), ""!C3:R29"")), {4;10;16;22}, FALSE)), ""=0"")"),5.0)</f>
        <v>5</v>
      </c>
      <c r="G43" s="9">
        <f>IFERROR(__xludf.DUMMYFUNCTION("COUNTIF(ARRAYFORMULA(HLOOKUP($B43, IMPORTRANGE('Prelim Rankings Unsorted'!$B$40, CONCAT(VLOOKUP($C43, 'Match Names'!$A$1:$D$22, 2, FALSE), ""!C3:R29"")), {3;8;14;20}, FALSE)), ""=-4"") + COUNTIF(ARRAYFORMULA(HLOOKUP($B43, IMPORTRANGE('Prelim Rankings Unso"&amp;"rted'!$B$41, CONCAT(VLOOKUP($C43, 'Match Names'!$A$1:$D$22, 3, FALSE), ""!C3:R29"")), {4;10;16;22}, FALSE)), ""=-4"") + COUNTIF(ARRAYFORMULA(HLOOKUP($B43, IMPORTRANGE('Prelim Rankings Unsorted'!$B$42, CONCAT(VLOOKUP($C43, 'Match Names'!$A$1:$D$22, 4, FALS"&amp;"E), ""!C3:R29"")), {2;8;14;20}, FALSE)), ""=-4"") + COUNTIF(ARRAYFORMULA(HLOOKUP($B43, IMPORTRANGE('Match Names'!$E$23, CONCAT(VLOOKUP($C43, 'Match Names'!$1:$22, 5, FALSE), ""!C3:R29"")), {3;7;18;23}, FALSE)), ""=-4"") + COUNTIF(ARRAYFORMULA(HLOOKUP($B43"&amp;", IMPORTRANGE('Match Names'!$F$23, CONCAT(VLOOKUP($C43, 'Match Names'!$1:$22, 6, FALSE), ""!C3:R29"")), {6;12;18;24}, FALSE)), ""=-4"") + COUNTIF(ARRAYFORMULA(HLOOKUP($B43, IMPORTRANGE('Match Names'!$G$23, CONCAT(VLOOKUP($C43, 'Match Names'!$1:$22, 7, FAL"&amp;"SE), ""!C3:R29"")), {2;7;17;21}, FALSE)), ""=-4"") + COUNTIF(ARRAYFORMULA(HLOOKUP($B43, IMPORTRANGE('Match Names'!$H$23, CONCAT(VLOOKUP($C43, 'Match Names'!$1:$22, 8, FALSE), ""!C3:R29"")), {4;10;16;22}, FALSE)), ""=-4"")"),0.0)</f>
        <v>0</v>
      </c>
      <c r="H43" s="39">
        <f t="shared" si="1"/>
        <v>8</v>
      </c>
    </row>
    <row r="44">
      <c r="A44" s="38" t="s">
        <v>63</v>
      </c>
      <c r="B44" s="38" t="str">
        <f>VLOOKUP(CONCAT(A44, C44), 'Discord Username to Real Name'!C:D, 2, FALSE)</f>
        <v>effervescence#3904</v>
      </c>
      <c r="C44" s="38" t="s">
        <v>15</v>
      </c>
      <c r="D44" s="9">
        <f>IFERROR(__xludf.DUMMYFUNCTION("(4 - COUNTIF(IFERROR(ARRAYFORMULA(HLOOKUP($B44, IMPORTRANGE('Prelim Rankings Unsorted'!$B$40, CONCAT(VLOOKUP($C44, 'Match Names'!$A$1:$D$22, 2, FALSE), ""!C3:R29"")), {3;8;14;20}, FALSE)), 'Player Overall Stats Unsorted'!$AA$9:$AA$12), ""=X"")) + (4 - COU"&amp;"NTIF(IFERROR(ARRAYFORMULA(HLOOKUP($B44, IMPORTRANGE('Prelim Rankings Unsorted'!$B$41, CONCAT(VLOOKUP($C44, 'Match Names'!$A$1:$D$22, 3, FALSE), ""!C3:R29"")), {4;10;16;22}, FALSE)), 'Player Overall Stats Unsorted'!$AA$9:$AA$12), ""=X"")) + (4 - COUNTIF(IF"&amp;"ERROR(ARRAYFORMULA(HLOOKUP($B44, IMPORTRANGE('Prelim Rankings Unsorted'!$B$42, CONCAT(VLOOKUP($C44, 'Match Names'!$A$1:$D$22, 4, FALSE), ""!C3:R29"")), {2;8;14;20}, FALSE)), 'Player Overall Stats Unsorted'!$AA$9:$AA$12), ""=X"")) + (4 - COUNTIF(IFERROR(AR"&amp;"RAYFORMULA(HLOOKUP($B44, IMPORTRANGE('Match Names'!$E$23, CONCAT(VLOOKUP($C44, 'Match Names'!$1:$22, 5, FALSE), ""!C3:R29"")), {3;7;18;23}, FALSE)), 'Player Overall Stats Unsorted'!$AA$9:$AA$12), ""=X"")) + (4 - COUNTIF(IFERROR(ARRAYFORMULA(HLOOKUP($B44, "&amp;"IMPORTRANGE('Match Names'!$F$23, CONCAT(VLOOKUP($C44, 'Match Names'!$1:$22, 6, FALSE), ""!C3:R29"")), {6;12;18;24}, FALSE)), 'Player Overall Stats Unsorted'!$AA$9:$AA$12), ""=X"")) + (4 - COUNTIF(IFERROR(ARRAYFORMULA(HLOOKUP($B44, IMPORTRANGE('Match Names"&amp;"'!$G$23, CONCAT(VLOOKUP($C44, 'Match Names'!$1:$22, 7, FALSE), ""!C3:R29"")), {2;7;17;21}, FALSE)), 'Player Overall Stats Unsorted'!$AA$9:$AA$12), ""=X"")) + (4 - COUNTIF(IFERROR(ARRAYFORMULA(HLOOKUP($B44, IMPORTRANGE('Match Names'!$H$23, CONCAT(VLOOKUP($"&amp;"C44, 'Match Names'!$1:$22, 8, FALSE), ""!C3:R29"")), {4;10;16;22}, FALSE)), 'Player Overall Stats Unsorted'!$AA$9:$AA$12), ""=X""))"),20.0)</f>
        <v>20</v>
      </c>
      <c r="E44" s="9">
        <f>IFERROR(__xludf.DUMMYFUNCTION("COUNTIF(ARRAYFORMULA(HLOOKUP($B44, IMPORTRANGE('Prelim Rankings Unsorted'!$B$40, CONCAT(VLOOKUP($C44, 'Match Names'!$A$1:$D$22, 2, FALSE), ""!C3:R29"")), {3;8;14;20}, FALSE)), ""=4"") + COUNTIF(ARRAYFORMULA(HLOOKUP($B44, IMPORTRANGE('Prelim Rankings Unsor"&amp;"ted'!$B$41, CONCAT(VLOOKUP($C44, 'Match Names'!$A$1:$D$22, 3, FALSE), ""!C3:R29"")), {4;10;16;22}, FALSE)), ""=4"") + COUNTIF(ARRAYFORMULA(HLOOKUP($B44, IMPORTRANGE('Prelim Rankings Unsorted'!$B$42, CONCAT(VLOOKUP($C44, 'Match Names'!$A$1:$D$22, 4, FALSE)"&amp;", ""!C3:R29"")), {2;8;14;20}, FALSE)), ""=4"") + COUNTIF(ARRAYFORMULA(HLOOKUP($B44, IMPORTRANGE('Match Names'!$E$23, CONCAT(VLOOKUP($C44, 'Match Names'!$1:$22, 5, FALSE), ""!C3:R29"")), {3;7;18;23}, FALSE)), ""=4"") + COUNTIF(ARRAYFORMULA(HLOOKUP($B44, IM"&amp;"PORTRANGE('Match Names'!$F$23, CONCAT(VLOOKUP($C44, 'Match Names'!$1:$22, 6, FALSE), ""!C3:R29"")), {6;12;18;24}, FALSE)), ""=4"") + COUNTIF(ARRAYFORMULA(HLOOKUP($B44, IMPORTRANGE('Match Names'!$G$23, CONCAT(VLOOKUP($C44, 'Match Names'!$1:$22, 7, FALSE), "&amp;"""!C3:R29"")), {2;7;17;21}, FALSE)), ""=4"") + COUNTIF(ARRAYFORMULA(HLOOKUP($B44, IMPORTRANGE('Match Names'!$H$23, CONCAT(VLOOKUP($C44, 'Match Names'!$1:$22, 8, FALSE), ""!C3:R29"")), {4;10;16;22}, FALSE)), ""=4"")"),0.0)</f>
        <v>0</v>
      </c>
      <c r="F44" s="9">
        <f>IFERROR(__xludf.DUMMYFUNCTION("COUNTIF(ARRAYFORMULA(HLOOKUP($B44, IMPORTRANGE('Prelim Rankings Unsorted'!$B$40, CONCAT(VLOOKUP($C44, 'Match Names'!$A$1:$D$22, 2, FALSE), ""!C3:R29"")), {3;8;14;20}, FALSE)), ""=0"") + COUNTIF(ARRAYFORMULA(HLOOKUP($B44, IMPORTRANGE('Prelim Rankings Unsor"&amp;"ted'!$B$41, CONCAT(VLOOKUP($C44, 'Match Names'!$A$1:$D$22, 3, FALSE), ""!C3:R29"")), {4;10;16;22}, FALSE)), ""=0"") + COUNTIF(ARRAYFORMULA(HLOOKUP($B44, IMPORTRANGE('Prelim Rankings Unsorted'!$B$42, CONCAT(VLOOKUP($C44, 'Match Names'!$A$1:$D$22, 4, FALSE)"&amp;", ""!C3:R29"")), {2;8;14;20}, FALSE)), ""=0"") + COUNTIF(ARRAYFORMULA(HLOOKUP($B44, IMPORTRANGE('Match Names'!$E$23, CONCAT(VLOOKUP($C44, 'Match Names'!$1:$22, 5, FALSE), ""!C3:R29"")), {3;7;18;23}, FALSE)), ""=0"") + COUNTIF(ARRAYFORMULA(HLOOKUP($B44, IM"&amp;"PORTRANGE('Match Names'!$F$23, CONCAT(VLOOKUP($C44, 'Match Names'!$1:$22, 6, FALSE), ""!C3:R29"")), {6;12;18;24}, FALSE)), ""=0"") + COUNTIF(ARRAYFORMULA(HLOOKUP($B44, IMPORTRANGE('Match Names'!$G$23, CONCAT(VLOOKUP($C44, 'Match Names'!$1:$22, 7, FALSE), "&amp;"""!C3:R29"")), {2;7;17;21}, FALSE)), ""=0"") + COUNTIF(ARRAYFORMULA(HLOOKUP($B44, IMPORTRANGE('Match Names'!$H$23, CONCAT(VLOOKUP($C44, 'Match Names'!$1:$22, 8, FALSE), ""!C3:R29"")), {4;10;16;22}, FALSE)), ""=0"")"),1.0)</f>
        <v>1</v>
      </c>
      <c r="G44" s="9">
        <f>IFERROR(__xludf.DUMMYFUNCTION("COUNTIF(ARRAYFORMULA(HLOOKUP($B44, IMPORTRANGE('Prelim Rankings Unsorted'!$B$40, CONCAT(VLOOKUP($C44, 'Match Names'!$A$1:$D$22, 2, FALSE), ""!C3:R29"")), {3;8;14;20}, FALSE)), ""=-4"") + COUNTIF(ARRAYFORMULA(HLOOKUP($B44, IMPORTRANGE('Prelim Rankings Unso"&amp;"rted'!$B$41, CONCAT(VLOOKUP($C44, 'Match Names'!$A$1:$D$22, 3, FALSE), ""!C3:R29"")), {4;10;16;22}, FALSE)), ""=-4"") + COUNTIF(ARRAYFORMULA(HLOOKUP($B44, IMPORTRANGE('Prelim Rankings Unsorted'!$B$42, CONCAT(VLOOKUP($C44, 'Match Names'!$A$1:$D$22, 4, FALS"&amp;"E), ""!C3:R29"")), {2;8;14;20}, FALSE)), ""=-4"") + COUNTIF(ARRAYFORMULA(HLOOKUP($B44, IMPORTRANGE('Match Names'!$E$23, CONCAT(VLOOKUP($C44, 'Match Names'!$1:$22, 5, FALSE), ""!C3:R29"")), {3;7;18;23}, FALSE)), ""=-4"") + COUNTIF(ARRAYFORMULA(HLOOKUP($B44"&amp;", IMPORTRANGE('Match Names'!$F$23, CONCAT(VLOOKUP($C44, 'Match Names'!$1:$22, 6, FALSE), ""!C3:R29"")), {6;12;18;24}, FALSE)), ""=-4"") + COUNTIF(ARRAYFORMULA(HLOOKUP($B44, IMPORTRANGE('Match Names'!$G$23, CONCAT(VLOOKUP($C44, 'Match Names'!$1:$22, 7, FAL"&amp;"SE), ""!C3:R29"")), {2;7;17;21}, FALSE)), ""=-4"") + COUNTIF(ARRAYFORMULA(HLOOKUP($B44, IMPORTRANGE('Match Names'!$H$23, CONCAT(VLOOKUP($C44, 'Match Names'!$1:$22, 8, FALSE), ""!C3:R29"")), {4;10;16;22}, FALSE)), ""=-4"")"),0.0)</f>
        <v>0</v>
      </c>
      <c r="H44" s="39">
        <f t="shared" si="1"/>
        <v>0</v>
      </c>
    </row>
    <row r="45">
      <c r="A45" s="38" t="s">
        <v>113</v>
      </c>
      <c r="B45" s="38" t="str">
        <f>VLOOKUP(CONCAT(A45, C45), 'Discord Username to Real Name'!C:D, 2, FALSE)</f>
        <v>a5a7#2184</v>
      </c>
      <c r="C45" s="38" t="s">
        <v>15</v>
      </c>
      <c r="D45" s="9">
        <f>IFERROR(__xludf.DUMMYFUNCTION("(4 - COUNTIF(IFERROR(ARRAYFORMULA(HLOOKUP($B45, IMPORTRANGE('Prelim Rankings Unsorted'!$B$40, CONCAT(VLOOKUP($C45, 'Match Names'!$A$1:$D$22, 2, FALSE), ""!C3:R29"")), {3;8;14;20}, FALSE)), 'Player Overall Stats Unsorted'!$AA$9:$AA$12), ""=X"")) + (4 - COU"&amp;"NTIF(IFERROR(ARRAYFORMULA(HLOOKUP($B45, IMPORTRANGE('Prelim Rankings Unsorted'!$B$41, CONCAT(VLOOKUP($C45, 'Match Names'!$A$1:$D$22, 3, FALSE), ""!C3:R29"")), {4;10;16;22}, FALSE)), 'Player Overall Stats Unsorted'!$AA$9:$AA$12), ""=X"")) + (4 - COUNTIF(IF"&amp;"ERROR(ARRAYFORMULA(HLOOKUP($B45, IMPORTRANGE('Prelim Rankings Unsorted'!$B$42, CONCAT(VLOOKUP($C45, 'Match Names'!$A$1:$D$22, 4, FALSE), ""!C3:R29"")), {2;8;14;20}, FALSE)), 'Player Overall Stats Unsorted'!$AA$9:$AA$12), ""=X"")) + (4 - COUNTIF(IFERROR(AR"&amp;"RAYFORMULA(HLOOKUP($B45, IMPORTRANGE('Match Names'!$E$23, CONCAT(VLOOKUP($C45, 'Match Names'!$1:$22, 5, FALSE), ""!C3:R29"")), {3;7;18;23}, FALSE)), 'Player Overall Stats Unsorted'!$AA$9:$AA$12), ""=X"")) + (4 - COUNTIF(IFERROR(ARRAYFORMULA(HLOOKUP($B45, "&amp;"IMPORTRANGE('Match Names'!$F$23, CONCAT(VLOOKUP($C45, 'Match Names'!$1:$22, 6, FALSE), ""!C3:R29"")), {6;12;18;24}, FALSE)), 'Player Overall Stats Unsorted'!$AA$9:$AA$12), ""=X"")) + (4 - COUNTIF(IFERROR(ARRAYFORMULA(HLOOKUP($B45, IMPORTRANGE('Match Names"&amp;"'!$G$23, CONCAT(VLOOKUP($C45, 'Match Names'!$1:$22, 7, FALSE), ""!C3:R29"")), {2;7;17;21}, FALSE)), 'Player Overall Stats Unsorted'!$AA$9:$AA$12), ""=X"")) + (4 - COUNTIF(IFERROR(ARRAYFORMULA(HLOOKUP($B45, IMPORTRANGE('Match Names'!$H$23, CONCAT(VLOOKUP($"&amp;"C45, 'Match Names'!$1:$22, 8, FALSE), ""!C3:R29"")), {4;10;16;22}, FALSE)), 'Player Overall Stats Unsorted'!$AA$9:$AA$12), ""=X""))"),14.0)</f>
        <v>14</v>
      </c>
      <c r="E45" s="9">
        <f>IFERROR(__xludf.DUMMYFUNCTION("COUNTIF(ARRAYFORMULA(HLOOKUP($B45, IMPORTRANGE('Prelim Rankings Unsorted'!$B$40, CONCAT(VLOOKUP($C45, 'Match Names'!$A$1:$D$22, 2, FALSE), ""!C3:R29"")), {3;8;14;20}, FALSE)), ""=4"") + COUNTIF(ARRAYFORMULA(HLOOKUP($B45, IMPORTRANGE('Prelim Rankings Unsor"&amp;"ted'!$B$41, CONCAT(VLOOKUP($C45, 'Match Names'!$A$1:$D$22, 3, FALSE), ""!C3:R29"")), {4;10;16;22}, FALSE)), ""=4"") + COUNTIF(ARRAYFORMULA(HLOOKUP($B45, IMPORTRANGE('Prelim Rankings Unsorted'!$B$42, CONCAT(VLOOKUP($C45, 'Match Names'!$A$1:$D$22, 4, FALSE)"&amp;", ""!C3:R29"")), {2;8;14;20}, FALSE)), ""=4"") + COUNTIF(ARRAYFORMULA(HLOOKUP($B45, IMPORTRANGE('Match Names'!$E$23, CONCAT(VLOOKUP($C45, 'Match Names'!$1:$22, 5, FALSE), ""!C3:R29"")), {3;7;18;23}, FALSE)), ""=4"") + COUNTIF(ARRAYFORMULA(HLOOKUP($B45, IM"&amp;"PORTRANGE('Match Names'!$F$23, CONCAT(VLOOKUP($C45, 'Match Names'!$1:$22, 6, FALSE), ""!C3:R29"")), {6;12;18;24}, FALSE)), ""=4"") + COUNTIF(ARRAYFORMULA(HLOOKUP($B45, IMPORTRANGE('Match Names'!$G$23, CONCAT(VLOOKUP($C45, 'Match Names'!$1:$22, 7, FALSE), "&amp;"""!C3:R29"")), {2;7;17;21}, FALSE)), ""=4"") + COUNTIF(ARRAYFORMULA(HLOOKUP($B45, IMPORTRANGE('Match Names'!$H$23, CONCAT(VLOOKUP($C45, 'Match Names'!$1:$22, 8, FALSE), ""!C3:R29"")), {4;10;16;22}, FALSE)), ""=4"")"),0.0)</f>
        <v>0</v>
      </c>
      <c r="F45" s="9">
        <f>IFERROR(__xludf.DUMMYFUNCTION("COUNTIF(ARRAYFORMULA(HLOOKUP($B45, IMPORTRANGE('Prelim Rankings Unsorted'!$B$40, CONCAT(VLOOKUP($C45, 'Match Names'!$A$1:$D$22, 2, FALSE), ""!C3:R29"")), {3;8;14;20}, FALSE)), ""=0"") + COUNTIF(ARRAYFORMULA(HLOOKUP($B45, IMPORTRANGE('Prelim Rankings Unsor"&amp;"ted'!$B$41, CONCAT(VLOOKUP($C45, 'Match Names'!$A$1:$D$22, 3, FALSE), ""!C3:R29"")), {4;10;16;22}, FALSE)), ""=0"") + COUNTIF(ARRAYFORMULA(HLOOKUP($B45, IMPORTRANGE('Prelim Rankings Unsorted'!$B$42, CONCAT(VLOOKUP($C45, 'Match Names'!$A$1:$D$22, 4, FALSE)"&amp;", ""!C3:R29"")), {2;8;14;20}, FALSE)), ""=0"") + COUNTIF(ARRAYFORMULA(HLOOKUP($B45, IMPORTRANGE('Match Names'!$E$23, CONCAT(VLOOKUP($C45, 'Match Names'!$1:$22, 5, FALSE), ""!C3:R29"")), {3;7;18;23}, FALSE)), ""=0"") + COUNTIF(ARRAYFORMULA(HLOOKUP($B45, IM"&amp;"PORTRANGE('Match Names'!$F$23, CONCAT(VLOOKUP($C45, 'Match Names'!$1:$22, 6, FALSE), ""!C3:R29"")), {6;12;18;24}, FALSE)), ""=0"") + COUNTIF(ARRAYFORMULA(HLOOKUP($B45, IMPORTRANGE('Match Names'!$G$23, CONCAT(VLOOKUP($C45, 'Match Names'!$1:$22, 7, FALSE), "&amp;"""!C3:R29"")), {2;7;17;21}, FALSE)), ""=0"") + COUNTIF(ARRAYFORMULA(HLOOKUP($B45, IMPORTRANGE('Match Names'!$H$23, CONCAT(VLOOKUP($C45, 'Match Names'!$1:$22, 8, FALSE), ""!C3:R29"")), {4;10;16;22}, FALSE)), ""=0"")"),0.0)</f>
        <v>0</v>
      </c>
      <c r="G45" s="9">
        <f>IFERROR(__xludf.DUMMYFUNCTION("COUNTIF(ARRAYFORMULA(HLOOKUP($B45, IMPORTRANGE('Prelim Rankings Unsorted'!$B$40, CONCAT(VLOOKUP($C45, 'Match Names'!$A$1:$D$22, 2, FALSE), ""!C3:R29"")), {3;8;14;20}, FALSE)), ""=-4"") + COUNTIF(ARRAYFORMULA(HLOOKUP($B45, IMPORTRANGE('Prelim Rankings Unso"&amp;"rted'!$B$41, CONCAT(VLOOKUP($C45, 'Match Names'!$A$1:$D$22, 3, FALSE), ""!C3:R29"")), {4;10;16;22}, FALSE)), ""=-4"") + COUNTIF(ARRAYFORMULA(HLOOKUP($B45, IMPORTRANGE('Prelim Rankings Unsorted'!$B$42, CONCAT(VLOOKUP($C45, 'Match Names'!$A$1:$D$22, 4, FALS"&amp;"E), ""!C3:R29"")), {2;8;14;20}, FALSE)), ""=-4"") + COUNTIF(ARRAYFORMULA(HLOOKUP($B45, IMPORTRANGE('Match Names'!$E$23, CONCAT(VLOOKUP($C45, 'Match Names'!$1:$22, 5, FALSE), ""!C3:R29"")), {3;7;18;23}, FALSE)), ""=-4"") + COUNTIF(ARRAYFORMULA(HLOOKUP($B45"&amp;", IMPORTRANGE('Match Names'!$F$23, CONCAT(VLOOKUP($C45, 'Match Names'!$1:$22, 6, FALSE), ""!C3:R29"")), {6;12;18;24}, FALSE)), ""=-4"") + COUNTIF(ARRAYFORMULA(HLOOKUP($B45, IMPORTRANGE('Match Names'!$G$23, CONCAT(VLOOKUP($C45, 'Match Names'!$1:$22, 7, FAL"&amp;"SE), ""!C3:R29"")), {2;7;17;21}, FALSE)), ""=-4"") + COUNTIF(ARRAYFORMULA(HLOOKUP($B45, IMPORTRANGE('Match Names'!$H$23, CONCAT(VLOOKUP($C45, 'Match Names'!$1:$22, 8, FALSE), ""!C3:R29"")), {4;10;16;22}, FALSE)), ""=-4"")"),0.0)</f>
        <v>0</v>
      </c>
      <c r="H45" s="39">
        <f t="shared" si="1"/>
        <v>0</v>
      </c>
    </row>
    <row r="46">
      <c r="A46" s="38" t="s">
        <v>169</v>
      </c>
      <c r="B46" s="38" t="str">
        <f>VLOOKUP(CONCAT(A46, C46), 'Discord Username to Real Name'!C:D, 2, FALSE)</f>
        <v>Verisimilitude#2169</v>
      </c>
      <c r="C46" s="38" t="s">
        <v>15</v>
      </c>
      <c r="D46" s="9">
        <f>IFERROR(__xludf.DUMMYFUNCTION("(4 - COUNTIF(IFERROR(ARRAYFORMULA(HLOOKUP($B46, IMPORTRANGE('Prelim Rankings Unsorted'!$B$40, CONCAT(VLOOKUP($C46, 'Match Names'!$A$1:$D$22, 2, FALSE), ""!C3:R29"")), {3;8;14;20}, FALSE)), 'Player Overall Stats Unsorted'!$AA$9:$AA$12), ""=X"")) + (4 - COU"&amp;"NTIF(IFERROR(ARRAYFORMULA(HLOOKUP($B46, IMPORTRANGE('Prelim Rankings Unsorted'!$B$41, CONCAT(VLOOKUP($C46, 'Match Names'!$A$1:$D$22, 3, FALSE), ""!C3:R29"")), {4;10;16;22}, FALSE)), 'Player Overall Stats Unsorted'!$AA$9:$AA$12), ""=X"")) + (4 - COUNTIF(IF"&amp;"ERROR(ARRAYFORMULA(HLOOKUP($B46, IMPORTRANGE('Prelim Rankings Unsorted'!$B$42, CONCAT(VLOOKUP($C46, 'Match Names'!$A$1:$D$22, 4, FALSE), ""!C3:R29"")), {2;8;14;20}, FALSE)), 'Player Overall Stats Unsorted'!$AA$9:$AA$12), ""=X"")) + (4 - COUNTIF(IFERROR(AR"&amp;"RAYFORMULA(HLOOKUP($B46, IMPORTRANGE('Match Names'!$E$23, CONCAT(VLOOKUP($C46, 'Match Names'!$1:$22, 5, FALSE), ""!C3:R29"")), {3;7;18;23}, FALSE)), 'Player Overall Stats Unsorted'!$AA$9:$AA$12), ""=X"")) + (4 - COUNTIF(IFERROR(ARRAYFORMULA(HLOOKUP($B46, "&amp;"IMPORTRANGE('Match Names'!$F$23, CONCAT(VLOOKUP($C46, 'Match Names'!$1:$22, 6, FALSE), ""!C3:R29"")), {6;12;18;24}, FALSE)), 'Player Overall Stats Unsorted'!$AA$9:$AA$12), ""=X"")) + (4 - COUNTIF(IFERROR(ARRAYFORMULA(HLOOKUP($B46, IMPORTRANGE('Match Names"&amp;"'!$G$23, CONCAT(VLOOKUP($C46, 'Match Names'!$1:$22, 7, FALSE), ""!C3:R29"")), {2;7;17;21}, FALSE)), 'Player Overall Stats Unsorted'!$AA$9:$AA$12), ""=X"")) + (4 - COUNTIF(IFERROR(ARRAYFORMULA(HLOOKUP($B46, IMPORTRANGE('Match Names'!$H$23, CONCAT(VLOOKUP($"&amp;"C46, 'Match Names'!$1:$22, 8, FALSE), ""!C3:R29"")), {4;10;16;22}, FALSE)), 'Player Overall Stats Unsorted'!$AA$9:$AA$12), ""=X""))"),14.0)</f>
        <v>14</v>
      </c>
      <c r="E46" s="9">
        <f>IFERROR(__xludf.DUMMYFUNCTION("COUNTIF(ARRAYFORMULA(HLOOKUP($B46, IMPORTRANGE('Prelim Rankings Unsorted'!$B$40, CONCAT(VLOOKUP($C46, 'Match Names'!$A$1:$D$22, 2, FALSE), ""!C3:R29"")), {3;8;14;20}, FALSE)), ""=4"") + COUNTIF(ARRAYFORMULA(HLOOKUP($B46, IMPORTRANGE('Prelim Rankings Unsor"&amp;"ted'!$B$41, CONCAT(VLOOKUP($C46, 'Match Names'!$A$1:$D$22, 3, FALSE), ""!C3:R29"")), {4;10;16;22}, FALSE)), ""=4"") + COUNTIF(ARRAYFORMULA(HLOOKUP($B46, IMPORTRANGE('Prelim Rankings Unsorted'!$B$42, CONCAT(VLOOKUP($C46, 'Match Names'!$A$1:$D$22, 4, FALSE)"&amp;", ""!C3:R29"")), {2;8;14;20}, FALSE)), ""=4"") + COUNTIF(ARRAYFORMULA(HLOOKUP($B46, IMPORTRANGE('Match Names'!$E$23, CONCAT(VLOOKUP($C46, 'Match Names'!$1:$22, 5, FALSE), ""!C3:R29"")), {3;7;18;23}, FALSE)), ""=4"") + COUNTIF(ARRAYFORMULA(HLOOKUP($B46, IM"&amp;"PORTRANGE('Match Names'!$F$23, CONCAT(VLOOKUP($C46, 'Match Names'!$1:$22, 6, FALSE), ""!C3:R29"")), {6;12;18;24}, FALSE)), ""=4"") + COUNTIF(ARRAYFORMULA(HLOOKUP($B46, IMPORTRANGE('Match Names'!$G$23, CONCAT(VLOOKUP($C46, 'Match Names'!$1:$22, 7, FALSE), "&amp;"""!C3:R29"")), {2;7;17;21}, FALSE)), ""=4"") + COUNTIF(ARRAYFORMULA(HLOOKUP($B46, IMPORTRANGE('Match Names'!$H$23, CONCAT(VLOOKUP($C46, 'Match Names'!$1:$22, 8, FALSE), ""!C3:R29"")), {4;10;16;22}, FALSE)), ""=4"")"),0.0)</f>
        <v>0</v>
      </c>
      <c r="F46" s="9">
        <f>IFERROR(__xludf.DUMMYFUNCTION("COUNTIF(ARRAYFORMULA(HLOOKUP($B46, IMPORTRANGE('Prelim Rankings Unsorted'!$B$40, CONCAT(VLOOKUP($C46, 'Match Names'!$A$1:$D$22, 2, FALSE), ""!C3:R29"")), {3;8;14;20}, FALSE)), ""=0"") + COUNTIF(ARRAYFORMULA(HLOOKUP($B46, IMPORTRANGE('Prelim Rankings Unsor"&amp;"ted'!$B$41, CONCAT(VLOOKUP($C46, 'Match Names'!$A$1:$D$22, 3, FALSE), ""!C3:R29"")), {4;10;16;22}, FALSE)), ""=0"") + COUNTIF(ARRAYFORMULA(HLOOKUP($B46, IMPORTRANGE('Prelim Rankings Unsorted'!$B$42, CONCAT(VLOOKUP($C46, 'Match Names'!$A$1:$D$22, 4, FALSE)"&amp;", ""!C3:R29"")), {2;8;14;20}, FALSE)), ""=0"") + COUNTIF(ARRAYFORMULA(HLOOKUP($B46, IMPORTRANGE('Match Names'!$E$23, CONCAT(VLOOKUP($C46, 'Match Names'!$1:$22, 5, FALSE), ""!C3:R29"")), {3;7;18;23}, FALSE)), ""=0"") + COUNTIF(ARRAYFORMULA(HLOOKUP($B46, IM"&amp;"PORTRANGE('Match Names'!$F$23, CONCAT(VLOOKUP($C46, 'Match Names'!$1:$22, 6, FALSE), ""!C3:R29"")), {6;12;18;24}, FALSE)), ""=0"") + COUNTIF(ARRAYFORMULA(HLOOKUP($B46, IMPORTRANGE('Match Names'!$G$23, CONCAT(VLOOKUP($C46, 'Match Names'!$1:$22, 7, FALSE), "&amp;"""!C3:R29"")), {2;7;17;21}, FALSE)), ""=0"") + COUNTIF(ARRAYFORMULA(HLOOKUP($B46, IMPORTRANGE('Match Names'!$H$23, CONCAT(VLOOKUP($C46, 'Match Names'!$1:$22, 8, FALSE), ""!C3:R29"")), {4;10;16;22}, FALSE)), ""=0"")"),0.0)</f>
        <v>0</v>
      </c>
      <c r="G46" s="9">
        <f>IFERROR(__xludf.DUMMYFUNCTION("COUNTIF(ARRAYFORMULA(HLOOKUP($B46, IMPORTRANGE('Prelim Rankings Unsorted'!$B$40, CONCAT(VLOOKUP($C46, 'Match Names'!$A$1:$D$22, 2, FALSE), ""!C3:R29"")), {3;8;14;20}, FALSE)), ""=-4"") + COUNTIF(ARRAYFORMULA(HLOOKUP($B46, IMPORTRANGE('Prelim Rankings Unso"&amp;"rted'!$B$41, CONCAT(VLOOKUP($C46, 'Match Names'!$A$1:$D$22, 3, FALSE), ""!C3:R29"")), {4;10;16;22}, FALSE)), ""=-4"") + COUNTIF(ARRAYFORMULA(HLOOKUP($B46, IMPORTRANGE('Prelim Rankings Unsorted'!$B$42, CONCAT(VLOOKUP($C46, 'Match Names'!$A$1:$D$22, 4, FALS"&amp;"E), ""!C3:R29"")), {2;8;14;20}, FALSE)), ""=-4"") + COUNTIF(ARRAYFORMULA(HLOOKUP($B46, IMPORTRANGE('Match Names'!$E$23, CONCAT(VLOOKUP($C46, 'Match Names'!$1:$22, 5, FALSE), ""!C3:R29"")), {3;7;18;23}, FALSE)), ""=-4"") + COUNTIF(ARRAYFORMULA(HLOOKUP($B46"&amp;", IMPORTRANGE('Match Names'!$F$23, CONCAT(VLOOKUP($C46, 'Match Names'!$1:$22, 6, FALSE), ""!C3:R29"")), {6;12;18;24}, FALSE)), ""=-4"") + COUNTIF(ARRAYFORMULA(HLOOKUP($B46, IMPORTRANGE('Match Names'!$G$23, CONCAT(VLOOKUP($C46, 'Match Names'!$1:$22, 7, FAL"&amp;"SE), ""!C3:R29"")), {2;7;17;21}, FALSE)), ""=-4"") + COUNTIF(ARRAYFORMULA(HLOOKUP($B46, IMPORTRANGE('Match Names'!$H$23, CONCAT(VLOOKUP($C46, 'Match Names'!$1:$22, 8, FALSE), ""!C3:R29"")), {4;10;16;22}, FALSE)), ""=-4"")"),0.0)</f>
        <v>0</v>
      </c>
      <c r="H46" s="39">
        <f t="shared" si="1"/>
        <v>0</v>
      </c>
    </row>
    <row r="47">
      <c r="A47" s="38" t="s">
        <v>127</v>
      </c>
      <c r="B47" s="38" t="str">
        <f>VLOOKUP(CONCAT(A47, C47), 'Discord Username to Real Name'!C:D, 2, FALSE)</f>
        <v>PerfectPenguin#3133</v>
      </c>
      <c r="C47" s="38" t="s">
        <v>15</v>
      </c>
      <c r="D47" s="9">
        <f>IFERROR(__xludf.DUMMYFUNCTION("(4 - COUNTIF(IFERROR(ARRAYFORMULA(HLOOKUP($B47, IMPORTRANGE('Prelim Rankings Unsorted'!$B$40, CONCAT(VLOOKUP($C47, 'Match Names'!$A$1:$D$22, 2, FALSE), ""!C3:R29"")), {3;8;14;20}, FALSE)), 'Player Overall Stats Unsorted'!$AA$9:$AA$12), ""=X"")) + (4 - COU"&amp;"NTIF(IFERROR(ARRAYFORMULA(HLOOKUP($B47, IMPORTRANGE('Prelim Rankings Unsorted'!$B$41, CONCAT(VLOOKUP($C47, 'Match Names'!$A$1:$D$22, 3, FALSE), ""!C3:R29"")), {4;10;16;22}, FALSE)), 'Player Overall Stats Unsorted'!$AA$9:$AA$12), ""=X"")) + (4 - COUNTIF(IF"&amp;"ERROR(ARRAYFORMULA(HLOOKUP($B47, IMPORTRANGE('Prelim Rankings Unsorted'!$B$42, CONCAT(VLOOKUP($C47, 'Match Names'!$A$1:$D$22, 4, FALSE), ""!C3:R29"")), {2;8;14;20}, FALSE)), 'Player Overall Stats Unsorted'!$AA$9:$AA$12), ""=X"")) + (4 - COUNTIF(IFERROR(AR"&amp;"RAYFORMULA(HLOOKUP($B47, IMPORTRANGE('Match Names'!$E$23, CONCAT(VLOOKUP($C47, 'Match Names'!$1:$22, 5, FALSE), ""!C3:R29"")), {3;7;18;23}, FALSE)), 'Player Overall Stats Unsorted'!$AA$9:$AA$12), ""=X"")) + (4 - COUNTIF(IFERROR(ARRAYFORMULA(HLOOKUP($B47, "&amp;"IMPORTRANGE('Match Names'!$F$23, CONCAT(VLOOKUP($C47, 'Match Names'!$1:$22, 6, FALSE), ""!C3:R29"")), {6;12;18;24}, FALSE)), 'Player Overall Stats Unsorted'!$AA$9:$AA$12), ""=X"")) + (4 - COUNTIF(IFERROR(ARRAYFORMULA(HLOOKUP($B47, IMPORTRANGE('Match Names"&amp;"'!$G$23, CONCAT(VLOOKUP($C47, 'Match Names'!$1:$22, 7, FALSE), ""!C3:R29"")), {2;7;17;21}, FALSE)), 'Player Overall Stats Unsorted'!$AA$9:$AA$12), ""=X"")) + (4 - COUNTIF(IFERROR(ARRAYFORMULA(HLOOKUP($B47, IMPORTRANGE('Match Names'!$H$23, CONCAT(VLOOKUP($"&amp;"C47, 'Match Names'!$1:$22, 8, FALSE), ""!C3:R29"")), {4;10;16;22}, FALSE)), 'Player Overall Stats Unsorted'!$AA$9:$AA$12), ""=X""))"),24.0)</f>
        <v>24</v>
      </c>
      <c r="E47" s="9">
        <f>IFERROR(__xludf.DUMMYFUNCTION("COUNTIF(ARRAYFORMULA(HLOOKUP($B47, IMPORTRANGE('Prelim Rankings Unsorted'!$B$40, CONCAT(VLOOKUP($C47, 'Match Names'!$A$1:$D$22, 2, FALSE), ""!C3:R29"")), {3;8;14;20}, FALSE)), ""=4"") + COUNTIF(ARRAYFORMULA(HLOOKUP($B47, IMPORTRANGE('Prelim Rankings Unsor"&amp;"ted'!$B$41, CONCAT(VLOOKUP($C47, 'Match Names'!$A$1:$D$22, 3, FALSE), ""!C3:R29"")), {4;10;16;22}, FALSE)), ""=4"") + COUNTIF(ARRAYFORMULA(HLOOKUP($B47, IMPORTRANGE('Prelim Rankings Unsorted'!$B$42, CONCAT(VLOOKUP($C47, 'Match Names'!$A$1:$D$22, 4, FALSE)"&amp;", ""!C3:R29"")), {2;8;14;20}, FALSE)), ""=4"") + COUNTIF(ARRAYFORMULA(HLOOKUP($B47, IMPORTRANGE('Match Names'!$E$23, CONCAT(VLOOKUP($C47, 'Match Names'!$1:$22, 5, FALSE), ""!C3:R29"")), {3;7;18;23}, FALSE)), ""=4"") + COUNTIF(ARRAYFORMULA(HLOOKUP($B47, IM"&amp;"PORTRANGE('Match Names'!$F$23, CONCAT(VLOOKUP($C47, 'Match Names'!$1:$22, 6, FALSE), ""!C3:R29"")), {6;12;18;24}, FALSE)), ""=4"") + COUNTIF(ARRAYFORMULA(HLOOKUP($B47, IMPORTRANGE('Match Names'!$G$23, CONCAT(VLOOKUP($C47, 'Match Names'!$1:$22, 7, FALSE), "&amp;"""!C3:R29"")), {2;7;17;21}, FALSE)), ""=4"") + COUNTIF(ARRAYFORMULA(HLOOKUP($B47, IMPORTRANGE('Match Names'!$H$23, CONCAT(VLOOKUP($C47, 'Match Names'!$1:$22, 8, FALSE), ""!C3:R29"")), {4;10;16;22}, FALSE)), ""=4"")"),0.0)</f>
        <v>0</v>
      </c>
      <c r="F47" s="9">
        <f>IFERROR(__xludf.DUMMYFUNCTION("COUNTIF(ARRAYFORMULA(HLOOKUP($B47, IMPORTRANGE('Prelim Rankings Unsorted'!$B$40, CONCAT(VLOOKUP($C47, 'Match Names'!$A$1:$D$22, 2, FALSE), ""!C3:R29"")), {3;8;14;20}, FALSE)), ""=0"") + COUNTIF(ARRAYFORMULA(HLOOKUP($B47, IMPORTRANGE('Prelim Rankings Unsor"&amp;"ted'!$B$41, CONCAT(VLOOKUP($C47, 'Match Names'!$A$1:$D$22, 3, FALSE), ""!C3:R29"")), {4;10;16;22}, FALSE)), ""=0"") + COUNTIF(ARRAYFORMULA(HLOOKUP($B47, IMPORTRANGE('Prelim Rankings Unsorted'!$B$42, CONCAT(VLOOKUP($C47, 'Match Names'!$A$1:$D$22, 4, FALSE)"&amp;", ""!C3:R29"")), {2;8;14;20}, FALSE)), ""=0"") + COUNTIF(ARRAYFORMULA(HLOOKUP($B47, IMPORTRANGE('Match Names'!$E$23, CONCAT(VLOOKUP($C47, 'Match Names'!$1:$22, 5, FALSE), ""!C3:R29"")), {3;7;18;23}, FALSE)), ""=0"") + COUNTIF(ARRAYFORMULA(HLOOKUP($B47, IM"&amp;"PORTRANGE('Match Names'!$F$23, CONCAT(VLOOKUP($C47, 'Match Names'!$1:$22, 6, FALSE), ""!C3:R29"")), {6;12;18;24}, FALSE)), ""=0"") + COUNTIF(ARRAYFORMULA(HLOOKUP($B47, IMPORTRANGE('Match Names'!$G$23, CONCAT(VLOOKUP($C47, 'Match Names'!$1:$22, 7, FALSE), "&amp;"""!C3:R29"")), {2;7;17;21}, FALSE)), ""=0"") + COUNTIF(ARRAYFORMULA(HLOOKUP($B47, IMPORTRANGE('Match Names'!$H$23, CONCAT(VLOOKUP($C47, 'Match Names'!$1:$22, 8, FALSE), ""!C3:R29"")), {4;10;16;22}, FALSE)), ""=0"")"),1.0)</f>
        <v>1</v>
      </c>
      <c r="G47" s="9">
        <f>IFERROR(__xludf.DUMMYFUNCTION("COUNTIF(ARRAYFORMULA(HLOOKUP($B47, IMPORTRANGE('Prelim Rankings Unsorted'!$B$40, CONCAT(VLOOKUP($C47, 'Match Names'!$A$1:$D$22, 2, FALSE), ""!C3:R29"")), {3;8;14;20}, FALSE)), ""=-4"") + COUNTIF(ARRAYFORMULA(HLOOKUP($B47, IMPORTRANGE('Prelim Rankings Unso"&amp;"rted'!$B$41, CONCAT(VLOOKUP($C47, 'Match Names'!$A$1:$D$22, 3, FALSE), ""!C3:R29"")), {4;10;16;22}, FALSE)), ""=-4"") + COUNTIF(ARRAYFORMULA(HLOOKUP($B47, IMPORTRANGE('Prelim Rankings Unsorted'!$B$42, CONCAT(VLOOKUP($C47, 'Match Names'!$A$1:$D$22, 4, FALS"&amp;"E), ""!C3:R29"")), {2;8;14;20}, FALSE)), ""=-4"") + COUNTIF(ARRAYFORMULA(HLOOKUP($B47, IMPORTRANGE('Match Names'!$E$23, CONCAT(VLOOKUP($C47, 'Match Names'!$1:$22, 5, FALSE), ""!C3:R29"")), {3;7;18;23}, FALSE)), ""=-4"") + COUNTIF(ARRAYFORMULA(HLOOKUP($B47"&amp;", IMPORTRANGE('Match Names'!$F$23, CONCAT(VLOOKUP($C47, 'Match Names'!$1:$22, 6, FALSE), ""!C3:R29"")), {6;12;18;24}, FALSE)), ""=-4"") + COUNTIF(ARRAYFORMULA(HLOOKUP($B47, IMPORTRANGE('Match Names'!$G$23, CONCAT(VLOOKUP($C47, 'Match Names'!$1:$22, 7, FAL"&amp;"SE), ""!C3:R29"")), {2;7;17;21}, FALSE)), ""=-4"") + COUNTIF(ARRAYFORMULA(HLOOKUP($B47, IMPORTRANGE('Match Names'!$H$23, CONCAT(VLOOKUP($C47, 'Match Names'!$1:$22, 8, FALSE), ""!C3:R29"")), {4;10;16;22}, FALSE)), ""=-4"")"),0.0)</f>
        <v>0</v>
      </c>
      <c r="H47" s="39">
        <f t="shared" si="1"/>
        <v>0</v>
      </c>
    </row>
    <row r="48">
      <c r="A48" s="38" t="s">
        <v>41</v>
      </c>
      <c r="B48" s="38" t="str">
        <f>VLOOKUP(CONCAT(A48, C48), 'Discord Username to Real Name'!C:D, 2, FALSE)</f>
        <v>ClownFrogg𓆏#3571</v>
      </c>
      <c r="C48" s="38" t="s">
        <v>14</v>
      </c>
      <c r="D48" s="9">
        <f>IFERROR(__xludf.DUMMYFUNCTION("(4 - COUNTIF(IFERROR(ARRAYFORMULA(HLOOKUP($B48, IMPORTRANGE('Prelim Rankings Unsorted'!$B$40, CONCAT(VLOOKUP($C48, 'Match Names'!$A$1:$D$22, 2, FALSE), ""!C3:R29"")), {3;8;14;20}, FALSE)), 'Player Overall Stats Unsorted'!$AA$9:$AA$12), ""=X"")) + (4 - COU"&amp;"NTIF(IFERROR(ARRAYFORMULA(HLOOKUP($B48, IMPORTRANGE('Prelim Rankings Unsorted'!$B$41, CONCAT(VLOOKUP($C48, 'Match Names'!$A$1:$D$22, 3, FALSE), ""!C3:R29"")), {4;10;16;22}, FALSE)), 'Player Overall Stats Unsorted'!$AA$9:$AA$12), ""=X"")) + (4 - COUNTIF(IF"&amp;"ERROR(ARRAYFORMULA(HLOOKUP($B48, IMPORTRANGE('Prelim Rankings Unsorted'!$B$42, CONCAT(VLOOKUP($C48, 'Match Names'!$A$1:$D$22, 4, FALSE), ""!C3:R29"")), {2;8;14;20}, FALSE)), 'Player Overall Stats Unsorted'!$AA$9:$AA$12), ""=X"")) + (4 - COUNTIF(IFERROR(AR"&amp;"RAYFORMULA(HLOOKUP($B48, IMPORTRANGE('Match Names'!$E$23, CONCAT(VLOOKUP($C48, 'Match Names'!$1:$22, 5, FALSE), ""!C3:R29"")), {3;7;18;23}, FALSE)), 'Player Overall Stats Unsorted'!$AA$9:$AA$12), ""=X"")) + (4 - COUNTIF(IFERROR(ARRAYFORMULA(HLOOKUP($B48, "&amp;"IMPORTRANGE('Match Names'!$F$23, CONCAT(VLOOKUP($C48, 'Match Names'!$1:$22, 6, FALSE), ""!C3:R29"")), {6;12;18;24}, FALSE)), 'Player Overall Stats Unsorted'!$AA$9:$AA$12), ""=X"")) + (4 - COUNTIF(IFERROR(ARRAYFORMULA(HLOOKUP($B48, IMPORTRANGE('Match Names"&amp;"'!$G$23, CONCAT(VLOOKUP($C48, 'Match Names'!$1:$22, 7, FALSE), ""!C3:R29"")), {2;7;17;21}, FALSE)), 'Player Overall Stats Unsorted'!$AA$9:$AA$12), ""=X"")) + (4 - COUNTIF(IFERROR(ARRAYFORMULA(HLOOKUP($B48, IMPORTRANGE('Match Names'!$H$23, CONCAT(VLOOKUP($"&amp;"C48, 'Match Names'!$1:$22, 8, FALSE), ""!C3:R29"")), {4;10;16;22}, FALSE)), 'Player Overall Stats Unsorted'!$AA$9:$AA$12), ""=X""))"),24.0)</f>
        <v>24</v>
      </c>
      <c r="E48" s="9">
        <f>IFERROR(__xludf.DUMMYFUNCTION("COUNTIF(ARRAYFORMULA(HLOOKUP($B48, IMPORTRANGE('Prelim Rankings Unsorted'!$B$40, CONCAT(VLOOKUP($C48, 'Match Names'!$A$1:$D$22, 2, FALSE), ""!C3:R29"")), {3;8;14;20}, FALSE)), ""=4"") + COUNTIF(ARRAYFORMULA(HLOOKUP($B48, IMPORTRANGE('Prelim Rankings Unsor"&amp;"ted'!$B$41, CONCAT(VLOOKUP($C48, 'Match Names'!$A$1:$D$22, 3, FALSE), ""!C3:R29"")), {4;10;16;22}, FALSE)), ""=4"") + COUNTIF(ARRAYFORMULA(HLOOKUP($B48, IMPORTRANGE('Prelim Rankings Unsorted'!$B$42, CONCAT(VLOOKUP($C48, 'Match Names'!$A$1:$D$22, 4, FALSE)"&amp;", ""!C3:R29"")), {2;8;14;20}, FALSE)), ""=4"") + COUNTIF(ARRAYFORMULA(HLOOKUP($B48, IMPORTRANGE('Match Names'!$E$23, CONCAT(VLOOKUP($C48, 'Match Names'!$1:$22, 5, FALSE), ""!C3:R29"")), {3;7;18;23}, FALSE)), ""=4"") + COUNTIF(ARRAYFORMULA(HLOOKUP($B48, IM"&amp;"PORTRANGE('Match Names'!$F$23, CONCAT(VLOOKUP($C48, 'Match Names'!$1:$22, 6, FALSE), ""!C3:R29"")), {6;12;18;24}, FALSE)), ""=4"") + COUNTIF(ARRAYFORMULA(HLOOKUP($B48, IMPORTRANGE('Match Names'!$G$23, CONCAT(VLOOKUP($C48, 'Match Names'!$1:$22, 7, FALSE), "&amp;"""!C3:R29"")), {2;7;17;21}, FALSE)), ""=4"") + COUNTIF(ARRAYFORMULA(HLOOKUP($B48, IMPORTRANGE('Match Names'!$H$23, CONCAT(VLOOKUP($C48, 'Match Names'!$1:$22, 8, FALSE), ""!C3:R29"")), {4;10;16;22}, FALSE)), ""=4"")"),10.0)</f>
        <v>10</v>
      </c>
      <c r="F48" s="9">
        <f>IFERROR(__xludf.DUMMYFUNCTION("COUNTIF(ARRAYFORMULA(HLOOKUP($B48, IMPORTRANGE('Prelim Rankings Unsorted'!$B$40, CONCAT(VLOOKUP($C48, 'Match Names'!$A$1:$D$22, 2, FALSE), ""!C3:R29"")), {3;8;14;20}, FALSE)), ""=0"") + COUNTIF(ARRAYFORMULA(HLOOKUP($B48, IMPORTRANGE('Prelim Rankings Unsor"&amp;"ted'!$B$41, CONCAT(VLOOKUP($C48, 'Match Names'!$A$1:$D$22, 3, FALSE), ""!C3:R29"")), {4;10;16;22}, FALSE)), ""=0"") + COUNTIF(ARRAYFORMULA(HLOOKUP($B48, IMPORTRANGE('Prelim Rankings Unsorted'!$B$42, CONCAT(VLOOKUP($C48, 'Match Names'!$A$1:$D$22, 4, FALSE)"&amp;", ""!C3:R29"")), {2;8;14;20}, FALSE)), ""=0"") + COUNTIF(ARRAYFORMULA(HLOOKUP($B48, IMPORTRANGE('Match Names'!$E$23, CONCAT(VLOOKUP($C48, 'Match Names'!$1:$22, 5, FALSE), ""!C3:R29"")), {3;7;18;23}, FALSE)), ""=0"") + COUNTIF(ARRAYFORMULA(HLOOKUP($B48, IM"&amp;"PORTRANGE('Match Names'!$F$23, CONCAT(VLOOKUP($C48, 'Match Names'!$1:$22, 6, FALSE), ""!C3:R29"")), {6;12;18;24}, FALSE)), ""=0"") + COUNTIF(ARRAYFORMULA(HLOOKUP($B48, IMPORTRANGE('Match Names'!$G$23, CONCAT(VLOOKUP($C48, 'Match Names'!$1:$22, 7, FALSE), "&amp;"""!C3:R29"")), {2;7;17;21}, FALSE)), ""=0"") + COUNTIF(ARRAYFORMULA(HLOOKUP($B48, IMPORTRANGE('Match Names'!$H$23, CONCAT(VLOOKUP($C48, 'Match Names'!$1:$22, 8, FALSE), ""!C3:R29"")), {4;10;16;22}, FALSE)), ""=0"")"),9.0)</f>
        <v>9</v>
      </c>
      <c r="G48" s="9">
        <f>IFERROR(__xludf.DUMMYFUNCTION("COUNTIF(ARRAYFORMULA(HLOOKUP($B48, IMPORTRANGE('Prelim Rankings Unsorted'!$B$40, CONCAT(VLOOKUP($C48, 'Match Names'!$A$1:$D$22, 2, FALSE), ""!C3:R29"")), {3;8;14;20}, FALSE)), ""=-4"") + COUNTIF(ARRAYFORMULA(HLOOKUP($B48, IMPORTRANGE('Prelim Rankings Unso"&amp;"rted'!$B$41, CONCAT(VLOOKUP($C48, 'Match Names'!$A$1:$D$22, 3, FALSE), ""!C3:R29"")), {4;10;16;22}, FALSE)), ""=-4"") + COUNTIF(ARRAYFORMULA(HLOOKUP($B48, IMPORTRANGE('Prelim Rankings Unsorted'!$B$42, CONCAT(VLOOKUP($C48, 'Match Names'!$A$1:$D$22, 4, FALS"&amp;"E), ""!C3:R29"")), {2;8;14;20}, FALSE)), ""=-4"") + COUNTIF(ARRAYFORMULA(HLOOKUP($B48, IMPORTRANGE('Match Names'!$E$23, CONCAT(VLOOKUP($C48, 'Match Names'!$1:$22, 5, FALSE), ""!C3:R29"")), {3;7;18;23}, FALSE)), ""=-4"") + COUNTIF(ARRAYFORMULA(HLOOKUP($B48"&amp;", IMPORTRANGE('Match Names'!$F$23, CONCAT(VLOOKUP($C48, 'Match Names'!$1:$22, 6, FALSE), ""!C3:R29"")), {6;12;18;24}, FALSE)), ""=-4"") + COUNTIF(ARRAYFORMULA(HLOOKUP($B48, IMPORTRANGE('Match Names'!$G$23, CONCAT(VLOOKUP($C48, 'Match Names'!$1:$22, 7, FAL"&amp;"SE), ""!C3:R29"")), {2;7;17;21}, FALSE)), ""=-4"") + COUNTIF(ARRAYFORMULA(HLOOKUP($B48, IMPORTRANGE('Match Names'!$H$23, CONCAT(VLOOKUP($C48, 'Match Names'!$1:$22, 8, FALSE), ""!C3:R29"")), {4;10;16;22}, FALSE)), ""=-4"")"),1.0)</f>
        <v>1</v>
      </c>
      <c r="H48" s="39">
        <f t="shared" si="1"/>
        <v>6</v>
      </c>
    </row>
    <row r="49">
      <c r="A49" s="38" t="s">
        <v>56</v>
      </c>
      <c r="B49" s="38" t="str">
        <f>VLOOKUP(CONCAT(A49, C49), 'Discord Username to Real Name'!C:D, 2, FALSE)</f>
        <v>WeisPickle#1350</v>
      </c>
      <c r="C49" s="38" t="s">
        <v>14</v>
      </c>
      <c r="D49" s="9">
        <f>IFERROR(__xludf.DUMMYFUNCTION("(4 - COUNTIF(IFERROR(ARRAYFORMULA(HLOOKUP($B49, IMPORTRANGE('Prelim Rankings Unsorted'!$B$40, CONCAT(VLOOKUP($C49, 'Match Names'!$A$1:$D$22, 2, FALSE), ""!C3:R29"")), {3;8;14;20}, FALSE)), 'Player Overall Stats Unsorted'!$AA$9:$AA$12), ""=X"")) + (4 - COU"&amp;"NTIF(IFERROR(ARRAYFORMULA(HLOOKUP($B49, IMPORTRANGE('Prelim Rankings Unsorted'!$B$41, CONCAT(VLOOKUP($C49, 'Match Names'!$A$1:$D$22, 3, FALSE), ""!C3:R29"")), {4;10;16;22}, FALSE)), 'Player Overall Stats Unsorted'!$AA$9:$AA$12), ""=X"")) + (4 - COUNTIF(IF"&amp;"ERROR(ARRAYFORMULA(HLOOKUP($B49, IMPORTRANGE('Prelim Rankings Unsorted'!$B$42, CONCAT(VLOOKUP($C49, 'Match Names'!$A$1:$D$22, 4, FALSE), ""!C3:R29"")), {2;8;14;20}, FALSE)), 'Player Overall Stats Unsorted'!$AA$9:$AA$12), ""=X"")) + (4 - COUNTIF(IFERROR(AR"&amp;"RAYFORMULA(HLOOKUP($B49, IMPORTRANGE('Match Names'!$E$23, CONCAT(VLOOKUP($C49, 'Match Names'!$1:$22, 5, FALSE), ""!C3:R29"")), {3;7;18;23}, FALSE)), 'Player Overall Stats Unsorted'!$AA$9:$AA$12), ""=X"")) + (4 - COUNTIF(IFERROR(ARRAYFORMULA(HLOOKUP($B49, "&amp;"IMPORTRANGE('Match Names'!$F$23, CONCAT(VLOOKUP($C49, 'Match Names'!$1:$22, 6, FALSE), ""!C3:R29"")), {6;12;18;24}, FALSE)), 'Player Overall Stats Unsorted'!$AA$9:$AA$12), ""=X"")) + (4 - COUNTIF(IFERROR(ARRAYFORMULA(HLOOKUP($B49, IMPORTRANGE('Match Names"&amp;"'!$G$23, CONCAT(VLOOKUP($C49, 'Match Names'!$1:$22, 7, FALSE), ""!C3:R29"")), {2;7;17;21}, FALSE)), 'Player Overall Stats Unsorted'!$AA$9:$AA$12), ""=X"")) + (4 - COUNTIF(IFERROR(ARRAYFORMULA(HLOOKUP($B49, IMPORTRANGE('Match Names'!$H$23, CONCAT(VLOOKUP($"&amp;"C49, 'Match Names'!$1:$22, 8, FALSE), ""!C3:R29"")), {4;10;16;22}, FALSE)), 'Player Overall Stats Unsorted'!$AA$9:$AA$12), ""=X""))"),24.0)</f>
        <v>24</v>
      </c>
      <c r="E49" s="9">
        <f>IFERROR(__xludf.DUMMYFUNCTION("COUNTIF(ARRAYFORMULA(HLOOKUP($B49, IMPORTRANGE('Prelim Rankings Unsorted'!$B$40, CONCAT(VLOOKUP($C49, 'Match Names'!$A$1:$D$22, 2, FALSE), ""!C3:R29"")), {3;8;14;20}, FALSE)), ""=4"") + COUNTIF(ARRAYFORMULA(HLOOKUP($B49, IMPORTRANGE('Prelim Rankings Unsor"&amp;"ted'!$B$41, CONCAT(VLOOKUP($C49, 'Match Names'!$A$1:$D$22, 3, FALSE), ""!C3:R29"")), {4;10;16;22}, FALSE)), ""=4"") + COUNTIF(ARRAYFORMULA(HLOOKUP($B49, IMPORTRANGE('Prelim Rankings Unsorted'!$B$42, CONCAT(VLOOKUP($C49, 'Match Names'!$A$1:$D$22, 4, FALSE)"&amp;", ""!C3:R29"")), {2;8;14;20}, FALSE)), ""=4"") + COUNTIF(ARRAYFORMULA(HLOOKUP($B49, IMPORTRANGE('Match Names'!$E$23, CONCAT(VLOOKUP($C49, 'Match Names'!$1:$22, 5, FALSE), ""!C3:R29"")), {3;7;18;23}, FALSE)), ""=4"") + COUNTIF(ARRAYFORMULA(HLOOKUP($B49, IM"&amp;"PORTRANGE('Match Names'!$F$23, CONCAT(VLOOKUP($C49, 'Match Names'!$1:$22, 6, FALSE), ""!C3:R29"")), {6;12;18;24}, FALSE)), ""=4"") + COUNTIF(ARRAYFORMULA(HLOOKUP($B49, IMPORTRANGE('Match Names'!$G$23, CONCAT(VLOOKUP($C49, 'Match Names'!$1:$22, 7, FALSE), "&amp;"""!C3:R29"")), {2;7;17;21}, FALSE)), ""=4"") + COUNTIF(ARRAYFORMULA(HLOOKUP($B49, IMPORTRANGE('Match Names'!$H$23, CONCAT(VLOOKUP($C49, 'Match Names'!$1:$22, 8, FALSE), ""!C3:R29"")), {4;10;16;22}, FALSE)), ""=4"")"),0.0)</f>
        <v>0</v>
      </c>
      <c r="F49" s="9">
        <f>IFERROR(__xludf.DUMMYFUNCTION("COUNTIF(ARRAYFORMULA(HLOOKUP($B49, IMPORTRANGE('Prelim Rankings Unsorted'!$B$40, CONCAT(VLOOKUP($C49, 'Match Names'!$A$1:$D$22, 2, FALSE), ""!C3:R29"")), {3;8;14;20}, FALSE)), ""=0"") + COUNTIF(ARRAYFORMULA(HLOOKUP($B49, IMPORTRANGE('Prelim Rankings Unsor"&amp;"ted'!$B$41, CONCAT(VLOOKUP($C49, 'Match Names'!$A$1:$D$22, 3, FALSE), ""!C3:R29"")), {4;10;16;22}, FALSE)), ""=0"") + COUNTIF(ARRAYFORMULA(HLOOKUP($B49, IMPORTRANGE('Prelim Rankings Unsorted'!$B$42, CONCAT(VLOOKUP($C49, 'Match Names'!$A$1:$D$22, 4, FALSE)"&amp;", ""!C3:R29"")), {2;8;14;20}, FALSE)), ""=0"") + COUNTIF(ARRAYFORMULA(HLOOKUP($B49, IMPORTRANGE('Match Names'!$E$23, CONCAT(VLOOKUP($C49, 'Match Names'!$1:$22, 5, FALSE), ""!C3:R29"")), {3;7;18;23}, FALSE)), ""=0"") + COUNTIF(ARRAYFORMULA(HLOOKUP($B49, IM"&amp;"PORTRANGE('Match Names'!$F$23, CONCAT(VLOOKUP($C49, 'Match Names'!$1:$22, 6, FALSE), ""!C3:R29"")), {6;12;18;24}, FALSE)), ""=0"") + COUNTIF(ARRAYFORMULA(HLOOKUP($B49, IMPORTRANGE('Match Names'!$G$23, CONCAT(VLOOKUP($C49, 'Match Names'!$1:$22, 7, FALSE), "&amp;"""!C3:R29"")), {2;7;17;21}, FALSE)), ""=0"") + COUNTIF(ARRAYFORMULA(HLOOKUP($B49, IMPORTRANGE('Match Names'!$H$23, CONCAT(VLOOKUP($C49, 'Match Names'!$1:$22, 8, FALSE), ""!C3:R29"")), {4;10;16;22}, FALSE)), ""=0"")"),0.0)</f>
        <v>0</v>
      </c>
      <c r="G49" s="9">
        <f>IFERROR(__xludf.DUMMYFUNCTION("COUNTIF(ARRAYFORMULA(HLOOKUP($B49, IMPORTRANGE('Prelim Rankings Unsorted'!$B$40, CONCAT(VLOOKUP($C49, 'Match Names'!$A$1:$D$22, 2, FALSE), ""!C3:R29"")), {3;8;14;20}, FALSE)), ""=-4"") + COUNTIF(ARRAYFORMULA(HLOOKUP($B49, IMPORTRANGE('Prelim Rankings Unso"&amp;"rted'!$B$41, CONCAT(VLOOKUP($C49, 'Match Names'!$A$1:$D$22, 3, FALSE), ""!C3:R29"")), {4;10;16;22}, FALSE)), ""=-4"") + COUNTIF(ARRAYFORMULA(HLOOKUP($B49, IMPORTRANGE('Prelim Rankings Unsorted'!$B$42, CONCAT(VLOOKUP($C49, 'Match Names'!$A$1:$D$22, 4, FALS"&amp;"E), ""!C3:R29"")), {2;8;14;20}, FALSE)), ""=-4"") + COUNTIF(ARRAYFORMULA(HLOOKUP($B49, IMPORTRANGE('Match Names'!$E$23, CONCAT(VLOOKUP($C49, 'Match Names'!$1:$22, 5, FALSE), ""!C3:R29"")), {3;7;18;23}, FALSE)), ""=-4"") + COUNTIF(ARRAYFORMULA(HLOOKUP($B49"&amp;", IMPORTRANGE('Match Names'!$F$23, CONCAT(VLOOKUP($C49, 'Match Names'!$1:$22, 6, FALSE), ""!C3:R29"")), {6;12;18;24}, FALSE)), ""=-4"") + COUNTIF(ARRAYFORMULA(HLOOKUP($B49, IMPORTRANGE('Match Names'!$G$23, CONCAT(VLOOKUP($C49, 'Match Names'!$1:$22, 7, FAL"&amp;"SE), ""!C3:R29"")), {2;7;17;21}, FALSE)), ""=-4"") + COUNTIF(ARRAYFORMULA(HLOOKUP($B49, IMPORTRANGE('Match Names'!$H$23, CONCAT(VLOOKUP($C49, 'Match Names'!$1:$22, 8, FALSE), ""!C3:R29"")), {4;10;16;22}, FALSE)), ""=-4"")"),0.0)</f>
        <v>0</v>
      </c>
      <c r="H49" s="39">
        <f t="shared" si="1"/>
        <v>0</v>
      </c>
    </row>
    <row r="50">
      <c r="A50" s="38" t="s">
        <v>132</v>
      </c>
      <c r="B50" s="38" t="str">
        <f>VLOOKUP(CONCAT(A50, C50), 'Discord Username to Real Name'!C:D, 2, FALSE)</f>
        <v>Endoplasmic Rayticulum#6706</v>
      </c>
      <c r="C50" s="38" t="s">
        <v>14</v>
      </c>
      <c r="D50" s="9">
        <f>IFERROR(__xludf.DUMMYFUNCTION("(4 - COUNTIF(IFERROR(ARRAYFORMULA(HLOOKUP($B50, IMPORTRANGE('Prelim Rankings Unsorted'!$B$40, CONCAT(VLOOKUP($C50, 'Match Names'!$A$1:$D$22, 2, FALSE), ""!C3:R29"")), {3;8;14;20}, FALSE)), 'Player Overall Stats Unsorted'!$AA$9:$AA$12), ""=X"")) + (4 - COU"&amp;"NTIF(IFERROR(ARRAYFORMULA(HLOOKUP($B50, IMPORTRANGE('Prelim Rankings Unsorted'!$B$41, CONCAT(VLOOKUP($C50, 'Match Names'!$A$1:$D$22, 3, FALSE), ""!C3:R29"")), {4;10;16;22}, FALSE)), 'Player Overall Stats Unsorted'!$AA$9:$AA$12), ""=X"")) + (4 - COUNTIF(IF"&amp;"ERROR(ARRAYFORMULA(HLOOKUP($B50, IMPORTRANGE('Prelim Rankings Unsorted'!$B$42, CONCAT(VLOOKUP($C50, 'Match Names'!$A$1:$D$22, 4, FALSE), ""!C3:R29"")), {2;8;14;20}, FALSE)), 'Player Overall Stats Unsorted'!$AA$9:$AA$12), ""=X"")) + (4 - COUNTIF(IFERROR(AR"&amp;"RAYFORMULA(HLOOKUP($B50, IMPORTRANGE('Match Names'!$E$23, CONCAT(VLOOKUP($C50, 'Match Names'!$1:$22, 5, FALSE), ""!C3:R29"")), {3;7;18;23}, FALSE)), 'Player Overall Stats Unsorted'!$AA$9:$AA$12), ""=X"")) + (4 - COUNTIF(IFERROR(ARRAYFORMULA(HLOOKUP($B50, "&amp;"IMPORTRANGE('Match Names'!$F$23, CONCAT(VLOOKUP($C50, 'Match Names'!$1:$22, 6, FALSE), ""!C3:R29"")), {6;12;18;24}, FALSE)), 'Player Overall Stats Unsorted'!$AA$9:$AA$12), ""=X"")) + (4 - COUNTIF(IFERROR(ARRAYFORMULA(HLOOKUP($B50, IMPORTRANGE('Match Names"&amp;"'!$G$23, CONCAT(VLOOKUP($C50, 'Match Names'!$1:$22, 7, FALSE), ""!C3:R29"")), {2;7;17;21}, FALSE)), 'Player Overall Stats Unsorted'!$AA$9:$AA$12), ""=X"")) + (4 - COUNTIF(IFERROR(ARRAYFORMULA(HLOOKUP($B50, IMPORTRANGE('Match Names'!$H$23, CONCAT(VLOOKUP($"&amp;"C50, 'Match Names'!$1:$22, 8, FALSE), ""!C3:R29"")), {4;10;16;22}, FALSE)), 'Player Overall Stats Unsorted'!$AA$9:$AA$12), ""=X""))"),24.0)</f>
        <v>24</v>
      </c>
      <c r="E50" s="9">
        <f>IFERROR(__xludf.DUMMYFUNCTION("COUNTIF(ARRAYFORMULA(HLOOKUP($B50, IMPORTRANGE('Prelim Rankings Unsorted'!$B$40, CONCAT(VLOOKUP($C50, 'Match Names'!$A$1:$D$22, 2, FALSE), ""!C3:R29"")), {3;8;14;20}, FALSE)), ""=4"") + COUNTIF(ARRAYFORMULA(HLOOKUP($B50, IMPORTRANGE('Prelim Rankings Unsor"&amp;"ted'!$B$41, CONCAT(VLOOKUP($C50, 'Match Names'!$A$1:$D$22, 3, FALSE), ""!C3:R29"")), {4;10;16;22}, FALSE)), ""=4"") + COUNTIF(ARRAYFORMULA(HLOOKUP($B50, IMPORTRANGE('Prelim Rankings Unsorted'!$B$42, CONCAT(VLOOKUP($C50, 'Match Names'!$A$1:$D$22, 4, FALSE)"&amp;", ""!C3:R29"")), {2;8;14;20}, FALSE)), ""=4"") + COUNTIF(ARRAYFORMULA(HLOOKUP($B50, IMPORTRANGE('Match Names'!$E$23, CONCAT(VLOOKUP($C50, 'Match Names'!$1:$22, 5, FALSE), ""!C3:R29"")), {3;7;18;23}, FALSE)), ""=4"") + COUNTIF(ARRAYFORMULA(HLOOKUP($B50, IM"&amp;"PORTRANGE('Match Names'!$F$23, CONCAT(VLOOKUP($C50, 'Match Names'!$1:$22, 6, FALSE), ""!C3:R29"")), {6;12;18;24}, FALSE)), ""=4"") + COUNTIF(ARRAYFORMULA(HLOOKUP($B50, IMPORTRANGE('Match Names'!$G$23, CONCAT(VLOOKUP($C50, 'Match Names'!$1:$22, 7, FALSE), "&amp;"""!C3:R29"")), {2;7;17;21}, FALSE)), ""=4"") + COUNTIF(ARRAYFORMULA(HLOOKUP($B50, IMPORTRANGE('Match Names'!$H$23, CONCAT(VLOOKUP($C50, 'Match Names'!$1:$22, 8, FALSE), ""!C3:R29"")), {4;10;16;22}, FALSE)), ""=4"")"),1.0)</f>
        <v>1</v>
      </c>
      <c r="F50" s="9">
        <f>IFERROR(__xludf.DUMMYFUNCTION("COUNTIF(ARRAYFORMULA(HLOOKUP($B50, IMPORTRANGE('Prelim Rankings Unsorted'!$B$40, CONCAT(VLOOKUP($C50, 'Match Names'!$A$1:$D$22, 2, FALSE), ""!C3:R29"")), {3;8;14;20}, FALSE)), ""=0"") + COUNTIF(ARRAYFORMULA(HLOOKUP($B50, IMPORTRANGE('Prelim Rankings Unsor"&amp;"ted'!$B$41, CONCAT(VLOOKUP($C50, 'Match Names'!$A$1:$D$22, 3, FALSE), ""!C3:R29"")), {4;10;16;22}, FALSE)), ""=0"") + COUNTIF(ARRAYFORMULA(HLOOKUP($B50, IMPORTRANGE('Prelim Rankings Unsorted'!$B$42, CONCAT(VLOOKUP($C50, 'Match Names'!$A$1:$D$22, 4, FALSE)"&amp;", ""!C3:R29"")), {2;8;14;20}, FALSE)), ""=0"") + COUNTIF(ARRAYFORMULA(HLOOKUP($B50, IMPORTRANGE('Match Names'!$E$23, CONCAT(VLOOKUP($C50, 'Match Names'!$1:$22, 5, FALSE), ""!C3:R29"")), {3;7;18;23}, FALSE)), ""=0"") + COUNTIF(ARRAYFORMULA(HLOOKUP($B50, IM"&amp;"PORTRANGE('Match Names'!$F$23, CONCAT(VLOOKUP($C50, 'Match Names'!$1:$22, 6, FALSE), ""!C3:R29"")), {6;12;18;24}, FALSE)), ""=0"") + COUNTIF(ARRAYFORMULA(HLOOKUP($B50, IMPORTRANGE('Match Names'!$G$23, CONCAT(VLOOKUP($C50, 'Match Names'!$1:$22, 7, FALSE), "&amp;"""!C3:R29"")), {2;7;17;21}, FALSE)), ""=0"") + COUNTIF(ARRAYFORMULA(HLOOKUP($B50, IMPORTRANGE('Match Names'!$H$23, CONCAT(VLOOKUP($C50, 'Match Names'!$1:$22, 8, FALSE), ""!C3:R29"")), {4;10;16;22}, FALSE)), ""=0"")"),0.0)</f>
        <v>0</v>
      </c>
      <c r="G50" s="9">
        <f>IFERROR(__xludf.DUMMYFUNCTION("COUNTIF(ARRAYFORMULA(HLOOKUP($B50, IMPORTRANGE('Prelim Rankings Unsorted'!$B$40, CONCAT(VLOOKUP($C50, 'Match Names'!$A$1:$D$22, 2, FALSE), ""!C3:R29"")), {3;8;14;20}, FALSE)), ""=-4"") + COUNTIF(ARRAYFORMULA(HLOOKUP($B50, IMPORTRANGE('Prelim Rankings Unso"&amp;"rted'!$B$41, CONCAT(VLOOKUP($C50, 'Match Names'!$A$1:$D$22, 3, FALSE), ""!C3:R29"")), {4;10;16;22}, FALSE)), ""=-4"") + COUNTIF(ARRAYFORMULA(HLOOKUP($B50, IMPORTRANGE('Prelim Rankings Unsorted'!$B$42, CONCAT(VLOOKUP($C50, 'Match Names'!$A$1:$D$22, 4, FALS"&amp;"E), ""!C3:R29"")), {2;8;14;20}, FALSE)), ""=-4"") + COUNTIF(ARRAYFORMULA(HLOOKUP($B50, IMPORTRANGE('Match Names'!$E$23, CONCAT(VLOOKUP($C50, 'Match Names'!$1:$22, 5, FALSE), ""!C3:R29"")), {3;7;18;23}, FALSE)), ""=-4"") + COUNTIF(ARRAYFORMULA(HLOOKUP($B50"&amp;", IMPORTRANGE('Match Names'!$F$23, CONCAT(VLOOKUP($C50, 'Match Names'!$1:$22, 6, FALSE), ""!C3:R29"")), {6;12;18;24}, FALSE)), ""=-4"") + COUNTIF(ARRAYFORMULA(HLOOKUP($B50, IMPORTRANGE('Match Names'!$G$23, CONCAT(VLOOKUP($C50, 'Match Names'!$1:$22, 7, FAL"&amp;"SE), ""!C3:R29"")), {2;7;17;21}, FALSE)), ""=-4"") + COUNTIF(ARRAYFORMULA(HLOOKUP($B50, IMPORTRANGE('Match Names'!$H$23, CONCAT(VLOOKUP($C50, 'Match Names'!$1:$22, 8, FALSE), ""!C3:R29"")), {4;10;16;22}, FALSE)), ""=-4"")"),0.0)</f>
        <v>0</v>
      </c>
      <c r="H50" s="39">
        <f t="shared" si="1"/>
        <v>0.67</v>
      </c>
    </row>
    <row r="51">
      <c r="A51" s="38" t="s">
        <v>119</v>
      </c>
      <c r="B51" s="38" t="str">
        <f>VLOOKUP(CONCAT(A51, C51), 'Discord Username to Real Name'!C:D, 2, FALSE)</f>
        <v>saltwater#3722</v>
      </c>
      <c r="C51" s="38" t="s">
        <v>14</v>
      </c>
      <c r="D51" s="9">
        <f>IFERROR(__xludf.DUMMYFUNCTION("(4 - COUNTIF(IFERROR(ARRAYFORMULA(HLOOKUP($B51, IMPORTRANGE('Prelim Rankings Unsorted'!$B$40, CONCAT(VLOOKUP($C51, 'Match Names'!$A$1:$D$22, 2, FALSE), ""!C3:R29"")), {3;8;14;20}, FALSE)), 'Player Overall Stats Unsorted'!$AA$9:$AA$12), ""=X"")) + (4 - COU"&amp;"NTIF(IFERROR(ARRAYFORMULA(HLOOKUP($B51, IMPORTRANGE('Prelim Rankings Unsorted'!$B$41, CONCAT(VLOOKUP($C51, 'Match Names'!$A$1:$D$22, 3, FALSE), ""!C3:R29"")), {4;10;16;22}, FALSE)), 'Player Overall Stats Unsorted'!$AA$9:$AA$12), ""=X"")) + (4 - COUNTIF(IF"&amp;"ERROR(ARRAYFORMULA(HLOOKUP($B51, IMPORTRANGE('Prelim Rankings Unsorted'!$B$42, CONCAT(VLOOKUP($C51, 'Match Names'!$A$1:$D$22, 4, FALSE), ""!C3:R29"")), {2;8;14;20}, FALSE)), 'Player Overall Stats Unsorted'!$AA$9:$AA$12), ""=X"")) + (4 - COUNTIF(IFERROR(AR"&amp;"RAYFORMULA(HLOOKUP($B51, IMPORTRANGE('Match Names'!$E$23, CONCAT(VLOOKUP($C51, 'Match Names'!$1:$22, 5, FALSE), ""!C3:R29"")), {3;7;18;23}, FALSE)), 'Player Overall Stats Unsorted'!$AA$9:$AA$12), ""=X"")) + (4 - COUNTIF(IFERROR(ARRAYFORMULA(HLOOKUP($B51, "&amp;"IMPORTRANGE('Match Names'!$F$23, CONCAT(VLOOKUP($C51, 'Match Names'!$1:$22, 6, FALSE), ""!C3:R29"")), {6;12;18;24}, FALSE)), 'Player Overall Stats Unsorted'!$AA$9:$AA$12), ""=X"")) + (4 - COUNTIF(IFERROR(ARRAYFORMULA(HLOOKUP($B51, IMPORTRANGE('Match Names"&amp;"'!$G$23, CONCAT(VLOOKUP($C51, 'Match Names'!$1:$22, 7, FALSE), ""!C3:R29"")), {2;7;17;21}, FALSE)), 'Player Overall Stats Unsorted'!$AA$9:$AA$12), ""=X"")) + (4 - COUNTIF(IFERROR(ARRAYFORMULA(HLOOKUP($B51, IMPORTRANGE('Match Names'!$H$23, CONCAT(VLOOKUP($"&amp;"C51, 'Match Names'!$1:$22, 8, FALSE), ""!C3:R29"")), {4;10;16;22}, FALSE)), 'Player Overall Stats Unsorted'!$AA$9:$AA$12), ""=X""))"),10.0)</f>
        <v>10</v>
      </c>
      <c r="E51" s="9">
        <f>IFERROR(__xludf.DUMMYFUNCTION("COUNTIF(ARRAYFORMULA(HLOOKUP($B51, IMPORTRANGE('Prelim Rankings Unsorted'!$B$40, CONCAT(VLOOKUP($C51, 'Match Names'!$A$1:$D$22, 2, FALSE), ""!C3:R29"")), {3;8;14;20}, FALSE)), ""=4"") + COUNTIF(ARRAYFORMULA(HLOOKUP($B51, IMPORTRANGE('Prelim Rankings Unsor"&amp;"ted'!$B$41, CONCAT(VLOOKUP($C51, 'Match Names'!$A$1:$D$22, 3, FALSE), ""!C3:R29"")), {4;10;16;22}, FALSE)), ""=4"") + COUNTIF(ARRAYFORMULA(HLOOKUP($B51, IMPORTRANGE('Prelim Rankings Unsorted'!$B$42, CONCAT(VLOOKUP($C51, 'Match Names'!$A$1:$D$22, 4, FALSE)"&amp;", ""!C3:R29"")), {2;8;14;20}, FALSE)), ""=4"") + COUNTIF(ARRAYFORMULA(HLOOKUP($B51, IMPORTRANGE('Match Names'!$E$23, CONCAT(VLOOKUP($C51, 'Match Names'!$1:$22, 5, FALSE), ""!C3:R29"")), {3;7;18;23}, FALSE)), ""=4"") + COUNTIF(ARRAYFORMULA(HLOOKUP($B51, IM"&amp;"PORTRANGE('Match Names'!$F$23, CONCAT(VLOOKUP($C51, 'Match Names'!$1:$22, 6, FALSE), ""!C3:R29"")), {6;12;18;24}, FALSE)), ""=4"") + COUNTIF(ARRAYFORMULA(HLOOKUP($B51, IMPORTRANGE('Match Names'!$G$23, CONCAT(VLOOKUP($C51, 'Match Names'!$1:$22, 7, FALSE), "&amp;"""!C3:R29"")), {2;7;17;21}, FALSE)), ""=4"") + COUNTIF(ARRAYFORMULA(HLOOKUP($B51, IMPORTRANGE('Match Names'!$H$23, CONCAT(VLOOKUP($C51, 'Match Names'!$1:$22, 8, FALSE), ""!C3:R29"")), {4;10;16;22}, FALSE)), ""=4"")"),0.0)</f>
        <v>0</v>
      </c>
      <c r="F51" s="9">
        <f>IFERROR(__xludf.DUMMYFUNCTION("COUNTIF(ARRAYFORMULA(HLOOKUP($B51, IMPORTRANGE('Prelim Rankings Unsorted'!$B$40, CONCAT(VLOOKUP($C51, 'Match Names'!$A$1:$D$22, 2, FALSE), ""!C3:R29"")), {3;8;14;20}, FALSE)), ""=0"") + COUNTIF(ARRAYFORMULA(HLOOKUP($B51, IMPORTRANGE('Prelim Rankings Unsor"&amp;"ted'!$B$41, CONCAT(VLOOKUP($C51, 'Match Names'!$A$1:$D$22, 3, FALSE), ""!C3:R29"")), {4;10;16;22}, FALSE)), ""=0"") + COUNTIF(ARRAYFORMULA(HLOOKUP($B51, IMPORTRANGE('Prelim Rankings Unsorted'!$B$42, CONCAT(VLOOKUP($C51, 'Match Names'!$A$1:$D$22, 4, FALSE)"&amp;", ""!C3:R29"")), {2;8;14;20}, FALSE)), ""=0"") + COUNTIF(ARRAYFORMULA(HLOOKUP($B51, IMPORTRANGE('Match Names'!$E$23, CONCAT(VLOOKUP($C51, 'Match Names'!$1:$22, 5, FALSE), ""!C3:R29"")), {3;7;18;23}, FALSE)), ""=0"") + COUNTIF(ARRAYFORMULA(HLOOKUP($B51, IM"&amp;"PORTRANGE('Match Names'!$F$23, CONCAT(VLOOKUP($C51, 'Match Names'!$1:$22, 6, FALSE), ""!C3:R29"")), {6;12;18;24}, FALSE)), ""=0"") + COUNTIF(ARRAYFORMULA(HLOOKUP($B51, IMPORTRANGE('Match Names'!$G$23, CONCAT(VLOOKUP($C51, 'Match Names'!$1:$22, 7, FALSE), "&amp;"""!C3:R29"")), {2;7;17;21}, FALSE)), ""=0"") + COUNTIF(ARRAYFORMULA(HLOOKUP($B51, IMPORTRANGE('Match Names'!$H$23, CONCAT(VLOOKUP($C51, 'Match Names'!$1:$22, 8, FALSE), ""!C3:R29"")), {4;10;16;22}, FALSE)), ""=0"")"),0.0)</f>
        <v>0</v>
      </c>
      <c r="G51" s="9">
        <f>IFERROR(__xludf.DUMMYFUNCTION("COUNTIF(ARRAYFORMULA(HLOOKUP($B51, IMPORTRANGE('Prelim Rankings Unsorted'!$B$40, CONCAT(VLOOKUP($C51, 'Match Names'!$A$1:$D$22, 2, FALSE), ""!C3:R29"")), {3;8;14;20}, FALSE)), ""=-4"") + COUNTIF(ARRAYFORMULA(HLOOKUP($B51, IMPORTRANGE('Prelim Rankings Unso"&amp;"rted'!$B$41, CONCAT(VLOOKUP($C51, 'Match Names'!$A$1:$D$22, 3, FALSE), ""!C3:R29"")), {4;10;16;22}, FALSE)), ""=-4"") + COUNTIF(ARRAYFORMULA(HLOOKUP($B51, IMPORTRANGE('Prelim Rankings Unsorted'!$B$42, CONCAT(VLOOKUP($C51, 'Match Names'!$A$1:$D$22, 4, FALS"&amp;"E), ""!C3:R29"")), {2;8;14;20}, FALSE)), ""=-4"") + COUNTIF(ARRAYFORMULA(HLOOKUP($B51, IMPORTRANGE('Match Names'!$E$23, CONCAT(VLOOKUP($C51, 'Match Names'!$1:$22, 5, FALSE), ""!C3:R29"")), {3;7;18;23}, FALSE)), ""=-4"") + COUNTIF(ARRAYFORMULA(HLOOKUP($B51"&amp;", IMPORTRANGE('Match Names'!$F$23, CONCAT(VLOOKUP($C51, 'Match Names'!$1:$22, 6, FALSE), ""!C3:R29"")), {6;12;18;24}, FALSE)), ""=-4"") + COUNTIF(ARRAYFORMULA(HLOOKUP($B51, IMPORTRANGE('Match Names'!$G$23, CONCAT(VLOOKUP($C51, 'Match Names'!$1:$22, 7, FAL"&amp;"SE), ""!C3:R29"")), {2;7;17;21}, FALSE)), ""=-4"") + COUNTIF(ARRAYFORMULA(HLOOKUP($B51, IMPORTRANGE('Match Names'!$H$23, CONCAT(VLOOKUP($C51, 'Match Names'!$1:$22, 8, FALSE), ""!C3:R29"")), {4;10;16;22}, FALSE)), ""=-4"")"),0.0)</f>
        <v>0</v>
      </c>
      <c r="H51" s="39">
        <f t="shared" si="1"/>
        <v>0</v>
      </c>
    </row>
    <row r="52">
      <c r="A52" s="38" t="s">
        <v>67</v>
      </c>
      <c r="B52" s="38" t="str">
        <f>VLOOKUP(CONCAT(A52, C52), 'Discord Username to Real Name'!C:D, 2, FALSE)</f>
        <v>dannyridel#2256</v>
      </c>
      <c r="C52" s="38" t="s">
        <v>29</v>
      </c>
      <c r="D52" s="9">
        <f>IFERROR(__xludf.DUMMYFUNCTION("(4 - COUNTIF(IFERROR(ARRAYFORMULA(HLOOKUP($B52, IMPORTRANGE('Prelim Rankings Unsorted'!$B$40, CONCAT(VLOOKUP($C52, 'Match Names'!$A$1:$D$22, 2, FALSE), ""!C3:R29"")), {3;8;14;20}, FALSE)), 'Player Overall Stats Unsorted'!$AA$9:$AA$12), ""=X"")) + (4 - COU"&amp;"NTIF(IFERROR(ARRAYFORMULA(HLOOKUP($B52, IMPORTRANGE('Prelim Rankings Unsorted'!$B$41, CONCAT(VLOOKUP($C52, 'Match Names'!$A$1:$D$22, 3, FALSE), ""!C3:R29"")), {4;10;16;22}, FALSE)), 'Player Overall Stats Unsorted'!$AA$9:$AA$12), ""=X"")) + (4 - COUNTIF(IF"&amp;"ERROR(ARRAYFORMULA(HLOOKUP($B52, IMPORTRANGE('Prelim Rankings Unsorted'!$B$42, CONCAT(VLOOKUP($C52, 'Match Names'!$A$1:$D$22, 4, FALSE), ""!C3:R29"")), {2;8;14;20}, FALSE)), 'Player Overall Stats Unsorted'!$AA$9:$AA$12), ""=X"")) + (4 - COUNTIF(IFERROR(AR"&amp;"RAYFORMULA(HLOOKUP($B52, IMPORTRANGE('Match Names'!$E$23, CONCAT(VLOOKUP($C52, 'Match Names'!$1:$22, 5, FALSE), ""!C3:R29"")), {3;7;18;23}, FALSE)), 'Player Overall Stats Unsorted'!$AA$9:$AA$12), ""=X"")) + (4 - COUNTIF(IFERROR(ARRAYFORMULA(HLOOKUP($B52, "&amp;"IMPORTRANGE('Match Names'!$F$23, CONCAT(VLOOKUP($C52, 'Match Names'!$1:$22, 6, FALSE), ""!C3:R29"")), {6;12;18;24}, FALSE)), 'Player Overall Stats Unsorted'!$AA$9:$AA$12), ""=X"")) + (4 - COUNTIF(IFERROR(ARRAYFORMULA(HLOOKUP($B52, IMPORTRANGE('Match Names"&amp;"'!$G$23, CONCAT(VLOOKUP($C52, 'Match Names'!$1:$22, 7, FALSE), ""!C3:R29"")), {2;7;17;21}, FALSE)), 'Player Overall Stats Unsorted'!$AA$9:$AA$12), ""=X"")) + (4 - COUNTIF(IFERROR(ARRAYFORMULA(HLOOKUP($B52, IMPORTRANGE('Match Names'!$H$23, CONCAT(VLOOKUP($"&amp;"C52, 'Match Names'!$1:$22, 8, FALSE), ""!C3:R29"")), {4;10;16;22}, FALSE)), 'Player Overall Stats Unsorted'!$AA$9:$AA$12), ""=X""))"),20.0)</f>
        <v>20</v>
      </c>
      <c r="E52" s="9">
        <f>IFERROR(__xludf.DUMMYFUNCTION("COUNTIF(ARRAYFORMULA(HLOOKUP($B52, IMPORTRANGE('Prelim Rankings Unsorted'!$B$40, CONCAT(VLOOKUP($C52, 'Match Names'!$A$1:$D$22, 2, FALSE), ""!C3:R29"")), {3;8;14;20}, FALSE)), ""=4"") + COUNTIF(ARRAYFORMULA(HLOOKUP($B52, IMPORTRANGE('Prelim Rankings Unsor"&amp;"ted'!$B$41, CONCAT(VLOOKUP($C52, 'Match Names'!$A$1:$D$22, 3, FALSE), ""!C3:R29"")), {4;10;16;22}, FALSE)), ""=4"") + COUNTIF(ARRAYFORMULA(HLOOKUP($B52, IMPORTRANGE('Prelim Rankings Unsorted'!$B$42, CONCAT(VLOOKUP($C52, 'Match Names'!$A$1:$D$22, 4, FALSE)"&amp;", ""!C3:R29"")), {2;8;14;20}, FALSE)), ""=4"") + COUNTIF(ARRAYFORMULA(HLOOKUP($B52, IMPORTRANGE('Match Names'!$E$23, CONCAT(VLOOKUP($C52, 'Match Names'!$1:$22, 5, FALSE), ""!C3:R29"")), {3;7;18;23}, FALSE)), ""=4"") + COUNTIF(ARRAYFORMULA(HLOOKUP($B52, IM"&amp;"PORTRANGE('Match Names'!$F$23, CONCAT(VLOOKUP($C52, 'Match Names'!$1:$22, 6, FALSE), ""!C3:R29"")), {6;12;18;24}, FALSE)), ""=4"") + COUNTIF(ARRAYFORMULA(HLOOKUP($B52, IMPORTRANGE('Match Names'!$G$23, CONCAT(VLOOKUP($C52, 'Match Names'!$1:$22, 7, FALSE), "&amp;"""!C3:R29"")), {2;7;17;21}, FALSE)), ""=4"") + COUNTIF(ARRAYFORMULA(HLOOKUP($B52, IMPORTRANGE('Match Names'!$H$23, CONCAT(VLOOKUP($C52, 'Match Names'!$1:$22, 8, FALSE), ""!C3:R29"")), {4;10;16;22}, FALSE)), ""=4"")"),3.0)</f>
        <v>3</v>
      </c>
      <c r="F52" s="9">
        <f>IFERROR(__xludf.DUMMYFUNCTION("COUNTIF(ARRAYFORMULA(HLOOKUP($B52, IMPORTRANGE('Prelim Rankings Unsorted'!$B$40, CONCAT(VLOOKUP($C52, 'Match Names'!$A$1:$D$22, 2, FALSE), ""!C3:R29"")), {3;8;14;20}, FALSE)), ""=0"") + COUNTIF(ARRAYFORMULA(HLOOKUP($B52, IMPORTRANGE('Prelim Rankings Unsor"&amp;"ted'!$B$41, CONCAT(VLOOKUP($C52, 'Match Names'!$A$1:$D$22, 3, FALSE), ""!C3:R29"")), {4;10;16;22}, FALSE)), ""=0"") + COUNTIF(ARRAYFORMULA(HLOOKUP($B52, IMPORTRANGE('Prelim Rankings Unsorted'!$B$42, CONCAT(VLOOKUP($C52, 'Match Names'!$A$1:$D$22, 4, FALSE)"&amp;", ""!C3:R29"")), {2;8;14;20}, FALSE)), ""=0"") + COUNTIF(ARRAYFORMULA(HLOOKUP($B52, IMPORTRANGE('Match Names'!$E$23, CONCAT(VLOOKUP($C52, 'Match Names'!$1:$22, 5, FALSE), ""!C3:R29"")), {3;7;18;23}, FALSE)), ""=0"") + COUNTIF(ARRAYFORMULA(HLOOKUP($B52, IM"&amp;"PORTRANGE('Match Names'!$F$23, CONCAT(VLOOKUP($C52, 'Match Names'!$1:$22, 6, FALSE), ""!C3:R29"")), {6;12;18;24}, FALSE)), ""=0"") + COUNTIF(ARRAYFORMULA(HLOOKUP($B52, IMPORTRANGE('Match Names'!$G$23, CONCAT(VLOOKUP($C52, 'Match Names'!$1:$22, 7, FALSE), "&amp;"""!C3:R29"")), {2;7;17;21}, FALSE)), ""=0"") + COUNTIF(ARRAYFORMULA(HLOOKUP($B52, IMPORTRANGE('Match Names'!$H$23, CONCAT(VLOOKUP($C52, 'Match Names'!$1:$22, 8, FALSE), ""!C3:R29"")), {4;10;16;22}, FALSE)), ""=0"")"),7.0)</f>
        <v>7</v>
      </c>
      <c r="G52" s="9">
        <f>IFERROR(__xludf.DUMMYFUNCTION("COUNTIF(ARRAYFORMULA(HLOOKUP($B52, IMPORTRANGE('Prelim Rankings Unsorted'!$B$40, CONCAT(VLOOKUP($C52, 'Match Names'!$A$1:$D$22, 2, FALSE), ""!C3:R29"")), {3;8;14;20}, FALSE)), ""=-4"") + COUNTIF(ARRAYFORMULA(HLOOKUP($B52, IMPORTRANGE('Prelim Rankings Unso"&amp;"rted'!$B$41, CONCAT(VLOOKUP($C52, 'Match Names'!$A$1:$D$22, 3, FALSE), ""!C3:R29"")), {4;10;16;22}, FALSE)), ""=-4"") + COUNTIF(ARRAYFORMULA(HLOOKUP($B52, IMPORTRANGE('Prelim Rankings Unsorted'!$B$42, CONCAT(VLOOKUP($C52, 'Match Names'!$A$1:$D$22, 4, FALS"&amp;"E), ""!C3:R29"")), {2;8;14;20}, FALSE)), ""=-4"") + COUNTIF(ARRAYFORMULA(HLOOKUP($B52, IMPORTRANGE('Match Names'!$E$23, CONCAT(VLOOKUP($C52, 'Match Names'!$1:$22, 5, FALSE), ""!C3:R29"")), {3;7;18;23}, FALSE)), ""=-4"") + COUNTIF(ARRAYFORMULA(HLOOKUP($B52"&amp;", IMPORTRANGE('Match Names'!$F$23, CONCAT(VLOOKUP($C52, 'Match Names'!$1:$22, 6, FALSE), ""!C3:R29"")), {6;12;18;24}, FALSE)), ""=-4"") + COUNTIF(ARRAYFORMULA(HLOOKUP($B52, IMPORTRANGE('Match Names'!$G$23, CONCAT(VLOOKUP($C52, 'Match Names'!$1:$22, 7, FAL"&amp;"SE), ""!C3:R29"")), {2;7;17;21}, FALSE)), ""=-4"") + COUNTIF(ARRAYFORMULA(HLOOKUP($B52, IMPORTRANGE('Match Names'!$H$23, CONCAT(VLOOKUP($C52, 'Match Names'!$1:$22, 8, FALSE), ""!C3:R29"")), {4;10;16;22}, FALSE)), ""=-4"")"),0.0)</f>
        <v>0</v>
      </c>
      <c r="H52" s="39">
        <f t="shared" si="1"/>
        <v>2.4</v>
      </c>
    </row>
    <row r="53">
      <c r="A53" s="38" t="s">
        <v>188</v>
      </c>
      <c r="B53" s="38" t="str">
        <f>VLOOKUP(CONCAT(A53, C53), 'Discord Username to Real Name'!C:D, 2, FALSE)</f>
        <v>Allusion#0092</v>
      </c>
      <c r="C53" s="38" t="s">
        <v>29</v>
      </c>
      <c r="D53" s="9">
        <f>IFERROR(__xludf.DUMMYFUNCTION("(4 - COUNTIF(IFERROR(ARRAYFORMULA(HLOOKUP($B53, IMPORTRANGE('Prelim Rankings Unsorted'!$B$40, CONCAT(VLOOKUP($C53, 'Match Names'!$A$1:$D$22, 2, FALSE), ""!C3:R29"")), {3;8;14;20}, FALSE)), 'Player Overall Stats Unsorted'!$AA$9:$AA$12), ""=X"")) + (4 - COU"&amp;"NTIF(IFERROR(ARRAYFORMULA(HLOOKUP($B53, IMPORTRANGE('Prelim Rankings Unsorted'!$B$41, CONCAT(VLOOKUP($C53, 'Match Names'!$A$1:$D$22, 3, FALSE), ""!C3:R29"")), {4;10;16;22}, FALSE)), 'Player Overall Stats Unsorted'!$AA$9:$AA$12), ""=X"")) + (4 - COUNTIF(IF"&amp;"ERROR(ARRAYFORMULA(HLOOKUP($B53, IMPORTRANGE('Prelim Rankings Unsorted'!$B$42, CONCAT(VLOOKUP($C53, 'Match Names'!$A$1:$D$22, 4, FALSE), ""!C3:R29"")), {2;8;14;20}, FALSE)), 'Player Overall Stats Unsorted'!$AA$9:$AA$12), ""=X"")) + (4 - COUNTIF(IFERROR(AR"&amp;"RAYFORMULA(HLOOKUP($B53, IMPORTRANGE('Match Names'!$E$23, CONCAT(VLOOKUP($C53, 'Match Names'!$1:$22, 5, FALSE), ""!C3:R29"")), {3;7;18;23}, FALSE)), 'Player Overall Stats Unsorted'!$AA$9:$AA$12), ""=X"")) + (4 - COUNTIF(IFERROR(ARRAYFORMULA(HLOOKUP($B53, "&amp;"IMPORTRANGE('Match Names'!$F$23, CONCAT(VLOOKUP($C53, 'Match Names'!$1:$22, 6, FALSE), ""!C3:R29"")), {6;12;18;24}, FALSE)), 'Player Overall Stats Unsorted'!$AA$9:$AA$12), ""=X"")) + (4 - COUNTIF(IFERROR(ARRAYFORMULA(HLOOKUP($B53, IMPORTRANGE('Match Names"&amp;"'!$G$23, CONCAT(VLOOKUP($C53, 'Match Names'!$1:$22, 7, FALSE), ""!C3:R29"")), {2;7;17;21}, FALSE)), 'Player Overall Stats Unsorted'!$AA$9:$AA$12), ""=X"")) + (4 - COUNTIF(IFERROR(ARRAYFORMULA(HLOOKUP($B53, IMPORTRANGE('Match Names'!$H$23, CONCAT(VLOOKUP($"&amp;"C53, 'Match Names'!$1:$22, 8, FALSE), ""!C3:R29"")), {4;10;16;22}, FALSE)), 'Player Overall Stats Unsorted'!$AA$9:$AA$12), ""=X""))"),4.0)</f>
        <v>4</v>
      </c>
      <c r="E53" s="9">
        <f>IFERROR(__xludf.DUMMYFUNCTION("COUNTIF(ARRAYFORMULA(HLOOKUP($B53, IMPORTRANGE('Prelim Rankings Unsorted'!$B$40, CONCAT(VLOOKUP($C53, 'Match Names'!$A$1:$D$22, 2, FALSE), ""!C3:R29"")), {3;8;14;20}, FALSE)), ""=4"") + COUNTIF(ARRAYFORMULA(HLOOKUP($B53, IMPORTRANGE('Prelim Rankings Unsor"&amp;"ted'!$B$41, CONCAT(VLOOKUP($C53, 'Match Names'!$A$1:$D$22, 3, FALSE), ""!C3:R29"")), {4;10;16;22}, FALSE)), ""=4"") + COUNTIF(ARRAYFORMULA(HLOOKUP($B53, IMPORTRANGE('Prelim Rankings Unsorted'!$B$42, CONCAT(VLOOKUP($C53, 'Match Names'!$A$1:$D$22, 4, FALSE)"&amp;", ""!C3:R29"")), {2;8;14;20}, FALSE)), ""=4"") + COUNTIF(ARRAYFORMULA(HLOOKUP($B53, IMPORTRANGE('Match Names'!$E$23, CONCAT(VLOOKUP($C53, 'Match Names'!$1:$22, 5, FALSE), ""!C3:R29"")), {3;7;18;23}, FALSE)), ""=4"") + COUNTIF(ARRAYFORMULA(HLOOKUP($B53, IM"&amp;"PORTRANGE('Match Names'!$F$23, CONCAT(VLOOKUP($C53, 'Match Names'!$1:$22, 6, FALSE), ""!C3:R29"")), {6;12;18;24}, FALSE)), ""=4"") + COUNTIF(ARRAYFORMULA(HLOOKUP($B53, IMPORTRANGE('Match Names'!$G$23, CONCAT(VLOOKUP($C53, 'Match Names'!$1:$22, 7, FALSE), "&amp;"""!C3:R29"")), {2;7;17;21}, FALSE)), ""=4"") + COUNTIF(ARRAYFORMULA(HLOOKUP($B53, IMPORTRANGE('Match Names'!$H$23, CONCAT(VLOOKUP($C53, 'Match Names'!$1:$22, 8, FALSE), ""!C3:R29"")), {4;10;16;22}, FALSE)), ""=4"")"),0.0)</f>
        <v>0</v>
      </c>
      <c r="F53" s="9">
        <f>IFERROR(__xludf.DUMMYFUNCTION("COUNTIF(ARRAYFORMULA(HLOOKUP($B53, IMPORTRANGE('Prelim Rankings Unsorted'!$B$40, CONCAT(VLOOKUP($C53, 'Match Names'!$A$1:$D$22, 2, FALSE), ""!C3:R29"")), {3;8;14;20}, FALSE)), ""=0"") + COUNTIF(ARRAYFORMULA(HLOOKUP($B53, IMPORTRANGE('Prelim Rankings Unsor"&amp;"ted'!$B$41, CONCAT(VLOOKUP($C53, 'Match Names'!$A$1:$D$22, 3, FALSE), ""!C3:R29"")), {4;10;16;22}, FALSE)), ""=0"") + COUNTIF(ARRAYFORMULA(HLOOKUP($B53, IMPORTRANGE('Prelim Rankings Unsorted'!$B$42, CONCAT(VLOOKUP($C53, 'Match Names'!$A$1:$D$22, 4, FALSE)"&amp;", ""!C3:R29"")), {2;8;14;20}, FALSE)), ""=0"") + COUNTIF(ARRAYFORMULA(HLOOKUP($B53, IMPORTRANGE('Match Names'!$E$23, CONCAT(VLOOKUP($C53, 'Match Names'!$1:$22, 5, FALSE), ""!C3:R29"")), {3;7;18;23}, FALSE)), ""=0"") + COUNTIF(ARRAYFORMULA(HLOOKUP($B53, IM"&amp;"PORTRANGE('Match Names'!$F$23, CONCAT(VLOOKUP($C53, 'Match Names'!$1:$22, 6, FALSE), ""!C3:R29"")), {6;12;18;24}, FALSE)), ""=0"") + COUNTIF(ARRAYFORMULA(HLOOKUP($B53, IMPORTRANGE('Match Names'!$G$23, CONCAT(VLOOKUP($C53, 'Match Names'!$1:$22, 7, FALSE), "&amp;"""!C3:R29"")), {2;7;17;21}, FALSE)), ""=0"") + COUNTIF(ARRAYFORMULA(HLOOKUP($B53, IMPORTRANGE('Match Names'!$H$23, CONCAT(VLOOKUP($C53, 'Match Names'!$1:$22, 8, FALSE), ""!C3:R29"")), {4;10;16;22}, FALSE)), ""=0"")"),0.0)</f>
        <v>0</v>
      </c>
      <c r="G53" s="9">
        <f>IFERROR(__xludf.DUMMYFUNCTION("COUNTIF(ARRAYFORMULA(HLOOKUP($B53, IMPORTRANGE('Prelim Rankings Unsorted'!$B$40, CONCAT(VLOOKUP($C53, 'Match Names'!$A$1:$D$22, 2, FALSE), ""!C3:R29"")), {3;8;14;20}, FALSE)), ""=-4"") + COUNTIF(ARRAYFORMULA(HLOOKUP($B53, IMPORTRANGE('Prelim Rankings Unso"&amp;"rted'!$B$41, CONCAT(VLOOKUP($C53, 'Match Names'!$A$1:$D$22, 3, FALSE), ""!C3:R29"")), {4;10;16;22}, FALSE)), ""=-4"") + COUNTIF(ARRAYFORMULA(HLOOKUP($B53, IMPORTRANGE('Prelim Rankings Unsorted'!$B$42, CONCAT(VLOOKUP($C53, 'Match Names'!$A$1:$D$22, 4, FALS"&amp;"E), ""!C3:R29"")), {2;8;14;20}, FALSE)), ""=-4"") + COUNTIF(ARRAYFORMULA(HLOOKUP($B53, IMPORTRANGE('Match Names'!$E$23, CONCAT(VLOOKUP($C53, 'Match Names'!$1:$22, 5, FALSE), ""!C3:R29"")), {3;7;18;23}, FALSE)), ""=-4"") + COUNTIF(ARRAYFORMULA(HLOOKUP($B53"&amp;", IMPORTRANGE('Match Names'!$F$23, CONCAT(VLOOKUP($C53, 'Match Names'!$1:$22, 6, FALSE), ""!C3:R29"")), {6;12;18;24}, FALSE)), ""=-4"") + COUNTIF(ARRAYFORMULA(HLOOKUP($B53, IMPORTRANGE('Match Names'!$G$23, CONCAT(VLOOKUP($C53, 'Match Names'!$1:$22, 7, FAL"&amp;"SE), ""!C3:R29"")), {2;7;17;21}, FALSE)), ""=-4"") + COUNTIF(ARRAYFORMULA(HLOOKUP($B53, IMPORTRANGE('Match Names'!$H$23, CONCAT(VLOOKUP($C53, 'Match Names'!$1:$22, 8, FALSE), ""!C3:R29"")), {4;10;16;22}, FALSE)), ""=-4"")"),0.0)</f>
        <v>0</v>
      </c>
      <c r="H53" s="39">
        <f t="shared" si="1"/>
        <v>0</v>
      </c>
    </row>
    <row r="54">
      <c r="A54" s="38" t="s">
        <v>81</v>
      </c>
      <c r="B54" s="38" t="str">
        <f>VLOOKUP(CONCAT(A54, C54), 'Discord Username to Real Name'!C:D, 2, FALSE)</f>
        <v>grassisgood#9863</v>
      </c>
      <c r="C54" s="38" t="s">
        <v>29</v>
      </c>
      <c r="D54" s="9">
        <f>IFERROR(__xludf.DUMMYFUNCTION("(4 - COUNTIF(IFERROR(ARRAYFORMULA(HLOOKUP($B54, IMPORTRANGE('Prelim Rankings Unsorted'!$B$40, CONCAT(VLOOKUP($C54, 'Match Names'!$A$1:$D$22, 2, FALSE), ""!C3:R29"")), {3;8;14;20}, FALSE)), 'Player Overall Stats Unsorted'!$AA$9:$AA$12), ""=X"")) + (4 - COU"&amp;"NTIF(IFERROR(ARRAYFORMULA(HLOOKUP($B54, IMPORTRANGE('Prelim Rankings Unsorted'!$B$41, CONCAT(VLOOKUP($C54, 'Match Names'!$A$1:$D$22, 3, FALSE), ""!C3:R29"")), {4;10;16;22}, FALSE)), 'Player Overall Stats Unsorted'!$AA$9:$AA$12), ""=X"")) + (4 - COUNTIF(IF"&amp;"ERROR(ARRAYFORMULA(HLOOKUP($B54, IMPORTRANGE('Prelim Rankings Unsorted'!$B$42, CONCAT(VLOOKUP($C54, 'Match Names'!$A$1:$D$22, 4, FALSE), ""!C3:R29"")), {2;8;14;20}, FALSE)), 'Player Overall Stats Unsorted'!$AA$9:$AA$12), ""=X"")) + (4 - COUNTIF(IFERROR(AR"&amp;"RAYFORMULA(HLOOKUP($B54, IMPORTRANGE('Match Names'!$E$23, CONCAT(VLOOKUP($C54, 'Match Names'!$1:$22, 5, FALSE), ""!C3:R29"")), {3;7;18;23}, FALSE)), 'Player Overall Stats Unsorted'!$AA$9:$AA$12), ""=X"")) + (4 - COUNTIF(IFERROR(ARRAYFORMULA(HLOOKUP($B54, "&amp;"IMPORTRANGE('Match Names'!$F$23, CONCAT(VLOOKUP($C54, 'Match Names'!$1:$22, 6, FALSE), ""!C3:R29"")), {6;12;18;24}, FALSE)), 'Player Overall Stats Unsorted'!$AA$9:$AA$12), ""=X"")) + (4 - COUNTIF(IFERROR(ARRAYFORMULA(HLOOKUP($B54, IMPORTRANGE('Match Names"&amp;"'!$G$23, CONCAT(VLOOKUP($C54, 'Match Names'!$1:$22, 7, FALSE), ""!C3:R29"")), {2;7;17;21}, FALSE)), 'Player Overall Stats Unsorted'!$AA$9:$AA$12), ""=X"")) + (4 - COUNTIF(IFERROR(ARRAYFORMULA(HLOOKUP($B54, IMPORTRANGE('Match Names'!$H$23, CONCAT(VLOOKUP($"&amp;"C54, 'Match Names'!$1:$22, 8, FALSE), ""!C3:R29"")), {4;10;16;22}, FALSE)), 'Player Overall Stats Unsorted'!$AA$9:$AA$12), ""=X""))"),20.0)</f>
        <v>20</v>
      </c>
      <c r="E54" s="9">
        <f>IFERROR(__xludf.DUMMYFUNCTION("COUNTIF(ARRAYFORMULA(HLOOKUP($B54, IMPORTRANGE('Prelim Rankings Unsorted'!$B$40, CONCAT(VLOOKUP($C54, 'Match Names'!$A$1:$D$22, 2, FALSE), ""!C3:R29"")), {3;8;14;20}, FALSE)), ""=4"") + COUNTIF(ARRAYFORMULA(HLOOKUP($B54, IMPORTRANGE('Prelim Rankings Unsor"&amp;"ted'!$B$41, CONCAT(VLOOKUP($C54, 'Match Names'!$A$1:$D$22, 3, FALSE), ""!C3:R29"")), {4;10;16;22}, FALSE)), ""=4"") + COUNTIF(ARRAYFORMULA(HLOOKUP($B54, IMPORTRANGE('Prelim Rankings Unsorted'!$B$42, CONCAT(VLOOKUP($C54, 'Match Names'!$A$1:$D$22, 4, FALSE)"&amp;", ""!C3:R29"")), {2;8;14;20}, FALSE)), ""=4"") + COUNTIF(ARRAYFORMULA(HLOOKUP($B54, IMPORTRANGE('Match Names'!$E$23, CONCAT(VLOOKUP($C54, 'Match Names'!$1:$22, 5, FALSE), ""!C3:R29"")), {3;7;18;23}, FALSE)), ""=4"") + COUNTIF(ARRAYFORMULA(HLOOKUP($B54, IM"&amp;"PORTRANGE('Match Names'!$F$23, CONCAT(VLOOKUP($C54, 'Match Names'!$1:$22, 6, FALSE), ""!C3:R29"")), {6;12;18;24}, FALSE)), ""=4"") + COUNTIF(ARRAYFORMULA(HLOOKUP($B54, IMPORTRANGE('Match Names'!$G$23, CONCAT(VLOOKUP($C54, 'Match Names'!$1:$22, 7, FALSE), "&amp;"""!C3:R29"")), {2;7;17;21}, FALSE)), ""=4"") + COUNTIF(ARRAYFORMULA(HLOOKUP($B54, IMPORTRANGE('Match Names'!$H$23, CONCAT(VLOOKUP($C54, 'Match Names'!$1:$22, 8, FALSE), ""!C3:R29"")), {4;10;16;22}, FALSE)), ""=4"")"),0.0)</f>
        <v>0</v>
      </c>
      <c r="F54" s="9">
        <f>IFERROR(__xludf.DUMMYFUNCTION("COUNTIF(ARRAYFORMULA(HLOOKUP($B54, IMPORTRANGE('Prelim Rankings Unsorted'!$B$40, CONCAT(VLOOKUP($C54, 'Match Names'!$A$1:$D$22, 2, FALSE), ""!C3:R29"")), {3;8;14;20}, FALSE)), ""=0"") + COUNTIF(ARRAYFORMULA(HLOOKUP($B54, IMPORTRANGE('Prelim Rankings Unsor"&amp;"ted'!$B$41, CONCAT(VLOOKUP($C54, 'Match Names'!$A$1:$D$22, 3, FALSE), ""!C3:R29"")), {4;10;16;22}, FALSE)), ""=0"") + COUNTIF(ARRAYFORMULA(HLOOKUP($B54, IMPORTRANGE('Prelim Rankings Unsorted'!$B$42, CONCAT(VLOOKUP($C54, 'Match Names'!$A$1:$D$22, 4, FALSE)"&amp;", ""!C3:R29"")), {2;8;14;20}, FALSE)), ""=0"") + COUNTIF(ARRAYFORMULA(HLOOKUP($B54, IMPORTRANGE('Match Names'!$E$23, CONCAT(VLOOKUP($C54, 'Match Names'!$1:$22, 5, FALSE), ""!C3:R29"")), {3;7;18;23}, FALSE)), ""=0"") + COUNTIF(ARRAYFORMULA(HLOOKUP($B54, IM"&amp;"PORTRANGE('Match Names'!$F$23, CONCAT(VLOOKUP($C54, 'Match Names'!$1:$22, 6, FALSE), ""!C3:R29"")), {6;12;18;24}, FALSE)), ""=0"") + COUNTIF(ARRAYFORMULA(HLOOKUP($B54, IMPORTRANGE('Match Names'!$G$23, CONCAT(VLOOKUP($C54, 'Match Names'!$1:$22, 7, FALSE), "&amp;"""!C3:R29"")), {2;7;17;21}, FALSE)), ""=0"") + COUNTIF(ARRAYFORMULA(HLOOKUP($B54, IMPORTRANGE('Match Names'!$H$23, CONCAT(VLOOKUP($C54, 'Match Names'!$1:$22, 8, FALSE), ""!C3:R29"")), {4;10;16;22}, FALSE)), ""=0"")"),0.0)</f>
        <v>0</v>
      </c>
      <c r="G54" s="9">
        <f>IFERROR(__xludf.DUMMYFUNCTION("COUNTIF(ARRAYFORMULA(HLOOKUP($B54, IMPORTRANGE('Prelim Rankings Unsorted'!$B$40, CONCAT(VLOOKUP($C54, 'Match Names'!$A$1:$D$22, 2, FALSE), ""!C3:R29"")), {3;8;14;20}, FALSE)), ""=-4"") + COUNTIF(ARRAYFORMULA(HLOOKUP($B54, IMPORTRANGE('Prelim Rankings Unso"&amp;"rted'!$B$41, CONCAT(VLOOKUP($C54, 'Match Names'!$A$1:$D$22, 3, FALSE), ""!C3:R29"")), {4;10;16;22}, FALSE)), ""=-4"") + COUNTIF(ARRAYFORMULA(HLOOKUP($B54, IMPORTRANGE('Prelim Rankings Unsorted'!$B$42, CONCAT(VLOOKUP($C54, 'Match Names'!$A$1:$D$22, 4, FALS"&amp;"E), ""!C3:R29"")), {2;8;14;20}, FALSE)), ""=-4"") + COUNTIF(ARRAYFORMULA(HLOOKUP($B54, IMPORTRANGE('Match Names'!$E$23, CONCAT(VLOOKUP($C54, 'Match Names'!$1:$22, 5, FALSE), ""!C3:R29"")), {3;7;18;23}, FALSE)), ""=-4"") + COUNTIF(ARRAYFORMULA(HLOOKUP($B54"&amp;", IMPORTRANGE('Match Names'!$F$23, CONCAT(VLOOKUP($C54, 'Match Names'!$1:$22, 6, FALSE), ""!C3:R29"")), {6;12;18;24}, FALSE)), ""=-4"") + COUNTIF(ARRAYFORMULA(HLOOKUP($B54, IMPORTRANGE('Match Names'!$G$23, CONCAT(VLOOKUP($C54, 'Match Names'!$1:$22, 7, FAL"&amp;"SE), ""!C3:R29"")), {2;7;17;21}, FALSE)), ""=-4"") + COUNTIF(ARRAYFORMULA(HLOOKUP($B54, IMPORTRANGE('Match Names'!$H$23, CONCAT(VLOOKUP($C54, 'Match Names'!$1:$22, 8, FALSE), ""!C3:R29"")), {4;10;16;22}, FALSE)), ""=-4"")"),0.0)</f>
        <v>0</v>
      </c>
      <c r="H54" s="39">
        <f t="shared" si="1"/>
        <v>0</v>
      </c>
    </row>
    <row r="55">
      <c r="A55" s="38" t="s">
        <v>190</v>
      </c>
      <c r="B55" s="38" t="str">
        <f>VLOOKUP(CONCAT(A55, C55), 'Discord Username to Real Name'!C:D, 2, FALSE)</f>
        <v>bread#1582</v>
      </c>
      <c r="C55" s="38" t="s">
        <v>29</v>
      </c>
      <c r="D55" s="9">
        <f>IFERROR(__xludf.DUMMYFUNCTION("(4 - COUNTIF(IFERROR(ARRAYFORMULA(HLOOKUP($B55, IMPORTRANGE('Prelim Rankings Unsorted'!$B$40, CONCAT(VLOOKUP($C55, 'Match Names'!$A$1:$D$22, 2, FALSE), ""!C3:R29"")), {3;8;14;20}, FALSE)), 'Player Overall Stats Unsorted'!$AA$9:$AA$12), ""=X"")) + (4 - COU"&amp;"NTIF(IFERROR(ARRAYFORMULA(HLOOKUP($B55, IMPORTRANGE('Prelim Rankings Unsorted'!$B$41, CONCAT(VLOOKUP($C55, 'Match Names'!$A$1:$D$22, 3, FALSE), ""!C3:R29"")), {4;10;16;22}, FALSE)), 'Player Overall Stats Unsorted'!$AA$9:$AA$12), ""=X"")) + (4 - COUNTIF(IF"&amp;"ERROR(ARRAYFORMULA(HLOOKUP($B55, IMPORTRANGE('Prelim Rankings Unsorted'!$B$42, CONCAT(VLOOKUP($C55, 'Match Names'!$A$1:$D$22, 4, FALSE), ""!C3:R29"")), {2;8;14;20}, FALSE)), 'Player Overall Stats Unsorted'!$AA$9:$AA$12), ""=X"")) + (4 - COUNTIF(IFERROR(AR"&amp;"RAYFORMULA(HLOOKUP($B55, IMPORTRANGE('Match Names'!$E$23, CONCAT(VLOOKUP($C55, 'Match Names'!$1:$22, 5, FALSE), ""!C3:R29"")), {3;7;18;23}, FALSE)), 'Player Overall Stats Unsorted'!$AA$9:$AA$12), ""=X"")) + (4 - COUNTIF(IFERROR(ARRAYFORMULA(HLOOKUP($B55, "&amp;"IMPORTRANGE('Match Names'!$F$23, CONCAT(VLOOKUP($C55, 'Match Names'!$1:$22, 6, FALSE), ""!C3:R29"")), {6;12;18;24}, FALSE)), 'Player Overall Stats Unsorted'!$AA$9:$AA$12), ""=X"")) + (4 - COUNTIF(IFERROR(ARRAYFORMULA(HLOOKUP($B55, IMPORTRANGE('Match Names"&amp;"'!$G$23, CONCAT(VLOOKUP($C55, 'Match Names'!$1:$22, 7, FALSE), ""!C3:R29"")), {2;7;17;21}, FALSE)), 'Player Overall Stats Unsorted'!$AA$9:$AA$12), ""=X"")) + (4 - COUNTIF(IFERROR(ARRAYFORMULA(HLOOKUP($B55, IMPORTRANGE('Match Names'!$H$23, CONCAT(VLOOKUP($"&amp;"C55, 'Match Names'!$1:$22, 8, FALSE), ""!C3:R29"")), {4;10;16;22}, FALSE)), 'Player Overall Stats Unsorted'!$AA$9:$AA$12), ""=X""))"),4.0)</f>
        <v>4</v>
      </c>
      <c r="E55" s="9">
        <f>IFERROR(__xludf.DUMMYFUNCTION("COUNTIF(ARRAYFORMULA(HLOOKUP($B55, IMPORTRANGE('Prelim Rankings Unsorted'!$B$40, CONCAT(VLOOKUP($C55, 'Match Names'!$A$1:$D$22, 2, FALSE), ""!C3:R29"")), {3;8;14;20}, FALSE)), ""=4"") + COUNTIF(ARRAYFORMULA(HLOOKUP($B55, IMPORTRANGE('Prelim Rankings Unsor"&amp;"ted'!$B$41, CONCAT(VLOOKUP($C55, 'Match Names'!$A$1:$D$22, 3, FALSE), ""!C3:R29"")), {4;10;16;22}, FALSE)), ""=4"") + COUNTIF(ARRAYFORMULA(HLOOKUP($B55, IMPORTRANGE('Prelim Rankings Unsorted'!$B$42, CONCAT(VLOOKUP($C55, 'Match Names'!$A$1:$D$22, 4, FALSE)"&amp;", ""!C3:R29"")), {2;8;14;20}, FALSE)), ""=4"") + COUNTIF(ARRAYFORMULA(HLOOKUP($B55, IMPORTRANGE('Match Names'!$E$23, CONCAT(VLOOKUP($C55, 'Match Names'!$1:$22, 5, FALSE), ""!C3:R29"")), {3;7;18;23}, FALSE)), ""=4"") + COUNTIF(ARRAYFORMULA(HLOOKUP($B55, IM"&amp;"PORTRANGE('Match Names'!$F$23, CONCAT(VLOOKUP($C55, 'Match Names'!$1:$22, 6, FALSE), ""!C3:R29"")), {6;12;18;24}, FALSE)), ""=4"") + COUNTIF(ARRAYFORMULA(HLOOKUP($B55, IMPORTRANGE('Match Names'!$G$23, CONCAT(VLOOKUP($C55, 'Match Names'!$1:$22, 7, FALSE), "&amp;"""!C3:R29"")), {2;7;17;21}, FALSE)), ""=4"") + COUNTIF(ARRAYFORMULA(HLOOKUP($B55, IMPORTRANGE('Match Names'!$H$23, CONCAT(VLOOKUP($C55, 'Match Names'!$1:$22, 8, FALSE), ""!C3:R29"")), {4;10;16;22}, FALSE)), ""=4"")"),0.0)</f>
        <v>0</v>
      </c>
      <c r="F55" s="9">
        <f>IFERROR(__xludf.DUMMYFUNCTION("COUNTIF(ARRAYFORMULA(HLOOKUP($B55, IMPORTRANGE('Prelim Rankings Unsorted'!$B$40, CONCAT(VLOOKUP($C55, 'Match Names'!$A$1:$D$22, 2, FALSE), ""!C3:R29"")), {3;8;14;20}, FALSE)), ""=0"") + COUNTIF(ARRAYFORMULA(HLOOKUP($B55, IMPORTRANGE('Prelim Rankings Unsor"&amp;"ted'!$B$41, CONCAT(VLOOKUP($C55, 'Match Names'!$A$1:$D$22, 3, FALSE), ""!C3:R29"")), {4;10;16;22}, FALSE)), ""=0"") + COUNTIF(ARRAYFORMULA(HLOOKUP($B55, IMPORTRANGE('Prelim Rankings Unsorted'!$B$42, CONCAT(VLOOKUP($C55, 'Match Names'!$A$1:$D$22, 4, FALSE)"&amp;", ""!C3:R29"")), {2;8;14;20}, FALSE)), ""=0"") + COUNTIF(ARRAYFORMULA(HLOOKUP($B55, IMPORTRANGE('Match Names'!$E$23, CONCAT(VLOOKUP($C55, 'Match Names'!$1:$22, 5, FALSE), ""!C3:R29"")), {3;7;18;23}, FALSE)), ""=0"") + COUNTIF(ARRAYFORMULA(HLOOKUP($B55, IM"&amp;"PORTRANGE('Match Names'!$F$23, CONCAT(VLOOKUP($C55, 'Match Names'!$1:$22, 6, FALSE), ""!C3:R29"")), {6;12;18;24}, FALSE)), ""=0"") + COUNTIF(ARRAYFORMULA(HLOOKUP($B55, IMPORTRANGE('Match Names'!$G$23, CONCAT(VLOOKUP($C55, 'Match Names'!$1:$22, 7, FALSE), "&amp;"""!C3:R29"")), {2;7;17;21}, FALSE)), ""=0"") + COUNTIF(ARRAYFORMULA(HLOOKUP($B55, IMPORTRANGE('Match Names'!$H$23, CONCAT(VLOOKUP($C55, 'Match Names'!$1:$22, 8, FALSE), ""!C3:R29"")), {4;10;16;22}, FALSE)), ""=0"")"),0.0)</f>
        <v>0</v>
      </c>
      <c r="G55" s="9">
        <f>IFERROR(__xludf.DUMMYFUNCTION("COUNTIF(ARRAYFORMULA(HLOOKUP($B55, IMPORTRANGE('Prelim Rankings Unsorted'!$B$40, CONCAT(VLOOKUP($C55, 'Match Names'!$A$1:$D$22, 2, FALSE), ""!C3:R29"")), {3;8;14;20}, FALSE)), ""=-4"") + COUNTIF(ARRAYFORMULA(HLOOKUP($B55, IMPORTRANGE('Prelim Rankings Unso"&amp;"rted'!$B$41, CONCAT(VLOOKUP($C55, 'Match Names'!$A$1:$D$22, 3, FALSE), ""!C3:R29"")), {4;10;16;22}, FALSE)), ""=-4"") + COUNTIF(ARRAYFORMULA(HLOOKUP($B55, IMPORTRANGE('Prelim Rankings Unsorted'!$B$42, CONCAT(VLOOKUP($C55, 'Match Names'!$A$1:$D$22, 4, FALS"&amp;"E), ""!C3:R29"")), {2;8;14;20}, FALSE)), ""=-4"") + COUNTIF(ARRAYFORMULA(HLOOKUP($B55, IMPORTRANGE('Match Names'!$E$23, CONCAT(VLOOKUP($C55, 'Match Names'!$1:$22, 5, FALSE), ""!C3:R29"")), {3;7;18;23}, FALSE)), ""=-4"") + COUNTIF(ARRAYFORMULA(HLOOKUP($B55"&amp;", IMPORTRANGE('Match Names'!$F$23, CONCAT(VLOOKUP($C55, 'Match Names'!$1:$22, 6, FALSE), ""!C3:R29"")), {6;12;18;24}, FALSE)), ""=-4"") + COUNTIF(ARRAYFORMULA(HLOOKUP($B55, IMPORTRANGE('Match Names'!$G$23, CONCAT(VLOOKUP($C55, 'Match Names'!$1:$22, 7, FAL"&amp;"SE), ""!C3:R29"")), {2;7;17;21}, FALSE)), ""=-4"") + COUNTIF(ARRAYFORMULA(HLOOKUP($B55, IMPORTRANGE('Match Names'!$H$23, CONCAT(VLOOKUP($C55, 'Match Names'!$1:$22, 8, FALSE), ""!C3:R29"")), {4;10;16;22}, FALSE)), ""=-4"")"),0.0)</f>
        <v>0</v>
      </c>
      <c r="H55" s="39">
        <f t="shared" si="1"/>
        <v>0</v>
      </c>
    </row>
    <row r="56">
      <c r="A56" s="7" t="s">
        <v>140</v>
      </c>
      <c r="B56" s="38" t="str">
        <f>VLOOKUP(CONCAT(A56, C56), 'Discord Username to Real Name'!C:D, 2, FALSE)</f>
        <v>Jonathan Hu#9386</v>
      </c>
      <c r="C56" s="38" t="s">
        <v>29</v>
      </c>
      <c r="D56" s="9">
        <f>IFERROR(__xludf.DUMMYFUNCTION("(4 - COUNTIF(IFERROR(ARRAYFORMULA(HLOOKUP($B56, IMPORTRANGE('Prelim Rankings Unsorted'!$B$40, CONCAT(VLOOKUP($C56, 'Match Names'!$A$1:$D$22, 2, FALSE), ""!C3:R29"")), {3;8;14;20}, FALSE)), 'Player Overall Stats Unsorted'!$AA$9:$AA$12), ""=X"")) + (4 - COU"&amp;"NTIF(IFERROR(ARRAYFORMULA(HLOOKUP($B56, IMPORTRANGE('Prelim Rankings Unsorted'!$B$41, CONCAT(VLOOKUP($C56, 'Match Names'!$A$1:$D$22, 3, FALSE), ""!C3:R29"")), {4;10;16;22}, FALSE)), 'Player Overall Stats Unsorted'!$AA$9:$AA$12), ""=X"")) + (4 - COUNTIF(IF"&amp;"ERROR(ARRAYFORMULA(HLOOKUP($B56, IMPORTRANGE('Prelim Rankings Unsorted'!$B$42, CONCAT(VLOOKUP($C56, 'Match Names'!$A$1:$D$22, 4, FALSE), ""!C3:R29"")), {2;8;14;20}, FALSE)), 'Player Overall Stats Unsorted'!$AA$9:$AA$12), ""=X"")) + (4 - COUNTIF(IFERROR(AR"&amp;"RAYFORMULA(HLOOKUP($B56, IMPORTRANGE('Match Names'!$E$23, CONCAT(VLOOKUP($C56, 'Match Names'!$1:$22, 5, FALSE), ""!C3:R29"")), {3;7;18;23}, FALSE)), 'Player Overall Stats Unsorted'!$AA$9:$AA$12), ""=X"")) + (4 - COUNTIF(IFERROR(ARRAYFORMULA(HLOOKUP($B56, "&amp;"IMPORTRANGE('Match Names'!$F$23, CONCAT(VLOOKUP($C56, 'Match Names'!$1:$22, 6, FALSE), ""!C3:R29"")), {6;12;18;24}, FALSE)), 'Player Overall Stats Unsorted'!$AA$9:$AA$12), ""=X"")) + (4 - COUNTIF(IFERROR(ARRAYFORMULA(HLOOKUP($B56, IMPORTRANGE('Match Names"&amp;"'!$G$23, CONCAT(VLOOKUP($C56, 'Match Names'!$1:$22, 7, FALSE), ""!C3:R29"")), {2;7;17;21}, FALSE)), 'Player Overall Stats Unsorted'!$AA$9:$AA$12), ""=X"")) + (4 - COUNTIF(IFERROR(ARRAYFORMULA(HLOOKUP($B56, IMPORTRANGE('Match Names'!$H$23, CONCAT(VLOOKUP($"&amp;"C56, 'Match Names'!$1:$22, 8, FALSE), ""!C3:R29"")), {4;10;16;22}, FALSE)), 'Player Overall Stats Unsorted'!$AA$9:$AA$12), ""=X""))"),16.0)</f>
        <v>16</v>
      </c>
      <c r="E56" s="9">
        <f>IFERROR(__xludf.DUMMYFUNCTION("COUNTIF(ARRAYFORMULA(HLOOKUP($B56, IMPORTRANGE('Prelim Rankings Unsorted'!$B$40, CONCAT(VLOOKUP($C56, 'Match Names'!$A$1:$D$22, 2, FALSE), ""!C3:R29"")), {3;8;14;20}, FALSE)), ""=4"") + COUNTIF(ARRAYFORMULA(HLOOKUP($B56, IMPORTRANGE('Prelim Rankings Unsor"&amp;"ted'!$B$41, CONCAT(VLOOKUP($C56, 'Match Names'!$A$1:$D$22, 3, FALSE), ""!C3:R29"")), {4;10;16;22}, FALSE)), ""=4"") + COUNTIF(ARRAYFORMULA(HLOOKUP($B56, IMPORTRANGE('Prelim Rankings Unsorted'!$B$42, CONCAT(VLOOKUP($C56, 'Match Names'!$A$1:$D$22, 4, FALSE)"&amp;", ""!C3:R29"")), {2;8;14;20}, FALSE)), ""=4"") + COUNTIF(ARRAYFORMULA(HLOOKUP($B56, IMPORTRANGE('Match Names'!$E$23, CONCAT(VLOOKUP($C56, 'Match Names'!$1:$22, 5, FALSE), ""!C3:R29"")), {3;7;18;23}, FALSE)), ""=4"") + COUNTIF(ARRAYFORMULA(HLOOKUP($B56, IM"&amp;"PORTRANGE('Match Names'!$F$23, CONCAT(VLOOKUP($C56, 'Match Names'!$1:$22, 6, FALSE), ""!C3:R29"")), {6;12;18;24}, FALSE)), ""=4"") + COUNTIF(ARRAYFORMULA(HLOOKUP($B56, IMPORTRANGE('Match Names'!$G$23, CONCAT(VLOOKUP($C56, 'Match Names'!$1:$22, 7, FALSE), "&amp;"""!C3:R29"")), {2;7;17;21}, FALSE)), ""=4"") + COUNTIF(ARRAYFORMULA(HLOOKUP($B56, IMPORTRANGE('Match Names'!$H$23, CONCAT(VLOOKUP($C56, 'Match Names'!$1:$22, 8, FALSE), ""!C3:R29"")), {4;10;16;22}, FALSE)), ""=4"")"),0.0)</f>
        <v>0</v>
      </c>
      <c r="F56" s="9">
        <f>IFERROR(__xludf.DUMMYFUNCTION("COUNTIF(ARRAYFORMULA(HLOOKUP($B56, IMPORTRANGE('Prelim Rankings Unsorted'!$B$40, CONCAT(VLOOKUP($C56, 'Match Names'!$A$1:$D$22, 2, FALSE), ""!C3:R29"")), {3;8;14;20}, FALSE)), ""=0"") + COUNTIF(ARRAYFORMULA(HLOOKUP($B56, IMPORTRANGE('Prelim Rankings Unsor"&amp;"ted'!$B$41, CONCAT(VLOOKUP($C56, 'Match Names'!$A$1:$D$22, 3, FALSE), ""!C3:R29"")), {4;10;16;22}, FALSE)), ""=0"") + COUNTIF(ARRAYFORMULA(HLOOKUP($B56, IMPORTRANGE('Prelim Rankings Unsorted'!$B$42, CONCAT(VLOOKUP($C56, 'Match Names'!$A$1:$D$22, 4, FALSE)"&amp;", ""!C3:R29"")), {2;8;14;20}, FALSE)), ""=0"") + COUNTIF(ARRAYFORMULA(HLOOKUP($B56, IMPORTRANGE('Match Names'!$E$23, CONCAT(VLOOKUP($C56, 'Match Names'!$1:$22, 5, FALSE), ""!C3:R29"")), {3;7;18;23}, FALSE)), ""=0"") + COUNTIF(ARRAYFORMULA(HLOOKUP($B56, IM"&amp;"PORTRANGE('Match Names'!$F$23, CONCAT(VLOOKUP($C56, 'Match Names'!$1:$22, 6, FALSE), ""!C3:R29"")), {6;12;18;24}, FALSE)), ""=0"") + COUNTIF(ARRAYFORMULA(HLOOKUP($B56, IMPORTRANGE('Match Names'!$G$23, CONCAT(VLOOKUP($C56, 'Match Names'!$1:$22, 7, FALSE), "&amp;"""!C3:R29"")), {2;7;17;21}, FALSE)), ""=0"") + COUNTIF(ARRAYFORMULA(HLOOKUP($B56, IMPORTRANGE('Match Names'!$H$23, CONCAT(VLOOKUP($C56, 'Match Names'!$1:$22, 8, FALSE), ""!C3:R29"")), {4;10;16;22}, FALSE)), ""=0"")"),0.0)</f>
        <v>0</v>
      </c>
      <c r="G56" s="9">
        <f>IFERROR(__xludf.DUMMYFUNCTION("COUNTIF(ARRAYFORMULA(HLOOKUP($B56, IMPORTRANGE('Prelim Rankings Unsorted'!$B$40, CONCAT(VLOOKUP($C56, 'Match Names'!$A$1:$D$22, 2, FALSE), ""!C3:R29"")), {3;8;14;20}, FALSE)), ""=-4"") + COUNTIF(ARRAYFORMULA(HLOOKUP($B56, IMPORTRANGE('Prelim Rankings Unso"&amp;"rted'!$B$41, CONCAT(VLOOKUP($C56, 'Match Names'!$A$1:$D$22, 3, FALSE), ""!C3:R29"")), {4;10;16;22}, FALSE)), ""=-4"") + COUNTIF(ARRAYFORMULA(HLOOKUP($B56, IMPORTRANGE('Prelim Rankings Unsorted'!$B$42, CONCAT(VLOOKUP($C56, 'Match Names'!$A$1:$D$22, 4, FALS"&amp;"E), ""!C3:R29"")), {2;8;14;20}, FALSE)), ""=-4"") + COUNTIF(ARRAYFORMULA(HLOOKUP($B56, IMPORTRANGE('Match Names'!$E$23, CONCAT(VLOOKUP($C56, 'Match Names'!$1:$22, 5, FALSE), ""!C3:R29"")), {3;7;18;23}, FALSE)), ""=-4"") + COUNTIF(ARRAYFORMULA(HLOOKUP($B56"&amp;", IMPORTRANGE('Match Names'!$F$23, CONCAT(VLOOKUP($C56, 'Match Names'!$1:$22, 6, FALSE), ""!C3:R29"")), {6;12;18;24}, FALSE)), ""=-4"") + COUNTIF(ARRAYFORMULA(HLOOKUP($B56, IMPORTRANGE('Match Names'!$G$23, CONCAT(VLOOKUP($C56, 'Match Names'!$1:$22, 7, FAL"&amp;"SE), ""!C3:R29"")), {2;7;17;21}, FALSE)), ""=-4"") + COUNTIF(ARRAYFORMULA(HLOOKUP($B56, IMPORTRANGE('Match Names'!$H$23, CONCAT(VLOOKUP($C56, 'Match Names'!$1:$22, 8, FALSE), ""!C3:R29"")), {4;10;16;22}, FALSE)), ""=-4"")"),0.0)</f>
        <v>0</v>
      </c>
      <c r="H56" s="39">
        <f t="shared" si="1"/>
        <v>0</v>
      </c>
    </row>
    <row r="57">
      <c r="A57" s="38" t="s">
        <v>154</v>
      </c>
      <c r="B57" s="38" t="str">
        <f>VLOOKUP(CONCAT(A57, C57), 'Discord Username to Real Name'!C:D, 2, FALSE)</f>
        <v>Shinybro64#1122</v>
      </c>
      <c r="C57" s="38" t="s">
        <v>29</v>
      </c>
      <c r="D57" s="9">
        <f>IFERROR(__xludf.DUMMYFUNCTION("(4 - COUNTIF(IFERROR(ARRAYFORMULA(HLOOKUP($B57, IMPORTRANGE('Prelim Rankings Unsorted'!$B$40, CONCAT(VLOOKUP($C57, 'Match Names'!$A$1:$D$22, 2, FALSE), ""!C3:R29"")), {3;8;14;20}, FALSE)), 'Player Overall Stats Unsorted'!$AA$9:$AA$12), ""=X"")) + (4 - COU"&amp;"NTIF(IFERROR(ARRAYFORMULA(HLOOKUP($B57, IMPORTRANGE('Prelim Rankings Unsorted'!$B$41, CONCAT(VLOOKUP($C57, 'Match Names'!$A$1:$D$22, 3, FALSE), ""!C3:R29"")), {4;10;16;22}, FALSE)), 'Player Overall Stats Unsorted'!$AA$9:$AA$12), ""=X"")) + (4 - COUNTIF(IF"&amp;"ERROR(ARRAYFORMULA(HLOOKUP($B57, IMPORTRANGE('Prelim Rankings Unsorted'!$B$42, CONCAT(VLOOKUP($C57, 'Match Names'!$A$1:$D$22, 4, FALSE), ""!C3:R29"")), {2;8;14;20}, FALSE)), 'Player Overall Stats Unsorted'!$AA$9:$AA$12), ""=X"")) + (4 - COUNTIF(IFERROR(AR"&amp;"RAYFORMULA(HLOOKUP($B57, IMPORTRANGE('Match Names'!$E$23, CONCAT(VLOOKUP($C57, 'Match Names'!$1:$22, 5, FALSE), ""!C3:R29"")), {3;7;18;23}, FALSE)), 'Player Overall Stats Unsorted'!$AA$9:$AA$12), ""=X"")) + (4 - COUNTIF(IFERROR(ARRAYFORMULA(HLOOKUP($B57, "&amp;"IMPORTRANGE('Match Names'!$F$23, CONCAT(VLOOKUP($C57, 'Match Names'!$1:$22, 6, FALSE), ""!C3:R29"")), {6;12;18;24}, FALSE)), 'Player Overall Stats Unsorted'!$AA$9:$AA$12), ""=X"")) + (4 - COUNTIF(IFERROR(ARRAYFORMULA(HLOOKUP($B57, IMPORTRANGE('Match Names"&amp;"'!$G$23, CONCAT(VLOOKUP($C57, 'Match Names'!$1:$22, 7, FALSE), ""!C3:R29"")), {2;7;17;21}, FALSE)), 'Player Overall Stats Unsorted'!$AA$9:$AA$12), ""=X"")) + (4 - COUNTIF(IFERROR(ARRAYFORMULA(HLOOKUP($B57, IMPORTRANGE('Match Names'!$H$23, CONCAT(VLOOKUP($"&amp;"C57, 'Match Names'!$1:$22, 8, FALSE), ""!C3:R29"")), {4;10;16;22}, FALSE)), 'Player Overall Stats Unsorted'!$AA$9:$AA$12), ""=X""))"),16.0)</f>
        <v>16</v>
      </c>
      <c r="E57" s="9">
        <f>IFERROR(__xludf.DUMMYFUNCTION("COUNTIF(ARRAYFORMULA(HLOOKUP($B57, IMPORTRANGE('Prelim Rankings Unsorted'!$B$40, CONCAT(VLOOKUP($C57, 'Match Names'!$A$1:$D$22, 2, FALSE), ""!C3:R29"")), {3;8;14;20}, FALSE)), ""=4"") + COUNTIF(ARRAYFORMULA(HLOOKUP($B57, IMPORTRANGE('Prelim Rankings Unsor"&amp;"ted'!$B$41, CONCAT(VLOOKUP($C57, 'Match Names'!$A$1:$D$22, 3, FALSE), ""!C3:R29"")), {4;10;16;22}, FALSE)), ""=4"") + COUNTIF(ARRAYFORMULA(HLOOKUP($B57, IMPORTRANGE('Prelim Rankings Unsorted'!$B$42, CONCAT(VLOOKUP($C57, 'Match Names'!$A$1:$D$22, 4, FALSE)"&amp;", ""!C3:R29"")), {2;8;14;20}, FALSE)), ""=4"") + COUNTIF(ARRAYFORMULA(HLOOKUP($B57, IMPORTRANGE('Match Names'!$E$23, CONCAT(VLOOKUP($C57, 'Match Names'!$1:$22, 5, FALSE), ""!C3:R29"")), {3;7;18;23}, FALSE)), ""=4"") + COUNTIF(ARRAYFORMULA(HLOOKUP($B57, IM"&amp;"PORTRANGE('Match Names'!$F$23, CONCAT(VLOOKUP($C57, 'Match Names'!$1:$22, 6, FALSE), ""!C3:R29"")), {6;12;18;24}, FALSE)), ""=4"") + COUNTIF(ARRAYFORMULA(HLOOKUP($B57, IMPORTRANGE('Match Names'!$G$23, CONCAT(VLOOKUP($C57, 'Match Names'!$1:$22, 7, FALSE), "&amp;"""!C3:R29"")), {2;7;17;21}, FALSE)), ""=4"") + COUNTIF(ARRAYFORMULA(HLOOKUP($B57, IMPORTRANGE('Match Names'!$H$23, CONCAT(VLOOKUP($C57, 'Match Names'!$1:$22, 8, FALSE), ""!C3:R29"")), {4;10;16;22}, FALSE)), ""=4"")"),0.0)</f>
        <v>0</v>
      </c>
      <c r="F57" s="9">
        <f>IFERROR(__xludf.DUMMYFUNCTION("COUNTIF(ARRAYFORMULA(HLOOKUP($B57, IMPORTRANGE('Prelim Rankings Unsorted'!$B$40, CONCAT(VLOOKUP($C57, 'Match Names'!$A$1:$D$22, 2, FALSE), ""!C3:R29"")), {3;8;14;20}, FALSE)), ""=0"") + COUNTIF(ARRAYFORMULA(HLOOKUP($B57, IMPORTRANGE('Prelim Rankings Unsor"&amp;"ted'!$B$41, CONCAT(VLOOKUP($C57, 'Match Names'!$A$1:$D$22, 3, FALSE), ""!C3:R29"")), {4;10;16;22}, FALSE)), ""=0"") + COUNTIF(ARRAYFORMULA(HLOOKUP($B57, IMPORTRANGE('Prelim Rankings Unsorted'!$B$42, CONCAT(VLOOKUP($C57, 'Match Names'!$A$1:$D$22, 4, FALSE)"&amp;", ""!C3:R29"")), {2;8;14;20}, FALSE)), ""=0"") + COUNTIF(ARRAYFORMULA(HLOOKUP($B57, IMPORTRANGE('Match Names'!$E$23, CONCAT(VLOOKUP($C57, 'Match Names'!$1:$22, 5, FALSE), ""!C3:R29"")), {3;7;18;23}, FALSE)), ""=0"") + COUNTIF(ARRAYFORMULA(HLOOKUP($B57, IM"&amp;"PORTRANGE('Match Names'!$F$23, CONCAT(VLOOKUP($C57, 'Match Names'!$1:$22, 6, FALSE), ""!C3:R29"")), {6;12;18;24}, FALSE)), ""=0"") + COUNTIF(ARRAYFORMULA(HLOOKUP($B57, IMPORTRANGE('Match Names'!$G$23, CONCAT(VLOOKUP($C57, 'Match Names'!$1:$22, 7, FALSE), "&amp;"""!C3:R29"")), {2;7;17;21}, FALSE)), ""=0"") + COUNTIF(ARRAYFORMULA(HLOOKUP($B57, IMPORTRANGE('Match Names'!$H$23, CONCAT(VLOOKUP($C57, 'Match Names'!$1:$22, 8, FALSE), ""!C3:R29"")), {4;10;16;22}, FALSE)), ""=0"")"),1.0)</f>
        <v>1</v>
      </c>
      <c r="G57" s="9">
        <f>IFERROR(__xludf.DUMMYFUNCTION("COUNTIF(ARRAYFORMULA(HLOOKUP($B57, IMPORTRANGE('Prelim Rankings Unsorted'!$B$40, CONCAT(VLOOKUP($C57, 'Match Names'!$A$1:$D$22, 2, FALSE), ""!C3:R29"")), {3;8;14;20}, FALSE)), ""=-4"") + COUNTIF(ARRAYFORMULA(HLOOKUP($B57, IMPORTRANGE('Prelim Rankings Unso"&amp;"rted'!$B$41, CONCAT(VLOOKUP($C57, 'Match Names'!$A$1:$D$22, 3, FALSE), ""!C3:R29"")), {4;10;16;22}, FALSE)), ""=-4"") + COUNTIF(ARRAYFORMULA(HLOOKUP($B57, IMPORTRANGE('Prelim Rankings Unsorted'!$B$42, CONCAT(VLOOKUP($C57, 'Match Names'!$A$1:$D$22, 4, FALS"&amp;"E), ""!C3:R29"")), {2;8;14;20}, FALSE)), ""=-4"") + COUNTIF(ARRAYFORMULA(HLOOKUP($B57, IMPORTRANGE('Match Names'!$E$23, CONCAT(VLOOKUP($C57, 'Match Names'!$1:$22, 5, FALSE), ""!C3:R29"")), {3;7;18;23}, FALSE)), ""=-4"") + COUNTIF(ARRAYFORMULA(HLOOKUP($B57"&amp;", IMPORTRANGE('Match Names'!$F$23, CONCAT(VLOOKUP($C57, 'Match Names'!$1:$22, 6, FALSE), ""!C3:R29"")), {6;12;18;24}, FALSE)), ""=-4"") + COUNTIF(ARRAYFORMULA(HLOOKUP($B57, IMPORTRANGE('Match Names'!$G$23, CONCAT(VLOOKUP($C57, 'Match Names'!$1:$22, 7, FAL"&amp;"SE), ""!C3:R29"")), {2;7;17;21}, FALSE)), ""=-4"") + COUNTIF(ARRAYFORMULA(HLOOKUP($B57, IMPORTRANGE('Match Names'!$H$23, CONCAT(VLOOKUP($C57, 'Match Names'!$1:$22, 8, FALSE), ""!C3:R29"")), {4;10;16;22}, FALSE)), ""=-4"")"),0.0)</f>
        <v>0</v>
      </c>
      <c r="H57" s="39">
        <f t="shared" si="1"/>
        <v>0</v>
      </c>
    </row>
    <row r="58">
      <c r="A58" s="38" t="s">
        <v>82</v>
      </c>
      <c r="B58" s="38" t="str">
        <f>VLOOKUP(CONCAT(A58, C58), 'Discord Username to Real Name'!C:D, 2, FALSE)</f>
        <v>Cemo475#3867</v>
      </c>
      <c r="C58" s="38" t="s">
        <v>19</v>
      </c>
      <c r="D58" s="9">
        <f>IFERROR(__xludf.DUMMYFUNCTION("(4 - COUNTIF(IFERROR(ARRAYFORMULA(HLOOKUP($B58, IMPORTRANGE('Prelim Rankings Unsorted'!$B$40, CONCAT(VLOOKUP($C58, 'Match Names'!$A$1:$D$22, 2, FALSE), ""!C3:R29"")), {3;8;14;20}, FALSE)), 'Player Overall Stats Unsorted'!$AA$9:$AA$12), ""=X"")) + (4 - COU"&amp;"NTIF(IFERROR(ARRAYFORMULA(HLOOKUP($B58, IMPORTRANGE('Prelim Rankings Unsorted'!$B$41, CONCAT(VLOOKUP($C58, 'Match Names'!$A$1:$D$22, 3, FALSE), ""!C3:R29"")), {4;10;16;22}, FALSE)), 'Player Overall Stats Unsorted'!$AA$9:$AA$12), ""=X"")) + (4 - COUNTIF(IF"&amp;"ERROR(ARRAYFORMULA(HLOOKUP($B58, IMPORTRANGE('Prelim Rankings Unsorted'!$B$42, CONCAT(VLOOKUP($C58, 'Match Names'!$A$1:$D$22, 4, FALSE), ""!C3:R29"")), {2;8;14;20}, FALSE)), 'Player Overall Stats Unsorted'!$AA$9:$AA$12), ""=X"")) + (4 - COUNTIF(IFERROR(AR"&amp;"RAYFORMULA(HLOOKUP($B58, IMPORTRANGE('Match Names'!$E$23, CONCAT(VLOOKUP($C58, 'Match Names'!$1:$22, 5, FALSE), ""!C3:R29"")), {3;7;18;23}, FALSE)), 'Player Overall Stats Unsorted'!$AA$9:$AA$12), ""=X"")) + (4 - COUNTIF(IFERROR(ARRAYFORMULA(HLOOKUP($B58, "&amp;"IMPORTRANGE('Match Names'!$F$23, CONCAT(VLOOKUP($C58, 'Match Names'!$1:$22, 6, FALSE), ""!C3:R29"")), {6;12;18;24}, FALSE)), 'Player Overall Stats Unsorted'!$AA$9:$AA$12), ""=X"")) + (4 - COUNTIF(IFERROR(ARRAYFORMULA(HLOOKUP($B58, IMPORTRANGE('Match Names"&amp;"'!$G$23, CONCAT(VLOOKUP($C58, 'Match Names'!$1:$22, 7, FALSE), ""!C3:R29"")), {2;7;17;21}, FALSE)), 'Player Overall Stats Unsorted'!$AA$9:$AA$12), ""=X"")) + (4 - COUNTIF(IFERROR(ARRAYFORMULA(HLOOKUP($B58, IMPORTRANGE('Match Names'!$H$23, CONCAT(VLOOKUP($"&amp;"C58, 'Match Names'!$1:$22, 8, FALSE), ""!C3:R29"")), {4;10;16;22}, FALSE)), 'Player Overall Stats Unsorted'!$AA$9:$AA$12), ""=X""))"),12.0)</f>
        <v>12</v>
      </c>
      <c r="E58" s="9">
        <f>IFERROR(__xludf.DUMMYFUNCTION("COUNTIF(ARRAYFORMULA(HLOOKUP($B58, IMPORTRANGE('Prelim Rankings Unsorted'!$B$40, CONCAT(VLOOKUP($C58, 'Match Names'!$A$1:$D$22, 2, FALSE), ""!C3:R29"")), {3;8;14;20}, FALSE)), ""=4"") + COUNTIF(ARRAYFORMULA(HLOOKUP($B58, IMPORTRANGE('Prelim Rankings Unsor"&amp;"ted'!$B$41, CONCAT(VLOOKUP($C58, 'Match Names'!$A$1:$D$22, 3, FALSE), ""!C3:R29"")), {4;10;16;22}, FALSE)), ""=4"") + COUNTIF(ARRAYFORMULA(HLOOKUP($B58, IMPORTRANGE('Prelim Rankings Unsorted'!$B$42, CONCAT(VLOOKUP($C58, 'Match Names'!$A$1:$D$22, 4, FALSE)"&amp;", ""!C3:R29"")), {2;8;14;20}, FALSE)), ""=4"") + COUNTIF(ARRAYFORMULA(HLOOKUP($B58, IMPORTRANGE('Match Names'!$E$23, CONCAT(VLOOKUP($C58, 'Match Names'!$1:$22, 5, FALSE), ""!C3:R29"")), {3;7;18;23}, FALSE)), ""=4"") + COUNTIF(ARRAYFORMULA(HLOOKUP($B58, IM"&amp;"PORTRANGE('Match Names'!$F$23, CONCAT(VLOOKUP($C58, 'Match Names'!$1:$22, 6, FALSE), ""!C3:R29"")), {6;12;18;24}, FALSE)), ""=4"") + COUNTIF(ARRAYFORMULA(HLOOKUP($B58, IMPORTRANGE('Match Names'!$G$23, CONCAT(VLOOKUP($C58, 'Match Names'!$1:$22, 7, FALSE), "&amp;"""!C3:R29"")), {2;7;17;21}, FALSE)), ""=4"") + COUNTIF(ARRAYFORMULA(HLOOKUP($B58, IMPORTRANGE('Match Names'!$H$23, CONCAT(VLOOKUP($C58, 'Match Names'!$1:$22, 8, FALSE), ""!C3:R29"")), {4;10;16;22}, FALSE)), ""=4"")"),0.0)</f>
        <v>0</v>
      </c>
      <c r="F58" s="9">
        <f>IFERROR(__xludf.DUMMYFUNCTION("COUNTIF(ARRAYFORMULA(HLOOKUP($B58, IMPORTRANGE('Prelim Rankings Unsorted'!$B$40, CONCAT(VLOOKUP($C58, 'Match Names'!$A$1:$D$22, 2, FALSE), ""!C3:R29"")), {3;8;14;20}, FALSE)), ""=0"") + COUNTIF(ARRAYFORMULA(HLOOKUP($B58, IMPORTRANGE('Prelim Rankings Unsor"&amp;"ted'!$B$41, CONCAT(VLOOKUP($C58, 'Match Names'!$A$1:$D$22, 3, FALSE), ""!C3:R29"")), {4;10;16;22}, FALSE)), ""=0"") + COUNTIF(ARRAYFORMULA(HLOOKUP($B58, IMPORTRANGE('Prelim Rankings Unsorted'!$B$42, CONCAT(VLOOKUP($C58, 'Match Names'!$A$1:$D$22, 4, FALSE)"&amp;", ""!C3:R29"")), {2;8;14;20}, FALSE)), ""=0"") + COUNTIF(ARRAYFORMULA(HLOOKUP($B58, IMPORTRANGE('Match Names'!$E$23, CONCAT(VLOOKUP($C58, 'Match Names'!$1:$22, 5, FALSE), ""!C3:R29"")), {3;7;18;23}, FALSE)), ""=0"") + COUNTIF(ARRAYFORMULA(HLOOKUP($B58, IM"&amp;"PORTRANGE('Match Names'!$F$23, CONCAT(VLOOKUP($C58, 'Match Names'!$1:$22, 6, FALSE), ""!C3:R29"")), {6;12;18;24}, FALSE)), ""=0"") + COUNTIF(ARRAYFORMULA(HLOOKUP($B58, IMPORTRANGE('Match Names'!$G$23, CONCAT(VLOOKUP($C58, 'Match Names'!$1:$22, 7, FALSE), "&amp;"""!C3:R29"")), {2;7;17;21}, FALSE)), ""=0"") + COUNTIF(ARRAYFORMULA(HLOOKUP($B58, IMPORTRANGE('Match Names'!$H$23, CONCAT(VLOOKUP($C58, 'Match Names'!$1:$22, 8, FALSE), ""!C3:R29"")), {4;10;16;22}, FALSE)), ""=0"")"),0.0)</f>
        <v>0</v>
      </c>
      <c r="G58" s="9">
        <f>IFERROR(__xludf.DUMMYFUNCTION("COUNTIF(ARRAYFORMULA(HLOOKUP($B58, IMPORTRANGE('Prelim Rankings Unsorted'!$B$40, CONCAT(VLOOKUP($C58, 'Match Names'!$A$1:$D$22, 2, FALSE), ""!C3:R29"")), {3;8;14;20}, FALSE)), ""=-4"") + COUNTIF(ARRAYFORMULA(HLOOKUP($B58, IMPORTRANGE('Prelim Rankings Unso"&amp;"rted'!$B$41, CONCAT(VLOOKUP($C58, 'Match Names'!$A$1:$D$22, 3, FALSE), ""!C3:R29"")), {4;10;16;22}, FALSE)), ""=-4"") + COUNTIF(ARRAYFORMULA(HLOOKUP($B58, IMPORTRANGE('Prelim Rankings Unsorted'!$B$42, CONCAT(VLOOKUP($C58, 'Match Names'!$A$1:$D$22, 4, FALS"&amp;"E), ""!C3:R29"")), {2;8;14;20}, FALSE)), ""=-4"") + COUNTIF(ARRAYFORMULA(HLOOKUP($B58, IMPORTRANGE('Match Names'!$E$23, CONCAT(VLOOKUP($C58, 'Match Names'!$1:$22, 5, FALSE), ""!C3:R29"")), {3;7;18;23}, FALSE)), ""=-4"") + COUNTIF(ARRAYFORMULA(HLOOKUP($B58"&amp;", IMPORTRANGE('Match Names'!$F$23, CONCAT(VLOOKUP($C58, 'Match Names'!$1:$22, 6, FALSE), ""!C3:R29"")), {6;12;18;24}, FALSE)), ""=-4"") + COUNTIF(ARRAYFORMULA(HLOOKUP($B58, IMPORTRANGE('Match Names'!$G$23, CONCAT(VLOOKUP($C58, 'Match Names'!$1:$22, 7, FAL"&amp;"SE), ""!C3:R29"")), {2;7;17;21}, FALSE)), ""=-4"") + COUNTIF(ARRAYFORMULA(HLOOKUP($B58, IMPORTRANGE('Match Names'!$H$23, CONCAT(VLOOKUP($C58, 'Match Names'!$1:$22, 8, FALSE), ""!C3:R29"")), {4;10;16;22}, FALSE)), ""=-4"")"),0.0)</f>
        <v>0</v>
      </c>
      <c r="H58" s="39">
        <f t="shared" si="1"/>
        <v>0</v>
      </c>
    </row>
    <row r="59">
      <c r="A59" s="38" t="s">
        <v>74</v>
      </c>
      <c r="B59" s="38" t="str">
        <f>VLOOKUP(CONCAT(A59, C59), 'Discord Username to Real Name'!C:D, 2, FALSE)</f>
        <v>Chris Ge#6364</v>
      </c>
      <c r="C59" s="38" t="s">
        <v>19</v>
      </c>
      <c r="D59" s="9">
        <f>IFERROR(__xludf.DUMMYFUNCTION("(4 - COUNTIF(IFERROR(ARRAYFORMULA(HLOOKUP($B59, IMPORTRANGE('Prelim Rankings Unsorted'!$B$40, CONCAT(VLOOKUP($C59, 'Match Names'!$A$1:$D$22, 2, FALSE), ""!C3:R29"")), {3;8;14;20}, FALSE)), 'Player Overall Stats Unsorted'!$AA$9:$AA$12), ""=X"")) + (4 - COU"&amp;"NTIF(IFERROR(ARRAYFORMULA(HLOOKUP($B59, IMPORTRANGE('Prelim Rankings Unsorted'!$B$41, CONCAT(VLOOKUP($C59, 'Match Names'!$A$1:$D$22, 3, FALSE), ""!C3:R29"")), {4;10;16;22}, FALSE)), 'Player Overall Stats Unsorted'!$AA$9:$AA$12), ""=X"")) + (4 - COUNTIF(IF"&amp;"ERROR(ARRAYFORMULA(HLOOKUP($B59, IMPORTRANGE('Prelim Rankings Unsorted'!$B$42, CONCAT(VLOOKUP($C59, 'Match Names'!$A$1:$D$22, 4, FALSE), ""!C3:R29"")), {2;8;14;20}, FALSE)), 'Player Overall Stats Unsorted'!$AA$9:$AA$12), ""=X"")) + (4 - COUNTIF(IFERROR(AR"&amp;"RAYFORMULA(HLOOKUP($B59, IMPORTRANGE('Match Names'!$E$23, CONCAT(VLOOKUP($C59, 'Match Names'!$1:$22, 5, FALSE), ""!C3:R29"")), {3;7;18;23}, FALSE)), 'Player Overall Stats Unsorted'!$AA$9:$AA$12), ""=X"")) + (4 - COUNTIF(IFERROR(ARRAYFORMULA(HLOOKUP($B59, "&amp;"IMPORTRANGE('Match Names'!$F$23, CONCAT(VLOOKUP($C59, 'Match Names'!$1:$22, 6, FALSE), ""!C3:R29"")), {6;12;18;24}, FALSE)), 'Player Overall Stats Unsorted'!$AA$9:$AA$12), ""=X"")) + (4 - COUNTIF(IFERROR(ARRAYFORMULA(HLOOKUP($B59, IMPORTRANGE('Match Names"&amp;"'!$G$23, CONCAT(VLOOKUP($C59, 'Match Names'!$1:$22, 7, FALSE), ""!C3:R29"")), {2;7;17;21}, FALSE)), 'Player Overall Stats Unsorted'!$AA$9:$AA$12), ""=X"")) + (4 - COUNTIF(IFERROR(ARRAYFORMULA(HLOOKUP($B59, IMPORTRANGE('Match Names'!$H$23, CONCAT(VLOOKUP($"&amp;"C59, 'Match Names'!$1:$22, 8, FALSE), ""!C3:R29"")), {4;10;16;22}, FALSE)), 'Player Overall Stats Unsorted'!$AA$9:$AA$12), ""=X""))"),16.0)</f>
        <v>16</v>
      </c>
      <c r="E59" s="9">
        <f>IFERROR(__xludf.DUMMYFUNCTION("COUNTIF(ARRAYFORMULA(HLOOKUP($B59, IMPORTRANGE('Prelim Rankings Unsorted'!$B$40, CONCAT(VLOOKUP($C59, 'Match Names'!$A$1:$D$22, 2, FALSE), ""!C3:R29"")), {3;8;14;20}, FALSE)), ""=4"") + COUNTIF(ARRAYFORMULA(HLOOKUP($B59, IMPORTRANGE('Prelim Rankings Unsor"&amp;"ted'!$B$41, CONCAT(VLOOKUP($C59, 'Match Names'!$A$1:$D$22, 3, FALSE), ""!C3:R29"")), {4;10;16;22}, FALSE)), ""=4"") + COUNTIF(ARRAYFORMULA(HLOOKUP($B59, IMPORTRANGE('Prelim Rankings Unsorted'!$B$42, CONCAT(VLOOKUP($C59, 'Match Names'!$A$1:$D$22, 4, FALSE)"&amp;", ""!C3:R29"")), {2;8;14;20}, FALSE)), ""=4"") + COUNTIF(ARRAYFORMULA(HLOOKUP($B59, IMPORTRANGE('Match Names'!$E$23, CONCAT(VLOOKUP($C59, 'Match Names'!$1:$22, 5, FALSE), ""!C3:R29"")), {3;7;18;23}, FALSE)), ""=4"") + COUNTIF(ARRAYFORMULA(HLOOKUP($B59, IM"&amp;"PORTRANGE('Match Names'!$F$23, CONCAT(VLOOKUP($C59, 'Match Names'!$1:$22, 6, FALSE), ""!C3:R29"")), {6;12;18;24}, FALSE)), ""=4"") + COUNTIF(ARRAYFORMULA(HLOOKUP($B59, IMPORTRANGE('Match Names'!$G$23, CONCAT(VLOOKUP($C59, 'Match Names'!$1:$22, 7, FALSE), "&amp;"""!C3:R29"")), {2;7;17;21}, FALSE)), ""=4"") + COUNTIF(ARRAYFORMULA(HLOOKUP($B59, IMPORTRANGE('Match Names'!$H$23, CONCAT(VLOOKUP($C59, 'Match Names'!$1:$22, 8, FALSE), ""!C3:R29"")), {4;10;16;22}, FALSE)), ""=4"")"),0.0)</f>
        <v>0</v>
      </c>
      <c r="F59" s="9">
        <f>IFERROR(__xludf.DUMMYFUNCTION("COUNTIF(ARRAYFORMULA(HLOOKUP($B59, IMPORTRANGE('Prelim Rankings Unsorted'!$B$40, CONCAT(VLOOKUP($C59, 'Match Names'!$A$1:$D$22, 2, FALSE), ""!C3:R29"")), {3;8;14;20}, FALSE)), ""=0"") + COUNTIF(ARRAYFORMULA(HLOOKUP($B59, IMPORTRANGE('Prelim Rankings Unsor"&amp;"ted'!$B$41, CONCAT(VLOOKUP($C59, 'Match Names'!$A$1:$D$22, 3, FALSE), ""!C3:R29"")), {4;10;16;22}, FALSE)), ""=0"") + COUNTIF(ARRAYFORMULA(HLOOKUP($B59, IMPORTRANGE('Prelim Rankings Unsorted'!$B$42, CONCAT(VLOOKUP($C59, 'Match Names'!$A$1:$D$22, 4, FALSE)"&amp;", ""!C3:R29"")), {2;8;14;20}, FALSE)), ""=0"") + COUNTIF(ARRAYFORMULA(HLOOKUP($B59, IMPORTRANGE('Match Names'!$E$23, CONCAT(VLOOKUP($C59, 'Match Names'!$1:$22, 5, FALSE), ""!C3:R29"")), {3;7;18;23}, FALSE)), ""=0"") + COUNTIF(ARRAYFORMULA(HLOOKUP($B59, IM"&amp;"PORTRANGE('Match Names'!$F$23, CONCAT(VLOOKUP($C59, 'Match Names'!$1:$22, 6, FALSE), ""!C3:R29"")), {6;12;18;24}, FALSE)), ""=0"") + COUNTIF(ARRAYFORMULA(HLOOKUP($B59, IMPORTRANGE('Match Names'!$G$23, CONCAT(VLOOKUP($C59, 'Match Names'!$1:$22, 7, FALSE), "&amp;"""!C3:R29"")), {2;7;17;21}, FALSE)), ""=0"") + COUNTIF(ARRAYFORMULA(HLOOKUP($B59, IMPORTRANGE('Match Names'!$H$23, CONCAT(VLOOKUP($C59, 'Match Names'!$1:$22, 8, FALSE), ""!C3:R29"")), {4;10;16;22}, FALSE)), ""=0"")"),1.0)</f>
        <v>1</v>
      </c>
      <c r="G59" s="9">
        <f>IFERROR(__xludf.DUMMYFUNCTION("COUNTIF(ARRAYFORMULA(HLOOKUP($B59, IMPORTRANGE('Prelim Rankings Unsorted'!$B$40, CONCAT(VLOOKUP($C59, 'Match Names'!$A$1:$D$22, 2, FALSE), ""!C3:R29"")), {3;8;14;20}, FALSE)), ""=-4"") + COUNTIF(ARRAYFORMULA(HLOOKUP($B59, IMPORTRANGE('Prelim Rankings Unso"&amp;"rted'!$B$41, CONCAT(VLOOKUP($C59, 'Match Names'!$A$1:$D$22, 3, FALSE), ""!C3:R29"")), {4;10;16;22}, FALSE)), ""=-4"") + COUNTIF(ARRAYFORMULA(HLOOKUP($B59, IMPORTRANGE('Prelim Rankings Unsorted'!$B$42, CONCAT(VLOOKUP($C59, 'Match Names'!$A$1:$D$22, 4, FALS"&amp;"E), ""!C3:R29"")), {2;8;14;20}, FALSE)), ""=-4"") + COUNTIF(ARRAYFORMULA(HLOOKUP($B59, IMPORTRANGE('Match Names'!$E$23, CONCAT(VLOOKUP($C59, 'Match Names'!$1:$22, 5, FALSE), ""!C3:R29"")), {3;7;18;23}, FALSE)), ""=-4"") + COUNTIF(ARRAYFORMULA(HLOOKUP($B59"&amp;", IMPORTRANGE('Match Names'!$F$23, CONCAT(VLOOKUP($C59, 'Match Names'!$1:$22, 6, FALSE), ""!C3:R29"")), {6;12;18;24}, FALSE)), ""=-4"") + COUNTIF(ARRAYFORMULA(HLOOKUP($B59, IMPORTRANGE('Match Names'!$G$23, CONCAT(VLOOKUP($C59, 'Match Names'!$1:$22, 7, FAL"&amp;"SE), ""!C3:R29"")), {2;7;17;21}, FALSE)), ""=-4"") + COUNTIF(ARRAYFORMULA(HLOOKUP($B59, IMPORTRANGE('Match Names'!$H$23, CONCAT(VLOOKUP($C59, 'Match Names'!$1:$22, 8, FALSE), ""!C3:R29"")), {4;10;16;22}, FALSE)), ""=-4"")"),1.0)</f>
        <v>1</v>
      </c>
      <c r="H59" s="39">
        <f t="shared" si="1"/>
        <v>-1</v>
      </c>
    </row>
    <row r="60">
      <c r="A60" s="38" t="s">
        <v>61</v>
      </c>
      <c r="B60" s="38" t="str">
        <f>VLOOKUP(CONCAT(A60, C60), 'Discord Username to Real Name'!C:D, 2, FALSE)</f>
        <v>chalk#0845</v>
      </c>
      <c r="C60" s="38" t="s">
        <v>19</v>
      </c>
      <c r="D60" s="9">
        <f>IFERROR(__xludf.DUMMYFUNCTION("(4 - COUNTIF(IFERROR(ARRAYFORMULA(HLOOKUP($B60, IMPORTRANGE('Prelim Rankings Unsorted'!$B$40, CONCAT(VLOOKUP($C60, 'Match Names'!$A$1:$D$22, 2, FALSE), ""!C3:R29"")), {3;8;14;20}, FALSE)), 'Player Overall Stats Unsorted'!$AA$9:$AA$12), ""=X"")) + (4 - COU"&amp;"NTIF(IFERROR(ARRAYFORMULA(HLOOKUP($B60, IMPORTRANGE('Prelim Rankings Unsorted'!$B$41, CONCAT(VLOOKUP($C60, 'Match Names'!$A$1:$D$22, 3, FALSE), ""!C3:R29"")), {4;10;16;22}, FALSE)), 'Player Overall Stats Unsorted'!$AA$9:$AA$12), ""=X"")) + (4 - COUNTIF(IF"&amp;"ERROR(ARRAYFORMULA(HLOOKUP($B60, IMPORTRANGE('Prelim Rankings Unsorted'!$B$42, CONCAT(VLOOKUP($C60, 'Match Names'!$A$1:$D$22, 4, FALSE), ""!C3:R29"")), {2;8;14;20}, FALSE)), 'Player Overall Stats Unsorted'!$AA$9:$AA$12), ""=X"")) + (4 - COUNTIF(IFERROR(AR"&amp;"RAYFORMULA(HLOOKUP($B60, IMPORTRANGE('Match Names'!$E$23, CONCAT(VLOOKUP($C60, 'Match Names'!$1:$22, 5, FALSE), ""!C3:R29"")), {3;7;18;23}, FALSE)), 'Player Overall Stats Unsorted'!$AA$9:$AA$12), ""=X"")) + (4 - COUNTIF(IFERROR(ARRAYFORMULA(HLOOKUP($B60, "&amp;"IMPORTRANGE('Match Names'!$F$23, CONCAT(VLOOKUP($C60, 'Match Names'!$1:$22, 6, FALSE), ""!C3:R29"")), {6;12;18;24}, FALSE)), 'Player Overall Stats Unsorted'!$AA$9:$AA$12), ""=X"")) + (4 - COUNTIF(IFERROR(ARRAYFORMULA(HLOOKUP($B60, IMPORTRANGE('Match Names"&amp;"'!$G$23, CONCAT(VLOOKUP($C60, 'Match Names'!$1:$22, 7, FALSE), ""!C3:R29"")), {2;7;17;21}, FALSE)), 'Player Overall Stats Unsorted'!$AA$9:$AA$12), ""=X"")) + (4 - COUNTIF(IFERROR(ARRAYFORMULA(HLOOKUP($B60, IMPORTRANGE('Match Names'!$H$23, CONCAT(VLOOKUP($"&amp;"C60, 'Match Names'!$1:$22, 8, FALSE), ""!C3:R29"")), {4;10;16;22}, FALSE)), 'Player Overall Stats Unsorted'!$AA$9:$AA$12), ""=X""))"),12.0)</f>
        <v>12</v>
      </c>
      <c r="E60" s="9">
        <f>IFERROR(__xludf.DUMMYFUNCTION("COUNTIF(ARRAYFORMULA(HLOOKUP($B60, IMPORTRANGE('Prelim Rankings Unsorted'!$B$40, CONCAT(VLOOKUP($C60, 'Match Names'!$A$1:$D$22, 2, FALSE), ""!C3:R29"")), {3;8;14;20}, FALSE)), ""=4"") + COUNTIF(ARRAYFORMULA(HLOOKUP($B60, IMPORTRANGE('Prelim Rankings Unsor"&amp;"ted'!$B$41, CONCAT(VLOOKUP($C60, 'Match Names'!$A$1:$D$22, 3, FALSE), ""!C3:R29"")), {4;10;16;22}, FALSE)), ""=4"") + COUNTIF(ARRAYFORMULA(HLOOKUP($B60, IMPORTRANGE('Prelim Rankings Unsorted'!$B$42, CONCAT(VLOOKUP($C60, 'Match Names'!$A$1:$D$22, 4, FALSE)"&amp;", ""!C3:R29"")), {2;8;14;20}, FALSE)), ""=4"") + COUNTIF(ARRAYFORMULA(HLOOKUP($B60, IMPORTRANGE('Match Names'!$E$23, CONCAT(VLOOKUP($C60, 'Match Names'!$1:$22, 5, FALSE), ""!C3:R29"")), {3;7;18;23}, FALSE)), ""=4"") + COUNTIF(ARRAYFORMULA(HLOOKUP($B60, IM"&amp;"PORTRANGE('Match Names'!$F$23, CONCAT(VLOOKUP($C60, 'Match Names'!$1:$22, 6, FALSE), ""!C3:R29"")), {6;12;18;24}, FALSE)), ""=4"") + COUNTIF(ARRAYFORMULA(HLOOKUP($B60, IMPORTRANGE('Match Names'!$G$23, CONCAT(VLOOKUP($C60, 'Match Names'!$1:$22, 7, FALSE), "&amp;"""!C3:R29"")), {2;7;17;21}, FALSE)), ""=4"") + COUNTIF(ARRAYFORMULA(HLOOKUP($B60, IMPORTRANGE('Match Names'!$H$23, CONCAT(VLOOKUP($C60, 'Match Names'!$1:$22, 8, FALSE), ""!C3:R29"")), {4;10;16;22}, FALSE)), ""=4"")"),0.0)</f>
        <v>0</v>
      </c>
      <c r="F60" s="9">
        <f>IFERROR(__xludf.DUMMYFUNCTION("COUNTIF(ARRAYFORMULA(HLOOKUP($B60, IMPORTRANGE('Prelim Rankings Unsorted'!$B$40, CONCAT(VLOOKUP($C60, 'Match Names'!$A$1:$D$22, 2, FALSE), ""!C3:R29"")), {3;8;14;20}, FALSE)), ""=0"") + COUNTIF(ARRAYFORMULA(HLOOKUP($B60, IMPORTRANGE('Prelim Rankings Unsor"&amp;"ted'!$B$41, CONCAT(VLOOKUP($C60, 'Match Names'!$A$1:$D$22, 3, FALSE), ""!C3:R29"")), {4;10;16;22}, FALSE)), ""=0"") + COUNTIF(ARRAYFORMULA(HLOOKUP($B60, IMPORTRANGE('Prelim Rankings Unsorted'!$B$42, CONCAT(VLOOKUP($C60, 'Match Names'!$A$1:$D$22, 4, FALSE)"&amp;", ""!C3:R29"")), {2;8;14;20}, FALSE)), ""=0"") + COUNTIF(ARRAYFORMULA(HLOOKUP($B60, IMPORTRANGE('Match Names'!$E$23, CONCAT(VLOOKUP($C60, 'Match Names'!$1:$22, 5, FALSE), ""!C3:R29"")), {3;7;18;23}, FALSE)), ""=0"") + COUNTIF(ARRAYFORMULA(HLOOKUP($B60, IM"&amp;"PORTRANGE('Match Names'!$F$23, CONCAT(VLOOKUP($C60, 'Match Names'!$1:$22, 6, FALSE), ""!C3:R29"")), {6;12;18;24}, FALSE)), ""=0"") + COUNTIF(ARRAYFORMULA(HLOOKUP($B60, IMPORTRANGE('Match Names'!$G$23, CONCAT(VLOOKUP($C60, 'Match Names'!$1:$22, 7, FALSE), "&amp;"""!C3:R29"")), {2;7;17;21}, FALSE)), ""=0"") + COUNTIF(ARRAYFORMULA(HLOOKUP($B60, IMPORTRANGE('Match Names'!$H$23, CONCAT(VLOOKUP($C60, 'Match Names'!$1:$22, 8, FALSE), ""!C3:R29"")), {4;10;16;22}, FALSE)), ""=0"")"),0.0)</f>
        <v>0</v>
      </c>
      <c r="G60" s="9">
        <f>IFERROR(__xludf.DUMMYFUNCTION("COUNTIF(ARRAYFORMULA(HLOOKUP($B60, IMPORTRANGE('Prelim Rankings Unsorted'!$B$40, CONCAT(VLOOKUP($C60, 'Match Names'!$A$1:$D$22, 2, FALSE), ""!C3:R29"")), {3;8;14;20}, FALSE)), ""=-4"") + COUNTIF(ARRAYFORMULA(HLOOKUP($B60, IMPORTRANGE('Prelim Rankings Unso"&amp;"rted'!$B$41, CONCAT(VLOOKUP($C60, 'Match Names'!$A$1:$D$22, 3, FALSE), ""!C3:R29"")), {4;10;16;22}, FALSE)), ""=-4"") + COUNTIF(ARRAYFORMULA(HLOOKUP($B60, IMPORTRANGE('Prelim Rankings Unsorted'!$B$42, CONCAT(VLOOKUP($C60, 'Match Names'!$A$1:$D$22, 4, FALS"&amp;"E), ""!C3:R29"")), {2;8;14;20}, FALSE)), ""=-4"") + COUNTIF(ARRAYFORMULA(HLOOKUP($B60, IMPORTRANGE('Match Names'!$E$23, CONCAT(VLOOKUP($C60, 'Match Names'!$1:$22, 5, FALSE), ""!C3:R29"")), {3;7;18;23}, FALSE)), ""=-4"") + COUNTIF(ARRAYFORMULA(HLOOKUP($B60"&amp;", IMPORTRANGE('Match Names'!$F$23, CONCAT(VLOOKUP($C60, 'Match Names'!$1:$22, 6, FALSE), ""!C3:R29"")), {6;12;18;24}, FALSE)), ""=-4"") + COUNTIF(ARRAYFORMULA(HLOOKUP($B60, IMPORTRANGE('Match Names'!$G$23, CONCAT(VLOOKUP($C60, 'Match Names'!$1:$22, 7, FAL"&amp;"SE), ""!C3:R29"")), {2;7;17;21}, FALSE)), ""=-4"") + COUNTIF(ARRAYFORMULA(HLOOKUP($B60, IMPORTRANGE('Match Names'!$H$23, CONCAT(VLOOKUP($C60, 'Match Names'!$1:$22, 8, FALSE), ""!C3:R29"")), {4;10;16;22}, FALSE)), ""=-4"")"),0.0)</f>
        <v>0</v>
      </c>
      <c r="H60" s="39">
        <f t="shared" si="1"/>
        <v>0</v>
      </c>
    </row>
    <row r="61">
      <c r="A61" s="38" t="s">
        <v>106</v>
      </c>
      <c r="B61" s="38" t="str">
        <f>VLOOKUP(CONCAT(A61, C61), 'Discord Username to Real Name'!C:D, 2, FALSE)</f>
        <v>banane#7103</v>
      </c>
      <c r="C61" s="38" t="s">
        <v>19</v>
      </c>
      <c r="D61" s="9">
        <f>IFERROR(__xludf.DUMMYFUNCTION("(4 - COUNTIF(IFERROR(ARRAYFORMULA(HLOOKUP($B61, IMPORTRANGE('Prelim Rankings Unsorted'!$B$40, CONCAT(VLOOKUP($C61, 'Match Names'!$A$1:$D$22, 2, FALSE), ""!C3:R29"")), {3;8;14;20}, FALSE)), 'Player Overall Stats Unsorted'!$AA$9:$AA$12), ""=X"")) + (4 - COU"&amp;"NTIF(IFERROR(ARRAYFORMULA(HLOOKUP($B61, IMPORTRANGE('Prelim Rankings Unsorted'!$B$41, CONCAT(VLOOKUP($C61, 'Match Names'!$A$1:$D$22, 3, FALSE), ""!C3:R29"")), {4;10;16;22}, FALSE)), 'Player Overall Stats Unsorted'!$AA$9:$AA$12), ""=X"")) + (4 - COUNTIF(IF"&amp;"ERROR(ARRAYFORMULA(HLOOKUP($B61, IMPORTRANGE('Prelim Rankings Unsorted'!$B$42, CONCAT(VLOOKUP($C61, 'Match Names'!$A$1:$D$22, 4, FALSE), ""!C3:R29"")), {2;8;14;20}, FALSE)), 'Player Overall Stats Unsorted'!$AA$9:$AA$12), ""=X"")) + (4 - COUNTIF(IFERROR(AR"&amp;"RAYFORMULA(HLOOKUP($B61, IMPORTRANGE('Match Names'!$E$23, CONCAT(VLOOKUP($C61, 'Match Names'!$1:$22, 5, FALSE), ""!C3:R29"")), {3;7;18;23}, FALSE)), 'Player Overall Stats Unsorted'!$AA$9:$AA$12), ""=X"")) + (4 - COUNTIF(IFERROR(ARRAYFORMULA(HLOOKUP($B61, "&amp;"IMPORTRANGE('Match Names'!$F$23, CONCAT(VLOOKUP($C61, 'Match Names'!$1:$22, 6, FALSE), ""!C3:R29"")), {6;12;18;24}, FALSE)), 'Player Overall Stats Unsorted'!$AA$9:$AA$12), ""=X"")) + (4 - COUNTIF(IFERROR(ARRAYFORMULA(HLOOKUP($B61, IMPORTRANGE('Match Names"&amp;"'!$G$23, CONCAT(VLOOKUP($C61, 'Match Names'!$1:$22, 7, FALSE), ""!C3:R29"")), {2;7;17;21}, FALSE)), 'Player Overall Stats Unsorted'!$AA$9:$AA$12), ""=X"")) + (4 - COUNTIF(IFERROR(ARRAYFORMULA(HLOOKUP($B61, IMPORTRANGE('Match Names'!$H$23, CONCAT(VLOOKUP($"&amp;"C61, 'Match Names'!$1:$22, 8, FALSE), ""!C3:R29"")), {4;10;16;22}, FALSE)), 'Player Overall Stats Unsorted'!$AA$9:$AA$12), ""=X""))"),14.0)</f>
        <v>14</v>
      </c>
      <c r="E61" s="9">
        <f>IFERROR(__xludf.DUMMYFUNCTION("COUNTIF(ARRAYFORMULA(HLOOKUP($B61, IMPORTRANGE('Prelim Rankings Unsorted'!$B$40, CONCAT(VLOOKUP($C61, 'Match Names'!$A$1:$D$22, 2, FALSE), ""!C3:R29"")), {3;8;14;20}, FALSE)), ""=4"") + COUNTIF(ARRAYFORMULA(HLOOKUP($B61, IMPORTRANGE('Prelim Rankings Unsor"&amp;"ted'!$B$41, CONCAT(VLOOKUP($C61, 'Match Names'!$A$1:$D$22, 3, FALSE), ""!C3:R29"")), {4;10;16;22}, FALSE)), ""=4"") + COUNTIF(ARRAYFORMULA(HLOOKUP($B61, IMPORTRANGE('Prelim Rankings Unsorted'!$B$42, CONCAT(VLOOKUP($C61, 'Match Names'!$A$1:$D$22, 4, FALSE)"&amp;", ""!C3:R29"")), {2;8;14;20}, FALSE)), ""=4"") + COUNTIF(ARRAYFORMULA(HLOOKUP($B61, IMPORTRANGE('Match Names'!$E$23, CONCAT(VLOOKUP($C61, 'Match Names'!$1:$22, 5, FALSE), ""!C3:R29"")), {3;7;18;23}, FALSE)), ""=4"") + COUNTIF(ARRAYFORMULA(HLOOKUP($B61, IM"&amp;"PORTRANGE('Match Names'!$F$23, CONCAT(VLOOKUP($C61, 'Match Names'!$1:$22, 6, FALSE), ""!C3:R29"")), {6;12;18;24}, FALSE)), ""=4"") + COUNTIF(ARRAYFORMULA(HLOOKUP($B61, IMPORTRANGE('Match Names'!$G$23, CONCAT(VLOOKUP($C61, 'Match Names'!$1:$22, 7, FALSE), "&amp;"""!C3:R29"")), {2;7;17;21}, FALSE)), ""=4"") + COUNTIF(ARRAYFORMULA(HLOOKUP($B61, IMPORTRANGE('Match Names'!$H$23, CONCAT(VLOOKUP($C61, 'Match Names'!$1:$22, 8, FALSE), ""!C3:R29"")), {4;10;16;22}, FALSE)), ""=4"")"),6.0)</f>
        <v>6</v>
      </c>
      <c r="F61" s="9">
        <f>IFERROR(__xludf.DUMMYFUNCTION("COUNTIF(ARRAYFORMULA(HLOOKUP($B61, IMPORTRANGE('Prelim Rankings Unsorted'!$B$40, CONCAT(VLOOKUP($C61, 'Match Names'!$A$1:$D$22, 2, FALSE), ""!C3:R29"")), {3;8;14;20}, FALSE)), ""=0"") + COUNTIF(ARRAYFORMULA(HLOOKUP($B61, IMPORTRANGE('Prelim Rankings Unsor"&amp;"ted'!$B$41, CONCAT(VLOOKUP($C61, 'Match Names'!$A$1:$D$22, 3, FALSE), ""!C3:R29"")), {4;10;16;22}, FALSE)), ""=0"") + COUNTIF(ARRAYFORMULA(HLOOKUP($B61, IMPORTRANGE('Prelim Rankings Unsorted'!$B$42, CONCAT(VLOOKUP($C61, 'Match Names'!$A$1:$D$22, 4, FALSE)"&amp;", ""!C3:R29"")), {2;8;14;20}, FALSE)), ""=0"") + COUNTIF(ARRAYFORMULA(HLOOKUP($B61, IMPORTRANGE('Match Names'!$E$23, CONCAT(VLOOKUP($C61, 'Match Names'!$1:$22, 5, FALSE), ""!C3:R29"")), {3;7;18;23}, FALSE)), ""=0"") + COUNTIF(ARRAYFORMULA(HLOOKUP($B61, IM"&amp;"PORTRANGE('Match Names'!$F$23, CONCAT(VLOOKUP($C61, 'Match Names'!$1:$22, 6, FALSE), ""!C3:R29"")), {6;12;18;24}, FALSE)), ""=0"") + COUNTIF(ARRAYFORMULA(HLOOKUP($B61, IMPORTRANGE('Match Names'!$G$23, CONCAT(VLOOKUP($C61, 'Match Names'!$1:$22, 7, FALSE), "&amp;"""!C3:R29"")), {2;7;17;21}, FALSE)), ""=0"") + COUNTIF(ARRAYFORMULA(HLOOKUP($B61, IMPORTRANGE('Match Names'!$H$23, CONCAT(VLOOKUP($C61, 'Match Names'!$1:$22, 8, FALSE), ""!C3:R29"")), {4;10;16;22}, FALSE)), ""=0"")"),2.0)</f>
        <v>2</v>
      </c>
      <c r="G61" s="9">
        <f>IFERROR(__xludf.DUMMYFUNCTION("COUNTIF(ARRAYFORMULA(HLOOKUP($B61, IMPORTRANGE('Prelim Rankings Unsorted'!$B$40, CONCAT(VLOOKUP($C61, 'Match Names'!$A$1:$D$22, 2, FALSE), ""!C3:R29"")), {3;8;14;20}, FALSE)), ""=-4"") + COUNTIF(ARRAYFORMULA(HLOOKUP($B61, IMPORTRANGE('Prelim Rankings Unso"&amp;"rted'!$B$41, CONCAT(VLOOKUP($C61, 'Match Names'!$A$1:$D$22, 3, FALSE), ""!C3:R29"")), {4;10;16;22}, FALSE)), ""=-4"") + COUNTIF(ARRAYFORMULA(HLOOKUP($B61, IMPORTRANGE('Prelim Rankings Unsorted'!$B$42, CONCAT(VLOOKUP($C61, 'Match Names'!$A$1:$D$22, 4, FALS"&amp;"E), ""!C3:R29"")), {2;8;14;20}, FALSE)), ""=-4"") + COUNTIF(ARRAYFORMULA(HLOOKUP($B61, IMPORTRANGE('Match Names'!$E$23, CONCAT(VLOOKUP($C61, 'Match Names'!$1:$22, 5, FALSE), ""!C3:R29"")), {3;7;18;23}, FALSE)), ""=-4"") + COUNTIF(ARRAYFORMULA(HLOOKUP($B61"&amp;", IMPORTRANGE('Match Names'!$F$23, CONCAT(VLOOKUP($C61, 'Match Names'!$1:$22, 6, FALSE), ""!C3:R29"")), {6;12;18;24}, FALSE)), ""=-4"") + COUNTIF(ARRAYFORMULA(HLOOKUP($B61, IMPORTRANGE('Match Names'!$G$23, CONCAT(VLOOKUP($C61, 'Match Names'!$1:$22, 7, FAL"&amp;"SE), ""!C3:R29"")), {2;7;17;21}, FALSE)), ""=-4"") + COUNTIF(ARRAYFORMULA(HLOOKUP($B61, IMPORTRANGE('Match Names'!$H$23, CONCAT(VLOOKUP($C61, 'Match Names'!$1:$22, 8, FALSE), ""!C3:R29"")), {4;10;16;22}, FALSE)), ""=-4"")"),0.0)</f>
        <v>0</v>
      </c>
      <c r="H61" s="39">
        <f t="shared" si="1"/>
        <v>6.86</v>
      </c>
    </row>
    <row r="62">
      <c r="A62" s="38" t="s">
        <v>65</v>
      </c>
      <c r="B62" s="38" t="str">
        <f>VLOOKUP(CONCAT(A62, C62), 'Discord Username to Real Name'!C:D, 2, FALSE)</f>
        <v>Sahas#5704</v>
      </c>
      <c r="C62" s="38" t="s">
        <v>19</v>
      </c>
      <c r="D62" s="9">
        <f>IFERROR(__xludf.DUMMYFUNCTION("(4 - COUNTIF(IFERROR(ARRAYFORMULA(HLOOKUP($B62, IMPORTRANGE('Prelim Rankings Unsorted'!$B$40, CONCAT(VLOOKUP($C62, 'Match Names'!$A$1:$D$22, 2, FALSE), ""!C3:R29"")), {3;8;14;20}, FALSE)), 'Player Overall Stats Unsorted'!$AA$9:$AA$12), ""=X"")) + (4 - COU"&amp;"NTIF(IFERROR(ARRAYFORMULA(HLOOKUP($B62, IMPORTRANGE('Prelim Rankings Unsorted'!$B$41, CONCAT(VLOOKUP($C62, 'Match Names'!$A$1:$D$22, 3, FALSE), ""!C3:R29"")), {4;10;16;22}, FALSE)), 'Player Overall Stats Unsorted'!$AA$9:$AA$12), ""=X"")) + (4 - COUNTIF(IF"&amp;"ERROR(ARRAYFORMULA(HLOOKUP($B62, IMPORTRANGE('Prelim Rankings Unsorted'!$B$42, CONCAT(VLOOKUP($C62, 'Match Names'!$A$1:$D$22, 4, FALSE), ""!C3:R29"")), {2;8;14;20}, FALSE)), 'Player Overall Stats Unsorted'!$AA$9:$AA$12), ""=X"")) + (4 - COUNTIF(IFERROR(AR"&amp;"RAYFORMULA(HLOOKUP($B62, IMPORTRANGE('Match Names'!$E$23, CONCAT(VLOOKUP($C62, 'Match Names'!$1:$22, 5, FALSE), ""!C3:R29"")), {3;7;18;23}, FALSE)), 'Player Overall Stats Unsorted'!$AA$9:$AA$12), ""=X"")) + (4 - COUNTIF(IFERROR(ARRAYFORMULA(HLOOKUP($B62, "&amp;"IMPORTRANGE('Match Names'!$F$23, CONCAT(VLOOKUP($C62, 'Match Names'!$1:$22, 6, FALSE), ""!C3:R29"")), {6;12;18;24}, FALSE)), 'Player Overall Stats Unsorted'!$AA$9:$AA$12), ""=X"")) + (4 - COUNTIF(IFERROR(ARRAYFORMULA(HLOOKUP($B62, IMPORTRANGE('Match Names"&amp;"'!$G$23, CONCAT(VLOOKUP($C62, 'Match Names'!$1:$22, 7, FALSE), ""!C3:R29"")), {2;7;17;21}, FALSE)), 'Player Overall Stats Unsorted'!$AA$9:$AA$12), ""=X"")) + (4 - COUNTIF(IFERROR(ARRAYFORMULA(HLOOKUP($B62, IMPORTRANGE('Match Names'!$H$23, CONCAT(VLOOKUP($"&amp;"C62, 'Match Names'!$1:$22, 8, FALSE), ""!C3:R29"")), {4;10;16;22}, FALSE)), 'Player Overall Stats Unsorted'!$AA$9:$AA$12), ""=X""))"),16.0)</f>
        <v>16</v>
      </c>
      <c r="E62" s="9">
        <f>IFERROR(__xludf.DUMMYFUNCTION("COUNTIF(ARRAYFORMULA(HLOOKUP($B62, IMPORTRANGE('Prelim Rankings Unsorted'!$B$40, CONCAT(VLOOKUP($C62, 'Match Names'!$A$1:$D$22, 2, FALSE), ""!C3:R29"")), {3;8;14;20}, FALSE)), ""=4"") + COUNTIF(ARRAYFORMULA(HLOOKUP($B62, IMPORTRANGE('Prelim Rankings Unsor"&amp;"ted'!$B$41, CONCAT(VLOOKUP($C62, 'Match Names'!$A$1:$D$22, 3, FALSE), ""!C3:R29"")), {4;10;16;22}, FALSE)), ""=4"") + COUNTIF(ARRAYFORMULA(HLOOKUP($B62, IMPORTRANGE('Prelim Rankings Unsorted'!$B$42, CONCAT(VLOOKUP($C62, 'Match Names'!$A$1:$D$22, 4, FALSE)"&amp;", ""!C3:R29"")), {2;8;14;20}, FALSE)), ""=4"") + COUNTIF(ARRAYFORMULA(HLOOKUP($B62, IMPORTRANGE('Match Names'!$E$23, CONCAT(VLOOKUP($C62, 'Match Names'!$1:$22, 5, FALSE), ""!C3:R29"")), {3;7;18;23}, FALSE)), ""=4"") + COUNTIF(ARRAYFORMULA(HLOOKUP($B62, IM"&amp;"PORTRANGE('Match Names'!$F$23, CONCAT(VLOOKUP($C62, 'Match Names'!$1:$22, 6, FALSE), ""!C3:R29"")), {6;12;18;24}, FALSE)), ""=4"") + COUNTIF(ARRAYFORMULA(HLOOKUP($B62, IMPORTRANGE('Match Names'!$G$23, CONCAT(VLOOKUP($C62, 'Match Names'!$1:$22, 7, FALSE), "&amp;"""!C3:R29"")), {2;7;17;21}, FALSE)), ""=4"") + COUNTIF(ARRAYFORMULA(HLOOKUP($B62, IMPORTRANGE('Match Names'!$H$23, CONCAT(VLOOKUP($C62, 'Match Names'!$1:$22, 8, FALSE), ""!C3:R29"")), {4;10;16;22}, FALSE)), ""=4"")"),2.0)</f>
        <v>2</v>
      </c>
      <c r="F62" s="9">
        <f>IFERROR(__xludf.DUMMYFUNCTION("COUNTIF(ARRAYFORMULA(HLOOKUP($B62, IMPORTRANGE('Prelim Rankings Unsorted'!$B$40, CONCAT(VLOOKUP($C62, 'Match Names'!$A$1:$D$22, 2, FALSE), ""!C3:R29"")), {3;8;14;20}, FALSE)), ""=0"") + COUNTIF(ARRAYFORMULA(HLOOKUP($B62, IMPORTRANGE('Prelim Rankings Unsor"&amp;"ted'!$B$41, CONCAT(VLOOKUP($C62, 'Match Names'!$A$1:$D$22, 3, FALSE), ""!C3:R29"")), {4;10;16;22}, FALSE)), ""=0"") + COUNTIF(ARRAYFORMULA(HLOOKUP($B62, IMPORTRANGE('Prelim Rankings Unsorted'!$B$42, CONCAT(VLOOKUP($C62, 'Match Names'!$A$1:$D$22, 4, FALSE)"&amp;", ""!C3:R29"")), {2;8;14;20}, FALSE)), ""=0"") + COUNTIF(ARRAYFORMULA(HLOOKUP($B62, IMPORTRANGE('Match Names'!$E$23, CONCAT(VLOOKUP($C62, 'Match Names'!$1:$22, 5, FALSE), ""!C3:R29"")), {3;7;18;23}, FALSE)), ""=0"") + COUNTIF(ARRAYFORMULA(HLOOKUP($B62, IM"&amp;"PORTRANGE('Match Names'!$F$23, CONCAT(VLOOKUP($C62, 'Match Names'!$1:$22, 6, FALSE), ""!C3:R29"")), {6;12;18;24}, FALSE)), ""=0"") + COUNTIF(ARRAYFORMULA(HLOOKUP($B62, IMPORTRANGE('Match Names'!$G$23, CONCAT(VLOOKUP($C62, 'Match Names'!$1:$22, 7, FALSE), "&amp;"""!C3:R29"")), {2;7;17;21}, FALSE)), ""=0"") + COUNTIF(ARRAYFORMULA(HLOOKUP($B62, IMPORTRANGE('Match Names'!$H$23, CONCAT(VLOOKUP($C62, 'Match Names'!$1:$22, 8, FALSE), ""!C3:R29"")), {4;10;16;22}, FALSE)), ""=0"")"),0.0)</f>
        <v>0</v>
      </c>
      <c r="G62" s="9">
        <f>IFERROR(__xludf.DUMMYFUNCTION("COUNTIF(ARRAYFORMULA(HLOOKUP($B62, IMPORTRANGE('Prelim Rankings Unsorted'!$B$40, CONCAT(VLOOKUP($C62, 'Match Names'!$A$1:$D$22, 2, FALSE), ""!C3:R29"")), {3;8;14;20}, FALSE)), ""=-4"") + COUNTIF(ARRAYFORMULA(HLOOKUP($B62, IMPORTRANGE('Prelim Rankings Unso"&amp;"rted'!$B$41, CONCAT(VLOOKUP($C62, 'Match Names'!$A$1:$D$22, 3, FALSE), ""!C3:R29"")), {4;10;16;22}, FALSE)), ""=-4"") + COUNTIF(ARRAYFORMULA(HLOOKUP($B62, IMPORTRANGE('Prelim Rankings Unsorted'!$B$42, CONCAT(VLOOKUP($C62, 'Match Names'!$A$1:$D$22, 4, FALS"&amp;"E), ""!C3:R29"")), {2;8;14;20}, FALSE)), ""=-4"") + COUNTIF(ARRAYFORMULA(HLOOKUP($B62, IMPORTRANGE('Match Names'!$E$23, CONCAT(VLOOKUP($C62, 'Match Names'!$1:$22, 5, FALSE), ""!C3:R29"")), {3;7;18;23}, FALSE)), ""=-4"") + COUNTIF(ARRAYFORMULA(HLOOKUP($B62"&amp;", IMPORTRANGE('Match Names'!$F$23, CONCAT(VLOOKUP($C62, 'Match Names'!$1:$22, 6, FALSE), ""!C3:R29"")), {6;12;18;24}, FALSE)), ""=-4"") + COUNTIF(ARRAYFORMULA(HLOOKUP($B62, IMPORTRANGE('Match Names'!$G$23, CONCAT(VLOOKUP($C62, 'Match Names'!$1:$22, 7, FAL"&amp;"SE), ""!C3:R29"")), {2;7;17;21}, FALSE)), ""=-4"") + COUNTIF(ARRAYFORMULA(HLOOKUP($B62, IMPORTRANGE('Match Names'!$H$23, CONCAT(VLOOKUP($C62, 'Match Names'!$1:$22, 8, FALSE), ""!C3:R29"")), {4;10;16;22}, FALSE)), ""=-4"")"),1.0)</f>
        <v>1</v>
      </c>
      <c r="H62" s="39">
        <f t="shared" si="1"/>
        <v>1</v>
      </c>
    </row>
    <row r="63">
      <c r="A63" s="38" t="s">
        <v>134</v>
      </c>
      <c r="B63" s="38" t="str">
        <f>VLOOKUP(CONCAT(A63, C63), 'Discord Username to Real Name'!C:D, 2, FALSE)</f>
        <v>Jeffrey Li#1694</v>
      </c>
      <c r="C63" s="38" t="s">
        <v>22</v>
      </c>
      <c r="D63" s="9">
        <f>IFERROR(__xludf.DUMMYFUNCTION("(4 - COUNTIF(IFERROR(ARRAYFORMULA(HLOOKUP($B63, IMPORTRANGE('Prelim Rankings Unsorted'!$B$40, CONCAT(VLOOKUP($C63, 'Match Names'!$A$1:$D$22, 2, FALSE), ""!C3:R29"")), {3;8;14;20}, FALSE)), 'Player Overall Stats Unsorted'!$AA$9:$AA$12), ""=X"")) + (4 - COU"&amp;"NTIF(IFERROR(ARRAYFORMULA(HLOOKUP($B63, IMPORTRANGE('Prelim Rankings Unsorted'!$B$41, CONCAT(VLOOKUP($C63, 'Match Names'!$A$1:$D$22, 3, FALSE), ""!C3:R29"")), {4;10;16;22}, FALSE)), 'Player Overall Stats Unsorted'!$AA$9:$AA$12), ""=X"")) + (4 - COUNTIF(IF"&amp;"ERROR(ARRAYFORMULA(HLOOKUP($B63, IMPORTRANGE('Prelim Rankings Unsorted'!$B$42, CONCAT(VLOOKUP($C63, 'Match Names'!$A$1:$D$22, 4, FALSE), ""!C3:R29"")), {2;8;14;20}, FALSE)), 'Player Overall Stats Unsorted'!$AA$9:$AA$12), ""=X"")) + (4 - COUNTIF(IFERROR(AR"&amp;"RAYFORMULA(HLOOKUP($B63, IMPORTRANGE('Match Names'!$E$23, CONCAT(VLOOKUP($C63, 'Match Names'!$1:$22, 5, FALSE), ""!C3:R29"")), {3;7;18;23}, FALSE)), 'Player Overall Stats Unsorted'!$AA$9:$AA$12), ""=X"")) + (4 - COUNTIF(IFERROR(ARRAYFORMULA(HLOOKUP($B63, "&amp;"IMPORTRANGE('Match Names'!$F$23, CONCAT(VLOOKUP($C63, 'Match Names'!$1:$22, 6, FALSE), ""!C3:R29"")), {6;12;18;24}, FALSE)), 'Player Overall Stats Unsorted'!$AA$9:$AA$12), ""=X"")) + (4 - COUNTIF(IFERROR(ARRAYFORMULA(HLOOKUP($B63, IMPORTRANGE('Match Names"&amp;"'!$G$23, CONCAT(VLOOKUP($C63, 'Match Names'!$1:$22, 7, FALSE), ""!C3:R29"")), {2;7;17;21}, FALSE)), 'Player Overall Stats Unsorted'!$AA$9:$AA$12), ""=X"")) + (4 - COUNTIF(IFERROR(ARRAYFORMULA(HLOOKUP($B63, IMPORTRANGE('Match Names'!$H$23, CONCAT(VLOOKUP($"&amp;"C63, 'Match Names'!$1:$22, 8, FALSE), ""!C3:R29"")), {4;10;16;22}, FALSE)), 'Player Overall Stats Unsorted'!$AA$9:$AA$12), ""=X""))"),22.0)</f>
        <v>22</v>
      </c>
      <c r="E63" s="9">
        <f>IFERROR(__xludf.DUMMYFUNCTION("COUNTIF(ARRAYFORMULA(HLOOKUP($B63, IMPORTRANGE('Prelim Rankings Unsorted'!$B$40, CONCAT(VLOOKUP($C63, 'Match Names'!$A$1:$D$22, 2, FALSE), ""!C3:R29"")), {3;8;14;20}, FALSE)), ""=4"") + COUNTIF(ARRAYFORMULA(HLOOKUP($B63, IMPORTRANGE('Prelim Rankings Unsor"&amp;"ted'!$B$41, CONCAT(VLOOKUP($C63, 'Match Names'!$A$1:$D$22, 3, FALSE), ""!C3:R29"")), {4;10;16;22}, FALSE)), ""=4"") + COUNTIF(ARRAYFORMULA(HLOOKUP($B63, IMPORTRANGE('Prelim Rankings Unsorted'!$B$42, CONCAT(VLOOKUP($C63, 'Match Names'!$A$1:$D$22, 4, FALSE)"&amp;", ""!C3:R29"")), {2;8;14;20}, FALSE)), ""=4"") + COUNTIF(ARRAYFORMULA(HLOOKUP($B63, IMPORTRANGE('Match Names'!$E$23, CONCAT(VLOOKUP($C63, 'Match Names'!$1:$22, 5, FALSE), ""!C3:R29"")), {3;7;18;23}, FALSE)), ""=4"") + COUNTIF(ARRAYFORMULA(HLOOKUP($B63, IM"&amp;"PORTRANGE('Match Names'!$F$23, CONCAT(VLOOKUP($C63, 'Match Names'!$1:$22, 6, FALSE), ""!C3:R29"")), {6;12;18;24}, FALSE)), ""=4"") + COUNTIF(ARRAYFORMULA(HLOOKUP($B63, IMPORTRANGE('Match Names'!$G$23, CONCAT(VLOOKUP($C63, 'Match Names'!$1:$22, 7, FALSE), "&amp;"""!C3:R29"")), {2;7;17;21}, FALSE)), ""=4"") + COUNTIF(ARRAYFORMULA(HLOOKUP($B63, IMPORTRANGE('Match Names'!$H$23, CONCAT(VLOOKUP($C63, 'Match Names'!$1:$22, 8, FALSE), ""!C3:R29"")), {4;10;16;22}, FALSE)), ""=4"")"),0.0)</f>
        <v>0</v>
      </c>
      <c r="F63" s="9">
        <f>IFERROR(__xludf.DUMMYFUNCTION("COUNTIF(ARRAYFORMULA(HLOOKUP($B63, IMPORTRANGE('Prelim Rankings Unsorted'!$B$40, CONCAT(VLOOKUP($C63, 'Match Names'!$A$1:$D$22, 2, FALSE), ""!C3:R29"")), {3;8;14;20}, FALSE)), ""=0"") + COUNTIF(ARRAYFORMULA(HLOOKUP($B63, IMPORTRANGE('Prelim Rankings Unsor"&amp;"ted'!$B$41, CONCAT(VLOOKUP($C63, 'Match Names'!$A$1:$D$22, 3, FALSE), ""!C3:R29"")), {4;10;16;22}, FALSE)), ""=0"") + COUNTIF(ARRAYFORMULA(HLOOKUP($B63, IMPORTRANGE('Prelim Rankings Unsorted'!$B$42, CONCAT(VLOOKUP($C63, 'Match Names'!$A$1:$D$22, 4, FALSE)"&amp;", ""!C3:R29"")), {2;8;14;20}, FALSE)), ""=0"") + COUNTIF(ARRAYFORMULA(HLOOKUP($B63, IMPORTRANGE('Match Names'!$E$23, CONCAT(VLOOKUP($C63, 'Match Names'!$1:$22, 5, FALSE), ""!C3:R29"")), {3;7;18;23}, FALSE)), ""=0"") + COUNTIF(ARRAYFORMULA(HLOOKUP($B63, IM"&amp;"PORTRANGE('Match Names'!$F$23, CONCAT(VLOOKUP($C63, 'Match Names'!$1:$22, 6, FALSE), ""!C3:R29"")), {6;12;18;24}, FALSE)), ""=0"") + COUNTIF(ARRAYFORMULA(HLOOKUP($B63, IMPORTRANGE('Match Names'!$G$23, CONCAT(VLOOKUP($C63, 'Match Names'!$1:$22, 7, FALSE), "&amp;"""!C3:R29"")), {2;7;17;21}, FALSE)), ""=0"") + COUNTIF(ARRAYFORMULA(HLOOKUP($B63, IMPORTRANGE('Match Names'!$H$23, CONCAT(VLOOKUP($C63, 'Match Names'!$1:$22, 8, FALSE), ""!C3:R29"")), {4;10;16;22}, FALSE)), ""=0"")"),0.0)</f>
        <v>0</v>
      </c>
      <c r="G63" s="9">
        <f>IFERROR(__xludf.DUMMYFUNCTION("COUNTIF(ARRAYFORMULA(HLOOKUP($B63, IMPORTRANGE('Prelim Rankings Unsorted'!$B$40, CONCAT(VLOOKUP($C63, 'Match Names'!$A$1:$D$22, 2, FALSE), ""!C3:R29"")), {3;8;14;20}, FALSE)), ""=-4"") + COUNTIF(ARRAYFORMULA(HLOOKUP($B63, IMPORTRANGE('Prelim Rankings Unso"&amp;"rted'!$B$41, CONCAT(VLOOKUP($C63, 'Match Names'!$A$1:$D$22, 3, FALSE), ""!C3:R29"")), {4;10;16;22}, FALSE)), ""=-4"") + COUNTIF(ARRAYFORMULA(HLOOKUP($B63, IMPORTRANGE('Prelim Rankings Unsorted'!$B$42, CONCAT(VLOOKUP($C63, 'Match Names'!$A$1:$D$22, 4, FALS"&amp;"E), ""!C3:R29"")), {2;8;14;20}, FALSE)), ""=-4"") + COUNTIF(ARRAYFORMULA(HLOOKUP($B63, IMPORTRANGE('Match Names'!$E$23, CONCAT(VLOOKUP($C63, 'Match Names'!$1:$22, 5, FALSE), ""!C3:R29"")), {3;7;18;23}, FALSE)), ""=-4"") + COUNTIF(ARRAYFORMULA(HLOOKUP($B63"&amp;", IMPORTRANGE('Match Names'!$F$23, CONCAT(VLOOKUP($C63, 'Match Names'!$1:$22, 6, FALSE), ""!C3:R29"")), {6;12;18;24}, FALSE)), ""=-4"") + COUNTIF(ARRAYFORMULA(HLOOKUP($B63, IMPORTRANGE('Match Names'!$G$23, CONCAT(VLOOKUP($C63, 'Match Names'!$1:$22, 7, FAL"&amp;"SE), ""!C3:R29"")), {2;7;17;21}, FALSE)), ""=-4"") + COUNTIF(ARRAYFORMULA(HLOOKUP($B63, IMPORTRANGE('Match Names'!$H$23, CONCAT(VLOOKUP($C63, 'Match Names'!$1:$22, 8, FALSE), ""!C3:R29"")), {4;10;16;22}, FALSE)), ""=-4"")"),0.0)</f>
        <v>0</v>
      </c>
      <c r="H63" s="39">
        <f t="shared" si="1"/>
        <v>0</v>
      </c>
    </row>
    <row r="64">
      <c r="A64" s="38" t="s">
        <v>13</v>
      </c>
      <c r="B64" s="38" t="str">
        <f>VLOOKUP(CONCAT(A64, C64), 'Discord Username to Real Name'!C:D, 2, FALSE)</f>
        <v>danliu488#6963</v>
      </c>
      <c r="C64" s="38" t="s">
        <v>22</v>
      </c>
      <c r="D64" s="9">
        <f>IFERROR(__xludf.DUMMYFUNCTION("(4 - COUNTIF(IFERROR(ARRAYFORMULA(HLOOKUP($B64, IMPORTRANGE('Prelim Rankings Unsorted'!$B$40, CONCAT(VLOOKUP($C64, 'Match Names'!$A$1:$D$22, 2, FALSE), ""!C3:R29"")), {3;8;14;20}, FALSE)), 'Player Overall Stats Unsorted'!$AA$9:$AA$12), ""=X"")) + (4 - COU"&amp;"NTIF(IFERROR(ARRAYFORMULA(HLOOKUP($B64, IMPORTRANGE('Prelim Rankings Unsorted'!$B$41, CONCAT(VLOOKUP($C64, 'Match Names'!$A$1:$D$22, 3, FALSE), ""!C3:R29"")), {4;10;16;22}, FALSE)), 'Player Overall Stats Unsorted'!$AA$9:$AA$12), ""=X"")) + (4 - COUNTIF(IF"&amp;"ERROR(ARRAYFORMULA(HLOOKUP($B64, IMPORTRANGE('Prelim Rankings Unsorted'!$B$42, CONCAT(VLOOKUP($C64, 'Match Names'!$A$1:$D$22, 4, FALSE), ""!C3:R29"")), {2;8;14;20}, FALSE)), 'Player Overall Stats Unsorted'!$AA$9:$AA$12), ""=X"")) + (4 - COUNTIF(IFERROR(AR"&amp;"RAYFORMULA(HLOOKUP($B64, IMPORTRANGE('Match Names'!$E$23, CONCAT(VLOOKUP($C64, 'Match Names'!$1:$22, 5, FALSE), ""!C3:R29"")), {3;7;18;23}, FALSE)), 'Player Overall Stats Unsorted'!$AA$9:$AA$12), ""=X"")) + (4 - COUNTIF(IFERROR(ARRAYFORMULA(HLOOKUP($B64, "&amp;"IMPORTRANGE('Match Names'!$F$23, CONCAT(VLOOKUP($C64, 'Match Names'!$1:$22, 6, FALSE), ""!C3:R29"")), {6;12;18;24}, FALSE)), 'Player Overall Stats Unsorted'!$AA$9:$AA$12), ""=X"")) + (4 - COUNTIF(IFERROR(ARRAYFORMULA(HLOOKUP($B64, IMPORTRANGE('Match Names"&amp;"'!$G$23, CONCAT(VLOOKUP($C64, 'Match Names'!$1:$22, 7, FALSE), ""!C3:R29"")), {2;7;17;21}, FALSE)), 'Player Overall Stats Unsorted'!$AA$9:$AA$12), ""=X"")) + (4 - COUNTIF(IFERROR(ARRAYFORMULA(HLOOKUP($B64, IMPORTRANGE('Match Names'!$H$23, CONCAT(VLOOKUP($"&amp;"C64, 'Match Names'!$1:$22, 8, FALSE), ""!C3:R29"")), {4;10;16;22}, FALSE)), 'Player Overall Stats Unsorted'!$AA$9:$AA$12), ""=X""))"),24.0)</f>
        <v>24</v>
      </c>
      <c r="E64" s="9">
        <f>IFERROR(__xludf.DUMMYFUNCTION("COUNTIF(ARRAYFORMULA(HLOOKUP($B64, IMPORTRANGE('Prelim Rankings Unsorted'!$B$40, CONCAT(VLOOKUP($C64, 'Match Names'!$A$1:$D$22, 2, FALSE), ""!C3:R29"")), {3;8;14;20}, FALSE)), ""=4"") + COUNTIF(ARRAYFORMULA(HLOOKUP($B64, IMPORTRANGE('Prelim Rankings Unsor"&amp;"ted'!$B$41, CONCAT(VLOOKUP($C64, 'Match Names'!$A$1:$D$22, 3, FALSE), ""!C3:R29"")), {4;10;16;22}, FALSE)), ""=4"") + COUNTIF(ARRAYFORMULA(HLOOKUP($B64, IMPORTRANGE('Prelim Rankings Unsorted'!$B$42, CONCAT(VLOOKUP($C64, 'Match Names'!$A$1:$D$22, 4, FALSE)"&amp;", ""!C3:R29"")), {2;8;14;20}, FALSE)), ""=4"") + COUNTIF(ARRAYFORMULA(HLOOKUP($B64, IMPORTRANGE('Match Names'!$E$23, CONCAT(VLOOKUP($C64, 'Match Names'!$1:$22, 5, FALSE), ""!C3:R29"")), {3;7;18;23}, FALSE)), ""=4"") + COUNTIF(ARRAYFORMULA(HLOOKUP($B64, IM"&amp;"PORTRANGE('Match Names'!$F$23, CONCAT(VLOOKUP($C64, 'Match Names'!$1:$22, 6, FALSE), ""!C3:R29"")), {6;12;18;24}, FALSE)), ""=4"") + COUNTIF(ARRAYFORMULA(HLOOKUP($B64, IMPORTRANGE('Match Names'!$G$23, CONCAT(VLOOKUP($C64, 'Match Names'!$1:$22, 7, FALSE), "&amp;"""!C3:R29"")), {2;7;17;21}, FALSE)), ""=4"") + COUNTIF(ARRAYFORMULA(HLOOKUP($B64, IMPORTRANGE('Match Names'!$H$23, CONCAT(VLOOKUP($C64, 'Match Names'!$1:$22, 8, FALSE), ""!C3:R29"")), {4;10;16;22}, FALSE)), ""=4"")"),2.0)</f>
        <v>2</v>
      </c>
      <c r="F64" s="9">
        <f>IFERROR(__xludf.DUMMYFUNCTION("COUNTIF(ARRAYFORMULA(HLOOKUP($B64, IMPORTRANGE('Prelim Rankings Unsorted'!$B$40, CONCAT(VLOOKUP($C64, 'Match Names'!$A$1:$D$22, 2, FALSE), ""!C3:R29"")), {3;8;14;20}, FALSE)), ""=0"") + COUNTIF(ARRAYFORMULA(HLOOKUP($B64, IMPORTRANGE('Prelim Rankings Unsor"&amp;"ted'!$B$41, CONCAT(VLOOKUP($C64, 'Match Names'!$A$1:$D$22, 3, FALSE), ""!C3:R29"")), {4;10;16;22}, FALSE)), ""=0"") + COUNTIF(ARRAYFORMULA(HLOOKUP($B64, IMPORTRANGE('Prelim Rankings Unsorted'!$B$42, CONCAT(VLOOKUP($C64, 'Match Names'!$A$1:$D$22, 4, FALSE)"&amp;", ""!C3:R29"")), {2;8;14;20}, FALSE)), ""=0"") + COUNTIF(ARRAYFORMULA(HLOOKUP($B64, IMPORTRANGE('Match Names'!$E$23, CONCAT(VLOOKUP($C64, 'Match Names'!$1:$22, 5, FALSE), ""!C3:R29"")), {3;7;18;23}, FALSE)), ""=0"") + COUNTIF(ARRAYFORMULA(HLOOKUP($B64, IM"&amp;"PORTRANGE('Match Names'!$F$23, CONCAT(VLOOKUP($C64, 'Match Names'!$1:$22, 6, FALSE), ""!C3:R29"")), {6;12;18;24}, FALSE)), ""=0"") + COUNTIF(ARRAYFORMULA(HLOOKUP($B64, IMPORTRANGE('Match Names'!$G$23, CONCAT(VLOOKUP($C64, 'Match Names'!$1:$22, 7, FALSE), "&amp;"""!C3:R29"")), {2;7;17;21}, FALSE)), ""=0"") + COUNTIF(ARRAYFORMULA(HLOOKUP($B64, IMPORTRANGE('Match Names'!$H$23, CONCAT(VLOOKUP($C64, 'Match Names'!$1:$22, 8, FALSE), ""!C3:R29"")), {4;10;16;22}, FALSE)), ""=0"")"),0.0)</f>
        <v>0</v>
      </c>
      <c r="G64" s="9">
        <f>IFERROR(__xludf.DUMMYFUNCTION("COUNTIF(ARRAYFORMULA(HLOOKUP($B64, IMPORTRANGE('Prelim Rankings Unsorted'!$B$40, CONCAT(VLOOKUP($C64, 'Match Names'!$A$1:$D$22, 2, FALSE), ""!C3:R29"")), {3;8;14;20}, FALSE)), ""=-4"") + COUNTIF(ARRAYFORMULA(HLOOKUP($B64, IMPORTRANGE('Prelim Rankings Unso"&amp;"rted'!$B$41, CONCAT(VLOOKUP($C64, 'Match Names'!$A$1:$D$22, 3, FALSE), ""!C3:R29"")), {4;10;16;22}, FALSE)), ""=-4"") + COUNTIF(ARRAYFORMULA(HLOOKUP($B64, IMPORTRANGE('Prelim Rankings Unsorted'!$B$42, CONCAT(VLOOKUP($C64, 'Match Names'!$A$1:$D$22, 4, FALS"&amp;"E), ""!C3:R29"")), {2;8;14;20}, FALSE)), ""=-4"") + COUNTIF(ARRAYFORMULA(HLOOKUP($B64, IMPORTRANGE('Match Names'!$E$23, CONCAT(VLOOKUP($C64, 'Match Names'!$1:$22, 5, FALSE), ""!C3:R29"")), {3;7;18;23}, FALSE)), ""=-4"") + COUNTIF(ARRAYFORMULA(HLOOKUP($B64"&amp;", IMPORTRANGE('Match Names'!$F$23, CONCAT(VLOOKUP($C64, 'Match Names'!$1:$22, 6, FALSE), ""!C3:R29"")), {6;12;18;24}, FALSE)), ""=-4"") + COUNTIF(ARRAYFORMULA(HLOOKUP($B64, IMPORTRANGE('Match Names'!$G$23, CONCAT(VLOOKUP($C64, 'Match Names'!$1:$22, 7, FAL"&amp;"SE), ""!C3:R29"")), {2;7;17;21}, FALSE)), ""=-4"") + COUNTIF(ARRAYFORMULA(HLOOKUP($B64, IMPORTRANGE('Match Names'!$H$23, CONCAT(VLOOKUP($C64, 'Match Names'!$1:$22, 8, FALSE), ""!C3:R29"")), {4;10;16;22}, FALSE)), ""=-4"")"),0.0)</f>
        <v>0</v>
      </c>
      <c r="H64" s="39">
        <f t="shared" si="1"/>
        <v>1.33</v>
      </c>
    </row>
    <row r="65">
      <c r="A65" s="38" t="s">
        <v>99</v>
      </c>
      <c r="B65" s="38" t="str">
        <f>VLOOKUP(CONCAT(A65, C65), 'Discord Username to Real Name'!C:D, 2, FALSE)</f>
        <v>prr#4609</v>
      </c>
      <c r="C65" s="38" t="s">
        <v>22</v>
      </c>
      <c r="D65" s="9">
        <f>IFERROR(__xludf.DUMMYFUNCTION("(4 - COUNTIF(IFERROR(ARRAYFORMULA(HLOOKUP($B65, IMPORTRANGE('Prelim Rankings Unsorted'!$B$40, CONCAT(VLOOKUP($C65, 'Match Names'!$A$1:$D$22, 2, FALSE), ""!C3:R29"")), {3;8;14;20}, FALSE)), 'Player Overall Stats Unsorted'!$AA$9:$AA$12), ""=X"")) + (4 - COU"&amp;"NTIF(IFERROR(ARRAYFORMULA(HLOOKUP($B65, IMPORTRANGE('Prelim Rankings Unsorted'!$B$41, CONCAT(VLOOKUP($C65, 'Match Names'!$A$1:$D$22, 3, FALSE), ""!C3:R29"")), {4;10;16;22}, FALSE)), 'Player Overall Stats Unsorted'!$AA$9:$AA$12), ""=X"")) + (4 - COUNTIF(IF"&amp;"ERROR(ARRAYFORMULA(HLOOKUP($B65, IMPORTRANGE('Prelim Rankings Unsorted'!$B$42, CONCAT(VLOOKUP($C65, 'Match Names'!$A$1:$D$22, 4, FALSE), ""!C3:R29"")), {2;8;14;20}, FALSE)), 'Player Overall Stats Unsorted'!$AA$9:$AA$12), ""=X"")) + (4 - COUNTIF(IFERROR(AR"&amp;"RAYFORMULA(HLOOKUP($B65, IMPORTRANGE('Match Names'!$E$23, CONCAT(VLOOKUP($C65, 'Match Names'!$1:$22, 5, FALSE), ""!C3:R29"")), {3;7;18;23}, FALSE)), 'Player Overall Stats Unsorted'!$AA$9:$AA$12), ""=X"")) + (4 - COUNTIF(IFERROR(ARRAYFORMULA(HLOOKUP($B65, "&amp;"IMPORTRANGE('Match Names'!$F$23, CONCAT(VLOOKUP($C65, 'Match Names'!$1:$22, 6, FALSE), ""!C3:R29"")), {6;12;18;24}, FALSE)), 'Player Overall Stats Unsorted'!$AA$9:$AA$12), ""=X"")) + (4 - COUNTIF(IFERROR(ARRAYFORMULA(HLOOKUP($B65, IMPORTRANGE('Match Names"&amp;"'!$G$23, CONCAT(VLOOKUP($C65, 'Match Names'!$1:$22, 7, FALSE), ""!C3:R29"")), {2;7;17;21}, FALSE)), 'Player Overall Stats Unsorted'!$AA$9:$AA$12), ""=X"")) + (4 - COUNTIF(IFERROR(ARRAYFORMULA(HLOOKUP($B65, IMPORTRANGE('Match Names'!$H$23, CONCAT(VLOOKUP($"&amp;"C65, 'Match Names'!$1:$22, 8, FALSE), ""!C3:R29"")), {4;10;16;22}, FALSE)), 'Player Overall Stats Unsorted'!$AA$9:$AA$12), ""=X""))"),18.0)</f>
        <v>18</v>
      </c>
      <c r="E65" s="9">
        <f>IFERROR(__xludf.DUMMYFUNCTION("COUNTIF(ARRAYFORMULA(HLOOKUP($B65, IMPORTRANGE('Prelim Rankings Unsorted'!$B$40, CONCAT(VLOOKUP($C65, 'Match Names'!$A$1:$D$22, 2, FALSE), ""!C3:R29"")), {3;8;14;20}, FALSE)), ""=4"") + COUNTIF(ARRAYFORMULA(HLOOKUP($B65, IMPORTRANGE('Prelim Rankings Unsor"&amp;"ted'!$B$41, CONCAT(VLOOKUP($C65, 'Match Names'!$A$1:$D$22, 3, FALSE), ""!C3:R29"")), {4;10;16;22}, FALSE)), ""=4"") + COUNTIF(ARRAYFORMULA(HLOOKUP($B65, IMPORTRANGE('Prelim Rankings Unsorted'!$B$42, CONCAT(VLOOKUP($C65, 'Match Names'!$A$1:$D$22, 4, FALSE)"&amp;", ""!C3:R29"")), {2;8;14;20}, FALSE)), ""=4"") + COUNTIF(ARRAYFORMULA(HLOOKUP($B65, IMPORTRANGE('Match Names'!$E$23, CONCAT(VLOOKUP($C65, 'Match Names'!$1:$22, 5, FALSE), ""!C3:R29"")), {3;7;18;23}, FALSE)), ""=4"") + COUNTIF(ARRAYFORMULA(HLOOKUP($B65, IM"&amp;"PORTRANGE('Match Names'!$F$23, CONCAT(VLOOKUP($C65, 'Match Names'!$1:$22, 6, FALSE), ""!C3:R29"")), {6;12;18;24}, FALSE)), ""=4"") + COUNTIF(ARRAYFORMULA(HLOOKUP($B65, IMPORTRANGE('Match Names'!$G$23, CONCAT(VLOOKUP($C65, 'Match Names'!$1:$22, 7, FALSE), "&amp;"""!C3:R29"")), {2;7;17;21}, FALSE)), ""=4"") + COUNTIF(ARRAYFORMULA(HLOOKUP($B65, IMPORTRANGE('Match Names'!$H$23, CONCAT(VLOOKUP($C65, 'Match Names'!$1:$22, 8, FALSE), ""!C3:R29"")), {4;10;16;22}, FALSE)), ""=4"")"),5.0)</f>
        <v>5</v>
      </c>
      <c r="F65" s="9">
        <f>IFERROR(__xludf.DUMMYFUNCTION("COUNTIF(ARRAYFORMULA(HLOOKUP($B65, IMPORTRANGE('Prelim Rankings Unsorted'!$B$40, CONCAT(VLOOKUP($C65, 'Match Names'!$A$1:$D$22, 2, FALSE), ""!C3:R29"")), {3;8;14;20}, FALSE)), ""=0"") + COUNTIF(ARRAYFORMULA(HLOOKUP($B65, IMPORTRANGE('Prelim Rankings Unsor"&amp;"ted'!$B$41, CONCAT(VLOOKUP($C65, 'Match Names'!$A$1:$D$22, 3, FALSE), ""!C3:R29"")), {4;10;16;22}, FALSE)), ""=0"") + COUNTIF(ARRAYFORMULA(HLOOKUP($B65, IMPORTRANGE('Prelim Rankings Unsorted'!$B$42, CONCAT(VLOOKUP($C65, 'Match Names'!$A$1:$D$22, 4, FALSE)"&amp;", ""!C3:R29"")), {2;8;14;20}, FALSE)), ""=0"") + COUNTIF(ARRAYFORMULA(HLOOKUP($B65, IMPORTRANGE('Match Names'!$E$23, CONCAT(VLOOKUP($C65, 'Match Names'!$1:$22, 5, FALSE), ""!C3:R29"")), {3;7;18;23}, FALSE)), ""=0"") + COUNTIF(ARRAYFORMULA(HLOOKUP($B65, IM"&amp;"PORTRANGE('Match Names'!$F$23, CONCAT(VLOOKUP($C65, 'Match Names'!$1:$22, 6, FALSE), ""!C3:R29"")), {6;12;18;24}, FALSE)), ""=0"") + COUNTIF(ARRAYFORMULA(HLOOKUP($B65, IMPORTRANGE('Match Names'!$G$23, CONCAT(VLOOKUP($C65, 'Match Names'!$1:$22, 7, FALSE), "&amp;"""!C3:R29"")), {2;7;17;21}, FALSE)), ""=0"") + COUNTIF(ARRAYFORMULA(HLOOKUP($B65, IMPORTRANGE('Match Names'!$H$23, CONCAT(VLOOKUP($C65, 'Match Names'!$1:$22, 8, FALSE), ""!C3:R29"")), {4;10;16;22}, FALSE)), ""=0"")"),3.0)</f>
        <v>3</v>
      </c>
      <c r="G65" s="9">
        <f>IFERROR(__xludf.DUMMYFUNCTION("COUNTIF(ARRAYFORMULA(HLOOKUP($B65, IMPORTRANGE('Prelim Rankings Unsorted'!$B$40, CONCAT(VLOOKUP($C65, 'Match Names'!$A$1:$D$22, 2, FALSE), ""!C3:R29"")), {3;8;14;20}, FALSE)), ""=-4"") + COUNTIF(ARRAYFORMULA(HLOOKUP($B65, IMPORTRANGE('Prelim Rankings Unso"&amp;"rted'!$B$41, CONCAT(VLOOKUP($C65, 'Match Names'!$A$1:$D$22, 3, FALSE), ""!C3:R29"")), {4;10;16;22}, FALSE)), ""=-4"") + COUNTIF(ARRAYFORMULA(HLOOKUP($B65, IMPORTRANGE('Prelim Rankings Unsorted'!$B$42, CONCAT(VLOOKUP($C65, 'Match Names'!$A$1:$D$22, 4, FALS"&amp;"E), ""!C3:R29"")), {2;8;14;20}, FALSE)), ""=-4"") + COUNTIF(ARRAYFORMULA(HLOOKUP($B65, IMPORTRANGE('Match Names'!$E$23, CONCAT(VLOOKUP($C65, 'Match Names'!$1:$22, 5, FALSE), ""!C3:R29"")), {3;7;18;23}, FALSE)), ""=-4"") + COUNTIF(ARRAYFORMULA(HLOOKUP($B65"&amp;", IMPORTRANGE('Match Names'!$F$23, CONCAT(VLOOKUP($C65, 'Match Names'!$1:$22, 6, FALSE), ""!C3:R29"")), {6;12;18;24}, FALSE)), ""=-4"") + COUNTIF(ARRAYFORMULA(HLOOKUP($B65, IMPORTRANGE('Match Names'!$G$23, CONCAT(VLOOKUP($C65, 'Match Names'!$1:$22, 7, FAL"&amp;"SE), ""!C3:R29"")), {2;7;17;21}, FALSE)), ""=-4"") + COUNTIF(ARRAYFORMULA(HLOOKUP($B65, IMPORTRANGE('Match Names'!$H$23, CONCAT(VLOOKUP($C65, 'Match Names'!$1:$22, 8, FALSE), ""!C3:R29"")), {4;10;16;22}, FALSE)), ""=-4"")"),0.0)</f>
        <v>0</v>
      </c>
      <c r="H65" s="39">
        <f t="shared" si="1"/>
        <v>4.44</v>
      </c>
    </row>
    <row r="66">
      <c r="A66" s="38" t="s">
        <v>174</v>
      </c>
      <c r="B66" s="38" t="str">
        <f>VLOOKUP(CONCAT(A66, C66), 'Discord Username to Real Name'!C:D, 2, FALSE)</f>
        <v>Static#2349</v>
      </c>
      <c r="C66" s="38" t="s">
        <v>22</v>
      </c>
      <c r="D66" s="9">
        <f>IFERROR(__xludf.DUMMYFUNCTION("(4 - COUNTIF(IFERROR(ARRAYFORMULA(HLOOKUP($B66, IMPORTRANGE('Prelim Rankings Unsorted'!$B$40, CONCAT(VLOOKUP($C66, 'Match Names'!$A$1:$D$22, 2, FALSE), ""!C3:R29"")), {3;8;14;20}, FALSE)), 'Player Overall Stats Unsorted'!$AA$9:$AA$12), ""=X"")) + (4 - COU"&amp;"NTIF(IFERROR(ARRAYFORMULA(HLOOKUP($B66, IMPORTRANGE('Prelim Rankings Unsorted'!$B$41, CONCAT(VLOOKUP($C66, 'Match Names'!$A$1:$D$22, 3, FALSE), ""!C3:R29"")), {4;10;16;22}, FALSE)), 'Player Overall Stats Unsorted'!$AA$9:$AA$12), ""=X"")) + (4 - COUNTIF(IF"&amp;"ERROR(ARRAYFORMULA(HLOOKUP($B66, IMPORTRANGE('Prelim Rankings Unsorted'!$B$42, CONCAT(VLOOKUP($C66, 'Match Names'!$A$1:$D$22, 4, FALSE), ""!C3:R29"")), {2;8;14;20}, FALSE)), 'Player Overall Stats Unsorted'!$AA$9:$AA$12), ""=X"")) + (4 - COUNTIF(IFERROR(AR"&amp;"RAYFORMULA(HLOOKUP($B66, IMPORTRANGE('Match Names'!$E$23, CONCAT(VLOOKUP($C66, 'Match Names'!$1:$22, 5, FALSE), ""!C3:R29"")), {3;7;18;23}, FALSE)), 'Player Overall Stats Unsorted'!$AA$9:$AA$12), ""=X"")) + (4 - COUNTIF(IFERROR(ARRAYFORMULA(HLOOKUP($B66, "&amp;"IMPORTRANGE('Match Names'!$F$23, CONCAT(VLOOKUP($C66, 'Match Names'!$1:$22, 6, FALSE), ""!C3:R29"")), {6;12;18;24}, FALSE)), 'Player Overall Stats Unsorted'!$AA$9:$AA$12), ""=X"")) + (4 - COUNTIF(IFERROR(ARRAYFORMULA(HLOOKUP($B66, IMPORTRANGE('Match Names"&amp;"'!$G$23, CONCAT(VLOOKUP($C66, 'Match Names'!$1:$22, 7, FALSE), ""!C3:R29"")), {2;7;17;21}, FALSE)), 'Player Overall Stats Unsorted'!$AA$9:$AA$12), ""=X"")) + (4 - COUNTIF(IFERROR(ARRAYFORMULA(HLOOKUP($B66, IMPORTRANGE('Match Names'!$H$23, CONCAT(VLOOKUP($"&amp;"C66, 'Match Names'!$1:$22, 8, FALSE), ""!C3:R29"")), {4;10;16;22}, FALSE)), 'Player Overall Stats Unsorted'!$AA$9:$AA$12), ""=X""))"),16.0)</f>
        <v>16</v>
      </c>
      <c r="E66" s="9">
        <f>IFERROR(__xludf.DUMMYFUNCTION("COUNTIF(ARRAYFORMULA(HLOOKUP($B66, IMPORTRANGE('Prelim Rankings Unsorted'!$B$40, CONCAT(VLOOKUP($C66, 'Match Names'!$A$1:$D$22, 2, FALSE), ""!C3:R29"")), {3;8;14;20}, FALSE)), ""=4"") + COUNTIF(ARRAYFORMULA(HLOOKUP($B66, IMPORTRANGE('Prelim Rankings Unsor"&amp;"ted'!$B$41, CONCAT(VLOOKUP($C66, 'Match Names'!$A$1:$D$22, 3, FALSE), ""!C3:R29"")), {4;10;16;22}, FALSE)), ""=4"") + COUNTIF(ARRAYFORMULA(HLOOKUP($B66, IMPORTRANGE('Prelim Rankings Unsorted'!$B$42, CONCAT(VLOOKUP($C66, 'Match Names'!$A$1:$D$22, 4, FALSE)"&amp;", ""!C3:R29"")), {2;8;14;20}, FALSE)), ""=4"") + COUNTIF(ARRAYFORMULA(HLOOKUP($B66, IMPORTRANGE('Match Names'!$E$23, CONCAT(VLOOKUP($C66, 'Match Names'!$1:$22, 5, FALSE), ""!C3:R29"")), {3;7;18;23}, FALSE)), ""=4"") + COUNTIF(ARRAYFORMULA(HLOOKUP($B66, IM"&amp;"PORTRANGE('Match Names'!$F$23, CONCAT(VLOOKUP($C66, 'Match Names'!$1:$22, 6, FALSE), ""!C3:R29"")), {6;12;18;24}, FALSE)), ""=4"") + COUNTIF(ARRAYFORMULA(HLOOKUP($B66, IMPORTRANGE('Match Names'!$G$23, CONCAT(VLOOKUP($C66, 'Match Names'!$1:$22, 7, FALSE), "&amp;"""!C3:R29"")), {2;7;17;21}, FALSE)), ""=4"") + COUNTIF(ARRAYFORMULA(HLOOKUP($B66, IMPORTRANGE('Match Names'!$H$23, CONCAT(VLOOKUP($C66, 'Match Names'!$1:$22, 8, FALSE), ""!C3:R29"")), {4;10;16;22}, FALSE)), ""=4"")"),0.0)</f>
        <v>0</v>
      </c>
      <c r="F66" s="9">
        <f>IFERROR(__xludf.DUMMYFUNCTION("COUNTIF(ARRAYFORMULA(HLOOKUP($B66, IMPORTRANGE('Prelim Rankings Unsorted'!$B$40, CONCAT(VLOOKUP($C66, 'Match Names'!$A$1:$D$22, 2, FALSE), ""!C3:R29"")), {3;8;14;20}, FALSE)), ""=0"") + COUNTIF(ARRAYFORMULA(HLOOKUP($B66, IMPORTRANGE('Prelim Rankings Unsor"&amp;"ted'!$B$41, CONCAT(VLOOKUP($C66, 'Match Names'!$A$1:$D$22, 3, FALSE), ""!C3:R29"")), {4;10;16;22}, FALSE)), ""=0"") + COUNTIF(ARRAYFORMULA(HLOOKUP($B66, IMPORTRANGE('Prelim Rankings Unsorted'!$B$42, CONCAT(VLOOKUP($C66, 'Match Names'!$A$1:$D$22, 4, FALSE)"&amp;", ""!C3:R29"")), {2;8;14;20}, FALSE)), ""=0"") + COUNTIF(ARRAYFORMULA(HLOOKUP($B66, IMPORTRANGE('Match Names'!$E$23, CONCAT(VLOOKUP($C66, 'Match Names'!$1:$22, 5, FALSE), ""!C3:R29"")), {3;7;18;23}, FALSE)), ""=0"") + COUNTIF(ARRAYFORMULA(HLOOKUP($B66, IM"&amp;"PORTRANGE('Match Names'!$F$23, CONCAT(VLOOKUP($C66, 'Match Names'!$1:$22, 6, FALSE), ""!C3:R29"")), {6;12;18;24}, FALSE)), ""=0"") + COUNTIF(ARRAYFORMULA(HLOOKUP($B66, IMPORTRANGE('Match Names'!$G$23, CONCAT(VLOOKUP($C66, 'Match Names'!$1:$22, 7, FALSE), "&amp;"""!C3:R29"")), {2;7;17;21}, FALSE)), ""=0"") + COUNTIF(ARRAYFORMULA(HLOOKUP($B66, IMPORTRANGE('Match Names'!$H$23, CONCAT(VLOOKUP($C66, 'Match Names'!$1:$22, 8, FALSE), ""!C3:R29"")), {4;10;16;22}, FALSE)), ""=0"")"),0.0)</f>
        <v>0</v>
      </c>
      <c r="G66" s="9">
        <f>IFERROR(__xludf.DUMMYFUNCTION("COUNTIF(ARRAYFORMULA(HLOOKUP($B66, IMPORTRANGE('Prelim Rankings Unsorted'!$B$40, CONCAT(VLOOKUP($C66, 'Match Names'!$A$1:$D$22, 2, FALSE), ""!C3:R29"")), {3;8;14;20}, FALSE)), ""=-4"") + COUNTIF(ARRAYFORMULA(HLOOKUP($B66, IMPORTRANGE('Prelim Rankings Unso"&amp;"rted'!$B$41, CONCAT(VLOOKUP($C66, 'Match Names'!$A$1:$D$22, 3, FALSE), ""!C3:R29"")), {4;10;16;22}, FALSE)), ""=-4"") + COUNTIF(ARRAYFORMULA(HLOOKUP($B66, IMPORTRANGE('Prelim Rankings Unsorted'!$B$42, CONCAT(VLOOKUP($C66, 'Match Names'!$A$1:$D$22, 4, FALS"&amp;"E), ""!C3:R29"")), {2;8;14;20}, FALSE)), ""=-4"") + COUNTIF(ARRAYFORMULA(HLOOKUP($B66, IMPORTRANGE('Match Names'!$E$23, CONCAT(VLOOKUP($C66, 'Match Names'!$1:$22, 5, FALSE), ""!C3:R29"")), {3;7;18;23}, FALSE)), ""=-4"") + COUNTIF(ARRAYFORMULA(HLOOKUP($B66"&amp;", IMPORTRANGE('Match Names'!$F$23, CONCAT(VLOOKUP($C66, 'Match Names'!$1:$22, 6, FALSE), ""!C3:R29"")), {6;12;18;24}, FALSE)), ""=-4"") + COUNTIF(ARRAYFORMULA(HLOOKUP($B66, IMPORTRANGE('Match Names'!$G$23, CONCAT(VLOOKUP($C66, 'Match Names'!$1:$22, 7, FAL"&amp;"SE), ""!C3:R29"")), {2;7;17;21}, FALSE)), ""=-4"") + COUNTIF(ARRAYFORMULA(HLOOKUP($B66, IMPORTRANGE('Match Names'!$H$23, CONCAT(VLOOKUP($C66, 'Match Names'!$1:$22, 8, FALSE), ""!C3:R29"")), {4;10;16;22}, FALSE)), ""=-4"")"),0.0)</f>
        <v>0</v>
      </c>
      <c r="H66" s="39">
        <f t="shared" si="1"/>
        <v>0</v>
      </c>
    </row>
    <row r="67">
      <c r="A67" s="38" t="s">
        <v>79</v>
      </c>
      <c r="B67" s="38" t="str">
        <f>VLOOKUP(CONCAT(A67, C67), 'Discord Username to Real Name'!C:D, 2, FALSE)</f>
        <v>Serferducter#1979</v>
      </c>
      <c r="C67" s="38" t="s">
        <v>22</v>
      </c>
      <c r="D67" s="9">
        <f>IFERROR(__xludf.DUMMYFUNCTION("(4 - COUNTIF(IFERROR(ARRAYFORMULA(HLOOKUP($B67, IMPORTRANGE('Prelim Rankings Unsorted'!$B$40, CONCAT(VLOOKUP($C67, 'Match Names'!$A$1:$D$22, 2, FALSE), ""!C3:R29"")), {3;8;14;20}, FALSE)), 'Player Overall Stats Unsorted'!$AA$9:$AA$12), ""=X"")) + (4 - COU"&amp;"NTIF(IFERROR(ARRAYFORMULA(HLOOKUP($B67, IMPORTRANGE('Prelim Rankings Unsorted'!$B$41, CONCAT(VLOOKUP($C67, 'Match Names'!$A$1:$D$22, 3, FALSE), ""!C3:R29"")), {4;10;16;22}, FALSE)), 'Player Overall Stats Unsorted'!$AA$9:$AA$12), ""=X"")) + (4 - COUNTIF(IF"&amp;"ERROR(ARRAYFORMULA(HLOOKUP($B67, IMPORTRANGE('Prelim Rankings Unsorted'!$B$42, CONCAT(VLOOKUP($C67, 'Match Names'!$A$1:$D$22, 4, FALSE), ""!C3:R29"")), {2;8;14;20}, FALSE)), 'Player Overall Stats Unsorted'!$AA$9:$AA$12), ""=X"")) + (4 - COUNTIF(IFERROR(AR"&amp;"RAYFORMULA(HLOOKUP($B67, IMPORTRANGE('Match Names'!$E$23, CONCAT(VLOOKUP($C67, 'Match Names'!$1:$22, 5, FALSE), ""!C3:R29"")), {3;7;18;23}, FALSE)), 'Player Overall Stats Unsorted'!$AA$9:$AA$12), ""=X"")) + (4 - COUNTIF(IFERROR(ARRAYFORMULA(HLOOKUP($B67, "&amp;"IMPORTRANGE('Match Names'!$F$23, CONCAT(VLOOKUP($C67, 'Match Names'!$1:$22, 6, FALSE), ""!C3:R29"")), {6;12;18;24}, FALSE)), 'Player Overall Stats Unsorted'!$AA$9:$AA$12), ""=X"")) + (4 - COUNTIF(IFERROR(ARRAYFORMULA(HLOOKUP($B67, IMPORTRANGE('Match Names"&amp;"'!$G$23, CONCAT(VLOOKUP($C67, 'Match Names'!$1:$22, 7, FALSE), ""!C3:R29"")), {2;7;17;21}, FALSE)), 'Player Overall Stats Unsorted'!$AA$9:$AA$12), ""=X"")) + (4 - COUNTIF(IFERROR(ARRAYFORMULA(HLOOKUP($B67, IMPORTRANGE('Match Names'!$H$23, CONCAT(VLOOKUP($"&amp;"C67, 'Match Names'!$1:$22, 8, FALSE), ""!C3:R29"")), {4;10;16;22}, FALSE)), 'Player Overall Stats Unsorted'!$AA$9:$AA$12), ""=X""))"),22.0)</f>
        <v>22</v>
      </c>
      <c r="E67" s="9">
        <f>IFERROR(__xludf.DUMMYFUNCTION("COUNTIF(ARRAYFORMULA(HLOOKUP($B67, IMPORTRANGE('Prelim Rankings Unsorted'!$B$40, CONCAT(VLOOKUP($C67, 'Match Names'!$A$1:$D$22, 2, FALSE), ""!C3:R29"")), {3;8;14;20}, FALSE)), ""=4"") + COUNTIF(ARRAYFORMULA(HLOOKUP($B67, IMPORTRANGE('Prelim Rankings Unsor"&amp;"ted'!$B$41, CONCAT(VLOOKUP($C67, 'Match Names'!$A$1:$D$22, 3, FALSE), ""!C3:R29"")), {4;10;16;22}, FALSE)), ""=4"") + COUNTIF(ARRAYFORMULA(HLOOKUP($B67, IMPORTRANGE('Prelim Rankings Unsorted'!$B$42, CONCAT(VLOOKUP($C67, 'Match Names'!$A$1:$D$22, 4, FALSE)"&amp;", ""!C3:R29"")), {2;8;14;20}, FALSE)), ""=4"") + COUNTIF(ARRAYFORMULA(HLOOKUP($B67, IMPORTRANGE('Match Names'!$E$23, CONCAT(VLOOKUP($C67, 'Match Names'!$1:$22, 5, FALSE), ""!C3:R29"")), {3;7;18;23}, FALSE)), ""=4"") + COUNTIF(ARRAYFORMULA(HLOOKUP($B67, IM"&amp;"PORTRANGE('Match Names'!$F$23, CONCAT(VLOOKUP($C67, 'Match Names'!$1:$22, 6, FALSE), ""!C3:R29"")), {6;12;18;24}, FALSE)), ""=4"") + COUNTIF(ARRAYFORMULA(HLOOKUP($B67, IMPORTRANGE('Match Names'!$G$23, CONCAT(VLOOKUP($C67, 'Match Names'!$1:$22, 7, FALSE), "&amp;"""!C3:R29"")), {2;7;17;21}, FALSE)), ""=4"") + COUNTIF(ARRAYFORMULA(HLOOKUP($B67, IMPORTRANGE('Match Names'!$H$23, CONCAT(VLOOKUP($C67, 'Match Names'!$1:$22, 8, FALSE), ""!C3:R29"")), {4;10;16;22}, FALSE)), ""=4"")"),4.0)</f>
        <v>4</v>
      </c>
      <c r="F67" s="9">
        <f>IFERROR(__xludf.DUMMYFUNCTION("COUNTIF(ARRAYFORMULA(HLOOKUP($B67, IMPORTRANGE('Prelim Rankings Unsorted'!$B$40, CONCAT(VLOOKUP($C67, 'Match Names'!$A$1:$D$22, 2, FALSE), ""!C3:R29"")), {3;8;14;20}, FALSE)), ""=0"") + COUNTIF(ARRAYFORMULA(HLOOKUP($B67, IMPORTRANGE('Prelim Rankings Unsor"&amp;"ted'!$B$41, CONCAT(VLOOKUP($C67, 'Match Names'!$A$1:$D$22, 3, FALSE), ""!C3:R29"")), {4;10;16;22}, FALSE)), ""=0"") + COUNTIF(ARRAYFORMULA(HLOOKUP($B67, IMPORTRANGE('Prelim Rankings Unsorted'!$B$42, CONCAT(VLOOKUP($C67, 'Match Names'!$A$1:$D$22, 4, FALSE)"&amp;", ""!C3:R29"")), {2;8;14;20}, FALSE)), ""=0"") + COUNTIF(ARRAYFORMULA(HLOOKUP($B67, IMPORTRANGE('Match Names'!$E$23, CONCAT(VLOOKUP($C67, 'Match Names'!$1:$22, 5, FALSE), ""!C3:R29"")), {3;7;18;23}, FALSE)), ""=0"") + COUNTIF(ARRAYFORMULA(HLOOKUP($B67, IM"&amp;"PORTRANGE('Match Names'!$F$23, CONCAT(VLOOKUP($C67, 'Match Names'!$1:$22, 6, FALSE), ""!C3:R29"")), {6;12;18;24}, FALSE)), ""=0"") + COUNTIF(ARRAYFORMULA(HLOOKUP($B67, IMPORTRANGE('Match Names'!$G$23, CONCAT(VLOOKUP($C67, 'Match Names'!$1:$22, 7, FALSE), "&amp;"""!C3:R29"")), {2;7;17;21}, FALSE)), ""=0"") + COUNTIF(ARRAYFORMULA(HLOOKUP($B67, IMPORTRANGE('Match Names'!$H$23, CONCAT(VLOOKUP($C67, 'Match Names'!$1:$22, 8, FALSE), ""!C3:R29"")), {4;10;16;22}, FALSE)), ""=0"")"),4.0)</f>
        <v>4</v>
      </c>
      <c r="G67" s="9">
        <f>IFERROR(__xludf.DUMMYFUNCTION("COUNTIF(ARRAYFORMULA(HLOOKUP($B67, IMPORTRANGE('Prelim Rankings Unsorted'!$B$40, CONCAT(VLOOKUP($C67, 'Match Names'!$A$1:$D$22, 2, FALSE), ""!C3:R29"")), {3;8;14;20}, FALSE)), ""=-4"") + COUNTIF(ARRAYFORMULA(HLOOKUP($B67, IMPORTRANGE('Prelim Rankings Unso"&amp;"rted'!$B$41, CONCAT(VLOOKUP($C67, 'Match Names'!$A$1:$D$22, 3, FALSE), ""!C3:R29"")), {4;10;16;22}, FALSE)), ""=-4"") + COUNTIF(ARRAYFORMULA(HLOOKUP($B67, IMPORTRANGE('Prelim Rankings Unsorted'!$B$42, CONCAT(VLOOKUP($C67, 'Match Names'!$A$1:$D$22, 4, FALS"&amp;"E), ""!C3:R29"")), {2;8;14;20}, FALSE)), ""=-4"") + COUNTIF(ARRAYFORMULA(HLOOKUP($B67, IMPORTRANGE('Match Names'!$E$23, CONCAT(VLOOKUP($C67, 'Match Names'!$1:$22, 5, FALSE), ""!C3:R29"")), {3;7;18;23}, FALSE)), ""=-4"") + COUNTIF(ARRAYFORMULA(HLOOKUP($B67"&amp;", IMPORTRANGE('Match Names'!$F$23, CONCAT(VLOOKUP($C67, 'Match Names'!$1:$22, 6, FALSE), ""!C3:R29"")), {6;12;18;24}, FALSE)), ""=-4"") + COUNTIF(ARRAYFORMULA(HLOOKUP($B67, IMPORTRANGE('Match Names'!$G$23, CONCAT(VLOOKUP($C67, 'Match Names'!$1:$22, 7, FAL"&amp;"SE), ""!C3:R29"")), {2;7;17;21}, FALSE)), ""=-4"") + COUNTIF(ARRAYFORMULA(HLOOKUP($B67, IMPORTRANGE('Match Names'!$H$23, CONCAT(VLOOKUP($C67, 'Match Names'!$1:$22, 8, FALSE), ""!C3:R29"")), {4;10;16;22}, FALSE)), ""=-4"")"),0.0)</f>
        <v>0</v>
      </c>
      <c r="H67" s="39">
        <f t="shared" si="1"/>
        <v>2.91</v>
      </c>
    </row>
    <row r="68">
      <c r="A68" s="38" t="s">
        <v>93</v>
      </c>
      <c r="B68" s="38" t="str">
        <f>VLOOKUP(CONCAT(A68, C68), 'Discord Username to Real Name'!C:D, 2, FALSE)</f>
        <v>Hyperion#5422</v>
      </c>
      <c r="C68" s="38" t="s">
        <v>30</v>
      </c>
      <c r="D68" s="9">
        <f>IFERROR(__xludf.DUMMYFUNCTION("(4 - COUNTIF(IFERROR(ARRAYFORMULA(HLOOKUP($B68, IMPORTRANGE('Prelim Rankings Unsorted'!$B$40, CONCAT(VLOOKUP($C68, 'Match Names'!$A$1:$D$22, 2, FALSE), ""!C3:R29"")), {3;8;14;20}, FALSE)), 'Player Overall Stats Unsorted'!$AA$9:$AA$12), ""=X"")) + (4 - COU"&amp;"NTIF(IFERROR(ARRAYFORMULA(HLOOKUP($B68, IMPORTRANGE('Prelim Rankings Unsorted'!$B$41, CONCAT(VLOOKUP($C68, 'Match Names'!$A$1:$D$22, 3, FALSE), ""!C3:R29"")), {4;10;16;22}, FALSE)), 'Player Overall Stats Unsorted'!$AA$9:$AA$12), ""=X"")) + (4 - COUNTIF(IF"&amp;"ERROR(ARRAYFORMULA(HLOOKUP($B68, IMPORTRANGE('Prelim Rankings Unsorted'!$B$42, CONCAT(VLOOKUP($C68, 'Match Names'!$A$1:$D$22, 4, FALSE), ""!C3:R29"")), {2;8;14;20}, FALSE)), 'Player Overall Stats Unsorted'!$AA$9:$AA$12), ""=X"")) + (4 - COUNTIF(IFERROR(AR"&amp;"RAYFORMULA(HLOOKUP($B68, IMPORTRANGE('Match Names'!$E$23, CONCAT(VLOOKUP($C68, 'Match Names'!$1:$22, 5, FALSE), ""!C3:R29"")), {3;7;18;23}, FALSE)), 'Player Overall Stats Unsorted'!$AA$9:$AA$12), ""=X"")) + (4 - COUNTIF(IFERROR(ARRAYFORMULA(HLOOKUP($B68, "&amp;"IMPORTRANGE('Match Names'!$F$23, CONCAT(VLOOKUP($C68, 'Match Names'!$1:$22, 6, FALSE), ""!C3:R29"")), {6;12;18;24}, FALSE)), 'Player Overall Stats Unsorted'!$AA$9:$AA$12), ""=X"")) + (4 - COUNTIF(IFERROR(ARRAYFORMULA(HLOOKUP($B68, IMPORTRANGE('Match Names"&amp;"'!$G$23, CONCAT(VLOOKUP($C68, 'Match Names'!$1:$22, 7, FALSE), ""!C3:R29"")), {2;7;17;21}, FALSE)), 'Player Overall Stats Unsorted'!$AA$9:$AA$12), ""=X"")) + (4 - COUNTIF(IFERROR(ARRAYFORMULA(HLOOKUP($B68, IMPORTRANGE('Match Names'!$H$23, CONCAT(VLOOKUP($"&amp;"C68, 'Match Names'!$1:$22, 8, FALSE), ""!C3:R29"")), {4;10;16;22}, FALSE)), 'Player Overall Stats Unsorted'!$AA$9:$AA$12), ""=X""))"),16.0)</f>
        <v>16</v>
      </c>
      <c r="E68" s="9">
        <f>IFERROR(__xludf.DUMMYFUNCTION("COUNTIF(ARRAYFORMULA(HLOOKUP($B68, IMPORTRANGE('Prelim Rankings Unsorted'!$B$40, CONCAT(VLOOKUP($C68, 'Match Names'!$A$1:$D$22, 2, FALSE), ""!C3:R29"")), {3;8;14;20}, FALSE)), ""=4"") + COUNTIF(ARRAYFORMULA(HLOOKUP($B68, IMPORTRANGE('Prelim Rankings Unsor"&amp;"ted'!$B$41, CONCAT(VLOOKUP($C68, 'Match Names'!$A$1:$D$22, 3, FALSE), ""!C3:R29"")), {4;10;16;22}, FALSE)), ""=4"") + COUNTIF(ARRAYFORMULA(HLOOKUP($B68, IMPORTRANGE('Prelim Rankings Unsorted'!$B$42, CONCAT(VLOOKUP($C68, 'Match Names'!$A$1:$D$22, 4, FALSE)"&amp;", ""!C3:R29"")), {2;8;14;20}, FALSE)), ""=4"") + COUNTIF(ARRAYFORMULA(HLOOKUP($B68, IMPORTRANGE('Match Names'!$E$23, CONCAT(VLOOKUP($C68, 'Match Names'!$1:$22, 5, FALSE), ""!C3:R29"")), {3;7;18;23}, FALSE)), ""=4"") + COUNTIF(ARRAYFORMULA(HLOOKUP($B68, IM"&amp;"PORTRANGE('Match Names'!$F$23, CONCAT(VLOOKUP($C68, 'Match Names'!$1:$22, 6, FALSE), ""!C3:R29"")), {6;12;18;24}, FALSE)), ""=4"") + COUNTIF(ARRAYFORMULA(HLOOKUP($B68, IMPORTRANGE('Match Names'!$G$23, CONCAT(VLOOKUP($C68, 'Match Names'!$1:$22, 7, FALSE), "&amp;"""!C3:R29"")), {2;7;17;21}, FALSE)), ""=4"") + COUNTIF(ARRAYFORMULA(HLOOKUP($B68, IMPORTRANGE('Match Names'!$H$23, CONCAT(VLOOKUP($C68, 'Match Names'!$1:$22, 8, FALSE), ""!C3:R29"")), {4;10;16;22}, FALSE)), ""=4"")"),0.0)</f>
        <v>0</v>
      </c>
      <c r="F68" s="9">
        <f>IFERROR(__xludf.DUMMYFUNCTION("COUNTIF(ARRAYFORMULA(HLOOKUP($B68, IMPORTRANGE('Prelim Rankings Unsorted'!$B$40, CONCAT(VLOOKUP($C68, 'Match Names'!$A$1:$D$22, 2, FALSE), ""!C3:R29"")), {3;8;14;20}, FALSE)), ""=0"") + COUNTIF(ARRAYFORMULA(HLOOKUP($B68, IMPORTRANGE('Prelim Rankings Unsor"&amp;"ted'!$B$41, CONCAT(VLOOKUP($C68, 'Match Names'!$A$1:$D$22, 3, FALSE), ""!C3:R29"")), {4;10;16;22}, FALSE)), ""=0"") + COUNTIF(ARRAYFORMULA(HLOOKUP($B68, IMPORTRANGE('Prelim Rankings Unsorted'!$B$42, CONCAT(VLOOKUP($C68, 'Match Names'!$A$1:$D$22, 4, FALSE)"&amp;", ""!C3:R29"")), {2;8;14;20}, FALSE)), ""=0"") + COUNTIF(ARRAYFORMULA(HLOOKUP($B68, IMPORTRANGE('Match Names'!$E$23, CONCAT(VLOOKUP($C68, 'Match Names'!$1:$22, 5, FALSE), ""!C3:R29"")), {3;7;18;23}, FALSE)), ""=0"") + COUNTIF(ARRAYFORMULA(HLOOKUP($B68, IM"&amp;"PORTRANGE('Match Names'!$F$23, CONCAT(VLOOKUP($C68, 'Match Names'!$1:$22, 6, FALSE), ""!C3:R29"")), {6;12;18;24}, FALSE)), ""=0"") + COUNTIF(ARRAYFORMULA(HLOOKUP($B68, IMPORTRANGE('Match Names'!$G$23, CONCAT(VLOOKUP($C68, 'Match Names'!$1:$22, 7, FALSE), "&amp;"""!C3:R29"")), {2;7;17;21}, FALSE)), ""=0"") + COUNTIF(ARRAYFORMULA(HLOOKUP($B68, IMPORTRANGE('Match Names'!$H$23, CONCAT(VLOOKUP($C68, 'Match Names'!$1:$22, 8, FALSE), ""!C3:R29"")), {4;10;16;22}, FALSE)), ""=0"")"),3.0)</f>
        <v>3</v>
      </c>
      <c r="G68" s="9">
        <f>IFERROR(__xludf.DUMMYFUNCTION("COUNTIF(ARRAYFORMULA(HLOOKUP($B68, IMPORTRANGE('Prelim Rankings Unsorted'!$B$40, CONCAT(VLOOKUP($C68, 'Match Names'!$A$1:$D$22, 2, FALSE), ""!C3:R29"")), {3;8;14;20}, FALSE)), ""=-4"") + COUNTIF(ARRAYFORMULA(HLOOKUP($B68, IMPORTRANGE('Prelim Rankings Unso"&amp;"rted'!$B$41, CONCAT(VLOOKUP($C68, 'Match Names'!$A$1:$D$22, 3, FALSE), ""!C3:R29"")), {4;10;16;22}, FALSE)), ""=-4"") + COUNTIF(ARRAYFORMULA(HLOOKUP($B68, IMPORTRANGE('Prelim Rankings Unsorted'!$B$42, CONCAT(VLOOKUP($C68, 'Match Names'!$A$1:$D$22, 4, FALS"&amp;"E), ""!C3:R29"")), {2;8;14;20}, FALSE)), ""=-4"") + COUNTIF(ARRAYFORMULA(HLOOKUP($B68, IMPORTRANGE('Match Names'!$E$23, CONCAT(VLOOKUP($C68, 'Match Names'!$1:$22, 5, FALSE), ""!C3:R29"")), {3;7;18;23}, FALSE)), ""=-4"") + COUNTIF(ARRAYFORMULA(HLOOKUP($B68"&amp;", IMPORTRANGE('Match Names'!$F$23, CONCAT(VLOOKUP($C68, 'Match Names'!$1:$22, 6, FALSE), ""!C3:R29"")), {6;12;18;24}, FALSE)), ""=-4"") + COUNTIF(ARRAYFORMULA(HLOOKUP($B68, IMPORTRANGE('Match Names'!$G$23, CONCAT(VLOOKUP($C68, 'Match Names'!$1:$22, 7, FAL"&amp;"SE), ""!C3:R29"")), {2;7;17;21}, FALSE)), ""=-4"") + COUNTIF(ARRAYFORMULA(HLOOKUP($B68, IMPORTRANGE('Match Names'!$H$23, CONCAT(VLOOKUP($C68, 'Match Names'!$1:$22, 8, FALSE), ""!C3:R29"")), {4;10;16;22}, FALSE)), ""=-4"")"),1.0)</f>
        <v>1</v>
      </c>
      <c r="H68" s="42">
        <f t="shared" si="1"/>
        <v>-1</v>
      </c>
    </row>
    <row r="69">
      <c r="A69" s="38" t="s">
        <v>160</v>
      </c>
      <c r="B69" s="38" t="str">
        <f>VLOOKUP(CONCAT(A69, C69), 'Discord Username to Real Name'!C:D, 2, FALSE)</f>
        <v>luczha003#3376</v>
      </c>
      <c r="C69" s="38" t="s">
        <v>30</v>
      </c>
      <c r="D69" s="9">
        <f>IFERROR(__xludf.DUMMYFUNCTION("(4 - COUNTIF(IFERROR(ARRAYFORMULA(HLOOKUP($B69, IMPORTRANGE('Prelim Rankings Unsorted'!$B$40, CONCAT(VLOOKUP($C69, 'Match Names'!$A$1:$D$22, 2, FALSE), ""!C3:R29"")), {3;8;14;20}, FALSE)), 'Player Overall Stats Unsorted'!$AA$9:$AA$12), ""=X"")) + (4 - COU"&amp;"NTIF(IFERROR(ARRAYFORMULA(HLOOKUP($B69, IMPORTRANGE('Prelim Rankings Unsorted'!$B$41, CONCAT(VLOOKUP($C69, 'Match Names'!$A$1:$D$22, 3, FALSE), ""!C3:R29"")), {4;10;16;22}, FALSE)), 'Player Overall Stats Unsorted'!$AA$9:$AA$12), ""=X"")) + (4 - COUNTIF(IF"&amp;"ERROR(ARRAYFORMULA(HLOOKUP($B69, IMPORTRANGE('Prelim Rankings Unsorted'!$B$42, CONCAT(VLOOKUP($C69, 'Match Names'!$A$1:$D$22, 4, FALSE), ""!C3:R29"")), {2;8;14;20}, FALSE)), 'Player Overall Stats Unsorted'!$AA$9:$AA$12), ""=X"")) + (4 - COUNTIF(IFERROR(AR"&amp;"RAYFORMULA(HLOOKUP($B69, IMPORTRANGE('Match Names'!$E$23, CONCAT(VLOOKUP($C69, 'Match Names'!$1:$22, 5, FALSE), ""!C3:R29"")), {3;7;18;23}, FALSE)), 'Player Overall Stats Unsorted'!$AA$9:$AA$12), ""=X"")) + (4 - COUNTIF(IFERROR(ARRAYFORMULA(HLOOKUP($B69, "&amp;"IMPORTRANGE('Match Names'!$F$23, CONCAT(VLOOKUP($C69, 'Match Names'!$1:$22, 6, FALSE), ""!C3:R29"")), {6;12;18;24}, FALSE)), 'Player Overall Stats Unsorted'!$AA$9:$AA$12), ""=X"")) + (4 - COUNTIF(IFERROR(ARRAYFORMULA(HLOOKUP($B69, IMPORTRANGE('Match Names"&amp;"'!$G$23, CONCAT(VLOOKUP($C69, 'Match Names'!$1:$22, 7, FALSE), ""!C3:R29"")), {2;7;17;21}, FALSE)), 'Player Overall Stats Unsorted'!$AA$9:$AA$12), ""=X"")) + (4 - COUNTIF(IFERROR(ARRAYFORMULA(HLOOKUP($B69, IMPORTRANGE('Match Names'!$H$23, CONCAT(VLOOKUP($"&amp;"C69, 'Match Names'!$1:$22, 8, FALSE), ""!C3:R29"")), {4;10;16;22}, FALSE)), 'Player Overall Stats Unsorted'!$AA$9:$AA$12), ""=X""))"),12.0)</f>
        <v>12</v>
      </c>
      <c r="E69" s="9">
        <f>IFERROR(__xludf.DUMMYFUNCTION("COUNTIF(ARRAYFORMULA(HLOOKUP($B69, IMPORTRANGE('Prelim Rankings Unsorted'!$B$40, CONCAT(VLOOKUP($C69, 'Match Names'!$A$1:$D$22, 2, FALSE), ""!C3:R29"")), {3;8;14;20}, FALSE)), ""=4"") + COUNTIF(ARRAYFORMULA(HLOOKUP($B69, IMPORTRANGE('Prelim Rankings Unsor"&amp;"ted'!$B$41, CONCAT(VLOOKUP($C69, 'Match Names'!$A$1:$D$22, 3, FALSE), ""!C3:R29"")), {4;10;16;22}, FALSE)), ""=4"") + COUNTIF(ARRAYFORMULA(HLOOKUP($B69, IMPORTRANGE('Prelim Rankings Unsorted'!$B$42, CONCAT(VLOOKUP($C69, 'Match Names'!$A$1:$D$22, 4, FALSE)"&amp;", ""!C3:R29"")), {2;8;14;20}, FALSE)), ""=4"") + COUNTIF(ARRAYFORMULA(HLOOKUP($B69, IMPORTRANGE('Match Names'!$E$23, CONCAT(VLOOKUP($C69, 'Match Names'!$1:$22, 5, FALSE), ""!C3:R29"")), {3;7;18;23}, FALSE)), ""=4"") + COUNTIF(ARRAYFORMULA(HLOOKUP($B69, IM"&amp;"PORTRANGE('Match Names'!$F$23, CONCAT(VLOOKUP($C69, 'Match Names'!$1:$22, 6, FALSE), ""!C3:R29"")), {6;12;18;24}, FALSE)), ""=4"") + COUNTIF(ARRAYFORMULA(HLOOKUP($B69, IMPORTRANGE('Match Names'!$G$23, CONCAT(VLOOKUP($C69, 'Match Names'!$1:$22, 7, FALSE), "&amp;"""!C3:R29"")), {2;7;17;21}, FALSE)), ""=4"") + COUNTIF(ARRAYFORMULA(HLOOKUP($B69, IMPORTRANGE('Match Names'!$H$23, CONCAT(VLOOKUP($C69, 'Match Names'!$1:$22, 8, FALSE), ""!C3:R29"")), {4;10;16;22}, FALSE)), ""=4"")"),0.0)</f>
        <v>0</v>
      </c>
      <c r="F69" s="9">
        <f>IFERROR(__xludf.DUMMYFUNCTION("COUNTIF(ARRAYFORMULA(HLOOKUP($B69, IMPORTRANGE('Prelim Rankings Unsorted'!$B$40, CONCAT(VLOOKUP($C69, 'Match Names'!$A$1:$D$22, 2, FALSE), ""!C3:R29"")), {3;8;14;20}, FALSE)), ""=0"") + COUNTIF(ARRAYFORMULA(HLOOKUP($B69, IMPORTRANGE('Prelim Rankings Unsor"&amp;"ted'!$B$41, CONCAT(VLOOKUP($C69, 'Match Names'!$A$1:$D$22, 3, FALSE), ""!C3:R29"")), {4;10;16;22}, FALSE)), ""=0"") + COUNTIF(ARRAYFORMULA(HLOOKUP($B69, IMPORTRANGE('Prelim Rankings Unsorted'!$B$42, CONCAT(VLOOKUP($C69, 'Match Names'!$A$1:$D$22, 4, FALSE)"&amp;", ""!C3:R29"")), {2;8;14;20}, FALSE)), ""=0"") + COUNTIF(ARRAYFORMULA(HLOOKUP($B69, IMPORTRANGE('Match Names'!$E$23, CONCAT(VLOOKUP($C69, 'Match Names'!$1:$22, 5, FALSE), ""!C3:R29"")), {3;7;18;23}, FALSE)), ""=0"") + COUNTIF(ARRAYFORMULA(HLOOKUP($B69, IM"&amp;"PORTRANGE('Match Names'!$F$23, CONCAT(VLOOKUP($C69, 'Match Names'!$1:$22, 6, FALSE), ""!C3:R29"")), {6;12;18;24}, FALSE)), ""=0"") + COUNTIF(ARRAYFORMULA(HLOOKUP($B69, IMPORTRANGE('Match Names'!$G$23, CONCAT(VLOOKUP($C69, 'Match Names'!$1:$22, 7, FALSE), "&amp;"""!C3:R29"")), {2;7;17;21}, FALSE)), ""=0"") + COUNTIF(ARRAYFORMULA(HLOOKUP($B69, IMPORTRANGE('Match Names'!$H$23, CONCAT(VLOOKUP($C69, 'Match Names'!$1:$22, 8, FALSE), ""!C3:R29"")), {4;10;16;22}, FALSE)), ""=0"")"),1.0)</f>
        <v>1</v>
      </c>
      <c r="G69" s="9">
        <f>IFERROR(__xludf.DUMMYFUNCTION("COUNTIF(ARRAYFORMULA(HLOOKUP($B69, IMPORTRANGE('Prelim Rankings Unsorted'!$B$40, CONCAT(VLOOKUP($C69, 'Match Names'!$A$1:$D$22, 2, FALSE), ""!C3:R29"")), {3;8;14;20}, FALSE)), ""=-4"") + COUNTIF(ARRAYFORMULA(HLOOKUP($B69, IMPORTRANGE('Prelim Rankings Unso"&amp;"rted'!$B$41, CONCAT(VLOOKUP($C69, 'Match Names'!$A$1:$D$22, 3, FALSE), ""!C3:R29"")), {4;10;16;22}, FALSE)), ""=-4"") + COUNTIF(ARRAYFORMULA(HLOOKUP($B69, IMPORTRANGE('Prelim Rankings Unsorted'!$B$42, CONCAT(VLOOKUP($C69, 'Match Names'!$A$1:$D$22, 4, FALS"&amp;"E), ""!C3:R29"")), {2;8;14;20}, FALSE)), ""=-4"") + COUNTIF(ARRAYFORMULA(HLOOKUP($B69, IMPORTRANGE('Match Names'!$E$23, CONCAT(VLOOKUP($C69, 'Match Names'!$1:$22, 5, FALSE), ""!C3:R29"")), {3;7;18;23}, FALSE)), ""=-4"") + COUNTIF(ARRAYFORMULA(HLOOKUP($B69"&amp;", IMPORTRANGE('Match Names'!$F$23, CONCAT(VLOOKUP($C69, 'Match Names'!$1:$22, 6, FALSE), ""!C3:R29"")), {6;12;18;24}, FALSE)), ""=-4"") + COUNTIF(ARRAYFORMULA(HLOOKUP($B69, IMPORTRANGE('Match Names'!$G$23, CONCAT(VLOOKUP($C69, 'Match Names'!$1:$22, 7, FAL"&amp;"SE), ""!C3:R29"")), {2;7;17;21}, FALSE)), ""=-4"") + COUNTIF(ARRAYFORMULA(HLOOKUP($B69, IMPORTRANGE('Match Names'!$H$23, CONCAT(VLOOKUP($C69, 'Match Names'!$1:$22, 8, FALSE), ""!C3:R29"")), {4;10;16;22}, FALSE)), ""=-4"")"),0.0)</f>
        <v>0</v>
      </c>
      <c r="H69" s="42">
        <f t="shared" si="1"/>
        <v>0</v>
      </c>
    </row>
    <row r="70">
      <c r="A70" s="38" t="s">
        <v>202</v>
      </c>
      <c r="B70" s="38" t="str">
        <f>VLOOKUP(CONCAT(A70, C70), 'Discord Username to Real Name'!C:D, 2, FALSE)</f>
        <v>Ritz#0792</v>
      </c>
      <c r="C70" s="38" t="s">
        <v>30</v>
      </c>
      <c r="D70" s="9">
        <f>IFERROR(__xludf.DUMMYFUNCTION("(4 - COUNTIF(IFERROR(ARRAYFORMULA(HLOOKUP($B70, IMPORTRANGE('Prelim Rankings Unsorted'!$B$40, CONCAT(VLOOKUP($C70, 'Match Names'!$A$1:$D$22, 2, FALSE), ""!C3:R29"")), {3;8;14;20}, FALSE)), 'Player Overall Stats Unsorted'!$AA$9:$AA$12), ""=X"")) + (4 - COU"&amp;"NTIF(IFERROR(ARRAYFORMULA(HLOOKUP($B70, IMPORTRANGE('Prelim Rankings Unsorted'!$B$41, CONCAT(VLOOKUP($C70, 'Match Names'!$A$1:$D$22, 3, FALSE), ""!C3:R29"")), {4;10;16;22}, FALSE)), 'Player Overall Stats Unsorted'!$AA$9:$AA$12), ""=X"")) + (4 - COUNTIF(IF"&amp;"ERROR(ARRAYFORMULA(HLOOKUP($B70, IMPORTRANGE('Prelim Rankings Unsorted'!$B$42, CONCAT(VLOOKUP($C70, 'Match Names'!$A$1:$D$22, 4, FALSE), ""!C3:R29"")), {2;8;14;20}, FALSE)), 'Player Overall Stats Unsorted'!$AA$9:$AA$12), ""=X"")) + (4 - COUNTIF(IFERROR(AR"&amp;"RAYFORMULA(HLOOKUP($B70, IMPORTRANGE('Match Names'!$E$23, CONCAT(VLOOKUP($C70, 'Match Names'!$1:$22, 5, FALSE), ""!C3:R29"")), {3;7;18;23}, FALSE)), 'Player Overall Stats Unsorted'!$AA$9:$AA$12), ""=X"")) + (4 - COUNTIF(IFERROR(ARRAYFORMULA(HLOOKUP($B70, "&amp;"IMPORTRANGE('Match Names'!$F$23, CONCAT(VLOOKUP($C70, 'Match Names'!$1:$22, 6, FALSE), ""!C3:R29"")), {6;12;18;24}, FALSE)), 'Player Overall Stats Unsorted'!$AA$9:$AA$12), ""=X"")) + (4 - COUNTIF(IFERROR(ARRAYFORMULA(HLOOKUP($B70, IMPORTRANGE('Match Names"&amp;"'!$G$23, CONCAT(VLOOKUP($C70, 'Match Names'!$1:$22, 7, FALSE), ""!C3:R29"")), {2;7;17;21}, FALSE)), 'Player Overall Stats Unsorted'!$AA$9:$AA$12), ""=X"")) + (4 - COUNTIF(IFERROR(ARRAYFORMULA(HLOOKUP($B70, IMPORTRANGE('Match Names'!$H$23, CONCAT(VLOOKUP($"&amp;"C70, 'Match Names'!$1:$22, 8, FALSE), ""!C3:R29"")), {4;10;16;22}, FALSE)), 'Player Overall Stats Unsorted'!$AA$9:$AA$12), ""=X""))"),0.0)</f>
        <v>0</v>
      </c>
      <c r="E70" s="9">
        <f>IFERROR(__xludf.DUMMYFUNCTION("COUNTIF(ARRAYFORMULA(HLOOKUP($B70, IMPORTRANGE('Prelim Rankings Unsorted'!$B$40, CONCAT(VLOOKUP($C70, 'Match Names'!$A$1:$D$22, 2, FALSE), ""!C3:R29"")), {3;8;14;20}, FALSE)), ""=4"") + COUNTIF(ARRAYFORMULA(HLOOKUP($B70, IMPORTRANGE('Prelim Rankings Unsor"&amp;"ted'!$B$41, CONCAT(VLOOKUP($C70, 'Match Names'!$A$1:$D$22, 3, FALSE), ""!C3:R29"")), {4;10;16;22}, FALSE)), ""=4"") + COUNTIF(ARRAYFORMULA(HLOOKUP($B70, IMPORTRANGE('Prelim Rankings Unsorted'!$B$42, CONCAT(VLOOKUP($C70, 'Match Names'!$A$1:$D$22, 4, FALSE)"&amp;", ""!C3:R29"")), {2;8;14;20}, FALSE)), ""=4"") + COUNTIF(ARRAYFORMULA(HLOOKUP($B70, IMPORTRANGE('Match Names'!$E$23, CONCAT(VLOOKUP($C70, 'Match Names'!$1:$22, 5, FALSE), ""!C3:R29"")), {3;7;18;23}, FALSE)), ""=4"") + COUNTIF(ARRAYFORMULA(HLOOKUP($B70, IM"&amp;"PORTRANGE('Match Names'!$F$23, CONCAT(VLOOKUP($C70, 'Match Names'!$1:$22, 6, FALSE), ""!C3:R29"")), {6;12;18;24}, FALSE)), ""=4"") + COUNTIF(ARRAYFORMULA(HLOOKUP($B70, IMPORTRANGE('Match Names'!$G$23, CONCAT(VLOOKUP($C70, 'Match Names'!$1:$22, 7, FALSE), "&amp;"""!C3:R29"")), {2;7;17;21}, FALSE)), ""=4"") + COUNTIF(ARRAYFORMULA(HLOOKUP($B70, IMPORTRANGE('Match Names'!$H$23, CONCAT(VLOOKUP($C70, 'Match Names'!$1:$22, 8, FALSE), ""!C3:R29"")), {4;10;16;22}, FALSE)), ""=4"")"),0.0)</f>
        <v>0</v>
      </c>
      <c r="F70" s="9">
        <f>IFERROR(__xludf.DUMMYFUNCTION("COUNTIF(ARRAYFORMULA(HLOOKUP($B70, IMPORTRANGE('Prelim Rankings Unsorted'!$B$40, CONCAT(VLOOKUP($C70, 'Match Names'!$A$1:$D$22, 2, FALSE), ""!C3:R29"")), {3;8;14;20}, FALSE)), ""=0"") + COUNTIF(ARRAYFORMULA(HLOOKUP($B70, IMPORTRANGE('Prelim Rankings Unsor"&amp;"ted'!$B$41, CONCAT(VLOOKUP($C70, 'Match Names'!$A$1:$D$22, 3, FALSE), ""!C3:R29"")), {4;10;16;22}, FALSE)), ""=0"") + COUNTIF(ARRAYFORMULA(HLOOKUP($B70, IMPORTRANGE('Prelim Rankings Unsorted'!$B$42, CONCAT(VLOOKUP($C70, 'Match Names'!$A$1:$D$22, 4, FALSE)"&amp;", ""!C3:R29"")), {2;8;14;20}, FALSE)), ""=0"") + COUNTIF(ARRAYFORMULA(HLOOKUP($B70, IMPORTRANGE('Match Names'!$E$23, CONCAT(VLOOKUP($C70, 'Match Names'!$1:$22, 5, FALSE), ""!C3:R29"")), {3;7;18;23}, FALSE)), ""=0"") + COUNTIF(ARRAYFORMULA(HLOOKUP($B70, IM"&amp;"PORTRANGE('Match Names'!$F$23, CONCAT(VLOOKUP($C70, 'Match Names'!$1:$22, 6, FALSE), ""!C3:R29"")), {6;12;18;24}, FALSE)), ""=0"") + COUNTIF(ARRAYFORMULA(HLOOKUP($B70, IMPORTRANGE('Match Names'!$G$23, CONCAT(VLOOKUP($C70, 'Match Names'!$1:$22, 7, FALSE), "&amp;"""!C3:R29"")), {2;7;17;21}, FALSE)), ""=0"") + COUNTIF(ARRAYFORMULA(HLOOKUP($B70, IMPORTRANGE('Match Names'!$H$23, CONCAT(VLOOKUP($C70, 'Match Names'!$1:$22, 8, FALSE), ""!C3:R29"")), {4;10;16;22}, FALSE)), ""=0"")"),0.0)</f>
        <v>0</v>
      </c>
      <c r="G70" s="9">
        <f>IFERROR(__xludf.DUMMYFUNCTION("COUNTIF(ARRAYFORMULA(HLOOKUP($B70, IMPORTRANGE('Prelim Rankings Unsorted'!$B$40, CONCAT(VLOOKUP($C70, 'Match Names'!$A$1:$D$22, 2, FALSE), ""!C3:R29"")), {3;8;14;20}, FALSE)), ""=-4"") + COUNTIF(ARRAYFORMULA(HLOOKUP($B70, IMPORTRANGE('Prelim Rankings Unso"&amp;"rted'!$B$41, CONCAT(VLOOKUP($C70, 'Match Names'!$A$1:$D$22, 3, FALSE), ""!C3:R29"")), {4;10;16;22}, FALSE)), ""=-4"") + COUNTIF(ARRAYFORMULA(HLOOKUP($B70, IMPORTRANGE('Prelim Rankings Unsorted'!$B$42, CONCAT(VLOOKUP($C70, 'Match Names'!$A$1:$D$22, 4, FALS"&amp;"E), ""!C3:R29"")), {2;8;14;20}, FALSE)), ""=-4"") + COUNTIF(ARRAYFORMULA(HLOOKUP($B70, IMPORTRANGE('Match Names'!$E$23, CONCAT(VLOOKUP($C70, 'Match Names'!$1:$22, 5, FALSE), ""!C3:R29"")), {3;7;18;23}, FALSE)), ""=-4"") + COUNTIF(ARRAYFORMULA(HLOOKUP($B70"&amp;", IMPORTRANGE('Match Names'!$F$23, CONCAT(VLOOKUP($C70, 'Match Names'!$1:$22, 6, FALSE), ""!C3:R29"")), {6;12;18;24}, FALSE)), ""=-4"") + COUNTIF(ARRAYFORMULA(HLOOKUP($B70, IMPORTRANGE('Match Names'!$G$23, CONCAT(VLOOKUP($C70, 'Match Names'!$1:$22, 7, FAL"&amp;"SE), ""!C3:R29"")), {2;7;17;21}, FALSE)), ""=-4"") + COUNTIF(ARRAYFORMULA(HLOOKUP($B70, IMPORTRANGE('Match Names'!$H$23, CONCAT(VLOOKUP($C70, 'Match Names'!$1:$22, 8, FALSE), ""!C3:R29"")), {4;10;16;22}, FALSE)), ""=-4"")"),0.0)</f>
        <v>0</v>
      </c>
      <c r="H70" s="42">
        <f t="shared" si="1"/>
        <v>0</v>
      </c>
    </row>
    <row r="71">
      <c r="A71" s="38" t="s">
        <v>148</v>
      </c>
      <c r="B71" s="38" t="str">
        <f>VLOOKUP(CONCAT(A71, C71), 'Discord Username to Real Name'!C:D, 2, FALSE)</f>
        <v>RR#5337</v>
      </c>
      <c r="C71" s="38" t="s">
        <v>30</v>
      </c>
      <c r="D71" s="9">
        <f>IFERROR(__xludf.DUMMYFUNCTION("(4 - COUNTIF(IFERROR(ARRAYFORMULA(HLOOKUP($B71, IMPORTRANGE('Prelim Rankings Unsorted'!$B$40, CONCAT(VLOOKUP($C71, 'Match Names'!$A$1:$D$22, 2, FALSE), ""!C3:R29"")), {3;8;14;20}, FALSE)), 'Player Overall Stats Unsorted'!$AA$9:$AA$12), ""=X"")) + (4 - COU"&amp;"NTIF(IFERROR(ARRAYFORMULA(HLOOKUP($B71, IMPORTRANGE('Prelim Rankings Unsorted'!$B$41, CONCAT(VLOOKUP($C71, 'Match Names'!$A$1:$D$22, 3, FALSE), ""!C3:R29"")), {4;10;16;22}, FALSE)), 'Player Overall Stats Unsorted'!$AA$9:$AA$12), ""=X"")) + (4 - COUNTIF(IF"&amp;"ERROR(ARRAYFORMULA(HLOOKUP($B71, IMPORTRANGE('Prelim Rankings Unsorted'!$B$42, CONCAT(VLOOKUP($C71, 'Match Names'!$A$1:$D$22, 4, FALSE), ""!C3:R29"")), {2;8;14;20}, FALSE)), 'Player Overall Stats Unsorted'!$AA$9:$AA$12), ""=X"")) + (4 - COUNTIF(IFERROR(AR"&amp;"RAYFORMULA(HLOOKUP($B71, IMPORTRANGE('Match Names'!$E$23, CONCAT(VLOOKUP($C71, 'Match Names'!$1:$22, 5, FALSE), ""!C3:R29"")), {3;7;18;23}, FALSE)), 'Player Overall Stats Unsorted'!$AA$9:$AA$12), ""=X"")) + (4 - COUNTIF(IFERROR(ARRAYFORMULA(HLOOKUP($B71, "&amp;"IMPORTRANGE('Match Names'!$F$23, CONCAT(VLOOKUP($C71, 'Match Names'!$1:$22, 6, FALSE), ""!C3:R29"")), {6;12;18;24}, FALSE)), 'Player Overall Stats Unsorted'!$AA$9:$AA$12), ""=X"")) + (4 - COUNTIF(IFERROR(ARRAYFORMULA(HLOOKUP($B71, IMPORTRANGE('Match Names"&amp;"'!$G$23, CONCAT(VLOOKUP($C71, 'Match Names'!$1:$22, 7, FALSE), ""!C3:R29"")), {2;7;17;21}, FALSE)), 'Player Overall Stats Unsorted'!$AA$9:$AA$12), ""=X"")) + (4 - COUNTIF(IFERROR(ARRAYFORMULA(HLOOKUP($B71, IMPORTRANGE('Match Names'!$H$23, CONCAT(VLOOKUP($"&amp;"C71, 'Match Names'!$1:$22, 8, FALSE), ""!C3:R29"")), {4;10;16;22}, FALSE)), 'Player Overall Stats Unsorted'!$AA$9:$AA$12), ""=X""))"),12.0)</f>
        <v>12</v>
      </c>
      <c r="E71" s="9">
        <f>IFERROR(__xludf.DUMMYFUNCTION("COUNTIF(ARRAYFORMULA(HLOOKUP($B71, IMPORTRANGE('Prelim Rankings Unsorted'!$B$40, CONCAT(VLOOKUP($C71, 'Match Names'!$A$1:$D$22, 2, FALSE), ""!C3:R29"")), {3;8;14;20}, FALSE)), ""=4"") + COUNTIF(ARRAYFORMULA(HLOOKUP($B71, IMPORTRANGE('Prelim Rankings Unsor"&amp;"ted'!$B$41, CONCAT(VLOOKUP($C71, 'Match Names'!$A$1:$D$22, 3, FALSE), ""!C3:R29"")), {4;10;16;22}, FALSE)), ""=4"") + COUNTIF(ARRAYFORMULA(HLOOKUP($B71, IMPORTRANGE('Prelim Rankings Unsorted'!$B$42, CONCAT(VLOOKUP($C71, 'Match Names'!$A$1:$D$22, 4, FALSE)"&amp;", ""!C3:R29"")), {2;8;14;20}, FALSE)), ""=4"") + COUNTIF(ARRAYFORMULA(HLOOKUP($B71, IMPORTRANGE('Match Names'!$E$23, CONCAT(VLOOKUP($C71, 'Match Names'!$1:$22, 5, FALSE), ""!C3:R29"")), {3;7;18;23}, FALSE)), ""=4"") + COUNTIF(ARRAYFORMULA(HLOOKUP($B71, IM"&amp;"PORTRANGE('Match Names'!$F$23, CONCAT(VLOOKUP($C71, 'Match Names'!$1:$22, 6, FALSE), ""!C3:R29"")), {6;12;18;24}, FALSE)), ""=4"") + COUNTIF(ARRAYFORMULA(HLOOKUP($B71, IMPORTRANGE('Match Names'!$G$23, CONCAT(VLOOKUP($C71, 'Match Names'!$1:$22, 7, FALSE), "&amp;"""!C3:R29"")), {2;7;17;21}, FALSE)), ""=4"") + COUNTIF(ARRAYFORMULA(HLOOKUP($B71, IMPORTRANGE('Match Names'!$H$23, CONCAT(VLOOKUP($C71, 'Match Names'!$1:$22, 8, FALSE), ""!C3:R29"")), {4;10;16;22}, FALSE)), ""=4"")"),0.0)</f>
        <v>0</v>
      </c>
      <c r="F71" s="9">
        <f>IFERROR(__xludf.DUMMYFUNCTION("COUNTIF(ARRAYFORMULA(HLOOKUP($B71, IMPORTRANGE('Prelim Rankings Unsorted'!$B$40, CONCAT(VLOOKUP($C71, 'Match Names'!$A$1:$D$22, 2, FALSE), ""!C3:R29"")), {3;8;14;20}, FALSE)), ""=0"") + COUNTIF(ARRAYFORMULA(HLOOKUP($B71, IMPORTRANGE('Prelim Rankings Unsor"&amp;"ted'!$B$41, CONCAT(VLOOKUP($C71, 'Match Names'!$A$1:$D$22, 3, FALSE), ""!C3:R29"")), {4;10;16;22}, FALSE)), ""=0"") + COUNTIF(ARRAYFORMULA(HLOOKUP($B71, IMPORTRANGE('Prelim Rankings Unsorted'!$B$42, CONCAT(VLOOKUP($C71, 'Match Names'!$A$1:$D$22, 4, FALSE)"&amp;", ""!C3:R29"")), {2;8;14;20}, FALSE)), ""=0"") + COUNTIF(ARRAYFORMULA(HLOOKUP($B71, IMPORTRANGE('Match Names'!$E$23, CONCAT(VLOOKUP($C71, 'Match Names'!$1:$22, 5, FALSE), ""!C3:R29"")), {3;7;18;23}, FALSE)), ""=0"") + COUNTIF(ARRAYFORMULA(HLOOKUP($B71, IM"&amp;"PORTRANGE('Match Names'!$F$23, CONCAT(VLOOKUP($C71, 'Match Names'!$1:$22, 6, FALSE), ""!C3:R29"")), {6;12;18;24}, FALSE)), ""=0"") + COUNTIF(ARRAYFORMULA(HLOOKUP($B71, IMPORTRANGE('Match Names'!$G$23, CONCAT(VLOOKUP($C71, 'Match Names'!$1:$22, 7, FALSE), "&amp;"""!C3:R29"")), {2;7;17;21}, FALSE)), ""=0"") + COUNTIF(ARRAYFORMULA(HLOOKUP($B71, IMPORTRANGE('Match Names'!$H$23, CONCAT(VLOOKUP($C71, 'Match Names'!$1:$22, 8, FALSE), ""!C3:R29"")), {4;10;16;22}, FALSE)), ""=0"")"),0.0)</f>
        <v>0</v>
      </c>
      <c r="G71" s="9">
        <f>IFERROR(__xludf.DUMMYFUNCTION("COUNTIF(ARRAYFORMULA(HLOOKUP($B71, IMPORTRANGE('Prelim Rankings Unsorted'!$B$40, CONCAT(VLOOKUP($C71, 'Match Names'!$A$1:$D$22, 2, FALSE), ""!C3:R29"")), {3;8;14;20}, FALSE)), ""=-4"") + COUNTIF(ARRAYFORMULA(HLOOKUP($B71, IMPORTRANGE('Prelim Rankings Unso"&amp;"rted'!$B$41, CONCAT(VLOOKUP($C71, 'Match Names'!$A$1:$D$22, 3, FALSE), ""!C3:R29"")), {4;10;16;22}, FALSE)), ""=-4"") + COUNTIF(ARRAYFORMULA(HLOOKUP($B71, IMPORTRANGE('Prelim Rankings Unsorted'!$B$42, CONCAT(VLOOKUP($C71, 'Match Names'!$A$1:$D$22, 4, FALS"&amp;"E), ""!C3:R29"")), {2;8;14;20}, FALSE)), ""=-4"") + COUNTIF(ARRAYFORMULA(HLOOKUP($B71, IMPORTRANGE('Match Names'!$E$23, CONCAT(VLOOKUP($C71, 'Match Names'!$1:$22, 5, FALSE), ""!C3:R29"")), {3;7;18;23}, FALSE)), ""=-4"") + COUNTIF(ARRAYFORMULA(HLOOKUP($B71"&amp;", IMPORTRANGE('Match Names'!$F$23, CONCAT(VLOOKUP($C71, 'Match Names'!$1:$22, 6, FALSE), ""!C3:R29"")), {6;12;18;24}, FALSE)), ""=-4"") + COUNTIF(ARRAYFORMULA(HLOOKUP($B71, IMPORTRANGE('Match Names'!$G$23, CONCAT(VLOOKUP($C71, 'Match Names'!$1:$22, 7, FAL"&amp;"SE), ""!C3:R29"")), {2;7;17;21}, FALSE)), ""=-4"") + COUNTIF(ARRAYFORMULA(HLOOKUP($B71, IMPORTRANGE('Match Names'!$H$23, CONCAT(VLOOKUP($C71, 'Match Names'!$1:$22, 8, FALSE), ""!C3:R29"")), {4;10;16;22}, FALSE)), ""=-4"")"),0.0)</f>
        <v>0</v>
      </c>
      <c r="H71" s="42">
        <f t="shared" si="1"/>
        <v>0</v>
      </c>
    </row>
    <row r="72">
      <c r="A72" s="38" t="s">
        <v>130</v>
      </c>
      <c r="B72" s="38" t="str">
        <f>VLOOKUP(CONCAT(A72, C72), 'Discord Username to Real Name'!C:D, 2, FALSE)</f>
        <v>crebz#4622</v>
      </c>
      <c r="C72" s="38" t="s">
        <v>30</v>
      </c>
      <c r="D72" s="9">
        <f>IFERROR(__xludf.DUMMYFUNCTION("(4 - COUNTIF(IFERROR(ARRAYFORMULA(HLOOKUP($B72, IMPORTRANGE('Prelim Rankings Unsorted'!$B$40, CONCAT(VLOOKUP($C72, 'Match Names'!$A$1:$D$22, 2, FALSE), ""!C3:R29"")), {3;8;14;20}, FALSE)), 'Player Overall Stats Unsorted'!$AA$9:$AA$12), ""=X"")) + (4 - COU"&amp;"NTIF(IFERROR(ARRAYFORMULA(HLOOKUP($B72, IMPORTRANGE('Prelim Rankings Unsorted'!$B$41, CONCAT(VLOOKUP($C72, 'Match Names'!$A$1:$D$22, 3, FALSE), ""!C3:R29"")), {4;10;16;22}, FALSE)), 'Player Overall Stats Unsorted'!$AA$9:$AA$12), ""=X"")) + (4 - COUNTIF(IF"&amp;"ERROR(ARRAYFORMULA(HLOOKUP($B72, IMPORTRANGE('Prelim Rankings Unsorted'!$B$42, CONCAT(VLOOKUP($C72, 'Match Names'!$A$1:$D$22, 4, FALSE), ""!C3:R29"")), {2;8;14;20}, FALSE)), 'Player Overall Stats Unsorted'!$AA$9:$AA$12), ""=X"")) + (4 - COUNTIF(IFERROR(AR"&amp;"RAYFORMULA(HLOOKUP($B72, IMPORTRANGE('Match Names'!$E$23, CONCAT(VLOOKUP($C72, 'Match Names'!$1:$22, 5, FALSE), ""!C3:R29"")), {3;7;18;23}, FALSE)), 'Player Overall Stats Unsorted'!$AA$9:$AA$12), ""=X"")) + (4 - COUNTIF(IFERROR(ARRAYFORMULA(HLOOKUP($B72, "&amp;"IMPORTRANGE('Match Names'!$F$23, CONCAT(VLOOKUP($C72, 'Match Names'!$1:$22, 6, FALSE), ""!C3:R29"")), {6;12;18;24}, FALSE)), 'Player Overall Stats Unsorted'!$AA$9:$AA$12), ""=X"")) + (4 - COUNTIF(IFERROR(ARRAYFORMULA(HLOOKUP($B72, IMPORTRANGE('Match Names"&amp;"'!$G$23, CONCAT(VLOOKUP($C72, 'Match Names'!$1:$22, 7, FALSE), ""!C3:R29"")), {2;7;17;21}, FALSE)), 'Player Overall Stats Unsorted'!$AA$9:$AA$12), ""=X"")) + (4 - COUNTIF(IFERROR(ARRAYFORMULA(HLOOKUP($B72, IMPORTRANGE('Match Names'!$H$23, CONCAT(VLOOKUP($"&amp;"C72, 'Match Names'!$1:$22, 8, FALSE), ""!C3:R29"")), {4;10;16;22}, FALSE)), 'Player Overall Stats Unsorted'!$AA$9:$AA$12), ""=X""))"),12.0)</f>
        <v>12</v>
      </c>
      <c r="E72" s="9">
        <f>IFERROR(__xludf.DUMMYFUNCTION("COUNTIF(ARRAYFORMULA(HLOOKUP($B72, IMPORTRANGE('Prelim Rankings Unsorted'!$B$40, CONCAT(VLOOKUP($C72, 'Match Names'!$A$1:$D$22, 2, FALSE), ""!C3:R29"")), {3;8;14;20}, FALSE)), ""=4"") + COUNTIF(ARRAYFORMULA(HLOOKUP($B72, IMPORTRANGE('Prelim Rankings Unsor"&amp;"ted'!$B$41, CONCAT(VLOOKUP($C72, 'Match Names'!$A$1:$D$22, 3, FALSE), ""!C3:R29"")), {4;10;16;22}, FALSE)), ""=4"") + COUNTIF(ARRAYFORMULA(HLOOKUP($B72, IMPORTRANGE('Prelim Rankings Unsorted'!$B$42, CONCAT(VLOOKUP($C72, 'Match Names'!$A$1:$D$22, 4, FALSE)"&amp;", ""!C3:R29"")), {2;8;14;20}, FALSE)), ""=4"") + COUNTIF(ARRAYFORMULA(HLOOKUP($B72, IMPORTRANGE('Match Names'!$E$23, CONCAT(VLOOKUP($C72, 'Match Names'!$1:$22, 5, FALSE), ""!C3:R29"")), {3;7;18;23}, FALSE)), ""=4"") + COUNTIF(ARRAYFORMULA(HLOOKUP($B72, IM"&amp;"PORTRANGE('Match Names'!$F$23, CONCAT(VLOOKUP($C72, 'Match Names'!$1:$22, 6, FALSE), ""!C3:R29"")), {6;12;18;24}, FALSE)), ""=4"") + COUNTIF(ARRAYFORMULA(HLOOKUP($B72, IMPORTRANGE('Match Names'!$G$23, CONCAT(VLOOKUP($C72, 'Match Names'!$1:$22, 7, FALSE), "&amp;"""!C3:R29"")), {2;7;17;21}, FALSE)), ""=4"") + COUNTIF(ARRAYFORMULA(HLOOKUP($B72, IMPORTRANGE('Match Names'!$H$23, CONCAT(VLOOKUP($C72, 'Match Names'!$1:$22, 8, FALSE), ""!C3:R29"")), {4;10;16;22}, FALSE)), ""=4"")"),0.0)</f>
        <v>0</v>
      </c>
      <c r="F72" s="9">
        <f>IFERROR(__xludf.DUMMYFUNCTION("COUNTIF(ARRAYFORMULA(HLOOKUP($B72, IMPORTRANGE('Prelim Rankings Unsorted'!$B$40, CONCAT(VLOOKUP($C72, 'Match Names'!$A$1:$D$22, 2, FALSE), ""!C3:R29"")), {3;8;14;20}, FALSE)), ""=0"") + COUNTIF(ARRAYFORMULA(HLOOKUP($B72, IMPORTRANGE('Prelim Rankings Unsor"&amp;"ted'!$B$41, CONCAT(VLOOKUP($C72, 'Match Names'!$A$1:$D$22, 3, FALSE), ""!C3:R29"")), {4;10;16;22}, FALSE)), ""=0"") + COUNTIF(ARRAYFORMULA(HLOOKUP($B72, IMPORTRANGE('Prelim Rankings Unsorted'!$B$42, CONCAT(VLOOKUP($C72, 'Match Names'!$A$1:$D$22, 4, FALSE)"&amp;", ""!C3:R29"")), {2;8;14;20}, FALSE)), ""=0"") + COUNTIF(ARRAYFORMULA(HLOOKUP($B72, IMPORTRANGE('Match Names'!$E$23, CONCAT(VLOOKUP($C72, 'Match Names'!$1:$22, 5, FALSE), ""!C3:R29"")), {3;7;18;23}, FALSE)), ""=0"") + COUNTIF(ARRAYFORMULA(HLOOKUP($B72, IM"&amp;"PORTRANGE('Match Names'!$F$23, CONCAT(VLOOKUP($C72, 'Match Names'!$1:$22, 6, FALSE), ""!C3:R29"")), {6;12;18;24}, FALSE)), ""=0"") + COUNTIF(ARRAYFORMULA(HLOOKUP($B72, IMPORTRANGE('Match Names'!$G$23, CONCAT(VLOOKUP($C72, 'Match Names'!$1:$22, 7, FALSE), "&amp;"""!C3:R29"")), {2;7;17;21}, FALSE)), ""=0"") + COUNTIF(ARRAYFORMULA(HLOOKUP($B72, IMPORTRANGE('Match Names'!$H$23, CONCAT(VLOOKUP($C72, 'Match Names'!$1:$22, 8, FALSE), ""!C3:R29"")), {4;10;16;22}, FALSE)), ""=0"")"),1.0)</f>
        <v>1</v>
      </c>
      <c r="G72" s="9">
        <f>IFERROR(__xludf.DUMMYFUNCTION("COUNTIF(ARRAYFORMULA(HLOOKUP($B72, IMPORTRANGE('Prelim Rankings Unsorted'!$B$40, CONCAT(VLOOKUP($C72, 'Match Names'!$A$1:$D$22, 2, FALSE), ""!C3:R29"")), {3;8;14;20}, FALSE)), ""=-4"") + COUNTIF(ARRAYFORMULA(HLOOKUP($B72, IMPORTRANGE('Prelim Rankings Unso"&amp;"rted'!$B$41, CONCAT(VLOOKUP($C72, 'Match Names'!$A$1:$D$22, 3, FALSE), ""!C3:R29"")), {4;10;16;22}, FALSE)), ""=-4"") + COUNTIF(ARRAYFORMULA(HLOOKUP($B72, IMPORTRANGE('Prelim Rankings Unsorted'!$B$42, CONCAT(VLOOKUP($C72, 'Match Names'!$A$1:$D$22, 4, FALS"&amp;"E), ""!C3:R29"")), {2;8;14;20}, FALSE)), ""=-4"") + COUNTIF(ARRAYFORMULA(HLOOKUP($B72, IMPORTRANGE('Match Names'!$E$23, CONCAT(VLOOKUP($C72, 'Match Names'!$1:$22, 5, FALSE), ""!C3:R29"")), {3;7;18;23}, FALSE)), ""=-4"") + COUNTIF(ARRAYFORMULA(HLOOKUP($B72"&amp;", IMPORTRANGE('Match Names'!$F$23, CONCAT(VLOOKUP($C72, 'Match Names'!$1:$22, 6, FALSE), ""!C3:R29"")), {6;12;18;24}, FALSE)), ""=-4"") + COUNTIF(ARRAYFORMULA(HLOOKUP($B72, IMPORTRANGE('Match Names'!$G$23, CONCAT(VLOOKUP($C72, 'Match Names'!$1:$22, 7, FAL"&amp;"SE), ""!C3:R29"")), {2;7;17;21}, FALSE)), ""=-4"") + COUNTIF(ARRAYFORMULA(HLOOKUP($B72, IMPORTRANGE('Match Names'!$H$23, CONCAT(VLOOKUP($C72, 'Match Names'!$1:$22, 8, FALSE), ""!C3:R29"")), {4;10;16;22}, FALSE)), ""=-4"")"),0.0)</f>
        <v>0</v>
      </c>
      <c r="H72" s="42">
        <f t="shared" si="1"/>
        <v>0</v>
      </c>
    </row>
    <row r="73">
      <c r="A73" s="38" t="s">
        <v>53</v>
      </c>
      <c r="B73" s="38" t="str">
        <f>VLOOKUP(CONCAT(A73, C73), 'Discord Username to Real Name'!C:D, 2, FALSE)</f>
        <v>brandon.chang#3043</v>
      </c>
      <c r="C73" s="38" t="s">
        <v>24</v>
      </c>
      <c r="D73" s="9">
        <f>IFERROR(__xludf.DUMMYFUNCTION("(4 - COUNTIF(IFERROR(ARRAYFORMULA(HLOOKUP($B73, IMPORTRANGE('Prelim Rankings Unsorted'!$B$40, CONCAT(VLOOKUP($C73, 'Match Names'!$A$1:$D$22, 2, FALSE), ""!C3:R29"")), {3;8;14;20}, FALSE)), 'Player Overall Stats Unsorted'!$AA$9:$AA$12), ""=X"")) + (4 - COU"&amp;"NTIF(IFERROR(ARRAYFORMULA(HLOOKUP($B73, IMPORTRANGE('Prelim Rankings Unsorted'!$B$41, CONCAT(VLOOKUP($C73, 'Match Names'!$A$1:$D$22, 3, FALSE), ""!C3:R29"")), {4;10;16;22}, FALSE)), 'Player Overall Stats Unsorted'!$AA$9:$AA$12), ""=X"")) + (4 - COUNTIF(IF"&amp;"ERROR(ARRAYFORMULA(HLOOKUP($B73, IMPORTRANGE('Prelim Rankings Unsorted'!$B$42, CONCAT(VLOOKUP($C73, 'Match Names'!$A$1:$D$22, 4, FALSE), ""!C3:R29"")), {2;8;14;20}, FALSE)), 'Player Overall Stats Unsorted'!$AA$9:$AA$12), ""=X"")) + (4 - COUNTIF(IFERROR(AR"&amp;"RAYFORMULA(HLOOKUP($B73, IMPORTRANGE('Match Names'!$E$23, CONCAT(VLOOKUP($C73, 'Match Names'!$1:$22, 5, FALSE), ""!C3:R29"")), {3;7;18;23}, FALSE)), 'Player Overall Stats Unsorted'!$AA$9:$AA$12), ""=X"")) + (4 - COUNTIF(IFERROR(ARRAYFORMULA(HLOOKUP($B73, "&amp;"IMPORTRANGE('Match Names'!$F$23, CONCAT(VLOOKUP($C73, 'Match Names'!$1:$22, 6, FALSE), ""!C3:R29"")), {6;12;18;24}, FALSE)), 'Player Overall Stats Unsorted'!$AA$9:$AA$12), ""=X"")) + (4 - COUNTIF(IFERROR(ARRAYFORMULA(HLOOKUP($B73, IMPORTRANGE('Match Names"&amp;"'!$G$23, CONCAT(VLOOKUP($C73, 'Match Names'!$1:$22, 7, FALSE), ""!C3:R29"")), {2;7;17;21}, FALSE)), 'Player Overall Stats Unsorted'!$AA$9:$AA$12), ""=X"")) + (4 - COUNTIF(IFERROR(ARRAYFORMULA(HLOOKUP($B73, IMPORTRANGE('Match Names'!$H$23, CONCAT(VLOOKUP($"&amp;"C73, 'Match Names'!$1:$22, 8, FALSE), ""!C3:R29"")), {4;10;16;22}, FALSE)), 'Player Overall Stats Unsorted'!$AA$9:$AA$12), ""=X""))"),18.0)</f>
        <v>18</v>
      </c>
      <c r="E73" s="9">
        <f>IFERROR(__xludf.DUMMYFUNCTION("COUNTIF(ARRAYFORMULA(HLOOKUP($B73, IMPORTRANGE('Prelim Rankings Unsorted'!$B$40, CONCAT(VLOOKUP($C73, 'Match Names'!$A$1:$D$22, 2, FALSE), ""!C3:R29"")), {3;8;14;20}, FALSE)), ""=4"") + COUNTIF(ARRAYFORMULA(HLOOKUP($B73, IMPORTRANGE('Prelim Rankings Unsor"&amp;"ted'!$B$41, CONCAT(VLOOKUP($C73, 'Match Names'!$A$1:$D$22, 3, FALSE), ""!C3:R29"")), {4;10;16;22}, FALSE)), ""=4"") + COUNTIF(ARRAYFORMULA(HLOOKUP($B73, IMPORTRANGE('Prelim Rankings Unsorted'!$B$42, CONCAT(VLOOKUP($C73, 'Match Names'!$A$1:$D$22, 4, FALSE)"&amp;", ""!C3:R29"")), {2;8;14;20}, FALSE)), ""=4"") + COUNTIF(ARRAYFORMULA(HLOOKUP($B73, IMPORTRANGE('Match Names'!$E$23, CONCAT(VLOOKUP($C73, 'Match Names'!$1:$22, 5, FALSE), ""!C3:R29"")), {3;7;18;23}, FALSE)), ""=4"") + COUNTIF(ARRAYFORMULA(HLOOKUP($B73, IM"&amp;"PORTRANGE('Match Names'!$F$23, CONCAT(VLOOKUP($C73, 'Match Names'!$1:$22, 6, FALSE), ""!C3:R29"")), {6;12;18;24}, FALSE)), ""=4"") + COUNTIF(ARRAYFORMULA(HLOOKUP($B73, IMPORTRANGE('Match Names'!$G$23, CONCAT(VLOOKUP($C73, 'Match Names'!$1:$22, 7, FALSE), "&amp;"""!C3:R29"")), {2;7;17;21}, FALSE)), ""=4"") + COUNTIF(ARRAYFORMULA(HLOOKUP($B73, IMPORTRANGE('Match Names'!$H$23, CONCAT(VLOOKUP($C73, 'Match Names'!$1:$22, 8, FALSE), ""!C3:R29"")), {4;10;16;22}, FALSE)), ""=4"")"),10.0)</f>
        <v>10</v>
      </c>
      <c r="F73" s="9">
        <f>IFERROR(__xludf.DUMMYFUNCTION("COUNTIF(ARRAYFORMULA(HLOOKUP($B73, IMPORTRANGE('Prelim Rankings Unsorted'!$B$40, CONCAT(VLOOKUP($C73, 'Match Names'!$A$1:$D$22, 2, FALSE), ""!C3:R29"")), {3;8;14;20}, FALSE)), ""=0"") + COUNTIF(ARRAYFORMULA(HLOOKUP($B73, IMPORTRANGE('Prelim Rankings Unsor"&amp;"ted'!$B$41, CONCAT(VLOOKUP($C73, 'Match Names'!$A$1:$D$22, 3, FALSE), ""!C3:R29"")), {4;10;16;22}, FALSE)), ""=0"") + COUNTIF(ARRAYFORMULA(HLOOKUP($B73, IMPORTRANGE('Prelim Rankings Unsorted'!$B$42, CONCAT(VLOOKUP($C73, 'Match Names'!$A$1:$D$22, 4, FALSE)"&amp;", ""!C3:R29"")), {2;8;14;20}, FALSE)), ""=0"") + COUNTIF(ARRAYFORMULA(HLOOKUP($B73, IMPORTRANGE('Match Names'!$E$23, CONCAT(VLOOKUP($C73, 'Match Names'!$1:$22, 5, FALSE), ""!C3:R29"")), {3;7;18;23}, FALSE)), ""=0"") + COUNTIF(ARRAYFORMULA(HLOOKUP($B73, IM"&amp;"PORTRANGE('Match Names'!$F$23, CONCAT(VLOOKUP($C73, 'Match Names'!$1:$22, 6, FALSE), ""!C3:R29"")), {6;12;18;24}, FALSE)), ""=0"") + COUNTIF(ARRAYFORMULA(HLOOKUP($B73, IMPORTRANGE('Match Names'!$G$23, CONCAT(VLOOKUP($C73, 'Match Names'!$1:$22, 7, FALSE), "&amp;"""!C3:R29"")), {2;7;17;21}, FALSE)), ""=0"") + COUNTIF(ARRAYFORMULA(HLOOKUP($B73, IMPORTRANGE('Match Names'!$H$23, CONCAT(VLOOKUP($C73, 'Match Names'!$1:$22, 8, FALSE), ""!C3:R29"")), {4;10;16;22}, FALSE)), ""=0"")"),4.0)</f>
        <v>4</v>
      </c>
      <c r="G73" s="9">
        <f>IFERROR(__xludf.DUMMYFUNCTION("COUNTIF(ARRAYFORMULA(HLOOKUP($B73, IMPORTRANGE('Prelim Rankings Unsorted'!$B$40, CONCAT(VLOOKUP($C73, 'Match Names'!$A$1:$D$22, 2, FALSE), ""!C3:R29"")), {3;8;14;20}, FALSE)), ""=-4"") + COUNTIF(ARRAYFORMULA(HLOOKUP($B73, IMPORTRANGE('Prelim Rankings Unso"&amp;"rted'!$B$41, CONCAT(VLOOKUP($C73, 'Match Names'!$A$1:$D$22, 3, FALSE), ""!C3:R29"")), {4;10;16;22}, FALSE)), ""=-4"") + COUNTIF(ARRAYFORMULA(HLOOKUP($B73, IMPORTRANGE('Prelim Rankings Unsorted'!$B$42, CONCAT(VLOOKUP($C73, 'Match Names'!$A$1:$D$22, 4, FALS"&amp;"E), ""!C3:R29"")), {2;8;14;20}, FALSE)), ""=-4"") + COUNTIF(ARRAYFORMULA(HLOOKUP($B73, IMPORTRANGE('Match Names'!$E$23, CONCAT(VLOOKUP($C73, 'Match Names'!$1:$22, 5, FALSE), ""!C3:R29"")), {3;7;18;23}, FALSE)), ""=-4"") + COUNTIF(ARRAYFORMULA(HLOOKUP($B73"&amp;", IMPORTRANGE('Match Names'!$F$23, CONCAT(VLOOKUP($C73, 'Match Names'!$1:$22, 6, FALSE), ""!C3:R29"")), {6;12;18;24}, FALSE)), ""=-4"") + COUNTIF(ARRAYFORMULA(HLOOKUP($B73, IMPORTRANGE('Match Names'!$G$23, CONCAT(VLOOKUP($C73, 'Match Names'!$1:$22, 7, FAL"&amp;"SE), ""!C3:R29"")), {2;7;17;21}, FALSE)), ""=-4"") + COUNTIF(ARRAYFORMULA(HLOOKUP($B73, IMPORTRANGE('Match Names'!$H$23, CONCAT(VLOOKUP($C73, 'Match Names'!$1:$22, 8, FALSE), ""!C3:R29"")), {4;10;16;22}, FALSE)), ""=-4"")"),0.0)</f>
        <v>0</v>
      </c>
      <c r="H73" s="39">
        <f t="shared" si="1"/>
        <v>8.89</v>
      </c>
    </row>
    <row r="74">
      <c r="A74" s="38" t="s">
        <v>136</v>
      </c>
      <c r="B74" s="38" t="str">
        <f>VLOOKUP(CONCAT(A74, C74), 'Discord Username to Real Name'!C:D, 2, FALSE)</f>
        <v>capriisun#3255</v>
      </c>
      <c r="C74" s="38" t="s">
        <v>24</v>
      </c>
      <c r="D74" s="9">
        <f>IFERROR(__xludf.DUMMYFUNCTION("(4 - COUNTIF(IFERROR(ARRAYFORMULA(HLOOKUP($B74, IMPORTRANGE('Prelim Rankings Unsorted'!$B$40, CONCAT(VLOOKUP($C74, 'Match Names'!$A$1:$D$22, 2, FALSE), ""!C3:R29"")), {3;8;14;20}, FALSE)), 'Player Overall Stats Unsorted'!$AA$9:$AA$12), ""=X"")) + (4 - COU"&amp;"NTIF(IFERROR(ARRAYFORMULA(HLOOKUP($B74, IMPORTRANGE('Prelim Rankings Unsorted'!$B$41, CONCAT(VLOOKUP($C74, 'Match Names'!$A$1:$D$22, 3, FALSE), ""!C3:R29"")), {4;10;16;22}, FALSE)), 'Player Overall Stats Unsorted'!$AA$9:$AA$12), ""=X"")) + (4 - COUNTIF(IF"&amp;"ERROR(ARRAYFORMULA(HLOOKUP($B74, IMPORTRANGE('Prelim Rankings Unsorted'!$B$42, CONCAT(VLOOKUP($C74, 'Match Names'!$A$1:$D$22, 4, FALSE), ""!C3:R29"")), {2;8;14;20}, FALSE)), 'Player Overall Stats Unsorted'!$AA$9:$AA$12), ""=X"")) + (4 - COUNTIF(IFERROR(AR"&amp;"RAYFORMULA(HLOOKUP($B74, IMPORTRANGE('Match Names'!$E$23, CONCAT(VLOOKUP($C74, 'Match Names'!$1:$22, 5, FALSE), ""!C3:R29"")), {3;7;18;23}, FALSE)), 'Player Overall Stats Unsorted'!$AA$9:$AA$12), ""=X"")) + (4 - COUNTIF(IFERROR(ARRAYFORMULA(HLOOKUP($B74, "&amp;"IMPORTRANGE('Match Names'!$F$23, CONCAT(VLOOKUP($C74, 'Match Names'!$1:$22, 6, FALSE), ""!C3:R29"")), {6;12;18;24}, FALSE)), 'Player Overall Stats Unsorted'!$AA$9:$AA$12), ""=X"")) + (4 - COUNTIF(IFERROR(ARRAYFORMULA(HLOOKUP($B74, IMPORTRANGE('Match Names"&amp;"'!$G$23, CONCAT(VLOOKUP($C74, 'Match Names'!$1:$22, 7, FALSE), ""!C3:R29"")), {2;7;17;21}, FALSE)), 'Player Overall Stats Unsorted'!$AA$9:$AA$12), ""=X"")) + (4 - COUNTIF(IFERROR(ARRAYFORMULA(HLOOKUP($B74, IMPORTRANGE('Match Names'!$H$23, CONCAT(VLOOKUP($"&amp;"C74, 'Match Names'!$1:$22, 8, FALSE), ""!C3:R29"")), {4;10;16;22}, FALSE)), 'Player Overall Stats Unsorted'!$AA$9:$AA$12), ""=X""))"),14.0)</f>
        <v>14</v>
      </c>
      <c r="E74" s="9">
        <f>IFERROR(__xludf.DUMMYFUNCTION("COUNTIF(ARRAYFORMULA(HLOOKUP($B74, IMPORTRANGE('Prelim Rankings Unsorted'!$B$40, CONCAT(VLOOKUP($C74, 'Match Names'!$A$1:$D$22, 2, FALSE), ""!C3:R29"")), {3;8;14;20}, FALSE)), ""=4"") + COUNTIF(ARRAYFORMULA(HLOOKUP($B74, IMPORTRANGE('Prelim Rankings Unsor"&amp;"ted'!$B$41, CONCAT(VLOOKUP($C74, 'Match Names'!$A$1:$D$22, 3, FALSE), ""!C3:R29"")), {4;10;16;22}, FALSE)), ""=4"") + COUNTIF(ARRAYFORMULA(HLOOKUP($B74, IMPORTRANGE('Prelim Rankings Unsorted'!$B$42, CONCAT(VLOOKUP($C74, 'Match Names'!$A$1:$D$22, 4, FALSE)"&amp;", ""!C3:R29"")), {2;8;14;20}, FALSE)), ""=4"") + COUNTIF(ARRAYFORMULA(HLOOKUP($B74, IMPORTRANGE('Match Names'!$E$23, CONCAT(VLOOKUP($C74, 'Match Names'!$1:$22, 5, FALSE), ""!C3:R29"")), {3;7;18;23}, FALSE)), ""=4"") + COUNTIF(ARRAYFORMULA(HLOOKUP($B74, IM"&amp;"PORTRANGE('Match Names'!$F$23, CONCAT(VLOOKUP($C74, 'Match Names'!$1:$22, 6, FALSE), ""!C3:R29"")), {6;12;18;24}, FALSE)), ""=4"") + COUNTIF(ARRAYFORMULA(HLOOKUP($B74, IMPORTRANGE('Match Names'!$G$23, CONCAT(VLOOKUP($C74, 'Match Names'!$1:$22, 7, FALSE), "&amp;"""!C3:R29"")), {2;7;17;21}, FALSE)), ""=4"") + COUNTIF(ARRAYFORMULA(HLOOKUP($B74, IMPORTRANGE('Match Names'!$H$23, CONCAT(VLOOKUP($C74, 'Match Names'!$1:$22, 8, FALSE), ""!C3:R29"")), {4;10;16;22}, FALSE)), ""=4"")"),0.0)</f>
        <v>0</v>
      </c>
      <c r="F74" s="9">
        <f>IFERROR(__xludf.DUMMYFUNCTION("COUNTIF(ARRAYFORMULA(HLOOKUP($B74, IMPORTRANGE('Prelim Rankings Unsorted'!$B$40, CONCAT(VLOOKUP($C74, 'Match Names'!$A$1:$D$22, 2, FALSE), ""!C3:R29"")), {3;8;14;20}, FALSE)), ""=0"") + COUNTIF(ARRAYFORMULA(HLOOKUP($B74, IMPORTRANGE('Prelim Rankings Unsor"&amp;"ted'!$B$41, CONCAT(VLOOKUP($C74, 'Match Names'!$A$1:$D$22, 3, FALSE), ""!C3:R29"")), {4;10;16;22}, FALSE)), ""=0"") + COUNTIF(ARRAYFORMULA(HLOOKUP($B74, IMPORTRANGE('Prelim Rankings Unsorted'!$B$42, CONCAT(VLOOKUP($C74, 'Match Names'!$A$1:$D$22, 4, FALSE)"&amp;", ""!C3:R29"")), {2;8;14;20}, FALSE)), ""=0"") + COUNTIF(ARRAYFORMULA(HLOOKUP($B74, IMPORTRANGE('Match Names'!$E$23, CONCAT(VLOOKUP($C74, 'Match Names'!$1:$22, 5, FALSE), ""!C3:R29"")), {3;7;18;23}, FALSE)), ""=0"") + COUNTIF(ARRAYFORMULA(HLOOKUP($B74, IM"&amp;"PORTRANGE('Match Names'!$F$23, CONCAT(VLOOKUP($C74, 'Match Names'!$1:$22, 6, FALSE), ""!C3:R29"")), {6;12;18;24}, FALSE)), ""=0"") + COUNTIF(ARRAYFORMULA(HLOOKUP($B74, IMPORTRANGE('Match Names'!$G$23, CONCAT(VLOOKUP($C74, 'Match Names'!$1:$22, 7, FALSE), "&amp;"""!C3:R29"")), {2;7;17;21}, FALSE)), ""=0"") + COUNTIF(ARRAYFORMULA(HLOOKUP($B74, IMPORTRANGE('Match Names'!$H$23, CONCAT(VLOOKUP($C74, 'Match Names'!$1:$22, 8, FALSE), ""!C3:R29"")), {4;10;16;22}, FALSE)), ""=0"")"),1.0)</f>
        <v>1</v>
      </c>
      <c r="G74" s="9">
        <f>IFERROR(__xludf.DUMMYFUNCTION("COUNTIF(ARRAYFORMULA(HLOOKUP($B74, IMPORTRANGE('Prelim Rankings Unsorted'!$B$40, CONCAT(VLOOKUP($C74, 'Match Names'!$A$1:$D$22, 2, FALSE), ""!C3:R29"")), {3;8;14;20}, FALSE)), ""=-4"") + COUNTIF(ARRAYFORMULA(HLOOKUP($B74, IMPORTRANGE('Prelim Rankings Unso"&amp;"rted'!$B$41, CONCAT(VLOOKUP($C74, 'Match Names'!$A$1:$D$22, 3, FALSE), ""!C3:R29"")), {4;10;16;22}, FALSE)), ""=-4"") + COUNTIF(ARRAYFORMULA(HLOOKUP($B74, IMPORTRANGE('Prelim Rankings Unsorted'!$B$42, CONCAT(VLOOKUP($C74, 'Match Names'!$A$1:$D$22, 4, FALS"&amp;"E), ""!C3:R29"")), {2;8;14;20}, FALSE)), ""=-4"") + COUNTIF(ARRAYFORMULA(HLOOKUP($B74, IMPORTRANGE('Match Names'!$E$23, CONCAT(VLOOKUP($C74, 'Match Names'!$1:$22, 5, FALSE), ""!C3:R29"")), {3;7;18;23}, FALSE)), ""=-4"") + COUNTIF(ARRAYFORMULA(HLOOKUP($B74"&amp;", IMPORTRANGE('Match Names'!$F$23, CONCAT(VLOOKUP($C74, 'Match Names'!$1:$22, 6, FALSE), ""!C3:R29"")), {6;12;18;24}, FALSE)), ""=-4"") + COUNTIF(ARRAYFORMULA(HLOOKUP($B74, IMPORTRANGE('Match Names'!$G$23, CONCAT(VLOOKUP($C74, 'Match Names'!$1:$22, 7, FAL"&amp;"SE), ""!C3:R29"")), {2;7;17;21}, FALSE)), ""=-4"") + COUNTIF(ARRAYFORMULA(HLOOKUP($B74, IMPORTRANGE('Match Names'!$H$23, CONCAT(VLOOKUP($C74, 'Match Names'!$1:$22, 8, FALSE), ""!C3:R29"")), {4;10;16;22}, FALSE)), ""=-4"")"),0.0)</f>
        <v>0</v>
      </c>
      <c r="H74" s="39">
        <f t="shared" si="1"/>
        <v>0</v>
      </c>
    </row>
    <row r="75">
      <c r="A75" s="38" t="s">
        <v>52</v>
      </c>
      <c r="B75" s="38" t="str">
        <f>VLOOKUP(CONCAT(A75, C75), 'Discord Username to Real Name'!C:D, 2, FALSE)</f>
        <v>cindyhlu#0060</v>
      </c>
      <c r="C75" s="38" t="s">
        <v>24</v>
      </c>
      <c r="D75" s="9">
        <f>IFERROR(__xludf.DUMMYFUNCTION("(4 - COUNTIF(IFERROR(ARRAYFORMULA(HLOOKUP($B75, IMPORTRANGE('Prelim Rankings Unsorted'!$B$40, CONCAT(VLOOKUP($C75, 'Match Names'!$A$1:$D$22, 2, FALSE), ""!C3:R29"")), {3;8;14;20}, FALSE)), 'Player Overall Stats Unsorted'!$AA$9:$AA$12), ""=X"")) + (4 - COU"&amp;"NTIF(IFERROR(ARRAYFORMULA(HLOOKUP($B75, IMPORTRANGE('Prelim Rankings Unsorted'!$B$41, CONCAT(VLOOKUP($C75, 'Match Names'!$A$1:$D$22, 3, FALSE), ""!C3:R29"")), {4;10;16;22}, FALSE)), 'Player Overall Stats Unsorted'!$AA$9:$AA$12), ""=X"")) + (4 - COUNTIF(IF"&amp;"ERROR(ARRAYFORMULA(HLOOKUP($B75, IMPORTRANGE('Prelim Rankings Unsorted'!$B$42, CONCAT(VLOOKUP($C75, 'Match Names'!$A$1:$D$22, 4, FALSE), ""!C3:R29"")), {2;8;14;20}, FALSE)), 'Player Overall Stats Unsorted'!$AA$9:$AA$12), ""=X"")) + (4 - COUNTIF(IFERROR(AR"&amp;"RAYFORMULA(HLOOKUP($B75, IMPORTRANGE('Match Names'!$E$23, CONCAT(VLOOKUP($C75, 'Match Names'!$1:$22, 5, FALSE), ""!C3:R29"")), {3;7;18;23}, FALSE)), 'Player Overall Stats Unsorted'!$AA$9:$AA$12), ""=X"")) + (4 - COUNTIF(IFERROR(ARRAYFORMULA(HLOOKUP($B75, "&amp;"IMPORTRANGE('Match Names'!$F$23, CONCAT(VLOOKUP($C75, 'Match Names'!$1:$22, 6, FALSE), ""!C3:R29"")), {6;12;18;24}, FALSE)), 'Player Overall Stats Unsorted'!$AA$9:$AA$12), ""=X"")) + (4 - COUNTIF(IFERROR(ARRAYFORMULA(HLOOKUP($B75, IMPORTRANGE('Match Names"&amp;"'!$G$23, CONCAT(VLOOKUP($C75, 'Match Names'!$1:$22, 7, FALSE), ""!C3:R29"")), {2;7;17;21}, FALSE)), 'Player Overall Stats Unsorted'!$AA$9:$AA$12), ""=X"")) + (4 - COUNTIF(IFERROR(ARRAYFORMULA(HLOOKUP($B75, IMPORTRANGE('Match Names'!$H$23, CONCAT(VLOOKUP($"&amp;"C75, 'Match Names'!$1:$22, 8, FALSE), ""!C3:R29"")), {4;10;16;22}, FALSE)), 'Player Overall Stats Unsorted'!$AA$9:$AA$12), ""=X""))"),14.0)</f>
        <v>14</v>
      </c>
      <c r="E75" s="9">
        <f>IFERROR(__xludf.DUMMYFUNCTION("COUNTIF(ARRAYFORMULA(HLOOKUP($B75, IMPORTRANGE('Prelim Rankings Unsorted'!$B$40, CONCAT(VLOOKUP($C75, 'Match Names'!$A$1:$D$22, 2, FALSE), ""!C3:R29"")), {3;8;14;20}, FALSE)), ""=4"") + COUNTIF(ARRAYFORMULA(HLOOKUP($B75, IMPORTRANGE('Prelim Rankings Unsor"&amp;"ted'!$B$41, CONCAT(VLOOKUP($C75, 'Match Names'!$A$1:$D$22, 3, FALSE), ""!C3:R29"")), {4;10;16;22}, FALSE)), ""=4"") + COUNTIF(ARRAYFORMULA(HLOOKUP($B75, IMPORTRANGE('Prelim Rankings Unsorted'!$B$42, CONCAT(VLOOKUP($C75, 'Match Names'!$A$1:$D$22, 4, FALSE)"&amp;", ""!C3:R29"")), {2;8;14;20}, FALSE)), ""=4"") + COUNTIF(ARRAYFORMULA(HLOOKUP($B75, IMPORTRANGE('Match Names'!$E$23, CONCAT(VLOOKUP($C75, 'Match Names'!$1:$22, 5, FALSE), ""!C3:R29"")), {3;7;18;23}, FALSE)), ""=4"") + COUNTIF(ARRAYFORMULA(HLOOKUP($B75, IM"&amp;"PORTRANGE('Match Names'!$F$23, CONCAT(VLOOKUP($C75, 'Match Names'!$1:$22, 6, FALSE), ""!C3:R29"")), {6;12;18;24}, FALSE)), ""=4"") + COUNTIF(ARRAYFORMULA(HLOOKUP($B75, IMPORTRANGE('Match Names'!$G$23, CONCAT(VLOOKUP($C75, 'Match Names'!$1:$22, 7, FALSE), "&amp;"""!C3:R29"")), {2;7;17;21}, FALSE)), ""=4"") + COUNTIF(ARRAYFORMULA(HLOOKUP($B75, IMPORTRANGE('Match Names'!$H$23, CONCAT(VLOOKUP($C75, 'Match Names'!$1:$22, 8, FALSE), ""!C3:R29"")), {4;10;16;22}, FALSE)), ""=4"")"),1.0)</f>
        <v>1</v>
      </c>
      <c r="F75" s="9">
        <f>IFERROR(__xludf.DUMMYFUNCTION("COUNTIF(ARRAYFORMULA(HLOOKUP($B75, IMPORTRANGE('Prelim Rankings Unsorted'!$B$40, CONCAT(VLOOKUP($C75, 'Match Names'!$A$1:$D$22, 2, FALSE), ""!C3:R29"")), {3;8;14;20}, FALSE)), ""=0"") + COUNTIF(ARRAYFORMULA(HLOOKUP($B75, IMPORTRANGE('Prelim Rankings Unsor"&amp;"ted'!$B$41, CONCAT(VLOOKUP($C75, 'Match Names'!$A$1:$D$22, 3, FALSE), ""!C3:R29"")), {4;10;16;22}, FALSE)), ""=0"") + COUNTIF(ARRAYFORMULA(HLOOKUP($B75, IMPORTRANGE('Prelim Rankings Unsorted'!$B$42, CONCAT(VLOOKUP($C75, 'Match Names'!$A$1:$D$22, 4, FALSE)"&amp;", ""!C3:R29"")), {2;8;14;20}, FALSE)), ""=0"") + COUNTIF(ARRAYFORMULA(HLOOKUP($B75, IMPORTRANGE('Match Names'!$E$23, CONCAT(VLOOKUP($C75, 'Match Names'!$1:$22, 5, FALSE), ""!C3:R29"")), {3;7;18;23}, FALSE)), ""=0"") + COUNTIF(ARRAYFORMULA(HLOOKUP($B75, IM"&amp;"PORTRANGE('Match Names'!$F$23, CONCAT(VLOOKUP($C75, 'Match Names'!$1:$22, 6, FALSE), ""!C3:R29"")), {6;12;18;24}, FALSE)), ""=0"") + COUNTIF(ARRAYFORMULA(HLOOKUP($B75, IMPORTRANGE('Match Names'!$G$23, CONCAT(VLOOKUP($C75, 'Match Names'!$1:$22, 7, FALSE), "&amp;"""!C3:R29"")), {2;7;17;21}, FALSE)), ""=0"") + COUNTIF(ARRAYFORMULA(HLOOKUP($B75, IMPORTRANGE('Match Names'!$H$23, CONCAT(VLOOKUP($C75, 'Match Names'!$1:$22, 8, FALSE), ""!C3:R29"")), {4;10;16;22}, FALSE)), ""=0"")"),0.0)</f>
        <v>0</v>
      </c>
      <c r="G75" s="9">
        <f>IFERROR(__xludf.DUMMYFUNCTION("COUNTIF(ARRAYFORMULA(HLOOKUP($B75, IMPORTRANGE('Prelim Rankings Unsorted'!$B$40, CONCAT(VLOOKUP($C75, 'Match Names'!$A$1:$D$22, 2, FALSE), ""!C3:R29"")), {3;8;14;20}, FALSE)), ""=-4"") + COUNTIF(ARRAYFORMULA(HLOOKUP($B75, IMPORTRANGE('Prelim Rankings Unso"&amp;"rted'!$B$41, CONCAT(VLOOKUP($C75, 'Match Names'!$A$1:$D$22, 3, FALSE), ""!C3:R29"")), {4;10;16;22}, FALSE)), ""=-4"") + COUNTIF(ARRAYFORMULA(HLOOKUP($B75, IMPORTRANGE('Prelim Rankings Unsorted'!$B$42, CONCAT(VLOOKUP($C75, 'Match Names'!$A$1:$D$22, 4, FALS"&amp;"E), ""!C3:R29"")), {2;8;14;20}, FALSE)), ""=-4"") + COUNTIF(ARRAYFORMULA(HLOOKUP($B75, IMPORTRANGE('Match Names'!$E$23, CONCAT(VLOOKUP($C75, 'Match Names'!$1:$22, 5, FALSE), ""!C3:R29"")), {3;7;18;23}, FALSE)), ""=-4"") + COUNTIF(ARRAYFORMULA(HLOOKUP($B75"&amp;", IMPORTRANGE('Match Names'!$F$23, CONCAT(VLOOKUP($C75, 'Match Names'!$1:$22, 6, FALSE), ""!C3:R29"")), {6;12;18;24}, FALSE)), ""=-4"") + COUNTIF(ARRAYFORMULA(HLOOKUP($B75, IMPORTRANGE('Match Names'!$G$23, CONCAT(VLOOKUP($C75, 'Match Names'!$1:$22, 7, FAL"&amp;"SE), ""!C3:R29"")), {2;7;17;21}, FALSE)), ""=-4"") + COUNTIF(ARRAYFORMULA(HLOOKUP($B75, IMPORTRANGE('Match Names'!$H$23, CONCAT(VLOOKUP($C75, 'Match Names'!$1:$22, 8, FALSE), ""!C3:R29"")), {4;10;16;22}, FALSE)), ""=-4"")"),0.0)</f>
        <v>0</v>
      </c>
      <c r="H75" s="39">
        <f t="shared" si="1"/>
        <v>1.14</v>
      </c>
    </row>
    <row r="76">
      <c r="A76" s="38" t="s">
        <v>13</v>
      </c>
      <c r="B76" s="38" t="str">
        <f>VLOOKUP(CONCAT(A76, C76), 'Discord Username to Real Name'!C:D, 2, FALSE)</f>
        <v>alienated#7505</v>
      </c>
      <c r="C76" s="38" t="s">
        <v>24</v>
      </c>
      <c r="D76" s="9">
        <f>IFERROR(__xludf.DUMMYFUNCTION("(4 - COUNTIF(IFERROR(ARRAYFORMULA(HLOOKUP($B76, IMPORTRANGE('Prelim Rankings Unsorted'!$B$40, CONCAT(VLOOKUP($C76, 'Match Names'!$A$1:$D$22, 2, FALSE), ""!C3:R29"")), {3;8;14;20}, FALSE)), 'Player Overall Stats Unsorted'!$AA$9:$AA$12), ""=X"")) + (4 - COU"&amp;"NTIF(IFERROR(ARRAYFORMULA(HLOOKUP($B76, IMPORTRANGE('Prelim Rankings Unsorted'!$B$41, CONCAT(VLOOKUP($C76, 'Match Names'!$A$1:$D$22, 3, FALSE), ""!C3:R29"")), {4;10;16;22}, FALSE)), 'Player Overall Stats Unsorted'!$AA$9:$AA$12), ""=X"")) + (4 - COUNTIF(IF"&amp;"ERROR(ARRAYFORMULA(HLOOKUP($B76, IMPORTRANGE('Prelim Rankings Unsorted'!$B$42, CONCAT(VLOOKUP($C76, 'Match Names'!$A$1:$D$22, 4, FALSE), ""!C3:R29"")), {2;8;14;20}, FALSE)), 'Player Overall Stats Unsorted'!$AA$9:$AA$12), ""=X"")) + (4 - COUNTIF(IFERROR(AR"&amp;"RAYFORMULA(HLOOKUP($B76, IMPORTRANGE('Match Names'!$E$23, CONCAT(VLOOKUP($C76, 'Match Names'!$1:$22, 5, FALSE), ""!C3:R29"")), {3;7;18;23}, FALSE)), 'Player Overall Stats Unsorted'!$AA$9:$AA$12), ""=X"")) + (4 - COUNTIF(IFERROR(ARRAYFORMULA(HLOOKUP($B76, "&amp;"IMPORTRANGE('Match Names'!$F$23, CONCAT(VLOOKUP($C76, 'Match Names'!$1:$22, 6, FALSE), ""!C3:R29"")), {6;12;18;24}, FALSE)), 'Player Overall Stats Unsorted'!$AA$9:$AA$12), ""=X"")) + (4 - COUNTIF(IFERROR(ARRAYFORMULA(HLOOKUP($B76, IMPORTRANGE('Match Names"&amp;"'!$G$23, CONCAT(VLOOKUP($C76, 'Match Names'!$1:$22, 7, FALSE), ""!C3:R29"")), {2;7;17;21}, FALSE)), 'Player Overall Stats Unsorted'!$AA$9:$AA$12), ""=X"")) + (4 - COUNTIF(IFERROR(ARRAYFORMULA(HLOOKUP($B76, IMPORTRANGE('Match Names'!$H$23, CONCAT(VLOOKUP($"&amp;"C76, 'Match Names'!$1:$22, 8, FALSE), ""!C3:R29"")), {4;10;16;22}, FALSE)), 'Player Overall Stats Unsorted'!$AA$9:$AA$12), ""=X""))"),16.0)</f>
        <v>16</v>
      </c>
      <c r="E76" s="9">
        <f>IFERROR(__xludf.DUMMYFUNCTION("COUNTIF(ARRAYFORMULA(HLOOKUP($B76, IMPORTRANGE('Prelim Rankings Unsorted'!$B$40, CONCAT(VLOOKUP($C76, 'Match Names'!$A$1:$D$22, 2, FALSE), ""!C3:R29"")), {3;8;14;20}, FALSE)), ""=4"") + COUNTIF(ARRAYFORMULA(HLOOKUP($B76, IMPORTRANGE('Prelim Rankings Unsor"&amp;"ted'!$B$41, CONCAT(VLOOKUP($C76, 'Match Names'!$A$1:$D$22, 3, FALSE), ""!C3:R29"")), {4;10;16;22}, FALSE)), ""=4"") + COUNTIF(ARRAYFORMULA(HLOOKUP($B76, IMPORTRANGE('Prelim Rankings Unsorted'!$B$42, CONCAT(VLOOKUP($C76, 'Match Names'!$A$1:$D$22, 4, FALSE)"&amp;", ""!C3:R29"")), {2;8;14;20}, FALSE)), ""=4"") + COUNTIF(ARRAYFORMULA(HLOOKUP($B76, IMPORTRANGE('Match Names'!$E$23, CONCAT(VLOOKUP($C76, 'Match Names'!$1:$22, 5, FALSE), ""!C3:R29"")), {3;7;18;23}, FALSE)), ""=4"") + COUNTIF(ARRAYFORMULA(HLOOKUP($B76, IM"&amp;"PORTRANGE('Match Names'!$F$23, CONCAT(VLOOKUP($C76, 'Match Names'!$1:$22, 6, FALSE), ""!C3:R29"")), {6;12;18;24}, FALSE)), ""=4"") + COUNTIF(ARRAYFORMULA(HLOOKUP($B76, IMPORTRANGE('Match Names'!$G$23, CONCAT(VLOOKUP($C76, 'Match Names'!$1:$22, 7, FALSE), "&amp;"""!C3:R29"")), {2;7;17;21}, FALSE)), ""=4"") + COUNTIF(ARRAYFORMULA(HLOOKUP($B76, IMPORTRANGE('Match Names'!$H$23, CONCAT(VLOOKUP($C76, 'Match Names'!$1:$22, 8, FALSE), ""!C3:R29"")), {4;10;16;22}, FALSE)), ""=4"")"),1.0)</f>
        <v>1</v>
      </c>
      <c r="F76" s="9">
        <f>IFERROR(__xludf.DUMMYFUNCTION("COUNTIF(ARRAYFORMULA(HLOOKUP($B76, IMPORTRANGE('Prelim Rankings Unsorted'!$B$40, CONCAT(VLOOKUP($C76, 'Match Names'!$A$1:$D$22, 2, FALSE), ""!C3:R29"")), {3;8;14;20}, FALSE)), ""=0"") + COUNTIF(ARRAYFORMULA(HLOOKUP($B76, IMPORTRANGE('Prelim Rankings Unsor"&amp;"ted'!$B$41, CONCAT(VLOOKUP($C76, 'Match Names'!$A$1:$D$22, 3, FALSE), ""!C3:R29"")), {4;10;16;22}, FALSE)), ""=0"") + COUNTIF(ARRAYFORMULA(HLOOKUP($B76, IMPORTRANGE('Prelim Rankings Unsorted'!$B$42, CONCAT(VLOOKUP($C76, 'Match Names'!$A$1:$D$22, 4, FALSE)"&amp;", ""!C3:R29"")), {2;8;14;20}, FALSE)), ""=0"") + COUNTIF(ARRAYFORMULA(HLOOKUP($B76, IMPORTRANGE('Match Names'!$E$23, CONCAT(VLOOKUP($C76, 'Match Names'!$1:$22, 5, FALSE), ""!C3:R29"")), {3;7;18;23}, FALSE)), ""=0"") + COUNTIF(ARRAYFORMULA(HLOOKUP($B76, IM"&amp;"PORTRANGE('Match Names'!$F$23, CONCAT(VLOOKUP($C76, 'Match Names'!$1:$22, 6, FALSE), ""!C3:R29"")), {6;12;18;24}, FALSE)), ""=0"") + COUNTIF(ARRAYFORMULA(HLOOKUP($B76, IMPORTRANGE('Match Names'!$G$23, CONCAT(VLOOKUP($C76, 'Match Names'!$1:$22, 7, FALSE), "&amp;"""!C3:R29"")), {2;7;17;21}, FALSE)), ""=0"") + COUNTIF(ARRAYFORMULA(HLOOKUP($B76, IMPORTRANGE('Match Names'!$H$23, CONCAT(VLOOKUP($C76, 'Match Names'!$1:$22, 8, FALSE), ""!C3:R29"")), {4;10;16;22}, FALSE)), ""=0"")"),0.0)</f>
        <v>0</v>
      </c>
      <c r="G76" s="9">
        <f>IFERROR(__xludf.DUMMYFUNCTION("COUNTIF(ARRAYFORMULA(HLOOKUP($B76, IMPORTRANGE('Prelim Rankings Unsorted'!$B$40, CONCAT(VLOOKUP($C76, 'Match Names'!$A$1:$D$22, 2, FALSE), ""!C3:R29"")), {3;8;14;20}, FALSE)), ""=-4"") + COUNTIF(ARRAYFORMULA(HLOOKUP($B76, IMPORTRANGE('Prelim Rankings Unso"&amp;"rted'!$B$41, CONCAT(VLOOKUP($C76, 'Match Names'!$A$1:$D$22, 3, FALSE), ""!C3:R29"")), {4;10;16;22}, FALSE)), ""=-4"") + COUNTIF(ARRAYFORMULA(HLOOKUP($B76, IMPORTRANGE('Prelim Rankings Unsorted'!$B$42, CONCAT(VLOOKUP($C76, 'Match Names'!$A$1:$D$22, 4, FALS"&amp;"E), ""!C3:R29"")), {2;8;14;20}, FALSE)), ""=-4"") + COUNTIF(ARRAYFORMULA(HLOOKUP($B76, IMPORTRANGE('Match Names'!$E$23, CONCAT(VLOOKUP($C76, 'Match Names'!$1:$22, 5, FALSE), ""!C3:R29"")), {3;7;18;23}, FALSE)), ""=-4"") + COUNTIF(ARRAYFORMULA(HLOOKUP($B76"&amp;", IMPORTRANGE('Match Names'!$F$23, CONCAT(VLOOKUP($C76, 'Match Names'!$1:$22, 6, FALSE), ""!C3:R29"")), {6;12;18;24}, FALSE)), ""=-4"") + COUNTIF(ARRAYFORMULA(HLOOKUP($B76, IMPORTRANGE('Match Names'!$G$23, CONCAT(VLOOKUP($C76, 'Match Names'!$1:$22, 7, FAL"&amp;"SE), ""!C3:R29"")), {2;7;17;21}, FALSE)), ""=-4"") + COUNTIF(ARRAYFORMULA(HLOOKUP($B76, IMPORTRANGE('Match Names'!$H$23, CONCAT(VLOOKUP($C76, 'Match Names'!$1:$22, 8, FALSE), ""!C3:R29"")), {4;10;16;22}, FALSE)), ""=-4"")"),0.0)</f>
        <v>0</v>
      </c>
      <c r="H76" s="39">
        <f t="shared" si="1"/>
        <v>1</v>
      </c>
    </row>
    <row r="77">
      <c r="A77" s="38" t="s">
        <v>155</v>
      </c>
      <c r="B77" s="38" t="str">
        <f>VLOOKUP(CONCAT(A77, C77), 'Discord Username to Real Name'!C:D, 2, FALSE)</f>
        <v>xplt#4416</v>
      </c>
      <c r="C77" s="38" t="s">
        <v>24</v>
      </c>
      <c r="D77" s="9">
        <f>IFERROR(__xludf.DUMMYFUNCTION("(4 - COUNTIF(IFERROR(ARRAYFORMULA(HLOOKUP($B77, IMPORTRANGE('Prelim Rankings Unsorted'!$B$40, CONCAT(VLOOKUP($C77, 'Match Names'!$A$1:$D$22, 2, FALSE), ""!C3:R29"")), {3;8;14;20}, FALSE)), 'Player Overall Stats Unsorted'!$AA$9:$AA$12), ""=X"")) + (4 - COU"&amp;"NTIF(IFERROR(ARRAYFORMULA(HLOOKUP($B77, IMPORTRANGE('Prelim Rankings Unsorted'!$B$41, CONCAT(VLOOKUP($C77, 'Match Names'!$A$1:$D$22, 3, FALSE), ""!C3:R29"")), {4;10;16;22}, FALSE)), 'Player Overall Stats Unsorted'!$AA$9:$AA$12), ""=X"")) + (4 - COUNTIF(IF"&amp;"ERROR(ARRAYFORMULA(HLOOKUP($B77, IMPORTRANGE('Prelim Rankings Unsorted'!$B$42, CONCAT(VLOOKUP($C77, 'Match Names'!$A$1:$D$22, 4, FALSE), ""!C3:R29"")), {2;8;14;20}, FALSE)), 'Player Overall Stats Unsorted'!$AA$9:$AA$12), ""=X"")) + (4 - COUNTIF(IFERROR(AR"&amp;"RAYFORMULA(HLOOKUP($B77, IMPORTRANGE('Match Names'!$E$23, CONCAT(VLOOKUP($C77, 'Match Names'!$1:$22, 5, FALSE), ""!C3:R29"")), {3;7;18;23}, FALSE)), 'Player Overall Stats Unsorted'!$AA$9:$AA$12), ""=X"")) + (4 - COUNTIF(IFERROR(ARRAYFORMULA(HLOOKUP($B77, "&amp;"IMPORTRANGE('Match Names'!$F$23, CONCAT(VLOOKUP($C77, 'Match Names'!$1:$22, 6, FALSE), ""!C3:R29"")), {6;12;18;24}, FALSE)), 'Player Overall Stats Unsorted'!$AA$9:$AA$12), ""=X"")) + (4 - COUNTIF(IFERROR(ARRAYFORMULA(HLOOKUP($B77, IMPORTRANGE('Match Names"&amp;"'!$G$23, CONCAT(VLOOKUP($C77, 'Match Names'!$1:$22, 7, FALSE), ""!C3:R29"")), {2;7;17;21}, FALSE)), 'Player Overall Stats Unsorted'!$AA$9:$AA$12), ""=X"")) + (4 - COUNTIF(IFERROR(ARRAYFORMULA(HLOOKUP($B77, IMPORTRANGE('Match Names'!$H$23, CONCAT(VLOOKUP($"&amp;"C77, 'Match Names'!$1:$22, 8, FALSE), ""!C3:R29"")), {4;10;16;22}, FALSE)), 'Player Overall Stats Unsorted'!$AA$9:$AA$12), ""=X""))"),16.0)</f>
        <v>16</v>
      </c>
      <c r="E77" s="9">
        <f>IFERROR(__xludf.DUMMYFUNCTION("COUNTIF(ARRAYFORMULA(HLOOKUP($B77, IMPORTRANGE('Prelim Rankings Unsorted'!$B$40, CONCAT(VLOOKUP($C77, 'Match Names'!$A$1:$D$22, 2, FALSE), ""!C3:R29"")), {3;8;14;20}, FALSE)), ""=4"") + COUNTIF(ARRAYFORMULA(HLOOKUP($B77, IMPORTRANGE('Prelim Rankings Unsor"&amp;"ted'!$B$41, CONCAT(VLOOKUP($C77, 'Match Names'!$A$1:$D$22, 3, FALSE), ""!C3:R29"")), {4;10;16;22}, FALSE)), ""=4"") + COUNTIF(ARRAYFORMULA(HLOOKUP($B77, IMPORTRANGE('Prelim Rankings Unsorted'!$B$42, CONCAT(VLOOKUP($C77, 'Match Names'!$A$1:$D$22, 4, FALSE)"&amp;", ""!C3:R29"")), {2;8;14;20}, FALSE)), ""=4"") + COUNTIF(ARRAYFORMULA(HLOOKUP($B77, IMPORTRANGE('Match Names'!$E$23, CONCAT(VLOOKUP($C77, 'Match Names'!$1:$22, 5, FALSE), ""!C3:R29"")), {3;7;18;23}, FALSE)), ""=4"") + COUNTIF(ARRAYFORMULA(HLOOKUP($B77, IM"&amp;"PORTRANGE('Match Names'!$F$23, CONCAT(VLOOKUP($C77, 'Match Names'!$1:$22, 6, FALSE), ""!C3:R29"")), {6;12;18;24}, FALSE)), ""=4"") + COUNTIF(ARRAYFORMULA(HLOOKUP($B77, IMPORTRANGE('Match Names'!$G$23, CONCAT(VLOOKUP($C77, 'Match Names'!$1:$22, 7, FALSE), "&amp;"""!C3:R29"")), {2;7;17;21}, FALSE)), ""=4"") + COUNTIF(ARRAYFORMULA(HLOOKUP($B77, IMPORTRANGE('Match Names'!$H$23, CONCAT(VLOOKUP($C77, 'Match Names'!$1:$22, 8, FALSE), ""!C3:R29"")), {4;10;16;22}, FALSE)), ""=4"")"),0.0)</f>
        <v>0</v>
      </c>
      <c r="F77" s="9">
        <f>IFERROR(__xludf.DUMMYFUNCTION("COUNTIF(ARRAYFORMULA(HLOOKUP($B77, IMPORTRANGE('Prelim Rankings Unsorted'!$B$40, CONCAT(VLOOKUP($C77, 'Match Names'!$A$1:$D$22, 2, FALSE), ""!C3:R29"")), {3;8;14;20}, FALSE)), ""=0"") + COUNTIF(ARRAYFORMULA(HLOOKUP($B77, IMPORTRANGE('Prelim Rankings Unsor"&amp;"ted'!$B$41, CONCAT(VLOOKUP($C77, 'Match Names'!$A$1:$D$22, 3, FALSE), ""!C3:R29"")), {4;10;16;22}, FALSE)), ""=0"") + COUNTIF(ARRAYFORMULA(HLOOKUP($B77, IMPORTRANGE('Prelim Rankings Unsorted'!$B$42, CONCAT(VLOOKUP($C77, 'Match Names'!$A$1:$D$22, 4, FALSE)"&amp;", ""!C3:R29"")), {2;8;14;20}, FALSE)), ""=0"") + COUNTIF(ARRAYFORMULA(HLOOKUP($B77, IMPORTRANGE('Match Names'!$E$23, CONCAT(VLOOKUP($C77, 'Match Names'!$1:$22, 5, FALSE), ""!C3:R29"")), {3;7;18;23}, FALSE)), ""=0"") + COUNTIF(ARRAYFORMULA(HLOOKUP($B77, IM"&amp;"PORTRANGE('Match Names'!$F$23, CONCAT(VLOOKUP($C77, 'Match Names'!$1:$22, 6, FALSE), ""!C3:R29"")), {6;12;18;24}, FALSE)), ""=0"") + COUNTIF(ARRAYFORMULA(HLOOKUP($B77, IMPORTRANGE('Match Names'!$G$23, CONCAT(VLOOKUP($C77, 'Match Names'!$1:$22, 7, FALSE), "&amp;"""!C3:R29"")), {2;7;17;21}, FALSE)), ""=0"") + COUNTIF(ARRAYFORMULA(HLOOKUP($B77, IMPORTRANGE('Match Names'!$H$23, CONCAT(VLOOKUP($C77, 'Match Names'!$1:$22, 8, FALSE), ""!C3:R29"")), {4;10;16;22}, FALSE)), ""=0"")"),0.0)</f>
        <v>0</v>
      </c>
      <c r="G77" s="9">
        <f>IFERROR(__xludf.DUMMYFUNCTION("COUNTIF(ARRAYFORMULA(HLOOKUP($B77, IMPORTRANGE('Prelim Rankings Unsorted'!$B$40, CONCAT(VLOOKUP($C77, 'Match Names'!$A$1:$D$22, 2, FALSE), ""!C3:R29"")), {3;8;14;20}, FALSE)), ""=-4"") + COUNTIF(ARRAYFORMULA(HLOOKUP($B77, IMPORTRANGE('Prelim Rankings Unso"&amp;"rted'!$B$41, CONCAT(VLOOKUP($C77, 'Match Names'!$A$1:$D$22, 3, FALSE), ""!C3:R29"")), {4;10;16;22}, FALSE)), ""=-4"") + COUNTIF(ARRAYFORMULA(HLOOKUP($B77, IMPORTRANGE('Prelim Rankings Unsorted'!$B$42, CONCAT(VLOOKUP($C77, 'Match Names'!$A$1:$D$22, 4, FALS"&amp;"E), ""!C3:R29"")), {2;8;14;20}, FALSE)), ""=-4"") + COUNTIF(ARRAYFORMULA(HLOOKUP($B77, IMPORTRANGE('Match Names'!$E$23, CONCAT(VLOOKUP($C77, 'Match Names'!$1:$22, 5, FALSE), ""!C3:R29"")), {3;7;18;23}, FALSE)), ""=-4"") + COUNTIF(ARRAYFORMULA(HLOOKUP($B77"&amp;", IMPORTRANGE('Match Names'!$F$23, CONCAT(VLOOKUP($C77, 'Match Names'!$1:$22, 6, FALSE), ""!C3:R29"")), {6;12;18;24}, FALSE)), ""=-4"") + COUNTIF(ARRAYFORMULA(HLOOKUP($B77, IMPORTRANGE('Match Names'!$G$23, CONCAT(VLOOKUP($C77, 'Match Names'!$1:$22, 7, FAL"&amp;"SE), ""!C3:R29"")), {2;7;17;21}, FALSE)), ""=-4"") + COUNTIF(ARRAYFORMULA(HLOOKUP($B77, IMPORTRANGE('Match Names'!$H$23, CONCAT(VLOOKUP($C77, 'Match Names'!$1:$22, 8, FALSE), ""!C3:R29"")), {4;10;16;22}, FALSE)), ""=-4"")"),0.0)</f>
        <v>0</v>
      </c>
      <c r="H77" s="39">
        <f t="shared" si="1"/>
        <v>0</v>
      </c>
    </row>
    <row r="78">
      <c r="A78" s="38" t="s">
        <v>150</v>
      </c>
      <c r="B78" s="38" t="str">
        <f>VLOOKUP(CONCAT(A78, C78), 'Discord Username to Real Name'!C:D, 2, FALSE)</f>
        <v>aaron0109#6251</v>
      </c>
      <c r="C78" s="38" t="s">
        <v>23</v>
      </c>
      <c r="D78" s="9">
        <f>IFERROR(__xludf.DUMMYFUNCTION("(4 - COUNTIF(IFERROR(ARRAYFORMULA(HLOOKUP($B78, IMPORTRANGE('Prelim Rankings Unsorted'!$B$40, CONCAT(VLOOKUP($C78, 'Match Names'!$A$1:$D$22, 2, FALSE), ""!C3:R29"")), {3;8;14;20}, FALSE)), 'Player Overall Stats Unsorted'!$AA$9:$AA$12), ""=X"")) + (4 - COU"&amp;"NTIF(IFERROR(ARRAYFORMULA(HLOOKUP($B78, IMPORTRANGE('Prelim Rankings Unsorted'!$B$41, CONCAT(VLOOKUP($C78, 'Match Names'!$A$1:$D$22, 3, FALSE), ""!C3:R29"")), {4;10;16;22}, FALSE)), 'Player Overall Stats Unsorted'!$AA$9:$AA$12), ""=X"")) + (4 - COUNTIF(IF"&amp;"ERROR(ARRAYFORMULA(HLOOKUP($B78, IMPORTRANGE('Prelim Rankings Unsorted'!$B$42, CONCAT(VLOOKUP($C78, 'Match Names'!$A$1:$D$22, 4, FALSE), ""!C3:R29"")), {2;8;14;20}, FALSE)), 'Player Overall Stats Unsorted'!$AA$9:$AA$12), ""=X"")) + (4 - COUNTIF(IFERROR(AR"&amp;"RAYFORMULA(HLOOKUP($B78, IMPORTRANGE('Match Names'!$E$23, CONCAT(VLOOKUP($C78, 'Match Names'!$1:$22, 5, FALSE), ""!C3:R29"")), {3;7;18;23}, FALSE)), 'Player Overall Stats Unsorted'!$AA$9:$AA$12), ""=X"")) + (4 - COUNTIF(IFERROR(ARRAYFORMULA(HLOOKUP($B78, "&amp;"IMPORTRANGE('Match Names'!$F$23, CONCAT(VLOOKUP($C78, 'Match Names'!$1:$22, 6, FALSE), ""!C3:R29"")), {6;12;18;24}, FALSE)), 'Player Overall Stats Unsorted'!$AA$9:$AA$12), ""=X"")) + (4 - COUNTIF(IFERROR(ARRAYFORMULA(HLOOKUP($B78, IMPORTRANGE('Match Names"&amp;"'!$G$23, CONCAT(VLOOKUP($C78, 'Match Names'!$1:$22, 7, FALSE), ""!C3:R29"")), {2;7;17;21}, FALSE)), 'Player Overall Stats Unsorted'!$AA$9:$AA$12), ""=X"")) + (4 - COUNTIF(IFERROR(ARRAYFORMULA(HLOOKUP($B78, IMPORTRANGE('Match Names'!$H$23, CONCAT(VLOOKUP($"&amp;"C78, 'Match Names'!$1:$22, 8, FALSE), ""!C3:R29"")), {4;10;16;22}, FALSE)), 'Player Overall Stats Unsorted'!$AA$9:$AA$12), ""=X""))"),8.0)</f>
        <v>8</v>
      </c>
      <c r="E78" s="9">
        <f>IFERROR(__xludf.DUMMYFUNCTION("COUNTIF(ARRAYFORMULA(HLOOKUP($B78, IMPORTRANGE('Prelim Rankings Unsorted'!$B$40, CONCAT(VLOOKUP($C78, 'Match Names'!$A$1:$D$22, 2, FALSE), ""!C3:R29"")), {3;8;14;20}, FALSE)), ""=4"") + COUNTIF(ARRAYFORMULA(HLOOKUP($B78, IMPORTRANGE('Prelim Rankings Unsor"&amp;"ted'!$B$41, CONCAT(VLOOKUP($C78, 'Match Names'!$A$1:$D$22, 3, FALSE), ""!C3:R29"")), {4;10;16;22}, FALSE)), ""=4"") + COUNTIF(ARRAYFORMULA(HLOOKUP($B78, IMPORTRANGE('Prelim Rankings Unsorted'!$B$42, CONCAT(VLOOKUP($C78, 'Match Names'!$A$1:$D$22, 4, FALSE)"&amp;", ""!C3:R29"")), {2;8;14;20}, FALSE)), ""=4"") + COUNTIF(ARRAYFORMULA(HLOOKUP($B78, IMPORTRANGE('Match Names'!$E$23, CONCAT(VLOOKUP($C78, 'Match Names'!$1:$22, 5, FALSE), ""!C3:R29"")), {3;7;18;23}, FALSE)), ""=4"") + COUNTIF(ARRAYFORMULA(HLOOKUP($B78, IM"&amp;"PORTRANGE('Match Names'!$F$23, CONCAT(VLOOKUP($C78, 'Match Names'!$1:$22, 6, FALSE), ""!C3:R29"")), {6;12;18;24}, FALSE)), ""=4"") + COUNTIF(ARRAYFORMULA(HLOOKUP($B78, IMPORTRANGE('Match Names'!$G$23, CONCAT(VLOOKUP($C78, 'Match Names'!$1:$22, 7, FALSE), "&amp;"""!C3:R29"")), {2;7;17;21}, FALSE)), ""=4"") + COUNTIF(ARRAYFORMULA(HLOOKUP($B78, IMPORTRANGE('Match Names'!$H$23, CONCAT(VLOOKUP($C78, 'Match Names'!$1:$22, 8, FALSE), ""!C3:R29"")), {4;10;16;22}, FALSE)), ""=4"")"),0.0)</f>
        <v>0</v>
      </c>
      <c r="F78" s="9">
        <f>IFERROR(__xludf.DUMMYFUNCTION("COUNTIF(ARRAYFORMULA(HLOOKUP($B78, IMPORTRANGE('Prelim Rankings Unsorted'!$B$40, CONCAT(VLOOKUP($C78, 'Match Names'!$A$1:$D$22, 2, FALSE), ""!C3:R29"")), {3;8;14;20}, FALSE)), ""=0"") + COUNTIF(ARRAYFORMULA(HLOOKUP($B78, IMPORTRANGE('Prelim Rankings Unsor"&amp;"ted'!$B$41, CONCAT(VLOOKUP($C78, 'Match Names'!$A$1:$D$22, 3, FALSE), ""!C3:R29"")), {4;10;16;22}, FALSE)), ""=0"") + COUNTIF(ARRAYFORMULA(HLOOKUP($B78, IMPORTRANGE('Prelim Rankings Unsorted'!$B$42, CONCAT(VLOOKUP($C78, 'Match Names'!$A$1:$D$22, 4, FALSE)"&amp;", ""!C3:R29"")), {2;8;14;20}, FALSE)), ""=0"") + COUNTIF(ARRAYFORMULA(HLOOKUP($B78, IMPORTRANGE('Match Names'!$E$23, CONCAT(VLOOKUP($C78, 'Match Names'!$1:$22, 5, FALSE), ""!C3:R29"")), {3;7;18;23}, FALSE)), ""=0"") + COUNTIF(ARRAYFORMULA(HLOOKUP($B78, IM"&amp;"PORTRANGE('Match Names'!$F$23, CONCAT(VLOOKUP($C78, 'Match Names'!$1:$22, 6, FALSE), ""!C3:R29"")), {6;12;18;24}, FALSE)), ""=0"") + COUNTIF(ARRAYFORMULA(HLOOKUP($B78, IMPORTRANGE('Match Names'!$G$23, CONCAT(VLOOKUP($C78, 'Match Names'!$1:$22, 7, FALSE), "&amp;"""!C3:R29"")), {2;7;17;21}, FALSE)), ""=0"") + COUNTIF(ARRAYFORMULA(HLOOKUP($B78, IMPORTRANGE('Match Names'!$H$23, CONCAT(VLOOKUP($C78, 'Match Names'!$1:$22, 8, FALSE), ""!C3:R29"")), {4;10;16;22}, FALSE)), ""=0"")"),0.0)</f>
        <v>0</v>
      </c>
      <c r="G78" s="9">
        <f>IFERROR(__xludf.DUMMYFUNCTION("COUNTIF(ARRAYFORMULA(HLOOKUP($B78, IMPORTRANGE('Prelim Rankings Unsorted'!$B$40, CONCAT(VLOOKUP($C78, 'Match Names'!$A$1:$D$22, 2, FALSE), ""!C3:R29"")), {3;8;14;20}, FALSE)), ""=-4"") + COUNTIF(ARRAYFORMULA(HLOOKUP($B78, IMPORTRANGE('Prelim Rankings Unso"&amp;"rted'!$B$41, CONCAT(VLOOKUP($C78, 'Match Names'!$A$1:$D$22, 3, FALSE), ""!C3:R29"")), {4;10;16;22}, FALSE)), ""=-4"") + COUNTIF(ARRAYFORMULA(HLOOKUP($B78, IMPORTRANGE('Prelim Rankings Unsorted'!$B$42, CONCAT(VLOOKUP($C78, 'Match Names'!$A$1:$D$22, 4, FALS"&amp;"E), ""!C3:R29"")), {2;8;14;20}, FALSE)), ""=-4"") + COUNTIF(ARRAYFORMULA(HLOOKUP($B78, IMPORTRANGE('Match Names'!$E$23, CONCAT(VLOOKUP($C78, 'Match Names'!$1:$22, 5, FALSE), ""!C3:R29"")), {3;7;18;23}, FALSE)), ""=-4"") + COUNTIF(ARRAYFORMULA(HLOOKUP($B78"&amp;", IMPORTRANGE('Match Names'!$F$23, CONCAT(VLOOKUP($C78, 'Match Names'!$1:$22, 6, FALSE), ""!C3:R29"")), {6;12;18;24}, FALSE)), ""=-4"") + COUNTIF(ARRAYFORMULA(HLOOKUP($B78, IMPORTRANGE('Match Names'!$G$23, CONCAT(VLOOKUP($C78, 'Match Names'!$1:$22, 7, FAL"&amp;"SE), ""!C3:R29"")), {2;7;17;21}, FALSE)), ""=-4"") + COUNTIF(ARRAYFORMULA(HLOOKUP($B78, IMPORTRANGE('Match Names'!$H$23, CONCAT(VLOOKUP($C78, 'Match Names'!$1:$22, 8, FALSE), ""!C3:R29"")), {4;10;16;22}, FALSE)), ""=-4"")"),0.0)</f>
        <v>0</v>
      </c>
      <c r="H78" s="39">
        <f t="shared" si="1"/>
        <v>0</v>
      </c>
    </row>
    <row r="79">
      <c r="A79" s="38" t="s">
        <v>49</v>
      </c>
      <c r="B79" s="38" t="str">
        <f>VLOOKUP(CONCAT(A79, C79), 'Discord Username to Real Name'!C:D, 2, FALSE)</f>
        <v>avani#8445</v>
      </c>
      <c r="C79" s="38" t="s">
        <v>23</v>
      </c>
      <c r="D79" s="9">
        <f>IFERROR(__xludf.DUMMYFUNCTION("(4 - COUNTIF(IFERROR(ARRAYFORMULA(HLOOKUP($B79, IMPORTRANGE('Prelim Rankings Unsorted'!$B$40, CONCAT(VLOOKUP($C79, 'Match Names'!$A$1:$D$22, 2, FALSE), ""!C3:R29"")), {3;8;14;20}, FALSE)), 'Player Overall Stats Unsorted'!$AA$9:$AA$12), ""=X"")) + (4 - COU"&amp;"NTIF(IFERROR(ARRAYFORMULA(HLOOKUP($B79, IMPORTRANGE('Prelim Rankings Unsorted'!$B$41, CONCAT(VLOOKUP($C79, 'Match Names'!$A$1:$D$22, 3, FALSE), ""!C3:R29"")), {4;10;16;22}, FALSE)), 'Player Overall Stats Unsorted'!$AA$9:$AA$12), ""=X"")) + (4 - COUNTIF(IF"&amp;"ERROR(ARRAYFORMULA(HLOOKUP($B79, IMPORTRANGE('Prelim Rankings Unsorted'!$B$42, CONCAT(VLOOKUP($C79, 'Match Names'!$A$1:$D$22, 4, FALSE), ""!C3:R29"")), {2;8;14;20}, FALSE)), 'Player Overall Stats Unsorted'!$AA$9:$AA$12), ""=X"")) + (4 - COUNTIF(IFERROR(AR"&amp;"RAYFORMULA(HLOOKUP($B79, IMPORTRANGE('Match Names'!$E$23, CONCAT(VLOOKUP($C79, 'Match Names'!$1:$22, 5, FALSE), ""!C3:R29"")), {3;7;18;23}, FALSE)), 'Player Overall Stats Unsorted'!$AA$9:$AA$12), ""=X"")) + (4 - COUNTIF(IFERROR(ARRAYFORMULA(HLOOKUP($B79, "&amp;"IMPORTRANGE('Match Names'!$F$23, CONCAT(VLOOKUP($C79, 'Match Names'!$1:$22, 6, FALSE), ""!C3:R29"")), {6;12;18;24}, FALSE)), 'Player Overall Stats Unsorted'!$AA$9:$AA$12), ""=X"")) + (4 - COUNTIF(IFERROR(ARRAYFORMULA(HLOOKUP($B79, IMPORTRANGE('Match Names"&amp;"'!$G$23, CONCAT(VLOOKUP($C79, 'Match Names'!$1:$22, 7, FALSE), ""!C3:R29"")), {2;7;17;21}, FALSE)), 'Player Overall Stats Unsorted'!$AA$9:$AA$12), ""=X"")) + (4 - COUNTIF(IFERROR(ARRAYFORMULA(HLOOKUP($B79, IMPORTRANGE('Match Names'!$H$23, CONCAT(VLOOKUP($"&amp;"C79, 'Match Names'!$1:$22, 8, FALSE), ""!C3:R29"")), {4;10;16;22}, FALSE)), 'Player Overall Stats Unsorted'!$AA$9:$AA$12), ""=X""))"),20.0)</f>
        <v>20</v>
      </c>
      <c r="E79" s="9">
        <f>IFERROR(__xludf.DUMMYFUNCTION("COUNTIF(ARRAYFORMULA(HLOOKUP($B79, IMPORTRANGE('Prelim Rankings Unsorted'!$B$40, CONCAT(VLOOKUP($C79, 'Match Names'!$A$1:$D$22, 2, FALSE), ""!C3:R29"")), {3;8;14;20}, FALSE)), ""=4"") + COUNTIF(ARRAYFORMULA(HLOOKUP($B79, IMPORTRANGE('Prelim Rankings Unsor"&amp;"ted'!$B$41, CONCAT(VLOOKUP($C79, 'Match Names'!$A$1:$D$22, 3, FALSE), ""!C3:R29"")), {4;10;16;22}, FALSE)), ""=4"") + COUNTIF(ARRAYFORMULA(HLOOKUP($B79, IMPORTRANGE('Prelim Rankings Unsorted'!$B$42, CONCAT(VLOOKUP($C79, 'Match Names'!$A$1:$D$22, 4, FALSE)"&amp;", ""!C3:R29"")), {2;8;14;20}, FALSE)), ""=4"") + COUNTIF(ARRAYFORMULA(HLOOKUP($B79, IMPORTRANGE('Match Names'!$E$23, CONCAT(VLOOKUP($C79, 'Match Names'!$1:$22, 5, FALSE), ""!C3:R29"")), {3;7;18;23}, FALSE)), ""=4"") + COUNTIF(ARRAYFORMULA(HLOOKUP($B79, IM"&amp;"PORTRANGE('Match Names'!$F$23, CONCAT(VLOOKUP($C79, 'Match Names'!$1:$22, 6, FALSE), ""!C3:R29"")), {6;12;18;24}, FALSE)), ""=4"") + COUNTIF(ARRAYFORMULA(HLOOKUP($B79, IMPORTRANGE('Match Names'!$G$23, CONCAT(VLOOKUP($C79, 'Match Names'!$1:$22, 7, FALSE), "&amp;"""!C3:R29"")), {2;7;17;21}, FALSE)), ""=4"") + COUNTIF(ARRAYFORMULA(HLOOKUP($B79, IMPORTRANGE('Match Names'!$H$23, CONCAT(VLOOKUP($C79, 'Match Names'!$1:$22, 8, FALSE), ""!C3:R29"")), {4;10;16;22}, FALSE)), ""=4"")"),2.0)</f>
        <v>2</v>
      </c>
      <c r="F79" s="9">
        <f>IFERROR(__xludf.DUMMYFUNCTION("COUNTIF(ARRAYFORMULA(HLOOKUP($B79, IMPORTRANGE('Prelim Rankings Unsorted'!$B$40, CONCAT(VLOOKUP($C79, 'Match Names'!$A$1:$D$22, 2, FALSE), ""!C3:R29"")), {3;8;14;20}, FALSE)), ""=0"") + COUNTIF(ARRAYFORMULA(HLOOKUP($B79, IMPORTRANGE('Prelim Rankings Unsor"&amp;"ted'!$B$41, CONCAT(VLOOKUP($C79, 'Match Names'!$A$1:$D$22, 3, FALSE), ""!C3:R29"")), {4;10;16;22}, FALSE)), ""=0"") + COUNTIF(ARRAYFORMULA(HLOOKUP($B79, IMPORTRANGE('Prelim Rankings Unsorted'!$B$42, CONCAT(VLOOKUP($C79, 'Match Names'!$A$1:$D$22, 4, FALSE)"&amp;", ""!C3:R29"")), {2;8;14;20}, FALSE)), ""=0"") + COUNTIF(ARRAYFORMULA(HLOOKUP($B79, IMPORTRANGE('Match Names'!$E$23, CONCAT(VLOOKUP($C79, 'Match Names'!$1:$22, 5, FALSE), ""!C3:R29"")), {3;7;18;23}, FALSE)), ""=0"") + COUNTIF(ARRAYFORMULA(HLOOKUP($B79, IM"&amp;"PORTRANGE('Match Names'!$F$23, CONCAT(VLOOKUP($C79, 'Match Names'!$1:$22, 6, FALSE), ""!C3:R29"")), {6;12;18;24}, FALSE)), ""=0"") + COUNTIF(ARRAYFORMULA(HLOOKUP($B79, IMPORTRANGE('Match Names'!$G$23, CONCAT(VLOOKUP($C79, 'Match Names'!$1:$22, 7, FALSE), "&amp;"""!C3:R29"")), {2;7;17;21}, FALSE)), ""=0"") + COUNTIF(ARRAYFORMULA(HLOOKUP($B79, IMPORTRANGE('Match Names'!$H$23, CONCAT(VLOOKUP($C79, 'Match Names'!$1:$22, 8, FALSE), ""!C3:R29"")), {4;10;16;22}, FALSE)), ""=0"")"),1.0)</f>
        <v>1</v>
      </c>
      <c r="G79" s="9">
        <f>IFERROR(__xludf.DUMMYFUNCTION("COUNTIF(ARRAYFORMULA(HLOOKUP($B79, IMPORTRANGE('Prelim Rankings Unsorted'!$B$40, CONCAT(VLOOKUP($C79, 'Match Names'!$A$1:$D$22, 2, FALSE), ""!C3:R29"")), {3;8;14;20}, FALSE)), ""=-4"") + COUNTIF(ARRAYFORMULA(HLOOKUP($B79, IMPORTRANGE('Prelim Rankings Unso"&amp;"rted'!$B$41, CONCAT(VLOOKUP($C79, 'Match Names'!$A$1:$D$22, 3, FALSE), ""!C3:R29"")), {4;10;16;22}, FALSE)), ""=-4"") + COUNTIF(ARRAYFORMULA(HLOOKUP($B79, IMPORTRANGE('Prelim Rankings Unsorted'!$B$42, CONCAT(VLOOKUP($C79, 'Match Names'!$A$1:$D$22, 4, FALS"&amp;"E), ""!C3:R29"")), {2;8;14;20}, FALSE)), ""=-4"") + COUNTIF(ARRAYFORMULA(HLOOKUP($B79, IMPORTRANGE('Match Names'!$E$23, CONCAT(VLOOKUP($C79, 'Match Names'!$1:$22, 5, FALSE), ""!C3:R29"")), {3;7;18;23}, FALSE)), ""=-4"") + COUNTIF(ARRAYFORMULA(HLOOKUP($B79"&amp;", IMPORTRANGE('Match Names'!$F$23, CONCAT(VLOOKUP($C79, 'Match Names'!$1:$22, 6, FALSE), ""!C3:R29"")), {6;12;18;24}, FALSE)), ""=-4"") + COUNTIF(ARRAYFORMULA(HLOOKUP($B79, IMPORTRANGE('Match Names'!$G$23, CONCAT(VLOOKUP($C79, 'Match Names'!$1:$22, 7, FAL"&amp;"SE), ""!C3:R29"")), {2;7;17;21}, FALSE)), ""=-4"") + COUNTIF(ARRAYFORMULA(HLOOKUP($B79, IMPORTRANGE('Match Names'!$H$23, CONCAT(VLOOKUP($C79, 'Match Names'!$1:$22, 8, FALSE), ""!C3:R29"")), {4;10;16;22}, FALSE)), ""=-4"")"),0.0)</f>
        <v>0</v>
      </c>
      <c r="H79" s="39">
        <f t="shared" si="1"/>
        <v>1.6</v>
      </c>
    </row>
    <row r="80">
      <c r="A80" s="38" t="s">
        <v>142</v>
      </c>
      <c r="B80" s="38" t="str">
        <f>VLOOKUP(CONCAT(A80, C80), 'Discord Username to Real Name'!C:D, 2, FALSE)</f>
        <v>Char#5513</v>
      </c>
      <c r="C80" s="38" t="s">
        <v>23</v>
      </c>
      <c r="D80" s="9">
        <f>IFERROR(__xludf.DUMMYFUNCTION("(4 - COUNTIF(IFERROR(ARRAYFORMULA(HLOOKUP($B80, IMPORTRANGE('Prelim Rankings Unsorted'!$B$40, CONCAT(VLOOKUP($C80, 'Match Names'!$A$1:$D$22, 2, FALSE), ""!C3:R29"")), {3;8;14;20}, FALSE)), 'Player Overall Stats Unsorted'!$AA$9:$AA$12), ""=X"")) + (4 - COU"&amp;"NTIF(IFERROR(ARRAYFORMULA(HLOOKUP($B80, IMPORTRANGE('Prelim Rankings Unsorted'!$B$41, CONCAT(VLOOKUP($C80, 'Match Names'!$A$1:$D$22, 3, FALSE), ""!C3:R29"")), {4;10;16;22}, FALSE)), 'Player Overall Stats Unsorted'!$AA$9:$AA$12), ""=X"")) + (4 - COUNTIF(IF"&amp;"ERROR(ARRAYFORMULA(HLOOKUP($B80, IMPORTRANGE('Prelim Rankings Unsorted'!$B$42, CONCAT(VLOOKUP($C80, 'Match Names'!$A$1:$D$22, 4, FALSE), ""!C3:R29"")), {2;8;14;20}, FALSE)), 'Player Overall Stats Unsorted'!$AA$9:$AA$12), ""=X"")) + (4 - COUNTIF(IFERROR(AR"&amp;"RAYFORMULA(HLOOKUP($B80, IMPORTRANGE('Match Names'!$E$23, CONCAT(VLOOKUP($C80, 'Match Names'!$1:$22, 5, FALSE), ""!C3:R29"")), {3;7;18;23}, FALSE)), 'Player Overall Stats Unsorted'!$AA$9:$AA$12), ""=X"")) + (4 - COUNTIF(IFERROR(ARRAYFORMULA(HLOOKUP($B80, "&amp;"IMPORTRANGE('Match Names'!$F$23, CONCAT(VLOOKUP($C80, 'Match Names'!$1:$22, 6, FALSE), ""!C3:R29"")), {6;12;18;24}, FALSE)), 'Player Overall Stats Unsorted'!$AA$9:$AA$12), ""=X"")) + (4 - COUNTIF(IFERROR(ARRAYFORMULA(HLOOKUP($B80, IMPORTRANGE('Match Names"&amp;"'!$G$23, CONCAT(VLOOKUP($C80, 'Match Names'!$1:$22, 7, FALSE), ""!C3:R29"")), {2;7;17;21}, FALSE)), 'Player Overall Stats Unsorted'!$AA$9:$AA$12), ""=X"")) + (4 - COUNTIF(IFERROR(ARRAYFORMULA(HLOOKUP($B80, IMPORTRANGE('Match Names'!$H$23, CONCAT(VLOOKUP($"&amp;"C80, 'Match Names'!$1:$22, 8, FALSE), ""!C3:R29"")), {4;10;16;22}, FALSE)), 'Player Overall Stats Unsorted'!$AA$9:$AA$12), ""=X""))"),16.0)</f>
        <v>16</v>
      </c>
      <c r="E80" s="9">
        <f>IFERROR(__xludf.DUMMYFUNCTION("COUNTIF(ARRAYFORMULA(HLOOKUP($B80, IMPORTRANGE('Prelim Rankings Unsorted'!$B$40, CONCAT(VLOOKUP($C80, 'Match Names'!$A$1:$D$22, 2, FALSE), ""!C3:R29"")), {3;8;14;20}, FALSE)), ""=4"") + COUNTIF(ARRAYFORMULA(HLOOKUP($B80, IMPORTRANGE('Prelim Rankings Unsor"&amp;"ted'!$B$41, CONCAT(VLOOKUP($C80, 'Match Names'!$A$1:$D$22, 3, FALSE), ""!C3:R29"")), {4;10;16;22}, FALSE)), ""=4"") + COUNTIF(ARRAYFORMULA(HLOOKUP($B80, IMPORTRANGE('Prelim Rankings Unsorted'!$B$42, CONCAT(VLOOKUP($C80, 'Match Names'!$A$1:$D$22, 4, FALSE)"&amp;", ""!C3:R29"")), {2;8;14;20}, FALSE)), ""=4"") + COUNTIF(ARRAYFORMULA(HLOOKUP($B80, IMPORTRANGE('Match Names'!$E$23, CONCAT(VLOOKUP($C80, 'Match Names'!$1:$22, 5, FALSE), ""!C3:R29"")), {3;7;18;23}, FALSE)), ""=4"") + COUNTIF(ARRAYFORMULA(HLOOKUP($B80, IM"&amp;"PORTRANGE('Match Names'!$F$23, CONCAT(VLOOKUP($C80, 'Match Names'!$1:$22, 6, FALSE), ""!C3:R29"")), {6;12;18;24}, FALSE)), ""=4"") + COUNTIF(ARRAYFORMULA(HLOOKUP($B80, IMPORTRANGE('Match Names'!$G$23, CONCAT(VLOOKUP($C80, 'Match Names'!$1:$22, 7, FALSE), "&amp;"""!C3:R29"")), {2;7;17;21}, FALSE)), ""=4"") + COUNTIF(ARRAYFORMULA(HLOOKUP($B80, IMPORTRANGE('Match Names'!$H$23, CONCAT(VLOOKUP($C80, 'Match Names'!$1:$22, 8, FALSE), ""!C3:R29"")), {4;10;16;22}, FALSE)), ""=4"")"),4.0)</f>
        <v>4</v>
      </c>
      <c r="F80" s="9">
        <f>IFERROR(__xludf.DUMMYFUNCTION("COUNTIF(ARRAYFORMULA(HLOOKUP($B80, IMPORTRANGE('Prelim Rankings Unsorted'!$B$40, CONCAT(VLOOKUP($C80, 'Match Names'!$A$1:$D$22, 2, FALSE), ""!C3:R29"")), {3;8;14;20}, FALSE)), ""=0"") + COUNTIF(ARRAYFORMULA(HLOOKUP($B80, IMPORTRANGE('Prelim Rankings Unsor"&amp;"ted'!$B$41, CONCAT(VLOOKUP($C80, 'Match Names'!$A$1:$D$22, 3, FALSE), ""!C3:R29"")), {4;10;16;22}, FALSE)), ""=0"") + COUNTIF(ARRAYFORMULA(HLOOKUP($B80, IMPORTRANGE('Prelim Rankings Unsorted'!$B$42, CONCAT(VLOOKUP($C80, 'Match Names'!$A$1:$D$22, 4, FALSE)"&amp;", ""!C3:R29"")), {2;8;14;20}, FALSE)), ""=0"") + COUNTIF(ARRAYFORMULA(HLOOKUP($B80, IMPORTRANGE('Match Names'!$E$23, CONCAT(VLOOKUP($C80, 'Match Names'!$1:$22, 5, FALSE), ""!C3:R29"")), {3;7;18;23}, FALSE)), ""=0"") + COUNTIF(ARRAYFORMULA(HLOOKUP($B80, IM"&amp;"PORTRANGE('Match Names'!$F$23, CONCAT(VLOOKUP($C80, 'Match Names'!$1:$22, 6, FALSE), ""!C3:R29"")), {6;12;18;24}, FALSE)), ""=0"") + COUNTIF(ARRAYFORMULA(HLOOKUP($B80, IMPORTRANGE('Match Names'!$G$23, CONCAT(VLOOKUP($C80, 'Match Names'!$1:$22, 7, FALSE), "&amp;"""!C3:R29"")), {2;7;17;21}, FALSE)), ""=0"") + COUNTIF(ARRAYFORMULA(HLOOKUP($B80, IMPORTRANGE('Match Names'!$H$23, CONCAT(VLOOKUP($C80, 'Match Names'!$1:$22, 8, FALSE), ""!C3:R29"")), {4;10;16;22}, FALSE)), ""=0"")"),0.0)</f>
        <v>0</v>
      </c>
      <c r="G80" s="9">
        <f>IFERROR(__xludf.DUMMYFUNCTION("COUNTIF(ARRAYFORMULA(HLOOKUP($B80, IMPORTRANGE('Prelim Rankings Unsorted'!$B$40, CONCAT(VLOOKUP($C80, 'Match Names'!$A$1:$D$22, 2, FALSE), ""!C3:R29"")), {3;8;14;20}, FALSE)), ""=-4"") + COUNTIF(ARRAYFORMULA(HLOOKUP($B80, IMPORTRANGE('Prelim Rankings Unso"&amp;"rted'!$B$41, CONCAT(VLOOKUP($C80, 'Match Names'!$A$1:$D$22, 3, FALSE), ""!C3:R29"")), {4;10;16;22}, FALSE)), ""=-4"") + COUNTIF(ARRAYFORMULA(HLOOKUP($B80, IMPORTRANGE('Prelim Rankings Unsorted'!$B$42, CONCAT(VLOOKUP($C80, 'Match Names'!$A$1:$D$22, 4, FALS"&amp;"E), ""!C3:R29"")), {2;8;14;20}, FALSE)), ""=-4"") + COUNTIF(ARRAYFORMULA(HLOOKUP($B80, IMPORTRANGE('Match Names'!$E$23, CONCAT(VLOOKUP($C80, 'Match Names'!$1:$22, 5, FALSE), ""!C3:R29"")), {3;7;18;23}, FALSE)), ""=-4"") + COUNTIF(ARRAYFORMULA(HLOOKUP($B80"&amp;", IMPORTRANGE('Match Names'!$F$23, CONCAT(VLOOKUP($C80, 'Match Names'!$1:$22, 6, FALSE), ""!C3:R29"")), {6;12;18;24}, FALSE)), ""=-4"") + COUNTIF(ARRAYFORMULA(HLOOKUP($B80, IMPORTRANGE('Match Names'!$G$23, CONCAT(VLOOKUP($C80, 'Match Names'!$1:$22, 7, FAL"&amp;"SE), ""!C3:R29"")), {2;7;17;21}, FALSE)), ""=-4"") + COUNTIF(ARRAYFORMULA(HLOOKUP($B80, IMPORTRANGE('Match Names'!$H$23, CONCAT(VLOOKUP($C80, 'Match Names'!$1:$22, 8, FALSE), ""!C3:R29"")), {4;10;16;22}, FALSE)), ""=-4"")"),0.0)</f>
        <v>0</v>
      </c>
      <c r="H80" s="39">
        <f t="shared" si="1"/>
        <v>4</v>
      </c>
    </row>
    <row r="81">
      <c r="A81" s="38" t="s">
        <v>102</v>
      </c>
      <c r="B81" s="38" t="str">
        <f>VLOOKUP(CONCAT(A81, C81), 'Discord Username to Real Name'!C:D, 2, FALSE)</f>
        <v>Weber_Lin#5389</v>
      </c>
      <c r="C81" s="38" t="s">
        <v>23</v>
      </c>
      <c r="D81" s="9">
        <f>IFERROR(__xludf.DUMMYFUNCTION("(4 - COUNTIF(IFERROR(ARRAYFORMULA(HLOOKUP($B81, IMPORTRANGE('Prelim Rankings Unsorted'!$B$40, CONCAT(VLOOKUP($C81, 'Match Names'!$A$1:$D$22, 2, FALSE), ""!C3:R29"")), {3;8;14;20}, FALSE)), 'Player Overall Stats Unsorted'!$AA$9:$AA$12), ""=X"")) + (4 - COU"&amp;"NTIF(IFERROR(ARRAYFORMULA(HLOOKUP($B81, IMPORTRANGE('Prelim Rankings Unsorted'!$B$41, CONCAT(VLOOKUP($C81, 'Match Names'!$A$1:$D$22, 3, FALSE), ""!C3:R29"")), {4;10;16;22}, FALSE)), 'Player Overall Stats Unsorted'!$AA$9:$AA$12), ""=X"")) + (4 - COUNTIF(IF"&amp;"ERROR(ARRAYFORMULA(HLOOKUP($B81, IMPORTRANGE('Prelim Rankings Unsorted'!$B$42, CONCAT(VLOOKUP($C81, 'Match Names'!$A$1:$D$22, 4, FALSE), ""!C3:R29"")), {2;8;14;20}, FALSE)), 'Player Overall Stats Unsorted'!$AA$9:$AA$12), ""=X"")) + (4 - COUNTIF(IFERROR(AR"&amp;"RAYFORMULA(HLOOKUP($B81, IMPORTRANGE('Match Names'!$E$23, CONCAT(VLOOKUP($C81, 'Match Names'!$1:$22, 5, FALSE), ""!C3:R29"")), {3;7;18;23}, FALSE)), 'Player Overall Stats Unsorted'!$AA$9:$AA$12), ""=X"")) + (4 - COUNTIF(IFERROR(ARRAYFORMULA(HLOOKUP($B81, "&amp;"IMPORTRANGE('Match Names'!$F$23, CONCAT(VLOOKUP($C81, 'Match Names'!$1:$22, 6, FALSE), ""!C3:R29"")), {6;12;18;24}, FALSE)), 'Player Overall Stats Unsorted'!$AA$9:$AA$12), ""=X"")) + (4 - COUNTIF(IFERROR(ARRAYFORMULA(HLOOKUP($B81, IMPORTRANGE('Match Names"&amp;"'!$G$23, CONCAT(VLOOKUP($C81, 'Match Names'!$1:$22, 7, FALSE), ""!C3:R29"")), {2;7;17;21}, FALSE)), 'Player Overall Stats Unsorted'!$AA$9:$AA$12), ""=X"")) + (4 - COUNTIF(IFERROR(ARRAYFORMULA(HLOOKUP($B81, IMPORTRANGE('Match Names'!$H$23, CONCAT(VLOOKUP($"&amp;"C81, 'Match Names'!$1:$22, 8, FALSE), ""!C3:R29"")), {4;10;16;22}, FALSE)), 'Player Overall Stats Unsorted'!$AA$9:$AA$12), ""=X""))"),20.0)</f>
        <v>20</v>
      </c>
      <c r="E81" s="9">
        <f>IFERROR(__xludf.DUMMYFUNCTION("COUNTIF(ARRAYFORMULA(HLOOKUP($B81, IMPORTRANGE('Prelim Rankings Unsorted'!$B$40, CONCAT(VLOOKUP($C81, 'Match Names'!$A$1:$D$22, 2, FALSE), ""!C3:R29"")), {3;8;14;20}, FALSE)), ""=4"") + COUNTIF(ARRAYFORMULA(HLOOKUP($B81, IMPORTRANGE('Prelim Rankings Unsor"&amp;"ted'!$B$41, CONCAT(VLOOKUP($C81, 'Match Names'!$A$1:$D$22, 3, FALSE), ""!C3:R29"")), {4;10;16;22}, FALSE)), ""=4"") + COUNTIF(ARRAYFORMULA(HLOOKUP($B81, IMPORTRANGE('Prelim Rankings Unsorted'!$B$42, CONCAT(VLOOKUP($C81, 'Match Names'!$A$1:$D$22, 4, FALSE)"&amp;", ""!C3:R29"")), {2;8;14;20}, FALSE)), ""=4"") + COUNTIF(ARRAYFORMULA(HLOOKUP($B81, IMPORTRANGE('Match Names'!$E$23, CONCAT(VLOOKUP($C81, 'Match Names'!$1:$22, 5, FALSE), ""!C3:R29"")), {3;7;18;23}, FALSE)), ""=4"") + COUNTIF(ARRAYFORMULA(HLOOKUP($B81, IM"&amp;"PORTRANGE('Match Names'!$F$23, CONCAT(VLOOKUP($C81, 'Match Names'!$1:$22, 6, FALSE), ""!C3:R29"")), {6;12;18;24}, FALSE)), ""=4"") + COUNTIF(ARRAYFORMULA(HLOOKUP($B81, IMPORTRANGE('Match Names'!$G$23, CONCAT(VLOOKUP($C81, 'Match Names'!$1:$22, 7, FALSE), "&amp;"""!C3:R29"")), {2;7;17;21}, FALSE)), ""=4"") + COUNTIF(ARRAYFORMULA(HLOOKUP($B81, IMPORTRANGE('Match Names'!$H$23, CONCAT(VLOOKUP($C81, 'Match Names'!$1:$22, 8, FALSE), ""!C3:R29"")), {4;10;16;22}, FALSE)), ""=4"")"),4.0)</f>
        <v>4</v>
      </c>
      <c r="F81" s="9">
        <f>IFERROR(__xludf.DUMMYFUNCTION("COUNTIF(ARRAYFORMULA(HLOOKUP($B81, IMPORTRANGE('Prelim Rankings Unsorted'!$B$40, CONCAT(VLOOKUP($C81, 'Match Names'!$A$1:$D$22, 2, FALSE), ""!C3:R29"")), {3;8;14;20}, FALSE)), ""=0"") + COUNTIF(ARRAYFORMULA(HLOOKUP($B81, IMPORTRANGE('Prelim Rankings Unsor"&amp;"ted'!$B$41, CONCAT(VLOOKUP($C81, 'Match Names'!$A$1:$D$22, 3, FALSE), ""!C3:R29"")), {4;10;16;22}, FALSE)), ""=0"") + COUNTIF(ARRAYFORMULA(HLOOKUP($B81, IMPORTRANGE('Prelim Rankings Unsorted'!$B$42, CONCAT(VLOOKUP($C81, 'Match Names'!$A$1:$D$22, 4, FALSE)"&amp;", ""!C3:R29"")), {2;8;14;20}, FALSE)), ""=0"") + COUNTIF(ARRAYFORMULA(HLOOKUP($B81, IMPORTRANGE('Match Names'!$E$23, CONCAT(VLOOKUP($C81, 'Match Names'!$1:$22, 5, FALSE), ""!C3:R29"")), {3;7;18;23}, FALSE)), ""=0"") + COUNTIF(ARRAYFORMULA(HLOOKUP($B81, IM"&amp;"PORTRANGE('Match Names'!$F$23, CONCAT(VLOOKUP($C81, 'Match Names'!$1:$22, 6, FALSE), ""!C3:R29"")), {6;12;18;24}, FALSE)), ""=0"") + COUNTIF(ARRAYFORMULA(HLOOKUP($B81, IMPORTRANGE('Match Names'!$G$23, CONCAT(VLOOKUP($C81, 'Match Names'!$1:$22, 7, FALSE), "&amp;"""!C3:R29"")), {2;7;17;21}, FALSE)), ""=0"") + COUNTIF(ARRAYFORMULA(HLOOKUP($B81, IMPORTRANGE('Match Names'!$H$23, CONCAT(VLOOKUP($C81, 'Match Names'!$1:$22, 8, FALSE), ""!C3:R29"")), {4;10;16;22}, FALSE)), ""=0"")"),3.0)</f>
        <v>3</v>
      </c>
      <c r="G81" s="9">
        <f>IFERROR(__xludf.DUMMYFUNCTION("COUNTIF(ARRAYFORMULA(HLOOKUP($B81, IMPORTRANGE('Prelim Rankings Unsorted'!$B$40, CONCAT(VLOOKUP($C81, 'Match Names'!$A$1:$D$22, 2, FALSE), ""!C3:R29"")), {3;8;14;20}, FALSE)), ""=-4"") + COUNTIF(ARRAYFORMULA(HLOOKUP($B81, IMPORTRANGE('Prelim Rankings Unso"&amp;"rted'!$B$41, CONCAT(VLOOKUP($C81, 'Match Names'!$A$1:$D$22, 3, FALSE), ""!C3:R29"")), {4;10;16;22}, FALSE)), ""=-4"") + COUNTIF(ARRAYFORMULA(HLOOKUP($B81, IMPORTRANGE('Prelim Rankings Unsorted'!$B$42, CONCAT(VLOOKUP($C81, 'Match Names'!$A$1:$D$22, 4, FALS"&amp;"E), ""!C3:R29"")), {2;8;14;20}, FALSE)), ""=-4"") + COUNTIF(ARRAYFORMULA(HLOOKUP($B81, IMPORTRANGE('Match Names'!$E$23, CONCAT(VLOOKUP($C81, 'Match Names'!$1:$22, 5, FALSE), ""!C3:R29"")), {3;7;18;23}, FALSE)), ""=-4"") + COUNTIF(ARRAYFORMULA(HLOOKUP($B81"&amp;", IMPORTRANGE('Match Names'!$F$23, CONCAT(VLOOKUP($C81, 'Match Names'!$1:$22, 6, FALSE), ""!C3:R29"")), {6;12;18;24}, FALSE)), ""=-4"") + COUNTIF(ARRAYFORMULA(HLOOKUP($B81, IMPORTRANGE('Match Names'!$G$23, CONCAT(VLOOKUP($C81, 'Match Names'!$1:$22, 7, FAL"&amp;"SE), ""!C3:R29"")), {2;7;17;21}, FALSE)), ""=-4"") + COUNTIF(ARRAYFORMULA(HLOOKUP($B81, IMPORTRANGE('Match Names'!$H$23, CONCAT(VLOOKUP($C81, 'Match Names'!$1:$22, 8, FALSE), ""!C3:R29"")), {4;10;16;22}, FALSE)), ""=-4"")"),0.0)</f>
        <v>0</v>
      </c>
      <c r="H81" s="39">
        <f t="shared" si="1"/>
        <v>3.2</v>
      </c>
    </row>
    <row r="82">
      <c r="A82" s="38" t="s">
        <v>43</v>
      </c>
      <c r="B82" s="38" t="str">
        <f>VLOOKUP(CONCAT(A82, C82), 'Discord Username to Real Name'!C:D, 2, FALSE)</f>
        <v>Xing#7270</v>
      </c>
      <c r="C82" s="38" t="s">
        <v>23</v>
      </c>
      <c r="D82" s="9">
        <f>IFERROR(__xludf.DUMMYFUNCTION("(4 - COUNTIF(IFERROR(ARRAYFORMULA(HLOOKUP($B82, IMPORTRANGE('Prelim Rankings Unsorted'!$B$40, CONCAT(VLOOKUP($C82, 'Match Names'!$A$1:$D$22, 2, FALSE), ""!C3:R29"")), {3;8;14;20}, FALSE)), 'Player Overall Stats Unsorted'!$AA$9:$AA$12), ""=X"")) + (4 - COU"&amp;"NTIF(IFERROR(ARRAYFORMULA(HLOOKUP($B82, IMPORTRANGE('Prelim Rankings Unsorted'!$B$41, CONCAT(VLOOKUP($C82, 'Match Names'!$A$1:$D$22, 3, FALSE), ""!C3:R29"")), {4;10;16;22}, FALSE)), 'Player Overall Stats Unsorted'!$AA$9:$AA$12), ""=X"")) + (4 - COUNTIF(IF"&amp;"ERROR(ARRAYFORMULA(HLOOKUP($B82, IMPORTRANGE('Prelim Rankings Unsorted'!$B$42, CONCAT(VLOOKUP($C82, 'Match Names'!$A$1:$D$22, 4, FALSE), ""!C3:R29"")), {2;8;14;20}, FALSE)), 'Player Overall Stats Unsorted'!$AA$9:$AA$12), ""=X"")) + (4 - COUNTIF(IFERROR(AR"&amp;"RAYFORMULA(HLOOKUP($B82, IMPORTRANGE('Match Names'!$E$23, CONCAT(VLOOKUP($C82, 'Match Names'!$1:$22, 5, FALSE), ""!C3:R29"")), {3;7;18;23}, FALSE)), 'Player Overall Stats Unsorted'!$AA$9:$AA$12), ""=X"")) + (4 - COUNTIF(IFERROR(ARRAYFORMULA(HLOOKUP($B82, "&amp;"IMPORTRANGE('Match Names'!$F$23, CONCAT(VLOOKUP($C82, 'Match Names'!$1:$22, 6, FALSE), ""!C3:R29"")), {6;12;18;24}, FALSE)), 'Player Overall Stats Unsorted'!$AA$9:$AA$12), ""=X"")) + (4 - COUNTIF(IFERROR(ARRAYFORMULA(HLOOKUP($B82, IMPORTRANGE('Match Names"&amp;"'!$G$23, CONCAT(VLOOKUP($C82, 'Match Names'!$1:$22, 7, FALSE), ""!C3:R29"")), {2;7;17;21}, FALSE)), 'Player Overall Stats Unsorted'!$AA$9:$AA$12), ""=X"")) + (4 - COUNTIF(IFERROR(ARRAYFORMULA(HLOOKUP($B82, IMPORTRANGE('Match Names'!$H$23, CONCAT(VLOOKUP($"&amp;"C82, 'Match Names'!$1:$22, 8, FALSE), ""!C3:R29"")), {4;10;16;22}, FALSE)), 'Player Overall Stats Unsorted'!$AA$9:$AA$12), ""=X""))"),20.0)</f>
        <v>20</v>
      </c>
      <c r="E82" s="9">
        <f>IFERROR(__xludf.DUMMYFUNCTION("COUNTIF(ARRAYFORMULA(HLOOKUP($B82, IMPORTRANGE('Prelim Rankings Unsorted'!$B$40, CONCAT(VLOOKUP($C82, 'Match Names'!$A$1:$D$22, 2, FALSE), ""!C3:R29"")), {3;8;14;20}, FALSE)), ""=4"") + COUNTIF(ARRAYFORMULA(HLOOKUP($B82, IMPORTRANGE('Prelim Rankings Unsor"&amp;"ted'!$B$41, CONCAT(VLOOKUP($C82, 'Match Names'!$A$1:$D$22, 3, FALSE), ""!C3:R29"")), {4;10;16;22}, FALSE)), ""=4"") + COUNTIF(ARRAYFORMULA(HLOOKUP($B82, IMPORTRANGE('Prelim Rankings Unsorted'!$B$42, CONCAT(VLOOKUP($C82, 'Match Names'!$A$1:$D$22, 4, FALSE)"&amp;", ""!C3:R29"")), {2;8;14;20}, FALSE)), ""=4"") + COUNTIF(ARRAYFORMULA(HLOOKUP($B82, IMPORTRANGE('Match Names'!$E$23, CONCAT(VLOOKUP($C82, 'Match Names'!$1:$22, 5, FALSE), ""!C3:R29"")), {3;7;18;23}, FALSE)), ""=4"") + COUNTIF(ARRAYFORMULA(HLOOKUP($B82, IM"&amp;"PORTRANGE('Match Names'!$F$23, CONCAT(VLOOKUP($C82, 'Match Names'!$1:$22, 6, FALSE), ""!C3:R29"")), {6;12;18;24}, FALSE)), ""=4"") + COUNTIF(ARRAYFORMULA(HLOOKUP($B82, IMPORTRANGE('Match Names'!$G$23, CONCAT(VLOOKUP($C82, 'Match Names'!$1:$22, 7, FALSE), "&amp;"""!C3:R29"")), {2;7;17;21}, FALSE)), ""=4"") + COUNTIF(ARRAYFORMULA(HLOOKUP($B82, IMPORTRANGE('Match Names'!$H$23, CONCAT(VLOOKUP($C82, 'Match Names'!$1:$22, 8, FALSE), ""!C3:R29"")), {4;10;16;22}, FALSE)), ""=4"")"),2.0)</f>
        <v>2</v>
      </c>
      <c r="F82" s="9">
        <f>IFERROR(__xludf.DUMMYFUNCTION("COUNTIF(ARRAYFORMULA(HLOOKUP($B82, IMPORTRANGE('Prelim Rankings Unsorted'!$B$40, CONCAT(VLOOKUP($C82, 'Match Names'!$A$1:$D$22, 2, FALSE), ""!C3:R29"")), {3;8;14;20}, FALSE)), ""=0"") + COUNTIF(ARRAYFORMULA(HLOOKUP($B82, IMPORTRANGE('Prelim Rankings Unsor"&amp;"ted'!$B$41, CONCAT(VLOOKUP($C82, 'Match Names'!$A$1:$D$22, 3, FALSE), ""!C3:R29"")), {4;10;16;22}, FALSE)), ""=0"") + COUNTIF(ARRAYFORMULA(HLOOKUP($B82, IMPORTRANGE('Prelim Rankings Unsorted'!$B$42, CONCAT(VLOOKUP($C82, 'Match Names'!$A$1:$D$22, 4, FALSE)"&amp;", ""!C3:R29"")), {2;8;14;20}, FALSE)), ""=0"") + COUNTIF(ARRAYFORMULA(HLOOKUP($B82, IMPORTRANGE('Match Names'!$E$23, CONCAT(VLOOKUP($C82, 'Match Names'!$1:$22, 5, FALSE), ""!C3:R29"")), {3;7;18;23}, FALSE)), ""=0"") + COUNTIF(ARRAYFORMULA(HLOOKUP($B82, IM"&amp;"PORTRANGE('Match Names'!$F$23, CONCAT(VLOOKUP($C82, 'Match Names'!$1:$22, 6, FALSE), ""!C3:R29"")), {6;12;18;24}, FALSE)), ""=0"") + COUNTIF(ARRAYFORMULA(HLOOKUP($B82, IMPORTRANGE('Match Names'!$G$23, CONCAT(VLOOKUP($C82, 'Match Names'!$1:$22, 7, FALSE), "&amp;"""!C3:R29"")), {2;7;17;21}, FALSE)), ""=0"") + COUNTIF(ARRAYFORMULA(HLOOKUP($B82, IMPORTRANGE('Match Names'!$H$23, CONCAT(VLOOKUP($C82, 'Match Names'!$1:$22, 8, FALSE), ""!C3:R29"")), {4;10;16;22}, FALSE)), ""=0"")"),2.0)</f>
        <v>2</v>
      </c>
      <c r="G82" s="9">
        <f>IFERROR(__xludf.DUMMYFUNCTION("COUNTIF(ARRAYFORMULA(HLOOKUP($B82, IMPORTRANGE('Prelim Rankings Unsorted'!$B$40, CONCAT(VLOOKUP($C82, 'Match Names'!$A$1:$D$22, 2, FALSE), ""!C3:R29"")), {3;8;14;20}, FALSE)), ""=-4"") + COUNTIF(ARRAYFORMULA(HLOOKUP($B82, IMPORTRANGE('Prelim Rankings Unso"&amp;"rted'!$B$41, CONCAT(VLOOKUP($C82, 'Match Names'!$A$1:$D$22, 3, FALSE), ""!C3:R29"")), {4;10;16;22}, FALSE)), ""=-4"") + COUNTIF(ARRAYFORMULA(HLOOKUP($B82, IMPORTRANGE('Prelim Rankings Unsorted'!$B$42, CONCAT(VLOOKUP($C82, 'Match Names'!$A$1:$D$22, 4, FALS"&amp;"E), ""!C3:R29"")), {2;8;14;20}, FALSE)), ""=-4"") + COUNTIF(ARRAYFORMULA(HLOOKUP($B82, IMPORTRANGE('Match Names'!$E$23, CONCAT(VLOOKUP($C82, 'Match Names'!$1:$22, 5, FALSE), ""!C3:R29"")), {3;7;18;23}, FALSE)), ""=-4"") + COUNTIF(ARRAYFORMULA(HLOOKUP($B82"&amp;", IMPORTRANGE('Match Names'!$F$23, CONCAT(VLOOKUP($C82, 'Match Names'!$1:$22, 6, FALSE), ""!C3:R29"")), {6;12;18;24}, FALSE)), ""=-4"") + COUNTIF(ARRAYFORMULA(HLOOKUP($B82, IMPORTRANGE('Match Names'!$G$23, CONCAT(VLOOKUP($C82, 'Match Names'!$1:$22, 7, FAL"&amp;"SE), ""!C3:R29"")), {2;7;17;21}, FALSE)), ""=-4"") + COUNTIF(ARRAYFORMULA(HLOOKUP($B82, IMPORTRANGE('Match Names'!$H$23, CONCAT(VLOOKUP($C82, 'Match Names'!$1:$22, 8, FALSE), ""!C3:R29"")), {4;10;16;22}, FALSE)), ""=-4"")"),0.0)</f>
        <v>0</v>
      </c>
      <c r="H82" s="39">
        <f t="shared" si="1"/>
        <v>1.6</v>
      </c>
    </row>
    <row r="83">
      <c r="A83" s="38" t="s">
        <v>76</v>
      </c>
      <c r="B83" s="38" t="str">
        <f>VLOOKUP(CONCAT(A83, C83), 'Discord Username to Real Name'!C:D, 2, FALSE)</f>
        <v>Dr. Jess#0829</v>
      </c>
      <c r="C83" s="38" t="s">
        <v>26</v>
      </c>
      <c r="D83" s="9">
        <f>IFERROR(__xludf.DUMMYFUNCTION("(4 - COUNTIF(IFERROR(ARRAYFORMULA(HLOOKUP($B83, IMPORTRANGE('Prelim Rankings Unsorted'!$B$40, CONCAT(VLOOKUP($C83, 'Match Names'!$A$1:$D$22, 2, FALSE), ""!C3:R29"")), {3;8;14;20}, FALSE)), 'Player Overall Stats Unsorted'!$AA$9:$AA$12), ""=X"")) + (4 - COU"&amp;"NTIF(IFERROR(ARRAYFORMULA(HLOOKUP($B83, IMPORTRANGE('Prelim Rankings Unsorted'!$B$41, CONCAT(VLOOKUP($C83, 'Match Names'!$A$1:$D$22, 3, FALSE), ""!C3:R29"")), {4;10;16;22}, FALSE)), 'Player Overall Stats Unsorted'!$AA$9:$AA$12), ""=X"")) + (4 - COUNTIF(IF"&amp;"ERROR(ARRAYFORMULA(HLOOKUP($B83, IMPORTRANGE('Prelim Rankings Unsorted'!$B$42, CONCAT(VLOOKUP($C83, 'Match Names'!$A$1:$D$22, 4, FALSE), ""!C3:R29"")), {2;8;14;20}, FALSE)), 'Player Overall Stats Unsorted'!$AA$9:$AA$12), ""=X"")) + (4 - COUNTIF(IFERROR(AR"&amp;"RAYFORMULA(HLOOKUP($B83, IMPORTRANGE('Match Names'!$E$23, CONCAT(VLOOKUP($C83, 'Match Names'!$1:$22, 5, FALSE), ""!C3:R29"")), {3;7;18;23}, FALSE)), 'Player Overall Stats Unsorted'!$AA$9:$AA$12), ""=X"")) + (4 - COUNTIF(IFERROR(ARRAYFORMULA(HLOOKUP($B83, "&amp;"IMPORTRANGE('Match Names'!$F$23, CONCAT(VLOOKUP($C83, 'Match Names'!$1:$22, 6, FALSE), ""!C3:R29"")), {6;12;18;24}, FALSE)), 'Player Overall Stats Unsorted'!$AA$9:$AA$12), ""=X"")) + (4 - COUNTIF(IFERROR(ARRAYFORMULA(HLOOKUP($B83, IMPORTRANGE('Match Names"&amp;"'!$G$23, CONCAT(VLOOKUP($C83, 'Match Names'!$1:$22, 7, FALSE), ""!C3:R29"")), {2;7;17;21}, FALSE)), 'Player Overall Stats Unsorted'!$AA$9:$AA$12), ""=X"")) + (4 - COUNTIF(IFERROR(ARRAYFORMULA(HLOOKUP($B83, IMPORTRANGE('Match Names'!$H$23, CONCAT(VLOOKUP($"&amp;"C83, 'Match Names'!$1:$22, 8, FALSE), ""!C3:R29"")), {4;10;16;22}, FALSE)), 'Player Overall Stats Unsorted'!$AA$9:$AA$12), ""=X""))"),12.0)</f>
        <v>12</v>
      </c>
      <c r="E83" s="9">
        <f>IFERROR(__xludf.DUMMYFUNCTION("COUNTIF(ARRAYFORMULA(HLOOKUP($B83, IMPORTRANGE('Prelim Rankings Unsorted'!$B$40, CONCAT(VLOOKUP($C83, 'Match Names'!$A$1:$D$22, 2, FALSE), ""!C3:R29"")), {3;8;14;20}, FALSE)), ""=4"") + COUNTIF(ARRAYFORMULA(HLOOKUP($B83, IMPORTRANGE('Prelim Rankings Unsor"&amp;"ted'!$B$41, CONCAT(VLOOKUP($C83, 'Match Names'!$A$1:$D$22, 3, FALSE), ""!C3:R29"")), {4;10;16;22}, FALSE)), ""=4"") + COUNTIF(ARRAYFORMULA(HLOOKUP($B83, IMPORTRANGE('Prelim Rankings Unsorted'!$B$42, CONCAT(VLOOKUP($C83, 'Match Names'!$A$1:$D$22, 4, FALSE)"&amp;", ""!C3:R29"")), {2;8;14;20}, FALSE)), ""=4"") + COUNTIF(ARRAYFORMULA(HLOOKUP($B83, IMPORTRANGE('Match Names'!$E$23, CONCAT(VLOOKUP($C83, 'Match Names'!$1:$22, 5, FALSE), ""!C3:R29"")), {3;7;18;23}, FALSE)), ""=4"") + COUNTIF(ARRAYFORMULA(HLOOKUP($B83, IM"&amp;"PORTRANGE('Match Names'!$F$23, CONCAT(VLOOKUP($C83, 'Match Names'!$1:$22, 6, FALSE), ""!C3:R29"")), {6;12;18;24}, FALSE)), ""=4"") + COUNTIF(ARRAYFORMULA(HLOOKUP($B83, IMPORTRANGE('Match Names'!$G$23, CONCAT(VLOOKUP($C83, 'Match Names'!$1:$22, 7, FALSE), "&amp;"""!C3:R29"")), {2;7;17;21}, FALSE)), ""=4"") + COUNTIF(ARRAYFORMULA(HLOOKUP($B83, IMPORTRANGE('Match Names'!$H$23, CONCAT(VLOOKUP($C83, 'Match Names'!$1:$22, 8, FALSE), ""!C3:R29"")), {4;10;16;22}, FALSE)), ""=4"")"),2.0)</f>
        <v>2</v>
      </c>
      <c r="F83" s="9">
        <f>IFERROR(__xludf.DUMMYFUNCTION("COUNTIF(ARRAYFORMULA(HLOOKUP($B83, IMPORTRANGE('Prelim Rankings Unsorted'!$B$40, CONCAT(VLOOKUP($C83, 'Match Names'!$A$1:$D$22, 2, FALSE), ""!C3:R29"")), {3;8;14;20}, FALSE)), ""=0"") + COUNTIF(ARRAYFORMULA(HLOOKUP($B83, IMPORTRANGE('Prelim Rankings Unsor"&amp;"ted'!$B$41, CONCAT(VLOOKUP($C83, 'Match Names'!$A$1:$D$22, 3, FALSE), ""!C3:R29"")), {4;10;16;22}, FALSE)), ""=0"") + COUNTIF(ARRAYFORMULA(HLOOKUP($B83, IMPORTRANGE('Prelim Rankings Unsorted'!$B$42, CONCAT(VLOOKUP($C83, 'Match Names'!$A$1:$D$22, 4, FALSE)"&amp;", ""!C3:R29"")), {2;8;14;20}, FALSE)), ""=0"") + COUNTIF(ARRAYFORMULA(HLOOKUP($B83, IMPORTRANGE('Match Names'!$E$23, CONCAT(VLOOKUP($C83, 'Match Names'!$1:$22, 5, FALSE), ""!C3:R29"")), {3;7;18;23}, FALSE)), ""=0"") + COUNTIF(ARRAYFORMULA(HLOOKUP($B83, IM"&amp;"PORTRANGE('Match Names'!$F$23, CONCAT(VLOOKUP($C83, 'Match Names'!$1:$22, 6, FALSE), ""!C3:R29"")), {6;12;18;24}, FALSE)), ""=0"") + COUNTIF(ARRAYFORMULA(HLOOKUP($B83, IMPORTRANGE('Match Names'!$G$23, CONCAT(VLOOKUP($C83, 'Match Names'!$1:$22, 7, FALSE), "&amp;"""!C3:R29"")), {2;7;17;21}, FALSE)), ""=0"") + COUNTIF(ARRAYFORMULA(HLOOKUP($B83, IMPORTRANGE('Match Names'!$H$23, CONCAT(VLOOKUP($C83, 'Match Names'!$1:$22, 8, FALSE), ""!C3:R29"")), {4;10;16;22}, FALSE)), ""=0"")"),4.0)</f>
        <v>4</v>
      </c>
      <c r="G83" s="9">
        <f>IFERROR(__xludf.DUMMYFUNCTION("COUNTIF(ARRAYFORMULA(HLOOKUP($B83, IMPORTRANGE('Prelim Rankings Unsorted'!$B$40, CONCAT(VLOOKUP($C83, 'Match Names'!$A$1:$D$22, 2, FALSE), ""!C3:R29"")), {3;8;14;20}, FALSE)), ""=-4"") + COUNTIF(ARRAYFORMULA(HLOOKUP($B83, IMPORTRANGE('Prelim Rankings Unso"&amp;"rted'!$B$41, CONCAT(VLOOKUP($C83, 'Match Names'!$A$1:$D$22, 3, FALSE), ""!C3:R29"")), {4;10;16;22}, FALSE)), ""=-4"") + COUNTIF(ARRAYFORMULA(HLOOKUP($B83, IMPORTRANGE('Prelim Rankings Unsorted'!$B$42, CONCAT(VLOOKUP($C83, 'Match Names'!$A$1:$D$22, 4, FALS"&amp;"E), ""!C3:R29"")), {2;8;14;20}, FALSE)), ""=-4"") + COUNTIF(ARRAYFORMULA(HLOOKUP($B83, IMPORTRANGE('Match Names'!$E$23, CONCAT(VLOOKUP($C83, 'Match Names'!$1:$22, 5, FALSE), ""!C3:R29"")), {3;7;18;23}, FALSE)), ""=-4"") + COUNTIF(ARRAYFORMULA(HLOOKUP($B83"&amp;", IMPORTRANGE('Match Names'!$F$23, CONCAT(VLOOKUP($C83, 'Match Names'!$1:$22, 6, FALSE), ""!C3:R29"")), {6;12;18;24}, FALSE)), ""=-4"") + COUNTIF(ARRAYFORMULA(HLOOKUP($B83, IMPORTRANGE('Match Names'!$G$23, CONCAT(VLOOKUP($C83, 'Match Names'!$1:$22, 7, FAL"&amp;"SE), ""!C3:R29"")), {2;7;17;21}, FALSE)), ""=-4"") + COUNTIF(ARRAYFORMULA(HLOOKUP($B83, IMPORTRANGE('Match Names'!$H$23, CONCAT(VLOOKUP($C83, 'Match Names'!$1:$22, 8, FALSE), ""!C3:R29"")), {4;10;16;22}, FALSE)), ""=-4"")"),0.0)</f>
        <v>0</v>
      </c>
      <c r="H83" s="39">
        <f t="shared" si="1"/>
        <v>2.67</v>
      </c>
    </row>
    <row r="84">
      <c r="A84" s="38" t="s">
        <v>181</v>
      </c>
      <c r="B84" s="38" t="str">
        <f>VLOOKUP(CONCAT(A84, C84), 'Discord Username to Real Name'!C:D, 2, FALSE)</f>
        <v>ronster#8561</v>
      </c>
      <c r="C84" s="38" t="s">
        <v>26</v>
      </c>
      <c r="D84" s="9">
        <f>IFERROR(__xludf.DUMMYFUNCTION("(4 - COUNTIF(IFERROR(ARRAYFORMULA(HLOOKUP($B84, IMPORTRANGE('Prelim Rankings Unsorted'!$B$40, CONCAT(VLOOKUP($C84, 'Match Names'!$A$1:$D$22, 2, FALSE), ""!C3:R29"")), {3;8;14;20}, FALSE)), 'Player Overall Stats Unsorted'!$AA$9:$AA$12), ""=X"")) + (4 - COU"&amp;"NTIF(IFERROR(ARRAYFORMULA(HLOOKUP($B84, IMPORTRANGE('Prelim Rankings Unsorted'!$B$41, CONCAT(VLOOKUP($C84, 'Match Names'!$A$1:$D$22, 3, FALSE), ""!C3:R29"")), {4;10;16;22}, FALSE)), 'Player Overall Stats Unsorted'!$AA$9:$AA$12), ""=X"")) + (4 - COUNTIF(IF"&amp;"ERROR(ARRAYFORMULA(HLOOKUP($B84, IMPORTRANGE('Prelim Rankings Unsorted'!$B$42, CONCAT(VLOOKUP($C84, 'Match Names'!$A$1:$D$22, 4, FALSE), ""!C3:R29"")), {2;8;14;20}, FALSE)), 'Player Overall Stats Unsorted'!$AA$9:$AA$12), ""=X"")) + (4 - COUNTIF(IFERROR(AR"&amp;"RAYFORMULA(HLOOKUP($B84, IMPORTRANGE('Match Names'!$E$23, CONCAT(VLOOKUP($C84, 'Match Names'!$1:$22, 5, FALSE), ""!C3:R29"")), {3;7;18;23}, FALSE)), 'Player Overall Stats Unsorted'!$AA$9:$AA$12), ""=X"")) + (4 - COUNTIF(IFERROR(ARRAYFORMULA(HLOOKUP($B84, "&amp;"IMPORTRANGE('Match Names'!$F$23, CONCAT(VLOOKUP($C84, 'Match Names'!$1:$22, 6, FALSE), ""!C3:R29"")), {6;12;18;24}, FALSE)), 'Player Overall Stats Unsorted'!$AA$9:$AA$12), ""=X"")) + (4 - COUNTIF(IFERROR(ARRAYFORMULA(HLOOKUP($B84, IMPORTRANGE('Match Names"&amp;"'!$G$23, CONCAT(VLOOKUP($C84, 'Match Names'!$1:$22, 7, FALSE), ""!C3:R29"")), {2;7;17;21}, FALSE)), 'Player Overall Stats Unsorted'!$AA$9:$AA$12), ""=X"")) + (4 - COUNTIF(IFERROR(ARRAYFORMULA(HLOOKUP($B84, IMPORTRANGE('Match Names'!$H$23, CONCAT(VLOOKUP($"&amp;"C84, 'Match Names'!$1:$22, 8, FALSE), ""!C3:R29"")), {4;10;16;22}, FALSE)), 'Player Overall Stats Unsorted'!$AA$9:$AA$12), ""=X""))"),8.0)</f>
        <v>8</v>
      </c>
      <c r="E84" s="9">
        <f>IFERROR(__xludf.DUMMYFUNCTION("COUNTIF(ARRAYFORMULA(HLOOKUP($B84, IMPORTRANGE('Prelim Rankings Unsorted'!$B$40, CONCAT(VLOOKUP($C84, 'Match Names'!$A$1:$D$22, 2, FALSE), ""!C3:R29"")), {3;8;14;20}, FALSE)), ""=4"") + COUNTIF(ARRAYFORMULA(HLOOKUP($B84, IMPORTRANGE('Prelim Rankings Unsor"&amp;"ted'!$B$41, CONCAT(VLOOKUP($C84, 'Match Names'!$A$1:$D$22, 3, FALSE), ""!C3:R29"")), {4;10;16;22}, FALSE)), ""=4"") + COUNTIF(ARRAYFORMULA(HLOOKUP($B84, IMPORTRANGE('Prelim Rankings Unsorted'!$B$42, CONCAT(VLOOKUP($C84, 'Match Names'!$A$1:$D$22, 4, FALSE)"&amp;", ""!C3:R29"")), {2;8;14;20}, FALSE)), ""=4"") + COUNTIF(ARRAYFORMULA(HLOOKUP($B84, IMPORTRANGE('Match Names'!$E$23, CONCAT(VLOOKUP($C84, 'Match Names'!$1:$22, 5, FALSE), ""!C3:R29"")), {3;7;18;23}, FALSE)), ""=4"") + COUNTIF(ARRAYFORMULA(HLOOKUP($B84, IM"&amp;"PORTRANGE('Match Names'!$F$23, CONCAT(VLOOKUP($C84, 'Match Names'!$1:$22, 6, FALSE), ""!C3:R29"")), {6;12;18;24}, FALSE)), ""=4"") + COUNTIF(ARRAYFORMULA(HLOOKUP($B84, IMPORTRANGE('Match Names'!$G$23, CONCAT(VLOOKUP($C84, 'Match Names'!$1:$22, 7, FALSE), "&amp;"""!C3:R29"")), {2;7;17;21}, FALSE)), ""=4"") + COUNTIF(ARRAYFORMULA(HLOOKUP($B84, IMPORTRANGE('Match Names'!$H$23, CONCAT(VLOOKUP($C84, 'Match Names'!$1:$22, 8, FALSE), ""!C3:R29"")), {4;10;16;22}, FALSE)), ""=4"")"),0.0)</f>
        <v>0</v>
      </c>
      <c r="F84" s="9">
        <f>IFERROR(__xludf.DUMMYFUNCTION("COUNTIF(ARRAYFORMULA(HLOOKUP($B84, IMPORTRANGE('Prelim Rankings Unsorted'!$B$40, CONCAT(VLOOKUP($C84, 'Match Names'!$A$1:$D$22, 2, FALSE), ""!C3:R29"")), {3;8;14;20}, FALSE)), ""=0"") + COUNTIF(ARRAYFORMULA(HLOOKUP($B84, IMPORTRANGE('Prelim Rankings Unsor"&amp;"ted'!$B$41, CONCAT(VLOOKUP($C84, 'Match Names'!$A$1:$D$22, 3, FALSE), ""!C3:R29"")), {4;10;16;22}, FALSE)), ""=0"") + COUNTIF(ARRAYFORMULA(HLOOKUP($B84, IMPORTRANGE('Prelim Rankings Unsorted'!$B$42, CONCAT(VLOOKUP($C84, 'Match Names'!$A$1:$D$22, 4, FALSE)"&amp;", ""!C3:R29"")), {2;8;14;20}, FALSE)), ""=0"") + COUNTIF(ARRAYFORMULA(HLOOKUP($B84, IMPORTRANGE('Match Names'!$E$23, CONCAT(VLOOKUP($C84, 'Match Names'!$1:$22, 5, FALSE), ""!C3:R29"")), {3;7;18;23}, FALSE)), ""=0"") + COUNTIF(ARRAYFORMULA(HLOOKUP($B84, IM"&amp;"PORTRANGE('Match Names'!$F$23, CONCAT(VLOOKUP($C84, 'Match Names'!$1:$22, 6, FALSE), ""!C3:R29"")), {6;12;18;24}, FALSE)), ""=0"") + COUNTIF(ARRAYFORMULA(HLOOKUP($B84, IMPORTRANGE('Match Names'!$G$23, CONCAT(VLOOKUP($C84, 'Match Names'!$1:$22, 7, FALSE), "&amp;"""!C3:R29"")), {2;7;17;21}, FALSE)), ""=0"") + COUNTIF(ARRAYFORMULA(HLOOKUP($B84, IMPORTRANGE('Match Names'!$H$23, CONCAT(VLOOKUP($C84, 'Match Names'!$1:$22, 8, FALSE), ""!C3:R29"")), {4;10;16;22}, FALSE)), ""=0"")"),0.0)</f>
        <v>0</v>
      </c>
      <c r="G84" s="9">
        <f>IFERROR(__xludf.DUMMYFUNCTION("COUNTIF(ARRAYFORMULA(HLOOKUP($B84, IMPORTRANGE('Prelim Rankings Unsorted'!$B$40, CONCAT(VLOOKUP($C84, 'Match Names'!$A$1:$D$22, 2, FALSE), ""!C3:R29"")), {3;8;14;20}, FALSE)), ""=-4"") + COUNTIF(ARRAYFORMULA(HLOOKUP($B84, IMPORTRANGE('Prelim Rankings Unso"&amp;"rted'!$B$41, CONCAT(VLOOKUP($C84, 'Match Names'!$A$1:$D$22, 3, FALSE), ""!C3:R29"")), {4;10;16;22}, FALSE)), ""=-4"") + COUNTIF(ARRAYFORMULA(HLOOKUP($B84, IMPORTRANGE('Prelim Rankings Unsorted'!$B$42, CONCAT(VLOOKUP($C84, 'Match Names'!$A$1:$D$22, 4, FALS"&amp;"E), ""!C3:R29"")), {2;8;14;20}, FALSE)), ""=-4"") + COUNTIF(ARRAYFORMULA(HLOOKUP($B84, IMPORTRANGE('Match Names'!$E$23, CONCAT(VLOOKUP($C84, 'Match Names'!$1:$22, 5, FALSE), ""!C3:R29"")), {3;7;18;23}, FALSE)), ""=-4"") + COUNTIF(ARRAYFORMULA(HLOOKUP($B84"&amp;", IMPORTRANGE('Match Names'!$F$23, CONCAT(VLOOKUP($C84, 'Match Names'!$1:$22, 6, FALSE), ""!C3:R29"")), {6;12;18;24}, FALSE)), ""=-4"") + COUNTIF(ARRAYFORMULA(HLOOKUP($B84, IMPORTRANGE('Match Names'!$G$23, CONCAT(VLOOKUP($C84, 'Match Names'!$1:$22, 7, FAL"&amp;"SE), ""!C3:R29"")), {2;7;17;21}, FALSE)), ""=-4"") + COUNTIF(ARRAYFORMULA(HLOOKUP($B84, IMPORTRANGE('Match Names'!$H$23, CONCAT(VLOOKUP($C84, 'Match Names'!$1:$22, 8, FALSE), ""!C3:R29"")), {4;10;16;22}, FALSE)), ""=-4"")"),0.0)</f>
        <v>0</v>
      </c>
      <c r="H84" s="39">
        <f t="shared" si="1"/>
        <v>0</v>
      </c>
    </row>
    <row r="85">
      <c r="A85" s="38" t="s">
        <v>192</v>
      </c>
      <c r="B85" s="38" t="str">
        <f>VLOOKUP(CONCAT(A85, C85), 'Discord Username to Real Name'!C:D, 2, FALSE)</f>
        <v>aditi#0716</v>
      </c>
      <c r="C85" s="38" t="s">
        <v>26</v>
      </c>
      <c r="D85" s="9">
        <f>IFERROR(__xludf.DUMMYFUNCTION("(4 - COUNTIF(IFERROR(ARRAYFORMULA(HLOOKUP($B85, IMPORTRANGE('Prelim Rankings Unsorted'!$B$40, CONCAT(VLOOKUP($C85, 'Match Names'!$A$1:$D$22, 2, FALSE), ""!C3:R29"")), {3;8;14;20}, FALSE)), 'Player Overall Stats Unsorted'!$AA$9:$AA$12), ""=X"")) + (4 - COU"&amp;"NTIF(IFERROR(ARRAYFORMULA(HLOOKUP($B85, IMPORTRANGE('Prelim Rankings Unsorted'!$B$41, CONCAT(VLOOKUP($C85, 'Match Names'!$A$1:$D$22, 3, FALSE), ""!C3:R29"")), {4;10;16;22}, FALSE)), 'Player Overall Stats Unsorted'!$AA$9:$AA$12), ""=X"")) + (4 - COUNTIF(IF"&amp;"ERROR(ARRAYFORMULA(HLOOKUP($B85, IMPORTRANGE('Prelim Rankings Unsorted'!$B$42, CONCAT(VLOOKUP($C85, 'Match Names'!$A$1:$D$22, 4, FALSE), ""!C3:R29"")), {2;8;14;20}, FALSE)), 'Player Overall Stats Unsorted'!$AA$9:$AA$12), ""=X"")) + (4 - COUNTIF(IFERROR(AR"&amp;"RAYFORMULA(HLOOKUP($B85, IMPORTRANGE('Match Names'!$E$23, CONCAT(VLOOKUP($C85, 'Match Names'!$1:$22, 5, FALSE), ""!C3:R29"")), {3;7;18;23}, FALSE)), 'Player Overall Stats Unsorted'!$AA$9:$AA$12), ""=X"")) + (4 - COUNTIF(IFERROR(ARRAYFORMULA(HLOOKUP($B85, "&amp;"IMPORTRANGE('Match Names'!$F$23, CONCAT(VLOOKUP($C85, 'Match Names'!$1:$22, 6, FALSE), ""!C3:R29"")), {6;12;18;24}, FALSE)), 'Player Overall Stats Unsorted'!$AA$9:$AA$12), ""=X"")) + (4 - COUNTIF(IFERROR(ARRAYFORMULA(HLOOKUP($B85, IMPORTRANGE('Match Names"&amp;"'!$G$23, CONCAT(VLOOKUP($C85, 'Match Names'!$1:$22, 7, FALSE), ""!C3:R29"")), {2;7;17;21}, FALSE)), 'Player Overall Stats Unsorted'!$AA$9:$AA$12), ""=X"")) + (4 - COUNTIF(IFERROR(ARRAYFORMULA(HLOOKUP($B85, IMPORTRANGE('Match Names'!$H$23, CONCAT(VLOOKUP($"&amp;"C85, 'Match Names'!$1:$22, 8, FALSE), ""!C3:R29"")), {4;10;16;22}, FALSE)), 'Player Overall Stats Unsorted'!$AA$9:$AA$12), ""=X""))"),4.0)</f>
        <v>4</v>
      </c>
      <c r="E85" s="9">
        <f>IFERROR(__xludf.DUMMYFUNCTION("COUNTIF(ARRAYFORMULA(HLOOKUP($B85, IMPORTRANGE('Prelim Rankings Unsorted'!$B$40, CONCAT(VLOOKUP($C85, 'Match Names'!$A$1:$D$22, 2, FALSE), ""!C3:R29"")), {3;8;14;20}, FALSE)), ""=4"") + COUNTIF(ARRAYFORMULA(HLOOKUP($B85, IMPORTRANGE('Prelim Rankings Unsor"&amp;"ted'!$B$41, CONCAT(VLOOKUP($C85, 'Match Names'!$A$1:$D$22, 3, FALSE), ""!C3:R29"")), {4;10;16;22}, FALSE)), ""=4"") + COUNTIF(ARRAYFORMULA(HLOOKUP($B85, IMPORTRANGE('Prelim Rankings Unsorted'!$B$42, CONCAT(VLOOKUP($C85, 'Match Names'!$A$1:$D$22, 4, FALSE)"&amp;", ""!C3:R29"")), {2;8;14;20}, FALSE)), ""=4"") + COUNTIF(ARRAYFORMULA(HLOOKUP($B85, IMPORTRANGE('Match Names'!$E$23, CONCAT(VLOOKUP($C85, 'Match Names'!$1:$22, 5, FALSE), ""!C3:R29"")), {3;7;18;23}, FALSE)), ""=4"") + COUNTIF(ARRAYFORMULA(HLOOKUP($B85, IM"&amp;"PORTRANGE('Match Names'!$F$23, CONCAT(VLOOKUP($C85, 'Match Names'!$1:$22, 6, FALSE), ""!C3:R29"")), {6;12;18;24}, FALSE)), ""=4"") + COUNTIF(ARRAYFORMULA(HLOOKUP($B85, IMPORTRANGE('Match Names'!$G$23, CONCAT(VLOOKUP($C85, 'Match Names'!$1:$22, 7, FALSE), "&amp;"""!C3:R29"")), {2;7;17;21}, FALSE)), ""=4"") + COUNTIF(ARRAYFORMULA(HLOOKUP($B85, IMPORTRANGE('Match Names'!$H$23, CONCAT(VLOOKUP($C85, 'Match Names'!$1:$22, 8, FALSE), ""!C3:R29"")), {4;10;16;22}, FALSE)), ""=4"")"),0.0)</f>
        <v>0</v>
      </c>
      <c r="F85" s="9">
        <f>IFERROR(__xludf.DUMMYFUNCTION("COUNTIF(ARRAYFORMULA(HLOOKUP($B85, IMPORTRANGE('Prelim Rankings Unsorted'!$B$40, CONCAT(VLOOKUP($C85, 'Match Names'!$A$1:$D$22, 2, FALSE), ""!C3:R29"")), {3;8;14;20}, FALSE)), ""=0"") + COUNTIF(ARRAYFORMULA(HLOOKUP($B85, IMPORTRANGE('Prelim Rankings Unsor"&amp;"ted'!$B$41, CONCAT(VLOOKUP($C85, 'Match Names'!$A$1:$D$22, 3, FALSE), ""!C3:R29"")), {4;10;16;22}, FALSE)), ""=0"") + COUNTIF(ARRAYFORMULA(HLOOKUP($B85, IMPORTRANGE('Prelim Rankings Unsorted'!$B$42, CONCAT(VLOOKUP($C85, 'Match Names'!$A$1:$D$22, 4, FALSE)"&amp;", ""!C3:R29"")), {2;8;14;20}, FALSE)), ""=0"") + COUNTIF(ARRAYFORMULA(HLOOKUP($B85, IMPORTRANGE('Match Names'!$E$23, CONCAT(VLOOKUP($C85, 'Match Names'!$1:$22, 5, FALSE), ""!C3:R29"")), {3;7;18;23}, FALSE)), ""=0"") + COUNTIF(ARRAYFORMULA(HLOOKUP($B85, IM"&amp;"PORTRANGE('Match Names'!$F$23, CONCAT(VLOOKUP($C85, 'Match Names'!$1:$22, 6, FALSE), ""!C3:R29"")), {6;12;18;24}, FALSE)), ""=0"") + COUNTIF(ARRAYFORMULA(HLOOKUP($B85, IMPORTRANGE('Match Names'!$G$23, CONCAT(VLOOKUP($C85, 'Match Names'!$1:$22, 7, FALSE), "&amp;"""!C3:R29"")), {2;7;17;21}, FALSE)), ""=0"") + COUNTIF(ARRAYFORMULA(HLOOKUP($B85, IMPORTRANGE('Match Names'!$H$23, CONCAT(VLOOKUP($C85, 'Match Names'!$1:$22, 8, FALSE), ""!C3:R29"")), {4;10;16;22}, FALSE)), ""=0"")"),0.0)</f>
        <v>0</v>
      </c>
      <c r="G85" s="9">
        <f>IFERROR(__xludf.DUMMYFUNCTION("COUNTIF(ARRAYFORMULA(HLOOKUP($B85, IMPORTRANGE('Prelim Rankings Unsorted'!$B$40, CONCAT(VLOOKUP($C85, 'Match Names'!$A$1:$D$22, 2, FALSE), ""!C3:R29"")), {3;8;14;20}, FALSE)), ""=-4"") + COUNTIF(ARRAYFORMULA(HLOOKUP($B85, IMPORTRANGE('Prelim Rankings Unso"&amp;"rted'!$B$41, CONCAT(VLOOKUP($C85, 'Match Names'!$A$1:$D$22, 3, FALSE), ""!C3:R29"")), {4;10;16;22}, FALSE)), ""=-4"") + COUNTIF(ARRAYFORMULA(HLOOKUP($B85, IMPORTRANGE('Prelim Rankings Unsorted'!$B$42, CONCAT(VLOOKUP($C85, 'Match Names'!$A$1:$D$22, 4, FALS"&amp;"E), ""!C3:R29"")), {2;8;14;20}, FALSE)), ""=-4"") + COUNTIF(ARRAYFORMULA(HLOOKUP($B85, IMPORTRANGE('Match Names'!$E$23, CONCAT(VLOOKUP($C85, 'Match Names'!$1:$22, 5, FALSE), ""!C3:R29"")), {3;7;18;23}, FALSE)), ""=-4"") + COUNTIF(ARRAYFORMULA(HLOOKUP($B85"&amp;", IMPORTRANGE('Match Names'!$F$23, CONCAT(VLOOKUP($C85, 'Match Names'!$1:$22, 6, FALSE), ""!C3:R29"")), {6;12;18;24}, FALSE)), ""=-4"") + COUNTIF(ARRAYFORMULA(HLOOKUP($B85, IMPORTRANGE('Match Names'!$G$23, CONCAT(VLOOKUP($C85, 'Match Names'!$1:$22, 7, FAL"&amp;"SE), ""!C3:R29"")), {2;7;17;21}, FALSE)), ""=-4"") + COUNTIF(ARRAYFORMULA(HLOOKUP($B85, IMPORTRANGE('Match Names'!$H$23, CONCAT(VLOOKUP($C85, 'Match Names'!$1:$22, 8, FALSE), ""!C3:R29"")), {4;10;16;22}, FALSE)), ""=-4"")"),0.0)</f>
        <v>0</v>
      </c>
      <c r="H85" s="39">
        <f t="shared" si="1"/>
        <v>0</v>
      </c>
    </row>
    <row r="86">
      <c r="A86" s="38" t="s">
        <v>37</v>
      </c>
      <c r="B86" s="38" t="str">
        <f>VLOOKUP(CONCAT(A86, C86), 'Discord Username to Real Name'!C:D, 2, FALSE)</f>
        <v>aurum#9391</v>
      </c>
      <c r="C86" s="38" t="s">
        <v>18</v>
      </c>
      <c r="D86" s="9">
        <f>IFERROR(__xludf.DUMMYFUNCTION("(4 - COUNTIF(IFERROR(ARRAYFORMULA(HLOOKUP($B86, IMPORTRANGE('Prelim Rankings Unsorted'!$B$40, CONCAT(VLOOKUP($C86, 'Match Names'!$A$1:$D$22, 2, FALSE), ""!C3:R29"")), {3;8;14;20}, FALSE)), 'Player Overall Stats Unsorted'!$AA$9:$AA$12), ""=X"")) + (4 - COU"&amp;"NTIF(IFERROR(ARRAYFORMULA(HLOOKUP($B86, IMPORTRANGE('Prelim Rankings Unsorted'!$B$41, CONCAT(VLOOKUP($C86, 'Match Names'!$A$1:$D$22, 3, FALSE), ""!C3:R29"")), {4;10;16;22}, FALSE)), 'Player Overall Stats Unsorted'!$AA$9:$AA$12), ""=X"")) + (4 - COUNTIF(IF"&amp;"ERROR(ARRAYFORMULA(HLOOKUP($B86, IMPORTRANGE('Prelim Rankings Unsorted'!$B$42, CONCAT(VLOOKUP($C86, 'Match Names'!$A$1:$D$22, 4, FALSE), ""!C3:R29"")), {2;8;14;20}, FALSE)), 'Player Overall Stats Unsorted'!$AA$9:$AA$12), ""=X"")) + (4 - COUNTIF(IFERROR(AR"&amp;"RAYFORMULA(HLOOKUP($B86, IMPORTRANGE('Match Names'!$E$23, CONCAT(VLOOKUP($C86, 'Match Names'!$1:$22, 5, FALSE), ""!C3:R29"")), {3;7;18;23}, FALSE)), 'Player Overall Stats Unsorted'!$AA$9:$AA$12), ""=X"")) + (4 - COUNTIF(IFERROR(ARRAYFORMULA(HLOOKUP($B86, "&amp;"IMPORTRANGE('Match Names'!$F$23, CONCAT(VLOOKUP($C86, 'Match Names'!$1:$22, 6, FALSE), ""!C3:R29"")), {6;12;18;24}, FALSE)), 'Player Overall Stats Unsorted'!$AA$9:$AA$12), ""=X"")) + (4 - COUNTIF(IFERROR(ARRAYFORMULA(HLOOKUP($B86, IMPORTRANGE('Match Names"&amp;"'!$G$23, CONCAT(VLOOKUP($C86, 'Match Names'!$1:$22, 7, FALSE), ""!C3:R29"")), {2;7;17;21}, FALSE)), 'Player Overall Stats Unsorted'!$AA$9:$AA$12), ""=X"")) + (4 - COUNTIF(IFERROR(ARRAYFORMULA(HLOOKUP($B86, IMPORTRANGE('Match Names'!$H$23, CONCAT(VLOOKUP($"&amp;"C86, 'Match Names'!$1:$22, 8, FALSE), ""!C3:R29"")), {4;10;16;22}, FALSE)), 'Player Overall Stats Unsorted'!$AA$9:$AA$12), ""=X""))"),20.0)</f>
        <v>20</v>
      </c>
      <c r="E86" s="9">
        <f>IFERROR(__xludf.DUMMYFUNCTION("COUNTIF(ARRAYFORMULA(HLOOKUP($B86, IMPORTRANGE('Prelim Rankings Unsorted'!$B$40, CONCAT(VLOOKUP($C86, 'Match Names'!$A$1:$D$22, 2, FALSE), ""!C3:R29"")), {3;8;14;20}, FALSE)), ""=4"") + COUNTIF(ARRAYFORMULA(HLOOKUP($B86, IMPORTRANGE('Prelim Rankings Unsor"&amp;"ted'!$B$41, CONCAT(VLOOKUP($C86, 'Match Names'!$A$1:$D$22, 3, FALSE), ""!C3:R29"")), {4;10;16;22}, FALSE)), ""=4"") + COUNTIF(ARRAYFORMULA(HLOOKUP($B86, IMPORTRANGE('Prelim Rankings Unsorted'!$B$42, CONCAT(VLOOKUP($C86, 'Match Names'!$A$1:$D$22, 4, FALSE)"&amp;", ""!C3:R29"")), {2;8;14;20}, FALSE)), ""=4"") + COUNTIF(ARRAYFORMULA(HLOOKUP($B86, IMPORTRANGE('Match Names'!$E$23, CONCAT(VLOOKUP($C86, 'Match Names'!$1:$22, 5, FALSE), ""!C3:R29"")), {3;7;18;23}, FALSE)), ""=4"") + COUNTIF(ARRAYFORMULA(HLOOKUP($B86, IM"&amp;"PORTRANGE('Match Names'!$F$23, CONCAT(VLOOKUP($C86, 'Match Names'!$1:$22, 6, FALSE), ""!C3:R29"")), {6;12;18;24}, FALSE)), ""=4"") + COUNTIF(ARRAYFORMULA(HLOOKUP($B86, IMPORTRANGE('Match Names'!$G$23, CONCAT(VLOOKUP($C86, 'Match Names'!$1:$22, 7, FALSE), "&amp;"""!C3:R29"")), {2;7;17;21}, FALSE)), ""=4"") + COUNTIF(ARRAYFORMULA(HLOOKUP($B86, IMPORTRANGE('Match Names'!$H$23, CONCAT(VLOOKUP($C86, 'Match Names'!$1:$22, 8, FALSE), ""!C3:R29"")), {4;10;16;22}, FALSE)), ""=4"")"),0.0)</f>
        <v>0</v>
      </c>
      <c r="F86" s="9">
        <f>IFERROR(__xludf.DUMMYFUNCTION("COUNTIF(ARRAYFORMULA(HLOOKUP($B86, IMPORTRANGE('Prelim Rankings Unsorted'!$B$40, CONCAT(VLOOKUP($C86, 'Match Names'!$A$1:$D$22, 2, FALSE), ""!C3:R29"")), {3;8;14;20}, FALSE)), ""=0"") + COUNTIF(ARRAYFORMULA(HLOOKUP($B86, IMPORTRANGE('Prelim Rankings Unsor"&amp;"ted'!$B$41, CONCAT(VLOOKUP($C86, 'Match Names'!$A$1:$D$22, 3, FALSE), ""!C3:R29"")), {4;10;16;22}, FALSE)), ""=0"") + COUNTIF(ARRAYFORMULA(HLOOKUP($B86, IMPORTRANGE('Prelim Rankings Unsorted'!$B$42, CONCAT(VLOOKUP($C86, 'Match Names'!$A$1:$D$22, 4, FALSE)"&amp;", ""!C3:R29"")), {2;8;14;20}, FALSE)), ""=0"") + COUNTIF(ARRAYFORMULA(HLOOKUP($B86, IMPORTRANGE('Match Names'!$E$23, CONCAT(VLOOKUP($C86, 'Match Names'!$1:$22, 5, FALSE), ""!C3:R29"")), {3;7;18;23}, FALSE)), ""=0"") + COUNTIF(ARRAYFORMULA(HLOOKUP($B86, IM"&amp;"PORTRANGE('Match Names'!$F$23, CONCAT(VLOOKUP($C86, 'Match Names'!$1:$22, 6, FALSE), ""!C3:R29"")), {6;12;18;24}, FALSE)), ""=0"") + COUNTIF(ARRAYFORMULA(HLOOKUP($B86, IMPORTRANGE('Match Names'!$G$23, CONCAT(VLOOKUP($C86, 'Match Names'!$1:$22, 7, FALSE), "&amp;"""!C3:R29"")), {2;7;17;21}, FALSE)), ""=0"") + COUNTIF(ARRAYFORMULA(HLOOKUP($B86, IMPORTRANGE('Match Names'!$H$23, CONCAT(VLOOKUP($C86, 'Match Names'!$1:$22, 8, FALSE), ""!C3:R29"")), {4;10;16;22}, FALSE)), ""=0"")"),4.0)</f>
        <v>4</v>
      </c>
      <c r="G86" s="9">
        <f>IFERROR(__xludf.DUMMYFUNCTION("COUNTIF(ARRAYFORMULA(HLOOKUP($B86, IMPORTRANGE('Prelim Rankings Unsorted'!$B$40, CONCAT(VLOOKUP($C86, 'Match Names'!$A$1:$D$22, 2, FALSE), ""!C3:R29"")), {3;8;14;20}, FALSE)), ""=-4"") + COUNTIF(ARRAYFORMULA(HLOOKUP($B86, IMPORTRANGE('Prelim Rankings Unso"&amp;"rted'!$B$41, CONCAT(VLOOKUP($C86, 'Match Names'!$A$1:$D$22, 3, FALSE), ""!C3:R29"")), {4;10;16;22}, FALSE)), ""=-4"") + COUNTIF(ARRAYFORMULA(HLOOKUP($B86, IMPORTRANGE('Prelim Rankings Unsorted'!$B$42, CONCAT(VLOOKUP($C86, 'Match Names'!$A$1:$D$22, 4, FALS"&amp;"E), ""!C3:R29"")), {2;8;14;20}, FALSE)), ""=-4"") + COUNTIF(ARRAYFORMULA(HLOOKUP($B86, IMPORTRANGE('Match Names'!$E$23, CONCAT(VLOOKUP($C86, 'Match Names'!$1:$22, 5, FALSE), ""!C3:R29"")), {3;7;18;23}, FALSE)), ""=-4"") + COUNTIF(ARRAYFORMULA(HLOOKUP($B86"&amp;", IMPORTRANGE('Match Names'!$F$23, CONCAT(VLOOKUP($C86, 'Match Names'!$1:$22, 6, FALSE), ""!C3:R29"")), {6;12;18;24}, FALSE)), ""=-4"") + COUNTIF(ARRAYFORMULA(HLOOKUP($B86, IMPORTRANGE('Match Names'!$G$23, CONCAT(VLOOKUP($C86, 'Match Names'!$1:$22, 7, FAL"&amp;"SE), ""!C3:R29"")), {2;7;17;21}, FALSE)), ""=-4"") + COUNTIF(ARRAYFORMULA(HLOOKUP($B86, IMPORTRANGE('Match Names'!$H$23, CONCAT(VLOOKUP($C86, 'Match Names'!$1:$22, 8, FALSE), ""!C3:R29"")), {4;10;16;22}, FALSE)), ""=-4"")"),0.0)</f>
        <v>0</v>
      </c>
      <c r="H86" s="42">
        <f t="shared" si="1"/>
        <v>0</v>
      </c>
    </row>
    <row r="87">
      <c r="A87" s="38" t="s">
        <v>45</v>
      </c>
      <c r="B87" s="38" t="str">
        <f>VLOOKUP(CONCAT(A87, C87), 'Discord Username to Real Name'!C:D, 2, FALSE)</f>
        <v>Rosin#8074</v>
      </c>
      <c r="C87" s="38" t="s">
        <v>18</v>
      </c>
      <c r="D87" s="9">
        <f>IFERROR(__xludf.DUMMYFUNCTION("(4 - COUNTIF(IFERROR(ARRAYFORMULA(HLOOKUP($B87, IMPORTRANGE('Prelim Rankings Unsorted'!$B$40, CONCAT(VLOOKUP($C87, 'Match Names'!$A$1:$D$22, 2, FALSE), ""!C3:R29"")), {3;8;14;20}, FALSE)), 'Player Overall Stats Unsorted'!$AA$9:$AA$12), ""=X"")) + (4 - COU"&amp;"NTIF(IFERROR(ARRAYFORMULA(HLOOKUP($B87, IMPORTRANGE('Prelim Rankings Unsorted'!$B$41, CONCAT(VLOOKUP($C87, 'Match Names'!$A$1:$D$22, 3, FALSE), ""!C3:R29"")), {4;10;16;22}, FALSE)), 'Player Overall Stats Unsorted'!$AA$9:$AA$12), ""=X"")) + (4 - COUNTIF(IF"&amp;"ERROR(ARRAYFORMULA(HLOOKUP($B87, IMPORTRANGE('Prelim Rankings Unsorted'!$B$42, CONCAT(VLOOKUP($C87, 'Match Names'!$A$1:$D$22, 4, FALSE), ""!C3:R29"")), {2;8;14;20}, FALSE)), 'Player Overall Stats Unsorted'!$AA$9:$AA$12), ""=X"")) + (4 - COUNTIF(IFERROR(AR"&amp;"RAYFORMULA(HLOOKUP($B87, IMPORTRANGE('Match Names'!$E$23, CONCAT(VLOOKUP($C87, 'Match Names'!$1:$22, 5, FALSE), ""!C3:R29"")), {3;7;18;23}, FALSE)), 'Player Overall Stats Unsorted'!$AA$9:$AA$12), ""=X"")) + (4 - COUNTIF(IFERROR(ARRAYFORMULA(HLOOKUP($B87, "&amp;"IMPORTRANGE('Match Names'!$F$23, CONCAT(VLOOKUP($C87, 'Match Names'!$1:$22, 6, FALSE), ""!C3:R29"")), {6;12;18;24}, FALSE)), 'Player Overall Stats Unsorted'!$AA$9:$AA$12), ""=X"")) + (4 - COUNTIF(IFERROR(ARRAYFORMULA(HLOOKUP($B87, IMPORTRANGE('Match Names"&amp;"'!$G$23, CONCAT(VLOOKUP($C87, 'Match Names'!$1:$22, 7, FALSE), ""!C3:R29"")), {2;7;17;21}, FALSE)), 'Player Overall Stats Unsorted'!$AA$9:$AA$12), ""=X"")) + (4 - COUNTIF(IFERROR(ARRAYFORMULA(HLOOKUP($B87, IMPORTRANGE('Match Names'!$H$23, CONCAT(VLOOKUP($"&amp;"C87, 'Match Names'!$1:$22, 8, FALSE), ""!C3:R29"")), {4;10;16;22}, FALSE)), 'Player Overall Stats Unsorted'!$AA$9:$AA$12), ""=X""))"),8.0)</f>
        <v>8</v>
      </c>
      <c r="E87" s="9">
        <f>IFERROR(__xludf.DUMMYFUNCTION("COUNTIF(ARRAYFORMULA(HLOOKUP($B87, IMPORTRANGE('Prelim Rankings Unsorted'!$B$40, CONCAT(VLOOKUP($C87, 'Match Names'!$A$1:$D$22, 2, FALSE), ""!C3:R29"")), {3;8;14;20}, FALSE)), ""=4"") + COUNTIF(ARRAYFORMULA(HLOOKUP($B87, IMPORTRANGE('Prelim Rankings Unsor"&amp;"ted'!$B$41, CONCAT(VLOOKUP($C87, 'Match Names'!$A$1:$D$22, 3, FALSE), ""!C3:R29"")), {4;10;16;22}, FALSE)), ""=4"") + COUNTIF(ARRAYFORMULA(HLOOKUP($B87, IMPORTRANGE('Prelim Rankings Unsorted'!$B$42, CONCAT(VLOOKUP($C87, 'Match Names'!$A$1:$D$22, 4, FALSE)"&amp;", ""!C3:R29"")), {2;8;14;20}, FALSE)), ""=4"") + COUNTIF(ARRAYFORMULA(HLOOKUP($B87, IMPORTRANGE('Match Names'!$E$23, CONCAT(VLOOKUP($C87, 'Match Names'!$1:$22, 5, FALSE), ""!C3:R29"")), {3;7;18;23}, FALSE)), ""=4"") + COUNTIF(ARRAYFORMULA(HLOOKUP($B87, IM"&amp;"PORTRANGE('Match Names'!$F$23, CONCAT(VLOOKUP($C87, 'Match Names'!$1:$22, 6, FALSE), ""!C3:R29"")), {6;12;18;24}, FALSE)), ""=4"") + COUNTIF(ARRAYFORMULA(HLOOKUP($B87, IMPORTRANGE('Match Names'!$G$23, CONCAT(VLOOKUP($C87, 'Match Names'!$1:$22, 7, FALSE), "&amp;"""!C3:R29"")), {2;7;17;21}, FALSE)), ""=4"") + COUNTIF(ARRAYFORMULA(HLOOKUP($B87, IMPORTRANGE('Match Names'!$H$23, CONCAT(VLOOKUP($C87, 'Match Names'!$1:$22, 8, FALSE), ""!C3:R29"")), {4;10;16;22}, FALSE)), ""=4"")"),0.0)</f>
        <v>0</v>
      </c>
      <c r="F87" s="9">
        <f>IFERROR(__xludf.DUMMYFUNCTION("COUNTIF(ARRAYFORMULA(HLOOKUP($B87, IMPORTRANGE('Prelim Rankings Unsorted'!$B$40, CONCAT(VLOOKUP($C87, 'Match Names'!$A$1:$D$22, 2, FALSE), ""!C3:R29"")), {3;8;14;20}, FALSE)), ""=0"") + COUNTIF(ARRAYFORMULA(HLOOKUP($B87, IMPORTRANGE('Prelim Rankings Unsor"&amp;"ted'!$B$41, CONCAT(VLOOKUP($C87, 'Match Names'!$A$1:$D$22, 3, FALSE), ""!C3:R29"")), {4;10;16;22}, FALSE)), ""=0"") + COUNTIF(ARRAYFORMULA(HLOOKUP($B87, IMPORTRANGE('Prelim Rankings Unsorted'!$B$42, CONCAT(VLOOKUP($C87, 'Match Names'!$A$1:$D$22, 4, FALSE)"&amp;", ""!C3:R29"")), {2;8;14;20}, FALSE)), ""=0"") + COUNTIF(ARRAYFORMULA(HLOOKUP($B87, IMPORTRANGE('Match Names'!$E$23, CONCAT(VLOOKUP($C87, 'Match Names'!$1:$22, 5, FALSE), ""!C3:R29"")), {3;7;18;23}, FALSE)), ""=0"") + COUNTIF(ARRAYFORMULA(HLOOKUP($B87, IM"&amp;"PORTRANGE('Match Names'!$F$23, CONCAT(VLOOKUP($C87, 'Match Names'!$1:$22, 6, FALSE), ""!C3:R29"")), {6;12;18;24}, FALSE)), ""=0"") + COUNTIF(ARRAYFORMULA(HLOOKUP($B87, IMPORTRANGE('Match Names'!$G$23, CONCAT(VLOOKUP($C87, 'Match Names'!$1:$22, 7, FALSE), "&amp;"""!C3:R29"")), {2;7;17;21}, FALSE)), ""=0"") + COUNTIF(ARRAYFORMULA(HLOOKUP($B87, IMPORTRANGE('Match Names'!$H$23, CONCAT(VLOOKUP($C87, 'Match Names'!$1:$22, 8, FALSE), ""!C3:R29"")), {4;10;16;22}, FALSE)), ""=0"")"),0.0)</f>
        <v>0</v>
      </c>
      <c r="G87" s="9">
        <f>IFERROR(__xludf.DUMMYFUNCTION("COUNTIF(ARRAYFORMULA(HLOOKUP($B87, IMPORTRANGE('Prelim Rankings Unsorted'!$B$40, CONCAT(VLOOKUP($C87, 'Match Names'!$A$1:$D$22, 2, FALSE), ""!C3:R29"")), {3;8;14;20}, FALSE)), ""=-4"") + COUNTIF(ARRAYFORMULA(HLOOKUP($B87, IMPORTRANGE('Prelim Rankings Unso"&amp;"rted'!$B$41, CONCAT(VLOOKUP($C87, 'Match Names'!$A$1:$D$22, 3, FALSE), ""!C3:R29"")), {4;10;16;22}, FALSE)), ""=-4"") + COUNTIF(ARRAYFORMULA(HLOOKUP($B87, IMPORTRANGE('Prelim Rankings Unsorted'!$B$42, CONCAT(VLOOKUP($C87, 'Match Names'!$A$1:$D$22, 4, FALS"&amp;"E), ""!C3:R29"")), {2;8;14;20}, FALSE)), ""=-4"") + COUNTIF(ARRAYFORMULA(HLOOKUP($B87, IMPORTRANGE('Match Names'!$E$23, CONCAT(VLOOKUP($C87, 'Match Names'!$1:$22, 5, FALSE), ""!C3:R29"")), {3;7;18;23}, FALSE)), ""=-4"") + COUNTIF(ARRAYFORMULA(HLOOKUP($B87"&amp;", IMPORTRANGE('Match Names'!$F$23, CONCAT(VLOOKUP($C87, 'Match Names'!$1:$22, 6, FALSE), ""!C3:R29"")), {6;12;18;24}, FALSE)), ""=-4"") + COUNTIF(ARRAYFORMULA(HLOOKUP($B87, IMPORTRANGE('Match Names'!$G$23, CONCAT(VLOOKUP($C87, 'Match Names'!$1:$22, 7, FAL"&amp;"SE), ""!C3:R29"")), {2;7;17;21}, FALSE)), ""=-4"") + COUNTIF(ARRAYFORMULA(HLOOKUP($B87, IMPORTRANGE('Match Names'!$H$23, CONCAT(VLOOKUP($C87, 'Match Names'!$1:$22, 8, FALSE), ""!C3:R29"")), {4;10;16;22}, FALSE)), ""=-4"")"),0.0)</f>
        <v>0</v>
      </c>
      <c r="H87" s="39">
        <f t="shared" si="1"/>
        <v>0</v>
      </c>
    </row>
    <row r="88">
      <c r="A88" s="41" t="s">
        <v>204</v>
      </c>
      <c r="B88" s="38" t="str">
        <f>VLOOKUP(CONCAT(A88, C88), 'Discord Username to Real Name'!C:D, 2, FALSE)</f>
        <v/>
      </c>
      <c r="C88" s="41" t="s">
        <v>18</v>
      </c>
      <c r="D88" s="9">
        <f>IFERROR(__xludf.DUMMYFUNCTION("(4 - COUNTIF(IFERROR(ARRAYFORMULA(HLOOKUP($B88, IMPORTRANGE('Prelim Rankings Unsorted'!$B$40, CONCAT(VLOOKUP($C88, 'Match Names'!$A$1:$D$22, 2, FALSE), ""!C3:R29"")), {3;8;14;20}, FALSE)), 'Player Overall Stats Unsorted'!$AA$9:$AA$12), ""=X"")) + (4 - COU"&amp;"NTIF(IFERROR(ARRAYFORMULA(HLOOKUP($B88, IMPORTRANGE('Prelim Rankings Unsorted'!$B$41, CONCAT(VLOOKUP($C88, 'Match Names'!$A$1:$D$22, 3, FALSE), ""!C3:R29"")), {4;10;16;22}, FALSE)), 'Player Overall Stats Unsorted'!$AA$9:$AA$12), ""=X"")) + (4 - COUNTIF(IF"&amp;"ERROR(ARRAYFORMULA(HLOOKUP($B88, IMPORTRANGE('Prelim Rankings Unsorted'!$B$42, CONCAT(VLOOKUP($C88, 'Match Names'!$A$1:$D$22, 4, FALSE), ""!C3:R29"")), {2;8;14;20}, FALSE)), 'Player Overall Stats Unsorted'!$AA$9:$AA$12), ""=X"")) + (4 - COUNTIF(IFERROR(AR"&amp;"RAYFORMULA(HLOOKUP($B88, IMPORTRANGE('Match Names'!$E$23, CONCAT(VLOOKUP($C88, 'Match Names'!$1:$22, 5, FALSE), ""!C3:R29"")), {3;7;18;23}, FALSE)), 'Player Overall Stats Unsorted'!$AA$9:$AA$12), ""=X"")) + (4 - COUNTIF(IFERROR(ARRAYFORMULA(HLOOKUP($B88, "&amp;"IMPORTRANGE('Match Names'!$F$23, CONCAT(VLOOKUP($C88, 'Match Names'!$1:$22, 6, FALSE), ""!C3:R29"")), {6;12;18;24}, FALSE)), 'Player Overall Stats Unsorted'!$AA$9:$AA$12), ""=X"")) + (4 - COUNTIF(IFERROR(ARRAYFORMULA(HLOOKUP($B88, IMPORTRANGE('Match Names"&amp;"'!$G$23, CONCAT(VLOOKUP($C88, 'Match Names'!$1:$22, 7, FALSE), ""!C3:R29"")), {2;7;17;21}, FALSE)), 'Player Overall Stats Unsorted'!$AA$9:$AA$12), ""=X"")) + (4 - COUNTIF(IFERROR(ARRAYFORMULA(HLOOKUP($B88, IMPORTRANGE('Match Names'!$H$23, CONCAT(VLOOKUP($"&amp;"C88, 'Match Names'!$1:$22, 8, FALSE), ""!C3:R29"")), {4;10;16;22}, FALSE)), 'Player Overall Stats Unsorted'!$AA$9:$AA$12), ""=X""))"),0.0)</f>
        <v>0</v>
      </c>
      <c r="E88" s="9">
        <f>IFERROR(__xludf.DUMMYFUNCTION("COUNTIF(ARRAYFORMULA(HLOOKUP($B88, IMPORTRANGE('Prelim Rankings Unsorted'!$B$40, CONCAT(VLOOKUP($C88, 'Match Names'!$A$1:$D$22, 2, FALSE), ""!C3:R29"")), {3;8;14;20}, FALSE)), ""=4"") + COUNTIF(ARRAYFORMULA(HLOOKUP($B88, IMPORTRANGE('Prelim Rankings Unsor"&amp;"ted'!$B$41, CONCAT(VLOOKUP($C88, 'Match Names'!$A$1:$D$22, 3, FALSE), ""!C3:R29"")), {4;10;16;22}, FALSE)), ""=4"") + COUNTIF(ARRAYFORMULA(HLOOKUP($B88, IMPORTRANGE('Prelim Rankings Unsorted'!$B$42, CONCAT(VLOOKUP($C88, 'Match Names'!$A$1:$D$22, 4, FALSE)"&amp;", ""!C3:R29"")), {2;8;14;20}, FALSE)), ""=4"") + COUNTIF(ARRAYFORMULA(HLOOKUP($B88, IMPORTRANGE('Match Names'!$E$23, CONCAT(VLOOKUP($C88, 'Match Names'!$1:$22, 5, FALSE), ""!C3:R29"")), {3;7;18;23}, FALSE)), ""=4"") + COUNTIF(ARRAYFORMULA(HLOOKUP($B88, IM"&amp;"PORTRANGE('Match Names'!$F$23, CONCAT(VLOOKUP($C88, 'Match Names'!$1:$22, 6, FALSE), ""!C3:R29"")), {6;12;18;24}, FALSE)), ""=4"") + COUNTIF(ARRAYFORMULA(HLOOKUP($B88, IMPORTRANGE('Match Names'!$G$23, CONCAT(VLOOKUP($C88, 'Match Names'!$1:$22, 7, FALSE), "&amp;"""!C3:R29"")), {2;7;17;21}, FALSE)), ""=4"") + COUNTIF(ARRAYFORMULA(HLOOKUP($B88, IMPORTRANGE('Match Names'!$H$23, CONCAT(VLOOKUP($C88, 'Match Names'!$1:$22, 8, FALSE), ""!C3:R29"")), {4;10;16;22}, FALSE)), ""=4"")"),0.0)</f>
        <v>0</v>
      </c>
      <c r="F88" s="9">
        <f>IFERROR(__xludf.DUMMYFUNCTION("COUNTIF(ARRAYFORMULA(HLOOKUP($B88, IMPORTRANGE('Prelim Rankings Unsorted'!$B$40, CONCAT(VLOOKUP($C88, 'Match Names'!$A$1:$D$22, 2, FALSE), ""!C3:R29"")), {3;8;14;20}, FALSE)), ""=0"") + COUNTIF(ARRAYFORMULA(HLOOKUP($B88, IMPORTRANGE('Prelim Rankings Unsor"&amp;"ted'!$B$41, CONCAT(VLOOKUP($C88, 'Match Names'!$A$1:$D$22, 3, FALSE), ""!C3:R29"")), {4;10;16;22}, FALSE)), ""=0"") + COUNTIF(ARRAYFORMULA(HLOOKUP($B88, IMPORTRANGE('Prelim Rankings Unsorted'!$B$42, CONCAT(VLOOKUP($C88, 'Match Names'!$A$1:$D$22, 4, FALSE)"&amp;", ""!C3:R29"")), {2;8;14;20}, FALSE)), ""=0"") + COUNTIF(ARRAYFORMULA(HLOOKUP($B88, IMPORTRANGE('Match Names'!$E$23, CONCAT(VLOOKUP($C88, 'Match Names'!$1:$22, 5, FALSE), ""!C3:R29"")), {3;7;18;23}, FALSE)), ""=0"") + COUNTIF(ARRAYFORMULA(HLOOKUP($B88, IM"&amp;"PORTRANGE('Match Names'!$F$23, CONCAT(VLOOKUP($C88, 'Match Names'!$1:$22, 6, FALSE), ""!C3:R29"")), {6;12;18;24}, FALSE)), ""=0"") + COUNTIF(ARRAYFORMULA(HLOOKUP($B88, IMPORTRANGE('Match Names'!$G$23, CONCAT(VLOOKUP($C88, 'Match Names'!$1:$22, 7, FALSE), "&amp;"""!C3:R29"")), {2;7;17;21}, FALSE)), ""=0"") + COUNTIF(ARRAYFORMULA(HLOOKUP($B88, IMPORTRANGE('Match Names'!$H$23, CONCAT(VLOOKUP($C88, 'Match Names'!$1:$22, 8, FALSE), ""!C3:R29"")), {4;10;16;22}, FALSE)), ""=0"")"),0.0)</f>
        <v>0</v>
      </c>
      <c r="G88" s="9">
        <f>IFERROR(__xludf.DUMMYFUNCTION("COUNTIF(ARRAYFORMULA(HLOOKUP($B88, IMPORTRANGE('Prelim Rankings Unsorted'!$B$40, CONCAT(VLOOKUP($C88, 'Match Names'!$A$1:$D$22, 2, FALSE), ""!C3:R29"")), {3;8;14;20}, FALSE)), ""=-4"") + COUNTIF(ARRAYFORMULA(HLOOKUP($B88, IMPORTRANGE('Prelim Rankings Unso"&amp;"rted'!$B$41, CONCAT(VLOOKUP($C88, 'Match Names'!$A$1:$D$22, 3, FALSE), ""!C3:R29"")), {4;10;16;22}, FALSE)), ""=-4"") + COUNTIF(ARRAYFORMULA(HLOOKUP($B88, IMPORTRANGE('Prelim Rankings Unsorted'!$B$42, CONCAT(VLOOKUP($C88, 'Match Names'!$A$1:$D$22, 4, FALS"&amp;"E), ""!C3:R29"")), {2;8;14;20}, FALSE)), ""=-4"") + COUNTIF(ARRAYFORMULA(HLOOKUP($B88, IMPORTRANGE('Match Names'!$E$23, CONCAT(VLOOKUP($C88, 'Match Names'!$1:$22, 5, FALSE), ""!C3:R29"")), {3;7;18;23}, FALSE)), ""=-4"") + COUNTIF(ARRAYFORMULA(HLOOKUP($B88"&amp;", IMPORTRANGE('Match Names'!$F$23, CONCAT(VLOOKUP($C88, 'Match Names'!$1:$22, 6, FALSE), ""!C3:R29"")), {6;12;18;24}, FALSE)), ""=-4"") + COUNTIF(ARRAYFORMULA(HLOOKUP($B88, IMPORTRANGE('Match Names'!$G$23, CONCAT(VLOOKUP($C88, 'Match Names'!$1:$22, 7, FAL"&amp;"SE), ""!C3:R29"")), {2;7;17;21}, FALSE)), ""=-4"") + COUNTIF(ARRAYFORMULA(HLOOKUP($B88, IMPORTRANGE('Match Names'!$H$23, CONCAT(VLOOKUP($C88, 'Match Names'!$1:$22, 8, FALSE), ""!C3:R29"")), {4;10;16;22}, FALSE)), ""=-4"")"),0.0)</f>
        <v>0</v>
      </c>
      <c r="H88" s="39">
        <f t="shared" si="1"/>
        <v>0</v>
      </c>
    </row>
    <row r="89">
      <c r="A89" s="38" t="s">
        <v>117</v>
      </c>
      <c r="B89" s="38" t="str">
        <f>VLOOKUP(CONCAT(A89, C89), 'Discord Username to Real Name'!C:D, 2, FALSE)</f>
        <v>the-wraith#2013</v>
      </c>
      <c r="C89" s="38" t="s">
        <v>18</v>
      </c>
      <c r="D89" s="9">
        <f>IFERROR(__xludf.DUMMYFUNCTION("(4 - COUNTIF(IFERROR(ARRAYFORMULA(HLOOKUP($B89, IMPORTRANGE('Prelim Rankings Unsorted'!$B$40, CONCAT(VLOOKUP($C89, 'Match Names'!$A$1:$D$22, 2, FALSE), ""!C3:R29"")), {3;8;14;20}, FALSE)), 'Player Overall Stats Unsorted'!$AA$9:$AA$12), ""=X"")) + (4 - COU"&amp;"NTIF(IFERROR(ARRAYFORMULA(HLOOKUP($B89, IMPORTRANGE('Prelim Rankings Unsorted'!$B$41, CONCAT(VLOOKUP($C89, 'Match Names'!$A$1:$D$22, 3, FALSE), ""!C3:R29"")), {4;10;16;22}, FALSE)), 'Player Overall Stats Unsorted'!$AA$9:$AA$12), ""=X"")) + (4 - COUNTIF(IF"&amp;"ERROR(ARRAYFORMULA(HLOOKUP($B89, IMPORTRANGE('Prelim Rankings Unsorted'!$B$42, CONCAT(VLOOKUP($C89, 'Match Names'!$A$1:$D$22, 4, FALSE), ""!C3:R29"")), {2;8;14;20}, FALSE)), 'Player Overall Stats Unsorted'!$AA$9:$AA$12), ""=X"")) + (4 - COUNTIF(IFERROR(AR"&amp;"RAYFORMULA(HLOOKUP($B89, IMPORTRANGE('Match Names'!$E$23, CONCAT(VLOOKUP($C89, 'Match Names'!$1:$22, 5, FALSE), ""!C3:R29"")), {3;7;18;23}, FALSE)), 'Player Overall Stats Unsorted'!$AA$9:$AA$12), ""=X"")) + (4 - COUNTIF(IFERROR(ARRAYFORMULA(HLOOKUP($B89, "&amp;"IMPORTRANGE('Match Names'!$F$23, CONCAT(VLOOKUP($C89, 'Match Names'!$1:$22, 6, FALSE), ""!C3:R29"")), {6;12;18;24}, FALSE)), 'Player Overall Stats Unsorted'!$AA$9:$AA$12), ""=X"")) + (4 - COUNTIF(IFERROR(ARRAYFORMULA(HLOOKUP($B89, IMPORTRANGE('Match Names"&amp;"'!$G$23, CONCAT(VLOOKUP($C89, 'Match Names'!$1:$22, 7, FALSE), ""!C3:R29"")), {2;7;17;21}, FALSE)), 'Player Overall Stats Unsorted'!$AA$9:$AA$12), ""=X"")) + (4 - COUNTIF(IFERROR(ARRAYFORMULA(HLOOKUP($B89, IMPORTRANGE('Match Names'!$H$23, CONCAT(VLOOKUP($"&amp;"C89, 'Match Names'!$1:$22, 8, FALSE), ""!C3:R29"")), {4;10;16;22}, FALSE)), 'Player Overall Stats Unsorted'!$AA$9:$AA$12), ""=X""))"),20.0)</f>
        <v>20</v>
      </c>
      <c r="E89" s="9">
        <f>IFERROR(__xludf.DUMMYFUNCTION("COUNTIF(ARRAYFORMULA(HLOOKUP($B89, IMPORTRANGE('Prelim Rankings Unsorted'!$B$40, CONCAT(VLOOKUP($C89, 'Match Names'!$A$1:$D$22, 2, FALSE), ""!C3:R29"")), {3;8;14;20}, FALSE)), ""=4"") + COUNTIF(ARRAYFORMULA(HLOOKUP($B89, IMPORTRANGE('Prelim Rankings Unsor"&amp;"ted'!$B$41, CONCAT(VLOOKUP($C89, 'Match Names'!$A$1:$D$22, 3, FALSE), ""!C3:R29"")), {4;10;16;22}, FALSE)), ""=4"") + COUNTIF(ARRAYFORMULA(HLOOKUP($B89, IMPORTRANGE('Prelim Rankings Unsorted'!$B$42, CONCAT(VLOOKUP($C89, 'Match Names'!$A$1:$D$22, 4, FALSE)"&amp;", ""!C3:R29"")), {2;8;14;20}, FALSE)), ""=4"") + COUNTIF(ARRAYFORMULA(HLOOKUP($B89, IMPORTRANGE('Match Names'!$E$23, CONCAT(VLOOKUP($C89, 'Match Names'!$1:$22, 5, FALSE), ""!C3:R29"")), {3;7;18;23}, FALSE)), ""=4"") + COUNTIF(ARRAYFORMULA(HLOOKUP($B89, IM"&amp;"PORTRANGE('Match Names'!$F$23, CONCAT(VLOOKUP($C89, 'Match Names'!$1:$22, 6, FALSE), ""!C3:R29"")), {6;12;18;24}, FALSE)), ""=4"") + COUNTIF(ARRAYFORMULA(HLOOKUP($B89, IMPORTRANGE('Match Names'!$G$23, CONCAT(VLOOKUP($C89, 'Match Names'!$1:$22, 7, FALSE), "&amp;"""!C3:R29"")), {2;7;17;21}, FALSE)), ""=4"") + COUNTIF(ARRAYFORMULA(HLOOKUP($B89, IMPORTRANGE('Match Names'!$H$23, CONCAT(VLOOKUP($C89, 'Match Names'!$1:$22, 8, FALSE), ""!C3:R29"")), {4;10;16;22}, FALSE)), ""=4"")"),7.0)</f>
        <v>7</v>
      </c>
      <c r="F89" s="9">
        <f>IFERROR(__xludf.DUMMYFUNCTION("COUNTIF(ARRAYFORMULA(HLOOKUP($B89, IMPORTRANGE('Prelim Rankings Unsorted'!$B$40, CONCAT(VLOOKUP($C89, 'Match Names'!$A$1:$D$22, 2, FALSE), ""!C3:R29"")), {3;8;14;20}, FALSE)), ""=0"") + COUNTIF(ARRAYFORMULA(HLOOKUP($B89, IMPORTRANGE('Prelim Rankings Unsor"&amp;"ted'!$B$41, CONCAT(VLOOKUP($C89, 'Match Names'!$A$1:$D$22, 3, FALSE), ""!C3:R29"")), {4;10;16;22}, FALSE)), ""=0"") + COUNTIF(ARRAYFORMULA(HLOOKUP($B89, IMPORTRANGE('Prelim Rankings Unsorted'!$B$42, CONCAT(VLOOKUP($C89, 'Match Names'!$A$1:$D$22, 4, FALSE)"&amp;", ""!C3:R29"")), {2;8;14;20}, FALSE)), ""=0"") + COUNTIF(ARRAYFORMULA(HLOOKUP($B89, IMPORTRANGE('Match Names'!$E$23, CONCAT(VLOOKUP($C89, 'Match Names'!$1:$22, 5, FALSE), ""!C3:R29"")), {3;7;18;23}, FALSE)), ""=0"") + COUNTIF(ARRAYFORMULA(HLOOKUP($B89, IM"&amp;"PORTRANGE('Match Names'!$F$23, CONCAT(VLOOKUP($C89, 'Match Names'!$1:$22, 6, FALSE), ""!C3:R29"")), {6;12;18;24}, FALSE)), ""=0"") + COUNTIF(ARRAYFORMULA(HLOOKUP($B89, IMPORTRANGE('Match Names'!$G$23, CONCAT(VLOOKUP($C89, 'Match Names'!$1:$22, 7, FALSE), "&amp;"""!C3:R29"")), {2;7;17;21}, FALSE)), ""=0"") + COUNTIF(ARRAYFORMULA(HLOOKUP($B89, IMPORTRANGE('Match Names'!$H$23, CONCAT(VLOOKUP($C89, 'Match Names'!$1:$22, 8, FALSE), ""!C3:R29"")), {4;10;16;22}, FALSE)), ""=0"")"),4.0)</f>
        <v>4</v>
      </c>
      <c r="G89" s="9">
        <f>IFERROR(__xludf.DUMMYFUNCTION("COUNTIF(ARRAYFORMULA(HLOOKUP($B89, IMPORTRANGE('Prelim Rankings Unsorted'!$B$40, CONCAT(VLOOKUP($C89, 'Match Names'!$A$1:$D$22, 2, FALSE), ""!C3:R29"")), {3;8;14;20}, FALSE)), ""=-4"") + COUNTIF(ARRAYFORMULA(HLOOKUP($B89, IMPORTRANGE('Prelim Rankings Unso"&amp;"rted'!$B$41, CONCAT(VLOOKUP($C89, 'Match Names'!$A$1:$D$22, 3, FALSE), ""!C3:R29"")), {4;10;16;22}, FALSE)), ""=-4"") + COUNTIF(ARRAYFORMULA(HLOOKUP($B89, IMPORTRANGE('Prelim Rankings Unsorted'!$B$42, CONCAT(VLOOKUP($C89, 'Match Names'!$A$1:$D$22, 4, FALS"&amp;"E), ""!C3:R29"")), {2;8;14;20}, FALSE)), ""=-4"") + COUNTIF(ARRAYFORMULA(HLOOKUP($B89, IMPORTRANGE('Match Names'!$E$23, CONCAT(VLOOKUP($C89, 'Match Names'!$1:$22, 5, FALSE), ""!C3:R29"")), {3;7;18;23}, FALSE)), ""=-4"") + COUNTIF(ARRAYFORMULA(HLOOKUP($B89"&amp;", IMPORTRANGE('Match Names'!$F$23, CONCAT(VLOOKUP($C89, 'Match Names'!$1:$22, 6, FALSE), ""!C3:R29"")), {6;12;18;24}, FALSE)), ""=-4"") + COUNTIF(ARRAYFORMULA(HLOOKUP($B89, IMPORTRANGE('Match Names'!$G$23, CONCAT(VLOOKUP($C89, 'Match Names'!$1:$22, 7, FAL"&amp;"SE), ""!C3:R29"")), {2;7;17;21}, FALSE)), ""=-4"") + COUNTIF(ARRAYFORMULA(HLOOKUP($B89, IMPORTRANGE('Match Names'!$H$23, CONCAT(VLOOKUP($C89, 'Match Names'!$1:$22, 8, FALSE), ""!C3:R29"")), {4;10;16;22}, FALSE)), ""=-4"")"),0.0)</f>
        <v>0</v>
      </c>
      <c r="H89" s="39">
        <f t="shared" si="1"/>
        <v>5.6</v>
      </c>
    </row>
    <row r="90">
      <c r="A90" s="38" t="s">
        <v>78</v>
      </c>
      <c r="B90" s="38" t="str">
        <f>VLOOKUP(CONCAT(A90, C90), 'Discord Username to Real Name'!C:D, 2, FALSE)</f>
        <v>avaebe#2714</v>
      </c>
      <c r="C90" s="38" t="s">
        <v>18</v>
      </c>
      <c r="D90" s="9">
        <f>IFERROR(__xludf.DUMMYFUNCTION("(4 - COUNTIF(IFERROR(ARRAYFORMULA(HLOOKUP($B90, IMPORTRANGE('Prelim Rankings Unsorted'!$B$40, CONCAT(VLOOKUP($C90, 'Match Names'!$A$1:$D$22, 2, FALSE), ""!C3:R29"")), {3;8;14;20}, FALSE)), 'Player Overall Stats Unsorted'!$AA$9:$AA$12), ""=X"")) + (4 - COU"&amp;"NTIF(IFERROR(ARRAYFORMULA(HLOOKUP($B90, IMPORTRANGE('Prelim Rankings Unsorted'!$B$41, CONCAT(VLOOKUP($C90, 'Match Names'!$A$1:$D$22, 3, FALSE), ""!C3:R29"")), {4;10;16;22}, FALSE)), 'Player Overall Stats Unsorted'!$AA$9:$AA$12), ""=X"")) + (4 - COUNTIF(IF"&amp;"ERROR(ARRAYFORMULA(HLOOKUP($B90, IMPORTRANGE('Prelim Rankings Unsorted'!$B$42, CONCAT(VLOOKUP($C90, 'Match Names'!$A$1:$D$22, 4, FALSE), ""!C3:R29"")), {2;8;14;20}, FALSE)), 'Player Overall Stats Unsorted'!$AA$9:$AA$12), ""=X"")) + (4 - COUNTIF(IFERROR(AR"&amp;"RAYFORMULA(HLOOKUP($B90, IMPORTRANGE('Match Names'!$E$23, CONCAT(VLOOKUP($C90, 'Match Names'!$1:$22, 5, FALSE), ""!C3:R29"")), {3;7;18;23}, FALSE)), 'Player Overall Stats Unsorted'!$AA$9:$AA$12), ""=X"")) + (4 - COUNTIF(IFERROR(ARRAYFORMULA(HLOOKUP($B90, "&amp;"IMPORTRANGE('Match Names'!$F$23, CONCAT(VLOOKUP($C90, 'Match Names'!$1:$22, 6, FALSE), ""!C3:R29"")), {6;12;18;24}, FALSE)), 'Player Overall Stats Unsorted'!$AA$9:$AA$12), ""=X"")) + (4 - COUNTIF(IFERROR(ARRAYFORMULA(HLOOKUP($B90, IMPORTRANGE('Match Names"&amp;"'!$G$23, CONCAT(VLOOKUP($C90, 'Match Names'!$1:$22, 7, FALSE), ""!C3:R29"")), {2;7;17;21}, FALSE)), 'Player Overall Stats Unsorted'!$AA$9:$AA$12), ""=X"")) + (4 - COUNTIF(IFERROR(ARRAYFORMULA(HLOOKUP($B90, IMPORTRANGE('Match Names'!$H$23, CONCAT(VLOOKUP($"&amp;"C90, 'Match Names'!$1:$22, 8, FALSE), ""!C3:R29"")), {4;10;16;22}, FALSE)), 'Player Overall Stats Unsorted'!$AA$9:$AA$12), ""=X""))"),12.0)</f>
        <v>12</v>
      </c>
      <c r="E90" s="9">
        <f>IFERROR(__xludf.DUMMYFUNCTION("COUNTIF(ARRAYFORMULA(HLOOKUP($B90, IMPORTRANGE('Prelim Rankings Unsorted'!$B$40, CONCAT(VLOOKUP($C90, 'Match Names'!$A$1:$D$22, 2, FALSE), ""!C3:R29"")), {3;8;14;20}, FALSE)), ""=4"") + COUNTIF(ARRAYFORMULA(HLOOKUP($B90, IMPORTRANGE('Prelim Rankings Unsor"&amp;"ted'!$B$41, CONCAT(VLOOKUP($C90, 'Match Names'!$A$1:$D$22, 3, FALSE), ""!C3:R29"")), {4;10;16;22}, FALSE)), ""=4"") + COUNTIF(ARRAYFORMULA(HLOOKUP($B90, IMPORTRANGE('Prelim Rankings Unsorted'!$B$42, CONCAT(VLOOKUP($C90, 'Match Names'!$A$1:$D$22, 4, FALSE)"&amp;", ""!C3:R29"")), {2;8;14;20}, FALSE)), ""=4"") + COUNTIF(ARRAYFORMULA(HLOOKUP($B90, IMPORTRANGE('Match Names'!$E$23, CONCAT(VLOOKUP($C90, 'Match Names'!$1:$22, 5, FALSE), ""!C3:R29"")), {3;7;18;23}, FALSE)), ""=4"") + COUNTIF(ARRAYFORMULA(HLOOKUP($B90, IM"&amp;"PORTRANGE('Match Names'!$F$23, CONCAT(VLOOKUP($C90, 'Match Names'!$1:$22, 6, FALSE), ""!C3:R29"")), {6;12;18;24}, FALSE)), ""=4"") + COUNTIF(ARRAYFORMULA(HLOOKUP($B90, IMPORTRANGE('Match Names'!$G$23, CONCAT(VLOOKUP($C90, 'Match Names'!$1:$22, 7, FALSE), "&amp;"""!C3:R29"")), {2;7;17;21}, FALSE)), ""=4"") + COUNTIF(ARRAYFORMULA(HLOOKUP($B90, IMPORTRANGE('Match Names'!$H$23, CONCAT(VLOOKUP($C90, 'Match Names'!$1:$22, 8, FALSE), ""!C3:R29"")), {4;10;16;22}, FALSE)), ""=4"")"),0.0)</f>
        <v>0</v>
      </c>
      <c r="F90" s="9">
        <f>IFERROR(__xludf.DUMMYFUNCTION("COUNTIF(ARRAYFORMULA(HLOOKUP($B90, IMPORTRANGE('Prelim Rankings Unsorted'!$B$40, CONCAT(VLOOKUP($C90, 'Match Names'!$A$1:$D$22, 2, FALSE), ""!C3:R29"")), {3;8;14;20}, FALSE)), ""=0"") + COUNTIF(ARRAYFORMULA(HLOOKUP($B90, IMPORTRANGE('Prelim Rankings Unsor"&amp;"ted'!$B$41, CONCAT(VLOOKUP($C90, 'Match Names'!$A$1:$D$22, 3, FALSE), ""!C3:R29"")), {4;10;16;22}, FALSE)), ""=0"") + COUNTIF(ARRAYFORMULA(HLOOKUP($B90, IMPORTRANGE('Prelim Rankings Unsorted'!$B$42, CONCAT(VLOOKUP($C90, 'Match Names'!$A$1:$D$22, 4, FALSE)"&amp;", ""!C3:R29"")), {2;8;14;20}, FALSE)), ""=0"") + COUNTIF(ARRAYFORMULA(HLOOKUP($B90, IMPORTRANGE('Match Names'!$E$23, CONCAT(VLOOKUP($C90, 'Match Names'!$1:$22, 5, FALSE), ""!C3:R29"")), {3;7;18;23}, FALSE)), ""=0"") + COUNTIF(ARRAYFORMULA(HLOOKUP($B90, IM"&amp;"PORTRANGE('Match Names'!$F$23, CONCAT(VLOOKUP($C90, 'Match Names'!$1:$22, 6, FALSE), ""!C3:R29"")), {6;12;18;24}, FALSE)), ""=0"") + COUNTIF(ARRAYFORMULA(HLOOKUP($B90, IMPORTRANGE('Match Names'!$G$23, CONCAT(VLOOKUP($C90, 'Match Names'!$1:$22, 7, FALSE), "&amp;"""!C3:R29"")), {2;7;17;21}, FALSE)), ""=0"") + COUNTIF(ARRAYFORMULA(HLOOKUP($B90, IMPORTRANGE('Match Names'!$H$23, CONCAT(VLOOKUP($C90, 'Match Names'!$1:$22, 8, FALSE), ""!C3:R29"")), {4;10;16;22}, FALSE)), ""=0"")"),0.0)</f>
        <v>0</v>
      </c>
      <c r="G90" s="9">
        <f>IFERROR(__xludf.DUMMYFUNCTION("COUNTIF(ARRAYFORMULA(HLOOKUP($B90, IMPORTRANGE('Prelim Rankings Unsorted'!$B$40, CONCAT(VLOOKUP($C90, 'Match Names'!$A$1:$D$22, 2, FALSE), ""!C3:R29"")), {3;8;14;20}, FALSE)), ""=-4"") + COUNTIF(ARRAYFORMULA(HLOOKUP($B90, IMPORTRANGE('Prelim Rankings Unso"&amp;"rted'!$B$41, CONCAT(VLOOKUP($C90, 'Match Names'!$A$1:$D$22, 3, FALSE), ""!C3:R29"")), {4;10;16;22}, FALSE)), ""=-4"") + COUNTIF(ARRAYFORMULA(HLOOKUP($B90, IMPORTRANGE('Prelim Rankings Unsorted'!$B$42, CONCAT(VLOOKUP($C90, 'Match Names'!$A$1:$D$22, 4, FALS"&amp;"E), ""!C3:R29"")), {2;8;14;20}, FALSE)), ""=-4"") + COUNTIF(ARRAYFORMULA(HLOOKUP($B90, IMPORTRANGE('Match Names'!$E$23, CONCAT(VLOOKUP($C90, 'Match Names'!$1:$22, 5, FALSE), ""!C3:R29"")), {3;7;18;23}, FALSE)), ""=-4"") + COUNTIF(ARRAYFORMULA(HLOOKUP($B90"&amp;", IMPORTRANGE('Match Names'!$F$23, CONCAT(VLOOKUP($C90, 'Match Names'!$1:$22, 6, FALSE), ""!C3:R29"")), {6;12;18;24}, FALSE)), ""=-4"") + COUNTIF(ARRAYFORMULA(HLOOKUP($B90, IMPORTRANGE('Match Names'!$G$23, CONCAT(VLOOKUP($C90, 'Match Names'!$1:$22, 7, FAL"&amp;"SE), ""!C3:R29"")), {2;7;17;21}, FALSE)), ""=-4"") + COUNTIF(ARRAYFORMULA(HLOOKUP($B90, IMPORTRANGE('Match Names'!$H$23, CONCAT(VLOOKUP($C90, 'Match Names'!$1:$22, 8, FALSE), ""!C3:R29"")), {4;10;16;22}, FALSE)), ""=-4"")"),0.0)</f>
        <v>0</v>
      </c>
      <c r="H90" s="39">
        <f t="shared" si="1"/>
        <v>0</v>
      </c>
    </row>
    <row r="91">
      <c r="A91" s="38" t="s">
        <v>70</v>
      </c>
      <c r="B91" s="38" t="str">
        <f>VLOOKUP(CONCAT(A91, C91), 'Discord Username to Real Name'!C:D, 2, FALSE)</f>
        <v>aloevera42#2760</v>
      </c>
      <c r="C91" s="38" t="s">
        <v>28</v>
      </c>
      <c r="D91" s="9">
        <f>IFERROR(__xludf.DUMMYFUNCTION("(4 - COUNTIF(IFERROR(ARRAYFORMULA(HLOOKUP($B91, IMPORTRANGE('Prelim Rankings Unsorted'!$B$40, CONCAT(VLOOKUP($C91, 'Match Names'!$A$1:$D$22, 2, FALSE), ""!C3:R29"")), {3;8;14;20}, FALSE)), 'Player Overall Stats Unsorted'!$AA$9:$AA$12), ""=X"")) + (4 - COU"&amp;"NTIF(IFERROR(ARRAYFORMULA(HLOOKUP($B91, IMPORTRANGE('Prelim Rankings Unsorted'!$B$41, CONCAT(VLOOKUP($C91, 'Match Names'!$A$1:$D$22, 3, FALSE), ""!C3:R29"")), {4;10;16;22}, FALSE)), 'Player Overall Stats Unsorted'!$AA$9:$AA$12), ""=X"")) + (4 - COUNTIF(IF"&amp;"ERROR(ARRAYFORMULA(HLOOKUP($B91, IMPORTRANGE('Prelim Rankings Unsorted'!$B$42, CONCAT(VLOOKUP($C91, 'Match Names'!$A$1:$D$22, 4, FALSE), ""!C3:R29"")), {2;8;14;20}, FALSE)), 'Player Overall Stats Unsorted'!$AA$9:$AA$12), ""=X"")) + (4 - COUNTIF(IFERROR(AR"&amp;"RAYFORMULA(HLOOKUP($B91, IMPORTRANGE('Match Names'!$E$23, CONCAT(VLOOKUP($C91, 'Match Names'!$1:$22, 5, FALSE), ""!C3:R29"")), {3;7;18;23}, FALSE)), 'Player Overall Stats Unsorted'!$AA$9:$AA$12), ""=X"")) + (4 - COUNTIF(IFERROR(ARRAYFORMULA(HLOOKUP($B91, "&amp;"IMPORTRANGE('Match Names'!$F$23, CONCAT(VLOOKUP($C91, 'Match Names'!$1:$22, 6, FALSE), ""!C3:R29"")), {6;12;18;24}, FALSE)), 'Player Overall Stats Unsorted'!$AA$9:$AA$12), ""=X"")) + (4 - COUNTIF(IFERROR(ARRAYFORMULA(HLOOKUP($B91, IMPORTRANGE('Match Names"&amp;"'!$G$23, CONCAT(VLOOKUP($C91, 'Match Names'!$1:$22, 7, FALSE), ""!C3:R29"")), {2;7;17;21}, FALSE)), 'Player Overall Stats Unsorted'!$AA$9:$AA$12), ""=X"")) + (4 - COUNTIF(IFERROR(ARRAYFORMULA(HLOOKUP($B91, IMPORTRANGE('Match Names'!$H$23, CONCAT(VLOOKUP($"&amp;"C91, 'Match Names'!$1:$22, 8, FALSE), ""!C3:R29"")), {4;10;16;22}, FALSE)), 'Player Overall Stats Unsorted'!$AA$9:$AA$12), ""=X""))"),16.0)</f>
        <v>16</v>
      </c>
      <c r="E91" s="9">
        <f>IFERROR(__xludf.DUMMYFUNCTION("COUNTIF(ARRAYFORMULA(HLOOKUP($B91, IMPORTRANGE('Prelim Rankings Unsorted'!$B$40, CONCAT(VLOOKUP($C91, 'Match Names'!$A$1:$D$22, 2, FALSE), ""!C3:R29"")), {3;8;14;20}, FALSE)), ""=4"") + COUNTIF(ARRAYFORMULA(HLOOKUP($B91, IMPORTRANGE('Prelim Rankings Unsor"&amp;"ted'!$B$41, CONCAT(VLOOKUP($C91, 'Match Names'!$A$1:$D$22, 3, FALSE), ""!C3:R29"")), {4;10;16;22}, FALSE)), ""=4"") + COUNTIF(ARRAYFORMULA(HLOOKUP($B91, IMPORTRANGE('Prelim Rankings Unsorted'!$B$42, CONCAT(VLOOKUP($C91, 'Match Names'!$A$1:$D$22, 4, FALSE)"&amp;", ""!C3:R29"")), {2;8;14;20}, FALSE)), ""=4"") + COUNTIF(ARRAYFORMULA(HLOOKUP($B91, IMPORTRANGE('Match Names'!$E$23, CONCAT(VLOOKUP($C91, 'Match Names'!$1:$22, 5, FALSE), ""!C3:R29"")), {3;7;18;23}, FALSE)), ""=4"") + COUNTIF(ARRAYFORMULA(HLOOKUP($B91, IM"&amp;"PORTRANGE('Match Names'!$F$23, CONCAT(VLOOKUP($C91, 'Match Names'!$1:$22, 6, FALSE), ""!C3:R29"")), {6;12;18;24}, FALSE)), ""=4"") + COUNTIF(ARRAYFORMULA(HLOOKUP($B91, IMPORTRANGE('Match Names'!$G$23, CONCAT(VLOOKUP($C91, 'Match Names'!$1:$22, 7, FALSE), "&amp;"""!C3:R29"")), {2;7;17;21}, FALSE)), ""=4"") + COUNTIF(ARRAYFORMULA(HLOOKUP($B91, IMPORTRANGE('Match Names'!$H$23, CONCAT(VLOOKUP($C91, 'Match Names'!$1:$22, 8, FALSE), ""!C3:R29"")), {4;10;16;22}, FALSE)), ""=4"")"),0.0)</f>
        <v>0</v>
      </c>
      <c r="F91" s="9">
        <f>IFERROR(__xludf.DUMMYFUNCTION("COUNTIF(ARRAYFORMULA(HLOOKUP($B91, IMPORTRANGE('Prelim Rankings Unsorted'!$B$40, CONCAT(VLOOKUP($C91, 'Match Names'!$A$1:$D$22, 2, FALSE), ""!C3:R29"")), {3;8;14;20}, FALSE)), ""=0"") + COUNTIF(ARRAYFORMULA(HLOOKUP($B91, IMPORTRANGE('Prelim Rankings Unsor"&amp;"ted'!$B$41, CONCAT(VLOOKUP($C91, 'Match Names'!$A$1:$D$22, 3, FALSE), ""!C3:R29"")), {4;10;16;22}, FALSE)), ""=0"") + COUNTIF(ARRAYFORMULA(HLOOKUP($B91, IMPORTRANGE('Prelim Rankings Unsorted'!$B$42, CONCAT(VLOOKUP($C91, 'Match Names'!$A$1:$D$22, 4, FALSE)"&amp;", ""!C3:R29"")), {2;8;14;20}, FALSE)), ""=0"") + COUNTIF(ARRAYFORMULA(HLOOKUP($B91, IMPORTRANGE('Match Names'!$E$23, CONCAT(VLOOKUP($C91, 'Match Names'!$1:$22, 5, FALSE), ""!C3:R29"")), {3;7;18;23}, FALSE)), ""=0"") + COUNTIF(ARRAYFORMULA(HLOOKUP($B91, IM"&amp;"PORTRANGE('Match Names'!$F$23, CONCAT(VLOOKUP($C91, 'Match Names'!$1:$22, 6, FALSE), ""!C3:R29"")), {6;12;18;24}, FALSE)), ""=0"") + COUNTIF(ARRAYFORMULA(HLOOKUP($B91, IMPORTRANGE('Match Names'!$G$23, CONCAT(VLOOKUP($C91, 'Match Names'!$1:$22, 7, FALSE), "&amp;"""!C3:R29"")), {2;7;17;21}, FALSE)), ""=0"") + COUNTIF(ARRAYFORMULA(HLOOKUP($B91, IMPORTRANGE('Match Names'!$H$23, CONCAT(VLOOKUP($C91, 'Match Names'!$1:$22, 8, FALSE), ""!C3:R29"")), {4;10;16;22}, FALSE)), ""=0"")"),1.0)</f>
        <v>1</v>
      </c>
      <c r="G91" s="9">
        <f>IFERROR(__xludf.DUMMYFUNCTION("COUNTIF(ARRAYFORMULA(HLOOKUP($B91, IMPORTRANGE('Prelim Rankings Unsorted'!$B$40, CONCAT(VLOOKUP($C91, 'Match Names'!$A$1:$D$22, 2, FALSE), ""!C3:R29"")), {3;8;14;20}, FALSE)), ""=-4"") + COUNTIF(ARRAYFORMULA(HLOOKUP($B91, IMPORTRANGE('Prelim Rankings Unso"&amp;"rted'!$B$41, CONCAT(VLOOKUP($C91, 'Match Names'!$A$1:$D$22, 3, FALSE), ""!C3:R29"")), {4;10;16;22}, FALSE)), ""=-4"") + COUNTIF(ARRAYFORMULA(HLOOKUP($B91, IMPORTRANGE('Prelim Rankings Unsorted'!$B$42, CONCAT(VLOOKUP($C91, 'Match Names'!$A$1:$D$22, 4, FALS"&amp;"E), ""!C3:R29"")), {2;8;14;20}, FALSE)), ""=-4"") + COUNTIF(ARRAYFORMULA(HLOOKUP($B91, IMPORTRANGE('Match Names'!$E$23, CONCAT(VLOOKUP($C91, 'Match Names'!$1:$22, 5, FALSE), ""!C3:R29"")), {3;7;18;23}, FALSE)), ""=-4"") + COUNTIF(ARRAYFORMULA(HLOOKUP($B91"&amp;", IMPORTRANGE('Match Names'!$F$23, CONCAT(VLOOKUP($C91, 'Match Names'!$1:$22, 6, FALSE), ""!C3:R29"")), {6;12;18;24}, FALSE)), ""=-4"") + COUNTIF(ARRAYFORMULA(HLOOKUP($B91, IMPORTRANGE('Match Names'!$G$23, CONCAT(VLOOKUP($C91, 'Match Names'!$1:$22, 7, FAL"&amp;"SE), ""!C3:R29"")), {2;7;17;21}, FALSE)), ""=-4"") + COUNTIF(ARRAYFORMULA(HLOOKUP($B91, IMPORTRANGE('Match Names'!$H$23, CONCAT(VLOOKUP($C91, 'Match Names'!$1:$22, 8, FALSE), ""!C3:R29"")), {4;10;16;22}, FALSE)), ""=-4"")"),0.0)</f>
        <v>0</v>
      </c>
      <c r="H91" s="39">
        <f t="shared" si="1"/>
        <v>0</v>
      </c>
    </row>
    <row r="92">
      <c r="A92" s="38" t="s">
        <v>69</v>
      </c>
      <c r="B92" s="38" t="str">
        <f>VLOOKUP(CONCAT(A92, C92), 'Discord Username to Real Name'!C:D, 2, FALSE)</f>
        <v>Cows#0460</v>
      </c>
      <c r="C92" s="38" t="s">
        <v>28</v>
      </c>
      <c r="D92" s="9">
        <f>IFERROR(__xludf.DUMMYFUNCTION("(4 - COUNTIF(IFERROR(ARRAYFORMULA(HLOOKUP($B92, IMPORTRANGE('Prelim Rankings Unsorted'!$B$40, CONCAT(VLOOKUP($C92, 'Match Names'!$A$1:$D$22, 2, FALSE), ""!C3:R29"")), {3;8;14;20}, FALSE)), 'Player Overall Stats Unsorted'!$AA$9:$AA$12), ""=X"")) + (4 - COU"&amp;"NTIF(IFERROR(ARRAYFORMULA(HLOOKUP($B92, IMPORTRANGE('Prelim Rankings Unsorted'!$B$41, CONCAT(VLOOKUP($C92, 'Match Names'!$A$1:$D$22, 3, FALSE), ""!C3:R29"")), {4;10;16;22}, FALSE)), 'Player Overall Stats Unsorted'!$AA$9:$AA$12), ""=X"")) + (4 - COUNTIF(IF"&amp;"ERROR(ARRAYFORMULA(HLOOKUP($B92, IMPORTRANGE('Prelim Rankings Unsorted'!$B$42, CONCAT(VLOOKUP($C92, 'Match Names'!$A$1:$D$22, 4, FALSE), ""!C3:R29"")), {2;8;14;20}, FALSE)), 'Player Overall Stats Unsorted'!$AA$9:$AA$12), ""=X"")) + (4 - COUNTIF(IFERROR(AR"&amp;"RAYFORMULA(HLOOKUP($B92, IMPORTRANGE('Match Names'!$E$23, CONCAT(VLOOKUP($C92, 'Match Names'!$1:$22, 5, FALSE), ""!C3:R29"")), {3;7;18;23}, FALSE)), 'Player Overall Stats Unsorted'!$AA$9:$AA$12), ""=X"")) + (4 - COUNTIF(IFERROR(ARRAYFORMULA(HLOOKUP($B92, "&amp;"IMPORTRANGE('Match Names'!$F$23, CONCAT(VLOOKUP($C92, 'Match Names'!$1:$22, 6, FALSE), ""!C3:R29"")), {6;12;18;24}, FALSE)), 'Player Overall Stats Unsorted'!$AA$9:$AA$12), ""=X"")) + (4 - COUNTIF(IFERROR(ARRAYFORMULA(HLOOKUP($B92, IMPORTRANGE('Match Names"&amp;"'!$G$23, CONCAT(VLOOKUP($C92, 'Match Names'!$1:$22, 7, FALSE), ""!C3:R29"")), {2;7;17;21}, FALSE)), 'Player Overall Stats Unsorted'!$AA$9:$AA$12), ""=X"")) + (4 - COUNTIF(IFERROR(ARRAYFORMULA(HLOOKUP($B92, IMPORTRANGE('Match Names'!$H$23, CONCAT(VLOOKUP($"&amp;"C92, 'Match Names'!$1:$22, 8, FALSE), ""!C3:R29"")), {4;10;16;22}, FALSE)), 'Player Overall Stats Unsorted'!$AA$9:$AA$12), ""=X""))"),16.0)</f>
        <v>16</v>
      </c>
      <c r="E92" s="9">
        <f>IFERROR(__xludf.DUMMYFUNCTION("COUNTIF(ARRAYFORMULA(HLOOKUP($B92, IMPORTRANGE('Prelim Rankings Unsorted'!$B$40, CONCAT(VLOOKUP($C92, 'Match Names'!$A$1:$D$22, 2, FALSE), ""!C3:R29"")), {3;8;14;20}, FALSE)), ""=4"") + COUNTIF(ARRAYFORMULA(HLOOKUP($B92, IMPORTRANGE('Prelim Rankings Unsor"&amp;"ted'!$B$41, CONCAT(VLOOKUP($C92, 'Match Names'!$A$1:$D$22, 3, FALSE), ""!C3:R29"")), {4;10;16;22}, FALSE)), ""=4"") + COUNTIF(ARRAYFORMULA(HLOOKUP($B92, IMPORTRANGE('Prelim Rankings Unsorted'!$B$42, CONCAT(VLOOKUP($C92, 'Match Names'!$A$1:$D$22, 4, FALSE)"&amp;", ""!C3:R29"")), {2;8;14;20}, FALSE)), ""=4"") + COUNTIF(ARRAYFORMULA(HLOOKUP($B92, IMPORTRANGE('Match Names'!$E$23, CONCAT(VLOOKUP($C92, 'Match Names'!$1:$22, 5, FALSE), ""!C3:R29"")), {3;7;18;23}, FALSE)), ""=4"") + COUNTIF(ARRAYFORMULA(HLOOKUP($B92, IM"&amp;"PORTRANGE('Match Names'!$F$23, CONCAT(VLOOKUP($C92, 'Match Names'!$1:$22, 6, FALSE), ""!C3:R29"")), {6;12;18;24}, FALSE)), ""=4"") + COUNTIF(ARRAYFORMULA(HLOOKUP($B92, IMPORTRANGE('Match Names'!$G$23, CONCAT(VLOOKUP($C92, 'Match Names'!$1:$22, 7, FALSE), "&amp;"""!C3:R29"")), {2;7;17;21}, FALSE)), ""=4"") + COUNTIF(ARRAYFORMULA(HLOOKUP($B92, IMPORTRANGE('Match Names'!$H$23, CONCAT(VLOOKUP($C92, 'Match Names'!$1:$22, 8, FALSE), ""!C3:R29"")), {4;10;16;22}, FALSE)), ""=4"")"),3.0)</f>
        <v>3</v>
      </c>
      <c r="F92" s="9">
        <f>IFERROR(__xludf.DUMMYFUNCTION("COUNTIF(ARRAYFORMULA(HLOOKUP($B92, IMPORTRANGE('Prelim Rankings Unsorted'!$B$40, CONCAT(VLOOKUP($C92, 'Match Names'!$A$1:$D$22, 2, FALSE), ""!C3:R29"")), {3;8;14;20}, FALSE)), ""=0"") + COUNTIF(ARRAYFORMULA(HLOOKUP($B92, IMPORTRANGE('Prelim Rankings Unsor"&amp;"ted'!$B$41, CONCAT(VLOOKUP($C92, 'Match Names'!$A$1:$D$22, 3, FALSE), ""!C3:R29"")), {4;10;16;22}, FALSE)), ""=0"") + COUNTIF(ARRAYFORMULA(HLOOKUP($B92, IMPORTRANGE('Prelim Rankings Unsorted'!$B$42, CONCAT(VLOOKUP($C92, 'Match Names'!$A$1:$D$22, 4, FALSE)"&amp;", ""!C3:R29"")), {2;8;14;20}, FALSE)), ""=0"") + COUNTIF(ARRAYFORMULA(HLOOKUP($B92, IMPORTRANGE('Match Names'!$E$23, CONCAT(VLOOKUP($C92, 'Match Names'!$1:$22, 5, FALSE), ""!C3:R29"")), {3;7;18;23}, FALSE)), ""=0"") + COUNTIF(ARRAYFORMULA(HLOOKUP($B92, IM"&amp;"PORTRANGE('Match Names'!$F$23, CONCAT(VLOOKUP($C92, 'Match Names'!$1:$22, 6, FALSE), ""!C3:R29"")), {6;12;18;24}, FALSE)), ""=0"") + COUNTIF(ARRAYFORMULA(HLOOKUP($B92, IMPORTRANGE('Match Names'!$G$23, CONCAT(VLOOKUP($C92, 'Match Names'!$1:$22, 7, FALSE), "&amp;"""!C3:R29"")), {2;7;17;21}, FALSE)), ""=0"") + COUNTIF(ARRAYFORMULA(HLOOKUP($B92, IMPORTRANGE('Match Names'!$H$23, CONCAT(VLOOKUP($C92, 'Match Names'!$1:$22, 8, FALSE), ""!C3:R29"")), {4;10;16;22}, FALSE)), ""=0"")"),3.0)</f>
        <v>3</v>
      </c>
      <c r="G92" s="9">
        <f>IFERROR(__xludf.DUMMYFUNCTION("COUNTIF(ARRAYFORMULA(HLOOKUP($B92, IMPORTRANGE('Prelim Rankings Unsorted'!$B$40, CONCAT(VLOOKUP($C92, 'Match Names'!$A$1:$D$22, 2, FALSE), ""!C3:R29"")), {3;8;14;20}, FALSE)), ""=-4"") + COUNTIF(ARRAYFORMULA(HLOOKUP($B92, IMPORTRANGE('Prelim Rankings Unso"&amp;"rted'!$B$41, CONCAT(VLOOKUP($C92, 'Match Names'!$A$1:$D$22, 3, FALSE), ""!C3:R29"")), {4;10;16;22}, FALSE)), ""=-4"") + COUNTIF(ARRAYFORMULA(HLOOKUP($B92, IMPORTRANGE('Prelim Rankings Unsorted'!$B$42, CONCAT(VLOOKUP($C92, 'Match Names'!$A$1:$D$22, 4, FALS"&amp;"E), ""!C3:R29"")), {2;8;14;20}, FALSE)), ""=-4"") + COUNTIF(ARRAYFORMULA(HLOOKUP($B92, IMPORTRANGE('Match Names'!$E$23, CONCAT(VLOOKUP($C92, 'Match Names'!$1:$22, 5, FALSE), ""!C3:R29"")), {3;7;18;23}, FALSE)), ""=-4"") + COUNTIF(ARRAYFORMULA(HLOOKUP($B92"&amp;", IMPORTRANGE('Match Names'!$F$23, CONCAT(VLOOKUP($C92, 'Match Names'!$1:$22, 6, FALSE), ""!C3:R29"")), {6;12;18;24}, FALSE)), ""=-4"") + COUNTIF(ARRAYFORMULA(HLOOKUP($B92, IMPORTRANGE('Match Names'!$G$23, CONCAT(VLOOKUP($C92, 'Match Names'!$1:$22, 7, FAL"&amp;"SE), ""!C3:R29"")), {2;7;17;21}, FALSE)), ""=-4"") + COUNTIF(ARRAYFORMULA(HLOOKUP($B92, IMPORTRANGE('Match Names'!$H$23, CONCAT(VLOOKUP($C92, 'Match Names'!$1:$22, 8, FALSE), ""!C3:R29"")), {4;10;16;22}, FALSE)), ""=-4"")"),1.0)</f>
        <v>1</v>
      </c>
      <c r="H92" s="39">
        <f t="shared" si="1"/>
        <v>2</v>
      </c>
    </row>
    <row r="93">
      <c r="A93" s="38" t="s">
        <v>176</v>
      </c>
      <c r="B93" s="38" t="str">
        <f>VLOOKUP(CONCAT(A93, C93), 'Discord Username to Real Name'!C:D, 2, FALSE)</f>
        <v>aryc702#7517</v>
      </c>
      <c r="C93" s="38" t="s">
        <v>28</v>
      </c>
      <c r="D93" s="9">
        <f>IFERROR(__xludf.DUMMYFUNCTION("(4 - COUNTIF(IFERROR(ARRAYFORMULA(HLOOKUP($B93, IMPORTRANGE('Prelim Rankings Unsorted'!$B$40, CONCAT(VLOOKUP($C93, 'Match Names'!$A$1:$D$22, 2, FALSE), ""!C3:R29"")), {3;8;14;20}, FALSE)), 'Player Overall Stats Unsorted'!$AA$9:$AA$12), ""=X"")) + (4 - COU"&amp;"NTIF(IFERROR(ARRAYFORMULA(HLOOKUP($B93, IMPORTRANGE('Prelim Rankings Unsorted'!$B$41, CONCAT(VLOOKUP($C93, 'Match Names'!$A$1:$D$22, 3, FALSE), ""!C3:R29"")), {4;10;16;22}, FALSE)), 'Player Overall Stats Unsorted'!$AA$9:$AA$12), ""=X"")) + (4 - COUNTIF(IF"&amp;"ERROR(ARRAYFORMULA(HLOOKUP($B93, IMPORTRANGE('Prelim Rankings Unsorted'!$B$42, CONCAT(VLOOKUP($C93, 'Match Names'!$A$1:$D$22, 4, FALSE), ""!C3:R29"")), {2;8;14;20}, FALSE)), 'Player Overall Stats Unsorted'!$AA$9:$AA$12), ""=X"")) + (4 - COUNTIF(IFERROR(AR"&amp;"RAYFORMULA(HLOOKUP($B93, IMPORTRANGE('Match Names'!$E$23, CONCAT(VLOOKUP($C93, 'Match Names'!$1:$22, 5, FALSE), ""!C3:R29"")), {3;7;18;23}, FALSE)), 'Player Overall Stats Unsorted'!$AA$9:$AA$12), ""=X"")) + (4 - COUNTIF(IFERROR(ARRAYFORMULA(HLOOKUP($B93, "&amp;"IMPORTRANGE('Match Names'!$F$23, CONCAT(VLOOKUP($C93, 'Match Names'!$1:$22, 6, FALSE), ""!C3:R29"")), {6;12;18;24}, FALSE)), 'Player Overall Stats Unsorted'!$AA$9:$AA$12), ""=X"")) + (4 - COUNTIF(IFERROR(ARRAYFORMULA(HLOOKUP($B93, IMPORTRANGE('Match Names"&amp;"'!$G$23, CONCAT(VLOOKUP($C93, 'Match Names'!$1:$22, 7, FALSE), ""!C3:R29"")), {2;7;17;21}, FALSE)), 'Player Overall Stats Unsorted'!$AA$9:$AA$12), ""=X"")) + (4 - COUNTIF(IFERROR(ARRAYFORMULA(HLOOKUP($B93, IMPORTRANGE('Match Names'!$H$23, CONCAT(VLOOKUP($"&amp;"C93, 'Match Names'!$1:$22, 8, FALSE), ""!C3:R29"")), {4;10;16;22}, FALSE)), 'Player Overall Stats Unsorted'!$AA$9:$AA$12), ""=X""))"),12.0)</f>
        <v>12</v>
      </c>
      <c r="E93" s="9">
        <f>IFERROR(__xludf.DUMMYFUNCTION("COUNTIF(ARRAYFORMULA(HLOOKUP($B93, IMPORTRANGE('Prelim Rankings Unsorted'!$B$40, CONCAT(VLOOKUP($C93, 'Match Names'!$A$1:$D$22, 2, FALSE), ""!C3:R29"")), {3;8;14;20}, FALSE)), ""=4"") + COUNTIF(ARRAYFORMULA(HLOOKUP($B93, IMPORTRANGE('Prelim Rankings Unsor"&amp;"ted'!$B$41, CONCAT(VLOOKUP($C93, 'Match Names'!$A$1:$D$22, 3, FALSE), ""!C3:R29"")), {4;10;16;22}, FALSE)), ""=4"") + COUNTIF(ARRAYFORMULA(HLOOKUP($B93, IMPORTRANGE('Prelim Rankings Unsorted'!$B$42, CONCAT(VLOOKUP($C93, 'Match Names'!$A$1:$D$22, 4, FALSE)"&amp;", ""!C3:R29"")), {2;8;14;20}, FALSE)), ""=4"") + COUNTIF(ARRAYFORMULA(HLOOKUP($B93, IMPORTRANGE('Match Names'!$E$23, CONCAT(VLOOKUP($C93, 'Match Names'!$1:$22, 5, FALSE), ""!C3:R29"")), {3;7;18;23}, FALSE)), ""=4"") + COUNTIF(ARRAYFORMULA(HLOOKUP($B93, IM"&amp;"PORTRANGE('Match Names'!$F$23, CONCAT(VLOOKUP($C93, 'Match Names'!$1:$22, 6, FALSE), ""!C3:R29"")), {6;12;18;24}, FALSE)), ""=4"") + COUNTIF(ARRAYFORMULA(HLOOKUP($B93, IMPORTRANGE('Match Names'!$G$23, CONCAT(VLOOKUP($C93, 'Match Names'!$1:$22, 7, FALSE), "&amp;"""!C3:R29"")), {2;7;17;21}, FALSE)), ""=4"") + COUNTIF(ARRAYFORMULA(HLOOKUP($B93, IMPORTRANGE('Match Names'!$H$23, CONCAT(VLOOKUP($C93, 'Match Names'!$1:$22, 8, FALSE), ""!C3:R29"")), {4;10;16;22}, FALSE)), ""=4"")"),0.0)</f>
        <v>0</v>
      </c>
      <c r="F93" s="9">
        <f>IFERROR(__xludf.DUMMYFUNCTION("COUNTIF(ARRAYFORMULA(HLOOKUP($B93, IMPORTRANGE('Prelim Rankings Unsorted'!$B$40, CONCAT(VLOOKUP($C93, 'Match Names'!$A$1:$D$22, 2, FALSE), ""!C3:R29"")), {3;8;14;20}, FALSE)), ""=0"") + COUNTIF(ARRAYFORMULA(HLOOKUP($B93, IMPORTRANGE('Prelim Rankings Unsor"&amp;"ted'!$B$41, CONCAT(VLOOKUP($C93, 'Match Names'!$A$1:$D$22, 3, FALSE), ""!C3:R29"")), {4;10;16;22}, FALSE)), ""=0"") + COUNTIF(ARRAYFORMULA(HLOOKUP($B93, IMPORTRANGE('Prelim Rankings Unsorted'!$B$42, CONCAT(VLOOKUP($C93, 'Match Names'!$A$1:$D$22, 4, FALSE)"&amp;", ""!C3:R29"")), {2;8;14;20}, FALSE)), ""=0"") + COUNTIF(ARRAYFORMULA(HLOOKUP($B93, IMPORTRANGE('Match Names'!$E$23, CONCAT(VLOOKUP($C93, 'Match Names'!$1:$22, 5, FALSE), ""!C3:R29"")), {3;7;18;23}, FALSE)), ""=0"") + COUNTIF(ARRAYFORMULA(HLOOKUP($B93, IM"&amp;"PORTRANGE('Match Names'!$F$23, CONCAT(VLOOKUP($C93, 'Match Names'!$1:$22, 6, FALSE), ""!C3:R29"")), {6;12;18;24}, FALSE)), ""=0"") + COUNTIF(ARRAYFORMULA(HLOOKUP($B93, IMPORTRANGE('Match Names'!$G$23, CONCAT(VLOOKUP($C93, 'Match Names'!$1:$22, 7, FALSE), "&amp;"""!C3:R29"")), {2;7;17;21}, FALSE)), ""=0"") + COUNTIF(ARRAYFORMULA(HLOOKUP($B93, IMPORTRANGE('Match Names'!$H$23, CONCAT(VLOOKUP($C93, 'Match Names'!$1:$22, 8, FALSE), ""!C3:R29"")), {4;10;16;22}, FALSE)), ""=0"")"),0.0)</f>
        <v>0</v>
      </c>
      <c r="G93" s="9">
        <f>IFERROR(__xludf.DUMMYFUNCTION("COUNTIF(ARRAYFORMULA(HLOOKUP($B93, IMPORTRANGE('Prelim Rankings Unsorted'!$B$40, CONCAT(VLOOKUP($C93, 'Match Names'!$A$1:$D$22, 2, FALSE), ""!C3:R29"")), {3;8;14;20}, FALSE)), ""=-4"") + COUNTIF(ARRAYFORMULA(HLOOKUP($B93, IMPORTRANGE('Prelim Rankings Unso"&amp;"rted'!$B$41, CONCAT(VLOOKUP($C93, 'Match Names'!$A$1:$D$22, 3, FALSE), ""!C3:R29"")), {4;10;16;22}, FALSE)), ""=-4"") + COUNTIF(ARRAYFORMULA(HLOOKUP($B93, IMPORTRANGE('Prelim Rankings Unsorted'!$B$42, CONCAT(VLOOKUP($C93, 'Match Names'!$A$1:$D$22, 4, FALS"&amp;"E), ""!C3:R29"")), {2;8;14;20}, FALSE)), ""=-4"") + COUNTIF(ARRAYFORMULA(HLOOKUP($B93, IMPORTRANGE('Match Names'!$E$23, CONCAT(VLOOKUP($C93, 'Match Names'!$1:$22, 5, FALSE), ""!C3:R29"")), {3;7;18;23}, FALSE)), ""=-4"") + COUNTIF(ARRAYFORMULA(HLOOKUP($B93"&amp;", IMPORTRANGE('Match Names'!$F$23, CONCAT(VLOOKUP($C93, 'Match Names'!$1:$22, 6, FALSE), ""!C3:R29"")), {6;12;18;24}, FALSE)), ""=-4"") + COUNTIF(ARRAYFORMULA(HLOOKUP($B93, IMPORTRANGE('Match Names'!$G$23, CONCAT(VLOOKUP($C93, 'Match Names'!$1:$22, 7, FAL"&amp;"SE), ""!C3:R29"")), {2;7;17;21}, FALSE)), ""=-4"") + COUNTIF(ARRAYFORMULA(HLOOKUP($B93, IMPORTRANGE('Match Names'!$H$23, CONCAT(VLOOKUP($C93, 'Match Names'!$1:$22, 8, FALSE), ""!C3:R29"")), {4;10;16;22}, FALSE)), ""=-4"")"),0.0)</f>
        <v>0</v>
      </c>
      <c r="H93" s="39">
        <f t="shared" si="1"/>
        <v>0</v>
      </c>
    </row>
    <row r="94">
      <c r="A94" s="38" t="s">
        <v>97</v>
      </c>
      <c r="B94" s="38" t="str">
        <f>VLOOKUP(CONCAT(A94, C94), 'Discord Username to Real Name'!C:D, 2, FALSE)</f>
        <v>very_creative_name#1358</v>
      </c>
      <c r="C94" s="38" t="s">
        <v>28</v>
      </c>
      <c r="D94" s="9">
        <f>IFERROR(__xludf.DUMMYFUNCTION("(4 - COUNTIF(IFERROR(ARRAYFORMULA(HLOOKUP($B94, IMPORTRANGE('Prelim Rankings Unsorted'!$B$40, CONCAT(VLOOKUP($C94, 'Match Names'!$A$1:$D$22, 2, FALSE), ""!C3:R29"")), {3;8;14;20}, FALSE)), 'Player Overall Stats Unsorted'!$AA$9:$AA$12), ""=X"")) + (4 - COU"&amp;"NTIF(IFERROR(ARRAYFORMULA(HLOOKUP($B94, IMPORTRANGE('Prelim Rankings Unsorted'!$B$41, CONCAT(VLOOKUP($C94, 'Match Names'!$A$1:$D$22, 3, FALSE), ""!C3:R29"")), {4;10;16;22}, FALSE)), 'Player Overall Stats Unsorted'!$AA$9:$AA$12), ""=X"")) + (4 - COUNTIF(IF"&amp;"ERROR(ARRAYFORMULA(HLOOKUP($B94, IMPORTRANGE('Prelim Rankings Unsorted'!$B$42, CONCAT(VLOOKUP($C94, 'Match Names'!$A$1:$D$22, 4, FALSE), ""!C3:R29"")), {2;8;14;20}, FALSE)), 'Player Overall Stats Unsorted'!$AA$9:$AA$12), ""=X"")) + (4 - COUNTIF(IFERROR(AR"&amp;"RAYFORMULA(HLOOKUP($B94, IMPORTRANGE('Match Names'!$E$23, CONCAT(VLOOKUP($C94, 'Match Names'!$1:$22, 5, FALSE), ""!C3:R29"")), {3;7;18;23}, FALSE)), 'Player Overall Stats Unsorted'!$AA$9:$AA$12), ""=X"")) + (4 - COUNTIF(IFERROR(ARRAYFORMULA(HLOOKUP($B94, "&amp;"IMPORTRANGE('Match Names'!$F$23, CONCAT(VLOOKUP($C94, 'Match Names'!$1:$22, 6, FALSE), ""!C3:R29"")), {6;12;18;24}, FALSE)), 'Player Overall Stats Unsorted'!$AA$9:$AA$12), ""=X"")) + (4 - COUNTIF(IFERROR(ARRAYFORMULA(HLOOKUP($B94, IMPORTRANGE('Match Names"&amp;"'!$G$23, CONCAT(VLOOKUP($C94, 'Match Names'!$1:$22, 7, FALSE), ""!C3:R29"")), {2;7;17;21}, FALSE)), 'Player Overall Stats Unsorted'!$AA$9:$AA$12), ""=X"")) + (4 - COUNTIF(IFERROR(ARRAYFORMULA(HLOOKUP($B94, IMPORTRANGE('Match Names'!$H$23, CONCAT(VLOOKUP($"&amp;"C94, 'Match Names'!$1:$22, 8, FALSE), ""!C3:R29"")), {4;10;16;22}, FALSE)), 'Player Overall Stats Unsorted'!$AA$9:$AA$12), ""=X""))"),8.0)</f>
        <v>8</v>
      </c>
      <c r="E94" s="9">
        <f>IFERROR(__xludf.DUMMYFUNCTION("COUNTIF(ARRAYFORMULA(HLOOKUP($B94, IMPORTRANGE('Prelim Rankings Unsorted'!$B$40, CONCAT(VLOOKUP($C94, 'Match Names'!$A$1:$D$22, 2, FALSE), ""!C3:R29"")), {3;8;14;20}, FALSE)), ""=4"") + COUNTIF(ARRAYFORMULA(HLOOKUP($B94, IMPORTRANGE('Prelim Rankings Unsor"&amp;"ted'!$B$41, CONCAT(VLOOKUP($C94, 'Match Names'!$A$1:$D$22, 3, FALSE), ""!C3:R29"")), {4;10;16;22}, FALSE)), ""=4"") + COUNTIF(ARRAYFORMULA(HLOOKUP($B94, IMPORTRANGE('Prelim Rankings Unsorted'!$B$42, CONCAT(VLOOKUP($C94, 'Match Names'!$A$1:$D$22, 4, FALSE)"&amp;", ""!C3:R29"")), {2;8;14;20}, FALSE)), ""=4"") + COUNTIF(ARRAYFORMULA(HLOOKUP($B94, IMPORTRANGE('Match Names'!$E$23, CONCAT(VLOOKUP($C94, 'Match Names'!$1:$22, 5, FALSE), ""!C3:R29"")), {3;7;18;23}, FALSE)), ""=4"") + COUNTIF(ARRAYFORMULA(HLOOKUP($B94, IM"&amp;"PORTRANGE('Match Names'!$F$23, CONCAT(VLOOKUP($C94, 'Match Names'!$1:$22, 6, FALSE), ""!C3:R29"")), {6;12;18;24}, FALSE)), ""=4"") + COUNTIF(ARRAYFORMULA(HLOOKUP($B94, IMPORTRANGE('Match Names'!$G$23, CONCAT(VLOOKUP($C94, 'Match Names'!$1:$22, 7, FALSE), "&amp;"""!C3:R29"")), {2;7;17;21}, FALSE)), ""=4"") + COUNTIF(ARRAYFORMULA(HLOOKUP($B94, IMPORTRANGE('Match Names'!$H$23, CONCAT(VLOOKUP($C94, 'Match Names'!$1:$22, 8, FALSE), ""!C3:R29"")), {4;10;16;22}, FALSE)), ""=4"")"),0.0)</f>
        <v>0</v>
      </c>
      <c r="F94" s="9">
        <f>IFERROR(__xludf.DUMMYFUNCTION("COUNTIF(ARRAYFORMULA(HLOOKUP($B94, IMPORTRANGE('Prelim Rankings Unsorted'!$B$40, CONCAT(VLOOKUP($C94, 'Match Names'!$A$1:$D$22, 2, FALSE), ""!C3:R29"")), {3;8;14;20}, FALSE)), ""=0"") + COUNTIF(ARRAYFORMULA(HLOOKUP($B94, IMPORTRANGE('Prelim Rankings Unsor"&amp;"ted'!$B$41, CONCAT(VLOOKUP($C94, 'Match Names'!$A$1:$D$22, 3, FALSE), ""!C3:R29"")), {4;10;16;22}, FALSE)), ""=0"") + COUNTIF(ARRAYFORMULA(HLOOKUP($B94, IMPORTRANGE('Prelim Rankings Unsorted'!$B$42, CONCAT(VLOOKUP($C94, 'Match Names'!$A$1:$D$22, 4, FALSE)"&amp;", ""!C3:R29"")), {2;8;14;20}, FALSE)), ""=0"") + COUNTIF(ARRAYFORMULA(HLOOKUP($B94, IMPORTRANGE('Match Names'!$E$23, CONCAT(VLOOKUP($C94, 'Match Names'!$1:$22, 5, FALSE), ""!C3:R29"")), {3;7;18;23}, FALSE)), ""=0"") + COUNTIF(ARRAYFORMULA(HLOOKUP($B94, IM"&amp;"PORTRANGE('Match Names'!$F$23, CONCAT(VLOOKUP($C94, 'Match Names'!$1:$22, 6, FALSE), ""!C3:R29"")), {6;12;18;24}, FALSE)), ""=0"") + COUNTIF(ARRAYFORMULA(HLOOKUP($B94, IMPORTRANGE('Match Names'!$G$23, CONCAT(VLOOKUP($C94, 'Match Names'!$1:$22, 7, FALSE), "&amp;"""!C3:R29"")), {2;7;17;21}, FALSE)), ""=0"") + COUNTIF(ARRAYFORMULA(HLOOKUP($B94, IMPORTRANGE('Match Names'!$H$23, CONCAT(VLOOKUP($C94, 'Match Names'!$1:$22, 8, FALSE), ""!C3:R29"")), {4;10;16;22}, FALSE)), ""=0"")"),0.0)</f>
        <v>0</v>
      </c>
      <c r="G94" s="9">
        <f>IFERROR(__xludf.DUMMYFUNCTION("COUNTIF(ARRAYFORMULA(HLOOKUP($B94, IMPORTRANGE('Prelim Rankings Unsorted'!$B$40, CONCAT(VLOOKUP($C94, 'Match Names'!$A$1:$D$22, 2, FALSE), ""!C3:R29"")), {3;8;14;20}, FALSE)), ""=-4"") + COUNTIF(ARRAYFORMULA(HLOOKUP($B94, IMPORTRANGE('Prelim Rankings Unso"&amp;"rted'!$B$41, CONCAT(VLOOKUP($C94, 'Match Names'!$A$1:$D$22, 3, FALSE), ""!C3:R29"")), {4;10;16;22}, FALSE)), ""=-4"") + COUNTIF(ARRAYFORMULA(HLOOKUP($B94, IMPORTRANGE('Prelim Rankings Unsorted'!$B$42, CONCAT(VLOOKUP($C94, 'Match Names'!$A$1:$D$22, 4, FALS"&amp;"E), ""!C3:R29"")), {2;8;14;20}, FALSE)), ""=-4"") + COUNTIF(ARRAYFORMULA(HLOOKUP($B94, IMPORTRANGE('Match Names'!$E$23, CONCAT(VLOOKUP($C94, 'Match Names'!$1:$22, 5, FALSE), ""!C3:R29"")), {3;7;18;23}, FALSE)), ""=-4"") + COUNTIF(ARRAYFORMULA(HLOOKUP($B94"&amp;", IMPORTRANGE('Match Names'!$F$23, CONCAT(VLOOKUP($C94, 'Match Names'!$1:$22, 6, FALSE), ""!C3:R29"")), {6;12;18;24}, FALSE)), ""=-4"") + COUNTIF(ARRAYFORMULA(HLOOKUP($B94, IMPORTRANGE('Match Names'!$G$23, CONCAT(VLOOKUP($C94, 'Match Names'!$1:$22, 7, FAL"&amp;"SE), ""!C3:R29"")), {2;7;17;21}, FALSE)), ""=-4"") + COUNTIF(ARRAYFORMULA(HLOOKUP($B94, IMPORTRANGE('Match Names'!$H$23, CONCAT(VLOOKUP($C94, 'Match Names'!$1:$22, 8, FALSE), ""!C3:R29"")), {4;10;16;22}, FALSE)), ""=-4"")"),0.0)</f>
        <v>0</v>
      </c>
      <c r="H94" s="39">
        <f t="shared" si="1"/>
        <v>0</v>
      </c>
    </row>
    <row r="95">
      <c r="A95" s="38" t="s">
        <v>111</v>
      </c>
      <c r="B95" s="38" t="str">
        <f>VLOOKUP(CONCAT(A95, C95), 'Discord Username to Real Name'!C:D, 2, FALSE)</f>
        <v>margaret#3477</v>
      </c>
      <c r="C95" s="38" t="s">
        <v>28</v>
      </c>
      <c r="D95" s="9">
        <f>IFERROR(__xludf.DUMMYFUNCTION("(4 - COUNTIF(IFERROR(ARRAYFORMULA(HLOOKUP($B95, IMPORTRANGE('Prelim Rankings Unsorted'!$B$40, CONCAT(VLOOKUP($C95, 'Match Names'!$A$1:$D$22, 2, FALSE), ""!C3:R29"")), {3;8;14;20}, FALSE)), 'Player Overall Stats Unsorted'!$AA$9:$AA$12), ""=X"")) + (4 - COU"&amp;"NTIF(IFERROR(ARRAYFORMULA(HLOOKUP($B95, IMPORTRANGE('Prelim Rankings Unsorted'!$B$41, CONCAT(VLOOKUP($C95, 'Match Names'!$A$1:$D$22, 3, FALSE), ""!C3:R29"")), {4;10;16;22}, FALSE)), 'Player Overall Stats Unsorted'!$AA$9:$AA$12), ""=X"")) + (4 - COUNTIF(IF"&amp;"ERROR(ARRAYFORMULA(HLOOKUP($B95, IMPORTRANGE('Prelim Rankings Unsorted'!$B$42, CONCAT(VLOOKUP($C95, 'Match Names'!$A$1:$D$22, 4, FALSE), ""!C3:R29"")), {2;8;14;20}, FALSE)), 'Player Overall Stats Unsorted'!$AA$9:$AA$12), ""=X"")) + (4 - COUNTIF(IFERROR(AR"&amp;"RAYFORMULA(HLOOKUP($B95, IMPORTRANGE('Match Names'!$E$23, CONCAT(VLOOKUP($C95, 'Match Names'!$1:$22, 5, FALSE), ""!C3:R29"")), {3;7;18;23}, FALSE)), 'Player Overall Stats Unsorted'!$AA$9:$AA$12), ""=X"")) + (4 - COUNTIF(IFERROR(ARRAYFORMULA(HLOOKUP($B95, "&amp;"IMPORTRANGE('Match Names'!$F$23, CONCAT(VLOOKUP($C95, 'Match Names'!$1:$22, 6, FALSE), ""!C3:R29"")), {6;12;18;24}, FALSE)), 'Player Overall Stats Unsorted'!$AA$9:$AA$12), ""=X"")) + (4 - COUNTIF(IFERROR(ARRAYFORMULA(HLOOKUP($B95, IMPORTRANGE('Match Names"&amp;"'!$G$23, CONCAT(VLOOKUP($C95, 'Match Names'!$1:$22, 7, FALSE), ""!C3:R29"")), {2;7;17;21}, FALSE)), 'Player Overall Stats Unsorted'!$AA$9:$AA$12), ""=X"")) + (4 - COUNTIF(IFERROR(ARRAYFORMULA(HLOOKUP($B95, IMPORTRANGE('Match Names'!$H$23, CONCAT(VLOOKUP($"&amp;"C95, 'Match Names'!$1:$22, 8, FALSE), ""!C3:R29"")), {4;10;16;22}, FALSE)), 'Player Overall Stats Unsorted'!$AA$9:$AA$12), ""=X""))"),12.0)</f>
        <v>12</v>
      </c>
      <c r="E95" s="9">
        <f>IFERROR(__xludf.DUMMYFUNCTION("COUNTIF(ARRAYFORMULA(HLOOKUP($B95, IMPORTRANGE('Prelim Rankings Unsorted'!$B$40, CONCAT(VLOOKUP($C95, 'Match Names'!$A$1:$D$22, 2, FALSE), ""!C3:R29"")), {3;8;14;20}, FALSE)), ""=4"") + COUNTIF(ARRAYFORMULA(HLOOKUP($B95, IMPORTRANGE('Prelim Rankings Unsor"&amp;"ted'!$B$41, CONCAT(VLOOKUP($C95, 'Match Names'!$A$1:$D$22, 3, FALSE), ""!C3:R29"")), {4;10;16;22}, FALSE)), ""=4"") + COUNTIF(ARRAYFORMULA(HLOOKUP($B95, IMPORTRANGE('Prelim Rankings Unsorted'!$B$42, CONCAT(VLOOKUP($C95, 'Match Names'!$A$1:$D$22, 4, FALSE)"&amp;", ""!C3:R29"")), {2;8;14;20}, FALSE)), ""=4"") + COUNTIF(ARRAYFORMULA(HLOOKUP($B95, IMPORTRANGE('Match Names'!$E$23, CONCAT(VLOOKUP($C95, 'Match Names'!$1:$22, 5, FALSE), ""!C3:R29"")), {3;7;18;23}, FALSE)), ""=4"") + COUNTIF(ARRAYFORMULA(HLOOKUP($B95, IM"&amp;"PORTRANGE('Match Names'!$F$23, CONCAT(VLOOKUP($C95, 'Match Names'!$1:$22, 6, FALSE), ""!C3:R29"")), {6;12;18;24}, FALSE)), ""=4"") + COUNTIF(ARRAYFORMULA(HLOOKUP($B95, IMPORTRANGE('Match Names'!$G$23, CONCAT(VLOOKUP($C95, 'Match Names'!$1:$22, 7, FALSE), "&amp;"""!C3:R29"")), {2;7;17;21}, FALSE)), ""=4"") + COUNTIF(ARRAYFORMULA(HLOOKUP($B95, IMPORTRANGE('Match Names'!$H$23, CONCAT(VLOOKUP($C95, 'Match Names'!$1:$22, 8, FALSE), ""!C3:R29"")), {4;10;16;22}, FALSE)), ""=4"")"),0.0)</f>
        <v>0</v>
      </c>
      <c r="F95" s="9">
        <f>IFERROR(__xludf.DUMMYFUNCTION("COUNTIF(ARRAYFORMULA(HLOOKUP($B95, IMPORTRANGE('Prelim Rankings Unsorted'!$B$40, CONCAT(VLOOKUP($C95, 'Match Names'!$A$1:$D$22, 2, FALSE), ""!C3:R29"")), {3;8;14;20}, FALSE)), ""=0"") + COUNTIF(ARRAYFORMULA(HLOOKUP($B95, IMPORTRANGE('Prelim Rankings Unsor"&amp;"ted'!$B$41, CONCAT(VLOOKUP($C95, 'Match Names'!$A$1:$D$22, 3, FALSE), ""!C3:R29"")), {4;10;16;22}, FALSE)), ""=0"") + COUNTIF(ARRAYFORMULA(HLOOKUP($B95, IMPORTRANGE('Prelim Rankings Unsorted'!$B$42, CONCAT(VLOOKUP($C95, 'Match Names'!$A$1:$D$22, 4, FALSE)"&amp;", ""!C3:R29"")), {2;8;14;20}, FALSE)), ""=0"") + COUNTIF(ARRAYFORMULA(HLOOKUP($B95, IMPORTRANGE('Match Names'!$E$23, CONCAT(VLOOKUP($C95, 'Match Names'!$1:$22, 5, FALSE), ""!C3:R29"")), {3;7;18;23}, FALSE)), ""=0"") + COUNTIF(ARRAYFORMULA(HLOOKUP($B95, IM"&amp;"PORTRANGE('Match Names'!$F$23, CONCAT(VLOOKUP($C95, 'Match Names'!$1:$22, 6, FALSE), ""!C3:R29"")), {6;12;18;24}, FALSE)), ""=0"") + COUNTIF(ARRAYFORMULA(HLOOKUP($B95, IMPORTRANGE('Match Names'!$G$23, CONCAT(VLOOKUP($C95, 'Match Names'!$1:$22, 7, FALSE), "&amp;"""!C3:R29"")), {2;7;17;21}, FALSE)), ""=0"") + COUNTIF(ARRAYFORMULA(HLOOKUP($B95, IMPORTRANGE('Match Names'!$H$23, CONCAT(VLOOKUP($C95, 'Match Names'!$1:$22, 8, FALSE), ""!C3:R29"")), {4;10;16;22}, FALSE)), ""=0"")"),0.0)</f>
        <v>0</v>
      </c>
      <c r="G95" s="9">
        <f>IFERROR(__xludf.DUMMYFUNCTION("COUNTIF(ARRAYFORMULA(HLOOKUP($B95, IMPORTRANGE('Prelim Rankings Unsorted'!$B$40, CONCAT(VLOOKUP($C95, 'Match Names'!$A$1:$D$22, 2, FALSE), ""!C3:R29"")), {3;8;14;20}, FALSE)), ""=-4"") + COUNTIF(ARRAYFORMULA(HLOOKUP($B95, IMPORTRANGE('Prelim Rankings Unso"&amp;"rted'!$B$41, CONCAT(VLOOKUP($C95, 'Match Names'!$A$1:$D$22, 3, FALSE), ""!C3:R29"")), {4;10;16;22}, FALSE)), ""=-4"") + COUNTIF(ARRAYFORMULA(HLOOKUP($B95, IMPORTRANGE('Prelim Rankings Unsorted'!$B$42, CONCAT(VLOOKUP($C95, 'Match Names'!$A$1:$D$22, 4, FALS"&amp;"E), ""!C3:R29"")), {2;8;14;20}, FALSE)), ""=-4"") + COUNTIF(ARRAYFORMULA(HLOOKUP($B95, IMPORTRANGE('Match Names'!$E$23, CONCAT(VLOOKUP($C95, 'Match Names'!$1:$22, 5, FALSE), ""!C3:R29"")), {3;7;18;23}, FALSE)), ""=-4"") + COUNTIF(ARRAYFORMULA(HLOOKUP($B95"&amp;", IMPORTRANGE('Match Names'!$F$23, CONCAT(VLOOKUP($C95, 'Match Names'!$1:$22, 6, FALSE), ""!C3:R29"")), {6;12;18;24}, FALSE)), ""=-4"") + COUNTIF(ARRAYFORMULA(HLOOKUP($B95, IMPORTRANGE('Match Names'!$G$23, CONCAT(VLOOKUP($C95, 'Match Names'!$1:$22, 7, FAL"&amp;"SE), ""!C3:R29"")), {2;7;17;21}, FALSE)), ""=-4"") + COUNTIF(ARRAYFORMULA(HLOOKUP($B95, IMPORTRANGE('Match Names'!$H$23, CONCAT(VLOOKUP($C95, 'Match Names'!$1:$22, 8, FALSE), ""!C3:R29"")), {4;10;16;22}, FALSE)), ""=-4"")"),0.0)</f>
        <v>0</v>
      </c>
      <c r="H95" s="39">
        <f t="shared" si="1"/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>
      <c r="A3" s="31" t="s">
        <v>13</v>
      </c>
      <c r="B3" s="31" t="str">
        <f>VLOOKUP(CONCAT(A3, C3), 'Discord Username to Real Name'!C:D, 2, FALSE)</f>
        <v>DanielRocks(UrMom)#5639</v>
      </c>
      <c r="C3" s="31" t="s">
        <v>5</v>
      </c>
      <c r="D3" s="32">
        <f>IFERROR(__xludf.DUMMYFUNCTION("(4 - COUNTIF(IFERROR(ARRAYFORMULA(HLOOKUP($B3, IMPORTRANGE('Prelim Rankings Unsorted'!$B$40, CONCAT(VLOOKUP($C3, 'Match Names'!$A$1:$D$22, 2, FALSE), ""!C3:R29"")), {2;7;13;19}, FALSE)), 'Player Overall Stats Unsorted'!$AA$9:$AA$12), ""=X"")) + (4 - COUNT"&amp;"IF(IFERROR(ARRAYFORMULA(HLOOKUP($B3, IMPORTRANGE('Prelim Rankings Unsorted'!$B$41, CONCAT(VLOOKUP($C3, 'Match Names'!$A$1:$D$22, 3, FALSE), ""!C3:R29"")), {3;9;15;21}, FALSE)), 'Player Overall Stats Unsorted'!$AA$9:$AA$12), ""=X"")) + (4 - COUNTIF(IFERROR"&amp;"(ARRAYFORMULA(HLOOKUP($B3, IMPORTRANGE('Prelim Rankings Unsorted'!$B$42, CONCAT(VLOOKUP($C3, 'Match Names'!$A$1:$D$22, 4, FALSE), ""!C3:R29"")), {3;9;15;21}, FALSE)), 'Player Overall Stats Unsorted'!$AA$9:$AA$12), ""=X"")) + (4 - COUNTIF(IFERROR(ARRAYFORM"&amp;"ULA(HLOOKUP($B3, IMPORTRANGE('Match Names'!$E$23, CONCAT(VLOOKUP($C3, 'Match Names'!$1:$22, 5, FALSE), ""!C3:R29"")), {9;14;19;24}, FALSE)), 'Player Overall Stats Unsorted'!$AA$9:$AA$12), ""=X"")) + (4 - COUNTIF(IFERROR(ARRAYFORMULA(HLOOKUP($B3, IMPORTRAN"&amp;"GE('Match Names'!$F$23, CONCAT(VLOOKUP($C3, 'Match Names'!$1:$22, 6, FALSE), ""!C3:R29"")), {2;8;14;20}, FALSE)), 'Player Overall Stats Unsorted'!$AA$9:$AA$12), ""=X"")) + (4 - COUNTIF(IFERROR(ARRAYFORMULA(HLOOKUP($B3, IMPORTRANGE('Match Names'!$G$23, CON"&amp;"CAT(VLOOKUP($C3, 'Match Names'!$1:$22, 7, FALSE), ""!C3:R29"")), {6;16;20;24}, FALSE)), 'Player Overall Stats Unsorted'!$AA$9:$AA$12), ""=X"")) + (4 - COUNTIF(IFERROR(ARRAYFORMULA(HLOOKUP($B3, IMPORTRANGE('Match Names'!$H$23, CONCAT(VLOOKUP($C3, 'Match Na"&amp;"mes'!$1:$22, 8, FALSE), ""!C3:R29"")), {2;8;14;20}, FALSE)), 'Player Overall Stats Unsorted'!$AA$9:$AA$12), ""=X""))"),8.0)</f>
        <v>8</v>
      </c>
      <c r="E3" s="32">
        <f>IFERROR(__xludf.DUMMYFUNCTION("COUNTIF(ARRAYFORMULA(HLOOKUP($B3, IMPORTRANGE('Prelim Rankings Unsorted'!$B$40, CONCAT(VLOOKUP($C3, 'Match Names'!$A$1:$D$22, 2, FALSE), ""!C3:R29"")), {2;7;13;19}, FALSE)), ""=4"") + COUNTIF(ARRAYFORMULA(HLOOKUP($B3, IMPORTRANGE('Prelim Rankings Unsorted"&amp;"'!$B$41, CONCAT(VLOOKUP($C3, 'Match Names'!$A$1:$D$22, 3, FALSE), ""!C3:R29"")), {3;9;15;21}, FALSE)), ""=4"") + COUNTIF(ARRAYFORMULA(HLOOKUP($B3, IMPORTRANGE('Prelim Rankings Unsorted'!$B$42, CONCAT(VLOOKUP($C3, 'Match Names'!$A$1:$D$22, 4, FALSE), ""!C3"&amp;":R29"")), {3;9;15;21}, FALSE)), ""=4"") + COUNTIF(ARRAYFORMULA(HLOOKUP($B3, IMPORTRANGE('Match Names'!$E$23, CONCAT(VLOOKUP($C3, 'Match Names'!$1:$22, 5, FALSE), ""!C3:R29"")), {9;14;19;24}, FALSE)), ""=4"") + COUNTIF(ARRAYFORMULA(HLOOKUP($B3, IMPORTRANGE"&amp;"('Match Names'!$F$23, CONCAT(VLOOKUP($C3, 'Match Names'!$1:$22, 6, FALSE), ""!C3:R29"")), {2;8;14;20}, FALSE)), ""=4"") + COUNTIF(ARRAYFORMULA(HLOOKUP($B3, IMPORTRANGE('Match Names'!$G$23, CONCAT(VLOOKUP($C3, 'Match Names'!$1:$22, 7, FALSE), ""!C3:R29""))"&amp;", {6;16;20;24}, FALSE)), ""=4"") + COUNTIF(ARRAYFORMULA(HLOOKUP($B3, IMPORTRANGE('Match Names'!$H$23, CONCAT(VLOOKUP($C3, 'Match Names'!$1:$22, 8, FALSE), ""!C3:R29"")), {2;8;14;20}, FALSE)), ""=4"")"),0.0)</f>
        <v>0</v>
      </c>
      <c r="F3" s="32">
        <f>IFERROR(__xludf.DUMMYFUNCTION("COUNTIF(ARRAYFORMULA(HLOOKUP($B3, IMPORTRANGE('Prelim Rankings Unsorted'!$B$40, CONCAT(VLOOKUP($C3, 'Match Names'!$A$1:$D$22, 2, FALSE), ""!C3:R29"")), {2;7;13;19}, FALSE)), ""=0"") + COUNTIF(ARRAYFORMULA(HLOOKUP($B3, IMPORTRANGE('Prelim Rankings Unsorted"&amp;"'!$B$41, CONCAT(VLOOKUP($C3, 'Match Names'!$A$1:$D$22, 3, FALSE), ""!C3:R29"")), {3;9;15;21}, FALSE)), ""=0"") + COUNTIF(ARRAYFORMULA(HLOOKUP($B3, IMPORTRANGE('Prelim Rankings Unsorted'!$B$42, CONCAT(VLOOKUP($C3, 'Match Names'!$A$1:$D$22, 4, FALSE), ""!C3"&amp;":R29"")), {3;9;15;21}, FALSE)), ""=0"") + COUNTIF(ARRAYFORMULA(HLOOKUP($B3, IMPORTRANGE('Match Names'!$E$23, CONCAT(VLOOKUP($C3, 'Match Names'!$1:$22, 5, FALSE), ""!C3:R29"")), {9;14;19;24}, FALSE)), ""=0"") + COUNTIF(ARRAYFORMULA(HLOOKUP($B3, IMPORTRANGE"&amp;"('Match Names'!$F$23, CONCAT(VLOOKUP($C3, 'Match Names'!$1:$22, 6, FALSE), ""!C3:R29"")), {2;8;14;20}, FALSE)), ""=0"") + COUNTIF(ARRAYFORMULA(HLOOKUP($B3, IMPORTRANGE('Match Names'!$G$23, CONCAT(VLOOKUP($C3, 'Match Names'!$1:$22, 7, FALSE), ""!C3:R29""))"&amp;", {6;16;20;24}, FALSE)), ""=0"") + COUNTIF(ARRAYFORMULA(HLOOKUP($B3, IMPORTRANGE('Match Names'!$H$23, CONCAT(VLOOKUP($C3, 'Match Names'!$1:$22, 8, FALSE), ""!C3:R29"")), {2;8;14;20}, FALSE)), ""=0"")"),0.0)</f>
        <v>0</v>
      </c>
      <c r="G3" s="32">
        <f>IFERROR(__xludf.DUMMYFUNCTION("COUNTIF(ARRAYFORMULA(HLOOKUP($B3, IMPORTRANGE('Prelim Rankings Unsorted'!$B$40, CONCAT(VLOOKUP($C3, 'Match Names'!$A$1:$D$22, 2, FALSE), ""!C3:R29"")), {2;7;13;19}, FALSE)), ""=-4"") + COUNTIF(ARRAYFORMULA(HLOOKUP($B3, IMPORTRANGE('Prelim Rankings Unsorte"&amp;"d'!$B$41, CONCAT(VLOOKUP($C3, 'Match Names'!$A$1:$D$22, 3, FALSE), ""!C3:R29"")), {3;9;15;21}, FALSE)), ""=-4"") + COUNTIF(ARRAYFORMULA(HLOOKUP($B3, IMPORTRANGE('Prelim Rankings Unsorted'!$B$42, CONCAT(VLOOKUP($C3, 'Match Names'!$A$1:$D$22, 4, FALSE), ""!"&amp;"C3:R29"")), {3;9;15;21}, FALSE)), ""=-4"") + COUNTIF(ARRAYFORMULA(HLOOKUP($B3, IMPORTRANGE('Match Names'!$E$23, CONCAT(VLOOKUP($C3, 'Match Names'!$1:$22, 5, FALSE), ""!C3:R29"")), {9;14;19;24}, FALSE)), ""=-4"") + COUNTIF(ARRAYFORMULA(HLOOKUP($B3, IMPORTR"&amp;"ANGE('Match Names'!$F$23, CONCAT(VLOOKUP($C3, 'Match Names'!$1:$22, 6, FALSE), ""!C3:R29"")), {2;8;14;20}, FALSE)), ""=-4"") + COUNTIF(ARRAYFORMULA(HLOOKUP($B3, IMPORTRANGE('Match Names'!$G$23, CONCAT(VLOOKUP($C3, 'Match Names'!$1:$22, 7, FALSE), ""!C3:R2"&amp;"9"")), {6;16;20;24}, FALSE)), ""=-4"") + COUNTIF(ARRAYFORMULA(HLOOKUP($B3, IMPORTRANGE('Match Names'!$H$23, CONCAT(VLOOKUP($C3, 'Match Names'!$1:$22, 8, FALSE), ""!C3:R29"")), {2;8;14;20}, FALSE)), ""=-4"")"),0.0)</f>
        <v>0</v>
      </c>
      <c r="H3" s="33">
        <f t="shared" ref="H3:H95" si="1">IFERROR(ROUND(((E3*4)+(G3*-4))/(D3/4), 2), 0)</f>
        <v>0</v>
      </c>
    </row>
    <row r="4">
      <c r="A4" s="32" t="s">
        <v>33</v>
      </c>
      <c r="B4" s="31" t="str">
        <f>VLOOKUP(CONCAT(A4, C4), 'Discord Username to Real Name'!C:D, 2, FALSE)</f>
        <v>Running Runin#5021</v>
      </c>
      <c r="C4" s="31" t="s">
        <v>5</v>
      </c>
      <c r="D4" s="32">
        <f>IFERROR(__xludf.DUMMYFUNCTION("(4 - COUNTIF(IFERROR(ARRAYFORMULA(HLOOKUP($B4, IMPORTRANGE('Prelim Rankings Unsorted'!$B$40, CONCAT(VLOOKUP($C4, 'Match Names'!$A$1:$D$22, 2, FALSE), ""!C3:R29"")), {2;7;13;19}, FALSE)), 'Player Overall Stats Unsorted'!$AA$9:$AA$12), ""=X"")) + (4 - COUNT"&amp;"IF(IFERROR(ARRAYFORMULA(HLOOKUP($B4, IMPORTRANGE('Prelim Rankings Unsorted'!$B$41, CONCAT(VLOOKUP($C4, 'Match Names'!$A$1:$D$22, 3, FALSE), ""!C3:R29"")), {3;9;15;21}, FALSE)), 'Player Overall Stats Unsorted'!$AA$9:$AA$12), ""=X"")) + (4 - COUNTIF(IFERROR"&amp;"(ARRAYFORMULA(HLOOKUP($B4, IMPORTRANGE('Prelim Rankings Unsorted'!$B$42, CONCAT(VLOOKUP($C4, 'Match Names'!$A$1:$D$22, 4, FALSE), ""!C3:R29"")), {3;9;15;21}, FALSE)), 'Player Overall Stats Unsorted'!$AA$9:$AA$12), ""=X"")) + (4 - COUNTIF(IFERROR(ARRAYFORM"&amp;"ULA(HLOOKUP($B4, IMPORTRANGE('Match Names'!$E$23, CONCAT(VLOOKUP($C4, 'Match Names'!$1:$22, 5, FALSE), ""!C3:R29"")), {9;14;19;24}, FALSE)), 'Player Overall Stats Unsorted'!$AA$9:$AA$12), ""=X"")) + (4 - COUNTIF(IFERROR(ARRAYFORMULA(HLOOKUP($B4, IMPORTRAN"&amp;"GE('Match Names'!$F$23, CONCAT(VLOOKUP($C4, 'Match Names'!$1:$22, 6, FALSE), ""!C3:R29"")), {2;8;14;20}, FALSE)), 'Player Overall Stats Unsorted'!$AA$9:$AA$12), ""=X"")) + (4 - COUNTIF(IFERROR(ARRAYFORMULA(HLOOKUP($B4, IMPORTRANGE('Match Names'!$G$23, CON"&amp;"CAT(VLOOKUP($C4, 'Match Names'!$1:$22, 7, FALSE), ""!C3:R29"")), {6;16;20;24}, FALSE)), 'Player Overall Stats Unsorted'!$AA$9:$AA$12), ""=X"")) + (4 - COUNTIF(IFERROR(ARRAYFORMULA(HLOOKUP($B4, IMPORTRANGE('Match Names'!$H$23, CONCAT(VLOOKUP($C4, 'Match Na"&amp;"mes'!$1:$22, 8, FALSE), ""!C3:R29"")), {2;8;14;20}, FALSE)), 'Player Overall Stats Unsorted'!$AA$9:$AA$12), ""=X""))"),0.0)</f>
        <v>0</v>
      </c>
      <c r="E4" s="32">
        <f>IFERROR(__xludf.DUMMYFUNCTION("COUNTIF(ARRAYFORMULA(HLOOKUP($B4, IMPORTRANGE('Prelim Rankings Unsorted'!$B$40, CONCAT(VLOOKUP($C4, 'Match Names'!$A$1:$D$22, 2, FALSE), ""!C3:R29"")), {2;7;13;19}, FALSE)), ""=4"") + COUNTIF(ARRAYFORMULA(HLOOKUP($B4, IMPORTRANGE('Prelim Rankings Unsorted"&amp;"'!$B$41, CONCAT(VLOOKUP($C4, 'Match Names'!$A$1:$D$22, 3, FALSE), ""!C3:R29"")), {3;9;15;21}, FALSE)), ""=4"") + COUNTIF(ARRAYFORMULA(HLOOKUP($B4, IMPORTRANGE('Prelim Rankings Unsorted'!$B$42, CONCAT(VLOOKUP($C4, 'Match Names'!$A$1:$D$22, 4, FALSE), ""!C3"&amp;":R29"")), {3;9;15;21}, FALSE)), ""=4"") + COUNTIF(ARRAYFORMULA(HLOOKUP($B4, IMPORTRANGE('Match Names'!$E$23, CONCAT(VLOOKUP($C4, 'Match Names'!$1:$22, 5, FALSE), ""!C3:R29"")), {9;14;19;24}, FALSE)), ""=4"") + COUNTIF(ARRAYFORMULA(HLOOKUP($B4, IMPORTRANGE"&amp;"('Match Names'!$F$23, CONCAT(VLOOKUP($C4, 'Match Names'!$1:$22, 6, FALSE), ""!C3:R29"")), {2;8;14;20}, FALSE)), ""=4"") + COUNTIF(ARRAYFORMULA(HLOOKUP($B4, IMPORTRANGE('Match Names'!$G$23, CONCAT(VLOOKUP($C4, 'Match Names'!$1:$22, 7, FALSE), ""!C3:R29""))"&amp;", {6;16;20;24}, FALSE)), ""=4"") + COUNTIF(ARRAYFORMULA(HLOOKUP($B4, IMPORTRANGE('Match Names'!$H$23, CONCAT(VLOOKUP($C4, 'Match Names'!$1:$22, 8, FALSE), ""!C3:R29"")), {2;8;14;20}, FALSE)), ""=4"")"),0.0)</f>
        <v>0</v>
      </c>
      <c r="F4" s="32">
        <f>IFERROR(__xludf.DUMMYFUNCTION("COUNTIF(ARRAYFORMULA(HLOOKUP($B4, IMPORTRANGE('Prelim Rankings Unsorted'!$B$40, CONCAT(VLOOKUP($C4, 'Match Names'!$A$1:$D$22, 2, FALSE), ""!C3:R29"")), {2;7;13;19}, FALSE)), ""=0"") + COUNTIF(ARRAYFORMULA(HLOOKUP($B4, IMPORTRANGE('Prelim Rankings Unsorted"&amp;"'!$B$41, CONCAT(VLOOKUP($C4, 'Match Names'!$A$1:$D$22, 3, FALSE), ""!C3:R29"")), {3;9;15;21}, FALSE)), ""=0"") + COUNTIF(ARRAYFORMULA(HLOOKUP($B4, IMPORTRANGE('Prelim Rankings Unsorted'!$B$42, CONCAT(VLOOKUP($C4, 'Match Names'!$A$1:$D$22, 4, FALSE), ""!C3"&amp;":R29"")), {3;9;15;21}, FALSE)), ""=0"") + COUNTIF(ARRAYFORMULA(HLOOKUP($B4, IMPORTRANGE('Match Names'!$E$23, CONCAT(VLOOKUP($C4, 'Match Names'!$1:$22, 5, FALSE), ""!C3:R29"")), {9;14;19;24}, FALSE)), ""=0"") + COUNTIF(ARRAYFORMULA(HLOOKUP($B4, IMPORTRANGE"&amp;"('Match Names'!$F$23, CONCAT(VLOOKUP($C4, 'Match Names'!$1:$22, 6, FALSE), ""!C3:R29"")), {2;8;14;20}, FALSE)), ""=0"") + COUNTIF(ARRAYFORMULA(HLOOKUP($B4, IMPORTRANGE('Match Names'!$G$23, CONCAT(VLOOKUP($C4, 'Match Names'!$1:$22, 7, FALSE), ""!C3:R29""))"&amp;", {6;16;20;24}, FALSE)), ""=0"") + COUNTIF(ARRAYFORMULA(HLOOKUP($B4, IMPORTRANGE('Match Names'!$H$23, CONCAT(VLOOKUP($C4, 'Match Names'!$1:$22, 8, FALSE), ""!C3:R29"")), {2;8;14;20}, FALSE)), ""=0"")"),0.0)</f>
        <v>0</v>
      </c>
      <c r="G4" s="32">
        <f>IFERROR(__xludf.DUMMYFUNCTION("COUNTIF(ARRAYFORMULA(HLOOKUP($B4, IMPORTRANGE('Prelim Rankings Unsorted'!$B$40, CONCAT(VLOOKUP($C4, 'Match Names'!$A$1:$D$22, 2, FALSE), ""!C3:R29"")), {2;7;13;19}, FALSE)), ""=-4"") + COUNTIF(ARRAYFORMULA(HLOOKUP($B4, IMPORTRANGE('Prelim Rankings Unsorte"&amp;"d'!$B$41, CONCAT(VLOOKUP($C4, 'Match Names'!$A$1:$D$22, 3, FALSE), ""!C3:R29"")), {3;9;15;21}, FALSE)), ""=-4"") + COUNTIF(ARRAYFORMULA(HLOOKUP($B4, IMPORTRANGE('Prelim Rankings Unsorted'!$B$42, CONCAT(VLOOKUP($C4, 'Match Names'!$A$1:$D$22, 4, FALSE), ""!"&amp;"C3:R29"")), {3;9;15;21}, FALSE)), ""=-4"") + COUNTIF(ARRAYFORMULA(HLOOKUP($B4, IMPORTRANGE('Match Names'!$E$23, CONCAT(VLOOKUP($C4, 'Match Names'!$1:$22, 5, FALSE), ""!C3:R29"")), {9;14;19;24}, FALSE)), ""=-4"") + COUNTIF(ARRAYFORMULA(HLOOKUP($B4, IMPORTR"&amp;"ANGE('Match Names'!$F$23, CONCAT(VLOOKUP($C4, 'Match Names'!$1:$22, 6, FALSE), ""!C3:R29"")), {2;8;14;20}, FALSE)), ""=-4"") + COUNTIF(ARRAYFORMULA(HLOOKUP($B4, IMPORTRANGE('Match Names'!$G$23, CONCAT(VLOOKUP($C4, 'Match Names'!$1:$22, 7, FALSE), ""!C3:R2"&amp;"9"")), {6;16;20;24}, FALSE)), ""=-4"") + COUNTIF(ARRAYFORMULA(HLOOKUP($B4, IMPORTRANGE('Match Names'!$H$23, CONCAT(VLOOKUP($C4, 'Match Names'!$1:$22, 8, FALSE), ""!C3:R29"")), {2;8;14;20}, FALSE)), ""=-4"")"),0.0)</f>
        <v>0</v>
      </c>
      <c r="H4" s="33">
        <f t="shared" si="1"/>
        <v>0</v>
      </c>
      <c r="J4" s="11" t="str">
        <f>IFERROR(__xludf.DUMMYFUNCTION("ARRAYFORMULA(HLOOKUP($B3, IMPORTRANGE('Prelim Rankings Unsorted'!$B$40, CONCAT(VLOOKUP($C3, 'Match Names'!$A$1:$D$22, 2, FALSE), ""!C3:R29"")), {2;7;13;19}, FALSE))"),"")</f>
        <v/>
      </c>
    </row>
    <row r="5">
      <c r="A5" s="31" t="s">
        <v>78</v>
      </c>
      <c r="B5" s="31" t="str">
        <f>VLOOKUP(CONCAT(A5, C5), 'Discord Username to Real Name'!C:D, 2, FALSE)</f>
        <v>avaa#8678</v>
      </c>
      <c r="C5" s="31" t="s">
        <v>5</v>
      </c>
      <c r="D5" s="32">
        <f>IFERROR(__xludf.DUMMYFUNCTION("(4 - COUNTIF(IFERROR(ARRAYFORMULA(HLOOKUP($B5, IMPORTRANGE('Prelim Rankings Unsorted'!$B$40, CONCAT(VLOOKUP($C5, 'Match Names'!$A$1:$D$22, 2, FALSE), ""!C3:R29"")), {2;7;13;19}, FALSE)), 'Player Overall Stats Unsorted'!$AA$9:$AA$12), ""=X"")) + (4 - COUNT"&amp;"IF(IFERROR(ARRAYFORMULA(HLOOKUP($B5, IMPORTRANGE('Prelim Rankings Unsorted'!$B$41, CONCAT(VLOOKUP($C5, 'Match Names'!$A$1:$D$22, 3, FALSE), ""!C3:R29"")), {3;9;15;21}, FALSE)), 'Player Overall Stats Unsorted'!$AA$9:$AA$12), ""=X"")) + (4 - COUNTIF(IFERROR"&amp;"(ARRAYFORMULA(HLOOKUP($B5, IMPORTRANGE('Prelim Rankings Unsorted'!$B$42, CONCAT(VLOOKUP($C5, 'Match Names'!$A$1:$D$22, 4, FALSE), ""!C3:R29"")), {3;9;15;21}, FALSE)), 'Player Overall Stats Unsorted'!$AA$9:$AA$12), ""=X"")) + (4 - COUNTIF(IFERROR(ARRAYFORM"&amp;"ULA(HLOOKUP($B5, IMPORTRANGE('Match Names'!$E$23, CONCAT(VLOOKUP($C5, 'Match Names'!$1:$22, 5, FALSE), ""!C3:R29"")), {9;14;19;24}, FALSE)), 'Player Overall Stats Unsorted'!$AA$9:$AA$12), ""=X"")) + (4 - COUNTIF(IFERROR(ARRAYFORMULA(HLOOKUP($B5, IMPORTRAN"&amp;"GE('Match Names'!$F$23, CONCAT(VLOOKUP($C5, 'Match Names'!$1:$22, 6, FALSE), ""!C3:R29"")), {2;8;14;20}, FALSE)), 'Player Overall Stats Unsorted'!$AA$9:$AA$12), ""=X"")) + (4 - COUNTIF(IFERROR(ARRAYFORMULA(HLOOKUP($B5, IMPORTRANGE('Match Names'!$G$23, CON"&amp;"CAT(VLOOKUP($C5, 'Match Names'!$1:$22, 7, FALSE), ""!C3:R29"")), {6;16;20;24}, FALSE)), 'Player Overall Stats Unsorted'!$AA$9:$AA$12), ""=X"")) + (4 - COUNTIF(IFERROR(ARRAYFORMULA(HLOOKUP($B5, IMPORTRANGE('Match Names'!$H$23, CONCAT(VLOOKUP($C5, 'Match Na"&amp;"mes'!$1:$22, 8, FALSE), ""!C3:R29"")), {2;8;14;20}, FALSE)), 'Player Overall Stats Unsorted'!$AA$9:$AA$12), ""=X""))"),8.0)</f>
        <v>8</v>
      </c>
      <c r="E5" s="32">
        <f>IFERROR(__xludf.DUMMYFUNCTION("COUNTIF(ARRAYFORMULA(HLOOKUP($B5, IMPORTRANGE('Prelim Rankings Unsorted'!$B$40, CONCAT(VLOOKUP($C5, 'Match Names'!$A$1:$D$22, 2, FALSE), ""!C3:R29"")), {2;7;13;19}, FALSE)), ""=4"") + COUNTIF(ARRAYFORMULA(HLOOKUP($B5, IMPORTRANGE('Prelim Rankings Unsorted"&amp;"'!$B$41, CONCAT(VLOOKUP($C5, 'Match Names'!$A$1:$D$22, 3, FALSE), ""!C3:R29"")), {3;9;15;21}, FALSE)), ""=4"") + COUNTIF(ARRAYFORMULA(HLOOKUP($B5, IMPORTRANGE('Prelim Rankings Unsorted'!$B$42, CONCAT(VLOOKUP($C5, 'Match Names'!$A$1:$D$22, 4, FALSE), ""!C3"&amp;":R29"")), {3;9;15;21}, FALSE)), ""=4"") + COUNTIF(ARRAYFORMULA(HLOOKUP($B5, IMPORTRANGE('Match Names'!$E$23, CONCAT(VLOOKUP($C5, 'Match Names'!$1:$22, 5, FALSE), ""!C3:R29"")), {9;14;19;24}, FALSE)), ""=4"") + COUNTIF(ARRAYFORMULA(HLOOKUP($B5, IMPORTRANGE"&amp;"('Match Names'!$F$23, CONCAT(VLOOKUP($C5, 'Match Names'!$1:$22, 6, FALSE), ""!C3:R29"")), {2;8;14;20}, FALSE)), ""=4"") + COUNTIF(ARRAYFORMULA(HLOOKUP($B5, IMPORTRANGE('Match Names'!$G$23, CONCAT(VLOOKUP($C5, 'Match Names'!$1:$22, 7, FALSE), ""!C3:R29""))"&amp;", {6;16;20;24}, FALSE)), ""=4"") + COUNTIF(ARRAYFORMULA(HLOOKUP($B5, IMPORTRANGE('Match Names'!$H$23, CONCAT(VLOOKUP($C5, 'Match Names'!$1:$22, 8, FALSE), ""!C3:R29"")), {2;8;14;20}, FALSE)), ""=4"")"),0.0)</f>
        <v>0</v>
      </c>
      <c r="F5" s="32">
        <f>IFERROR(__xludf.DUMMYFUNCTION("COUNTIF(ARRAYFORMULA(HLOOKUP($B5, IMPORTRANGE('Prelim Rankings Unsorted'!$B$40, CONCAT(VLOOKUP($C5, 'Match Names'!$A$1:$D$22, 2, FALSE), ""!C3:R29"")), {2;7;13;19}, FALSE)), ""=0"") + COUNTIF(ARRAYFORMULA(HLOOKUP($B5, IMPORTRANGE('Prelim Rankings Unsorted"&amp;"'!$B$41, CONCAT(VLOOKUP($C5, 'Match Names'!$A$1:$D$22, 3, FALSE), ""!C3:R29"")), {3;9;15;21}, FALSE)), ""=0"") + COUNTIF(ARRAYFORMULA(HLOOKUP($B5, IMPORTRANGE('Prelim Rankings Unsorted'!$B$42, CONCAT(VLOOKUP($C5, 'Match Names'!$A$1:$D$22, 4, FALSE), ""!C3"&amp;":R29"")), {3;9;15;21}, FALSE)), ""=0"") + COUNTIF(ARRAYFORMULA(HLOOKUP($B5, IMPORTRANGE('Match Names'!$E$23, CONCAT(VLOOKUP($C5, 'Match Names'!$1:$22, 5, FALSE), ""!C3:R29"")), {9;14;19;24}, FALSE)), ""=0"") + COUNTIF(ARRAYFORMULA(HLOOKUP($B5, IMPORTRANGE"&amp;"('Match Names'!$F$23, CONCAT(VLOOKUP($C5, 'Match Names'!$1:$22, 6, FALSE), ""!C3:R29"")), {2;8;14;20}, FALSE)), ""=0"") + COUNTIF(ARRAYFORMULA(HLOOKUP($B5, IMPORTRANGE('Match Names'!$G$23, CONCAT(VLOOKUP($C5, 'Match Names'!$1:$22, 7, FALSE), ""!C3:R29""))"&amp;", {6;16;20;24}, FALSE)), ""=0"") + COUNTIF(ARRAYFORMULA(HLOOKUP($B5, IMPORTRANGE('Match Names'!$H$23, CONCAT(VLOOKUP($C5, 'Match Names'!$1:$22, 8, FALSE), ""!C3:R29"")), {2;8;14;20}, FALSE)), ""=0"")"),0.0)</f>
        <v>0</v>
      </c>
      <c r="G5" s="32">
        <f>IFERROR(__xludf.DUMMYFUNCTION("COUNTIF(ARRAYFORMULA(HLOOKUP($B5, IMPORTRANGE('Prelim Rankings Unsorted'!$B$40, CONCAT(VLOOKUP($C5, 'Match Names'!$A$1:$D$22, 2, FALSE), ""!C3:R29"")), {2;7;13;19}, FALSE)), ""=-4"") + COUNTIF(ARRAYFORMULA(HLOOKUP($B5, IMPORTRANGE('Prelim Rankings Unsorte"&amp;"d'!$B$41, CONCAT(VLOOKUP($C5, 'Match Names'!$A$1:$D$22, 3, FALSE), ""!C3:R29"")), {3;9;15;21}, FALSE)), ""=-4"") + COUNTIF(ARRAYFORMULA(HLOOKUP($B5, IMPORTRANGE('Prelim Rankings Unsorted'!$B$42, CONCAT(VLOOKUP($C5, 'Match Names'!$A$1:$D$22, 4, FALSE), ""!"&amp;"C3:R29"")), {3;9;15;21}, FALSE)), ""=-4"") + COUNTIF(ARRAYFORMULA(HLOOKUP($B5, IMPORTRANGE('Match Names'!$E$23, CONCAT(VLOOKUP($C5, 'Match Names'!$1:$22, 5, FALSE), ""!C3:R29"")), {9;14;19;24}, FALSE)), ""=-4"") + COUNTIF(ARRAYFORMULA(HLOOKUP($B5, IMPORTR"&amp;"ANGE('Match Names'!$F$23, CONCAT(VLOOKUP($C5, 'Match Names'!$1:$22, 6, FALSE), ""!C3:R29"")), {2;8;14;20}, FALSE)), ""=-4"") + COUNTIF(ARRAYFORMULA(HLOOKUP($B5, IMPORTRANGE('Match Names'!$G$23, CONCAT(VLOOKUP($C5, 'Match Names'!$1:$22, 7, FALSE), ""!C3:R2"&amp;"9"")), {6;16;20;24}, FALSE)), ""=-4"") + COUNTIF(ARRAYFORMULA(HLOOKUP($B5, IMPORTRANGE('Match Names'!$H$23, CONCAT(VLOOKUP($C5, 'Match Names'!$1:$22, 8, FALSE), ""!C3:R29"")), {2;8;14;20}, FALSE)), ""=-4"")"),0.0)</f>
        <v>0</v>
      </c>
      <c r="H5" s="33">
        <f t="shared" si="1"/>
        <v>0</v>
      </c>
      <c r="J5" s="8"/>
    </row>
    <row r="6">
      <c r="A6" s="31" t="s">
        <v>146</v>
      </c>
      <c r="B6" s="31" t="str">
        <f>VLOOKUP(CONCAT(A6, C6), 'Discord Username to Real Name'!C:D, 2, FALSE)</f>
        <v>Kevin Yang#3870</v>
      </c>
      <c r="C6" s="31" t="s">
        <v>5</v>
      </c>
      <c r="D6" s="32">
        <f>IFERROR(__xludf.DUMMYFUNCTION("(4 - COUNTIF(IFERROR(ARRAYFORMULA(HLOOKUP($B6, IMPORTRANGE('Prelim Rankings Unsorted'!$B$40, CONCAT(VLOOKUP($C6, 'Match Names'!$A$1:$D$22, 2, FALSE), ""!C3:R29"")), {2;7;13;19}, FALSE)), 'Player Overall Stats Unsorted'!$AA$9:$AA$12), ""=X"")) + (4 - COUNT"&amp;"IF(IFERROR(ARRAYFORMULA(HLOOKUP($B6, IMPORTRANGE('Prelim Rankings Unsorted'!$B$41, CONCAT(VLOOKUP($C6, 'Match Names'!$A$1:$D$22, 3, FALSE), ""!C3:R29"")), {3;9;15;21}, FALSE)), 'Player Overall Stats Unsorted'!$AA$9:$AA$12), ""=X"")) + (4 - COUNTIF(IFERROR"&amp;"(ARRAYFORMULA(HLOOKUP($B6, IMPORTRANGE('Prelim Rankings Unsorted'!$B$42, CONCAT(VLOOKUP($C6, 'Match Names'!$A$1:$D$22, 4, FALSE), ""!C3:R29"")), {3;9;15;21}, FALSE)), 'Player Overall Stats Unsorted'!$AA$9:$AA$12), ""=X"")) + (4 - COUNTIF(IFERROR(ARRAYFORM"&amp;"ULA(HLOOKUP($B6, IMPORTRANGE('Match Names'!$E$23, CONCAT(VLOOKUP($C6, 'Match Names'!$1:$22, 5, FALSE), ""!C3:R29"")), {9;14;19;24}, FALSE)), 'Player Overall Stats Unsorted'!$AA$9:$AA$12), ""=X"")) + (4 - COUNTIF(IFERROR(ARRAYFORMULA(HLOOKUP($B6, IMPORTRAN"&amp;"GE('Match Names'!$F$23, CONCAT(VLOOKUP($C6, 'Match Names'!$1:$22, 6, FALSE), ""!C3:R29"")), {2;8;14;20}, FALSE)), 'Player Overall Stats Unsorted'!$AA$9:$AA$12), ""=X"")) + (4 - COUNTIF(IFERROR(ARRAYFORMULA(HLOOKUP($B6, IMPORTRANGE('Match Names'!$G$23, CON"&amp;"CAT(VLOOKUP($C6, 'Match Names'!$1:$22, 7, FALSE), ""!C3:R29"")), {6;16;20;24}, FALSE)), 'Player Overall Stats Unsorted'!$AA$9:$AA$12), ""=X"")) + (4 - COUNTIF(IFERROR(ARRAYFORMULA(HLOOKUP($B6, IMPORTRANGE('Match Names'!$H$23, CONCAT(VLOOKUP($C6, 'Match Na"&amp;"mes'!$1:$22, 8, FALSE), ""!C3:R29"")), {2;8;14;20}, FALSE)), 'Player Overall Stats Unsorted'!$AA$9:$AA$12), ""=X""))"),12.0)</f>
        <v>12</v>
      </c>
      <c r="E6" s="32">
        <f>IFERROR(__xludf.DUMMYFUNCTION("COUNTIF(ARRAYFORMULA(HLOOKUP($B6, IMPORTRANGE('Prelim Rankings Unsorted'!$B$40, CONCAT(VLOOKUP($C6, 'Match Names'!$A$1:$D$22, 2, FALSE), ""!C3:R29"")), {2;7;13;19}, FALSE)), ""=4"") + COUNTIF(ARRAYFORMULA(HLOOKUP($B6, IMPORTRANGE('Prelim Rankings Unsorted"&amp;"'!$B$41, CONCAT(VLOOKUP($C6, 'Match Names'!$A$1:$D$22, 3, FALSE), ""!C3:R29"")), {3;9;15;21}, FALSE)), ""=4"") + COUNTIF(ARRAYFORMULA(HLOOKUP($B6, IMPORTRANGE('Prelim Rankings Unsorted'!$B$42, CONCAT(VLOOKUP($C6, 'Match Names'!$A$1:$D$22, 4, FALSE), ""!C3"&amp;":R29"")), {3;9;15;21}, FALSE)), ""=4"") + COUNTIF(ARRAYFORMULA(HLOOKUP($B6, IMPORTRANGE('Match Names'!$E$23, CONCAT(VLOOKUP($C6, 'Match Names'!$1:$22, 5, FALSE), ""!C3:R29"")), {9;14;19;24}, FALSE)), ""=4"") + COUNTIF(ARRAYFORMULA(HLOOKUP($B6, IMPORTRANGE"&amp;"('Match Names'!$F$23, CONCAT(VLOOKUP($C6, 'Match Names'!$1:$22, 6, FALSE), ""!C3:R29"")), {2;8;14;20}, FALSE)), ""=4"") + COUNTIF(ARRAYFORMULA(HLOOKUP($B6, IMPORTRANGE('Match Names'!$G$23, CONCAT(VLOOKUP($C6, 'Match Names'!$1:$22, 7, FALSE), ""!C3:R29""))"&amp;", {6;16;20;24}, FALSE)), ""=4"") + COUNTIF(ARRAYFORMULA(HLOOKUP($B6, IMPORTRANGE('Match Names'!$H$23, CONCAT(VLOOKUP($C6, 'Match Names'!$1:$22, 8, FALSE), ""!C3:R29"")), {2;8;14;20}, FALSE)), ""=4"")"),0.0)</f>
        <v>0</v>
      </c>
      <c r="F6" s="32">
        <f>IFERROR(__xludf.DUMMYFUNCTION("COUNTIF(ARRAYFORMULA(HLOOKUP($B6, IMPORTRANGE('Prelim Rankings Unsorted'!$B$40, CONCAT(VLOOKUP($C6, 'Match Names'!$A$1:$D$22, 2, FALSE), ""!C3:R29"")), {2;7;13;19}, FALSE)), ""=0"") + COUNTIF(ARRAYFORMULA(HLOOKUP($B6, IMPORTRANGE('Prelim Rankings Unsorted"&amp;"'!$B$41, CONCAT(VLOOKUP($C6, 'Match Names'!$A$1:$D$22, 3, FALSE), ""!C3:R29"")), {3;9;15;21}, FALSE)), ""=0"") + COUNTIF(ARRAYFORMULA(HLOOKUP($B6, IMPORTRANGE('Prelim Rankings Unsorted'!$B$42, CONCAT(VLOOKUP($C6, 'Match Names'!$A$1:$D$22, 4, FALSE), ""!C3"&amp;":R29"")), {3;9;15;21}, FALSE)), ""=0"") + COUNTIF(ARRAYFORMULA(HLOOKUP($B6, IMPORTRANGE('Match Names'!$E$23, CONCAT(VLOOKUP($C6, 'Match Names'!$1:$22, 5, FALSE), ""!C3:R29"")), {9;14;19;24}, FALSE)), ""=0"") + COUNTIF(ARRAYFORMULA(HLOOKUP($B6, IMPORTRANGE"&amp;"('Match Names'!$F$23, CONCAT(VLOOKUP($C6, 'Match Names'!$1:$22, 6, FALSE), ""!C3:R29"")), {2;8;14;20}, FALSE)), ""=0"") + COUNTIF(ARRAYFORMULA(HLOOKUP($B6, IMPORTRANGE('Match Names'!$G$23, CONCAT(VLOOKUP($C6, 'Match Names'!$1:$22, 7, FALSE), ""!C3:R29""))"&amp;", {6;16;20;24}, FALSE)), ""=0"") + COUNTIF(ARRAYFORMULA(HLOOKUP($B6, IMPORTRANGE('Match Names'!$H$23, CONCAT(VLOOKUP($C6, 'Match Names'!$1:$22, 8, FALSE), ""!C3:R29"")), {2;8;14;20}, FALSE)), ""=0"")"),0.0)</f>
        <v>0</v>
      </c>
      <c r="G6" s="32">
        <f>IFERROR(__xludf.DUMMYFUNCTION("COUNTIF(ARRAYFORMULA(HLOOKUP($B6, IMPORTRANGE('Prelim Rankings Unsorted'!$B$40, CONCAT(VLOOKUP($C6, 'Match Names'!$A$1:$D$22, 2, FALSE), ""!C3:R29"")), {2;7;13;19}, FALSE)), ""=-4"") + COUNTIF(ARRAYFORMULA(HLOOKUP($B6, IMPORTRANGE('Prelim Rankings Unsorte"&amp;"d'!$B$41, CONCAT(VLOOKUP($C6, 'Match Names'!$A$1:$D$22, 3, FALSE), ""!C3:R29"")), {3;9;15;21}, FALSE)), ""=-4"") + COUNTIF(ARRAYFORMULA(HLOOKUP($B6, IMPORTRANGE('Prelim Rankings Unsorted'!$B$42, CONCAT(VLOOKUP($C6, 'Match Names'!$A$1:$D$22, 4, FALSE), ""!"&amp;"C3:R29"")), {3;9;15;21}, FALSE)), ""=-4"") + COUNTIF(ARRAYFORMULA(HLOOKUP($B6, IMPORTRANGE('Match Names'!$E$23, CONCAT(VLOOKUP($C6, 'Match Names'!$1:$22, 5, FALSE), ""!C3:R29"")), {9;14;19;24}, FALSE)), ""=-4"") + COUNTIF(ARRAYFORMULA(HLOOKUP($B6, IMPORTR"&amp;"ANGE('Match Names'!$F$23, CONCAT(VLOOKUP($C6, 'Match Names'!$1:$22, 6, FALSE), ""!C3:R29"")), {2;8;14;20}, FALSE)), ""=-4"") + COUNTIF(ARRAYFORMULA(HLOOKUP($B6, IMPORTRANGE('Match Names'!$G$23, CONCAT(VLOOKUP($C6, 'Match Names'!$1:$22, 7, FALSE), ""!C3:R2"&amp;"9"")), {6;16;20;24}, FALSE)), ""=-4"") + COUNTIF(ARRAYFORMULA(HLOOKUP($B6, IMPORTRANGE('Match Names'!$H$23, CONCAT(VLOOKUP($C6, 'Match Names'!$1:$22, 8, FALSE), ""!C3:R29"")), {2;8;14;20}, FALSE)), ""=-4"")"),0.0)</f>
        <v>0</v>
      </c>
      <c r="H6" s="33">
        <f t="shared" si="1"/>
        <v>0</v>
      </c>
      <c r="J6" s="8"/>
    </row>
    <row r="7">
      <c r="A7" s="34" t="s">
        <v>198</v>
      </c>
      <c r="B7" s="35" t="str">
        <f>VLOOKUP(CONCAT(A7, C7), 'Discord Username to Real Name'!C:D, 2, FALSE)</f>
        <v/>
      </c>
      <c r="C7" s="36" t="s">
        <v>5</v>
      </c>
      <c r="D7" s="32">
        <f>IFERROR(__xludf.DUMMYFUNCTION("(4 - COUNTIF(IFERROR(ARRAYFORMULA(HLOOKUP($B7, IMPORTRANGE('Prelim Rankings Unsorted'!$B$40, CONCAT(VLOOKUP($C7, 'Match Names'!$A$1:$D$22, 2, FALSE), ""!C3:R29"")), {2;7;13;19}, FALSE)), 'Player Overall Stats Unsorted'!$AA$9:$AA$12), ""=X"")) + (4 - COUNT"&amp;"IF(IFERROR(ARRAYFORMULA(HLOOKUP($B7, IMPORTRANGE('Prelim Rankings Unsorted'!$B$41, CONCAT(VLOOKUP($C7, 'Match Names'!$A$1:$D$22, 3, FALSE), ""!C3:R29"")), {3;9;15;21}, FALSE)), 'Player Overall Stats Unsorted'!$AA$9:$AA$12), ""=X"")) + (4 - COUNTIF(IFERROR"&amp;"(ARRAYFORMULA(HLOOKUP($B7, IMPORTRANGE('Prelim Rankings Unsorted'!$B$42, CONCAT(VLOOKUP($C7, 'Match Names'!$A$1:$D$22, 4, FALSE), ""!C3:R29"")), {3;9;15;21}, FALSE)), 'Player Overall Stats Unsorted'!$AA$9:$AA$12), ""=X"")) + (4 - COUNTIF(IFERROR(ARRAYFORM"&amp;"ULA(HLOOKUP($B7, IMPORTRANGE('Match Names'!$E$23, CONCAT(VLOOKUP($C7, 'Match Names'!$1:$22, 5, FALSE), ""!C3:R29"")), {9;14;19;24}, FALSE)), 'Player Overall Stats Unsorted'!$AA$9:$AA$12), ""=X"")) + (4 - COUNTIF(IFERROR(ARRAYFORMULA(HLOOKUP($B7, IMPORTRAN"&amp;"GE('Match Names'!$F$23, CONCAT(VLOOKUP($C7, 'Match Names'!$1:$22, 6, FALSE), ""!C3:R29"")), {2;8;14;20}, FALSE)), 'Player Overall Stats Unsorted'!$AA$9:$AA$12), ""=X"")) + (4 - COUNTIF(IFERROR(ARRAYFORMULA(HLOOKUP($B7, IMPORTRANGE('Match Names'!$G$23, CON"&amp;"CAT(VLOOKUP($C7, 'Match Names'!$1:$22, 7, FALSE), ""!C3:R29"")), {6;16;20;24}, FALSE)), 'Player Overall Stats Unsorted'!$AA$9:$AA$12), ""=X"")) + (4 - COUNTIF(IFERROR(ARRAYFORMULA(HLOOKUP($B7, IMPORTRANGE('Match Names'!$H$23, CONCAT(VLOOKUP($C7, 'Match Na"&amp;"mes'!$1:$22, 8, FALSE), ""!C3:R29"")), {2;8;14;20}, FALSE)), 'Player Overall Stats Unsorted'!$AA$9:$AA$12), ""=X""))"),0.0)</f>
        <v>0</v>
      </c>
      <c r="E7" s="32">
        <f>IFERROR(__xludf.DUMMYFUNCTION("COUNTIF(ARRAYFORMULA(HLOOKUP($B7, IMPORTRANGE('Prelim Rankings Unsorted'!$B$40, CONCAT(VLOOKUP($C7, 'Match Names'!$A$1:$D$22, 2, FALSE), ""!C3:R29"")), {2;7;13;19}, FALSE)), ""=4"") + COUNTIF(ARRAYFORMULA(HLOOKUP($B7, IMPORTRANGE('Prelim Rankings Unsorted"&amp;"'!$B$41, CONCAT(VLOOKUP($C7, 'Match Names'!$A$1:$D$22, 3, FALSE), ""!C3:R29"")), {3;9;15;21}, FALSE)), ""=4"") + COUNTIF(ARRAYFORMULA(HLOOKUP($B7, IMPORTRANGE('Prelim Rankings Unsorted'!$B$42, CONCAT(VLOOKUP($C7, 'Match Names'!$A$1:$D$22, 4, FALSE), ""!C3"&amp;":R29"")), {3;9;15;21}, FALSE)), ""=4"") + COUNTIF(ARRAYFORMULA(HLOOKUP($B7, IMPORTRANGE('Match Names'!$E$23, CONCAT(VLOOKUP($C7, 'Match Names'!$1:$22, 5, FALSE), ""!C3:R29"")), {9;14;19;24}, FALSE)), ""=4"") + COUNTIF(ARRAYFORMULA(HLOOKUP($B7, IMPORTRANGE"&amp;"('Match Names'!$F$23, CONCAT(VLOOKUP($C7, 'Match Names'!$1:$22, 6, FALSE), ""!C3:R29"")), {2;8;14;20}, FALSE)), ""=4"") + COUNTIF(ARRAYFORMULA(HLOOKUP($B7, IMPORTRANGE('Match Names'!$G$23, CONCAT(VLOOKUP($C7, 'Match Names'!$1:$22, 7, FALSE), ""!C3:R29""))"&amp;", {6;16;20;24}, FALSE)), ""=4"") + COUNTIF(ARRAYFORMULA(HLOOKUP($B7, IMPORTRANGE('Match Names'!$H$23, CONCAT(VLOOKUP($C7, 'Match Names'!$1:$22, 8, FALSE), ""!C3:R29"")), {2;8;14;20}, FALSE)), ""=4"")"),0.0)</f>
        <v>0</v>
      </c>
      <c r="F7" s="32">
        <f>IFERROR(__xludf.DUMMYFUNCTION("COUNTIF(ARRAYFORMULA(HLOOKUP($B7, IMPORTRANGE('Prelim Rankings Unsorted'!$B$40, CONCAT(VLOOKUP($C7, 'Match Names'!$A$1:$D$22, 2, FALSE), ""!C3:R29"")), {2;7;13;19}, FALSE)), ""=0"") + COUNTIF(ARRAYFORMULA(HLOOKUP($B7, IMPORTRANGE('Prelim Rankings Unsorted"&amp;"'!$B$41, CONCAT(VLOOKUP($C7, 'Match Names'!$A$1:$D$22, 3, FALSE), ""!C3:R29"")), {3;9;15;21}, FALSE)), ""=0"") + COUNTIF(ARRAYFORMULA(HLOOKUP($B7, IMPORTRANGE('Prelim Rankings Unsorted'!$B$42, CONCAT(VLOOKUP($C7, 'Match Names'!$A$1:$D$22, 4, FALSE), ""!C3"&amp;":R29"")), {3;9;15;21}, FALSE)), ""=0"") + COUNTIF(ARRAYFORMULA(HLOOKUP($B7, IMPORTRANGE('Match Names'!$E$23, CONCAT(VLOOKUP($C7, 'Match Names'!$1:$22, 5, FALSE), ""!C3:R29"")), {9;14;19;24}, FALSE)), ""=0"") + COUNTIF(ARRAYFORMULA(HLOOKUP($B7, IMPORTRANGE"&amp;"('Match Names'!$F$23, CONCAT(VLOOKUP($C7, 'Match Names'!$1:$22, 6, FALSE), ""!C3:R29"")), {2;8;14;20}, FALSE)), ""=0"") + COUNTIF(ARRAYFORMULA(HLOOKUP($B7, IMPORTRANGE('Match Names'!$G$23, CONCAT(VLOOKUP($C7, 'Match Names'!$1:$22, 7, FALSE), ""!C3:R29""))"&amp;", {6;16;20;24}, FALSE)), ""=0"") + COUNTIF(ARRAYFORMULA(HLOOKUP($B7, IMPORTRANGE('Match Names'!$H$23, CONCAT(VLOOKUP($C7, 'Match Names'!$1:$22, 8, FALSE), ""!C3:R29"")), {2;8;14;20}, FALSE)), ""=0"")"),0.0)</f>
        <v>0</v>
      </c>
      <c r="G7" s="32">
        <f>IFERROR(__xludf.DUMMYFUNCTION("COUNTIF(ARRAYFORMULA(HLOOKUP($B7, IMPORTRANGE('Prelim Rankings Unsorted'!$B$40, CONCAT(VLOOKUP($C7, 'Match Names'!$A$1:$D$22, 2, FALSE), ""!C3:R29"")), {2;7;13;19}, FALSE)), ""=-4"") + COUNTIF(ARRAYFORMULA(HLOOKUP($B7, IMPORTRANGE('Prelim Rankings Unsorte"&amp;"d'!$B$41, CONCAT(VLOOKUP($C7, 'Match Names'!$A$1:$D$22, 3, FALSE), ""!C3:R29"")), {3;9;15;21}, FALSE)), ""=-4"") + COUNTIF(ARRAYFORMULA(HLOOKUP($B7, IMPORTRANGE('Prelim Rankings Unsorted'!$B$42, CONCAT(VLOOKUP($C7, 'Match Names'!$A$1:$D$22, 4, FALSE), ""!"&amp;"C3:R29"")), {3;9;15;21}, FALSE)), ""=-4"") + COUNTIF(ARRAYFORMULA(HLOOKUP($B7, IMPORTRANGE('Match Names'!$E$23, CONCAT(VLOOKUP($C7, 'Match Names'!$1:$22, 5, FALSE), ""!C3:R29"")), {9;14;19;24}, FALSE)), ""=-4"") + COUNTIF(ARRAYFORMULA(HLOOKUP($B7, IMPORTR"&amp;"ANGE('Match Names'!$F$23, CONCAT(VLOOKUP($C7, 'Match Names'!$1:$22, 6, FALSE), ""!C3:R29"")), {2;8;14;20}, FALSE)), ""=-4"") + COUNTIF(ARRAYFORMULA(HLOOKUP($B7, IMPORTRANGE('Match Names'!$G$23, CONCAT(VLOOKUP($C7, 'Match Names'!$1:$22, 7, FALSE), ""!C3:R2"&amp;"9"")), {6;16;20;24}, FALSE)), ""=-4"") + COUNTIF(ARRAYFORMULA(HLOOKUP($B7, IMPORTRANGE('Match Names'!$H$23, CONCAT(VLOOKUP($C7, 'Match Names'!$1:$22, 8, FALSE), ""!C3:R29"")), {2;8;14;20}, FALSE)), ""=-4"")"),0.0)</f>
        <v>0</v>
      </c>
      <c r="H7" s="33">
        <f t="shared" si="1"/>
        <v>0</v>
      </c>
      <c r="J7" s="8"/>
    </row>
    <row r="8">
      <c r="A8" s="31" t="s">
        <v>200</v>
      </c>
      <c r="B8" s="31" t="str">
        <f>VLOOKUP(CONCAT(A8, C8), 'Discord Username to Real Name'!C:D, 2, FALSE)</f>
        <v>Victoria123#0687</v>
      </c>
      <c r="C8" s="31" t="s">
        <v>5</v>
      </c>
      <c r="D8" s="32">
        <f>IFERROR(__xludf.DUMMYFUNCTION("(4 - COUNTIF(IFERROR(ARRAYFORMULA(HLOOKUP($B8, IMPORTRANGE('Prelim Rankings Unsorted'!$B$40, CONCAT(VLOOKUP($C8, 'Match Names'!$A$1:$D$22, 2, FALSE), ""!C3:R29"")), {2;7;13;19}, FALSE)), 'Player Overall Stats Unsorted'!$AA$9:$AA$12), ""=X"")) + (4 - COUNT"&amp;"IF(IFERROR(ARRAYFORMULA(HLOOKUP($B8, IMPORTRANGE('Prelim Rankings Unsorted'!$B$41, CONCAT(VLOOKUP($C8, 'Match Names'!$A$1:$D$22, 3, FALSE), ""!C3:R29"")), {3;9;15;21}, FALSE)), 'Player Overall Stats Unsorted'!$AA$9:$AA$12), ""=X"")) + (4 - COUNTIF(IFERROR"&amp;"(ARRAYFORMULA(HLOOKUP($B8, IMPORTRANGE('Prelim Rankings Unsorted'!$B$42, CONCAT(VLOOKUP($C8, 'Match Names'!$A$1:$D$22, 4, FALSE), ""!C3:R29"")), {3;9;15;21}, FALSE)), 'Player Overall Stats Unsorted'!$AA$9:$AA$12), ""=X"")) + (4 - COUNTIF(IFERROR(ARRAYFORM"&amp;"ULA(HLOOKUP($B8, IMPORTRANGE('Match Names'!$E$23, CONCAT(VLOOKUP($C8, 'Match Names'!$1:$22, 5, FALSE), ""!C3:R29"")), {9;14;19;24}, FALSE)), 'Player Overall Stats Unsorted'!$AA$9:$AA$12), ""=X"")) + (4 - COUNTIF(IFERROR(ARRAYFORMULA(HLOOKUP($B8, IMPORTRAN"&amp;"GE('Match Names'!$F$23, CONCAT(VLOOKUP($C8, 'Match Names'!$1:$22, 6, FALSE), ""!C3:R29"")), {2;8;14;20}, FALSE)), 'Player Overall Stats Unsorted'!$AA$9:$AA$12), ""=X"")) + (4 - COUNTIF(IFERROR(ARRAYFORMULA(HLOOKUP($B8, IMPORTRANGE('Match Names'!$G$23, CON"&amp;"CAT(VLOOKUP($C8, 'Match Names'!$1:$22, 7, FALSE), ""!C3:R29"")), {6;16;20;24}, FALSE)), 'Player Overall Stats Unsorted'!$AA$9:$AA$12), ""=X"")) + (4 - COUNTIF(IFERROR(ARRAYFORMULA(HLOOKUP($B8, IMPORTRANGE('Match Names'!$H$23, CONCAT(VLOOKUP($C8, 'Match Na"&amp;"mes'!$1:$22, 8, FALSE), ""!C3:R29"")), {2;8;14;20}, FALSE)), 'Player Overall Stats Unsorted'!$AA$9:$AA$12), ""=X""))"),0.0)</f>
        <v>0</v>
      </c>
      <c r="E8" s="32">
        <f>IFERROR(__xludf.DUMMYFUNCTION("COUNTIF(ARRAYFORMULA(HLOOKUP($B8, IMPORTRANGE('Prelim Rankings Unsorted'!$B$40, CONCAT(VLOOKUP($C8, 'Match Names'!$A$1:$D$22, 2, FALSE), ""!C3:R29"")), {2;7;13;19}, FALSE)), ""=4"") + COUNTIF(ARRAYFORMULA(HLOOKUP($B8, IMPORTRANGE('Prelim Rankings Unsorted"&amp;"'!$B$41, CONCAT(VLOOKUP($C8, 'Match Names'!$A$1:$D$22, 3, FALSE), ""!C3:R29"")), {3;9;15;21}, FALSE)), ""=4"") + COUNTIF(ARRAYFORMULA(HLOOKUP($B8, IMPORTRANGE('Prelim Rankings Unsorted'!$B$42, CONCAT(VLOOKUP($C8, 'Match Names'!$A$1:$D$22, 4, FALSE), ""!C3"&amp;":R29"")), {3;9;15;21}, FALSE)), ""=4"") + COUNTIF(ARRAYFORMULA(HLOOKUP($B8, IMPORTRANGE('Match Names'!$E$23, CONCAT(VLOOKUP($C8, 'Match Names'!$1:$22, 5, FALSE), ""!C3:R29"")), {9;14;19;24}, FALSE)), ""=4"") + COUNTIF(ARRAYFORMULA(HLOOKUP($B8, IMPORTRANGE"&amp;"('Match Names'!$F$23, CONCAT(VLOOKUP($C8, 'Match Names'!$1:$22, 6, FALSE), ""!C3:R29"")), {2;8;14;20}, FALSE)), ""=4"") + COUNTIF(ARRAYFORMULA(HLOOKUP($B8, IMPORTRANGE('Match Names'!$G$23, CONCAT(VLOOKUP($C8, 'Match Names'!$1:$22, 7, FALSE), ""!C3:R29""))"&amp;", {6;16;20;24}, FALSE)), ""=4"") + COUNTIF(ARRAYFORMULA(HLOOKUP($B8, IMPORTRANGE('Match Names'!$H$23, CONCAT(VLOOKUP($C8, 'Match Names'!$1:$22, 8, FALSE), ""!C3:R29"")), {2;8;14;20}, FALSE)), ""=4"")"),0.0)</f>
        <v>0</v>
      </c>
      <c r="F8" s="32">
        <f>IFERROR(__xludf.DUMMYFUNCTION("COUNTIF(ARRAYFORMULA(HLOOKUP($B8, IMPORTRANGE('Prelim Rankings Unsorted'!$B$40, CONCAT(VLOOKUP($C8, 'Match Names'!$A$1:$D$22, 2, FALSE), ""!C3:R29"")), {2;7;13;19}, FALSE)), ""=0"") + COUNTIF(ARRAYFORMULA(HLOOKUP($B8, IMPORTRANGE('Prelim Rankings Unsorted"&amp;"'!$B$41, CONCAT(VLOOKUP($C8, 'Match Names'!$A$1:$D$22, 3, FALSE), ""!C3:R29"")), {3;9;15;21}, FALSE)), ""=0"") + COUNTIF(ARRAYFORMULA(HLOOKUP($B8, IMPORTRANGE('Prelim Rankings Unsorted'!$B$42, CONCAT(VLOOKUP($C8, 'Match Names'!$A$1:$D$22, 4, FALSE), ""!C3"&amp;":R29"")), {3;9;15;21}, FALSE)), ""=0"") + COUNTIF(ARRAYFORMULA(HLOOKUP($B8, IMPORTRANGE('Match Names'!$E$23, CONCAT(VLOOKUP($C8, 'Match Names'!$1:$22, 5, FALSE), ""!C3:R29"")), {9;14;19;24}, FALSE)), ""=0"") + COUNTIF(ARRAYFORMULA(HLOOKUP($B8, IMPORTRANGE"&amp;"('Match Names'!$F$23, CONCAT(VLOOKUP($C8, 'Match Names'!$1:$22, 6, FALSE), ""!C3:R29"")), {2;8;14;20}, FALSE)), ""=0"") + COUNTIF(ARRAYFORMULA(HLOOKUP($B8, IMPORTRANGE('Match Names'!$G$23, CONCAT(VLOOKUP($C8, 'Match Names'!$1:$22, 7, FALSE), ""!C3:R29""))"&amp;", {6;16;20;24}, FALSE)), ""=0"") + COUNTIF(ARRAYFORMULA(HLOOKUP($B8, IMPORTRANGE('Match Names'!$H$23, CONCAT(VLOOKUP($C8, 'Match Names'!$1:$22, 8, FALSE), ""!C3:R29"")), {2;8;14;20}, FALSE)), ""=0"")"),0.0)</f>
        <v>0</v>
      </c>
      <c r="G8" s="32">
        <f>IFERROR(__xludf.DUMMYFUNCTION("COUNTIF(ARRAYFORMULA(HLOOKUP($B8, IMPORTRANGE('Prelim Rankings Unsorted'!$B$40, CONCAT(VLOOKUP($C8, 'Match Names'!$A$1:$D$22, 2, FALSE), ""!C3:R29"")), {2;7;13;19}, FALSE)), ""=-4"") + COUNTIF(ARRAYFORMULA(HLOOKUP($B8, IMPORTRANGE('Prelim Rankings Unsorte"&amp;"d'!$B$41, CONCAT(VLOOKUP($C8, 'Match Names'!$A$1:$D$22, 3, FALSE), ""!C3:R29"")), {3;9;15;21}, FALSE)), ""=-4"") + COUNTIF(ARRAYFORMULA(HLOOKUP($B8, IMPORTRANGE('Prelim Rankings Unsorted'!$B$42, CONCAT(VLOOKUP($C8, 'Match Names'!$A$1:$D$22, 4, FALSE), ""!"&amp;"C3:R29"")), {3;9;15;21}, FALSE)), ""=-4"") + COUNTIF(ARRAYFORMULA(HLOOKUP($B8, IMPORTRANGE('Match Names'!$E$23, CONCAT(VLOOKUP($C8, 'Match Names'!$1:$22, 5, FALSE), ""!C3:R29"")), {9;14;19;24}, FALSE)), ""=-4"") + COUNTIF(ARRAYFORMULA(HLOOKUP($B8, IMPORTR"&amp;"ANGE('Match Names'!$F$23, CONCAT(VLOOKUP($C8, 'Match Names'!$1:$22, 6, FALSE), ""!C3:R29"")), {2;8;14;20}, FALSE)), ""=-4"") + COUNTIF(ARRAYFORMULA(HLOOKUP($B8, IMPORTRANGE('Match Names'!$G$23, CONCAT(VLOOKUP($C8, 'Match Names'!$1:$22, 7, FALSE), ""!C3:R2"&amp;"9"")), {6;16;20;24}, FALSE)), ""=-4"") + COUNTIF(ARRAYFORMULA(HLOOKUP($B8, IMPORTRANGE('Match Names'!$H$23, CONCAT(VLOOKUP($C8, 'Match Names'!$1:$22, 8, FALSE), ""!C3:R29"")), {2;8;14;20}, FALSE)), ""=-4"")"),0.0)</f>
        <v>0</v>
      </c>
      <c r="H8" s="33">
        <f t="shared" si="1"/>
        <v>0</v>
      </c>
    </row>
    <row r="9">
      <c r="A9" s="31" t="s">
        <v>82</v>
      </c>
      <c r="B9" s="31" t="str">
        <f>VLOOKUP(CONCAT(A9, C9), 'Discord Username to Real Name'!C:D, 2, FALSE)</f>
        <v>IAmNotJerry#6312</v>
      </c>
      <c r="C9" s="31" t="s">
        <v>5</v>
      </c>
      <c r="D9" s="32">
        <f>IFERROR(__xludf.DUMMYFUNCTION("(4 - COUNTIF(IFERROR(ARRAYFORMULA(HLOOKUP($B9, IMPORTRANGE('Prelim Rankings Unsorted'!$B$40, CONCAT(VLOOKUP($C9, 'Match Names'!$A$1:$D$22, 2, FALSE), ""!C3:R29"")), {2;7;13;19}, FALSE)), 'Player Overall Stats Unsorted'!$AA$9:$AA$12), ""=X"")) + (4 - COUNT"&amp;"IF(IFERROR(ARRAYFORMULA(HLOOKUP($B9, IMPORTRANGE('Prelim Rankings Unsorted'!$B$41, CONCAT(VLOOKUP($C9, 'Match Names'!$A$1:$D$22, 3, FALSE), ""!C3:R29"")), {3;9;15;21}, FALSE)), 'Player Overall Stats Unsorted'!$AA$9:$AA$12), ""=X"")) + (4 - COUNTIF(IFERROR"&amp;"(ARRAYFORMULA(HLOOKUP($B9, IMPORTRANGE('Prelim Rankings Unsorted'!$B$42, CONCAT(VLOOKUP($C9, 'Match Names'!$A$1:$D$22, 4, FALSE), ""!C3:R29"")), {3;9;15;21}, FALSE)), 'Player Overall Stats Unsorted'!$AA$9:$AA$12), ""=X"")) + (4 - COUNTIF(IFERROR(ARRAYFORM"&amp;"ULA(HLOOKUP($B9, IMPORTRANGE('Match Names'!$E$23, CONCAT(VLOOKUP($C9, 'Match Names'!$1:$22, 5, FALSE), ""!C3:R29"")), {9;14;19;24}, FALSE)), 'Player Overall Stats Unsorted'!$AA$9:$AA$12), ""=X"")) + (4 - COUNTIF(IFERROR(ARRAYFORMULA(HLOOKUP($B9, IMPORTRAN"&amp;"GE('Match Names'!$F$23, CONCAT(VLOOKUP($C9, 'Match Names'!$1:$22, 6, FALSE), ""!C3:R29"")), {2;8;14;20}, FALSE)), 'Player Overall Stats Unsorted'!$AA$9:$AA$12), ""=X"")) + (4 - COUNTIF(IFERROR(ARRAYFORMULA(HLOOKUP($B9, IMPORTRANGE('Match Names'!$G$23, CON"&amp;"CAT(VLOOKUP($C9, 'Match Names'!$1:$22, 7, FALSE), ""!C3:R29"")), {6;16;20;24}, FALSE)), 'Player Overall Stats Unsorted'!$AA$9:$AA$12), ""=X"")) + (4 - COUNTIF(IFERROR(ARRAYFORMULA(HLOOKUP($B9, IMPORTRANGE('Match Names'!$H$23, CONCAT(VLOOKUP($C9, 'Match Na"&amp;"mes'!$1:$22, 8, FALSE), ""!C3:R29"")), {2;8;14;20}, FALSE)), 'Player Overall Stats Unsorted'!$AA$9:$AA$12), ""=X""))"),12.0)</f>
        <v>12</v>
      </c>
      <c r="E9" s="32">
        <f>IFERROR(__xludf.DUMMYFUNCTION("COUNTIF(ARRAYFORMULA(HLOOKUP($B9, IMPORTRANGE('Prelim Rankings Unsorted'!$B$40, CONCAT(VLOOKUP($C9, 'Match Names'!$A$1:$D$22, 2, FALSE), ""!C3:R29"")), {2;7;13;19}, FALSE)), ""=4"") + COUNTIF(ARRAYFORMULA(HLOOKUP($B9, IMPORTRANGE('Prelim Rankings Unsorted"&amp;"'!$B$41, CONCAT(VLOOKUP($C9, 'Match Names'!$A$1:$D$22, 3, FALSE), ""!C3:R29"")), {3;9;15;21}, FALSE)), ""=4"") + COUNTIF(ARRAYFORMULA(HLOOKUP($B9, IMPORTRANGE('Prelim Rankings Unsorted'!$B$42, CONCAT(VLOOKUP($C9, 'Match Names'!$A$1:$D$22, 4, FALSE), ""!C3"&amp;":R29"")), {3;9;15;21}, FALSE)), ""=4"") + COUNTIF(ARRAYFORMULA(HLOOKUP($B9, IMPORTRANGE('Match Names'!$E$23, CONCAT(VLOOKUP($C9, 'Match Names'!$1:$22, 5, FALSE), ""!C3:R29"")), {9;14;19;24}, FALSE)), ""=4"") + COUNTIF(ARRAYFORMULA(HLOOKUP($B9, IMPORTRANGE"&amp;"('Match Names'!$F$23, CONCAT(VLOOKUP($C9, 'Match Names'!$1:$22, 6, FALSE), ""!C3:R29"")), {2;8;14;20}, FALSE)), ""=4"") + COUNTIF(ARRAYFORMULA(HLOOKUP($B9, IMPORTRANGE('Match Names'!$G$23, CONCAT(VLOOKUP($C9, 'Match Names'!$1:$22, 7, FALSE), ""!C3:R29""))"&amp;", {6;16;20;24}, FALSE)), ""=4"") + COUNTIF(ARRAYFORMULA(HLOOKUP($B9, IMPORTRANGE('Match Names'!$H$23, CONCAT(VLOOKUP($C9, 'Match Names'!$1:$22, 8, FALSE), ""!C3:R29"")), {2;8;14;20}, FALSE)), ""=4"")"),1.0)</f>
        <v>1</v>
      </c>
      <c r="F9" s="32">
        <f>IFERROR(__xludf.DUMMYFUNCTION("COUNTIF(ARRAYFORMULA(HLOOKUP($B9, IMPORTRANGE('Prelim Rankings Unsorted'!$B$40, CONCAT(VLOOKUP($C9, 'Match Names'!$A$1:$D$22, 2, FALSE), ""!C3:R29"")), {2;7;13;19}, FALSE)), ""=0"") + COUNTIF(ARRAYFORMULA(HLOOKUP($B9, IMPORTRANGE('Prelim Rankings Unsorted"&amp;"'!$B$41, CONCAT(VLOOKUP($C9, 'Match Names'!$A$1:$D$22, 3, FALSE), ""!C3:R29"")), {3;9;15;21}, FALSE)), ""=0"") + COUNTIF(ARRAYFORMULA(HLOOKUP($B9, IMPORTRANGE('Prelim Rankings Unsorted'!$B$42, CONCAT(VLOOKUP($C9, 'Match Names'!$A$1:$D$22, 4, FALSE), ""!C3"&amp;":R29"")), {3;9;15;21}, FALSE)), ""=0"") + COUNTIF(ARRAYFORMULA(HLOOKUP($B9, IMPORTRANGE('Match Names'!$E$23, CONCAT(VLOOKUP($C9, 'Match Names'!$1:$22, 5, FALSE), ""!C3:R29"")), {9;14;19;24}, FALSE)), ""=0"") + COUNTIF(ARRAYFORMULA(HLOOKUP($B9, IMPORTRANGE"&amp;"('Match Names'!$F$23, CONCAT(VLOOKUP($C9, 'Match Names'!$1:$22, 6, FALSE), ""!C3:R29"")), {2;8;14;20}, FALSE)), ""=0"") + COUNTIF(ARRAYFORMULA(HLOOKUP($B9, IMPORTRANGE('Match Names'!$G$23, CONCAT(VLOOKUP($C9, 'Match Names'!$1:$22, 7, FALSE), ""!C3:R29""))"&amp;", {6;16;20;24}, FALSE)), ""=0"") + COUNTIF(ARRAYFORMULA(HLOOKUP($B9, IMPORTRANGE('Match Names'!$H$23, CONCAT(VLOOKUP($C9, 'Match Names'!$1:$22, 8, FALSE), ""!C3:R29"")), {2;8;14;20}, FALSE)), ""=0"")"),1.0)</f>
        <v>1</v>
      </c>
      <c r="G9" s="32">
        <f>IFERROR(__xludf.DUMMYFUNCTION("COUNTIF(ARRAYFORMULA(HLOOKUP($B9, IMPORTRANGE('Prelim Rankings Unsorted'!$B$40, CONCAT(VLOOKUP($C9, 'Match Names'!$A$1:$D$22, 2, FALSE), ""!C3:R29"")), {2;7;13;19}, FALSE)), ""=-4"") + COUNTIF(ARRAYFORMULA(HLOOKUP($B9, IMPORTRANGE('Prelim Rankings Unsorte"&amp;"d'!$B$41, CONCAT(VLOOKUP($C9, 'Match Names'!$A$1:$D$22, 3, FALSE), ""!C3:R29"")), {3;9;15;21}, FALSE)), ""=-4"") + COUNTIF(ARRAYFORMULA(HLOOKUP($B9, IMPORTRANGE('Prelim Rankings Unsorted'!$B$42, CONCAT(VLOOKUP($C9, 'Match Names'!$A$1:$D$22, 4, FALSE), ""!"&amp;"C3:R29"")), {3;9;15;21}, FALSE)), ""=-4"") + COUNTIF(ARRAYFORMULA(HLOOKUP($B9, IMPORTRANGE('Match Names'!$E$23, CONCAT(VLOOKUP($C9, 'Match Names'!$1:$22, 5, FALSE), ""!C3:R29"")), {9;14;19;24}, FALSE)), ""=-4"") + COUNTIF(ARRAYFORMULA(HLOOKUP($B9, IMPORTR"&amp;"ANGE('Match Names'!$F$23, CONCAT(VLOOKUP($C9, 'Match Names'!$1:$22, 6, FALSE), ""!C3:R29"")), {2;8;14;20}, FALSE)), ""=-4"") + COUNTIF(ARRAYFORMULA(HLOOKUP($B9, IMPORTRANGE('Match Names'!$G$23, CONCAT(VLOOKUP($C9, 'Match Names'!$1:$22, 7, FALSE), ""!C3:R2"&amp;"9"")), {6;16;20;24}, FALSE)), ""=-4"") + COUNTIF(ARRAYFORMULA(HLOOKUP($B9, IMPORTRANGE('Match Names'!$H$23, CONCAT(VLOOKUP($C9, 'Match Names'!$1:$22, 8, FALSE), ""!C3:R29"")), {2;8;14;20}, FALSE)), ""=-4"")"),0.0)</f>
        <v>0</v>
      </c>
      <c r="H9" s="33">
        <f t="shared" si="1"/>
        <v>1.33</v>
      </c>
    </row>
    <row r="10">
      <c r="A10" s="31" t="s">
        <v>196</v>
      </c>
      <c r="B10" s="31" t="str">
        <f>VLOOKUP(CONCAT(A10, C10), 'Discord Username to Real Name'!C:D, 2, FALSE)</f>
        <v>haybales#0656</v>
      </c>
      <c r="C10" s="21" t="s">
        <v>17</v>
      </c>
      <c r="D10" s="32">
        <f>IFERROR(__xludf.DUMMYFUNCTION("(4 - COUNTIF(IFERROR(ARRAYFORMULA(HLOOKUP($B10, IMPORTRANGE('Prelim Rankings Unsorted'!$B$40, CONCAT(VLOOKUP($C10, 'Match Names'!$A$1:$D$22, 2, FALSE), ""!C3:R29"")), {2;7;13;19}, FALSE)), 'Player Overall Stats Unsorted'!$AA$9:$AA$12), ""=X"")) + (4 - COU"&amp;"NTIF(IFERROR(ARRAYFORMULA(HLOOKUP($B10, IMPORTRANGE('Prelim Rankings Unsorted'!$B$41, CONCAT(VLOOKUP($C10, 'Match Names'!$A$1:$D$22, 3, FALSE), ""!C3:R29"")), {3;9;15;21}, FALSE)), 'Player Overall Stats Unsorted'!$AA$9:$AA$12), ""=X"")) + (4 - COUNTIF(IFE"&amp;"RROR(ARRAYFORMULA(HLOOKUP($B10, IMPORTRANGE('Prelim Rankings Unsorted'!$B$42, CONCAT(VLOOKUP($C10, 'Match Names'!$A$1:$D$22, 4, FALSE), ""!C3:R29"")), {3;9;15;21}, FALSE)), 'Player Overall Stats Unsorted'!$AA$9:$AA$12), ""=X"")) + (4 - COUNTIF(IFERROR(ARR"&amp;"AYFORMULA(HLOOKUP($B10, IMPORTRANGE('Match Names'!$E$23, CONCAT(VLOOKUP($C10, 'Match Names'!$1:$22, 5, FALSE), ""!C3:R29"")), {9;14;19;24}, FALSE)), 'Player Overall Stats Unsorted'!$AA$9:$AA$12), ""=X"")) + (4 - COUNTIF(IFERROR(ARRAYFORMULA(HLOOKUP($B10, "&amp;"IMPORTRANGE('Match Names'!$F$23, CONCAT(VLOOKUP($C10, 'Match Names'!$1:$22, 6, FALSE), ""!C3:R29"")), {2;8;14;20}, FALSE)), 'Player Overall Stats Unsorted'!$AA$9:$AA$12), ""=X"")) + (4 - COUNTIF(IFERROR(ARRAYFORMULA(HLOOKUP($B10, IMPORTRANGE('Match Names'"&amp;"!$G$23, CONCAT(VLOOKUP($C10, 'Match Names'!$1:$22, 7, FALSE), ""!C3:R29"")), {6;16;20;24}, FALSE)), 'Player Overall Stats Unsorted'!$AA$9:$AA$12), ""=X"")) + (4 - COUNTIF(IFERROR(ARRAYFORMULA(HLOOKUP($B10, IMPORTRANGE('Match Names'!$H$23, CONCAT(VLOOKUP($"&amp;"C10, 'Match Names'!$1:$22, 8, FALSE), ""!C3:R29"")), {2;8;14;20}, FALSE)), 'Player Overall Stats Unsorted'!$AA$9:$AA$12), ""=X""))"),0.0)</f>
        <v>0</v>
      </c>
      <c r="E10" s="32">
        <f>IFERROR(__xludf.DUMMYFUNCTION("COUNTIF(ARRAYFORMULA(HLOOKUP($B10, IMPORTRANGE('Prelim Rankings Unsorted'!$B$40, CONCAT(VLOOKUP($C10, 'Match Names'!$A$1:$D$22, 2, FALSE), ""!C3:R29"")), {2;7;13;19}, FALSE)), ""=4"") + COUNTIF(ARRAYFORMULA(HLOOKUP($B10, IMPORTRANGE('Prelim Rankings Unsor"&amp;"ted'!$B$41, CONCAT(VLOOKUP($C10, 'Match Names'!$A$1:$D$22, 3, FALSE), ""!C3:R29"")), {3;9;15;21}, FALSE)), ""=4"") + COUNTIF(ARRAYFORMULA(HLOOKUP($B10, IMPORTRANGE('Prelim Rankings Unsorted'!$B$42, CONCAT(VLOOKUP($C10, 'Match Names'!$A$1:$D$22, 4, FALSE),"&amp;" ""!C3:R29"")), {3;9;15;21}, FALSE)), ""=4"") + COUNTIF(ARRAYFORMULA(HLOOKUP($B10, IMPORTRANGE('Match Names'!$E$23, CONCAT(VLOOKUP($C10, 'Match Names'!$1:$22, 5, FALSE), ""!C3:R29"")), {9;14;19;24}, FALSE)), ""=4"") + COUNTIF(ARRAYFORMULA(HLOOKUP($B10, IM"&amp;"PORTRANGE('Match Names'!$F$23, CONCAT(VLOOKUP($C10, 'Match Names'!$1:$22, 6, FALSE), ""!C3:R29"")), {2;8;14;20}, FALSE)), ""=4"") + COUNTIF(ARRAYFORMULA(HLOOKUP($B10, IMPORTRANGE('Match Names'!$G$23, CONCAT(VLOOKUP($C10, 'Match Names'!$1:$22, 7, FALSE), "&amp;"""!C3:R29"")), {6;16;20;24}, FALSE)), ""=4"") + COUNTIF(ARRAYFORMULA(HLOOKUP($B10, IMPORTRANGE('Match Names'!$H$23, CONCAT(VLOOKUP($C10, 'Match Names'!$1:$22, 8, FALSE), ""!C3:R29"")), {2;8;14;20}, FALSE)), ""=4"")"),0.0)</f>
        <v>0</v>
      </c>
      <c r="F10" s="32">
        <f>IFERROR(__xludf.DUMMYFUNCTION("COUNTIF(ARRAYFORMULA(HLOOKUP($B10, IMPORTRANGE('Prelim Rankings Unsorted'!$B$40, CONCAT(VLOOKUP($C10, 'Match Names'!$A$1:$D$22, 2, FALSE), ""!C3:R29"")), {2;7;13;19}, FALSE)), ""=0"") + COUNTIF(ARRAYFORMULA(HLOOKUP($B10, IMPORTRANGE('Prelim Rankings Unsor"&amp;"ted'!$B$41, CONCAT(VLOOKUP($C10, 'Match Names'!$A$1:$D$22, 3, FALSE), ""!C3:R29"")), {3;9;15;21}, FALSE)), ""=0"") + COUNTIF(ARRAYFORMULA(HLOOKUP($B10, IMPORTRANGE('Prelim Rankings Unsorted'!$B$42, CONCAT(VLOOKUP($C10, 'Match Names'!$A$1:$D$22, 4, FALSE),"&amp;" ""!C3:R29"")), {3;9;15;21}, FALSE)), ""=0"") + COUNTIF(ARRAYFORMULA(HLOOKUP($B10, IMPORTRANGE('Match Names'!$E$23, CONCAT(VLOOKUP($C10, 'Match Names'!$1:$22, 5, FALSE), ""!C3:R29"")), {9;14;19;24}, FALSE)), ""=0"") + COUNTIF(ARRAYFORMULA(HLOOKUP($B10, IM"&amp;"PORTRANGE('Match Names'!$F$23, CONCAT(VLOOKUP($C10, 'Match Names'!$1:$22, 6, FALSE), ""!C3:R29"")), {2;8;14;20}, FALSE)), ""=0"") + COUNTIF(ARRAYFORMULA(HLOOKUP($B10, IMPORTRANGE('Match Names'!$G$23, CONCAT(VLOOKUP($C10, 'Match Names'!$1:$22, 7, FALSE), "&amp;"""!C3:R29"")), {6;16;20;24}, FALSE)), ""=0"") + COUNTIF(ARRAYFORMULA(HLOOKUP($B10, IMPORTRANGE('Match Names'!$H$23, CONCAT(VLOOKUP($C10, 'Match Names'!$1:$22, 8, FALSE), ""!C3:R29"")), {2;8;14;20}, FALSE)), ""=0"")"),0.0)</f>
        <v>0</v>
      </c>
      <c r="G10" s="32">
        <f>IFERROR(__xludf.DUMMYFUNCTION("COUNTIF(ARRAYFORMULA(HLOOKUP($B10, IMPORTRANGE('Prelim Rankings Unsorted'!$B$40, CONCAT(VLOOKUP($C10, 'Match Names'!$A$1:$D$22, 2, FALSE), ""!C3:R29"")), {2;7;13;19}, FALSE)), ""=-4"") + COUNTIF(ARRAYFORMULA(HLOOKUP($B10, IMPORTRANGE('Prelim Rankings Unso"&amp;"rted'!$B$41, CONCAT(VLOOKUP($C10, 'Match Names'!$A$1:$D$22, 3, FALSE), ""!C3:R29"")), {3;9;15;21}, FALSE)), ""=-4"") + COUNTIF(ARRAYFORMULA(HLOOKUP($B10, IMPORTRANGE('Prelim Rankings Unsorted'!$B$42, CONCAT(VLOOKUP($C10, 'Match Names'!$A$1:$D$22, 4, FALSE"&amp;"), ""!C3:R29"")), {3;9;15;21}, FALSE)), ""=-4"") + COUNTIF(ARRAYFORMULA(HLOOKUP($B10, IMPORTRANGE('Match Names'!$E$23, CONCAT(VLOOKUP($C10, 'Match Names'!$1:$22, 5, FALSE), ""!C3:R29"")), {9;14;19;24}, FALSE)), ""=-4"") + COUNTIF(ARRAYFORMULA(HLOOKUP($B10"&amp;", IMPORTRANGE('Match Names'!$F$23, CONCAT(VLOOKUP($C10, 'Match Names'!$1:$22, 6, FALSE), ""!C3:R29"")), {2;8;14;20}, FALSE)), ""=-4"") + COUNTIF(ARRAYFORMULA(HLOOKUP($B10, IMPORTRANGE('Match Names'!$G$23, CONCAT(VLOOKUP($C10, 'Match Names'!$1:$22, 7, FALS"&amp;"E), ""!C3:R29"")), {6;16;20;24}, FALSE)), ""=-4"") + COUNTIF(ARRAYFORMULA(HLOOKUP($B10, IMPORTRANGE('Match Names'!$H$23, CONCAT(VLOOKUP($C10, 'Match Names'!$1:$22, 8, FALSE), ""!C3:R29"")), {2;8;14;20}, FALSE)), ""=-4"")"),0.0)</f>
        <v>0</v>
      </c>
      <c r="H10" s="33">
        <f t="shared" si="1"/>
        <v>0</v>
      </c>
    </row>
    <row r="11">
      <c r="A11" s="31" t="s">
        <v>194</v>
      </c>
      <c r="B11" s="31" t="str">
        <f>VLOOKUP(CONCAT(A11, C11), 'Discord Username to Real Name'!C:D, 2, FALSE)</f>
        <v>ez#5904</v>
      </c>
      <c r="C11" s="21" t="s">
        <v>17</v>
      </c>
      <c r="D11" s="32">
        <f>IFERROR(__xludf.DUMMYFUNCTION("(4 - COUNTIF(IFERROR(ARRAYFORMULA(HLOOKUP($B11, IMPORTRANGE('Prelim Rankings Unsorted'!$B$40, CONCAT(VLOOKUP($C11, 'Match Names'!$A$1:$D$22, 2, FALSE), ""!C3:R29"")), {2;7;13;19}, FALSE)), 'Player Overall Stats Unsorted'!$AA$9:$AA$12), ""=X"")) + (4 - COU"&amp;"NTIF(IFERROR(ARRAYFORMULA(HLOOKUP($B11, IMPORTRANGE('Prelim Rankings Unsorted'!$B$41, CONCAT(VLOOKUP($C11, 'Match Names'!$A$1:$D$22, 3, FALSE), ""!C3:R29"")), {3;9;15;21}, FALSE)), 'Player Overall Stats Unsorted'!$AA$9:$AA$12), ""=X"")) + (4 - COUNTIF(IFE"&amp;"RROR(ARRAYFORMULA(HLOOKUP($B11, IMPORTRANGE('Prelim Rankings Unsorted'!$B$42, CONCAT(VLOOKUP($C11, 'Match Names'!$A$1:$D$22, 4, FALSE), ""!C3:R29"")), {3;9;15;21}, FALSE)), 'Player Overall Stats Unsorted'!$AA$9:$AA$12), ""=X"")) + (4 - COUNTIF(IFERROR(ARR"&amp;"AYFORMULA(HLOOKUP($B11, IMPORTRANGE('Match Names'!$E$23, CONCAT(VLOOKUP($C11, 'Match Names'!$1:$22, 5, FALSE), ""!C3:R29"")), {9;14;19;24}, FALSE)), 'Player Overall Stats Unsorted'!$AA$9:$AA$12), ""=X"")) + (4 - COUNTIF(IFERROR(ARRAYFORMULA(HLOOKUP($B11, "&amp;"IMPORTRANGE('Match Names'!$F$23, CONCAT(VLOOKUP($C11, 'Match Names'!$1:$22, 6, FALSE), ""!C3:R29"")), {2;8;14;20}, FALSE)), 'Player Overall Stats Unsorted'!$AA$9:$AA$12), ""=X"")) + (4 - COUNTIF(IFERROR(ARRAYFORMULA(HLOOKUP($B11, IMPORTRANGE('Match Names'"&amp;"!$G$23, CONCAT(VLOOKUP($C11, 'Match Names'!$1:$22, 7, FALSE), ""!C3:R29"")), {6;16;20;24}, FALSE)), 'Player Overall Stats Unsorted'!$AA$9:$AA$12), ""=X"")) + (4 - COUNTIF(IFERROR(ARRAYFORMULA(HLOOKUP($B11, IMPORTRANGE('Match Names'!$H$23, CONCAT(VLOOKUP($"&amp;"C11, 'Match Names'!$1:$22, 8, FALSE), ""!C3:R29"")), {2;8;14;20}, FALSE)), 'Player Overall Stats Unsorted'!$AA$9:$AA$12), ""=X""))"),0.0)</f>
        <v>0</v>
      </c>
      <c r="E11" s="32">
        <f>IFERROR(__xludf.DUMMYFUNCTION("COUNTIF(ARRAYFORMULA(HLOOKUP($B11, IMPORTRANGE('Prelim Rankings Unsorted'!$B$40, CONCAT(VLOOKUP($C11, 'Match Names'!$A$1:$D$22, 2, FALSE), ""!C3:R29"")), {2;7;13;19}, FALSE)), ""=4"") + COUNTIF(ARRAYFORMULA(HLOOKUP($B11, IMPORTRANGE('Prelim Rankings Unsor"&amp;"ted'!$B$41, CONCAT(VLOOKUP($C11, 'Match Names'!$A$1:$D$22, 3, FALSE), ""!C3:R29"")), {3;9;15;21}, FALSE)), ""=4"") + COUNTIF(ARRAYFORMULA(HLOOKUP($B11, IMPORTRANGE('Prelim Rankings Unsorted'!$B$42, CONCAT(VLOOKUP($C11, 'Match Names'!$A$1:$D$22, 4, FALSE),"&amp;" ""!C3:R29"")), {3;9;15;21}, FALSE)), ""=4"") + COUNTIF(ARRAYFORMULA(HLOOKUP($B11, IMPORTRANGE('Match Names'!$E$23, CONCAT(VLOOKUP($C11, 'Match Names'!$1:$22, 5, FALSE), ""!C3:R29"")), {9;14;19;24}, FALSE)), ""=4"") + COUNTIF(ARRAYFORMULA(HLOOKUP($B11, IM"&amp;"PORTRANGE('Match Names'!$F$23, CONCAT(VLOOKUP($C11, 'Match Names'!$1:$22, 6, FALSE), ""!C3:R29"")), {2;8;14;20}, FALSE)), ""=4"") + COUNTIF(ARRAYFORMULA(HLOOKUP($B11, IMPORTRANGE('Match Names'!$G$23, CONCAT(VLOOKUP($C11, 'Match Names'!$1:$22, 7, FALSE), "&amp;"""!C3:R29"")), {6;16;20;24}, FALSE)), ""=4"") + COUNTIF(ARRAYFORMULA(HLOOKUP($B11, IMPORTRANGE('Match Names'!$H$23, CONCAT(VLOOKUP($C11, 'Match Names'!$1:$22, 8, FALSE), ""!C3:R29"")), {2;8;14;20}, FALSE)), ""=4"")"),0.0)</f>
        <v>0</v>
      </c>
      <c r="F11" s="32">
        <f>IFERROR(__xludf.DUMMYFUNCTION("COUNTIF(ARRAYFORMULA(HLOOKUP($B11, IMPORTRANGE('Prelim Rankings Unsorted'!$B$40, CONCAT(VLOOKUP($C11, 'Match Names'!$A$1:$D$22, 2, FALSE), ""!C3:R29"")), {2;7;13;19}, FALSE)), ""=0"") + COUNTIF(ARRAYFORMULA(HLOOKUP($B11, IMPORTRANGE('Prelim Rankings Unsor"&amp;"ted'!$B$41, CONCAT(VLOOKUP($C11, 'Match Names'!$A$1:$D$22, 3, FALSE), ""!C3:R29"")), {3;9;15;21}, FALSE)), ""=0"") + COUNTIF(ARRAYFORMULA(HLOOKUP($B11, IMPORTRANGE('Prelim Rankings Unsorted'!$B$42, CONCAT(VLOOKUP($C11, 'Match Names'!$A$1:$D$22, 4, FALSE),"&amp;" ""!C3:R29"")), {3;9;15;21}, FALSE)), ""=0"") + COUNTIF(ARRAYFORMULA(HLOOKUP($B11, IMPORTRANGE('Match Names'!$E$23, CONCAT(VLOOKUP($C11, 'Match Names'!$1:$22, 5, FALSE), ""!C3:R29"")), {9;14;19;24}, FALSE)), ""=0"") + COUNTIF(ARRAYFORMULA(HLOOKUP($B11, IM"&amp;"PORTRANGE('Match Names'!$F$23, CONCAT(VLOOKUP($C11, 'Match Names'!$1:$22, 6, FALSE), ""!C3:R29"")), {2;8;14;20}, FALSE)), ""=0"") + COUNTIF(ARRAYFORMULA(HLOOKUP($B11, IMPORTRANGE('Match Names'!$G$23, CONCAT(VLOOKUP($C11, 'Match Names'!$1:$22, 7, FALSE), "&amp;"""!C3:R29"")), {6;16;20;24}, FALSE)), ""=0"") + COUNTIF(ARRAYFORMULA(HLOOKUP($B11, IMPORTRANGE('Match Names'!$H$23, CONCAT(VLOOKUP($C11, 'Match Names'!$1:$22, 8, FALSE), ""!C3:R29"")), {2;8;14;20}, FALSE)), ""=0"")"),0.0)</f>
        <v>0</v>
      </c>
      <c r="G11" s="32">
        <f>IFERROR(__xludf.DUMMYFUNCTION("COUNTIF(ARRAYFORMULA(HLOOKUP($B11, IMPORTRANGE('Prelim Rankings Unsorted'!$B$40, CONCAT(VLOOKUP($C11, 'Match Names'!$A$1:$D$22, 2, FALSE), ""!C3:R29"")), {2;7;13;19}, FALSE)), ""=-4"") + COUNTIF(ARRAYFORMULA(HLOOKUP($B11, IMPORTRANGE('Prelim Rankings Unso"&amp;"rted'!$B$41, CONCAT(VLOOKUP($C11, 'Match Names'!$A$1:$D$22, 3, FALSE), ""!C3:R29"")), {3;9;15;21}, FALSE)), ""=-4"") + COUNTIF(ARRAYFORMULA(HLOOKUP($B11, IMPORTRANGE('Prelim Rankings Unsorted'!$B$42, CONCAT(VLOOKUP($C11, 'Match Names'!$A$1:$D$22, 4, FALSE"&amp;"), ""!C3:R29"")), {3;9;15;21}, FALSE)), ""=-4"") + COUNTIF(ARRAYFORMULA(HLOOKUP($B11, IMPORTRANGE('Match Names'!$E$23, CONCAT(VLOOKUP($C11, 'Match Names'!$1:$22, 5, FALSE), ""!C3:R29"")), {9;14;19;24}, FALSE)), ""=-4"") + COUNTIF(ARRAYFORMULA(HLOOKUP($B11"&amp;", IMPORTRANGE('Match Names'!$F$23, CONCAT(VLOOKUP($C11, 'Match Names'!$1:$22, 6, FALSE), ""!C3:R29"")), {2;8;14;20}, FALSE)), ""=-4"") + COUNTIF(ARRAYFORMULA(HLOOKUP($B11, IMPORTRANGE('Match Names'!$G$23, CONCAT(VLOOKUP($C11, 'Match Names'!$1:$22, 7, FALS"&amp;"E), ""!C3:R29"")), {6;16;20;24}, FALSE)), ""=-4"") + COUNTIF(ARRAYFORMULA(HLOOKUP($B11, IMPORTRANGE('Match Names'!$H$23, CONCAT(VLOOKUP($C11, 'Match Names'!$1:$22, 8, FALSE), ""!C3:R29"")), {2;8;14;20}, FALSE)), ""=-4"")"),0.0)</f>
        <v>0</v>
      </c>
      <c r="H11" s="33">
        <f t="shared" si="1"/>
        <v>0</v>
      </c>
    </row>
    <row r="12">
      <c r="A12" s="31" t="s">
        <v>35</v>
      </c>
      <c r="B12" s="31" t="str">
        <f>VLOOKUP(CONCAT(A12, C12), 'Discord Username to Real Name'!C:D, 2, FALSE)</f>
        <v>borb#6872</v>
      </c>
      <c r="C12" s="21" t="s">
        <v>17</v>
      </c>
      <c r="D12" s="32">
        <f>IFERROR(__xludf.DUMMYFUNCTION("(4 - COUNTIF(IFERROR(ARRAYFORMULA(HLOOKUP($B12, IMPORTRANGE('Prelim Rankings Unsorted'!$B$40, CONCAT(VLOOKUP($C12, 'Match Names'!$A$1:$D$22, 2, FALSE), ""!C3:R29"")), {2;7;13;19}, FALSE)), 'Player Overall Stats Unsorted'!$AA$9:$AA$12), ""=X"")) + (4 - COU"&amp;"NTIF(IFERROR(ARRAYFORMULA(HLOOKUP($B12, IMPORTRANGE('Prelim Rankings Unsorted'!$B$41, CONCAT(VLOOKUP($C12, 'Match Names'!$A$1:$D$22, 3, FALSE), ""!C3:R29"")), {3;9;15;21}, FALSE)), 'Player Overall Stats Unsorted'!$AA$9:$AA$12), ""=X"")) + (4 - COUNTIF(IFE"&amp;"RROR(ARRAYFORMULA(HLOOKUP($B12, IMPORTRANGE('Prelim Rankings Unsorted'!$B$42, CONCAT(VLOOKUP($C12, 'Match Names'!$A$1:$D$22, 4, FALSE), ""!C3:R29"")), {3;9;15;21}, FALSE)), 'Player Overall Stats Unsorted'!$AA$9:$AA$12), ""=X"")) + (4 - COUNTIF(IFERROR(ARR"&amp;"AYFORMULA(HLOOKUP($B12, IMPORTRANGE('Match Names'!$E$23, CONCAT(VLOOKUP($C12, 'Match Names'!$1:$22, 5, FALSE), ""!C3:R29"")), {9;14;19;24}, FALSE)), 'Player Overall Stats Unsorted'!$AA$9:$AA$12), ""=X"")) + (4 - COUNTIF(IFERROR(ARRAYFORMULA(HLOOKUP($B12, "&amp;"IMPORTRANGE('Match Names'!$F$23, CONCAT(VLOOKUP($C12, 'Match Names'!$1:$22, 6, FALSE), ""!C3:R29"")), {2;8;14;20}, FALSE)), 'Player Overall Stats Unsorted'!$AA$9:$AA$12), ""=X"")) + (4 - COUNTIF(IFERROR(ARRAYFORMULA(HLOOKUP($B12, IMPORTRANGE('Match Names'"&amp;"!$G$23, CONCAT(VLOOKUP($C12, 'Match Names'!$1:$22, 7, FALSE), ""!C3:R29"")), {6;16;20;24}, FALSE)), 'Player Overall Stats Unsorted'!$AA$9:$AA$12), ""=X"")) + (4 - COUNTIF(IFERROR(ARRAYFORMULA(HLOOKUP($B12, IMPORTRANGE('Match Names'!$H$23, CONCAT(VLOOKUP($"&amp;"C12, 'Match Names'!$1:$22, 8, FALSE), ""!C3:R29"")), {2;8;14;20}, FALSE)), 'Player Overall Stats Unsorted'!$AA$9:$AA$12), ""=X""))"),16.0)</f>
        <v>16</v>
      </c>
      <c r="E12" s="32">
        <f>IFERROR(__xludf.DUMMYFUNCTION("COUNTIF(ARRAYFORMULA(HLOOKUP($B12, IMPORTRANGE('Prelim Rankings Unsorted'!$B$40, CONCAT(VLOOKUP($C12, 'Match Names'!$A$1:$D$22, 2, FALSE), ""!C3:R29"")), {2;7;13;19}, FALSE)), ""=4"") + COUNTIF(ARRAYFORMULA(HLOOKUP($B12, IMPORTRANGE('Prelim Rankings Unsor"&amp;"ted'!$B$41, CONCAT(VLOOKUP($C12, 'Match Names'!$A$1:$D$22, 3, FALSE), ""!C3:R29"")), {3;9;15;21}, FALSE)), ""=4"") + COUNTIF(ARRAYFORMULA(HLOOKUP($B12, IMPORTRANGE('Prelim Rankings Unsorted'!$B$42, CONCAT(VLOOKUP($C12, 'Match Names'!$A$1:$D$22, 4, FALSE),"&amp;" ""!C3:R29"")), {3;9;15;21}, FALSE)), ""=4"") + COUNTIF(ARRAYFORMULA(HLOOKUP($B12, IMPORTRANGE('Match Names'!$E$23, CONCAT(VLOOKUP($C12, 'Match Names'!$1:$22, 5, FALSE), ""!C3:R29"")), {9;14;19;24}, FALSE)), ""=4"") + COUNTIF(ARRAYFORMULA(HLOOKUP($B12, IM"&amp;"PORTRANGE('Match Names'!$F$23, CONCAT(VLOOKUP($C12, 'Match Names'!$1:$22, 6, FALSE), ""!C3:R29"")), {2;8;14;20}, FALSE)), ""=4"") + COUNTIF(ARRAYFORMULA(HLOOKUP($B12, IMPORTRANGE('Match Names'!$G$23, CONCAT(VLOOKUP($C12, 'Match Names'!$1:$22, 7, FALSE), "&amp;"""!C3:R29"")), {6;16;20;24}, FALSE)), ""=4"") + COUNTIF(ARRAYFORMULA(HLOOKUP($B12, IMPORTRANGE('Match Names'!$H$23, CONCAT(VLOOKUP($C12, 'Match Names'!$1:$22, 8, FALSE), ""!C3:R29"")), {2;8;14;20}, FALSE)), ""=4"")"),0.0)</f>
        <v>0</v>
      </c>
      <c r="F12" s="32">
        <f>IFERROR(__xludf.DUMMYFUNCTION("COUNTIF(ARRAYFORMULA(HLOOKUP($B12, IMPORTRANGE('Prelim Rankings Unsorted'!$B$40, CONCAT(VLOOKUP($C12, 'Match Names'!$A$1:$D$22, 2, FALSE), ""!C3:R29"")), {2;7;13;19}, FALSE)), ""=0"") + COUNTIF(ARRAYFORMULA(HLOOKUP($B12, IMPORTRANGE('Prelim Rankings Unsor"&amp;"ted'!$B$41, CONCAT(VLOOKUP($C12, 'Match Names'!$A$1:$D$22, 3, FALSE), ""!C3:R29"")), {3;9;15;21}, FALSE)), ""=0"") + COUNTIF(ARRAYFORMULA(HLOOKUP($B12, IMPORTRANGE('Prelim Rankings Unsorted'!$B$42, CONCAT(VLOOKUP($C12, 'Match Names'!$A$1:$D$22, 4, FALSE),"&amp;" ""!C3:R29"")), {3;9;15;21}, FALSE)), ""=0"") + COUNTIF(ARRAYFORMULA(HLOOKUP($B12, IMPORTRANGE('Match Names'!$E$23, CONCAT(VLOOKUP($C12, 'Match Names'!$1:$22, 5, FALSE), ""!C3:R29"")), {9;14;19;24}, FALSE)), ""=0"") + COUNTIF(ARRAYFORMULA(HLOOKUP($B12, IM"&amp;"PORTRANGE('Match Names'!$F$23, CONCAT(VLOOKUP($C12, 'Match Names'!$1:$22, 6, FALSE), ""!C3:R29"")), {2;8;14;20}, FALSE)), ""=0"") + COUNTIF(ARRAYFORMULA(HLOOKUP($B12, IMPORTRANGE('Match Names'!$G$23, CONCAT(VLOOKUP($C12, 'Match Names'!$1:$22, 7, FALSE), "&amp;"""!C3:R29"")), {6;16;20;24}, FALSE)), ""=0"") + COUNTIF(ARRAYFORMULA(HLOOKUP($B12, IMPORTRANGE('Match Names'!$H$23, CONCAT(VLOOKUP($C12, 'Match Names'!$1:$22, 8, FALSE), ""!C3:R29"")), {2;8;14;20}, FALSE)), ""=0"")"),3.0)</f>
        <v>3</v>
      </c>
      <c r="G12" s="32">
        <f>IFERROR(__xludf.DUMMYFUNCTION("COUNTIF(ARRAYFORMULA(HLOOKUP($B12, IMPORTRANGE('Prelim Rankings Unsorted'!$B$40, CONCAT(VLOOKUP($C12, 'Match Names'!$A$1:$D$22, 2, FALSE), ""!C3:R29"")), {2;7;13;19}, FALSE)), ""=-4"") + COUNTIF(ARRAYFORMULA(HLOOKUP($B12, IMPORTRANGE('Prelim Rankings Unso"&amp;"rted'!$B$41, CONCAT(VLOOKUP($C12, 'Match Names'!$A$1:$D$22, 3, FALSE), ""!C3:R29"")), {3;9;15;21}, FALSE)), ""=-4"") + COUNTIF(ARRAYFORMULA(HLOOKUP($B12, IMPORTRANGE('Prelim Rankings Unsorted'!$B$42, CONCAT(VLOOKUP($C12, 'Match Names'!$A$1:$D$22, 4, FALSE"&amp;"), ""!C3:R29"")), {3;9;15;21}, FALSE)), ""=-4"") + COUNTIF(ARRAYFORMULA(HLOOKUP($B12, IMPORTRANGE('Match Names'!$E$23, CONCAT(VLOOKUP($C12, 'Match Names'!$1:$22, 5, FALSE), ""!C3:R29"")), {9;14;19;24}, FALSE)), ""=-4"") + COUNTIF(ARRAYFORMULA(HLOOKUP($B12"&amp;", IMPORTRANGE('Match Names'!$F$23, CONCAT(VLOOKUP($C12, 'Match Names'!$1:$22, 6, FALSE), ""!C3:R29"")), {2;8;14;20}, FALSE)), ""=-4"") + COUNTIF(ARRAYFORMULA(HLOOKUP($B12, IMPORTRANGE('Match Names'!$G$23, CONCAT(VLOOKUP($C12, 'Match Names'!$1:$22, 7, FALS"&amp;"E), ""!C3:R29"")), {6;16;20;24}, FALSE)), ""=-4"") + COUNTIF(ARRAYFORMULA(HLOOKUP($B12, IMPORTRANGE('Match Names'!$H$23, CONCAT(VLOOKUP($C12, 'Match Names'!$1:$22, 8, FALSE), ""!C3:R29"")), {2;8;14;20}, FALSE)), ""=-4"")"),0.0)</f>
        <v>0</v>
      </c>
      <c r="H12" s="33">
        <f t="shared" si="1"/>
        <v>0</v>
      </c>
    </row>
    <row r="13">
      <c r="A13" s="31" t="s">
        <v>158</v>
      </c>
      <c r="B13" s="31" t="str">
        <f>VLOOKUP(CONCAT(A13, C13), 'Discord Username to Real Name'!C:D, 2, FALSE)</f>
        <v>TreefallGap#0407</v>
      </c>
      <c r="C13" s="21" t="s">
        <v>17</v>
      </c>
      <c r="D13" s="32">
        <f>IFERROR(__xludf.DUMMYFUNCTION("(4 - COUNTIF(IFERROR(ARRAYFORMULA(HLOOKUP($B13, IMPORTRANGE('Prelim Rankings Unsorted'!$B$40, CONCAT(VLOOKUP($C13, 'Match Names'!$A$1:$D$22, 2, FALSE), ""!C3:R29"")), {2;7;13;19}, FALSE)), 'Player Overall Stats Unsorted'!$AA$9:$AA$12), ""=X"")) + (4 - COU"&amp;"NTIF(IFERROR(ARRAYFORMULA(HLOOKUP($B13, IMPORTRANGE('Prelim Rankings Unsorted'!$B$41, CONCAT(VLOOKUP($C13, 'Match Names'!$A$1:$D$22, 3, FALSE), ""!C3:R29"")), {3;9;15;21}, FALSE)), 'Player Overall Stats Unsorted'!$AA$9:$AA$12), ""=X"")) + (4 - COUNTIF(IFE"&amp;"RROR(ARRAYFORMULA(HLOOKUP($B13, IMPORTRANGE('Prelim Rankings Unsorted'!$B$42, CONCAT(VLOOKUP($C13, 'Match Names'!$A$1:$D$22, 4, FALSE), ""!C3:R29"")), {3;9;15;21}, FALSE)), 'Player Overall Stats Unsorted'!$AA$9:$AA$12), ""=X"")) + (4 - COUNTIF(IFERROR(ARR"&amp;"AYFORMULA(HLOOKUP($B13, IMPORTRANGE('Match Names'!$E$23, CONCAT(VLOOKUP($C13, 'Match Names'!$1:$22, 5, FALSE), ""!C3:R29"")), {9;14;19;24}, FALSE)), 'Player Overall Stats Unsorted'!$AA$9:$AA$12), ""=X"")) + (4 - COUNTIF(IFERROR(ARRAYFORMULA(HLOOKUP($B13, "&amp;"IMPORTRANGE('Match Names'!$F$23, CONCAT(VLOOKUP($C13, 'Match Names'!$1:$22, 6, FALSE), ""!C3:R29"")), {2;8;14;20}, FALSE)), 'Player Overall Stats Unsorted'!$AA$9:$AA$12), ""=X"")) + (4 - COUNTIF(IFERROR(ARRAYFORMULA(HLOOKUP($B13, IMPORTRANGE('Match Names'"&amp;"!$G$23, CONCAT(VLOOKUP($C13, 'Match Names'!$1:$22, 7, FALSE), ""!C3:R29"")), {6;16;20;24}, FALSE)), 'Player Overall Stats Unsorted'!$AA$9:$AA$12), ""=X"")) + (4 - COUNTIF(IFERROR(ARRAYFORMULA(HLOOKUP($B13, IMPORTRANGE('Match Names'!$H$23, CONCAT(VLOOKUP($"&amp;"C13, 'Match Names'!$1:$22, 8, FALSE), ""!C3:R29"")), {2;8;14;20}, FALSE)), 'Player Overall Stats Unsorted'!$AA$9:$AA$12), ""=X""))"),16.0)</f>
        <v>16</v>
      </c>
      <c r="E13" s="32">
        <f>IFERROR(__xludf.DUMMYFUNCTION("COUNTIF(ARRAYFORMULA(HLOOKUP($B13, IMPORTRANGE('Prelim Rankings Unsorted'!$B$40, CONCAT(VLOOKUP($C13, 'Match Names'!$A$1:$D$22, 2, FALSE), ""!C3:R29"")), {2;7;13;19}, FALSE)), ""=4"") + COUNTIF(ARRAYFORMULA(HLOOKUP($B13, IMPORTRANGE('Prelim Rankings Unsor"&amp;"ted'!$B$41, CONCAT(VLOOKUP($C13, 'Match Names'!$A$1:$D$22, 3, FALSE), ""!C3:R29"")), {3;9;15;21}, FALSE)), ""=4"") + COUNTIF(ARRAYFORMULA(HLOOKUP($B13, IMPORTRANGE('Prelim Rankings Unsorted'!$B$42, CONCAT(VLOOKUP($C13, 'Match Names'!$A$1:$D$22, 4, FALSE),"&amp;" ""!C3:R29"")), {3;9;15;21}, FALSE)), ""=4"") + COUNTIF(ARRAYFORMULA(HLOOKUP($B13, IMPORTRANGE('Match Names'!$E$23, CONCAT(VLOOKUP($C13, 'Match Names'!$1:$22, 5, FALSE), ""!C3:R29"")), {9;14;19;24}, FALSE)), ""=4"") + COUNTIF(ARRAYFORMULA(HLOOKUP($B13, IM"&amp;"PORTRANGE('Match Names'!$F$23, CONCAT(VLOOKUP($C13, 'Match Names'!$1:$22, 6, FALSE), ""!C3:R29"")), {2;8;14;20}, FALSE)), ""=4"") + COUNTIF(ARRAYFORMULA(HLOOKUP($B13, IMPORTRANGE('Match Names'!$G$23, CONCAT(VLOOKUP($C13, 'Match Names'!$1:$22, 7, FALSE), "&amp;"""!C3:R29"")), {6;16;20;24}, FALSE)), ""=4"") + COUNTIF(ARRAYFORMULA(HLOOKUP($B13, IMPORTRANGE('Match Names'!$H$23, CONCAT(VLOOKUP($C13, 'Match Names'!$1:$22, 8, FALSE), ""!C3:R29"")), {2;8;14;20}, FALSE)), ""=4"")"),0.0)</f>
        <v>0</v>
      </c>
      <c r="F13" s="32">
        <f>IFERROR(__xludf.DUMMYFUNCTION("COUNTIF(ARRAYFORMULA(HLOOKUP($B13, IMPORTRANGE('Prelim Rankings Unsorted'!$B$40, CONCAT(VLOOKUP($C13, 'Match Names'!$A$1:$D$22, 2, FALSE), ""!C3:R29"")), {2;7;13;19}, FALSE)), ""=0"") + COUNTIF(ARRAYFORMULA(HLOOKUP($B13, IMPORTRANGE('Prelim Rankings Unsor"&amp;"ted'!$B$41, CONCAT(VLOOKUP($C13, 'Match Names'!$A$1:$D$22, 3, FALSE), ""!C3:R29"")), {3;9;15;21}, FALSE)), ""=0"") + COUNTIF(ARRAYFORMULA(HLOOKUP($B13, IMPORTRANGE('Prelim Rankings Unsorted'!$B$42, CONCAT(VLOOKUP($C13, 'Match Names'!$A$1:$D$22, 4, FALSE),"&amp;" ""!C3:R29"")), {3;9;15;21}, FALSE)), ""=0"") + COUNTIF(ARRAYFORMULA(HLOOKUP($B13, IMPORTRANGE('Match Names'!$E$23, CONCAT(VLOOKUP($C13, 'Match Names'!$1:$22, 5, FALSE), ""!C3:R29"")), {9;14;19;24}, FALSE)), ""=0"") + COUNTIF(ARRAYFORMULA(HLOOKUP($B13, IM"&amp;"PORTRANGE('Match Names'!$F$23, CONCAT(VLOOKUP($C13, 'Match Names'!$1:$22, 6, FALSE), ""!C3:R29"")), {2;8;14;20}, FALSE)), ""=0"") + COUNTIF(ARRAYFORMULA(HLOOKUP($B13, IMPORTRANGE('Match Names'!$G$23, CONCAT(VLOOKUP($C13, 'Match Names'!$1:$22, 7, FALSE), "&amp;"""!C3:R29"")), {6;16;20;24}, FALSE)), ""=0"") + COUNTIF(ARRAYFORMULA(HLOOKUP($B13, IMPORTRANGE('Match Names'!$H$23, CONCAT(VLOOKUP($C13, 'Match Names'!$1:$22, 8, FALSE), ""!C3:R29"")), {2;8;14;20}, FALSE)), ""=0"")"),1.0)</f>
        <v>1</v>
      </c>
      <c r="G13" s="32">
        <f>IFERROR(__xludf.DUMMYFUNCTION("COUNTIF(ARRAYFORMULA(HLOOKUP($B13, IMPORTRANGE('Prelim Rankings Unsorted'!$B$40, CONCAT(VLOOKUP($C13, 'Match Names'!$A$1:$D$22, 2, FALSE), ""!C3:R29"")), {2;7;13;19}, FALSE)), ""=-4"") + COUNTIF(ARRAYFORMULA(HLOOKUP($B13, IMPORTRANGE('Prelim Rankings Unso"&amp;"rted'!$B$41, CONCAT(VLOOKUP($C13, 'Match Names'!$A$1:$D$22, 3, FALSE), ""!C3:R29"")), {3;9;15;21}, FALSE)), ""=-4"") + COUNTIF(ARRAYFORMULA(HLOOKUP($B13, IMPORTRANGE('Prelim Rankings Unsorted'!$B$42, CONCAT(VLOOKUP($C13, 'Match Names'!$A$1:$D$22, 4, FALSE"&amp;"), ""!C3:R29"")), {3;9;15;21}, FALSE)), ""=-4"") + COUNTIF(ARRAYFORMULA(HLOOKUP($B13, IMPORTRANGE('Match Names'!$E$23, CONCAT(VLOOKUP($C13, 'Match Names'!$1:$22, 5, FALSE), ""!C3:R29"")), {9;14;19;24}, FALSE)), ""=-4"") + COUNTIF(ARRAYFORMULA(HLOOKUP($B13"&amp;", IMPORTRANGE('Match Names'!$F$23, CONCAT(VLOOKUP($C13, 'Match Names'!$1:$22, 6, FALSE), ""!C3:R29"")), {2;8;14;20}, FALSE)), ""=-4"") + COUNTIF(ARRAYFORMULA(HLOOKUP($B13, IMPORTRANGE('Match Names'!$G$23, CONCAT(VLOOKUP($C13, 'Match Names'!$1:$22, 7, FALS"&amp;"E), ""!C3:R29"")), {6;16;20;24}, FALSE)), ""=-4"") + COUNTIF(ARRAYFORMULA(HLOOKUP($B13, IMPORTRANGE('Match Names'!$H$23, CONCAT(VLOOKUP($C13, 'Match Names'!$1:$22, 8, FALSE), ""!C3:R29"")), {2;8;14;20}, FALSE)), ""=-4"")"),0.0)</f>
        <v>0</v>
      </c>
      <c r="H13" s="33">
        <f t="shared" si="1"/>
        <v>0</v>
      </c>
    </row>
    <row r="14">
      <c r="A14" s="31" t="s">
        <v>39</v>
      </c>
      <c r="B14" s="31" t="str">
        <f>VLOOKUP(CONCAT(A14, C14), 'Discord Username to Real Name'!C:D, 2, FALSE)</f>
        <v>ThisIsDenry#0446</v>
      </c>
      <c r="C14" s="31" t="s">
        <v>21</v>
      </c>
      <c r="D14" s="32">
        <f>IFERROR(__xludf.DUMMYFUNCTION("(4 - COUNTIF(IFERROR(ARRAYFORMULA(HLOOKUP($B14, IMPORTRANGE('Prelim Rankings Unsorted'!$B$40, CONCAT(VLOOKUP($C14, 'Match Names'!$A$1:$D$22, 2, FALSE), ""!C3:R29"")), {2;7;13;19}, FALSE)), 'Player Overall Stats Unsorted'!$AA$9:$AA$12), ""=X"")) + (4 - COU"&amp;"NTIF(IFERROR(ARRAYFORMULA(HLOOKUP($B14, IMPORTRANGE('Prelim Rankings Unsorted'!$B$41, CONCAT(VLOOKUP($C14, 'Match Names'!$A$1:$D$22, 3, FALSE), ""!C3:R29"")), {3;9;15;21}, FALSE)), 'Player Overall Stats Unsorted'!$AA$9:$AA$12), ""=X"")) + (4 - COUNTIF(IFE"&amp;"RROR(ARRAYFORMULA(HLOOKUP($B14, IMPORTRANGE('Prelim Rankings Unsorted'!$B$42, CONCAT(VLOOKUP($C14, 'Match Names'!$A$1:$D$22, 4, FALSE), ""!C3:R29"")), {3;9;15;21}, FALSE)), 'Player Overall Stats Unsorted'!$AA$9:$AA$12), ""=X"")) + (4 - COUNTIF(IFERROR(ARR"&amp;"AYFORMULA(HLOOKUP($B14, IMPORTRANGE('Match Names'!$E$23, CONCAT(VLOOKUP($C14, 'Match Names'!$1:$22, 5, FALSE), ""!C3:R29"")), {9;14;19;24}, FALSE)), 'Player Overall Stats Unsorted'!$AA$9:$AA$12), ""=X"")) + (4 - COUNTIF(IFERROR(ARRAYFORMULA(HLOOKUP($B14, "&amp;"IMPORTRANGE('Match Names'!$F$23, CONCAT(VLOOKUP($C14, 'Match Names'!$1:$22, 6, FALSE), ""!C3:R29"")), {2;8;14;20}, FALSE)), 'Player Overall Stats Unsorted'!$AA$9:$AA$12), ""=X"")) + (4 - COUNTIF(IFERROR(ARRAYFORMULA(HLOOKUP($B14, IMPORTRANGE('Match Names'"&amp;"!$G$23, CONCAT(VLOOKUP($C14, 'Match Names'!$1:$22, 7, FALSE), ""!C3:R29"")), {6;16;20;24}, FALSE)), 'Player Overall Stats Unsorted'!$AA$9:$AA$12), ""=X"")) + (4 - COUNTIF(IFERROR(ARRAYFORMULA(HLOOKUP($B14, IMPORTRANGE('Match Names'!$H$23, CONCAT(VLOOKUP($"&amp;"C14, 'Match Names'!$1:$22, 8, FALSE), ""!C3:R29"")), {2;8;14;20}, FALSE)), 'Player Overall Stats Unsorted'!$AA$9:$AA$12), ""=X""))"),20.0)</f>
        <v>20</v>
      </c>
      <c r="E14" s="32">
        <f>IFERROR(__xludf.DUMMYFUNCTION("COUNTIF(ARRAYFORMULA(HLOOKUP($B14, IMPORTRANGE('Prelim Rankings Unsorted'!$B$40, CONCAT(VLOOKUP($C14, 'Match Names'!$A$1:$D$22, 2, FALSE), ""!C3:R29"")), {2;7;13;19}, FALSE)), ""=4"") + COUNTIF(ARRAYFORMULA(HLOOKUP($B14, IMPORTRANGE('Prelim Rankings Unsor"&amp;"ted'!$B$41, CONCAT(VLOOKUP($C14, 'Match Names'!$A$1:$D$22, 3, FALSE), ""!C3:R29"")), {3;9;15;21}, FALSE)), ""=4"") + COUNTIF(ARRAYFORMULA(HLOOKUP($B14, IMPORTRANGE('Prelim Rankings Unsorted'!$B$42, CONCAT(VLOOKUP($C14, 'Match Names'!$A$1:$D$22, 4, FALSE),"&amp;" ""!C3:R29"")), {3;9;15;21}, FALSE)), ""=4"") + COUNTIF(ARRAYFORMULA(HLOOKUP($B14, IMPORTRANGE('Match Names'!$E$23, CONCAT(VLOOKUP($C14, 'Match Names'!$1:$22, 5, FALSE), ""!C3:R29"")), {9;14;19;24}, FALSE)), ""=4"") + COUNTIF(ARRAYFORMULA(HLOOKUP($B14, IM"&amp;"PORTRANGE('Match Names'!$F$23, CONCAT(VLOOKUP($C14, 'Match Names'!$1:$22, 6, FALSE), ""!C3:R29"")), {2;8;14;20}, FALSE)), ""=4"") + COUNTIF(ARRAYFORMULA(HLOOKUP($B14, IMPORTRANGE('Match Names'!$G$23, CONCAT(VLOOKUP($C14, 'Match Names'!$1:$22, 7, FALSE), "&amp;"""!C3:R29"")), {6;16;20;24}, FALSE)), ""=4"") + COUNTIF(ARRAYFORMULA(HLOOKUP($B14, IMPORTRANGE('Match Names'!$H$23, CONCAT(VLOOKUP($C14, 'Match Names'!$1:$22, 8, FALSE), ""!C3:R29"")), {2;8;14;20}, FALSE)), ""=4"")"),3.0)</f>
        <v>3</v>
      </c>
      <c r="F14" s="32">
        <f>IFERROR(__xludf.DUMMYFUNCTION("COUNTIF(ARRAYFORMULA(HLOOKUP($B14, IMPORTRANGE('Prelim Rankings Unsorted'!$B$40, CONCAT(VLOOKUP($C14, 'Match Names'!$A$1:$D$22, 2, FALSE), ""!C3:R29"")), {2;7;13;19}, FALSE)), ""=0"") + COUNTIF(ARRAYFORMULA(HLOOKUP($B14, IMPORTRANGE('Prelim Rankings Unsor"&amp;"ted'!$B$41, CONCAT(VLOOKUP($C14, 'Match Names'!$A$1:$D$22, 3, FALSE), ""!C3:R29"")), {3;9;15;21}, FALSE)), ""=0"") + COUNTIF(ARRAYFORMULA(HLOOKUP($B14, IMPORTRANGE('Prelim Rankings Unsorted'!$B$42, CONCAT(VLOOKUP($C14, 'Match Names'!$A$1:$D$22, 4, FALSE),"&amp;" ""!C3:R29"")), {3;9;15;21}, FALSE)), ""=0"") + COUNTIF(ARRAYFORMULA(HLOOKUP($B14, IMPORTRANGE('Match Names'!$E$23, CONCAT(VLOOKUP($C14, 'Match Names'!$1:$22, 5, FALSE), ""!C3:R29"")), {9;14;19;24}, FALSE)), ""=0"") + COUNTIF(ARRAYFORMULA(HLOOKUP($B14, IM"&amp;"PORTRANGE('Match Names'!$F$23, CONCAT(VLOOKUP($C14, 'Match Names'!$1:$22, 6, FALSE), ""!C3:R29"")), {2;8;14;20}, FALSE)), ""=0"") + COUNTIF(ARRAYFORMULA(HLOOKUP($B14, IMPORTRANGE('Match Names'!$G$23, CONCAT(VLOOKUP($C14, 'Match Names'!$1:$22, 7, FALSE), "&amp;"""!C3:R29"")), {6;16;20;24}, FALSE)), ""=0"") + COUNTIF(ARRAYFORMULA(HLOOKUP($B14, IMPORTRANGE('Match Names'!$H$23, CONCAT(VLOOKUP($C14, 'Match Names'!$1:$22, 8, FALSE), ""!C3:R29"")), {2;8;14;20}, FALSE)), ""=0"")"),7.0)</f>
        <v>7</v>
      </c>
      <c r="G14" s="32">
        <f>IFERROR(__xludf.DUMMYFUNCTION("COUNTIF(ARRAYFORMULA(HLOOKUP($B14, IMPORTRANGE('Prelim Rankings Unsorted'!$B$40, CONCAT(VLOOKUP($C14, 'Match Names'!$A$1:$D$22, 2, FALSE), ""!C3:R29"")), {2;7;13;19}, FALSE)), ""=-4"") + COUNTIF(ARRAYFORMULA(HLOOKUP($B14, IMPORTRANGE('Prelim Rankings Unso"&amp;"rted'!$B$41, CONCAT(VLOOKUP($C14, 'Match Names'!$A$1:$D$22, 3, FALSE), ""!C3:R29"")), {3;9;15;21}, FALSE)), ""=-4"") + COUNTIF(ARRAYFORMULA(HLOOKUP($B14, IMPORTRANGE('Prelim Rankings Unsorted'!$B$42, CONCAT(VLOOKUP($C14, 'Match Names'!$A$1:$D$22, 4, FALSE"&amp;"), ""!C3:R29"")), {3;9;15;21}, FALSE)), ""=-4"") + COUNTIF(ARRAYFORMULA(HLOOKUP($B14, IMPORTRANGE('Match Names'!$E$23, CONCAT(VLOOKUP($C14, 'Match Names'!$1:$22, 5, FALSE), ""!C3:R29"")), {9;14;19;24}, FALSE)), ""=-4"") + COUNTIF(ARRAYFORMULA(HLOOKUP($B14"&amp;", IMPORTRANGE('Match Names'!$F$23, CONCAT(VLOOKUP($C14, 'Match Names'!$1:$22, 6, FALSE), ""!C3:R29"")), {2;8;14;20}, FALSE)), ""=-4"") + COUNTIF(ARRAYFORMULA(HLOOKUP($B14, IMPORTRANGE('Match Names'!$G$23, CONCAT(VLOOKUP($C14, 'Match Names'!$1:$22, 7, FALS"&amp;"E), ""!C3:R29"")), {6;16;20;24}, FALSE)), ""=-4"") + COUNTIF(ARRAYFORMULA(HLOOKUP($B14, IMPORTRANGE('Match Names'!$H$23, CONCAT(VLOOKUP($C14, 'Match Names'!$1:$22, 8, FALSE), ""!C3:R29"")), {2;8;14;20}, FALSE)), ""=-4"")"),0.0)</f>
        <v>0</v>
      </c>
      <c r="H14" s="33">
        <f t="shared" si="1"/>
        <v>2.4</v>
      </c>
    </row>
    <row r="15">
      <c r="A15" s="31" t="s">
        <v>152</v>
      </c>
      <c r="B15" s="31" t="str">
        <f>VLOOKUP(CONCAT(A15, C15), 'Discord Username to Real Name'!C:D, 2, FALSE)</f>
        <v>hsuehpooy#7813</v>
      </c>
      <c r="C15" s="31" t="s">
        <v>21</v>
      </c>
      <c r="D15" s="32">
        <f>IFERROR(__xludf.DUMMYFUNCTION("(4 - COUNTIF(IFERROR(ARRAYFORMULA(HLOOKUP($B15, IMPORTRANGE('Prelim Rankings Unsorted'!$B$40, CONCAT(VLOOKUP($C15, 'Match Names'!$A$1:$D$22, 2, FALSE), ""!C3:R29"")), {2;7;13;19}, FALSE)), 'Player Overall Stats Unsorted'!$AA$9:$AA$12), ""=X"")) + (4 - COU"&amp;"NTIF(IFERROR(ARRAYFORMULA(HLOOKUP($B15, IMPORTRANGE('Prelim Rankings Unsorted'!$B$41, CONCAT(VLOOKUP($C15, 'Match Names'!$A$1:$D$22, 3, FALSE), ""!C3:R29"")), {3;9;15;21}, FALSE)), 'Player Overall Stats Unsorted'!$AA$9:$AA$12), ""=X"")) + (4 - COUNTIF(IFE"&amp;"RROR(ARRAYFORMULA(HLOOKUP($B15, IMPORTRANGE('Prelim Rankings Unsorted'!$B$42, CONCAT(VLOOKUP($C15, 'Match Names'!$A$1:$D$22, 4, FALSE), ""!C3:R29"")), {3;9;15;21}, FALSE)), 'Player Overall Stats Unsorted'!$AA$9:$AA$12), ""=X"")) + (4 - COUNTIF(IFERROR(ARR"&amp;"AYFORMULA(HLOOKUP($B15, IMPORTRANGE('Match Names'!$E$23, CONCAT(VLOOKUP($C15, 'Match Names'!$1:$22, 5, FALSE), ""!C3:R29"")), {9;14;19;24}, FALSE)), 'Player Overall Stats Unsorted'!$AA$9:$AA$12), ""=X"")) + (4 - COUNTIF(IFERROR(ARRAYFORMULA(HLOOKUP($B15, "&amp;"IMPORTRANGE('Match Names'!$F$23, CONCAT(VLOOKUP($C15, 'Match Names'!$1:$22, 6, FALSE), ""!C3:R29"")), {2;8;14;20}, FALSE)), 'Player Overall Stats Unsorted'!$AA$9:$AA$12), ""=X"")) + (4 - COUNTIF(IFERROR(ARRAYFORMULA(HLOOKUP($B15, IMPORTRANGE('Match Names'"&amp;"!$G$23, CONCAT(VLOOKUP($C15, 'Match Names'!$1:$22, 7, FALSE), ""!C3:R29"")), {6;16;20;24}, FALSE)), 'Player Overall Stats Unsorted'!$AA$9:$AA$12), ""=X"")) + (4 - COUNTIF(IFERROR(ARRAYFORMULA(HLOOKUP($B15, IMPORTRANGE('Match Names'!$H$23, CONCAT(VLOOKUP($"&amp;"C15, 'Match Names'!$1:$22, 8, FALSE), ""!C3:R29"")), {2;8;14;20}, FALSE)), 'Player Overall Stats Unsorted'!$AA$9:$AA$12), ""=X""))"),18.0)</f>
        <v>18</v>
      </c>
      <c r="E15" s="32">
        <f>IFERROR(__xludf.DUMMYFUNCTION("COUNTIF(ARRAYFORMULA(HLOOKUP($B15, IMPORTRANGE('Prelim Rankings Unsorted'!$B$40, CONCAT(VLOOKUP($C15, 'Match Names'!$A$1:$D$22, 2, FALSE), ""!C3:R29"")), {2;7;13;19}, FALSE)), ""=4"") + COUNTIF(ARRAYFORMULA(HLOOKUP($B15, IMPORTRANGE('Prelim Rankings Unsor"&amp;"ted'!$B$41, CONCAT(VLOOKUP($C15, 'Match Names'!$A$1:$D$22, 3, FALSE), ""!C3:R29"")), {3;9;15;21}, FALSE)), ""=4"") + COUNTIF(ARRAYFORMULA(HLOOKUP($B15, IMPORTRANGE('Prelim Rankings Unsorted'!$B$42, CONCAT(VLOOKUP($C15, 'Match Names'!$A$1:$D$22, 4, FALSE),"&amp;" ""!C3:R29"")), {3;9;15;21}, FALSE)), ""=4"") + COUNTIF(ARRAYFORMULA(HLOOKUP($B15, IMPORTRANGE('Match Names'!$E$23, CONCAT(VLOOKUP($C15, 'Match Names'!$1:$22, 5, FALSE), ""!C3:R29"")), {9;14;19;24}, FALSE)), ""=4"") + COUNTIF(ARRAYFORMULA(HLOOKUP($B15, IM"&amp;"PORTRANGE('Match Names'!$F$23, CONCAT(VLOOKUP($C15, 'Match Names'!$1:$22, 6, FALSE), ""!C3:R29"")), {2;8;14;20}, FALSE)), ""=4"") + COUNTIF(ARRAYFORMULA(HLOOKUP($B15, IMPORTRANGE('Match Names'!$G$23, CONCAT(VLOOKUP($C15, 'Match Names'!$1:$22, 7, FALSE), "&amp;"""!C3:R29"")), {6;16;20;24}, FALSE)), ""=4"") + COUNTIF(ARRAYFORMULA(HLOOKUP($B15, IMPORTRANGE('Match Names'!$H$23, CONCAT(VLOOKUP($C15, 'Match Names'!$1:$22, 8, FALSE), ""!C3:R29"")), {2;8;14;20}, FALSE)), ""=4"")"),0.0)</f>
        <v>0</v>
      </c>
      <c r="F15" s="32">
        <f>IFERROR(__xludf.DUMMYFUNCTION("COUNTIF(ARRAYFORMULA(HLOOKUP($B15, IMPORTRANGE('Prelim Rankings Unsorted'!$B$40, CONCAT(VLOOKUP($C15, 'Match Names'!$A$1:$D$22, 2, FALSE), ""!C3:R29"")), {2;7;13;19}, FALSE)), ""=0"") + COUNTIF(ARRAYFORMULA(HLOOKUP($B15, IMPORTRANGE('Prelim Rankings Unsor"&amp;"ted'!$B$41, CONCAT(VLOOKUP($C15, 'Match Names'!$A$1:$D$22, 3, FALSE), ""!C3:R29"")), {3;9;15;21}, FALSE)), ""=0"") + COUNTIF(ARRAYFORMULA(HLOOKUP($B15, IMPORTRANGE('Prelim Rankings Unsorted'!$B$42, CONCAT(VLOOKUP($C15, 'Match Names'!$A$1:$D$22, 4, FALSE),"&amp;" ""!C3:R29"")), {3;9;15;21}, FALSE)), ""=0"") + COUNTIF(ARRAYFORMULA(HLOOKUP($B15, IMPORTRANGE('Match Names'!$E$23, CONCAT(VLOOKUP($C15, 'Match Names'!$1:$22, 5, FALSE), ""!C3:R29"")), {9;14;19;24}, FALSE)), ""=0"") + COUNTIF(ARRAYFORMULA(HLOOKUP($B15, IM"&amp;"PORTRANGE('Match Names'!$F$23, CONCAT(VLOOKUP($C15, 'Match Names'!$1:$22, 6, FALSE), ""!C3:R29"")), {2;8;14;20}, FALSE)), ""=0"") + COUNTIF(ARRAYFORMULA(HLOOKUP($B15, IMPORTRANGE('Match Names'!$G$23, CONCAT(VLOOKUP($C15, 'Match Names'!$1:$22, 7, FALSE), "&amp;"""!C3:R29"")), {6;16;20;24}, FALSE)), ""=0"") + COUNTIF(ARRAYFORMULA(HLOOKUP($B15, IMPORTRANGE('Match Names'!$H$23, CONCAT(VLOOKUP($C15, 'Match Names'!$1:$22, 8, FALSE), ""!C3:R29"")), {2;8;14;20}, FALSE)), ""=0"")"),0.0)</f>
        <v>0</v>
      </c>
      <c r="G15" s="32">
        <f>IFERROR(__xludf.DUMMYFUNCTION("COUNTIF(ARRAYFORMULA(HLOOKUP($B15, IMPORTRANGE('Prelim Rankings Unsorted'!$B$40, CONCAT(VLOOKUP($C15, 'Match Names'!$A$1:$D$22, 2, FALSE), ""!C3:R29"")), {2;7;13;19}, FALSE)), ""=-4"") + COUNTIF(ARRAYFORMULA(HLOOKUP($B15, IMPORTRANGE('Prelim Rankings Unso"&amp;"rted'!$B$41, CONCAT(VLOOKUP($C15, 'Match Names'!$A$1:$D$22, 3, FALSE), ""!C3:R29"")), {3;9;15;21}, FALSE)), ""=-4"") + COUNTIF(ARRAYFORMULA(HLOOKUP($B15, IMPORTRANGE('Prelim Rankings Unsorted'!$B$42, CONCAT(VLOOKUP($C15, 'Match Names'!$A$1:$D$22, 4, FALSE"&amp;"), ""!C3:R29"")), {3;9;15;21}, FALSE)), ""=-4"") + COUNTIF(ARRAYFORMULA(HLOOKUP($B15, IMPORTRANGE('Match Names'!$E$23, CONCAT(VLOOKUP($C15, 'Match Names'!$1:$22, 5, FALSE), ""!C3:R29"")), {9;14;19;24}, FALSE)), ""=-4"") + COUNTIF(ARRAYFORMULA(HLOOKUP($B15"&amp;", IMPORTRANGE('Match Names'!$F$23, CONCAT(VLOOKUP($C15, 'Match Names'!$1:$22, 6, FALSE), ""!C3:R29"")), {2;8;14;20}, FALSE)), ""=-4"") + COUNTIF(ARRAYFORMULA(HLOOKUP($B15, IMPORTRANGE('Match Names'!$G$23, CONCAT(VLOOKUP($C15, 'Match Names'!$1:$22, 7, FALS"&amp;"E), ""!C3:R29"")), {6;16;20;24}, FALSE)), ""=-4"") + COUNTIF(ARRAYFORMULA(HLOOKUP($B15, IMPORTRANGE('Match Names'!$H$23, CONCAT(VLOOKUP($C15, 'Match Names'!$1:$22, 8, FALSE), ""!C3:R29"")), {2;8;14;20}, FALSE)), ""=-4"")"),0.0)</f>
        <v>0</v>
      </c>
      <c r="H15" s="33">
        <f t="shared" si="1"/>
        <v>0</v>
      </c>
    </row>
    <row r="16">
      <c r="A16" s="31" t="s">
        <v>143</v>
      </c>
      <c r="B16" s="31" t="str">
        <f>VLOOKUP(CONCAT(A16, C16), 'Discord Username to Real Name'!C:D, 2, FALSE)</f>
        <v>CheeseGr8ter#2134</v>
      </c>
      <c r="C16" s="31" t="s">
        <v>21</v>
      </c>
      <c r="D16" s="32">
        <f>IFERROR(__xludf.DUMMYFUNCTION("(4 - COUNTIF(IFERROR(ARRAYFORMULA(HLOOKUP($B16, IMPORTRANGE('Prelim Rankings Unsorted'!$B$40, CONCAT(VLOOKUP($C16, 'Match Names'!$A$1:$D$22, 2, FALSE), ""!C3:R29"")), {2;7;13;19}, FALSE)), 'Player Overall Stats Unsorted'!$AA$9:$AA$12), ""=X"")) + (4 - COU"&amp;"NTIF(IFERROR(ARRAYFORMULA(HLOOKUP($B16, IMPORTRANGE('Prelim Rankings Unsorted'!$B$41, CONCAT(VLOOKUP($C16, 'Match Names'!$A$1:$D$22, 3, FALSE), ""!C3:R29"")), {3;9;15;21}, FALSE)), 'Player Overall Stats Unsorted'!$AA$9:$AA$12), ""=X"")) + (4 - COUNTIF(IFE"&amp;"RROR(ARRAYFORMULA(HLOOKUP($B16, IMPORTRANGE('Prelim Rankings Unsorted'!$B$42, CONCAT(VLOOKUP($C16, 'Match Names'!$A$1:$D$22, 4, FALSE), ""!C3:R29"")), {3;9;15;21}, FALSE)), 'Player Overall Stats Unsorted'!$AA$9:$AA$12), ""=X"")) + (4 - COUNTIF(IFERROR(ARR"&amp;"AYFORMULA(HLOOKUP($B16, IMPORTRANGE('Match Names'!$E$23, CONCAT(VLOOKUP($C16, 'Match Names'!$1:$22, 5, FALSE), ""!C3:R29"")), {9;14;19;24}, FALSE)), 'Player Overall Stats Unsorted'!$AA$9:$AA$12), ""=X"")) + (4 - COUNTIF(IFERROR(ARRAYFORMULA(HLOOKUP($B16, "&amp;"IMPORTRANGE('Match Names'!$F$23, CONCAT(VLOOKUP($C16, 'Match Names'!$1:$22, 6, FALSE), ""!C3:R29"")), {2;8;14;20}, FALSE)), 'Player Overall Stats Unsorted'!$AA$9:$AA$12), ""=X"")) + (4 - COUNTIF(IFERROR(ARRAYFORMULA(HLOOKUP($B16, IMPORTRANGE('Match Names'"&amp;"!$G$23, CONCAT(VLOOKUP($C16, 'Match Names'!$1:$22, 7, FALSE), ""!C3:R29"")), {6;16;20;24}, FALSE)), 'Player Overall Stats Unsorted'!$AA$9:$AA$12), ""=X"")) + (4 - COUNTIF(IFERROR(ARRAYFORMULA(HLOOKUP($B16, IMPORTRANGE('Match Names'!$H$23, CONCAT(VLOOKUP($"&amp;"C16, 'Match Names'!$1:$22, 8, FALSE), ""!C3:R29"")), {2;8;14;20}, FALSE)), 'Player Overall Stats Unsorted'!$AA$9:$AA$12), ""=X""))"),20.0)</f>
        <v>20</v>
      </c>
      <c r="E16" s="32">
        <f>IFERROR(__xludf.DUMMYFUNCTION("COUNTIF(ARRAYFORMULA(HLOOKUP($B16, IMPORTRANGE('Prelim Rankings Unsorted'!$B$40, CONCAT(VLOOKUP($C16, 'Match Names'!$A$1:$D$22, 2, FALSE), ""!C3:R29"")), {2;7;13;19}, FALSE)), ""=4"") + COUNTIF(ARRAYFORMULA(HLOOKUP($B16, IMPORTRANGE('Prelim Rankings Unsor"&amp;"ted'!$B$41, CONCAT(VLOOKUP($C16, 'Match Names'!$A$1:$D$22, 3, FALSE), ""!C3:R29"")), {3;9;15;21}, FALSE)), ""=4"") + COUNTIF(ARRAYFORMULA(HLOOKUP($B16, IMPORTRANGE('Prelim Rankings Unsorted'!$B$42, CONCAT(VLOOKUP($C16, 'Match Names'!$A$1:$D$22, 4, FALSE),"&amp;" ""!C3:R29"")), {3;9;15;21}, FALSE)), ""=4"") + COUNTIF(ARRAYFORMULA(HLOOKUP($B16, IMPORTRANGE('Match Names'!$E$23, CONCAT(VLOOKUP($C16, 'Match Names'!$1:$22, 5, FALSE), ""!C3:R29"")), {9;14;19;24}, FALSE)), ""=4"") + COUNTIF(ARRAYFORMULA(HLOOKUP($B16, IM"&amp;"PORTRANGE('Match Names'!$F$23, CONCAT(VLOOKUP($C16, 'Match Names'!$1:$22, 6, FALSE), ""!C3:R29"")), {2;8;14;20}, FALSE)), ""=4"") + COUNTIF(ARRAYFORMULA(HLOOKUP($B16, IMPORTRANGE('Match Names'!$G$23, CONCAT(VLOOKUP($C16, 'Match Names'!$1:$22, 7, FALSE), "&amp;"""!C3:R29"")), {6;16;20;24}, FALSE)), ""=4"") + COUNTIF(ARRAYFORMULA(HLOOKUP($B16, IMPORTRANGE('Match Names'!$H$23, CONCAT(VLOOKUP($C16, 'Match Names'!$1:$22, 8, FALSE), ""!C3:R29"")), {2;8;14;20}, FALSE)), ""=4"")"),0.0)</f>
        <v>0</v>
      </c>
      <c r="F16" s="32">
        <f>IFERROR(__xludf.DUMMYFUNCTION("COUNTIF(ARRAYFORMULA(HLOOKUP($B16, IMPORTRANGE('Prelim Rankings Unsorted'!$B$40, CONCAT(VLOOKUP($C16, 'Match Names'!$A$1:$D$22, 2, FALSE), ""!C3:R29"")), {2;7;13;19}, FALSE)), ""=0"") + COUNTIF(ARRAYFORMULA(HLOOKUP($B16, IMPORTRANGE('Prelim Rankings Unsor"&amp;"ted'!$B$41, CONCAT(VLOOKUP($C16, 'Match Names'!$A$1:$D$22, 3, FALSE), ""!C3:R29"")), {3;9;15;21}, FALSE)), ""=0"") + COUNTIF(ARRAYFORMULA(HLOOKUP($B16, IMPORTRANGE('Prelim Rankings Unsorted'!$B$42, CONCAT(VLOOKUP($C16, 'Match Names'!$A$1:$D$22, 4, FALSE),"&amp;" ""!C3:R29"")), {3;9;15;21}, FALSE)), ""=0"") + COUNTIF(ARRAYFORMULA(HLOOKUP($B16, IMPORTRANGE('Match Names'!$E$23, CONCAT(VLOOKUP($C16, 'Match Names'!$1:$22, 5, FALSE), ""!C3:R29"")), {9;14;19;24}, FALSE)), ""=0"") + COUNTIF(ARRAYFORMULA(HLOOKUP($B16, IM"&amp;"PORTRANGE('Match Names'!$F$23, CONCAT(VLOOKUP($C16, 'Match Names'!$1:$22, 6, FALSE), ""!C3:R29"")), {2;8;14;20}, FALSE)), ""=0"") + COUNTIF(ARRAYFORMULA(HLOOKUP($B16, IMPORTRANGE('Match Names'!$G$23, CONCAT(VLOOKUP($C16, 'Match Names'!$1:$22, 7, FALSE), "&amp;"""!C3:R29"")), {6;16;20;24}, FALSE)), ""=0"") + COUNTIF(ARRAYFORMULA(HLOOKUP($B16, IMPORTRANGE('Match Names'!$H$23, CONCAT(VLOOKUP($C16, 'Match Names'!$1:$22, 8, FALSE), ""!C3:R29"")), {2;8;14;20}, FALSE)), ""=0"")"),3.0)</f>
        <v>3</v>
      </c>
      <c r="G16" s="32">
        <f>IFERROR(__xludf.DUMMYFUNCTION("COUNTIF(ARRAYFORMULA(HLOOKUP($B16, IMPORTRANGE('Prelim Rankings Unsorted'!$B$40, CONCAT(VLOOKUP($C16, 'Match Names'!$A$1:$D$22, 2, FALSE), ""!C3:R29"")), {2;7;13;19}, FALSE)), ""=-4"") + COUNTIF(ARRAYFORMULA(HLOOKUP($B16, IMPORTRANGE('Prelim Rankings Unso"&amp;"rted'!$B$41, CONCAT(VLOOKUP($C16, 'Match Names'!$A$1:$D$22, 3, FALSE), ""!C3:R29"")), {3;9;15;21}, FALSE)), ""=-4"") + COUNTIF(ARRAYFORMULA(HLOOKUP($B16, IMPORTRANGE('Prelim Rankings Unsorted'!$B$42, CONCAT(VLOOKUP($C16, 'Match Names'!$A$1:$D$22, 4, FALSE"&amp;"), ""!C3:R29"")), {3;9;15;21}, FALSE)), ""=-4"") + COUNTIF(ARRAYFORMULA(HLOOKUP($B16, IMPORTRANGE('Match Names'!$E$23, CONCAT(VLOOKUP($C16, 'Match Names'!$1:$22, 5, FALSE), ""!C3:R29"")), {9;14;19;24}, FALSE)), ""=-4"") + COUNTIF(ARRAYFORMULA(HLOOKUP($B16"&amp;", IMPORTRANGE('Match Names'!$F$23, CONCAT(VLOOKUP($C16, 'Match Names'!$1:$22, 6, FALSE), ""!C3:R29"")), {2;8;14;20}, FALSE)), ""=-4"") + COUNTIF(ARRAYFORMULA(HLOOKUP($B16, IMPORTRANGE('Match Names'!$G$23, CONCAT(VLOOKUP($C16, 'Match Names'!$1:$22, 7, FALS"&amp;"E), ""!C3:R29"")), {6;16;20;24}, FALSE)), ""=-4"") + COUNTIF(ARRAYFORMULA(HLOOKUP($B16, IMPORTRANGE('Match Names'!$H$23, CONCAT(VLOOKUP($C16, 'Match Names'!$1:$22, 8, FALSE), ""!C3:R29"")), {2;8;14;20}, FALSE)), ""=-4"")"),0.0)</f>
        <v>0</v>
      </c>
      <c r="H16" s="33">
        <f t="shared" si="1"/>
        <v>0</v>
      </c>
    </row>
    <row r="17">
      <c r="A17" s="32" t="s">
        <v>88</v>
      </c>
      <c r="B17" s="31" t="str">
        <f>VLOOKUP(CONCAT(A17, C17), 'Discord Username to Real Name'!C:D, 2, FALSE)</f>
        <v>s0arbeacon#9262</v>
      </c>
      <c r="C17" s="31" t="s">
        <v>31</v>
      </c>
      <c r="D17" s="32">
        <f>IFERROR(__xludf.DUMMYFUNCTION("(4 - COUNTIF(IFERROR(ARRAYFORMULA(HLOOKUP($B17, IMPORTRANGE('Prelim Rankings Unsorted'!$B$40, CONCAT(VLOOKUP($C17, 'Match Names'!$A$1:$D$22, 2, FALSE), ""!C3:R29"")), {2;7;13;19}, FALSE)), 'Player Overall Stats Unsorted'!$AA$9:$AA$12), ""=X"")) + (4 - COU"&amp;"NTIF(IFERROR(ARRAYFORMULA(HLOOKUP($B17, IMPORTRANGE('Prelim Rankings Unsorted'!$B$41, CONCAT(VLOOKUP($C17, 'Match Names'!$A$1:$D$22, 3, FALSE), ""!C3:R29"")), {3;9;15;21}, FALSE)), 'Player Overall Stats Unsorted'!$AA$9:$AA$12), ""=X"")) + (4 - COUNTIF(IFE"&amp;"RROR(ARRAYFORMULA(HLOOKUP($B17, IMPORTRANGE('Prelim Rankings Unsorted'!$B$42, CONCAT(VLOOKUP($C17, 'Match Names'!$A$1:$D$22, 4, FALSE), ""!C3:R29"")), {3;9;15;21}, FALSE)), 'Player Overall Stats Unsorted'!$AA$9:$AA$12), ""=X"")) + (4 - COUNTIF(IFERROR(ARR"&amp;"AYFORMULA(HLOOKUP($B17, IMPORTRANGE('Match Names'!$E$23, CONCAT(VLOOKUP($C17, 'Match Names'!$1:$22, 5, FALSE), ""!C3:R29"")), {9;14;19;24}, FALSE)), 'Player Overall Stats Unsorted'!$AA$9:$AA$12), ""=X"")) + (4 - COUNTIF(IFERROR(ARRAYFORMULA(HLOOKUP($B17, "&amp;"IMPORTRANGE('Match Names'!$F$23, CONCAT(VLOOKUP($C17, 'Match Names'!$1:$22, 6, FALSE), ""!C3:R29"")), {2;8;14;20}, FALSE)), 'Player Overall Stats Unsorted'!$AA$9:$AA$12), ""=X"")) + (4 - COUNTIF(IFERROR(ARRAYFORMULA(HLOOKUP($B17, IMPORTRANGE('Match Names'"&amp;"!$G$23, CONCAT(VLOOKUP($C17, 'Match Names'!$1:$22, 7, FALSE), ""!C3:R29"")), {6;16;20;24}, FALSE)), 'Player Overall Stats Unsorted'!$AA$9:$AA$12), ""=X"")) + (4 - COUNTIF(IFERROR(ARRAYFORMULA(HLOOKUP($B17, IMPORTRANGE('Match Names'!$H$23, CONCAT(VLOOKUP($"&amp;"C17, 'Match Names'!$1:$22, 8, FALSE), ""!C3:R29"")), {2;8;14;20}, FALSE)), 'Player Overall Stats Unsorted'!$AA$9:$AA$12), ""=X""))"),16.0)</f>
        <v>16</v>
      </c>
      <c r="E17" s="32">
        <f>IFERROR(__xludf.DUMMYFUNCTION("COUNTIF(ARRAYFORMULA(HLOOKUP($B17, IMPORTRANGE('Prelim Rankings Unsorted'!$B$40, CONCAT(VLOOKUP($C17, 'Match Names'!$A$1:$D$22, 2, FALSE), ""!C3:R29"")), {2;7;13;19}, FALSE)), ""=4"") + COUNTIF(ARRAYFORMULA(HLOOKUP($B17, IMPORTRANGE('Prelim Rankings Unsor"&amp;"ted'!$B$41, CONCAT(VLOOKUP($C17, 'Match Names'!$A$1:$D$22, 3, FALSE), ""!C3:R29"")), {3;9;15;21}, FALSE)), ""=4"") + COUNTIF(ARRAYFORMULA(HLOOKUP($B17, IMPORTRANGE('Prelim Rankings Unsorted'!$B$42, CONCAT(VLOOKUP($C17, 'Match Names'!$A$1:$D$22, 4, FALSE),"&amp;" ""!C3:R29"")), {3;9;15;21}, FALSE)), ""=4"") + COUNTIF(ARRAYFORMULA(HLOOKUP($B17, IMPORTRANGE('Match Names'!$E$23, CONCAT(VLOOKUP($C17, 'Match Names'!$1:$22, 5, FALSE), ""!C3:R29"")), {9;14;19;24}, FALSE)), ""=4"") + COUNTIF(ARRAYFORMULA(HLOOKUP($B17, IM"&amp;"PORTRANGE('Match Names'!$F$23, CONCAT(VLOOKUP($C17, 'Match Names'!$1:$22, 6, FALSE), ""!C3:R29"")), {2;8;14;20}, FALSE)), ""=4"") + COUNTIF(ARRAYFORMULA(HLOOKUP($B17, IMPORTRANGE('Match Names'!$G$23, CONCAT(VLOOKUP($C17, 'Match Names'!$1:$22, 7, FALSE), "&amp;"""!C3:R29"")), {6;16;20;24}, FALSE)), ""=4"") + COUNTIF(ARRAYFORMULA(HLOOKUP($B17, IMPORTRANGE('Match Names'!$H$23, CONCAT(VLOOKUP($C17, 'Match Names'!$1:$22, 8, FALSE), ""!C3:R29"")), {2;8;14;20}, FALSE)), ""=4"")"),1.0)</f>
        <v>1</v>
      </c>
      <c r="F17" s="32">
        <f>IFERROR(__xludf.DUMMYFUNCTION("COUNTIF(ARRAYFORMULA(HLOOKUP($B17, IMPORTRANGE('Prelim Rankings Unsorted'!$B$40, CONCAT(VLOOKUP($C17, 'Match Names'!$A$1:$D$22, 2, FALSE), ""!C3:R29"")), {2;7;13;19}, FALSE)), ""=0"") + COUNTIF(ARRAYFORMULA(HLOOKUP($B17, IMPORTRANGE('Prelim Rankings Unsor"&amp;"ted'!$B$41, CONCAT(VLOOKUP($C17, 'Match Names'!$A$1:$D$22, 3, FALSE), ""!C3:R29"")), {3;9;15;21}, FALSE)), ""=0"") + COUNTIF(ARRAYFORMULA(HLOOKUP($B17, IMPORTRANGE('Prelim Rankings Unsorted'!$B$42, CONCAT(VLOOKUP($C17, 'Match Names'!$A$1:$D$22, 4, FALSE),"&amp;" ""!C3:R29"")), {3;9;15;21}, FALSE)), ""=0"") + COUNTIF(ARRAYFORMULA(HLOOKUP($B17, IMPORTRANGE('Match Names'!$E$23, CONCAT(VLOOKUP($C17, 'Match Names'!$1:$22, 5, FALSE), ""!C3:R29"")), {9;14;19;24}, FALSE)), ""=0"") + COUNTIF(ARRAYFORMULA(HLOOKUP($B17, IM"&amp;"PORTRANGE('Match Names'!$F$23, CONCAT(VLOOKUP($C17, 'Match Names'!$1:$22, 6, FALSE), ""!C3:R29"")), {2;8;14;20}, FALSE)), ""=0"") + COUNTIF(ARRAYFORMULA(HLOOKUP($B17, IMPORTRANGE('Match Names'!$G$23, CONCAT(VLOOKUP($C17, 'Match Names'!$1:$22, 7, FALSE), "&amp;"""!C3:R29"")), {6;16;20;24}, FALSE)), ""=0"") + COUNTIF(ARRAYFORMULA(HLOOKUP($B17, IMPORTRANGE('Match Names'!$H$23, CONCAT(VLOOKUP($C17, 'Match Names'!$1:$22, 8, FALSE), ""!C3:R29"")), {2;8;14;20}, FALSE)), ""=0"")"),4.0)</f>
        <v>4</v>
      </c>
      <c r="G17" s="32">
        <f>IFERROR(__xludf.DUMMYFUNCTION("COUNTIF(ARRAYFORMULA(HLOOKUP($B17, IMPORTRANGE('Prelim Rankings Unsorted'!$B$40, CONCAT(VLOOKUP($C17, 'Match Names'!$A$1:$D$22, 2, FALSE), ""!C3:R29"")), {2;7;13;19}, FALSE)), ""=-4"") + COUNTIF(ARRAYFORMULA(HLOOKUP($B17, IMPORTRANGE('Prelim Rankings Unso"&amp;"rted'!$B$41, CONCAT(VLOOKUP($C17, 'Match Names'!$A$1:$D$22, 3, FALSE), ""!C3:R29"")), {3;9;15;21}, FALSE)), ""=-4"") + COUNTIF(ARRAYFORMULA(HLOOKUP($B17, IMPORTRANGE('Prelim Rankings Unsorted'!$B$42, CONCAT(VLOOKUP($C17, 'Match Names'!$A$1:$D$22, 4, FALSE"&amp;"), ""!C3:R29"")), {3;9;15;21}, FALSE)), ""=-4"") + COUNTIF(ARRAYFORMULA(HLOOKUP($B17, IMPORTRANGE('Match Names'!$E$23, CONCAT(VLOOKUP($C17, 'Match Names'!$1:$22, 5, FALSE), ""!C3:R29"")), {9;14;19;24}, FALSE)), ""=-4"") + COUNTIF(ARRAYFORMULA(HLOOKUP($B17"&amp;", IMPORTRANGE('Match Names'!$F$23, CONCAT(VLOOKUP($C17, 'Match Names'!$1:$22, 6, FALSE), ""!C3:R29"")), {2;8;14;20}, FALSE)), ""=-4"") + COUNTIF(ARRAYFORMULA(HLOOKUP($B17, IMPORTRANGE('Match Names'!$G$23, CONCAT(VLOOKUP($C17, 'Match Names'!$1:$22, 7, FALS"&amp;"E), ""!C3:R29"")), {6;16;20;24}, FALSE)), ""=-4"") + COUNTIF(ARRAYFORMULA(HLOOKUP($B17, IMPORTRANGE('Match Names'!$H$23, CONCAT(VLOOKUP($C17, 'Match Names'!$1:$22, 8, FALSE), ""!C3:R29"")), {2;8;14;20}, FALSE)), ""=-4"")"),0.0)</f>
        <v>0</v>
      </c>
      <c r="H17" s="33">
        <f t="shared" si="1"/>
        <v>1</v>
      </c>
    </row>
    <row r="18">
      <c r="A18" s="34" t="s">
        <v>206</v>
      </c>
      <c r="B18" s="31" t="str">
        <f>VLOOKUP(CONCAT(A18, C18), 'Discord Username to Real Name'!C:D, 2, FALSE)</f>
        <v>.penguin#3809</v>
      </c>
      <c r="C18" s="36" t="s">
        <v>31</v>
      </c>
      <c r="D18" s="32">
        <f>IFERROR(__xludf.DUMMYFUNCTION("(4 - COUNTIF(IFERROR(ARRAYFORMULA(HLOOKUP($B18, IMPORTRANGE('Prelim Rankings Unsorted'!$B$40, CONCAT(VLOOKUP($C18, 'Match Names'!$A$1:$D$22, 2, FALSE), ""!C3:R29"")), {2;7;13;19}, FALSE)), 'Player Overall Stats Unsorted'!$AA$9:$AA$12), ""=X"")) + (4 - COU"&amp;"NTIF(IFERROR(ARRAYFORMULA(HLOOKUP($B18, IMPORTRANGE('Prelim Rankings Unsorted'!$B$41, CONCAT(VLOOKUP($C18, 'Match Names'!$A$1:$D$22, 3, FALSE), ""!C3:R29"")), {3;9;15;21}, FALSE)), 'Player Overall Stats Unsorted'!$AA$9:$AA$12), ""=X"")) + (4 - COUNTIF(IFE"&amp;"RROR(ARRAYFORMULA(HLOOKUP($B18, IMPORTRANGE('Prelim Rankings Unsorted'!$B$42, CONCAT(VLOOKUP($C18, 'Match Names'!$A$1:$D$22, 4, FALSE), ""!C3:R29"")), {3;9;15;21}, FALSE)), 'Player Overall Stats Unsorted'!$AA$9:$AA$12), ""=X"")) + (4 - COUNTIF(IFERROR(ARR"&amp;"AYFORMULA(HLOOKUP($B18, IMPORTRANGE('Match Names'!$E$23, CONCAT(VLOOKUP($C18, 'Match Names'!$1:$22, 5, FALSE), ""!C3:R29"")), {9;14;19;24}, FALSE)), 'Player Overall Stats Unsorted'!$AA$9:$AA$12), ""=X"")) + (4 - COUNTIF(IFERROR(ARRAYFORMULA(HLOOKUP($B18, "&amp;"IMPORTRANGE('Match Names'!$F$23, CONCAT(VLOOKUP($C18, 'Match Names'!$1:$22, 6, FALSE), ""!C3:R29"")), {2;8;14;20}, FALSE)), 'Player Overall Stats Unsorted'!$AA$9:$AA$12), ""=X"")) + (4 - COUNTIF(IFERROR(ARRAYFORMULA(HLOOKUP($B18, IMPORTRANGE('Match Names'"&amp;"!$G$23, CONCAT(VLOOKUP($C18, 'Match Names'!$1:$22, 7, FALSE), ""!C3:R29"")), {6;16;20;24}, FALSE)), 'Player Overall Stats Unsorted'!$AA$9:$AA$12), ""=X"")) + (4 - COUNTIF(IFERROR(ARRAYFORMULA(HLOOKUP($B18, IMPORTRANGE('Match Names'!$H$23, CONCAT(VLOOKUP($"&amp;"C18, 'Match Names'!$1:$22, 8, FALSE), ""!C3:R29"")), {2;8;14;20}, FALSE)), 'Player Overall Stats Unsorted'!$AA$9:$AA$12), ""=X""))"),0.0)</f>
        <v>0</v>
      </c>
      <c r="E18" s="32">
        <f>IFERROR(__xludf.DUMMYFUNCTION("COUNTIF(ARRAYFORMULA(HLOOKUP($B18, IMPORTRANGE('Prelim Rankings Unsorted'!$B$40, CONCAT(VLOOKUP($C18, 'Match Names'!$A$1:$D$22, 2, FALSE), ""!C3:R29"")), {2;7;13;19}, FALSE)), ""=4"") + COUNTIF(ARRAYFORMULA(HLOOKUP($B18, IMPORTRANGE('Prelim Rankings Unsor"&amp;"ted'!$B$41, CONCAT(VLOOKUP($C18, 'Match Names'!$A$1:$D$22, 3, FALSE), ""!C3:R29"")), {3;9;15;21}, FALSE)), ""=4"") + COUNTIF(ARRAYFORMULA(HLOOKUP($B18, IMPORTRANGE('Prelim Rankings Unsorted'!$B$42, CONCAT(VLOOKUP($C18, 'Match Names'!$A$1:$D$22, 4, FALSE),"&amp;" ""!C3:R29"")), {3;9;15;21}, FALSE)), ""=4"") + COUNTIF(ARRAYFORMULA(HLOOKUP($B18, IMPORTRANGE('Match Names'!$E$23, CONCAT(VLOOKUP($C18, 'Match Names'!$1:$22, 5, FALSE), ""!C3:R29"")), {9;14;19;24}, FALSE)), ""=4"") + COUNTIF(ARRAYFORMULA(HLOOKUP($B18, IM"&amp;"PORTRANGE('Match Names'!$F$23, CONCAT(VLOOKUP($C18, 'Match Names'!$1:$22, 6, FALSE), ""!C3:R29"")), {2;8;14;20}, FALSE)), ""=4"") + COUNTIF(ARRAYFORMULA(HLOOKUP($B18, IMPORTRANGE('Match Names'!$G$23, CONCAT(VLOOKUP($C18, 'Match Names'!$1:$22, 7, FALSE), "&amp;"""!C3:R29"")), {6;16;20;24}, FALSE)), ""=4"") + COUNTIF(ARRAYFORMULA(HLOOKUP($B18, IMPORTRANGE('Match Names'!$H$23, CONCAT(VLOOKUP($C18, 'Match Names'!$1:$22, 8, FALSE), ""!C3:R29"")), {2;8;14;20}, FALSE)), ""=4"")"),0.0)</f>
        <v>0</v>
      </c>
      <c r="F18" s="32">
        <f>IFERROR(__xludf.DUMMYFUNCTION("COUNTIF(ARRAYFORMULA(HLOOKUP($B18, IMPORTRANGE('Prelim Rankings Unsorted'!$B$40, CONCAT(VLOOKUP($C18, 'Match Names'!$A$1:$D$22, 2, FALSE), ""!C3:R29"")), {2;7;13;19}, FALSE)), ""=0"") + COUNTIF(ARRAYFORMULA(HLOOKUP($B18, IMPORTRANGE('Prelim Rankings Unsor"&amp;"ted'!$B$41, CONCAT(VLOOKUP($C18, 'Match Names'!$A$1:$D$22, 3, FALSE), ""!C3:R29"")), {3;9;15;21}, FALSE)), ""=0"") + COUNTIF(ARRAYFORMULA(HLOOKUP($B18, IMPORTRANGE('Prelim Rankings Unsorted'!$B$42, CONCAT(VLOOKUP($C18, 'Match Names'!$A$1:$D$22, 4, FALSE),"&amp;" ""!C3:R29"")), {3;9;15;21}, FALSE)), ""=0"") + COUNTIF(ARRAYFORMULA(HLOOKUP($B18, IMPORTRANGE('Match Names'!$E$23, CONCAT(VLOOKUP($C18, 'Match Names'!$1:$22, 5, FALSE), ""!C3:R29"")), {9;14;19;24}, FALSE)), ""=0"") + COUNTIF(ARRAYFORMULA(HLOOKUP($B18, IM"&amp;"PORTRANGE('Match Names'!$F$23, CONCAT(VLOOKUP($C18, 'Match Names'!$1:$22, 6, FALSE), ""!C3:R29"")), {2;8;14;20}, FALSE)), ""=0"") + COUNTIF(ARRAYFORMULA(HLOOKUP($B18, IMPORTRANGE('Match Names'!$G$23, CONCAT(VLOOKUP($C18, 'Match Names'!$1:$22, 7, FALSE), "&amp;"""!C3:R29"")), {6;16;20;24}, FALSE)), ""=0"") + COUNTIF(ARRAYFORMULA(HLOOKUP($B18, IMPORTRANGE('Match Names'!$H$23, CONCAT(VLOOKUP($C18, 'Match Names'!$1:$22, 8, FALSE), ""!C3:R29"")), {2;8;14;20}, FALSE)), ""=0"")"),0.0)</f>
        <v>0</v>
      </c>
      <c r="G18" s="32">
        <f>IFERROR(__xludf.DUMMYFUNCTION("COUNTIF(ARRAYFORMULA(HLOOKUP($B18, IMPORTRANGE('Prelim Rankings Unsorted'!$B$40, CONCAT(VLOOKUP($C18, 'Match Names'!$A$1:$D$22, 2, FALSE), ""!C3:R29"")), {2;7;13;19}, FALSE)), ""=-4"") + COUNTIF(ARRAYFORMULA(HLOOKUP($B18, IMPORTRANGE('Prelim Rankings Unso"&amp;"rted'!$B$41, CONCAT(VLOOKUP($C18, 'Match Names'!$A$1:$D$22, 3, FALSE), ""!C3:R29"")), {3;9;15;21}, FALSE)), ""=-4"") + COUNTIF(ARRAYFORMULA(HLOOKUP($B18, IMPORTRANGE('Prelim Rankings Unsorted'!$B$42, CONCAT(VLOOKUP($C18, 'Match Names'!$A$1:$D$22, 4, FALSE"&amp;"), ""!C3:R29"")), {3;9;15;21}, FALSE)), ""=-4"") + COUNTIF(ARRAYFORMULA(HLOOKUP($B18, IMPORTRANGE('Match Names'!$E$23, CONCAT(VLOOKUP($C18, 'Match Names'!$1:$22, 5, FALSE), ""!C3:R29"")), {9;14;19;24}, FALSE)), ""=-4"") + COUNTIF(ARRAYFORMULA(HLOOKUP($B18"&amp;", IMPORTRANGE('Match Names'!$F$23, CONCAT(VLOOKUP($C18, 'Match Names'!$1:$22, 6, FALSE), ""!C3:R29"")), {2;8;14;20}, FALSE)), ""=-4"") + COUNTIF(ARRAYFORMULA(HLOOKUP($B18, IMPORTRANGE('Match Names'!$G$23, CONCAT(VLOOKUP($C18, 'Match Names'!$1:$22, 7, FALS"&amp;"E), ""!C3:R29"")), {6;16;20;24}, FALSE)), ""=-4"") + COUNTIF(ARRAYFORMULA(HLOOKUP($B18, IMPORTRANGE('Match Names'!$H$23, CONCAT(VLOOKUP($C18, 'Match Names'!$1:$22, 8, FALSE), ""!C3:R29"")), {2;8;14;20}, FALSE)), ""=-4"")"),0.0)</f>
        <v>0</v>
      </c>
      <c r="H18" s="33">
        <f t="shared" si="1"/>
        <v>0</v>
      </c>
    </row>
    <row r="19">
      <c r="A19" s="32" t="s">
        <v>84</v>
      </c>
      <c r="B19" s="31" t="str">
        <f>VLOOKUP(CONCAT(A19, C19), 'Discord Username to Real Name'!C:D, 2, FALSE)</f>
        <v>spongebob#0577</v>
      </c>
      <c r="C19" s="31" t="s">
        <v>31</v>
      </c>
      <c r="D19" s="32">
        <f>IFERROR(__xludf.DUMMYFUNCTION("(4 - COUNTIF(IFERROR(ARRAYFORMULA(HLOOKUP($B19, IMPORTRANGE('Prelim Rankings Unsorted'!$B$40, CONCAT(VLOOKUP($C19, 'Match Names'!$A$1:$D$22, 2, FALSE), ""!C3:R29"")), {2;7;13;19}, FALSE)), 'Player Overall Stats Unsorted'!$AA$9:$AA$12), ""=X"")) + (4 - COU"&amp;"NTIF(IFERROR(ARRAYFORMULA(HLOOKUP($B19, IMPORTRANGE('Prelim Rankings Unsorted'!$B$41, CONCAT(VLOOKUP($C19, 'Match Names'!$A$1:$D$22, 3, FALSE), ""!C3:R29"")), {3;9;15;21}, FALSE)), 'Player Overall Stats Unsorted'!$AA$9:$AA$12), ""=X"")) + (4 - COUNTIF(IFE"&amp;"RROR(ARRAYFORMULA(HLOOKUP($B19, IMPORTRANGE('Prelim Rankings Unsorted'!$B$42, CONCAT(VLOOKUP($C19, 'Match Names'!$A$1:$D$22, 4, FALSE), ""!C3:R29"")), {3;9;15;21}, FALSE)), 'Player Overall Stats Unsorted'!$AA$9:$AA$12), ""=X"")) + (4 - COUNTIF(IFERROR(ARR"&amp;"AYFORMULA(HLOOKUP($B19, IMPORTRANGE('Match Names'!$E$23, CONCAT(VLOOKUP($C19, 'Match Names'!$1:$22, 5, FALSE), ""!C3:R29"")), {9;14;19;24}, FALSE)), 'Player Overall Stats Unsorted'!$AA$9:$AA$12), ""=X"")) + (4 - COUNTIF(IFERROR(ARRAYFORMULA(HLOOKUP($B19, "&amp;"IMPORTRANGE('Match Names'!$F$23, CONCAT(VLOOKUP($C19, 'Match Names'!$1:$22, 6, FALSE), ""!C3:R29"")), {2;8;14;20}, FALSE)), 'Player Overall Stats Unsorted'!$AA$9:$AA$12), ""=X"")) + (4 - COUNTIF(IFERROR(ARRAYFORMULA(HLOOKUP($B19, IMPORTRANGE('Match Names'"&amp;"!$G$23, CONCAT(VLOOKUP($C19, 'Match Names'!$1:$22, 7, FALSE), ""!C3:R29"")), {6;16;20;24}, FALSE)), 'Player Overall Stats Unsorted'!$AA$9:$AA$12), ""=X"")) + (4 - COUNTIF(IFERROR(ARRAYFORMULA(HLOOKUP($B19, IMPORTRANGE('Match Names'!$H$23, CONCAT(VLOOKUP($"&amp;"C19, 'Match Names'!$1:$22, 8, FALSE), ""!C3:R29"")), {2;8;14;20}, FALSE)), 'Player Overall Stats Unsorted'!$AA$9:$AA$12), ""=X""))"),12.0)</f>
        <v>12</v>
      </c>
      <c r="E19" s="32">
        <f>IFERROR(__xludf.DUMMYFUNCTION("COUNTIF(ARRAYFORMULA(HLOOKUP($B19, IMPORTRANGE('Prelim Rankings Unsorted'!$B$40, CONCAT(VLOOKUP($C19, 'Match Names'!$A$1:$D$22, 2, FALSE), ""!C3:R29"")), {2;7;13;19}, FALSE)), ""=4"") + COUNTIF(ARRAYFORMULA(HLOOKUP($B19, IMPORTRANGE('Prelim Rankings Unsor"&amp;"ted'!$B$41, CONCAT(VLOOKUP($C19, 'Match Names'!$A$1:$D$22, 3, FALSE), ""!C3:R29"")), {3;9;15;21}, FALSE)), ""=4"") + COUNTIF(ARRAYFORMULA(HLOOKUP($B19, IMPORTRANGE('Prelim Rankings Unsorted'!$B$42, CONCAT(VLOOKUP($C19, 'Match Names'!$A$1:$D$22, 4, FALSE),"&amp;" ""!C3:R29"")), {3;9;15;21}, FALSE)), ""=4"") + COUNTIF(ARRAYFORMULA(HLOOKUP($B19, IMPORTRANGE('Match Names'!$E$23, CONCAT(VLOOKUP($C19, 'Match Names'!$1:$22, 5, FALSE), ""!C3:R29"")), {9;14;19;24}, FALSE)), ""=4"") + COUNTIF(ARRAYFORMULA(HLOOKUP($B19, IM"&amp;"PORTRANGE('Match Names'!$F$23, CONCAT(VLOOKUP($C19, 'Match Names'!$1:$22, 6, FALSE), ""!C3:R29"")), {2;8;14;20}, FALSE)), ""=4"") + COUNTIF(ARRAYFORMULA(HLOOKUP($B19, IMPORTRANGE('Match Names'!$G$23, CONCAT(VLOOKUP($C19, 'Match Names'!$1:$22, 7, FALSE), "&amp;"""!C3:R29"")), {6;16;20;24}, FALSE)), ""=4"") + COUNTIF(ARRAYFORMULA(HLOOKUP($B19, IMPORTRANGE('Match Names'!$H$23, CONCAT(VLOOKUP($C19, 'Match Names'!$1:$22, 8, FALSE), ""!C3:R29"")), {2;8;14;20}, FALSE)), ""=4"")"),2.0)</f>
        <v>2</v>
      </c>
      <c r="F19" s="32">
        <f>IFERROR(__xludf.DUMMYFUNCTION("COUNTIF(ARRAYFORMULA(HLOOKUP($B19, IMPORTRANGE('Prelim Rankings Unsorted'!$B$40, CONCAT(VLOOKUP($C19, 'Match Names'!$A$1:$D$22, 2, FALSE), ""!C3:R29"")), {2;7;13;19}, FALSE)), ""=0"") + COUNTIF(ARRAYFORMULA(HLOOKUP($B19, IMPORTRANGE('Prelim Rankings Unsor"&amp;"ted'!$B$41, CONCAT(VLOOKUP($C19, 'Match Names'!$A$1:$D$22, 3, FALSE), ""!C3:R29"")), {3;9;15;21}, FALSE)), ""=0"") + COUNTIF(ARRAYFORMULA(HLOOKUP($B19, IMPORTRANGE('Prelim Rankings Unsorted'!$B$42, CONCAT(VLOOKUP($C19, 'Match Names'!$A$1:$D$22, 4, FALSE),"&amp;" ""!C3:R29"")), {3;9;15;21}, FALSE)), ""=0"") + COUNTIF(ARRAYFORMULA(HLOOKUP($B19, IMPORTRANGE('Match Names'!$E$23, CONCAT(VLOOKUP($C19, 'Match Names'!$1:$22, 5, FALSE), ""!C3:R29"")), {9;14;19;24}, FALSE)), ""=0"") + COUNTIF(ARRAYFORMULA(HLOOKUP($B19, IM"&amp;"PORTRANGE('Match Names'!$F$23, CONCAT(VLOOKUP($C19, 'Match Names'!$1:$22, 6, FALSE), ""!C3:R29"")), {2;8;14;20}, FALSE)), ""=0"") + COUNTIF(ARRAYFORMULA(HLOOKUP($B19, IMPORTRANGE('Match Names'!$G$23, CONCAT(VLOOKUP($C19, 'Match Names'!$1:$22, 7, FALSE), "&amp;"""!C3:R29"")), {6;16;20;24}, FALSE)), ""=0"") + COUNTIF(ARRAYFORMULA(HLOOKUP($B19, IMPORTRANGE('Match Names'!$H$23, CONCAT(VLOOKUP($C19, 'Match Names'!$1:$22, 8, FALSE), ""!C3:R29"")), {2;8;14;20}, FALSE)), ""=0"")"),1.0)</f>
        <v>1</v>
      </c>
      <c r="G19" s="32">
        <f>IFERROR(__xludf.DUMMYFUNCTION("COUNTIF(ARRAYFORMULA(HLOOKUP($B19, IMPORTRANGE('Prelim Rankings Unsorted'!$B$40, CONCAT(VLOOKUP($C19, 'Match Names'!$A$1:$D$22, 2, FALSE), ""!C3:R29"")), {2;7;13;19}, FALSE)), ""=-4"") + COUNTIF(ARRAYFORMULA(HLOOKUP($B19, IMPORTRANGE('Prelim Rankings Unso"&amp;"rted'!$B$41, CONCAT(VLOOKUP($C19, 'Match Names'!$A$1:$D$22, 3, FALSE), ""!C3:R29"")), {3;9;15;21}, FALSE)), ""=-4"") + COUNTIF(ARRAYFORMULA(HLOOKUP($B19, IMPORTRANGE('Prelim Rankings Unsorted'!$B$42, CONCAT(VLOOKUP($C19, 'Match Names'!$A$1:$D$22, 4, FALSE"&amp;"), ""!C3:R29"")), {3;9;15;21}, FALSE)), ""=-4"") + COUNTIF(ARRAYFORMULA(HLOOKUP($B19, IMPORTRANGE('Match Names'!$E$23, CONCAT(VLOOKUP($C19, 'Match Names'!$1:$22, 5, FALSE), ""!C3:R29"")), {9;14;19;24}, FALSE)), ""=-4"") + COUNTIF(ARRAYFORMULA(HLOOKUP($B19"&amp;", IMPORTRANGE('Match Names'!$F$23, CONCAT(VLOOKUP($C19, 'Match Names'!$1:$22, 6, FALSE), ""!C3:R29"")), {2;8;14;20}, FALSE)), ""=-4"") + COUNTIF(ARRAYFORMULA(HLOOKUP($B19, IMPORTRANGE('Match Names'!$G$23, CONCAT(VLOOKUP($C19, 'Match Names'!$1:$22, 7, FALS"&amp;"E), ""!C3:R29"")), {6;16;20;24}, FALSE)), ""=-4"") + COUNTIF(ARRAYFORMULA(HLOOKUP($B19, IMPORTRANGE('Match Names'!$H$23, CONCAT(VLOOKUP($C19, 'Match Names'!$1:$22, 8, FALSE), ""!C3:R29"")), {2;8;14;20}, FALSE)), ""=-4"")"),0.0)</f>
        <v>0</v>
      </c>
      <c r="H19" s="33">
        <f t="shared" si="1"/>
        <v>2.67</v>
      </c>
    </row>
    <row r="20">
      <c r="A20" s="34" t="s">
        <v>100</v>
      </c>
      <c r="B20" s="31" t="str">
        <f>VLOOKUP(CONCAT(A20, C20), 'Discord Username to Real Name'!C:D, 2, FALSE)</f>
        <v>Izwerzx#2598</v>
      </c>
      <c r="C20" s="36" t="s">
        <v>31</v>
      </c>
      <c r="D20" s="32">
        <f>IFERROR(__xludf.DUMMYFUNCTION("(4 - COUNTIF(IFERROR(ARRAYFORMULA(HLOOKUP($B20, IMPORTRANGE('Prelim Rankings Unsorted'!$B$40, CONCAT(VLOOKUP($C20, 'Match Names'!$A$1:$D$22, 2, FALSE), ""!C3:R29"")), {2;7;13;19}, FALSE)), 'Player Overall Stats Unsorted'!$AA$9:$AA$12), ""=X"")) + (4 - COU"&amp;"NTIF(IFERROR(ARRAYFORMULA(HLOOKUP($B20, IMPORTRANGE('Prelim Rankings Unsorted'!$B$41, CONCAT(VLOOKUP($C20, 'Match Names'!$A$1:$D$22, 3, FALSE), ""!C3:R29"")), {3;9;15;21}, FALSE)), 'Player Overall Stats Unsorted'!$AA$9:$AA$12), ""=X"")) + (4 - COUNTIF(IFE"&amp;"RROR(ARRAYFORMULA(HLOOKUP($B20, IMPORTRANGE('Prelim Rankings Unsorted'!$B$42, CONCAT(VLOOKUP($C20, 'Match Names'!$A$1:$D$22, 4, FALSE), ""!C3:R29"")), {3;9;15;21}, FALSE)), 'Player Overall Stats Unsorted'!$AA$9:$AA$12), ""=X"")) + (4 - COUNTIF(IFERROR(ARR"&amp;"AYFORMULA(HLOOKUP($B20, IMPORTRANGE('Match Names'!$E$23, CONCAT(VLOOKUP($C20, 'Match Names'!$1:$22, 5, FALSE), ""!C3:R29"")), {9;14;19;24}, FALSE)), 'Player Overall Stats Unsorted'!$AA$9:$AA$12), ""=X"")) + (4 - COUNTIF(IFERROR(ARRAYFORMULA(HLOOKUP($B20, "&amp;"IMPORTRANGE('Match Names'!$F$23, CONCAT(VLOOKUP($C20, 'Match Names'!$1:$22, 6, FALSE), ""!C3:R29"")), {2;8;14;20}, FALSE)), 'Player Overall Stats Unsorted'!$AA$9:$AA$12), ""=X"")) + (4 - COUNTIF(IFERROR(ARRAYFORMULA(HLOOKUP($B20, IMPORTRANGE('Match Names'"&amp;"!$G$23, CONCAT(VLOOKUP($C20, 'Match Names'!$1:$22, 7, FALSE), ""!C3:R29"")), {6;16;20;24}, FALSE)), 'Player Overall Stats Unsorted'!$AA$9:$AA$12), ""=X"")) + (4 - COUNTIF(IFERROR(ARRAYFORMULA(HLOOKUP($B20, IMPORTRANGE('Match Names'!$H$23, CONCAT(VLOOKUP($"&amp;"C20, 'Match Names'!$1:$22, 8, FALSE), ""!C3:R29"")), {2;8;14;20}, FALSE)), 'Player Overall Stats Unsorted'!$AA$9:$AA$12), ""=X""))"),8.0)</f>
        <v>8</v>
      </c>
      <c r="E20" s="32">
        <f>IFERROR(__xludf.DUMMYFUNCTION("COUNTIF(ARRAYFORMULA(HLOOKUP($B20, IMPORTRANGE('Prelim Rankings Unsorted'!$B$40, CONCAT(VLOOKUP($C20, 'Match Names'!$A$1:$D$22, 2, FALSE), ""!C3:R29"")), {2;7;13;19}, FALSE)), ""=4"") + COUNTIF(ARRAYFORMULA(HLOOKUP($B20, IMPORTRANGE('Prelim Rankings Unsor"&amp;"ted'!$B$41, CONCAT(VLOOKUP($C20, 'Match Names'!$A$1:$D$22, 3, FALSE), ""!C3:R29"")), {3;9;15;21}, FALSE)), ""=4"") + COUNTIF(ARRAYFORMULA(HLOOKUP($B20, IMPORTRANGE('Prelim Rankings Unsorted'!$B$42, CONCAT(VLOOKUP($C20, 'Match Names'!$A$1:$D$22, 4, FALSE),"&amp;" ""!C3:R29"")), {3;9;15;21}, FALSE)), ""=4"") + COUNTIF(ARRAYFORMULA(HLOOKUP($B20, IMPORTRANGE('Match Names'!$E$23, CONCAT(VLOOKUP($C20, 'Match Names'!$1:$22, 5, FALSE), ""!C3:R29"")), {9;14;19;24}, FALSE)), ""=4"") + COUNTIF(ARRAYFORMULA(HLOOKUP($B20, IM"&amp;"PORTRANGE('Match Names'!$F$23, CONCAT(VLOOKUP($C20, 'Match Names'!$1:$22, 6, FALSE), ""!C3:R29"")), {2;8;14;20}, FALSE)), ""=4"") + COUNTIF(ARRAYFORMULA(HLOOKUP($B20, IMPORTRANGE('Match Names'!$G$23, CONCAT(VLOOKUP($C20, 'Match Names'!$1:$22, 7, FALSE), "&amp;"""!C3:R29"")), {6;16;20;24}, FALSE)), ""=4"") + COUNTIF(ARRAYFORMULA(HLOOKUP($B20, IMPORTRANGE('Match Names'!$H$23, CONCAT(VLOOKUP($C20, 'Match Names'!$1:$22, 8, FALSE), ""!C3:R29"")), {2;8;14;20}, FALSE)), ""=4"")"),1.0)</f>
        <v>1</v>
      </c>
      <c r="F20" s="32">
        <f>IFERROR(__xludf.DUMMYFUNCTION("COUNTIF(ARRAYFORMULA(HLOOKUP($B20, IMPORTRANGE('Prelim Rankings Unsorted'!$B$40, CONCAT(VLOOKUP($C20, 'Match Names'!$A$1:$D$22, 2, FALSE), ""!C3:R29"")), {2;7;13;19}, FALSE)), ""=0"") + COUNTIF(ARRAYFORMULA(HLOOKUP($B20, IMPORTRANGE('Prelim Rankings Unsor"&amp;"ted'!$B$41, CONCAT(VLOOKUP($C20, 'Match Names'!$A$1:$D$22, 3, FALSE), ""!C3:R29"")), {3;9;15;21}, FALSE)), ""=0"") + COUNTIF(ARRAYFORMULA(HLOOKUP($B20, IMPORTRANGE('Prelim Rankings Unsorted'!$B$42, CONCAT(VLOOKUP($C20, 'Match Names'!$A$1:$D$22, 4, FALSE),"&amp;" ""!C3:R29"")), {3;9;15;21}, FALSE)), ""=0"") + COUNTIF(ARRAYFORMULA(HLOOKUP($B20, IMPORTRANGE('Match Names'!$E$23, CONCAT(VLOOKUP($C20, 'Match Names'!$1:$22, 5, FALSE), ""!C3:R29"")), {9;14;19;24}, FALSE)), ""=0"") + COUNTIF(ARRAYFORMULA(HLOOKUP($B20, IM"&amp;"PORTRANGE('Match Names'!$F$23, CONCAT(VLOOKUP($C20, 'Match Names'!$1:$22, 6, FALSE), ""!C3:R29"")), {2;8;14;20}, FALSE)), ""=0"") + COUNTIF(ARRAYFORMULA(HLOOKUP($B20, IMPORTRANGE('Match Names'!$G$23, CONCAT(VLOOKUP($C20, 'Match Names'!$1:$22, 7, FALSE), "&amp;"""!C3:R29"")), {6;16;20;24}, FALSE)), ""=0"") + COUNTIF(ARRAYFORMULA(HLOOKUP($B20, IMPORTRANGE('Match Names'!$H$23, CONCAT(VLOOKUP($C20, 'Match Names'!$1:$22, 8, FALSE), ""!C3:R29"")), {2;8;14;20}, FALSE)), ""=0"")"),0.0)</f>
        <v>0</v>
      </c>
      <c r="G20" s="32">
        <f>IFERROR(__xludf.DUMMYFUNCTION("COUNTIF(ARRAYFORMULA(HLOOKUP($B20, IMPORTRANGE('Prelim Rankings Unsorted'!$B$40, CONCAT(VLOOKUP($C20, 'Match Names'!$A$1:$D$22, 2, FALSE), ""!C3:R29"")), {2;7;13;19}, FALSE)), ""=-4"") + COUNTIF(ARRAYFORMULA(HLOOKUP($B20, IMPORTRANGE('Prelim Rankings Unso"&amp;"rted'!$B$41, CONCAT(VLOOKUP($C20, 'Match Names'!$A$1:$D$22, 3, FALSE), ""!C3:R29"")), {3;9;15;21}, FALSE)), ""=-4"") + COUNTIF(ARRAYFORMULA(HLOOKUP($B20, IMPORTRANGE('Prelim Rankings Unsorted'!$B$42, CONCAT(VLOOKUP($C20, 'Match Names'!$A$1:$D$22, 4, FALSE"&amp;"), ""!C3:R29"")), {3;9;15;21}, FALSE)), ""=-4"") + COUNTIF(ARRAYFORMULA(HLOOKUP($B20, IMPORTRANGE('Match Names'!$E$23, CONCAT(VLOOKUP($C20, 'Match Names'!$1:$22, 5, FALSE), ""!C3:R29"")), {9;14;19;24}, FALSE)), ""=-4"") + COUNTIF(ARRAYFORMULA(HLOOKUP($B20"&amp;", IMPORTRANGE('Match Names'!$F$23, CONCAT(VLOOKUP($C20, 'Match Names'!$1:$22, 6, FALSE), ""!C3:R29"")), {2;8;14;20}, FALSE)), ""=-4"") + COUNTIF(ARRAYFORMULA(HLOOKUP($B20, IMPORTRANGE('Match Names'!$G$23, CONCAT(VLOOKUP($C20, 'Match Names'!$1:$22, 7, FALS"&amp;"E), ""!C3:R29"")), {6;16;20;24}, FALSE)), ""=-4"") + COUNTIF(ARRAYFORMULA(HLOOKUP($B20, IMPORTRANGE('Match Names'!$H$23, CONCAT(VLOOKUP($C20, 'Match Names'!$1:$22, 8, FALSE), ""!C3:R29"")), {2;8;14;20}, FALSE)), ""=-4"")"),0.0)</f>
        <v>0</v>
      </c>
      <c r="H20" s="33">
        <f t="shared" si="1"/>
        <v>2</v>
      </c>
    </row>
    <row r="21">
      <c r="A21" s="31" t="s">
        <v>205</v>
      </c>
      <c r="B21" s="31" t="str">
        <f>VLOOKUP(CONCAT(A21, C21), 'Discord Username to Real Name'!C:D, 2, FALSE)</f>
        <v>Einglass#1845</v>
      </c>
      <c r="C21" s="31" t="s">
        <v>31</v>
      </c>
      <c r="D21" s="32">
        <f>IFERROR(__xludf.DUMMYFUNCTION("(4 - COUNTIF(IFERROR(ARRAYFORMULA(HLOOKUP($B21, IMPORTRANGE('Prelim Rankings Unsorted'!$B$40, CONCAT(VLOOKUP($C21, 'Match Names'!$A$1:$D$22, 2, FALSE), ""!C3:R29"")), {2;7;13;19}, FALSE)), 'Player Overall Stats Unsorted'!$AA$9:$AA$12), ""=X"")) + (4 - COU"&amp;"NTIF(IFERROR(ARRAYFORMULA(HLOOKUP($B21, IMPORTRANGE('Prelim Rankings Unsorted'!$B$41, CONCAT(VLOOKUP($C21, 'Match Names'!$A$1:$D$22, 3, FALSE), ""!C3:R29"")), {3;9;15;21}, FALSE)), 'Player Overall Stats Unsorted'!$AA$9:$AA$12), ""=X"")) + (4 - COUNTIF(IFE"&amp;"RROR(ARRAYFORMULA(HLOOKUP($B21, IMPORTRANGE('Prelim Rankings Unsorted'!$B$42, CONCAT(VLOOKUP($C21, 'Match Names'!$A$1:$D$22, 4, FALSE), ""!C3:R29"")), {3;9;15;21}, FALSE)), 'Player Overall Stats Unsorted'!$AA$9:$AA$12), ""=X"")) + (4 - COUNTIF(IFERROR(ARR"&amp;"AYFORMULA(HLOOKUP($B21, IMPORTRANGE('Match Names'!$E$23, CONCAT(VLOOKUP($C21, 'Match Names'!$1:$22, 5, FALSE), ""!C3:R29"")), {9;14;19;24}, FALSE)), 'Player Overall Stats Unsorted'!$AA$9:$AA$12), ""=X"")) + (4 - COUNTIF(IFERROR(ARRAYFORMULA(HLOOKUP($B21, "&amp;"IMPORTRANGE('Match Names'!$F$23, CONCAT(VLOOKUP($C21, 'Match Names'!$1:$22, 6, FALSE), ""!C3:R29"")), {2;8;14;20}, FALSE)), 'Player Overall Stats Unsorted'!$AA$9:$AA$12), ""=X"")) + (4 - COUNTIF(IFERROR(ARRAYFORMULA(HLOOKUP($B21, IMPORTRANGE('Match Names'"&amp;"!$G$23, CONCAT(VLOOKUP($C21, 'Match Names'!$1:$22, 7, FALSE), ""!C3:R29"")), {6;16;20;24}, FALSE)), 'Player Overall Stats Unsorted'!$AA$9:$AA$12), ""=X"")) + (4 - COUNTIF(IFERROR(ARRAYFORMULA(HLOOKUP($B21, IMPORTRANGE('Match Names'!$H$23, CONCAT(VLOOKUP($"&amp;"C21, 'Match Names'!$1:$22, 8, FALSE), ""!C3:R29"")), {2;8;14;20}, FALSE)), 'Player Overall Stats Unsorted'!$AA$9:$AA$12), ""=X""))"),0.0)</f>
        <v>0</v>
      </c>
      <c r="E21" s="32">
        <f>IFERROR(__xludf.DUMMYFUNCTION("COUNTIF(ARRAYFORMULA(HLOOKUP($B21, IMPORTRANGE('Prelim Rankings Unsorted'!$B$40, CONCAT(VLOOKUP($C21, 'Match Names'!$A$1:$D$22, 2, FALSE), ""!C3:R29"")), {2;7;13;19}, FALSE)), ""=4"") + COUNTIF(ARRAYFORMULA(HLOOKUP($B21, IMPORTRANGE('Prelim Rankings Unsor"&amp;"ted'!$B$41, CONCAT(VLOOKUP($C21, 'Match Names'!$A$1:$D$22, 3, FALSE), ""!C3:R29"")), {3;9;15;21}, FALSE)), ""=4"") + COUNTIF(ARRAYFORMULA(HLOOKUP($B21, IMPORTRANGE('Prelim Rankings Unsorted'!$B$42, CONCAT(VLOOKUP($C21, 'Match Names'!$A$1:$D$22, 4, FALSE),"&amp;" ""!C3:R29"")), {3;9;15;21}, FALSE)), ""=4"") + COUNTIF(ARRAYFORMULA(HLOOKUP($B21, IMPORTRANGE('Match Names'!$E$23, CONCAT(VLOOKUP($C21, 'Match Names'!$1:$22, 5, FALSE), ""!C3:R29"")), {9;14;19;24}, FALSE)), ""=4"") + COUNTIF(ARRAYFORMULA(HLOOKUP($B21, IM"&amp;"PORTRANGE('Match Names'!$F$23, CONCAT(VLOOKUP($C21, 'Match Names'!$1:$22, 6, FALSE), ""!C3:R29"")), {2;8;14;20}, FALSE)), ""=4"") + COUNTIF(ARRAYFORMULA(HLOOKUP($B21, IMPORTRANGE('Match Names'!$G$23, CONCAT(VLOOKUP($C21, 'Match Names'!$1:$22, 7, FALSE), "&amp;"""!C3:R29"")), {6;16;20;24}, FALSE)), ""=4"") + COUNTIF(ARRAYFORMULA(HLOOKUP($B21, IMPORTRANGE('Match Names'!$H$23, CONCAT(VLOOKUP($C21, 'Match Names'!$1:$22, 8, FALSE), ""!C3:R29"")), {2;8;14;20}, FALSE)), ""=4"")"),0.0)</f>
        <v>0</v>
      </c>
      <c r="F21" s="32">
        <f>IFERROR(__xludf.DUMMYFUNCTION("COUNTIF(ARRAYFORMULA(HLOOKUP($B21, IMPORTRANGE('Prelim Rankings Unsorted'!$B$40, CONCAT(VLOOKUP($C21, 'Match Names'!$A$1:$D$22, 2, FALSE), ""!C3:R29"")), {2;7;13;19}, FALSE)), ""=0"") + COUNTIF(ARRAYFORMULA(HLOOKUP($B21, IMPORTRANGE('Prelim Rankings Unsor"&amp;"ted'!$B$41, CONCAT(VLOOKUP($C21, 'Match Names'!$A$1:$D$22, 3, FALSE), ""!C3:R29"")), {3;9;15;21}, FALSE)), ""=0"") + COUNTIF(ARRAYFORMULA(HLOOKUP($B21, IMPORTRANGE('Prelim Rankings Unsorted'!$B$42, CONCAT(VLOOKUP($C21, 'Match Names'!$A$1:$D$22, 4, FALSE),"&amp;" ""!C3:R29"")), {3;9;15;21}, FALSE)), ""=0"") + COUNTIF(ARRAYFORMULA(HLOOKUP($B21, IMPORTRANGE('Match Names'!$E$23, CONCAT(VLOOKUP($C21, 'Match Names'!$1:$22, 5, FALSE), ""!C3:R29"")), {9;14;19;24}, FALSE)), ""=0"") + COUNTIF(ARRAYFORMULA(HLOOKUP($B21, IM"&amp;"PORTRANGE('Match Names'!$F$23, CONCAT(VLOOKUP($C21, 'Match Names'!$1:$22, 6, FALSE), ""!C3:R29"")), {2;8;14;20}, FALSE)), ""=0"") + COUNTIF(ARRAYFORMULA(HLOOKUP($B21, IMPORTRANGE('Match Names'!$G$23, CONCAT(VLOOKUP($C21, 'Match Names'!$1:$22, 7, FALSE), "&amp;"""!C3:R29"")), {6;16;20;24}, FALSE)), ""=0"") + COUNTIF(ARRAYFORMULA(HLOOKUP($B21, IMPORTRANGE('Match Names'!$H$23, CONCAT(VLOOKUP($C21, 'Match Names'!$1:$22, 8, FALSE), ""!C3:R29"")), {2;8;14;20}, FALSE)), ""=0"")"),0.0)</f>
        <v>0</v>
      </c>
      <c r="G21" s="32">
        <f>IFERROR(__xludf.DUMMYFUNCTION("COUNTIF(ARRAYFORMULA(HLOOKUP($B21, IMPORTRANGE('Prelim Rankings Unsorted'!$B$40, CONCAT(VLOOKUP($C21, 'Match Names'!$A$1:$D$22, 2, FALSE), ""!C3:R29"")), {2;7;13;19}, FALSE)), ""=-4"") + COUNTIF(ARRAYFORMULA(HLOOKUP($B21, IMPORTRANGE('Prelim Rankings Unso"&amp;"rted'!$B$41, CONCAT(VLOOKUP($C21, 'Match Names'!$A$1:$D$22, 3, FALSE), ""!C3:R29"")), {3;9;15;21}, FALSE)), ""=-4"") + COUNTIF(ARRAYFORMULA(HLOOKUP($B21, IMPORTRANGE('Prelim Rankings Unsorted'!$B$42, CONCAT(VLOOKUP($C21, 'Match Names'!$A$1:$D$22, 4, FALSE"&amp;"), ""!C3:R29"")), {3;9;15;21}, FALSE)), ""=-4"") + COUNTIF(ARRAYFORMULA(HLOOKUP($B21, IMPORTRANGE('Match Names'!$E$23, CONCAT(VLOOKUP($C21, 'Match Names'!$1:$22, 5, FALSE), ""!C3:R29"")), {9;14;19;24}, FALSE)), ""=-4"") + COUNTIF(ARRAYFORMULA(HLOOKUP($B21"&amp;", IMPORTRANGE('Match Names'!$F$23, CONCAT(VLOOKUP($C21, 'Match Names'!$1:$22, 6, FALSE), ""!C3:R29"")), {2;8;14;20}, FALSE)), ""=-4"") + COUNTIF(ARRAYFORMULA(HLOOKUP($B21, IMPORTRANGE('Match Names'!$G$23, CONCAT(VLOOKUP($C21, 'Match Names'!$1:$22, 7, FALS"&amp;"E), ""!C3:R29"")), {6;16;20;24}, FALSE)), ""=-4"") + COUNTIF(ARRAYFORMULA(HLOOKUP($B21, IMPORTRANGE('Match Names'!$H$23, CONCAT(VLOOKUP($C21, 'Match Names'!$1:$22, 8, FALSE), ""!C3:R29"")), {2;8;14;20}, FALSE)), ""=-4"")"),0.0)</f>
        <v>0</v>
      </c>
      <c r="H21" s="33">
        <f t="shared" si="1"/>
        <v>0</v>
      </c>
    </row>
    <row r="22">
      <c r="A22" s="31" t="s">
        <v>167</v>
      </c>
      <c r="B22" s="31" t="str">
        <f>VLOOKUP(CONCAT(A22, C22), 'Discord Username to Real Name'!C:D, 2, FALSE)</f>
        <v>KOZlegend#1745</v>
      </c>
      <c r="C22" s="31" t="s">
        <v>31</v>
      </c>
      <c r="D22" s="32">
        <f>IFERROR(__xludf.DUMMYFUNCTION("(4 - COUNTIF(IFERROR(ARRAYFORMULA(HLOOKUP($B22, IMPORTRANGE('Prelim Rankings Unsorted'!$B$40, CONCAT(VLOOKUP($C22, 'Match Names'!$A$1:$D$22, 2, FALSE), ""!C3:R29"")), {2;7;13;19}, FALSE)), 'Player Overall Stats Unsorted'!$AA$9:$AA$12), ""=X"")) + (4 - COU"&amp;"NTIF(IFERROR(ARRAYFORMULA(HLOOKUP($B22, IMPORTRANGE('Prelim Rankings Unsorted'!$B$41, CONCAT(VLOOKUP($C22, 'Match Names'!$A$1:$D$22, 3, FALSE), ""!C3:R29"")), {3;9;15;21}, FALSE)), 'Player Overall Stats Unsorted'!$AA$9:$AA$12), ""=X"")) + (4 - COUNTIF(IFE"&amp;"RROR(ARRAYFORMULA(HLOOKUP($B22, IMPORTRANGE('Prelim Rankings Unsorted'!$B$42, CONCAT(VLOOKUP($C22, 'Match Names'!$A$1:$D$22, 4, FALSE), ""!C3:R29"")), {3;9;15;21}, FALSE)), 'Player Overall Stats Unsorted'!$AA$9:$AA$12), ""=X"")) + (4 - COUNTIF(IFERROR(ARR"&amp;"AYFORMULA(HLOOKUP($B22, IMPORTRANGE('Match Names'!$E$23, CONCAT(VLOOKUP($C22, 'Match Names'!$1:$22, 5, FALSE), ""!C3:R29"")), {9;14;19;24}, FALSE)), 'Player Overall Stats Unsorted'!$AA$9:$AA$12), ""=X"")) + (4 - COUNTIF(IFERROR(ARRAYFORMULA(HLOOKUP($B22, "&amp;"IMPORTRANGE('Match Names'!$F$23, CONCAT(VLOOKUP($C22, 'Match Names'!$1:$22, 6, FALSE), ""!C3:R29"")), {2;8;14;20}, FALSE)), 'Player Overall Stats Unsorted'!$AA$9:$AA$12), ""=X"")) + (4 - COUNTIF(IFERROR(ARRAYFORMULA(HLOOKUP($B22, IMPORTRANGE('Match Names'"&amp;"!$G$23, CONCAT(VLOOKUP($C22, 'Match Names'!$1:$22, 7, FALSE), ""!C3:R29"")), {6;16;20;24}, FALSE)), 'Player Overall Stats Unsorted'!$AA$9:$AA$12), ""=X"")) + (4 - COUNTIF(IFERROR(ARRAYFORMULA(HLOOKUP($B22, IMPORTRANGE('Match Names'!$H$23, CONCAT(VLOOKUP($"&amp;"C22, 'Match Names'!$1:$22, 8, FALSE), ""!C3:R29"")), {2;8;14;20}, FALSE)), 'Player Overall Stats Unsorted'!$AA$9:$AA$12), ""=X""))"),16.0)</f>
        <v>16</v>
      </c>
      <c r="E22" s="32">
        <f>IFERROR(__xludf.DUMMYFUNCTION("COUNTIF(ARRAYFORMULA(HLOOKUP($B22, IMPORTRANGE('Prelim Rankings Unsorted'!$B$40, CONCAT(VLOOKUP($C22, 'Match Names'!$A$1:$D$22, 2, FALSE), ""!C3:R29"")), {2;7;13;19}, FALSE)), ""=4"") + COUNTIF(ARRAYFORMULA(HLOOKUP($B22, IMPORTRANGE('Prelim Rankings Unsor"&amp;"ted'!$B$41, CONCAT(VLOOKUP($C22, 'Match Names'!$A$1:$D$22, 3, FALSE), ""!C3:R29"")), {3;9;15;21}, FALSE)), ""=4"") + COUNTIF(ARRAYFORMULA(HLOOKUP($B22, IMPORTRANGE('Prelim Rankings Unsorted'!$B$42, CONCAT(VLOOKUP($C22, 'Match Names'!$A$1:$D$22, 4, FALSE),"&amp;" ""!C3:R29"")), {3;9;15;21}, FALSE)), ""=4"") + COUNTIF(ARRAYFORMULA(HLOOKUP($B22, IMPORTRANGE('Match Names'!$E$23, CONCAT(VLOOKUP($C22, 'Match Names'!$1:$22, 5, FALSE), ""!C3:R29"")), {9;14;19;24}, FALSE)), ""=4"") + COUNTIF(ARRAYFORMULA(HLOOKUP($B22, IM"&amp;"PORTRANGE('Match Names'!$F$23, CONCAT(VLOOKUP($C22, 'Match Names'!$1:$22, 6, FALSE), ""!C3:R29"")), {2;8;14;20}, FALSE)), ""=4"") + COUNTIF(ARRAYFORMULA(HLOOKUP($B22, IMPORTRANGE('Match Names'!$G$23, CONCAT(VLOOKUP($C22, 'Match Names'!$1:$22, 7, FALSE), "&amp;"""!C3:R29"")), {6;16;20;24}, FALSE)), ""=4"") + COUNTIF(ARRAYFORMULA(HLOOKUP($B22, IMPORTRANGE('Match Names'!$H$23, CONCAT(VLOOKUP($C22, 'Match Names'!$1:$22, 8, FALSE), ""!C3:R29"")), {2;8;14;20}, FALSE)), ""=4"")"),0.0)</f>
        <v>0</v>
      </c>
      <c r="F22" s="32">
        <f>IFERROR(__xludf.DUMMYFUNCTION("COUNTIF(ARRAYFORMULA(HLOOKUP($B22, IMPORTRANGE('Prelim Rankings Unsorted'!$B$40, CONCAT(VLOOKUP($C22, 'Match Names'!$A$1:$D$22, 2, FALSE), ""!C3:R29"")), {2;7;13;19}, FALSE)), ""=0"") + COUNTIF(ARRAYFORMULA(HLOOKUP($B22, IMPORTRANGE('Prelim Rankings Unsor"&amp;"ted'!$B$41, CONCAT(VLOOKUP($C22, 'Match Names'!$A$1:$D$22, 3, FALSE), ""!C3:R29"")), {3;9;15;21}, FALSE)), ""=0"") + COUNTIF(ARRAYFORMULA(HLOOKUP($B22, IMPORTRANGE('Prelim Rankings Unsorted'!$B$42, CONCAT(VLOOKUP($C22, 'Match Names'!$A$1:$D$22, 4, FALSE),"&amp;" ""!C3:R29"")), {3;9;15;21}, FALSE)), ""=0"") + COUNTIF(ARRAYFORMULA(HLOOKUP($B22, IMPORTRANGE('Match Names'!$E$23, CONCAT(VLOOKUP($C22, 'Match Names'!$1:$22, 5, FALSE), ""!C3:R29"")), {9;14;19;24}, FALSE)), ""=0"") + COUNTIF(ARRAYFORMULA(HLOOKUP($B22, IM"&amp;"PORTRANGE('Match Names'!$F$23, CONCAT(VLOOKUP($C22, 'Match Names'!$1:$22, 6, FALSE), ""!C3:R29"")), {2;8;14;20}, FALSE)), ""=0"") + COUNTIF(ARRAYFORMULA(HLOOKUP($B22, IMPORTRANGE('Match Names'!$G$23, CONCAT(VLOOKUP($C22, 'Match Names'!$1:$22, 7, FALSE), "&amp;"""!C3:R29"")), {6;16;20;24}, FALSE)), ""=0"") + COUNTIF(ARRAYFORMULA(HLOOKUP($B22, IMPORTRANGE('Match Names'!$H$23, CONCAT(VLOOKUP($C22, 'Match Names'!$1:$22, 8, FALSE), ""!C3:R29"")), {2;8;14;20}, FALSE)), ""=0"")"),0.0)</f>
        <v>0</v>
      </c>
      <c r="G22" s="32">
        <f>IFERROR(__xludf.DUMMYFUNCTION("COUNTIF(ARRAYFORMULA(HLOOKUP($B22, IMPORTRANGE('Prelim Rankings Unsorted'!$B$40, CONCAT(VLOOKUP($C22, 'Match Names'!$A$1:$D$22, 2, FALSE), ""!C3:R29"")), {2;7;13;19}, FALSE)), ""=-4"") + COUNTIF(ARRAYFORMULA(HLOOKUP($B22, IMPORTRANGE('Prelim Rankings Unso"&amp;"rted'!$B$41, CONCAT(VLOOKUP($C22, 'Match Names'!$A$1:$D$22, 3, FALSE), ""!C3:R29"")), {3;9;15;21}, FALSE)), ""=-4"") + COUNTIF(ARRAYFORMULA(HLOOKUP($B22, IMPORTRANGE('Prelim Rankings Unsorted'!$B$42, CONCAT(VLOOKUP($C22, 'Match Names'!$A$1:$D$22, 4, FALSE"&amp;"), ""!C3:R29"")), {3;9;15;21}, FALSE)), ""=-4"") + COUNTIF(ARRAYFORMULA(HLOOKUP($B22, IMPORTRANGE('Match Names'!$E$23, CONCAT(VLOOKUP($C22, 'Match Names'!$1:$22, 5, FALSE), ""!C3:R29"")), {9;14;19;24}, FALSE)), ""=-4"") + COUNTIF(ARRAYFORMULA(HLOOKUP($B22"&amp;", IMPORTRANGE('Match Names'!$F$23, CONCAT(VLOOKUP($C22, 'Match Names'!$1:$22, 6, FALSE), ""!C3:R29"")), {2;8;14;20}, FALSE)), ""=-4"") + COUNTIF(ARRAYFORMULA(HLOOKUP($B22, IMPORTRANGE('Match Names'!$G$23, CONCAT(VLOOKUP($C22, 'Match Names'!$1:$22, 7, FALS"&amp;"E), ""!C3:R29"")), {6;16;20;24}, FALSE)), ""=-4"") + COUNTIF(ARRAYFORMULA(HLOOKUP($B22, IMPORTRANGE('Match Names'!$H$23, CONCAT(VLOOKUP($C22, 'Match Names'!$1:$22, 8, FALSE), ""!C3:R29"")), {2;8;14;20}, FALSE)), ""=-4"")"),0.0)</f>
        <v>0</v>
      </c>
      <c r="H22" s="33">
        <f t="shared" si="1"/>
        <v>0</v>
      </c>
    </row>
    <row r="23">
      <c r="A23" s="31" t="s">
        <v>90</v>
      </c>
      <c r="B23" s="31" t="str">
        <f>VLOOKUP(CONCAT(A23, C23), 'Discord Username to Real Name'!C:D, 2, FALSE)</f>
        <v>hriday#5979</v>
      </c>
      <c r="C23" s="31" t="s">
        <v>25</v>
      </c>
      <c r="D23" s="32">
        <f>IFERROR(__xludf.DUMMYFUNCTION("(4 - COUNTIF(IFERROR(ARRAYFORMULA(HLOOKUP($B23, IMPORTRANGE('Prelim Rankings Unsorted'!$B$40, CONCAT(VLOOKUP($C23, 'Match Names'!$A$1:$D$22, 2, FALSE), ""!C3:R29"")), {2;7;13;19}, FALSE)), 'Player Overall Stats Unsorted'!$AA$9:$AA$12), ""=X"")) + (4 - COU"&amp;"NTIF(IFERROR(ARRAYFORMULA(HLOOKUP($B23, IMPORTRANGE('Prelim Rankings Unsorted'!$B$41, CONCAT(VLOOKUP($C23, 'Match Names'!$A$1:$D$22, 3, FALSE), ""!C3:R29"")), {3;9;15;21}, FALSE)), 'Player Overall Stats Unsorted'!$AA$9:$AA$12), ""=X"")) + (4 - COUNTIF(IFE"&amp;"RROR(ARRAYFORMULA(HLOOKUP($B23, IMPORTRANGE('Prelim Rankings Unsorted'!$B$42, CONCAT(VLOOKUP($C23, 'Match Names'!$A$1:$D$22, 4, FALSE), ""!C3:R29"")), {3;9;15;21}, FALSE)), 'Player Overall Stats Unsorted'!$AA$9:$AA$12), ""=X"")) + (4 - COUNTIF(IFERROR(ARR"&amp;"AYFORMULA(HLOOKUP($B23, IMPORTRANGE('Match Names'!$E$23, CONCAT(VLOOKUP($C23, 'Match Names'!$1:$22, 5, FALSE), ""!C3:R29"")), {9;14;19;24}, FALSE)), 'Player Overall Stats Unsorted'!$AA$9:$AA$12), ""=X"")) + (4 - COUNTIF(IFERROR(ARRAYFORMULA(HLOOKUP($B23, "&amp;"IMPORTRANGE('Match Names'!$F$23, CONCAT(VLOOKUP($C23, 'Match Names'!$1:$22, 6, FALSE), ""!C3:R29"")), {2;8;14;20}, FALSE)), 'Player Overall Stats Unsorted'!$AA$9:$AA$12), ""=X"")) + (4 - COUNTIF(IFERROR(ARRAYFORMULA(HLOOKUP($B23, IMPORTRANGE('Match Names'"&amp;"!$G$23, CONCAT(VLOOKUP($C23, 'Match Names'!$1:$22, 7, FALSE), ""!C3:R29"")), {6;16;20;24}, FALSE)), 'Player Overall Stats Unsorted'!$AA$9:$AA$12), ""=X"")) + (4 - COUNTIF(IFERROR(ARRAYFORMULA(HLOOKUP($B23, IMPORTRANGE('Match Names'!$H$23, CONCAT(VLOOKUP($"&amp;"C23, 'Match Names'!$1:$22, 8, FALSE), ""!C3:R29"")), {2;8;14;20}, FALSE)), 'Player Overall Stats Unsorted'!$AA$9:$AA$12), ""=X""))"),14.0)</f>
        <v>14</v>
      </c>
      <c r="E23" s="32">
        <f>IFERROR(__xludf.DUMMYFUNCTION("COUNTIF(ARRAYFORMULA(HLOOKUP($B23, IMPORTRANGE('Prelim Rankings Unsorted'!$B$40, CONCAT(VLOOKUP($C23, 'Match Names'!$A$1:$D$22, 2, FALSE), ""!C3:R29"")), {2;7;13;19}, FALSE)), ""=4"") + COUNTIF(ARRAYFORMULA(HLOOKUP($B23, IMPORTRANGE('Prelim Rankings Unsor"&amp;"ted'!$B$41, CONCAT(VLOOKUP($C23, 'Match Names'!$A$1:$D$22, 3, FALSE), ""!C3:R29"")), {3;9;15;21}, FALSE)), ""=4"") + COUNTIF(ARRAYFORMULA(HLOOKUP($B23, IMPORTRANGE('Prelim Rankings Unsorted'!$B$42, CONCAT(VLOOKUP($C23, 'Match Names'!$A$1:$D$22, 4, FALSE),"&amp;" ""!C3:R29"")), {3;9;15;21}, FALSE)), ""=4"") + COUNTIF(ARRAYFORMULA(HLOOKUP($B23, IMPORTRANGE('Match Names'!$E$23, CONCAT(VLOOKUP($C23, 'Match Names'!$1:$22, 5, FALSE), ""!C3:R29"")), {9;14;19;24}, FALSE)), ""=4"") + COUNTIF(ARRAYFORMULA(HLOOKUP($B23, IM"&amp;"PORTRANGE('Match Names'!$F$23, CONCAT(VLOOKUP($C23, 'Match Names'!$1:$22, 6, FALSE), ""!C3:R29"")), {2;8;14;20}, FALSE)), ""=4"") + COUNTIF(ARRAYFORMULA(HLOOKUP($B23, IMPORTRANGE('Match Names'!$G$23, CONCAT(VLOOKUP($C23, 'Match Names'!$1:$22, 7, FALSE), "&amp;"""!C3:R29"")), {6;16;20;24}, FALSE)), ""=4"") + COUNTIF(ARRAYFORMULA(HLOOKUP($B23, IMPORTRANGE('Match Names'!$H$23, CONCAT(VLOOKUP($C23, 'Match Names'!$1:$22, 8, FALSE), ""!C3:R29"")), {2;8;14;20}, FALSE)), ""=4"")"),2.0)</f>
        <v>2</v>
      </c>
      <c r="F23" s="32">
        <f>IFERROR(__xludf.DUMMYFUNCTION("COUNTIF(ARRAYFORMULA(HLOOKUP($B23, IMPORTRANGE('Prelim Rankings Unsorted'!$B$40, CONCAT(VLOOKUP($C23, 'Match Names'!$A$1:$D$22, 2, FALSE), ""!C3:R29"")), {2;7;13;19}, FALSE)), ""=0"") + COUNTIF(ARRAYFORMULA(HLOOKUP($B23, IMPORTRANGE('Prelim Rankings Unsor"&amp;"ted'!$B$41, CONCAT(VLOOKUP($C23, 'Match Names'!$A$1:$D$22, 3, FALSE), ""!C3:R29"")), {3;9;15;21}, FALSE)), ""=0"") + COUNTIF(ARRAYFORMULA(HLOOKUP($B23, IMPORTRANGE('Prelim Rankings Unsorted'!$B$42, CONCAT(VLOOKUP($C23, 'Match Names'!$A$1:$D$22, 4, FALSE),"&amp;" ""!C3:R29"")), {3;9;15;21}, FALSE)), ""=0"") + COUNTIF(ARRAYFORMULA(HLOOKUP($B23, IMPORTRANGE('Match Names'!$E$23, CONCAT(VLOOKUP($C23, 'Match Names'!$1:$22, 5, FALSE), ""!C3:R29"")), {9;14;19;24}, FALSE)), ""=0"") + COUNTIF(ARRAYFORMULA(HLOOKUP($B23, IM"&amp;"PORTRANGE('Match Names'!$F$23, CONCAT(VLOOKUP($C23, 'Match Names'!$1:$22, 6, FALSE), ""!C3:R29"")), {2;8;14;20}, FALSE)), ""=0"") + COUNTIF(ARRAYFORMULA(HLOOKUP($B23, IMPORTRANGE('Match Names'!$G$23, CONCAT(VLOOKUP($C23, 'Match Names'!$1:$22, 7, FALSE), "&amp;"""!C3:R29"")), {6;16;20;24}, FALSE)), ""=0"") + COUNTIF(ARRAYFORMULA(HLOOKUP($B23, IMPORTRANGE('Match Names'!$H$23, CONCAT(VLOOKUP($C23, 'Match Names'!$1:$22, 8, FALSE), ""!C3:R29"")), {2;8;14;20}, FALSE)), ""=0"")"),0.0)</f>
        <v>0</v>
      </c>
      <c r="G23" s="32">
        <f>IFERROR(__xludf.DUMMYFUNCTION("COUNTIF(ARRAYFORMULA(HLOOKUP($B23, IMPORTRANGE('Prelim Rankings Unsorted'!$B$40, CONCAT(VLOOKUP($C23, 'Match Names'!$A$1:$D$22, 2, FALSE), ""!C3:R29"")), {2;7;13;19}, FALSE)), ""=-4"") + COUNTIF(ARRAYFORMULA(HLOOKUP($B23, IMPORTRANGE('Prelim Rankings Unso"&amp;"rted'!$B$41, CONCAT(VLOOKUP($C23, 'Match Names'!$A$1:$D$22, 3, FALSE), ""!C3:R29"")), {3;9;15;21}, FALSE)), ""=-4"") + COUNTIF(ARRAYFORMULA(HLOOKUP($B23, IMPORTRANGE('Prelim Rankings Unsorted'!$B$42, CONCAT(VLOOKUP($C23, 'Match Names'!$A$1:$D$22, 4, FALSE"&amp;"), ""!C3:R29"")), {3;9;15;21}, FALSE)), ""=-4"") + COUNTIF(ARRAYFORMULA(HLOOKUP($B23, IMPORTRANGE('Match Names'!$E$23, CONCAT(VLOOKUP($C23, 'Match Names'!$1:$22, 5, FALSE), ""!C3:R29"")), {9;14;19;24}, FALSE)), ""=-4"") + COUNTIF(ARRAYFORMULA(HLOOKUP($B23"&amp;", IMPORTRANGE('Match Names'!$F$23, CONCAT(VLOOKUP($C23, 'Match Names'!$1:$22, 6, FALSE), ""!C3:R29"")), {2;8;14;20}, FALSE)), ""=-4"") + COUNTIF(ARRAYFORMULA(HLOOKUP($B23, IMPORTRANGE('Match Names'!$G$23, CONCAT(VLOOKUP($C23, 'Match Names'!$1:$22, 7, FALS"&amp;"E), ""!C3:R29"")), {6;16;20;24}, FALSE)), ""=-4"") + COUNTIF(ARRAYFORMULA(HLOOKUP($B23, IMPORTRANGE('Match Names'!$H$23, CONCAT(VLOOKUP($C23, 'Match Names'!$1:$22, 8, FALSE), ""!C3:R29"")), {2;8;14;20}, FALSE)), ""=-4"")"),0.0)</f>
        <v>0</v>
      </c>
      <c r="H23" s="33">
        <f t="shared" si="1"/>
        <v>2.29</v>
      </c>
    </row>
    <row r="24">
      <c r="A24" s="31" t="s">
        <v>95</v>
      </c>
      <c r="B24" s="31" t="str">
        <f>VLOOKUP(CONCAT(A24, C24), 'Discord Username to Real Name'!C:D, 2, FALSE)</f>
        <v>ashrug0002#8740</v>
      </c>
      <c r="C24" s="31" t="s">
        <v>25</v>
      </c>
      <c r="D24" s="32">
        <f>IFERROR(__xludf.DUMMYFUNCTION("(4 - COUNTIF(IFERROR(ARRAYFORMULA(HLOOKUP($B24, IMPORTRANGE('Prelim Rankings Unsorted'!$B$40, CONCAT(VLOOKUP($C24, 'Match Names'!$A$1:$D$22, 2, FALSE), ""!C3:R29"")), {2;7;13;19}, FALSE)), 'Player Overall Stats Unsorted'!$AA$9:$AA$12), ""=X"")) + (4 - COU"&amp;"NTIF(IFERROR(ARRAYFORMULA(HLOOKUP($B24, IMPORTRANGE('Prelim Rankings Unsorted'!$B$41, CONCAT(VLOOKUP($C24, 'Match Names'!$A$1:$D$22, 3, FALSE), ""!C3:R29"")), {3;9;15;21}, FALSE)), 'Player Overall Stats Unsorted'!$AA$9:$AA$12), ""=X"")) + (4 - COUNTIF(IFE"&amp;"RROR(ARRAYFORMULA(HLOOKUP($B24, IMPORTRANGE('Prelim Rankings Unsorted'!$B$42, CONCAT(VLOOKUP($C24, 'Match Names'!$A$1:$D$22, 4, FALSE), ""!C3:R29"")), {3;9;15;21}, FALSE)), 'Player Overall Stats Unsorted'!$AA$9:$AA$12), ""=X"")) + (4 - COUNTIF(IFERROR(ARR"&amp;"AYFORMULA(HLOOKUP($B24, IMPORTRANGE('Match Names'!$E$23, CONCAT(VLOOKUP($C24, 'Match Names'!$1:$22, 5, FALSE), ""!C3:R29"")), {9;14;19;24}, FALSE)), 'Player Overall Stats Unsorted'!$AA$9:$AA$12), ""=X"")) + (4 - COUNTIF(IFERROR(ARRAYFORMULA(HLOOKUP($B24, "&amp;"IMPORTRANGE('Match Names'!$F$23, CONCAT(VLOOKUP($C24, 'Match Names'!$1:$22, 6, FALSE), ""!C3:R29"")), {2;8;14;20}, FALSE)), 'Player Overall Stats Unsorted'!$AA$9:$AA$12), ""=X"")) + (4 - COUNTIF(IFERROR(ARRAYFORMULA(HLOOKUP($B24, IMPORTRANGE('Match Names'"&amp;"!$G$23, CONCAT(VLOOKUP($C24, 'Match Names'!$1:$22, 7, FALSE), ""!C3:R29"")), {6;16;20;24}, FALSE)), 'Player Overall Stats Unsorted'!$AA$9:$AA$12), ""=X"")) + (4 - COUNTIF(IFERROR(ARRAYFORMULA(HLOOKUP($B24, IMPORTRANGE('Match Names'!$H$23, CONCAT(VLOOKUP($"&amp;"C24, 'Match Names'!$1:$22, 8, FALSE), ""!C3:R29"")), {2;8;14;20}, FALSE)), 'Player Overall Stats Unsorted'!$AA$9:$AA$12), ""=X""))"),24.0)</f>
        <v>24</v>
      </c>
      <c r="E24" s="32">
        <f>IFERROR(__xludf.DUMMYFUNCTION("COUNTIF(ARRAYFORMULA(HLOOKUP($B24, IMPORTRANGE('Prelim Rankings Unsorted'!$B$40, CONCAT(VLOOKUP($C24, 'Match Names'!$A$1:$D$22, 2, FALSE), ""!C3:R29"")), {2;7;13;19}, FALSE)), ""=4"") + COUNTIF(ARRAYFORMULA(HLOOKUP($B24, IMPORTRANGE('Prelim Rankings Unsor"&amp;"ted'!$B$41, CONCAT(VLOOKUP($C24, 'Match Names'!$A$1:$D$22, 3, FALSE), ""!C3:R29"")), {3;9;15;21}, FALSE)), ""=4"") + COUNTIF(ARRAYFORMULA(HLOOKUP($B24, IMPORTRANGE('Prelim Rankings Unsorted'!$B$42, CONCAT(VLOOKUP($C24, 'Match Names'!$A$1:$D$22, 4, FALSE),"&amp;" ""!C3:R29"")), {3;9;15;21}, FALSE)), ""=4"") + COUNTIF(ARRAYFORMULA(HLOOKUP($B24, IMPORTRANGE('Match Names'!$E$23, CONCAT(VLOOKUP($C24, 'Match Names'!$1:$22, 5, FALSE), ""!C3:R29"")), {9;14;19;24}, FALSE)), ""=4"") + COUNTIF(ARRAYFORMULA(HLOOKUP($B24, IM"&amp;"PORTRANGE('Match Names'!$F$23, CONCAT(VLOOKUP($C24, 'Match Names'!$1:$22, 6, FALSE), ""!C3:R29"")), {2;8;14;20}, FALSE)), ""=4"") + COUNTIF(ARRAYFORMULA(HLOOKUP($B24, IMPORTRANGE('Match Names'!$G$23, CONCAT(VLOOKUP($C24, 'Match Names'!$1:$22, 7, FALSE), "&amp;"""!C3:R29"")), {6;16;20;24}, FALSE)), ""=4"") + COUNTIF(ARRAYFORMULA(HLOOKUP($B24, IMPORTRANGE('Match Names'!$H$23, CONCAT(VLOOKUP($C24, 'Match Names'!$1:$22, 8, FALSE), ""!C3:R29"")), {2;8;14;20}, FALSE)), ""=4"")"),1.0)</f>
        <v>1</v>
      </c>
      <c r="F24" s="32">
        <f>IFERROR(__xludf.DUMMYFUNCTION("COUNTIF(ARRAYFORMULA(HLOOKUP($B24, IMPORTRANGE('Prelim Rankings Unsorted'!$B$40, CONCAT(VLOOKUP($C24, 'Match Names'!$A$1:$D$22, 2, FALSE), ""!C3:R29"")), {2;7;13;19}, FALSE)), ""=0"") + COUNTIF(ARRAYFORMULA(HLOOKUP($B24, IMPORTRANGE('Prelim Rankings Unsor"&amp;"ted'!$B$41, CONCAT(VLOOKUP($C24, 'Match Names'!$A$1:$D$22, 3, FALSE), ""!C3:R29"")), {3;9;15;21}, FALSE)), ""=0"") + COUNTIF(ARRAYFORMULA(HLOOKUP($B24, IMPORTRANGE('Prelim Rankings Unsorted'!$B$42, CONCAT(VLOOKUP($C24, 'Match Names'!$A$1:$D$22, 4, FALSE),"&amp;" ""!C3:R29"")), {3;9;15;21}, FALSE)), ""=0"") + COUNTIF(ARRAYFORMULA(HLOOKUP($B24, IMPORTRANGE('Match Names'!$E$23, CONCAT(VLOOKUP($C24, 'Match Names'!$1:$22, 5, FALSE), ""!C3:R29"")), {9;14;19;24}, FALSE)), ""=0"") + COUNTIF(ARRAYFORMULA(HLOOKUP($B24, IM"&amp;"PORTRANGE('Match Names'!$F$23, CONCAT(VLOOKUP($C24, 'Match Names'!$1:$22, 6, FALSE), ""!C3:R29"")), {2;8;14;20}, FALSE)), ""=0"") + COUNTIF(ARRAYFORMULA(HLOOKUP($B24, IMPORTRANGE('Match Names'!$G$23, CONCAT(VLOOKUP($C24, 'Match Names'!$1:$22, 7, FALSE), "&amp;"""!C3:R29"")), {6;16;20;24}, FALSE)), ""=0"") + COUNTIF(ARRAYFORMULA(HLOOKUP($B24, IMPORTRANGE('Match Names'!$H$23, CONCAT(VLOOKUP($C24, 'Match Names'!$1:$22, 8, FALSE), ""!C3:R29"")), {2;8;14;20}, FALSE)), ""=0"")"),0.0)</f>
        <v>0</v>
      </c>
      <c r="G24" s="32">
        <f>IFERROR(__xludf.DUMMYFUNCTION("COUNTIF(ARRAYFORMULA(HLOOKUP($B24, IMPORTRANGE('Prelim Rankings Unsorted'!$B$40, CONCAT(VLOOKUP($C24, 'Match Names'!$A$1:$D$22, 2, FALSE), ""!C3:R29"")), {2;7;13;19}, FALSE)), ""=-4"") + COUNTIF(ARRAYFORMULA(HLOOKUP($B24, IMPORTRANGE('Prelim Rankings Unso"&amp;"rted'!$B$41, CONCAT(VLOOKUP($C24, 'Match Names'!$A$1:$D$22, 3, FALSE), ""!C3:R29"")), {3;9;15;21}, FALSE)), ""=-4"") + COUNTIF(ARRAYFORMULA(HLOOKUP($B24, IMPORTRANGE('Prelim Rankings Unsorted'!$B$42, CONCAT(VLOOKUP($C24, 'Match Names'!$A$1:$D$22, 4, FALSE"&amp;"), ""!C3:R29"")), {3;9;15;21}, FALSE)), ""=-4"") + COUNTIF(ARRAYFORMULA(HLOOKUP($B24, IMPORTRANGE('Match Names'!$E$23, CONCAT(VLOOKUP($C24, 'Match Names'!$1:$22, 5, FALSE), ""!C3:R29"")), {9;14;19;24}, FALSE)), ""=-4"") + COUNTIF(ARRAYFORMULA(HLOOKUP($B24"&amp;", IMPORTRANGE('Match Names'!$F$23, CONCAT(VLOOKUP($C24, 'Match Names'!$1:$22, 6, FALSE), ""!C3:R29"")), {2;8;14;20}, FALSE)), ""=-4"") + COUNTIF(ARRAYFORMULA(HLOOKUP($B24, IMPORTRANGE('Match Names'!$G$23, CONCAT(VLOOKUP($C24, 'Match Names'!$1:$22, 7, FALS"&amp;"E), ""!C3:R29"")), {6;16;20;24}, FALSE)), ""=-4"") + COUNTIF(ARRAYFORMULA(HLOOKUP($B24, IMPORTRANGE('Match Names'!$H$23, CONCAT(VLOOKUP($C24, 'Match Names'!$1:$22, 8, FALSE), ""!C3:R29"")), {2;8;14;20}, FALSE)), ""=-4"")"),0.0)</f>
        <v>0</v>
      </c>
      <c r="H24" s="33">
        <f t="shared" si="1"/>
        <v>0.67</v>
      </c>
    </row>
    <row r="25">
      <c r="A25" s="31" t="s">
        <v>124</v>
      </c>
      <c r="B25" s="31" t="str">
        <f>VLOOKUP(CONCAT(A25, C25), 'Discord Username to Real Name'!C:D, 2, FALSE)</f>
        <v>Connor Zhao#9139</v>
      </c>
      <c r="C25" s="31" t="s">
        <v>25</v>
      </c>
      <c r="D25" s="32">
        <f>IFERROR(__xludf.DUMMYFUNCTION("(4 - COUNTIF(IFERROR(ARRAYFORMULA(HLOOKUP($B25, IMPORTRANGE('Prelim Rankings Unsorted'!$B$40, CONCAT(VLOOKUP($C25, 'Match Names'!$A$1:$D$22, 2, FALSE), ""!C3:R29"")), {2;7;13;19}, FALSE)), 'Player Overall Stats Unsorted'!$AA$9:$AA$12), ""=X"")) + (4 - COU"&amp;"NTIF(IFERROR(ARRAYFORMULA(HLOOKUP($B25, IMPORTRANGE('Prelim Rankings Unsorted'!$B$41, CONCAT(VLOOKUP($C25, 'Match Names'!$A$1:$D$22, 3, FALSE), ""!C3:R29"")), {3;9;15;21}, FALSE)), 'Player Overall Stats Unsorted'!$AA$9:$AA$12), ""=X"")) + (4 - COUNTIF(IFE"&amp;"RROR(ARRAYFORMULA(HLOOKUP($B25, IMPORTRANGE('Prelim Rankings Unsorted'!$B$42, CONCAT(VLOOKUP($C25, 'Match Names'!$A$1:$D$22, 4, FALSE), ""!C3:R29"")), {3;9;15;21}, FALSE)), 'Player Overall Stats Unsorted'!$AA$9:$AA$12), ""=X"")) + (4 - COUNTIF(IFERROR(ARR"&amp;"AYFORMULA(HLOOKUP($B25, IMPORTRANGE('Match Names'!$E$23, CONCAT(VLOOKUP($C25, 'Match Names'!$1:$22, 5, FALSE), ""!C3:R29"")), {9;14;19;24}, FALSE)), 'Player Overall Stats Unsorted'!$AA$9:$AA$12), ""=X"")) + (4 - COUNTIF(IFERROR(ARRAYFORMULA(HLOOKUP($B25, "&amp;"IMPORTRANGE('Match Names'!$F$23, CONCAT(VLOOKUP($C25, 'Match Names'!$1:$22, 6, FALSE), ""!C3:R29"")), {2;8;14;20}, FALSE)), 'Player Overall Stats Unsorted'!$AA$9:$AA$12), ""=X"")) + (4 - COUNTIF(IFERROR(ARRAYFORMULA(HLOOKUP($B25, IMPORTRANGE('Match Names'"&amp;"!$G$23, CONCAT(VLOOKUP($C25, 'Match Names'!$1:$22, 7, FALSE), ""!C3:R29"")), {6;16;20;24}, FALSE)), 'Player Overall Stats Unsorted'!$AA$9:$AA$12), ""=X"")) + (4 - COUNTIF(IFERROR(ARRAYFORMULA(HLOOKUP($B25, IMPORTRANGE('Match Names'!$H$23, CONCAT(VLOOKUP($"&amp;"C25, 'Match Names'!$1:$22, 8, FALSE), ""!C3:R29"")), {2;8;14;20}, FALSE)), 'Player Overall Stats Unsorted'!$AA$9:$AA$12), ""=X""))"),22.0)</f>
        <v>22</v>
      </c>
      <c r="E25" s="32">
        <f>IFERROR(__xludf.DUMMYFUNCTION("COUNTIF(ARRAYFORMULA(HLOOKUP($B25, IMPORTRANGE('Prelim Rankings Unsorted'!$B$40, CONCAT(VLOOKUP($C25, 'Match Names'!$A$1:$D$22, 2, FALSE), ""!C3:R29"")), {2;7;13;19}, FALSE)), ""=4"") + COUNTIF(ARRAYFORMULA(HLOOKUP($B25, IMPORTRANGE('Prelim Rankings Unsor"&amp;"ted'!$B$41, CONCAT(VLOOKUP($C25, 'Match Names'!$A$1:$D$22, 3, FALSE), ""!C3:R29"")), {3;9;15;21}, FALSE)), ""=4"") + COUNTIF(ARRAYFORMULA(HLOOKUP($B25, IMPORTRANGE('Prelim Rankings Unsorted'!$B$42, CONCAT(VLOOKUP($C25, 'Match Names'!$A$1:$D$22, 4, FALSE),"&amp;" ""!C3:R29"")), {3;9;15;21}, FALSE)), ""=4"") + COUNTIF(ARRAYFORMULA(HLOOKUP($B25, IMPORTRANGE('Match Names'!$E$23, CONCAT(VLOOKUP($C25, 'Match Names'!$1:$22, 5, FALSE), ""!C3:R29"")), {9;14;19;24}, FALSE)), ""=4"") + COUNTIF(ARRAYFORMULA(HLOOKUP($B25, IM"&amp;"PORTRANGE('Match Names'!$F$23, CONCAT(VLOOKUP($C25, 'Match Names'!$1:$22, 6, FALSE), ""!C3:R29"")), {2;8;14;20}, FALSE)), ""=4"") + COUNTIF(ARRAYFORMULA(HLOOKUP($B25, IMPORTRANGE('Match Names'!$G$23, CONCAT(VLOOKUP($C25, 'Match Names'!$1:$22, 7, FALSE), "&amp;"""!C3:R29"")), {6;16;20;24}, FALSE)), ""=4"") + COUNTIF(ARRAYFORMULA(HLOOKUP($B25, IMPORTRANGE('Match Names'!$H$23, CONCAT(VLOOKUP($C25, 'Match Names'!$1:$22, 8, FALSE), ""!C3:R29"")), {2;8;14;20}, FALSE)), ""=4"")"),1.0)</f>
        <v>1</v>
      </c>
      <c r="F25" s="32">
        <f>IFERROR(__xludf.DUMMYFUNCTION("COUNTIF(ARRAYFORMULA(HLOOKUP($B25, IMPORTRANGE('Prelim Rankings Unsorted'!$B$40, CONCAT(VLOOKUP($C25, 'Match Names'!$A$1:$D$22, 2, FALSE), ""!C3:R29"")), {2;7;13;19}, FALSE)), ""=0"") + COUNTIF(ARRAYFORMULA(HLOOKUP($B25, IMPORTRANGE('Prelim Rankings Unsor"&amp;"ted'!$B$41, CONCAT(VLOOKUP($C25, 'Match Names'!$A$1:$D$22, 3, FALSE), ""!C3:R29"")), {3;9;15;21}, FALSE)), ""=0"") + COUNTIF(ARRAYFORMULA(HLOOKUP($B25, IMPORTRANGE('Prelim Rankings Unsorted'!$B$42, CONCAT(VLOOKUP($C25, 'Match Names'!$A$1:$D$22, 4, FALSE),"&amp;" ""!C3:R29"")), {3;9;15;21}, FALSE)), ""=0"") + COUNTIF(ARRAYFORMULA(HLOOKUP($B25, IMPORTRANGE('Match Names'!$E$23, CONCAT(VLOOKUP($C25, 'Match Names'!$1:$22, 5, FALSE), ""!C3:R29"")), {9;14;19;24}, FALSE)), ""=0"") + COUNTIF(ARRAYFORMULA(HLOOKUP($B25, IM"&amp;"PORTRANGE('Match Names'!$F$23, CONCAT(VLOOKUP($C25, 'Match Names'!$1:$22, 6, FALSE), ""!C3:R29"")), {2;8;14;20}, FALSE)), ""=0"") + COUNTIF(ARRAYFORMULA(HLOOKUP($B25, IMPORTRANGE('Match Names'!$G$23, CONCAT(VLOOKUP($C25, 'Match Names'!$1:$22, 7, FALSE), "&amp;"""!C3:R29"")), {6;16;20;24}, FALSE)), ""=0"") + COUNTIF(ARRAYFORMULA(HLOOKUP($B25, IMPORTRANGE('Match Names'!$H$23, CONCAT(VLOOKUP($C25, 'Match Names'!$1:$22, 8, FALSE), ""!C3:R29"")), {2;8;14;20}, FALSE)), ""=0"")"),1.0)</f>
        <v>1</v>
      </c>
      <c r="G25" s="32">
        <f>IFERROR(__xludf.DUMMYFUNCTION("COUNTIF(ARRAYFORMULA(HLOOKUP($B25, IMPORTRANGE('Prelim Rankings Unsorted'!$B$40, CONCAT(VLOOKUP($C25, 'Match Names'!$A$1:$D$22, 2, FALSE), ""!C3:R29"")), {2;7;13;19}, FALSE)), ""=-4"") + COUNTIF(ARRAYFORMULA(HLOOKUP($B25, IMPORTRANGE('Prelim Rankings Unso"&amp;"rted'!$B$41, CONCAT(VLOOKUP($C25, 'Match Names'!$A$1:$D$22, 3, FALSE), ""!C3:R29"")), {3;9;15;21}, FALSE)), ""=-4"") + COUNTIF(ARRAYFORMULA(HLOOKUP($B25, IMPORTRANGE('Prelim Rankings Unsorted'!$B$42, CONCAT(VLOOKUP($C25, 'Match Names'!$A$1:$D$22, 4, FALSE"&amp;"), ""!C3:R29"")), {3;9;15;21}, FALSE)), ""=-4"") + COUNTIF(ARRAYFORMULA(HLOOKUP($B25, IMPORTRANGE('Match Names'!$E$23, CONCAT(VLOOKUP($C25, 'Match Names'!$1:$22, 5, FALSE), ""!C3:R29"")), {9;14;19;24}, FALSE)), ""=-4"") + COUNTIF(ARRAYFORMULA(HLOOKUP($B25"&amp;", IMPORTRANGE('Match Names'!$F$23, CONCAT(VLOOKUP($C25, 'Match Names'!$1:$22, 6, FALSE), ""!C3:R29"")), {2;8;14;20}, FALSE)), ""=-4"") + COUNTIF(ARRAYFORMULA(HLOOKUP($B25, IMPORTRANGE('Match Names'!$G$23, CONCAT(VLOOKUP($C25, 'Match Names'!$1:$22, 7, FALS"&amp;"E), ""!C3:R29"")), {6;16;20;24}, FALSE)), ""=-4"") + COUNTIF(ARRAYFORMULA(HLOOKUP($B25, IMPORTRANGE('Match Names'!$H$23, CONCAT(VLOOKUP($C25, 'Match Names'!$1:$22, 8, FALSE), ""!C3:R29"")), {2;8;14;20}, FALSE)), ""=-4"")"),0.0)</f>
        <v>0</v>
      </c>
      <c r="H25" s="33">
        <f t="shared" si="1"/>
        <v>0.73</v>
      </c>
    </row>
    <row r="26">
      <c r="A26" s="31" t="s">
        <v>13</v>
      </c>
      <c r="B26" s="31" t="str">
        <f>VLOOKUP(CONCAT(A26, C26), 'Discord Username to Real Name'!C:D, 2, FALSE)</f>
        <v>asiangold#6836</v>
      </c>
      <c r="C26" s="31" t="s">
        <v>25</v>
      </c>
      <c r="D26" s="32">
        <f>IFERROR(__xludf.DUMMYFUNCTION("(4 - COUNTIF(IFERROR(ARRAYFORMULA(HLOOKUP($B26, IMPORTRANGE('Prelim Rankings Unsorted'!$B$40, CONCAT(VLOOKUP($C26, 'Match Names'!$A$1:$D$22, 2, FALSE), ""!C3:R29"")), {2;7;13;19}, FALSE)), 'Player Overall Stats Unsorted'!$AA$9:$AA$12), ""=X"")) + (4 - COU"&amp;"NTIF(IFERROR(ARRAYFORMULA(HLOOKUP($B26, IMPORTRANGE('Prelim Rankings Unsorted'!$B$41, CONCAT(VLOOKUP($C26, 'Match Names'!$A$1:$D$22, 3, FALSE), ""!C3:R29"")), {3;9;15;21}, FALSE)), 'Player Overall Stats Unsorted'!$AA$9:$AA$12), ""=X"")) + (4 - COUNTIF(IFE"&amp;"RROR(ARRAYFORMULA(HLOOKUP($B26, IMPORTRANGE('Prelim Rankings Unsorted'!$B$42, CONCAT(VLOOKUP($C26, 'Match Names'!$A$1:$D$22, 4, FALSE), ""!C3:R29"")), {3;9;15;21}, FALSE)), 'Player Overall Stats Unsorted'!$AA$9:$AA$12), ""=X"")) + (4 - COUNTIF(IFERROR(ARR"&amp;"AYFORMULA(HLOOKUP($B26, IMPORTRANGE('Match Names'!$E$23, CONCAT(VLOOKUP($C26, 'Match Names'!$1:$22, 5, FALSE), ""!C3:R29"")), {9;14;19;24}, FALSE)), 'Player Overall Stats Unsorted'!$AA$9:$AA$12), ""=X"")) + (4 - COUNTIF(IFERROR(ARRAYFORMULA(HLOOKUP($B26, "&amp;"IMPORTRANGE('Match Names'!$F$23, CONCAT(VLOOKUP($C26, 'Match Names'!$1:$22, 6, FALSE), ""!C3:R29"")), {2;8;14;20}, FALSE)), 'Player Overall Stats Unsorted'!$AA$9:$AA$12), ""=X"")) + (4 - COUNTIF(IFERROR(ARRAYFORMULA(HLOOKUP($B26, IMPORTRANGE('Match Names'"&amp;"!$G$23, CONCAT(VLOOKUP($C26, 'Match Names'!$1:$22, 7, FALSE), ""!C3:R29"")), {6;16;20;24}, FALSE)), 'Player Overall Stats Unsorted'!$AA$9:$AA$12), ""=X"")) + (4 - COUNTIF(IFERROR(ARRAYFORMULA(HLOOKUP($B26, IMPORTRANGE('Match Names'!$H$23, CONCAT(VLOOKUP($"&amp;"C26, 'Match Names'!$1:$22, 8, FALSE), ""!C3:R29"")), {2;8;14;20}, FALSE)), 'Player Overall Stats Unsorted'!$AA$9:$AA$12), ""=X""))"),24.0)</f>
        <v>24</v>
      </c>
      <c r="E26" s="32">
        <f>IFERROR(__xludf.DUMMYFUNCTION("COUNTIF(ARRAYFORMULA(HLOOKUP($B26, IMPORTRANGE('Prelim Rankings Unsorted'!$B$40, CONCAT(VLOOKUP($C26, 'Match Names'!$A$1:$D$22, 2, FALSE), ""!C3:R29"")), {2;7;13;19}, FALSE)), ""=4"") + COUNTIF(ARRAYFORMULA(HLOOKUP($B26, IMPORTRANGE('Prelim Rankings Unsor"&amp;"ted'!$B$41, CONCAT(VLOOKUP($C26, 'Match Names'!$A$1:$D$22, 3, FALSE), ""!C3:R29"")), {3;9;15;21}, FALSE)), ""=4"") + COUNTIF(ARRAYFORMULA(HLOOKUP($B26, IMPORTRANGE('Prelim Rankings Unsorted'!$B$42, CONCAT(VLOOKUP($C26, 'Match Names'!$A$1:$D$22, 4, FALSE),"&amp;" ""!C3:R29"")), {3;9;15;21}, FALSE)), ""=4"") + COUNTIF(ARRAYFORMULA(HLOOKUP($B26, IMPORTRANGE('Match Names'!$E$23, CONCAT(VLOOKUP($C26, 'Match Names'!$1:$22, 5, FALSE), ""!C3:R29"")), {9;14;19;24}, FALSE)), ""=4"") + COUNTIF(ARRAYFORMULA(HLOOKUP($B26, IM"&amp;"PORTRANGE('Match Names'!$F$23, CONCAT(VLOOKUP($C26, 'Match Names'!$1:$22, 6, FALSE), ""!C3:R29"")), {2;8;14;20}, FALSE)), ""=4"") + COUNTIF(ARRAYFORMULA(HLOOKUP($B26, IMPORTRANGE('Match Names'!$G$23, CONCAT(VLOOKUP($C26, 'Match Names'!$1:$22, 7, FALSE), "&amp;"""!C3:R29"")), {6;16;20;24}, FALSE)), ""=4"") + COUNTIF(ARRAYFORMULA(HLOOKUP($B26, IMPORTRANGE('Match Names'!$H$23, CONCAT(VLOOKUP($C26, 'Match Names'!$1:$22, 8, FALSE), ""!C3:R29"")), {2;8;14;20}, FALSE)), ""=4"")"),3.0)</f>
        <v>3</v>
      </c>
      <c r="F26" s="32">
        <f>IFERROR(__xludf.DUMMYFUNCTION("COUNTIF(ARRAYFORMULA(HLOOKUP($B26, IMPORTRANGE('Prelim Rankings Unsorted'!$B$40, CONCAT(VLOOKUP($C26, 'Match Names'!$A$1:$D$22, 2, FALSE), ""!C3:R29"")), {2;7;13;19}, FALSE)), ""=0"") + COUNTIF(ARRAYFORMULA(HLOOKUP($B26, IMPORTRANGE('Prelim Rankings Unsor"&amp;"ted'!$B$41, CONCAT(VLOOKUP($C26, 'Match Names'!$A$1:$D$22, 3, FALSE), ""!C3:R29"")), {3;9;15;21}, FALSE)), ""=0"") + COUNTIF(ARRAYFORMULA(HLOOKUP($B26, IMPORTRANGE('Prelim Rankings Unsorted'!$B$42, CONCAT(VLOOKUP($C26, 'Match Names'!$A$1:$D$22, 4, FALSE),"&amp;" ""!C3:R29"")), {3;9;15;21}, FALSE)), ""=0"") + COUNTIF(ARRAYFORMULA(HLOOKUP($B26, IMPORTRANGE('Match Names'!$E$23, CONCAT(VLOOKUP($C26, 'Match Names'!$1:$22, 5, FALSE), ""!C3:R29"")), {9;14;19;24}, FALSE)), ""=0"") + COUNTIF(ARRAYFORMULA(HLOOKUP($B26, IM"&amp;"PORTRANGE('Match Names'!$F$23, CONCAT(VLOOKUP($C26, 'Match Names'!$1:$22, 6, FALSE), ""!C3:R29"")), {2;8;14;20}, FALSE)), ""=0"") + COUNTIF(ARRAYFORMULA(HLOOKUP($B26, IMPORTRANGE('Match Names'!$G$23, CONCAT(VLOOKUP($C26, 'Match Names'!$1:$22, 7, FALSE), "&amp;"""!C3:R29"")), {6;16;20;24}, FALSE)), ""=0"") + COUNTIF(ARRAYFORMULA(HLOOKUP($B26, IMPORTRANGE('Match Names'!$H$23, CONCAT(VLOOKUP($C26, 'Match Names'!$1:$22, 8, FALSE), ""!C3:R29"")), {2;8;14;20}, FALSE)), ""=0"")"),3.0)</f>
        <v>3</v>
      </c>
      <c r="G26" s="32">
        <f>IFERROR(__xludf.DUMMYFUNCTION("COUNTIF(ARRAYFORMULA(HLOOKUP($B26, IMPORTRANGE('Prelim Rankings Unsorted'!$B$40, CONCAT(VLOOKUP($C26, 'Match Names'!$A$1:$D$22, 2, FALSE), ""!C3:R29"")), {2;7;13;19}, FALSE)), ""=-4"") + COUNTIF(ARRAYFORMULA(HLOOKUP($B26, IMPORTRANGE('Prelim Rankings Unso"&amp;"rted'!$B$41, CONCAT(VLOOKUP($C26, 'Match Names'!$A$1:$D$22, 3, FALSE), ""!C3:R29"")), {3;9;15;21}, FALSE)), ""=-4"") + COUNTIF(ARRAYFORMULA(HLOOKUP($B26, IMPORTRANGE('Prelim Rankings Unsorted'!$B$42, CONCAT(VLOOKUP($C26, 'Match Names'!$A$1:$D$22, 4, FALSE"&amp;"), ""!C3:R29"")), {3;9;15;21}, FALSE)), ""=-4"") + COUNTIF(ARRAYFORMULA(HLOOKUP($B26, IMPORTRANGE('Match Names'!$E$23, CONCAT(VLOOKUP($C26, 'Match Names'!$1:$22, 5, FALSE), ""!C3:R29"")), {9;14;19;24}, FALSE)), ""=-4"") + COUNTIF(ARRAYFORMULA(HLOOKUP($B26"&amp;", IMPORTRANGE('Match Names'!$F$23, CONCAT(VLOOKUP($C26, 'Match Names'!$1:$22, 6, FALSE), ""!C3:R29"")), {2;8;14;20}, FALSE)), ""=-4"") + COUNTIF(ARRAYFORMULA(HLOOKUP($B26, IMPORTRANGE('Match Names'!$G$23, CONCAT(VLOOKUP($C26, 'Match Names'!$1:$22, 7, FALS"&amp;"E), ""!C3:R29"")), {6;16;20;24}, FALSE)), ""=-4"") + COUNTIF(ARRAYFORMULA(HLOOKUP($B26, IMPORTRANGE('Match Names'!$H$23, CONCAT(VLOOKUP($C26, 'Match Names'!$1:$22, 8, FALSE), ""!C3:R29"")), {2;8;14;20}, FALSE)), ""=-4"")"),1.0)</f>
        <v>1</v>
      </c>
      <c r="H26" s="33">
        <f t="shared" si="1"/>
        <v>1.33</v>
      </c>
    </row>
    <row r="27">
      <c r="A27" s="31" t="s">
        <v>179</v>
      </c>
      <c r="B27" s="31" t="str">
        <f>VLOOKUP(CONCAT(A27, C27), 'Discord Username to Real Name'!C:D, 2, FALSE)</f>
        <v>Nutritious Soup#4238</v>
      </c>
      <c r="C27" s="31" t="s">
        <v>25</v>
      </c>
      <c r="D27" s="32">
        <f>IFERROR(__xludf.DUMMYFUNCTION("(4 - COUNTIF(IFERROR(ARRAYFORMULA(HLOOKUP($B27, IMPORTRANGE('Prelim Rankings Unsorted'!$B$40, CONCAT(VLOOKUP($C27, 'Match Names'!$A$1:$D$22, 2, FALSE), ""!C3:R29"")), {2;7;13;19}, FALSE)), 'Player Overall Stats Unsorted'!$AA$9:$AA$12), ""=X"")) + (4 - COU"&amp;"NTIF(IFERROR(ARRAYFORMULA(HLOOKUP($B27, IMPORTRANGE('Prelim Rankings Unsorted'!$B$41, CONCAT(VLOOKUP($C27, 'Match Names'!$A$1:$D$22, 3, FALSE), ""!C3:R29"")), {3;9;15;21}, FALSE)), 'Player Overall Stats Unsorted'!$AA$9:$AA$12), ""=X"")) + (4 - COUNTIF(IFE"&amp;"RROR(ARRAYFORMULA(HLOOKUP($B27, IMPORTRANGE('Prelim Rankings Unsorted'!$B$42, CONCAT(VLOOKUP($C27, 'Match Names'!$A$1:$D$22, 4, FALSE), ""!C3:R29"")), {3;9;15;21}, FALSE)), 'Player Overall Stats Unsorted'!$AA$9:$AA$12), ""=X"")) + (4 - COUNTIF(IFERROR(ARR"&amp;"AYFORMULA(HLOOKUP($B27, IMPORTRANGE('Match Names'!$E$23, CONCAT(VLOOKUP($C27, 'Match Names'!$1:$22, 5, FALSE), ""!C3:R29"")), {9;14;19;24}, FALSE)), 'Player Overall Stats Unsorted'!$AA$9:$AA$12), ""=X"")) + (4 - COUNTIF(IFERROR(ARRAYFORMULA(HLOOKUP($B27, "&amp;"IMPORTRANGE('Match Names'!$F$23, CONCAT(VLOOKUP($C27, 'Match Names'!$1:$22, 6, FALSE), ""!C3:R29"")), {2;8;14;20}, FALSE)), 'Player Overall Stats Unsorted'!$AA$9:$AA$12), ""=X"")) + (4 - COUNTIF(IFERROR(ARRAYFORMULA(HLOOKUP($B27, IMPORTRANGE('Match Names'"&amp;"!$G$23, CONCAT(VLOOKUP($C27, 'Match Names'!$1:$22, 7, FALSE), ""!C3:R29"")), {6;16;20;24}, FALSE)), 'Player Overall Stats Unsorted'!$AA$9:$AA$12), ""=X"")) + (4 - COUNTIF(IFERROR(ARRAYFORMULA(HLOOKUP($B27, IMPORTRANGE('Match Names'!$H$23, CONCAT(VLOOKUP($"&amp;"C27, 'Match Names'!$1:$22, 8, FALSE), ""!C3:R29"")), {2;8;14;20}, FALSE)), 'Player Overall Stats Unsorted'!$AA$9:$AA$12), ""=X""))"),12.0)</f>
        <v>12</v>
      </c>
      <c r="E27" s="32">
        <f>IFERROR(__xludf.DUMMYFUNCTION("COUNTIF(ARRAYFORMULA(HLOOKUP($B27, IMPORTRANGE('Prelim Rankings Unsorted'!$B$40, CONCAT(VLOOKUP($C27, 'Match Names'!$A$1:$D$22, 2, FALSE), ""!C3:R29"")), {2;7;13;19}, FALSE)), ""=4"") + COUNTIF(ARRAYFORMULA(HLOOKUP($B27, IMPORTRANGE('Prelim Rankings Unsor"&amp;"ted'!$B$41, CONCAT(VLOOKUP($C27, 'Match Names'!$A$1:$D$22, 3, FALSE), ""!C3:R29"")), {3;9;15;21}, FALSE)), ""=4"") + COUNTIF(ARRAYFORMULA(HLOOKUP($B27, IMPORTRANGE('Prelim Rankings Unsorted'!$B$42, CONCAT(VLOOKUP($C27, 'Match Names'!$A$1:$D$22, 4, FALSE),"&amp;" ""!C3:R29"")), {3;9;15;21}, FALSE)), ""=4"") + COUNTIF(ARRAYFORMULA(HLOOKUP($B27, IMPORTRANGE('Match Names'!$E$23, CONCAT(VLOOKUP($C27, 'Match Names'!$1:$22, 5, FALSE), ""!C3:R29"")), {9;14;19;24}, FALSE)), ""=4"") + COUNTIF(ARRAYFORMULA(HLOOKUP($B27, IM"&amp;"PORTRANGE('Match Names'!$F$23, CONCAT(VLOOKUP($C27, 'Match Names'!$1:$22, 6, FALSE), ""!C3:R29"")), {2;8;14;20}, FALSE)), ""=4"") + COUNTIF(ARRAYFORMULA(HLOOKUP($B27, IMPORTRANGE('Match Names'!$G$23, CONCAT(VLOOKUP($C27, 'Match Names'!$1:$22, 7, FALSE), "&amp;"""!C3:R29"")), {6;16;20;24}, FALSE)), ""=4"") + COUNTIF(ARRAYFORMULA(HLOOKUP($B27, IMPORTRANGE('Match Names'!$H$23, CONCAT(VLOOKUP($C27, 'Match Names'!$1:$22, 8, FALSE), ""!C3:R29"")), {2;8;14;20}, FALSE)), ""=4"")"),0.0)</f>
        <v>0</v>
      </c>
      <c r="F27" s="32">
        <f>IFERROR(__xludf.DUMMYFUNCTION("COUNTIF(ARRAYFORMULA(HLOOKUP($B27, IMPORTRANGE('Prelim Rankings Unsorted'!$B$40, CONCAT(VLOOKUP($C27, 'Match Names'!$A$1:$D$22, 2, FALSE), ""!C3:R29"")), {2;7;13;19}, FALSE)), ""=0"") + COUNTIF(ARRAYFORMULA(HLOOKUP($B27, IMPORTRANGE('Prelim Rankings Unsor"&amp;"ted'!$B$41, CONCAT(VLOOKUP($C27, 'Match Names'!$A$1:$D$22, 3, FALSE), ""!C3:R29"")), {3;9;15;21}, FALSE)), ""=0"") + COUNTIF(ARRAYFORMULA(HLOOKUP($B27, IMPORTRANGE('Prelim Rankings Unsorted'!$B$42, CONCAT(VLOOKUP($C27, 'Match Names'!$A$1:$D$22, 4, FALSE),"&amp;" ""!C3:R29"")), {3;9;15;21}, FALSE)), ""=0"") + COUNTIF(ARRAYFORMULA(HLOOKUP($B27, IMPORTRANGE('Match Names'!$E$23, CONCAT(VLOOKUP($C27, 'Match Names'!$1:$22, 5, FALSE), ""!C3:R29"")), {9;14;19;24}, FALSE)), ""=0"") + COUNTIF(ARRAYFORMULA(HLOOKUP($B27, IM"&amp;"PORTRANGE('Match Names'!$F$23, CONCAT(VLOOKUP($C27, 'Match Names'!$1:$22, 6, FALSE), ""!C3:R29"")), {2;8;14;20}, FALSE)), ""=0"") + COUNTIF(ARRAYFORMULA(HLOOKUP($B27, IMPORTRANGE('Match Names'!$G$23, CONCAT(VLOOKUP($C27, 'Match Names'!$1:$22, 7, FALSE), "&amp;"""!C3:R29"")), {6;16;20;24}, FALSE)), ""=0"") + COUNTIF(ARRAYFORMULA(HLOOKUP($B27, IMPORTRANGE('Match Names'!$H$23, CONCAT(VLOOKUP($C27, 'Match Names'!$1:$22, 8, FALSE), ""!C3:R29"")), {2;8;14;20}, FALSE)), ""=0"")"),0.0)</f>
        <v>0</v>
      </c>
      <c r="G27" s="32">
        <f>IFERROR(__xludf.DUMMYFUNCTION("COUNTIF(ARRAYFORMULA(HLOOKUP($B27, IMPORTRANGE('Prelim Rankings Unsorted'!$B$40, CONCAT(VLOOKUP($C27, 'Match Names'!$A$1:$D$22, 2, FALSE), ""!C3:R29"")), {2;7;13;19}, FALSE)), ""=-4"") + COUNTIF(ARRAYFORMULA(HLOOKUP($B27, IMPORTRANGE('Prelim Rankings Unso"&amp;"rted'!$B$41, CONCAT(VLOOKUP($C27, 'Match Names'!$A$1:$D$22, 3, FALSE), ""!C3:R29"")), {3;9;15;21}, FALSE)), ""=-4"") + COUNTIF(ARRAYFORMULA(HLOOKUP($B27, IMPORTRANGE('Prelim Rankings Unsorted'!$B$42, CONCAT(VLOOKUP($C27, 'Match Names'!$A$1:$D$22, 4, FALSE"&amp;"), ""!C3:R29"")), {3;9;15;21}, FALSE)), ""=-4"") + COUNTIF(ARRAYFORMULA(HLOOKUP($B27, IMPORTRANGE('Match Names'!$E$23, CONCAT(VLOOKUP($C27, 'Match Names'!$1:$22, 5, FALSE), ""!C3:R29"")), {9;14;19;24}, FALSE)), ""=-4"") + COUNTIF(ARRAYFORMULA(HLOOKUP($B27"&amp;", IMPORTRANGE('Match Names'!$F$23, CONCAT(VLOOKUP($C27, 'Match Names'!$1:$22, 6, FALSE), ""!C3:R29"")), {2;8;14;20}, FALSE)), ""=-4"") + COUNTIF(ARRAYFORMULA(HLOOKUP($B27, IMPORTRANGE('Match Names'!$G$23, CONCAT(VLOOKUP($C27, 'Match Names'!$1:$22, 7, FALS"&amp;"E), ""!C3:R29"")), {6;16;20;24}, FALSE)), ""=-4"") + COUNTIF(ARRAYFORMULA(HLOOKUP($B27, IMPORTRANGE('Match Names'!$H$23, CONCAT(VLOOKUP($C27, 'Match Names'!$1:$22, 8, FALSE), ""!C3:R29"")), {2;8;14;20}, FALSE)), ""=-4"")"),0.0)</f>
        <v>0</v>
      </c>
      <c r="H27" s="33">
        <f t="shared" si="1"/>
        <v>0</v>
      </c>
    </row>
    <row r="28">
      <c r="A28" s="31" t="s">
        <v>48</v>
      </c>
      <c r="B28" s="31" t="str">
        <f>VLOOKUP(CONCAT(A28, C28), 'Discord Username to Real Name'!C:D, 2, FALSE)</f>
        <v>a Aquilae#6100</v>
      </c>
      <c r="C28" s="21" t="s">
        <v>27</v>
      </c>
      <c r="D28" s="32">
        <f>IFERROR(__xludf.DUMMYFUNCTION("(4 - COUNTIF(IFERROR(ARRAYFORMULA(HLOOKUP($B28, IMPORTRANGE('Prelim Rankings Unsorted'!$B$40, CONCAT(VLOOKUP($C28, 'Match Names'!$A$1:$D$22, 2, FALSE), ""!C3:R29"")), {2;7;13;19}, FALSE)), 'Player Overall Stats Unsorted'!$AA$9:$AA$12), ""=X"")) + (4 - COU"&amp;"NTIF(IFERROR(ARRAYFORMULA(HLOOKUP($B28, IMPORTRANGE('Prelim Rankings Unsorted'!$B$41, CONCAT(VLOOKUP($C28, 'Match Names'!$A$1:$D$22, 3, FALSE), ""!C3:R29"")), {3;9;15;21}, FALSE)), 'Player Overall Stats Unsorted'!$AA$9:$AA$12), ""=X"")) + (4 - COUNTIF(IFE"&amp;"RROR(ARRAYFORMULA(HLOOKUP($B28, IMPORTRANGE('Prelim Rankings Unsorted'!$B$42, CONCAT(VLOOKUP($C28, 'Match Names'!$A$1:$D$22, 4, FALSE), ""!C3:R29"")), {3;9;15;21}, FALSE)), 'Player Overall Stats Unsorted'!$AA$9:$AA$12), ""=X"")) + (4 - COUNTIF(IFERROR(ARR"&amp;"AYFORMULA(HLOOKUP($B28, IMPORTRANGE('Match Names'!$E$23, CONCAT(VLOOKUP($C28, 'Match Names'!$1:$22, 5, FALSE), ""!C3:R29"")), {9;14;19;24}, FALSE)), 'Player Overall Stats Unsorted'!$AA$9:$AA$12), ""=X"")) + (4 - COUNTIF(IFERROR(ARRAYFORMULA(HLOOKUP($B28, "&amp;"IMPORTRANGE('Match Names'!$F$23, CONCAT(VLOOKUP($C28, 'Match Names'!$1:$22, 6, FALSE), ""!C3:R29"")), {2;8;14;20}, FALSE)), 'Player Overall Stats Unsorted'!$AA$9:$AA$12), ""=X"")) + (4 - COUNTIF(IFERROR(ARRAYFORMULA(HLOOKUP($B28, IMPORTRANGE('Match Names'"&amp;"!$G$23, CONCAT(VLOOKUP($C28, 'Match Names'!$1:$22, 7, FALSE), ""!C3:R29"")), {6;16;20;24}, FALSE)), 'Player Overall Stats Unsorted'!$AA$9:$AA$12), ""=X"")) + (4 - COUNTIF(IFERROR(ARRAYFORMULA(HLOOKUP($B28, IMPORTRANGE('Match Names'!$H$23, CONCAT(VLOOKUP($"&amp;"C28, 'Match Names'!$1:$22, 8, FALSE), ""!C3:R29"")), {2;8;14;20}, FALSE)), 'Player Overall Stats Unsorted'!$AA$9:$AA$12), ""=X""))"),24.0)</f>
        <v>24</v>
      </c>
      <c r="E28" s="32">
        <f>IFERROR(__xludf.DUMMYFUNCTION("COUNTIF(ARRAYFORMULA(HLOOKUP($B28, IMPORTRANGE('Prelim Rankings Unsorted'!$B$40, CONCAT(VLOOKUP($C28, 'Match Names'!$A$1:$D$22, 2, FALSE), ""!C3:R29"")), {2;7;13;19}, FALSE)), ""=4"") + COUNTIF(ARRAYFORMULA(HLOOKUP($B28, IMPORTRANGE('Prelim Rankings Unsor"&amp;"ted'!$B$41, CONCAT(VLOOKUP($C28, 'Match Names'!$A$1:$D$22, 3, FALSE), ""!C3:R29"")), {3;9;15;21}, FALSE)), ""=4"") + COUNTIF(ARRAYFORMULA(HLOOKUP($B28, IMPORTRANGE('Prelim Rankings Unsorted'!$B$42, CONCAT(VLOOKUP($C28, 'Match Names'!$A$1:$D$22, 4, FALSE),"&amp;" ""!C3:R29"")), {3;9;15;21}, FALSE)), ""=4"") + COUNTIF(ARRAYFORMULA(HLOOKUP($B28, IMPORTRANGE('Match Names'!$E$23, CONCAT(VLOOKUP($C28, 'Match Names'!$1:$22, 5, FALSE), ""!C3:R29"")), {9;14;19;24}, FALSE)), ""=4"") + COUNTIF(ARRAYFORMULA(HLOOKUP($B28, IM"&amp;"PORTRANGE('Match Names'!$F$23, CONCAT(VLOOKUP($C28, 'Match Names'!$1:$22, 6, FALSE), ""!C3:R29"")), {2;8;14;20}, FALSE)), ""=4"") + COUNTIF(ARRAYFORMULA(HLOOKUP($B28, IMPORTRANGE('Match Names'!$G$23, CONCAT(VLOOKUP($C28, 'Match Names'!$1:$22, 7, FALSE), "&amp;"""!C3:R29"")), {6;16;20;24}, FALSE)), ""=4"") + COUNTIF(ARRAYFORMULA(HLOOKUP($B28, IMPORTRANGE('Match Names'!$H$23, CONCAT(VLOOKUP($C28, 'Match Names'!$1:$22, 8, FALSE), ""!C3:R29"")), {2;8;14;20}, FALSE)), ""=4"")"),0.0)</f>
        <v>0</v>
      </c>
      <c r="F28" s="32">
        <f>IFERROR(__xludf.DUMMYFUNCTION("COUNTIF(ARRAYFORMULA(HLOOKUP($B28, IMPORTRANGE('Prelim Rankings Unsorted'!$B$40, CONCAT(VLOOKUP($C28, 'Match Names'!$A$1:$D$22, 2, FALSE), ""!C3:R29"")), {2;7;13;19}, FALSE)), ""=0"") + COUNTIF(ARRAYFORMULA(HLOOKUP($B28, IMPORTRANGE('Prelim Rankings Unsor"&amp;"ted'!$B$41, CONCAT(VLOOKUP($C28, 'Match Names'!$A$1:$D$22, 3, FALSE), ""!C3:R29"")), {3;9;15;21}, FALSE)), ""=0"") + COUNTIF(ARRAYFORMULA(HLOOKUP($B28, IMPORTRANGE('Prelim Rankings Unsorted'!$B$42, CONCAT(VLOOKUP($C28, 'Match Names'!$A$1:$D$22, 4, FALSE),"&amp;" ""!C3:R29"")), {3;9;15;21}, FALSE)), ""=0"") + COUNTIF(ARRAYFORMULA(HLOOKUP($B28, IMPORTRANGE('Match Names'!$E$23, CONCAT(VLOOKUP($C28, 'Match Names'!$1:$22, 5, FALSE), ""!C3:R29"")), {9;14;19;24}, FALSE)), ""=0"") + COUNTIF(ARRAYFORMULA(HLOOKUP($B28, IM"&amp;"PORTRANGE('Match Names'!$F$23, CONCAT(VLOOKUP($C28, 'Match Names'!$1:$22, 6, FALSE), ""!C3:R29"")), {2;8;14;20}, FALSE)), ""=0"") + COUNTIF(ARRAYFORMULA(HLOOKUP($B28, IMPORTRANGE('Match Names'!$G$23, CONCAT(VLOOKUP($C28, 'Match Names'!$1:$22, 7, FALSE), "&amp;"""!C3:R29"")), {6;16;20;24}, FALSE)), ""=0"") + COUNTIF(ARRAYFORMULA(HLOOKUP($B28, IMPORTRANGE('Match Names'!$H$23, CONCAT(VLOOKUP($C28, 'Match Names'!$1:$22, 8, FALSE), ""!C3:R29"")), {2;8;14;20}, FALSE)), ""=0"")"),0.0)</f>
        <v>0</v>
      </c>
      <c r="G28" s="32">
        <f>IFERROR(__xludf.DUMMYFUNCTION("COUNTIF(ARRAYFORMULA(HLOOKUP($B28, IMPORTRANGE('Prelim Rankings Unsorted'!$B$40, CONCAT(VLOOKUP($C28, 'Match Names'!$A$1:$D$22, 2, FALSE), ""!C3:R29"")), {2;7;13;19}, FALSE)), ""=-4"") + COUNTIF(ARRAYFORMULA(HLOOKUP($B28, IMPORTRANGE('Prelim Rankings Unso"&amp;"rted'!$B$41, CONCAT(VLOOKUP($C28, 'Match Names'!$A$1:$D$22, 3, FALSE), ""!C3:R29"")), {3;9;15;21}, FALSE)), ""=-4"") + COUNTIF(ARRAYFORMULA(HLOOKUP($B28, IMPORTRANGE('Prelim Rankings Unsorted'!$B$42, CONCAT(VLOOKUP($C28, 'Match Names'!$A$1:$D$22, 4, FALSE"&amp;"), ""!C3:R29"")), {3;9;15;21}, FALSE)), ""=-4"") + COUNTIF(ARRAYFORMULA(HLOOKUP($B28, IMPORTRANGE('Match Names'!$E$23, CONCAT(VLOOKUP($C28, 'Match Names'!$1:$22, 5, FALSE), ""!C3:R29"")), {9;14;19;24}, FALSE)), ""=-4"") + COUNTIF(ARRAYFORMULA(HLOOKUP($B28"&amp;", IMPORTRANGE('Match Names'!$F$23, CONCAT(VLOOKUP($C28, 'Match Names'!$1:$22, 6, FALSE), ""!C3:R29"")), {2;8;14;20}, FALSE)), ""=-4"") + COUNTIF(ARRAYFORMULA(HLOOKUP($B28, IMPORTRANGE('Match Names'!$G$23, CONCAT(VLOOKUP($C28, 'Match Names'!$1:$22, 7, FALS"&amp;"E), ""!C3:R29"")), {6;16;20;24}, FALSE)), ""=-4"") + COUNTIF(ARRAYFORMULA(HLOOKUP($B28, IMPORTRANGE('Match Names'!$H$23, CONCAT(VLOOKUP($C28, 'Match Names'!$1:$22, 8, FALSE), ""!C3:R29"")), {2;8;14;20}, FALSE)), ""=-4"")"),0.0)</f>
        <v>0</v>
      </c>
      <c r="H28" s="33">
        <f t="shared" si="1"/>
        <v>0</v>
      </c>
    </row>
    <row r="29">
      <c r="A29" s="31" t="s">
        <v>122</v>
      </c>
      <c r="B29" s="31" t="str">
        <f>VLOOKUP(CONCAT(A29, C29), 'Discord Username to Real Name'!C:D, 2, FALSE)</f>
        <v>emu#0818</v>
      </c>
      <c r="C29" s="21" t="s">
        <v>27</v>
      </c>
      <c r="D29" s="32">
        <f>IFERROR(__xludf.DUMMYFUNCTION("(4 - COUNTIF(IFERROR(ARRAYFORMULA(HLOOKUP($B29, IMPORTRANGE('Prelim Rankings Unsorted'!$B$40, CONCAT(VLOOKUP($C29, 'Match Names'!$A$1:$D$22, 2, FALSE), ""!C3:R29"")), {2;7;13;19}, FALSE)), 'Player Overall Stats Unsorted'!$AA$9:$AA$12), ""=X"")) + (4 - COU"&amp;"NTIF(IFERROR(ARRAYFORMULA(HLOOKUP($B29, IMPORTRANGE('Prelim Rankings Unsorted'!$B$41, CONCAT(VLOOKUP($C29, 'Match Names'!$A$1:$D$22, 3, FALSE), ""!C3:R29"")), {3;9;15;21}, FALSE)), 'Player Overall Stats Unsorted'!$AA$9:$AA$12), ""=X"")) + (4 - COUNTIF(IFE"&amp;"RROR(ARRAYFORMULA(HLOOKUP($B29, IMPORTRANGE('Prelim Rankings Unsorted'!$B$42, CONCAT(VLOOKUP($C29, 'Match Names'!$A$1:$D$22, 4, FALSE), ""!C3:R29"")), {3;9;15;21}, FALSE)), 'Player Overall Stats Unsorted'!$AA$9:$AA$12), ""=X"")) + (4 - COUNTIF(IFERROR(ARR"&amp;"AYFORMULA(HLOOKUP($B29, IMPORTRANGE('Match Names'!$E$23, CONCAT(VLOOKUP($C29, 'Match Names'!$1:$22, 5, FALSE), ""!C3:R29"")), {9;14;19;24}, FALSE)), 'Player Overall Stats Unsorted'!$AA$9:$AA$12), ""=X"")) + (4 - COUNTIF(IFERROR(ARRAYFORMULA(HLOOKUP($B29, "&amp;"IMPORTRANGE('Match Names'!$F$23, CONCAT(VLOOKUP($C29, 'Match Names'!$1:$22, 6, FALSE), ""!C3:R29"")), {2;8;14;20}, FALSE)), 'Player Overall Stats Unsorted'!$AA$9:$AA$12), ""=X"")) + (4 - COUNTIF(IFERROR(ARRAYFORMULA(HLOOKUP($B29, IMPORTRANGE('Match Names'"&amp;"!$G$23, CONCAT(VLOOKUP($C29, 'Match Names'!$1:$22, 7, FALSE), ""!C3:R29"")), {6;16;20;24}, FALSE)), 'Player Overall Stats Unsorted'!$AA$9:$AA$12), ""=X"")) + (4 - COUNTIF(IFERROR(ARRAYFORMULA(HLOOKUP($B29, IMPORTRANGE('Match Names'!$H$23, CONCAT(VLOOKUP($"&amp;"C29, 'Match Names'!$1:$22, 8, FALSE), ""!C3:R29"")), {2;8;14;20}, FALSE)), 'Player Overall Stats Unsorted'!$AA$9:$AA$12), ""=X""))"),20.0)</f>
        <v>20</v>
      </c>
      <c r="E29" s="32">
        <f>IFERROR(__xludf.DUMMYFUNCTION("COUNTIF(ARRAYFORMULA(HLOOKUP($B29, IMPORTRANGE('Prelim Rankings Unsorted'!$B$40, CONCAT(VLOOKUP($C29, 'Match Names'!$A$1:$D$22, 2, FALSE), ""!C3:R29"")), {2;7;13;19}, FALSE)), ""=4"") + COUNTIF(ARRAYFORMULA(HLOOKUP($B29, IMPORTRANGE('Prelim Rankings Unsor"&amp;"ted'!$B$41, CONCAT(VLOOKUP($C29, 'Match Names'!$A$1:$D$22, 3, FALSE), ""!C3:R29"")), {3;9;15;21}, FALSE)), ""=4"") + COUNTIF(ARRAYFORMULA(HLOOKUP($B29, IMPORTRANGE('Prelim Rankings Unsorted'!$B$42, CONCAT(VLOOKUP($C29, 'Match Names'!$A$1:$D$22, 4, FALSE),"&amp;" ""!C3:R29"")), {3;9;15;21}, FALSE)), ""=4"") + COUNTIF(ARRAYFORMULA(HLOOKUP($B29, IMPORTRANGE('Match Names'!$E$23, CONCAT(VLOOKUP($C29, 'Match Names'!$1:$22, 5, FALSE), ""!C3:R29"")), {9;14;19;24}, FALSE)), ""=4"") + COUNTIF(ARRAYFORMULA(HLOOKUP($B29, IM"&amp;"PORTRANGE('Match Names'!$F$23, CONCAT(VLOOKUP($C29, 'Match Names'!$1:$22, 6, FALSE), ""!C3:R29"")), {2;8;14;20}, FALSE)), ""=4"") + COUNTIF(ARRAYFORMULA(HLOOKUP($B29, IMPORTRANGE('Match Names'!$G$23, CONCAT(VLOOKUP($C29, 'Match Names'!$1:$22, 7, FALSE), "&amp;"""!C3:R29"")), {6;16;20;24}, FALSE)), ""=4"") + COUNTIF(ARRAYFORMULA(HLOOKUP($B29, IMPORTRANGE('Match Names'!$H$23, CONCAT(VLOOKUP($C29, 'Match Names'!$1:$22, 8, FALSE), ""!C3:R29"")), {2;8;14;20}, FALSE)), ""=4"")"),1.0)</f>
        <v>1</v>
      </c>
      <c r="F29" s="32">
        <f>IFERROR(__xludf.DUMMYFUNCTION("COUNTIF(ARRAYFORMULA(HLOOKUP($B29, IMPORTRANGE('Prelim Rankings Unsorted'!$B$40, CONCAT(VLOOKUP($C29, 'Match Names'!$A$1:$D$22, 2, FALSE), ""!C3:R29"")), {2;7;13;19}, FALSE)), ""=0"") + COUNTIF(ARRAYFORMULA(HLOOKUP($B29, IMPORTRANGE('Prelim Rankings Unsor"&amp;"ted'!$B$41, CONCAT(VLOOKUP($C29, 'Match Names'!$A$1:$D$22, 3, FALSE), ""!C3:R29"")), {3;9;15;21}, FALSE)), ""=0"") + COUNTIF(ARRAYFORMULA(HLOOKUP($B29, IMPORTRANGE('Prelim Rankings Unsorted'!$B$42, CONCAT(VLOOKUP($C29, 'Match Names'!$A$1:$D$22, 4, FALSE),"&amp;" ""!C3:R29"")), {3;9;15;21}, FALSE)), ""=0"") + COUNTIF(ARRAYFORMULA(HLOOKUP($B29, IMPORTRANGE('Match Names'!$E$23, CONCAT(VLOOKUP($C29, 'Match Names'!$1:$22, 5, FALSE), ""!C3:R29"")), {9;14;19;24}, FALSE)), ""=0"") + COUNTIF(ARRAYFORMULA(HLOOKUP($B29, IM"&amp;"PORTRANGE('Match Names'!$F$23, CONCAT(VLOOKUP($C29, 'Match Names'!$1:$22, 6, FALSE), ""!C3:R29"")), {2;8;14;20}, FALSE)), ""=0"") + COUNTIF(ARRAYFORMULA(HLOOKUP($B29, IMPORTRANGE('Match Names'!$G$23, CONCAT(VLOOKUP($C29, 'Match Names'!$1:$22, 7, FALSE), "&amp;"""!C3:R29"")), {6;16;20;24}, FALSE)), ""=0"") + COUNTIF(ARRAYFORMULA(HLOOKUP($B29, IMPORTRANGE('Match Names'!$H$23, CONCAT(VLOOKUP($C29, 'Match Names'!$1:$22, 8, FALSE), ""!C3:R29"")), {2;8;14;20}, FALSE)), ""=0"")"),2.0)</f>
        <v>2</v>
      </c>
      <c r="G29" s="32">
        <f>IFERROR(__xludf.DUMMYFUNCTION("COUNTIF(ARRAYFORMULA(HLOOKUP($B29, IMPORTRANGE('Prelim Rankings Unsorted'!$B$40, CONCAT(VLOOKUP($C29, 'Match Names'!$A$1:$D$22, 2, FALSE), ""!C3:R29"")), {2;7;13;19}, FALSE)), ""=-4"") + COUNTIF(ARRAYFORMULA(HLOOKUP($B29, IMPORTRANGE('Prelim Rankings Unso"&amp;"rted'!$B$41, CONCAT(VLOOKUP($C29, 'Match Names'!$A$1:$D$22, 3, FALSE), ""!C3:R29"")), {3;9;15;21}, FALSE)), ""=-4"") + COUNTIF(ARRAYFORMULA(HLOOKUP($B29, IMPORTRANGE('Prelim Rankings Unsorted'!$B$42, CONCAT(VLOOKUP($C29, 'Match Names'!$A$1:$D$22, 4, FALSE"&amp;"), ""!C3:R29"")), {3;9;15;21}, FALSE)), ""=-4"") + COUNTIF(ARRAYFORMULA(HLOOKUP($B29, IMPORTRANGE('Match Names'!$E$23, CONCAT(VLOOKUP($C29, 'Match Names'!$1:$22, 5, FALSE), ""!C3:R29"")), {9;14;19;24}, FALSE)), ""=-4"") + COUNTIF(ARRAYFORMULA(HLOOKUP($B29"&amp;", IMPORTRANGE('Match Names'!$F$23, CONCAT(VLOOKUP($C29, 'Match Names'!$1:$22, 6, FALSE), ""!C3:R29"")), {2;8;14;20}, FALSE)), ""=-4"") + COUNTIF(ARRAYFORMULA(HLOOKUP($B29, IMPORTRANGE('Match Names'!$G$23, CONCAT(VLOOKUP($C29, 'Match Names'!$1:$22, 7, FALS"&amp;"E), ""!C3:R29"")), {6;16;20;24}, FALSE)), ""=-4"") + COUNTIF(ARRAYFORMULA(HLOOKUP($B29, IMPORTRANGE('Match Names'!$H$23, CONCAT(VLOOKUP($C29, 'Match Names'!$1:$22, 8, FALSE), ""!C3:R29"")), {2;8;14;20}, FALSE)), ""=-4"")"),0.0)</f>
        <v>0</v>
      </c>
      <c r="H29" s="33">
        <f t="shared" si="1"/>
        <v>0.8</v>
      </c>
    </row>
    <row r="30">
      <c r="A30" s="31" t="s">
        <v>138</v>
      </c>
      <c r="B30" s="31" t="str">
        <f>VLOOKUP(CONCAT(A30, C30), 'Discord Username to Real Name'!C:D, 2, FALSE)</f>
        <v>sachiko#9539</v>
      </c>
      <c r="C30" s="21" t="s">
        <v>27</v>
      </c>
      <c r="D30" s="32">
        <f>IFERROR(__xludf.DUMMYFUNCTION("(4 - COUNTIF(IFERROR(ARRAYFORMULA(HLOOKUP($B30, IMPORTRANGE('Prelim Rankings Unsorted'!$B$40, CONCAT(VLOOKUP($C30, 'Match Names'!$A$1:$D$22, 2, FALSE), ""!C3:R29"")), {2;7;13;19}, FALSE)), 'Player Overall Stats Unsorted'!$AA$9:$AA$12), ""=X"")) + (4 - COU"&amp;"NTIF(IFERROR(ARRAYFORMULA(HLOOKUP($B30, IMPORTRANGE('Prelim Rankings Unsorted'!$B$41, CONCAT(VLOOKUP($C30, 'Match Names'!$A$1:$D$22, 3, FALSE), ""!C3:R29"")), {3;9;15;21}, FALSE)), 'Player Overall Stats Unsorted'!$AA$9:$AA$12), ""=X"")) + (4 - COUNTIF(IFE"&amp;"RROR(ARRAYFORMULA(HLOOKUP($B30, IMPORTRANGE('Prelim Rankings Unsorted'!$B$42, CONCAT(VLOOKUP($C30, 'Match Names'!$A$1:$D$22, 4, FALSE), ""!C3:R29"")), {3;9;15;21}, FALSE)), 'Player Overall Stats Unsorted'!$AA$9:$AA$12), ""=X"")) + (4 - COUNTIF(IFERROR(ARR"&amp;"AYFORMULA(HLOOKUP($B30, IMPORTRANGE('Match Names'!$E$23, CONCAT(VLOOKUP($C30, 'Match Names'!$1:$22, 5, FALSE), ""!C3:R29"")), {9;14;19;24}, FALSE)), 'Player Overall Stats Unsorted'!$AA$9:$AA$12), ""=X"")) + (4 - COUNTIF(IFERROR(ARRAYFORMULA(HLOOKUP($B30, "&amp;"IMPORTRANGE('Match Names'!$F$23, CONCAT(VLOOKUP($C30, 'Match Names'!$1:$22, 6, FALSE), ""!C3:R29"")), {2;8;14;20}, FALSE)), 'Player Overall Stats Unsorted'!$AA$9:$AA$12), ""=X"")) + (4 - COUNTIF(IFERROR(ARRAYFORMULA(HLOOKUP($B30, IMPORTRANGE('Match Names'"&amp;"!$G$23, CONCAT(VLOOKUP($C30, 'Match Names'!$1:$22, 7, FALSE), ""!C3:R29"")), {6;16;20;24}, FALSE)), 'Player Overall Stats Unsorted'!$AA$9:$AA$12), ""=X"")) + (4 - COUNTIF(IFERROR(ARRAYFORMULA(HLOOKUP($B30, IMPORTRANGE('Match Names'!$H$23, CONCAT(VLOOKUP($"&amp;"C30, 'Match Names'!$1:$22, 8, FALSE), ""!C3:R29"")), {2;8;14;20}, FALSE)), 'Player Overall Stats Unsorted'!$AA$9:$AA$12), ""=X""))"),22.0)</f>
        <v>22</v>
      </c>
      <c r="E30" s="32">
        <f>IFERROR(__xludf.DUMMYFUNCTION("COUNTIF(ARRAYFORMULA(HLOOKUP($B30, IMPORTRANGE('Prelim Rankings Unsorted'!$B$40, CONCAT(VLOOKUP($C30, 'Match Names'!$A$1:$D$22, 2, FALSE), ""!C3:R29"")), {2;7;13;19}, FALSE)), ""=4"") + COUNTIF(ARRAYFORMULA(HLOOKUP($B30, IMPORTRANGE('Prelim Rankings Unsor"&amp;"ted'!$B$41, CONCAT(VLOOKUP($C30, 'Match Names'!$A$1:$D$22, 3, FALSE), ""!C3:R29"")), {3;9;15;21}, FALSE)), ""=4"") + COUNTIF(ARRAYFORMULA(HLOOKUP($B30, IMPORTRANGE('Prelim Rankings Unsorted'!$B$42, CONCAT(VLOOKUP($C30, 'Match Names'!$A$1:$D$22, 4, FALSE),"&amp;" ""!C3:R29"")), {3;9;15;21}, FALSE)), ""=4"") + COUNTIF(ARRAYFORMULA(HLOOKUP($B30, IMPORTRANGE('Match Names'!$E$23, CONCAT(VLOOKUP($C30, 'Match Names'!$1:$22, 5, FALSE), ""!C3:R29"")), {9;14;19;24}, FALSE)), ""=4"") + COUNTIF(ARRAYFORMULA(HLOOKUP($B30, IM"&amp;"PORTRANGE('Match Names'!$F$23, CONCAT(VLOOKUP($C30, 'Match Names'!$1:$22, 6, FALSE), ""!C3:R29"")), {2;8;14;20}, FALSE)), ""=4"") + COUNTIF(ARRAYFORMULA(HLOOKUP($B30, IMPORTRANGE('Match Names'!$G$23, CONCAT(VLOOKUP($C30, 'Match Names'!$1:$22, 7, FALSE), "&amp;"""!C3:R29"")), {6;16;20;24}, FALSE)), ""=4"") + COUNTIF(ARRAYFORMULA(HLOOKUP($B30, IMPORTRANGE('Match Names'!$H$23, CONCAT(VLOOKUP($C30, 'Match Names'!$1:$22, 8, FALSE), ""!C3:R29"")), {2;8;14;20}, FALSE)), ""=4"")"),0.0)</f>
        <v>0</v>
      </c>
      <c r="F30" s="32">
        <f>IFERROR(__xludf.DUMMYFUNCTION("COUNTIF(ARRAYFORMULA(HLOOKUP($B30, IMPORTRANGE('Prelim Rankings Unsorted'!$B$40, CONCAT(VLOOKUP($C30, 'Match Names'!$A$1:$D$22, 2, FALSE), ""!C3:R29"")), {2;7;13;19}, FALSE)), ""=0"") + COUNTIF(ARRAYFORMULA(HLOOKUP($B30, IMPORTRANGE('Prelim Rankings Unsor"&amp;"ted'!$B$41, CONCAT(VLOOKUP($C30, 'Match Names'!$A$1:$D$22, 3, FALSE), ""!C3:R29"")), {3;9;15;21}, FALSE)), ""=0"") + COUNTIF(ARRAYFORMULA(HLOOKUP($B30, IMPORTRANGE('Prelim Rankings Unsorted'!$B$42, CONCAT(VLOOKUP($C30, 'Match Names'!$A$1:$D$22, 4, FALSE),"&amp;" ""!C3:R29"")), {3;9;15;21}, FALSE)), ""=0"") + COUNTIF(ARRAYFORMULA(HLOOKUP($B30, IMPORTRANGE('Match Names'!$E$23, CONCAT(VLOOKUP($C30, 'Match Names'!$1:$22, 5, FALSE), ""!C3:R29"")), {9;14;19;24}, FALSE)), ""=0"") + COUNTIF(ARRAYFORMULA(HLOOKUP($B30, IM"&amp;"PORTRANGE('Match Names'!$F$23, CONCAT(VLOOKUP($C30, 'Match Names'!$1:$22, 6, FALSE), ""!C3:R29"")), {2;8;14;20}, FALSE)), ""=0"") + COUNTIF(ARRAYFORMULA(HLOOKUP($B30, IMPORTRANGE('Match Names'!$G$23, CONCAT(VLOOKUP($C30, 'Match Names'!$1:$22, 7, FALSE), "&amp;"""!C3:R29"")), {6;16;20;24}, FALSE)), ""=0"") + COUNTIF(ARRAYFORMULA(HLOOKUP($B30, IMPORTRANGE('Match Names'!$H$23, CONCAT(VLOOKUP($C30, 'Match Names'!$1:$22, 8, FALSE), ""!C3:R29"")), {2;8;14;20}, FALSE)), ""=0"")"),0.0)</f>
        <v>0</v>
      </c>
      <c r="G30" s="32">
        <f>IFERROR(__xludf.DUMMYFUNCTION("COUNTIF(ARRAYFORMULA(HLOOKUP($B30, IMPORTRANGE('Prelim Rankings Unsorted'!$B$40, CONCAT(VLOOKUP($C30, 'Match Names'!$A$1:$D$22, 2, FALSE), ""!C3:R29"")), {2;7;13;19}, FALSE)), ""=-4"") + COUNTIF(ARRAYFORMULA(HLOOKUP($B30, IMPORTRANGE('Prelim Rankings Unso"&amp;"rted'!$B$41, CONCAT(VLOOKUP($C30, 'Match Names'!$A$1:$D$22, 3, FALSE), ""!C3:R29"")), {3;9;15;21}, FALSE)), ""=-4"") + COUNTIF(ARRAYFORMULA(HLOOKUP($B30, IMPORTRANGE('Prelim Rankings Unsorted'!$B$42, CONCAT(VLOOKUP($C30, 'Match Names'!$A$1:$D$22, 4, FALSE"&amp;"), ""!C3:R29"")), {3;9;15;21}, FALSE)), ""=-4"") + COUNTIF(ARRAYFORMULA(HLOOKUP($B30, IMPORTRANGE('Match Names'!$E$23, CONCAT(VLOOKUP($C30, 'Match Names'!$1:$22, 5, FALSE), ""!C3:R29"")), {9;14;19;24}, FALSE)), ""=-4"") + COUNTIF(ARRAYFORMULA(HLOOKUP($B30"&amp;", IMPORTRANGE('Match Names'!$F$23, CONCAT(VLOOKUP($C30, 'Match Names'!$1:$22, 6, FALSE), ""!C3:R29"")), {2;8;14;20}, FALSE)), ""=-4"") + COUNTIF(ARRAYFORMULA(HLOOKUP($B30, IMPORTRANGE('Match Names'!$G$23, CONCAT(VLOOKUP($C30, 'Match Names'!$1:$22, 7, FALS"&amp;"E), ""!C3:R29"")), {6;16;20;24}, FALSE)), ""=-4"") + COUNTIF(ARRAYFORMULA(HLOOKUP($B30, IMPORTRANGE('Match Names'!$H$23, CONCAT(VLOOKUP($C30, 'Match Names'!$1:$22, 8, FALSE), ""!C3:R29"")), {2;8;14;20}, FALSE)), ""=-4"")"),0.0)</f>
        <v>0</v>
      </c>
      <c r="H30" s="33">
        <f t="shared" si="1"/>
        <v>0</v>
      </c>
    </row>
    <row r="31">
      <c r="A31" s="31" t="s">
        <v>186</v>
      </c>
      <c r="B31" s="31" t="str">
        <f>VLOOKUP(CONCAT(A31, C31), 'Discord Username to Real Name'!C:D, 2, FALSE)</f>
        <v>audrey#4828</v>
      </c>
      <c r="C31" s="21" t="s">
        <v>27</v>
      </c>
      <c r="D31" s="32">
        <f>IFERROR(__xludf.DUMMYFUNCTION("(4 - COUNTIF(IFERROR(ARRAYFORMULA(HLOOKUP($B31, IMPORTRANGE('Prelim Rankings Unsorted'!$B$40, CONCAT(VLOOKUP($C31, 'Match Names'!$A$1:$D$22, 2, FALSE), ""!C3:R29"")), {2;7;13;19}, FALSE)), 'Player Overall Stats Unsorted'!$AA$9:$AA$12), ""=X"")) + (4 - COU"&amp;"NTIF(IFERROR(ARRAYFORMULA(HLOOKUP($B31, IMPORTRANGE('Prelim Rankings Unsorted'!$B$41, CONCAT(VLOOKUP($C31, 'Match Names'!$A$1:$D$22, 3, FALSE), ""!C3:R29"")), {3;9;15;21}, FALSE)), 'Player Overall Stats Unsorted'!$AA$9:$AA$12), ""=X"")) + (4 - COUNTIF(IFE"&amp;"RROR(ARRAYFORMULA(HLOOKUP($B31, IMPORTRANGE('Prelim Rankings Unsorted'!$B$42, CONCAT(VLOOKUP($C31, 'Match Names'!$A$1:$D$22, 4, FALSE), ""!C3:R29"")), {3;9;15;21}, FALSE)), 'Player Overall Stats Unsorted'!$AA$9:$AA$12), ""=X"")) + (4 - COUNTIF(IFERROR(ARR"&amp;"AYFORMULA(HLOOKUP($B31, IMPORTRANGE('Match Names'!$E$23, CONCAT(VLOOKUP($C31, 'Match Names'!$1:$22, 5, FALSE), ""!C3:R29"")), {9;14;19;24}, FALSE)), 'Player Overall Stats Unsorted'!$AA$9:$AA$12), ""=X"")) + (4 - COUNTIF(IFERROR(ARRAYFORMULA(HLOOKUP($B31, "&amp;"IMPORTRANGE('Match Names'!$F$23, CONCAT(VLOOKUP($C31, 'Match Names'!$1:$22, 6, FALSE), ""!C3:R29"")), {2;8;14;20}, FALSE)), 'Player Overall Stats Unsorted'!$AA$9:$AA$12), ""=X"")) + (4 - COUNTIF(IFERROR(ARRAYFORMULA(HLOOKUP($B31, IMPORTRANGE('Match Names'"&amp;"!$G$23, CONCAT(VLOOKUP($C31, 'Match Names'!$1:$22, 7, FALSE), ""!C3:R29"")), {6;16;20;24}, FALSE)), 'Player Overall Stats Unsorted'!$AA$9:$AA$12), ""=X"")) + (4 - COUNTIF(IFERROR(ARRAYFORMULA(HLOOKUP($B31, IMPORTRANGE('Match Names'!$H$23, CONCAT(VLOOKUP($"&amp;"C31, 'Match Names'!$1:$22, 8, FALSE), ""!C3:R29"")), {2;8;14;20}, FALSE)), 'Player Overall Stats Unsorted'!$AA$9:$AA$12), ""=X""))"),5.0)</f>
        <v>5</v>
      </c>
      <c r="E31" s="32">
        <f>IFERROR(__xludf.DUMMYFUNCTION("COUNTIF(ARRAYFORMULA(HLOOKUP($B31, IMPORTRANGE('Prelim Rankings Unsorted'!$B$40, CONCAT(VLOOKUP($C31, 'Match Names'!$A$1:$D$22, 2, FALSE), ""!C3:R29"")), {2;7;13;19}, FALSE)), ""=4"") + COUNTIF(ARRAYFORMULA(HLOOKUP($B31, IMPORTRANGE('Prelim Rankings Unsor"&amp;"ted'!$B$41, CONCAT(VLOOKUP($C31, 'Match Names'!$A$1:$D$22, 3, FALSE), ""!C3:R29"")), {3;9;15;21}, FALSE)), ""=4"") + COUNTIF(ARRAYFORMULA(HLOOKUP($B31, IMPORTRANGE('Prelim Rankings Unsorted'!$B$42, CONCAT(VLOOKUP($C31, 'Match Names'!$A$1:$D$22, 4, FALSE),"&amp;" ""!C3:R29"")), {3;9;15;21}, FALSE)), ""=4"") + COUNTIF(ARRAYFORMULA(HLOOKUP($B31, IMPORTRANGE('Match Names'!$E$23, CONCAT(VLOOKUP($C31, 'Match Names'!$1:$22, 5, FALSE), ""!C3:R29"")), {9;14;19;24}, FALSE)), ""=4"") + COUNTIF(ARRAYFORMULA(HLOOKUP($B31, IM"&amp;"PORTRANGE('Match Names'!$F$23, CONCAT(VLOOKUP($C31, 'Match Names'!$1:$22, 6, FALSE), ""!C3:R29"")), {2;8;14;20}, FALSE)), ""=4"") + COUNTIF(ARRAYFORMULA(HLOOKUP($B31, IMPORTRANGE('Match Names'!$G$23, CONCAT(VLOOKUP($C31, 'Match Names'!$1:$22, 7, FALSE), "&amp;"""!C3:R29"")), {6;16;20;24}, FALSE)), ""=4"") + COUNTIF(ARRAYFORMULA(HLOOKUP($B31, IMPORTRANGE('Match Names'!$H$23, CONCAT(VLOOKUP($C31, 'Match Names'!$1:$22, 8, FALSE), ""!C3:R29"")), {2;8;14;20}, FALSE)), ""=4"")"),0.0)</f>
        <v>0</v>
      </c>
      <c r="F31" s="32">
        <f>IFERROR(__xludf.DUMMYFUNCTION("COUNTIF(ARRAYFORMULA(HLOOKUP($B31, IMPORTRANGE('Prelim Rankings Unsorted'!$B$40, CONCAT(VLOOKUP($C31, 'Match Names'!$A$1:$D$22, 2, FALSE), ""!C3:R29"")), {2;7;13;19}, FALSE)), ""=0"") + COUNTIF(ARRAYFORMULA(HLOOKUP($B31, IMPORTRANGE('Prelim Rankings Unsor"&amp;"ted'!$B$41, CONCAT(VLOOKUP($C31, 'Match Names'!$A$1:$D$22, 3, FALSE), ""!C3:R29"")), {3;9;15;21}, FALSE)), ""=0"") + COUNTIF(ARRAYFORMULA(HLOOKUP($B31, IMPORTRANGE('Prelim Rankings Unsorted'!$B$42, CONCAT(VLOOKUP($C31, 'Match Names'!$A$1:$D$22, 4, FALSE),"&amp;" ""!C3:R29"")), {3;9;15;21}, FALSE)), ""=0"") + COUNTIF(ARRAYFORMULA(HLOOKUP($B31, IMPORTRANGE('Match Names'!$E$23, CONCAT(VLOOKUP($C31, 'Match Names'!$1:$22, 5, FALSE), ""!C3:R29"")), {9;14;19;24}, FALSE)), ""=0"") + COUNTIF(ARRAYFORMULA(HLOOKUP($B31, IM"&amp;"PORTRANGE('Match Names'!$F$23, CONCAT(VLOOKUP($C31, 'Match Names'!$1:$22, 6, FALSE), ""!C3:R29"")), {2;8;14;20}, FALSE)), ""=0"") + COUNTIF(ARRAYFORMULA(HLOOKUP($B31, IMPORTRANGE('Match Names'!$G$23, CONCAT(VLOOKUP($C31, 'Match Names'!$1:$22, 7, FALSE), "&amp;"""!C3:R29"")), {6;16;20;24}, FALSE)), ""=0"") + COUNTIF(ARRAYFORMULA(HLOOKUP($B31, IMPORTRANGE('Match Names'!$H$23, CONCAT(VLOOKUP($C31, 'Match Names'!$1:$22, 8, FALSE), ""!C3:R29"")), {2;8;14;20}, FALSE)), ""=0"")"),1.0)</f>
        <v>1</v>
      </c>
      <c r="G31" s="32">
        <f>IFERROR(__xludf.DUMMYFUNCTION("COUNTIF(ARRAYFORMULA(HLOOKUP($B31, IMPORTRANGE('Prelim Rankings Unsorted'!$B$40, CONCAT(VLOOKUP($C31, 'Match Names'!$A$1:$D$22, 2, FALSE), ""!C3:R29"")), {2;7;13;19}, FALSE)), ""=-4"") + COUNTIF(ARRAYFORMULA(HLOOKUP($B31, IMPORTRANGE('Prelim Rankings Unso"&amp;"rted'!$B$41, CONCAT(VLOOKUP($C31, 'Match Names'!$A$1:$D$22, 3, FALSE), ""!C3:R29"")), {3;9;15;21}, FALSE)), ""=-4"") + COUNTIF(ARRAYFORMULA(HLOOKUP($B31, IMPORTRANGE('Prelim Rankings Unsorted'!$B$42, CONCAT(VLOOKUP($C31, 'Match Names'!$A$1:$D$22, 4, FALSE"&amp;"), ""!C3:R29"")), {3;9;15;21}, FALSE)), ""=-4"") + COUNTIF(ARRAYFORMULA(HLOOKUP($B31, IMPORTRANGE('Match Names'!$E$23, CONCAT(VLOOKUP($C31, 'Match Names'!$1:$22, 5, FALSE), ""!C3:R29"")), {9;14;19;24}, FALSE)), ""=-4"") + COUNTIF(ARRAYFORMULA(HLOOKUP($B31"&amp;", IMPORTRANGE('Match Names'!$F$23, CONCAT(VLOOKUP($C31, 'Match Names'!$1:$22, 6, FALSE), ""!C3:R29"")), {2;8;14;20}, FALSE)), ""=-4"") + COUNTIF(ARRAYFORMULA(HLOOKUP($B31, IMPORTRANGE('Match Names'!$G$23, CONCAT(VLOOKUP($C31, 'Match Names'!$1:$22, 7, FALS"&amp;"E), ""!C3:R29"")), {6;16;20;24}, FALSE)), ""=-4"") + COUNTIF(ARRAYFORMULA(HLOOKUP($B31, IMPORTRANGE('Match Names'!$H$23, CONCAT(VLOOKUP($C31, 'Match Names'!$1:$22, 8, FALSE), ""!C3:R29"")), {2;8;14;20}, FALSE)), ""=-4"")"),0.0)</f>
        <v>0</v>
      </c>
      <c r="H31" s="33">
        <f t="shared" si="1"/>
        <v>0</v>
      </c>
    </row>
    <row r="32">
      <c r="A32" s="31" t="s">
        <v>104</v>
      </c>
      <c r="B32" s="31" t="str">
        <f>VLOOKUP(CONCAT(A32, C32), 'Discord Username to Real Name'!C:D, 2, FALSE)</f>
        <v>Logan L.#8589</v>
      </c>
      <c r="C32" s="21" t="s">
        <v>27</v>
      </c>
      <c r="D32" s="32">
        <f>IFERROR(__xludf.DUMMYFUNCTION("(4 - COUNTIF(IFERROR(ARRAYFORMULA(HLOOKUP($B32, IMPORTRANGE('Prelim Rankings Unsorted'!$B$40, CONCAT(VLOOKUP($C32, 'Match Names'!$A$1:$D$22, 2, FALSE), ""!C3:R29"")), {2;7;13;19}, FALSE)), 'Player Overall Stats Unsorted'!$AA$9:$AA$12), ""=X"")) + (4 - COU"&amp;"NTIF(IFERROR(ARRAYFORMULA(HLOOKUP($B32, IMPORTRANGE('Prelim Rankings Unsorted'!$B$41, CONCAT(VLOOKUP($C32, 'Match Names'!$A$1:$D$22, 3, FALSE), ""!C3:R29"")), {3;9;15;21}, FALSE)), 'Player Overall Stats Unsorted'!$AA$9:$AA$12), ""=X"")) + (4 - COUNTIF(IFE"&amp;"RROR(ARRAYFORMULA(HLOOKUP($B32, IMPORTRANGE('Prelim Rankings Unsorted'!$B$42, CONCAT(VLOOKUP($C32, 'Match Names'!$A$1:$D$22, 4, FALSE), ""!C3:R29"")), {3;9;15;21}, FALSE)), 'Player Overall Stats Unsorted'!$AA$9:$AA$12), ""=X"")) + (4 - COUNTIF(IFERROR(ARR"&amp;"AYFORMULA(HLOOKUP($B32, IMPORTRANGE('Match Names'!$E$23, CONCAT(VLOOKUP($C32, 'Match Names'!$1:$22, 5, FALSE), ""!C3:R29"")), {9;14;19;24}, FALSE)), 'Player Overall Stats Unsorted'!$AA$9:$AA$12), ""=X"")) + (4 - COUNTIF(IFERROR(ARRAYFORMULA(HLOOKUP($B32, "&amp;"IMPORTRANGE('Match Names'!$F$23, CONCAT(VLOOKUP($C32, 'Match Names'!$1:$22, 6, FALSE), ""!C3:R29"")), {2;8;14;20}, FALSE)), 'Player Overall Stats Unsorted'!$AA$9:$AA$12), ""=X"")) + (4 - COUNTIF(IFERROR(ARRAYFORMULA(HLOOKUP($B32, IMPORTRANGE('Match Names'"&amp;"!$G$23, CONCAT(VLOOKUP($C32, 'Match Names'!$1:$22, 7, FALSE), ""!C3:R29"")), {6;16;20;24}, FALSE)), 'Player Overall Stats Unsorted'!$AA$9:$AA$12), ""=X"")) + (4 - COUNTIF(IFERROR(ARRAYFORMULA(HLOOKUP($B32, IMPORTRANGE('Match Names'!$H$23, CONCAT(VLOOKUP($"&amp;"C32, 'Match Names'!$1:$22, 8, FALSE), ""!C3:R29"")), {2;8;14;20}, FALSE)), 'Player Overall Stats Unsorted'!$AA$9:$AA$12), ""=X""))"),23.0)</f>
        <v>23</v>
      </c>
      <c r="E32" s="32">
        <f>IFERROR(__xludf.DUMMYFUNCTION("COUNTIF(ARRAYFORMULA(HLOOKUP($B32, IMPORTRANGE('Prelim Rankings Unsorted'!$B$40, CONCAT(VLOOKUP($C32, 'Match Names'!$A$1:$D$22, 2, FALSE), ""!C3:R29"")), {2;7;13;19}, FALSE)), ""=4"") + COUNTIF(ARRAYFORMULA(HLOOKUP($B32, IMPORTRANGE('Prelim Rankings Unsor"&amp;"ted'!$B$41, CONCAT(VLOOKUP($C32, 'Match Names'!$A$1:$D$22, 3, FALSE), ""!C3:R29"")), {3;9;15;21}, FALSE)), ""=4"") + COUNTIF(ARRAYFORMULA(HLOOKUP($B32, IMPORTRANGE('Prelim Rankings Unsorted'!$B$42, CONCAT(VLOOKUP($C32, 'Match Names'!$A$1:$D$22, 4, FALSE),"&amp;" ""!C3:R29"")), {3;9;15;21}, FALSE)), ""=4"") + COUNTIF(ARRAYFORMULA(HLOOKUP($B32, IMPORTRANGE('Match Names'!$E$23, CONCAT(VLOOKUP($C32, 'Match Names'!$1:$22, 5, FALSE), ""!C3:R29"")), {9;14;19;24}, FALSE)), ""=4"") + COUNTIF(ARRAYFORMULA(HLOOKUP($B32, IM"&amp;"PORTRANGE('Match Names'!$F$23, CONCAT(VLOOKUP($C32, 'Match Names'!$1:$22, 6, FALSE), ""!C3:R29"")), {2;8;14;20}, FALSE)), ""=4"") + COUNTIF(ARRAYFORMULA(HLOOKUP($B32, IMPORTRANGE('Match Names'!$G$23, CONCAT(VLOOKUP($C32, 'Match Names'!$1:$22, 7, FALSE), "&amp;"""!C3:R29"")), {6;16;20;24}, FALSE)), ""=4"") + COUNTIF(ARRAYFORMULA(HLOOKUP($B32, IMPORTRANGE('Match Names'!$H$23, CONCAT(VLOOKUP($C32, 'Match Names'!$1:$22, 8, FALSE), ""!C3:R29"")), {2;8;14;20}, FALSE)), ""=4"")"),4.0)</f>
        <v>4</v>
      </c>
      <c r="F32" s="32">
        <f>IFERROR(__xludf.DUMMYFUNCTION("COUNTIF(ARRAYFORMULA(HLOOKUP($B32, IMPORTRANGE('Prelim Rankings Unsorted'!$B$40, CONCAT(VLOOKUP($C32, 'Match Names'!$A$1:$D$22, 2, FALSE), ""!C3:R29"")), {2;7;13;19}, FALSE)), ""=0"") + COUNTIF(ARRAYFORMULA(HLOOKUP($B32, IMPORTRANGE('Prelim Rankings Unsor"&amp;"ted'!$B$41, CONCAT(VLOOKUP($C32, 'Match Names'!$A$1:$D$22, 3, FALSE), ""!C3:R29"")), {3;9;15;21}, FALSE)), ""=0"") + COUNTIF(ARRAYFORMULA(HLOOKUP($B32, IMPORTRANGE('Prelim Rankings Unsorted'!$B$42, CONCAT(VLOOKUP($C32, 'Match Names'!$A$1:$D$22, 4, FALSE),"&amp;" ""!C3:R29"")), {3;9;15;21}, FALSE)), ""=0"") + COUNTIF(ARRAYFORMULA(HLOOKUP($B32, IMPORTRANGE('Match Names'!$E$23, CONCAT(VLOOKUP($C32, 'Match Names'!$1:$22, 5, FALSE), ""!C3:R29"")), {9;14;19;24}, FALSE)), ""=0"") + COUNTIF(ARRAYFORMULA(HLOOKUP($B32, IM"&amp;"PORTRANGE('Match Names'!$F$23, CONCAT(VLOOKUP($C32, 'Match Names'!$1:$22, 6, FALSE), ""!C3:R29"")), {2;8;14;20}, FALSE)), ""=0"") + COUNTIF(ARRAYFORMULA(HLOOKUP($B32, IMPORTRANGE('Match Names'!$G$23, CONCAT(VLOOKUP($C32, 'Match Names'!$1:$22, 7, FALSE), "&amp;"""!C3:R29"")), {6;16;20;24}, FALSE)), ""=0"") + COUNTIF(ARRAYFORMULA(HLOOKUP($B32, IMPORTRANGE('Match Names'!$H$23, CONCAT(VLOOKUP($C32, 'Match Names'!$1:$22, 8, FALSE), ""!C3:R29"")), {2;8;14;20}, FALSE)), ""=0"")"),4.0)</f>
        <v>4</v>
      </c>
      <c r="G32" s="32">
        <f>IFERROR(__xludf.DUMMYFUNCTION("COUNTIF(ARRAYFORMULA(HLOOKUP($B32, IMPORTRANGE('Prelim Rankings Unsorted'!$B$40, CONCAT(VLOOKUP($C32, 'Match Names'!$A$1:$D$22, 2, FALSE), ""!C3:R29"")), {2;7;13;19}, FALSE)), ""=-4"") + COUNTIF(ARRAYFORMULA(HLOOKUP($B32, IMPORTRANGE('Prelim Rankings Unso"&amp;"rted'!$B$41, CONCAT(VLOOKUP($C32, 'Match Names'!$A$1:$D$22, 3, FALSE), ""!C3:R29"")), {3;9;15;21}, FALSE)), ""=-4"") + COUNTIF(ARRAYFORMULA(HLOOKUP($B32, IMPORTRANGE('Prelim Rankings Unsorted'!$B$42, CONCAT(VLOOKUP($C32, 'Match Names'!$A$1:$D$22, 4, FALSE"&amp;"), ""!C3:R29"")), {3;9;15;21}, FALSE)), ""=-4"") + COUNTIF(ARRAYFORMULA(HLOOKUP($B32, IMPORTRANGE('Match Names'!$E$23, CONCAT(VLOOKUP($C32, 'Match Names'!$1:$22, 5, FALSE), ""!C3:R29"")), {9;14;19;24}, FALSE)), ""=-4"") + COUNTIF(ARRAYFORMULA(HLOOKUP($B32"&amp;", IMPORTRANGE('Match Names'!$F$23, CONCAT(VLOOKUP($C32, 'Match Names'!$1:$22, 6, FALSE), ""!C3:R29"")), {2;8;14;20}, FALSE)), ""=-4"") + COUNTIF(ARRAYFORMULA(HLOOKUP($B32, IMPORTRANGE('Match Names'!$G$23, CONCAT(VLOOKUP($C32, 'Match Names'!$1:$22, 7, FALS"&amp;"E), ""!C3:R29"")), {6;16;20;24}, FALSE)), ""=-4"") + COUNTIF(ARRAYFORMULA(HLOOKUP($B32, IMPORTRANGE('Match Names'!$H$23, CONCAT(VLOOKUP($C32, 'Match Names'!$1:$22, 8, FALSE), ""!C3:R29"")), {2;8;14;20}, FALSE)), ""=-4"")"),2.0)</f>
        <v>2</v>
      </c>
      <c r="H32" s="33">
        <f t="shared" si="1"/>
        <v>1.39</v>
      </c>
    </row>
    <row r="33">
      <c r="A33" s="31" t="s">
        <v>45</v>
      </c>
      <c r="B33" s="31" t="str">
        <f>VLOOKUP(CONCAT(A33, C33), 'Discord Username to Real Name'!C:D, 2, FALSE)</f>
        <v>(Stitch)^2#3169</v>
      </c>
      <c r="C33" s="31" t="s">
        <v>20</v>
      </c>
      <c r="D33" s="32">
        <f>IFERROR(__xludf.DUMMYFUNCTION("(4 - COUNTIF(IFERROR(ARRAYFORMULA(HLOOKUP($B33, IMPORTRANGE('Prelim Rankings Unsorted'!$B$40, CONCAT(VLOOKUP($C33, 'Match Names'!$A$1:$D$22, 2, FALSE), ""!C3:R29"")), {2;7;13;19}, FALSE)), 'Player Overall Stats Unsorted'!$AA$9:$AA$12), ""=X"")) + (4 - COU"&amp;"NTIF(IFERROR(ARRAYFORMULA(HLOOKUP($B33, IMPORTRANGE('Prelim Rankings Unsorted'!$B$41, CONCAT(VLOOKUP($C33, 'Match Names'!$A$1:$D$22, 3, FALSE), ""!C3:R29"")), {3;9;15;21}, FALSE)), 'Player Overall Stats Unsorted'!$AA$9:$AA$12), ""=X"")) + (4 - COUNTIF(IFE"&amp;"RROR(ARRAYFORMULA(HLOOKUP($B33, IMPORTRANGE('Prelim Rankings Unsorted'!$B$42, CONCAT(VLOOKUP($C33, 'Match Names'!$A$1:$D$22, 4, FALSE), ""!C3:R29"")), {3;9;15;21}, FALSE)), 'Player Overall Stats Unsorted'!$AA$9:$AA$12), ""=X"")) + (4 - COUNTIF(IFERROR(ARR"&amp;"AYFORMULA(HLOOKUP($B33, IMPORTRANGE('Match Names'!$E$23, CONCAT(VLOOKUP($C33, 'Match Names'!$1:$22, 5, FALSE), ""!C3:R29"")), {9;14;19;24}, FALSE)), 'Player Overall Stats Unsorted'!$AA$9:$AA$12), ""=X"")) + (4 - COUNTIF(IFERROR(ARRAYFORMULA(HLOOKUP($B33, "&amp;"IMPORTRANGE('Match Names'!$F$23, CONCAT(VLOOKUP($C33, 'Match Names'!$1:$22, 6, FALSE), ""!C3:R29"")), {2;8;14;20}, FALSE)), 'Player Overall Stats Unsorted'!$AA$9:$AA$12), ""=X"")) + (4 - COUNTIF(IFERROR(ARRAYFORMULA(HLOOKUP($B33, IMPORTRANGE('Match Names'"&amp;"!$G$23, CONCAT(VLOOKUP($C33, 'Match Names'!$1:$22, 7, FALSE), ""!C3:R29"")), {6;16;20;24}, FALSE)), 'Player Overall Stats Unsorted'!$AA$9:$AA$12), ""=X"")) + (4 - COUNTIF(IFERROR(ARRAYFORMULA(HLOOKUP($B33, IMPORTRANGE('Match Names'!$H$23, CONCAT(VLOOKUP($"&amp;"C33, 'Match Names'!$1:$22, 8, FALSE), ""!C3:R29"")), {2;8;14;20}, FALSE)), 'Player Overall Stats Unsorted'!$AA$9:$AA$12), ""=X""))"),24.0)</f>
        <v>24</v>
      </c>
      <c r="E33" s="32">
        <f>IFERROR(__xludf.DUMMYFUNCTION("COUNTIF(ARRAYFORMULA(HLOOKUP($B33, IMPORTRANGE('Prelim Rankings Unsorted'!$B$40, CONCAT(VLOOKUP($C33, 'Match Names'!$A$1:$D$22, 2, FALSE), ""!C3:R29"")), {2;7;13;19}, FALSE)), ""=4"") + COUNTIF(ARRAYFORMULA(HLOOKUP($B33, IMPORTRANGE('Prelim Rankings Unsor"&amp;"ted'!$B$41, CONCAT(VLOOKUP($C33, 'Match Names'!$A$1:$D$22, 3, FALSE), ""!C3:R29"")), {3;9;15;21}, FALSE)), ""=4"") + COUNTIF(ARRAYFORMULA(HLOOKUP($B33, IMPORTRANGE('Prelim Rankings Unsorted'!$B$42, CONCAT(VLOOKUP($C33, 'Match Names'!$A$1:$D$22, 4, FALSE),"&amp;" ""!C3:R29"")), {3;9;15;21}, FALSE)), ""=4"") + COUNTIF(ARRAYFORMULA(HLOOKUP($B33, IMPORTRANGE('Match Names'!$E$23, CONCAT(VLOOKUP($C33, 'Match Names'!$1:$22, 5, FALSE), ""!C3:R29"")), {9;14;19;24}, FALSE)), ""=4"") + COUNTIF(ARRAYFORMULA(HLOOKUP($B33, IM"&amp;"PORTRANGE('Match Names'!$F$23, CONCAT(VLOOKUP($C33, 'Match Names'!$1:$22, 6, FALSE), ""!C3:R29"")), {2;8;14;20}, FALSE)), ""=4"") + COUNTIF(ARRAYFORMULA(HLOOKUP($B33, IMPORTRANGE('Match Names'!$G$23, CONCAT(VLOOKUP($C33, 'Match Names'!$1:$22, 7, FALSE), "&amp;"""!C3:R29"")), {6;16;20;24}, FALSE)), ""=4"") + COUNTIF(ARRAYFORMULA(HLOOKUP($B33, IMPORTRANGE('Match Names'!$H$23, CONCAT(VLOOKUP($C33, 'Match Names'!$1:$22, 8, FALSE), ""!C3:R29"")), {2;8;14;20}, FALSE)), ""=4"")"),4.0)</f>
        <v>4</v>
      </c>
      <c r="F33" s="32">
        <f>IFERROR(__xludf.DUMMYFUNCTION("COUNTIF(ARRAYFORMULA(HLOOKUP($B33, IMPORTRANGE('Prelim Rankings Unsorted'!$B$40, CONCAT(VLOOKUP($C33, 'Match Names'!$A$1:$D$22, 2, FALSE), ""!C3:R29"")), {2;7;13;19}, FALSE)), ""=0"") + COUNTIF(ARRAYFORMULA(HLOOKUP($B33, IMPORTRANGE('Prelim Rankings Unsor"&amp;"ted'!$B$41, CONCAT(VLOOKUP($C33, 'Match Names'!$A$1:$D$22, 3, FALSE), ""!C3:R29"")), {3;9;15;21}, FALSE)), ""=0"") + COUNTIF(ARRAYFORMULA(HLOOKUP($B33, IMPORTRANGE('Prelim Rankings Unsorted'!$B$42, CONCAT(VLOOKUP($C33, 'Match Names'!$A$1:$D$22, 4, FALSE),"&amp;" ""!C3:R29"")), {3;9;15;21}, FALSE)), ""=0"") + COUNTIF(ARRAYFORMULA(HLOOKUP($B33, IMPORTRANGE('Match Names'!$E$23, CONCAT(VLOOKUP($C33, 'Match Names'!$1:$22, 5, FALSE), ""!C3:R29"")), {9;14;19;24}, FALSE)), ""=0"") + COUNTIF(ARRAYFORMULA(HLOOKUP($B33, IM"&amp;"PORTRANGE('Match Names'!$F$23, CONCAT(VLOOKUP($C33, 'Match Names'!$1:$22, 6, FALSE), ""!C3:R29"")), {2;8;14;20}, FALSE)), ""=0"") + COUNTIF(ARRAYFORMULA(HLOOKUP($B33, IMPORTRANGE('Match Names'!$G$23, CONCAT(VLOOKUP($C33, 'Match Names'!$1:$22, 7, FALSE), "&amp;"""!C3:R29"")), {6;16;20;24}, FALSE)), ""=0"") + COUNTIF(ARRAYFORMULA(HLOOKUP($B33, IMPORTRANGE('Match Names'!$H$23, CONCAT(VLOOKUP($C33, 'Match Names'!$1:$22, 8, FALSE), ""!C3:R29"")), {2;8;14;20}, FALSE)), ""=0"")"),8.0)</f>
        <v>8</v>
      </c>
      <c r="G33" s="32">
        <f>IFERROR(__xludf.DUMMYFUNCTION("COUNTIF(ARRAYFORMULA(HLOOKUP($B33, IMPORTRANGE('Prelim Rankings Unsorted'!$B$40, CONCAT(VLOOKUP($C33, 'Match Names'!$A$1:$D$22, 2, FALSE), ""!C3:R29"")), {2;7;13;19}, FALSE)), ""=-4"") + COUNTIF(ARRAYFORMULA(HLOOKUP($B33, IMPORTRANGE('Prelim Rankings Unso"&amp;"rted'!$B$41, CONCAT(VLOOKUP($C33, 'Match Names'!$A$1:$D$22, 3, FALSE), ""!C3:R29"")), {3;9;15;21}, FALSE)), ""=-4"") + COUNTIF(ARRAYFORMULA(HLOOKUP($B33, IMPORTRANGE('Prelim Rankings Unsorted'!$B$42, CONCAT(VLOOKUP($C33, 'Match Names'!$A$1:$D$22, 4, FALSE"&amp;"), ""!C3:R29"")), {3;9;15;21}, FALSE)), ""=-4"") + COUNTIF(ARRAYFORMULA(HLOOKUP($B33, IMPORTRANGE('Match Names'!$E$23, CONCAT(VLOOKUP($C33, 'Match Names'!$1:$22, 5, FALSE), ""!C3:R29"")), {9;14;19;24}, FALSE)), ""=-4"") + COUNTIF(ARRAYFORMULA(HLOOKUP($B33"&amp;", IMPORTRANGE('Match Names'!$F$23, CONCAT(VLOOKUP($C33, 'Match Names'!$1:$22, 6, FALSE), ""!C3:R29"")), {2;8;14;20}, FALSE)), ""=-4"") + COUNTIF(ARRAYFORMULA(HLOOKUP($B33, IMPORTRANGE('Match Names'!$G$23, CONCAT(VLOOKUP($C33, 'Match Names'!$1:$22, 7, FALS"&amp;"E), ""!C3:R29"")), {6;16;20;24}, FALSE)), ""=-4"") + COUNTIF(ARRAYFORMULA(HLOOKUP($B33, IMPORTRANGE('Match Names'!$H$23, CONCAT(VLOOKUP($C33, 'Match Names'!$1:$22, 8, FALSE), ""!C3:R29"")), {2;8;14;20}, FALSE)), ""=-4"")"),0.0)</f>
        <v>0</v>
      </c>
      <c r="H33" s="33">
        <f t="shared" si="1"/>
        <v>2.67</v>
      </c>
    </row>
    <row r="34">
      <c r="A34" s="31" t="s">
        <v>108</v>
      </c>
      <c r="B34" s="31" t="str">
        <f>VLOOKUP(CONCAT(A34, C34), 'Discord Username to Real Name'!C:D, 2, FALSE)</f>
        <v>Oshimimers#4758</v>
      </c>
      <c r="C34" s="31" t="s">
        <v>20</v>
      </c>
      <c r="D34" s="32">
        <f>IFERROR(__xludf.DUMMYFUNCTION("(4 - COUNTIF(IFERROR(ARRAYFORMULA(HLOOKUP($B34, IMPORTRANGE('Prelim Rankings Unsorted'!$B$40, CONCAT(VLOOKUP($C34, 'Match Names'!$A$1:$D$22, 2, FALSE), ""!C3:R29"")), {2;7;13;19}, FALSE)), 'Player Overall Stats Unsorted'!$AA$9:$AA$12), ""=X"")) + (4 - COU"&amp;"NTIF(IFERROR(ARRAYFORMULA(HLOOKUP($B34, IMPORTRANGE('Prelim Rankings Unsorted'!$B$41, CONCAT(VLOOKUP($C34, 'Match Names'!$A$1:$D$22, 3, FALSE), ""!C3:R29"")), {3;9;15;21}, FALSE)), 'Player Overall Stats Unsorted'!$AA$9:$AA$12), ""=X"")) + (4 - COUNTIF(IFE"&amp;"RROR(ARRAYFORMULA(HLOOKUP($B34, IMPORTRANGE('Prelim Rankings Unsorted'!$B$42, CONCAT(VLOOKUP($C34, 'Match Names'!$A$1:$D$22, 4, FALSE), ""!C3:R29"")), {3;9;15;21}, FALSE)), 'Player Overall Stats Unsorted'!$AA$9:$AA$12), ""=X"")) + (4 - COUNTIF(IFERROR(ARR"&amp;"AYFORMULA(HLOOKUP($B34, IMPORTRANGE('Match Names'!$E$23, CONCAT(VLOOKUP($C34, 'Match Names'!$1:$22, 5, FALSE), ""!C3:R29"")), {9;14;19;24}, FALSE)), 'Player Overall Stats Unsorted'!$AA$9:$AA$12), ""=X"")) + (4 - COUNTIF(IFERROR(ARRAYFORMULA(HLOOKUP($B34, "&amp;"IMPORTRANGE('Match Names'!$F$23, CONCAT(VLOOKUP($C34, 'Match Names'!$1:$22, 6, FALSE), ""!C3:R29"")), {2;8;14;20}, FALSE)), 'Player Overall Stats Unsorted'!$AA$9:$AA$12), ""=X"")) + (4 - COUNTIF(IFERROR(ARRAYFORMULA(HLOOKUP($B34, IMPORTRANGE('Match Names'"&amp;"!$G$23, CONCAT(VLOOKUP($C34, 'Match Names'!$1:$22, 7, FALSE), ""!C3:R29"")), {6;16;20;24}, FALSE)), 'Player Overall Stats Unsorted'!$AA$9:$AA$12), ""=X"")) + (4 - COUNTIF(IFERROR(ARRAYFORMULA(HLOOKUP($B34, IMPORTRANGE('Match Names'!$H$23, CONCAT(VLOOKUP($"&amp;"C34, 'Match Names'!$1:$22, 8, FALSE), ""!C3:R29"")), {2;8;14;20}, FALSE)), 'Player Overall Stats Unsorted'!$AA$9:$AA$12), ""=X""))"),24.0)</f>
        <v>24</v>
      </c>
      <c r="E34" s="32">
        <f>IFERROR(__xludf.DUMMYFUNCTION("COUNTIF(ARRAYFORMULA(HLOOKUP($B34, IMPORTRANGE('Prelim Rankings Unsorted'!$B$40, CONCAT(VLOOKUP($C34, 'Match Names'!$A$1:$D$22, 2, FALSE), ""!C3:R29"")), {2;7;13;19}, FALSE)), ""=4"") + COUNTIF(ARRAYFORMULA(HLOOKUP($B34, IMPORTRANGE('Prelim Rankings Unsor"&amp;"ted'!$B$41, CONCAT(VLOOKUP($C34, 'Match Names'!$A$1:$D$22, 3, FALSE), ""!C3:R29"")), {3;9;15;21}, FALSE)), ""=4"") + COUNTIF(ARRAYFORMULA(HLOOKUP($B34, IMPORTRANGE('Prelim Rankings Unsorted'!$B$42, CONCAT(VLOOKUP($C34, 'Match Names'!$A$1:$D$22, 4, FALSE),"&amp;" ""!C3:R29"")), {3;9;15;21}, FALSE)), ""=4"") + COUNTIF(ARRAYFORMULA(HLOOKUP($B34, IMPORTRANGE('Match Names'!$E$23, CONCAT(VLOOKUP($C34, 'Match Names'!$1:$22, 5, FALSE), ""!C3:R29"")), {9;14;19;24}, FALSE)), ""=4"") + COUNTIF(ARRAYFORMULA(HLOOKUP($B34, IM"&amp;"PORTRANGE('Match Names'!$F$23, CONCAT(VLOOKUP($C34, 'Match Names'!$1:$22, 6, FALSE), ""!C3:R29"")), {2;8;14;20}, FALSE)), ""=4"") + COUNTIF(ARRAYFORMULA(HLOOKUP($B34, IMPORTRANGE('Match Names'!$G$23, CONCAT(VLOOKUP($C34, 'Match Names'!$1:$22, 7, FALSE), "&amp;"""!C3:R29"")), {6;16;20;24}, FALSE)), ""=4"") + COUNTIF(ARRAYFORMULA(HLOOKUP($B34, IMPORTRANGE('Match Names'!$H$23, CONCAT(VLOOKUP($C34, 'Match Names'!$1:$22, 8, FALSE), ""!C3:R29"")), {2;8;14;20}, FALSE)), ""=4"")"),0.0)</f>
        <v>0</v>
      </c>
      <c r="F34" s="32">
        <f>IFERROR(__xludf.DUMMYFUNCTION("COUNTIF(ARRAYFORMULA(HLOOKUP($B34, IMPORTRANGE('Prelim Rankings Unsorted'!$B$40, CONCAT(VLOOKUP($C34, 'Match Names'!$A$1:$D$22, 2, FALSE), ""!C3:R29"")), {2;7;13;19}, FALSE)), ""=0"") + COUNTIF(ARRAYFORMULA(HLOOKUP($B34, IMPORTRANGE('Prelim Rankings Unsor"&amp;"ted'!$B$41, CONCAT(VLOOKUP($C34, 'Match Names'!$A$1:$D$22, 3, FALSE), ""!C3:R29"")), {3;9;15;21}, FALSE)), ""=0"") + COUNTIF(ARRAYFORMULA(HLOOKUP($B34, IMPORTRANGE('Prelim Rankings Unsorted'!$B$42, CONCAT(VLOOKUP($C34, 'Match Names'!$A$1:$D$22, 4, FALSE),"&amp;" ""!C3:R29"")), {3;9;15;21}, FALSE)), ""=0"") + COUNTIF(ARRAYFORMULA(HLOOKUP($B34, IMPORTRANGE('Match Names'!$E$23, CONCAT(VLOOKUP($C34, 'Match Names'!$1:$22, 5, FALSE), ""!C3:R29"")), {9;14;19;24}, FALSE)), ""=0"") + COUNTIF(ARRAYFORMULA(HLOOKUP($B34, IM"&amp;"PORTRANGE('Match Names'!$F$23, CONCAT(VLOOKUP($C34, 'Match Names'!$1:$22, 6, FALSE), ""!C3:R29"")), {2;8;14;20}, FALSE)), ""=0"") + COUNTIF(ARRAYFORMULA(HLOOKUP($B34, IMPORTRANGE('Match Names'!$G$23, CONCAT(VLOOKUP($C34, 'Match Names'!$1:$22, 7, FALSE), "&amp;"""!C3:R29"")), {6;16;20;24}, FALSE)), ""=0"") + COUNTIF(ARRAYFORMULA(HLOOKUP($B34, IMPORTRANGE('Match Names'!$H$23, CONCAT(VLOOKUP($C34, 'Match Names'!$1:$22, 8, FALSE), ""!C3:R29"")), {2;8;14;20}, FALSE)), ""=0"")"),0.0)</f>
        <v>0</v>
      </c>
      <c r="G34" s="32">
        <f>IFERROR(__xludf.DUMMYFUNCTION("COUNTIF(ARRAYFORMULA(HLOOKUP($B34, IMPORTRANGE('Prelim Rankings Unsorted'!$B$40, CONCAT(VLOOKUP($C34, 'Match Names'!$A$1:$D$22, 2, FALSE), ""!C3:R29"")), {2;7;13;19}, FALSE)), ""=-4"") + COUNTIF(ARRAYFORMULA(HLOOKUP($B34, IMPORTRANGE('Prelim Rankings Unso"&amp;"rted'!$B$41, CONCAT(VLOOKUP($C34, 'Match Names'!$A$1:$D$22, 3, FALSE), ""!C3:R29"")), {3;9;15;21}, FALSE)), ""=-4"") + COUNTIF(ARRAYFORMULA(HLOOKUP($B34, IMPORTRANGE('Prelim Rankings Unsorted'!$B$42, CONCAT(VLOOKUP($C34, 'Match Names'!$A$1:$D$22, 4, FALSE"&amp;"), ""!C3:R29"")), {3;9;15;21}, FALSE)), ""=-4"") + COUNTIF(ARRAYFORMULA(HLOOKUP($B34, IMPORTRANGE('Match Names'!$E$23, CONCAT(VLOOKUP($C34, 'Match Names'!$1:$22, 5, FALSE), ""!C3:R29"")), {9;14;19;24}, FALSE)), ""=-4"") + COUNTIF(ARRAYFORMULA(HLOOKUP($B34"&amp;", IMPORTRANGE('Match Names'!$F$23, CONCAT(VLOOKUP($C34, 'Match Names'!$1:$22, 6, FALSE), ""!C3:R29"")), {2;8;14;20}, FALSE)), ""=-4"") + COUNTIF(ARRAYFORMULA(HLOOKUP($B34, IMPORTRANGE('Match Names'!$G$23, CONCAT(VLOOKUP($C34, 'Match Names'!$1:$22, 7, FALS"&amp;"E), ""!C3:R29"")), {6;16;20;24}, FALSE)), ""=-4"") + COUNTIF(ARRAYFORMULA(HLOOKUP($B34, IMPORTRANGE('Match Names'!$H$23, CONCAT(VLOOKUP($C34, 'Match Names'!$1:$22, 8, FALSE), ""!C3:R29"")), {2;8;14;20}, FALSE)), ""=-4"")"),0.0)</f>
        <v>0</v>
      </c>
      <c r="H34" s="33">
        <f t="shared" si="1"/>
        <v>0</v>
      </c>
    </row>
    <row r="35">
      <c r="A35" s="31" t="s">
        <v>183</v>
      </c>
      <c r="B35" s="31" t="str">
        <f>VLOOKUP(CONCAT(A35, C35), 'Discord Username to Real Name'!C:D, 2, FALSE)</f>
        <v>Paradoxygen#5753</v>
      </c>
      <c r="C35" s="31" t="s">
        <v>20</v>
      </c>
      <c r="D35" s="32">
        <f>IFERROR(__xludf.DUMMYFUNCTION("(4 - COUNTIF(IFERROR(ARRAYFORMULA(HLOOKUP($B35, IMPORTRANGE('Prelim Rankings Unsorted'!$B$40, CONCAT(VLOOKUP($C35, 'Match Names'!$A$1:$D$22, 2, FALSE), ""!C3:R29"")), {2;7;13;19}, FALSE)), 'Player Overall Stats Unsorted'!$AA$9:$AA$12), ""=X"")) + (4 - COU"&amp;"NTIF(IFERROR(ARRAYFORMULA(HLOOKUP($B35, IMPORTRANGE('Prelim Rankings Unsorted'!$B$41, CONCAT(VLOOKUP($C35, 'Match Names'!$A$1:$D$22, 3, FALSE), ""!C3:R29"")), {3;9;15;21}, FALSE)), 'Player Overall Stats Unsorted'!$AA$9:$AA$12), ""=X"")) + (4 - COUNTIF(IFE"&amp;"RROR(ARRAYFORMULA(HLOOKUP($B35, IMPORTRANGE('Prelim Rankings Unsorted'!$B$42, CONCAT(VLOOKUP($C35, 'Match Names'!$A$1:$D$22, 4, FALSE), ""!C3:R29"")), {3;9;15;21}, FALSE)), 'Player Overall Stats Unsorted'!$AA$9:$AA$12), ""=X"")) + (4 - COUNTIF(IFERROR(ARR"&amp;"AYFORMULA(HLOOKUP($B35, IMPORTRANGE('Match Names'!$E$23, CONCAT(VLOOKUP($C35, 'Match Names'!$1:$22, 5, FALSE), ""!C3:R29"")), {9;14;19;24}, FALSE)), 'Player Overall Stats Unsorted'!$AA$9:$AA$12), ""=X"")) + (4 - COUNTIF(IFERROR(ARRAYFORMULA(HLOOKUP($B35, "&amp;"IMPORTRANGE('Match Names'!$F$23, CONCAT(VLOOKUP($C35, 'Match Names'!$1:$22, 6, FALSE), ""!C3:R29"")), {2;8;14;20}, FALSE)), 'Player Overall Stats Unsorted'!$AA$9:$AA$12), ""=X"")) + (4 - COUNTIF(IFERROR(ARRAYFORMULA(HLOOKUP($B35, IMPORTRANGE('Match Names'"&amp;"!$G$23, CONCAT(VLOOKUP($C35, 'Match Names'!$1:$22, 7, FALSE), ""!C3:R29"")), {6;16;20;24}, FALSE)), 'Player Overall Stats Unsorted'!$AA$9:$AA$12), ""=X"")) + (4 - COUNTIF(IFERROR(ARRAYFORMULA(HLOOKUP($B35, IMPORTRANGE('Match Names'!$H$23, CONCAT(VLOOKUP($"&amp;"C35, 'Match Names'!$1:$22, 8, FALSE), ""!C3:R29"")), {2;8;14;20}, FALSE)), 'Player Overall Stats Unsorted'!$AA$9:$AA$12), ""=X""))"),8.0)</f>
        <v>8</v>
      </c>
      <c r="E35" s="32">
        <f>IFERROR(__xludf.DUMMYFUNCTION("COUNTIF(ARRAYFORMULA(HLOOKUP($B35, IMPORTRANGE('Prelim Rankings Unsorted'!$B$40, CONCAT(VLOOKUP($C35, 'Match Names'!$A$1:$D$22, 2, FALSE), ""!C3:R29"")), {2;7;13;19}, FALSE)), ""=4"") + COUNTIF(ARRAYFORMULA(HLOOKUP($B35, IMPORTRANGE('Prelim Rankings Unsor"&amp;"ted'!$B$41, CONCAT(VLOOKUP($C35, 'Match Names'!$A$1:$D$22, 3, FALSE), ""!C3:R29"")), {3;9;15;21}, FALSE)), ""=4"") + COUNTIF(ARRAYFORMULA(HLOOKUP($B35, IMPORTRANGE('Prelim Rankings Unsorted'!$B$42, CONCAT(VLOOKUP($C35, 'Match Names'!$A$1:$D$22, 4, FALSE),"&amp;" ""!C3:R29"")), {3;9;15;21}, FALSE)), ""=4"") + COUNTIF(ARRAYFORMULA(HLOOKUP($B35, IMPORTRANGE('Match Names'!$E$23, CONCAT(VLOOKUP($C35, 'Match Names'!$1:$22, 5, FALSE), ""!C3:R29"")), {9;14;19;24}, FALSE)), ""=4"") + COUNTIF(ARRAYFORMULA(HLOOKUP($B35, IM"&amp;"PORTRANGE('Match Names'!$F$23, CONCAT(VLOOKUP($C35, 'Match Names'!$1:$22, 6, FALSE), ""!C3:R29"")), {2;8;14;20}, FALSE)), ""=4"") + COUNTIF(ARRAYFORMULA(HLOOKUP($B35, IMPORTRANGE('Match Names'!$G$23, CONCAT(VLOOKUP($C35, 'Match Names'!$1:$22, 7, FALSE), "&amp;"""!C3:R29"")), {6;16;20;24}, FALSE)), ""=4"") + COUNTIF(ARRAYFORMULA(HLOOKUP($B35, IMPORTRANGE('Match Names'!$H$23, CONCAT(VLOOKUP($C35, 'Match Names'!$1:$22, 8, FALSE), ""!C3:R29"")), {2;8;14;20}, FALSE)), ""=4"")"),0.0)</f>
        <v>0</v>
      </c>
      <c r="F35" s="32">
        <f>IFERROR(__xludf.DUMMYFUNCTION("COUNTIF(ARRAYFORMULA(HLOOKUP($B35, IMPORTRANGE('Prelim Rankings Unsorted'!$B$40, CONCAT(VLOOKUP($C35, 'Match Names'!$A$1:$D$22, 2, FALSE), ""!C3:R29"")), {2;7;13;19}, FALSE)), ""=0"") + COUNTIF(ARRAYFORMULA(HLOOKUP($B35, IMPORTRANGE('Prelim Rankings Unsor"&amp;"ted'!$B$41, CONCAT(VLOOKUP($C35, 'Match Names'!$A$1:$D$22, 3, FALSE), ""!C3:R29"")), {3;9;15;21}, FALSE)), ""=0"") + COUNTIF(ARRAYFORMULA(HLOOKUP($B35, IMPORTRANGE('Prelim Rankings Unsorted'!$B$42, CONCAT(VLOOKUP($C35, 'Match Names'!$A$1:$D$22, 4, FALSE),"&amp;" ""!C3:R29"")), {3;9;15;21}, FALSE)), ""=0"") + COUNTIF(ARRAYFORMULA(HLOOKUP($B35, IMPORTRANGE('Match Names'!$E$23, CONCAT(VLOOKUP($C35, 'Match Names'!$1:$22, 5, FALSE), ""!C3:R29"")), {9;14;19;24}, FALSE)), ""=0"") + COUNTIF(ARRAYFORMULA(HLOOKUP($B35, IM"&amp;"PORTRANGE('Match Names'!$F$23, CONCAT(VLOOKUP($C35, 'Match Names'!$1:$22, 6, FALSE), ""!C3:R29"")), {2;8;14;20}, FALSE)), ""=0"") + COUNTIF(ARRAYFORMULA(HLOOKUP($B35, IMPORTRANGE('Match Names'!$G$23, CONCAT(VLOOKUP($C35, 'Match Names'!$1:$22, 7, FALSE), "&amp;"""!C3:R29"")), {6;16;20;24}, FALSE)), ""=0"") + COUNTIF(ARRAYFORMULA(HLOOKUP($B35, IMPORTRANGE('Match Names'!$H$23, CONCAT(VLOOKUP($C35, 'Match Names'!$1:$22, 8, FALSE), ""!C3:R29"")), {2;8;14;20}, FALSE)), ""=0"")"),0.0)</f>
        <v>0</v>
      </c>
      <c r="G35" s="32">
        <f>IFERROR(__xludf.DUMMYFUNCTION("COUNTIF(ARRAYFORMULA(HLOOKUP($B35, IMPORTRANGE('Prelim Rankings Unsorted'!$B$40, CONCAT(VLOOKUP($C35, 'Match Names'!$A$1:$D$22, 2, FALSE), ""!C3:R29"")), {2;7;13;19}, FALSE)), ""=-4"") + COUNTIF(ARRAYFORMULA(HLOOKUP($B35, IMPORTRANGE('Prelim Rankings Unso"&amp;"rted'!$B$41, CONCAT(VLOOKUP($C35, 'Match Names'!$A$1:$D$22, 3, FALSE), ""!C3:R29"")), {3;9;15;21}, FALSE)), ""=-4"") + COUNTIF(ARRAYFORMULA(HLOOKUP($B35, IMPORTRANGE('Prelim Rankings Unsorted'!$B$42, CONCAT(VLOOKUP($C35, 'Match Names'!$A$1:$D$22, 4, FALSE"&amp;"), ""!C3:R29"")), {3;9;15;21}, FALSE)), ""=-4"") + COUNTIF(ARRAYFORMULA(HLOOKUP($B35, IMPORTRANGE('Match Names'!$E$23, CONCAT(VLOOKUP($C35, 'Match Names'!$1:$22, 5, FALSE), ""!C3:R29"")), {9;14;19;24}, FALSE)), ""=-4"") + COUNTIF(ARRAYFORMULA(HLOOKUP($B35"&amp;", IMPORTRANGE('Match Names'!$F$23, CONCAT(VLOOKUP($C35, 'Match Names'!$1:$22, 6, FALSE), ""!C3:R29"")), {2;8;14;20}, FALSE)), ""=-4"") + COUNTIF(ARRAYFORMULA(HLOOKUP($B35, IMPORTRANGE('Match Names'!$G$23, CONCAT(VLOOKUP($C35, 'Match Names'!$1:$22, 7, FALS"&amp;"E), ""!C3:R29"")), {6;16;20;24}, FALSE)), ""=-4"") + COUNTIF(ARRAYFORMULA(HLOOKUP($B35, IMPORTRANGE('Match Names'!$H$23, CONCAT(VLOOKUP($C35, 'Match Names'!$1:$22, 8, FALSE), ""!C3:R29"")), {2;8;14;20}, FALSE)), ""=-4"")"),0.0)</f>
        <v>0</v>
      </c>
      <c r="H35" s="33">
        <f t="shared" si="1"/>
        <v>0</v>
      </c>
    </row>
    <row r="36">
      <c r="A36" s="31" t="s">
        <v>126</v>
      </c>
      <c r="B36" s="31" t="str">
        <f>VLOOKUP(CONCAT(A36, C36), 'Discord Username to Real Name'!C:D, 2, FALSE)</f>
        <v>MR_67#1546</v>
      </c>
      <c r="C36" s="31" t="s">
        <v>20</v>
      </c>
      <c r="D36" s="32">
        <f>IFERROR(__xludf.DUMMYFUNCTION("(4 - COUNTIF(IFERROR(ARRAYFORMULA(HLOOKUP($B36, IMPORTRANGE('Prelim Rankings Unsorted'!$B$40, CONCAT(VLOOKUP($C36, 'Match Names'!$A$1:$D$22, 2, FALSE), ""!C3:R29"")), {2;7;13;19}, FALSE)), 'Player Overall Stats Unsorted'!$AA$9:$AA$12), ""=X"")) + (4 - COU"&amp;"NTIF(IFERROR(ARRAYFORMULA(HLOOKUP($B36, IMPORTRANGE('Prelim Rankings Unsorted'!$B$41, CONCAT(VLOOKUP($C36, 'Match Names'!$A$1:$D$22, 3, FALSE), ""!C3:R29"")), {3;9;15;21}, FALSE)), 'Player Overall Stats Unsorted'!$AA$9:$AA$12), ""=X"")) + (4 - COUNTIF(IFE"&amp;"RROR(ARRAYFORMULA(HLOOKUP($B36, IMPORTRANGE('Prelim Rankings Unsorted'!$B$42, CONCAT(VLOOKUP($C36, 'Match Names'!$A$1:$D$22, 4, FALSE), ""!C3:R29"")), {3;9;15;21}, FALSE)), 'Player Overall Stats Unsorted'!$AA$9:$AA$12), ""=X"")) + (4 - COUNTIF(IFERROR(ARR"&amp;"AYFORMULA(HLOOKUP($B36, IMPORTRANGE('Match Names'!$E$23, CONCAT(VLOOKUP($C36, 'Match Names'!$1:$22, 5, FALSE), ""!C3:R29"")), {9;14;19;24}, FALSE)), 'Player Overall Stats Unsorted'!$AA$9:$AA$12), ""=X"")) + (4 - COUNTIF(IFERROR(ARRAYFORMULA(HLOOKUP($B36, "&amp;"IMPORTRANGE('Match Names'!$F$23, CONCAT(VLOOKUP($C36, 'Match Names'!$1:$22, 6, FALSE), ""!C3:R29"")), {2;8;14;20}, FALSE)), 'Player Overall Stats Unsorted'!$AA$9:$AA$12), ""=X"")) + (4 - COUNTIF(IFERROR(ARRAYFORMULA(HLOOKUP($B36, IMPORTRANGE('Match Names'"&amp;"!$G$23, CONCAT(VLOOKUP($C36, 'Match Names'!$1:$22, 7, FALSE), ""!C3:R29"")), {6;16;20;24}, FALSE)), 'Player Overall Stats Unsorted'!$AA$9:$AA$12), ""=X"")) + (4 - COUNTIF(IFERROR(ARRAYFORMULA(HLOOKUP($B36, IMPORTRANGE('Match Names'!$H$23, CONCAT(VLOOKUP($"&amp;"C36, 'Match Names'!$1:$22, 8, FALSE), ""!C3:R29"")), {2;8;14;20}, FALSE)), 'Player Overall Stats Unsorted'!$AA$9:$AA$12), ""=X""))"),20.0)</f>
        <v>20</v>
      </c>
      <c r="E36" s="32">
        <f>IFERROR(__xludf.DUMMYFUNCTION("COUNTIF(ARRAYFORMULA(HLOOKUP($B36, IMPORTRANGE('Prelim Rankings Unsorted'!$B$40, CONCAT(VLOOKUP($C36, 'Match Names'!$A$1:$D$22, 2, FALSE), ""!C3:R29"")), {2;7;13;19}, FALSE)), ""=4"") + COUNTIF(ARRAYFORMULA(HLOOKUP($B36, IMPORTRANGE('Prelim Rankings Unsor"&amp;"ted'!$B$41, CONCAT(VLOOKUP($C36, 'Match Names'!$A$1:$D$22, 3, FALSE), ""!C3:R29"")), {3;9;15;21}, FALSE)), ""=4"") + COUNTIF(ARRAYFORMULA(HLOOKUP($B36, IMPORTRANGE('Prelim Rankings Unsorted'!$B$42, CONCAT(VLOOKUP($C36, 'Match Names'!$A$1:$D$22, 4, FALSE),"&amp;" ""!C3:R29"")), {3;9;15;21}, FALSE)), ""=4"") + COUNTIF(ARRAYFORMULA(HLOOKUP($B36, IMPORTRANGE('Match Names'!$E$23, CONCAT(VLOOKUP($C36, 'Match Names'!$1:$22, 5, FALSE), ""!C3:R29"")), {9;14;19;24}, FALSE)), ""=4"") + COUNTIF(ARRAYFORMULA(HLOOKUP($B36, IM"&amp;"PORTRANGE('Match Names'!$F$23, CONCAT(VLOOKUP($C36, 'Match Names'!$1:$22, 6, FALSE), ""!C3:R29"")), {2;8;14;20}, FALSE)), ""=4"") + COUNTIF(ARRAYFORMULA(HLOOKUP($B36, IMPORTRANGE('Match Names'!$G$23, CONCAT(VLOOKUP($C36, 'Match Names'!$1:$22, 7, FALSE), "&amp;"""!C3:R29"")), {6;16;20;24}, FALSE)), ""=4"") + COUNTIF(ARRAYFORMULA(HLOOKUP($B36, IMPORTRANGE('Match Names'!$H$23, CONCAT(VLOOKUP($C36, 'Match Names'!$1:$22, 8, FALSE), ""!C3:R29"")), {2;8;14;20}, FALSE)), ""=4"")"),0.0)</f>
        <v>0</v>
      </c>
      <c r="F36" s="32">
        <f>IFERROR(__xludf.DUMMYFUNCTION("COUNTIF(ARRAYFORMULA(HLOOKUP($B36, IMPORTRANGE('Prelim Rankings Unsorted'!$B$40, CONCAT(VLOOKUP($C36, 'Match Names'!$A$1:$D$22, 2, FALSE), ""!C3:R29"")), {2;7;13;19}, FALSE)), ""=0"") + COUNTIF(ARRAYFORMULA(HLOOKUP($B36, IMPORTRANGE('Prelim Rankings Unsor"&amp;"ted'!$B$41, CONCAT(VLOOKUP($C36, 'Match Names'!$A$1:$D$22, 3, FALSE), ""!C3:R29"")), {3;9;15;21}, FALSE)), ""=0"") + COUNTIF(ARRAYFORMULA(HLOOKUP($B36, IMPORTRANGE('Prelim Rankings Unsorted'!$B$42, CONCAT(VLOOKUP($C36, 'Match Names'!$A$1:$D$22, 4, FALSE),"&amp;" ""!C3:R29"")), {3;9;15;21}, FALSE)), ""=0"") + COUNTIF(ARRAYFORMULA(HLOOKUP($B36, IMPORTRANGE('Match Names'!$E$23, CONCAT(VLOOKUP($C36, 'Match Names'!$1:$22, 5, FALSE), ""!C3:R29"")), {9;14;19;24}, FALSE)), ""=0"") + COUNTIF(ARRAYFORMULA(HLOOKUP($B36, IM"&amp;"PORTRANGE('Match Names'!$F$23, CONCAT(VLOOKUP($C36, 'Match Names'!$1:$22, 6, FALSE), ""!C3:R29"")), {2;8;14;20}, FALSE)), ""=0"") + COUNTIF(ARRAYFORMULA(HLOOKUP($B36, IMPORTRANGE('Match Names'!$G$23, CONCAT(VLOOKUP($C36, 'Match Names'!$1:$22, 7, FALSE), "&amp;"""!C3:R29"")), {6;16;20;24}, FALSE)), ""=0"") + COUNTIF(ARRAYFORMULA(HLOOKUP($B36, IMPORTRANGE('Match Names'!$H$23, CONCAT(VLOOKUP($C36, 'Match Names'!$1:$22, 8, FALSE), ""!C3:R29"")), {2;8;14;20}, FALSE)), ""=0"")"),0.0)</f>
        <v>0</v>
      </c>
      <c r="G36" s="32">
        <f>IFERROR(__xludf.DUMMYFUNCTION("COUNTIF(ARRAYFORMULA(HLOOKUP($B36, IMPORTRANGE('Prelim Rankings Unsorted'!$B$40, CONCAT(VLOOKUP($C36, 'Match Names'!$A$1:$D$22, 2, FALSE), ""!C3:R29"")), {2;7;13;19}, FALSE)), ""=-4"") + COUNTIF(ARRAYFORMULA(HLOOKUP($B36, IMPORTRANGE('Prelim Rankings Unso"&amp;"rted'!$B$41, CONCAT(VLOOKUP($C36, 'Match Names'!$A$1:$D$22, 3, FALSE), ""!C3:R29"")), {3;9;15;21}, FALSE)), ""=-4"") + COUNTIF(ARRAYFORMULA(HLOOKUP($B36, IMPORTRANGE('Prelim Rankings Unsorted'!$B$42, CONCAT(VLOOKUP($C36, 'Match Names'!$A$1:$D$22, 4, FALSE"&amp;"), ""!C3:R29"")), {3;9;15;21}, FALSE)), ""=-4"") + COUNTIF(ARRAYFORMULA(HLOOKUP($B36, IMPORTRANGE('Match Names'!$E$23, CONCAT(VLOOKUP($C36, 'Match Names'!$1:$22, 5, FALSE), ""!C3:R29"")), {9;14;19;24}, FALSE)), ""=-4"") + COUNTIF(ARRAYFORMULA(HLOOKUP($B36"&amp;", IMPORTRANGE('Match Names'!$F$23, CONCAT(VLOOKUP($C36, 'Match Names'!$1:$22, 6, FALSE), ""!C3:R29"")), {2;8;14;20}, FALSE)), ""=-4"") + COUNTIF(ARRAYFORMULA(HLOOKUP($B36, IMPORTRANGE('Match Names'!$G$23, CONCAT(VLOOKUP($C36, 'Match Names'!$1:$22, 7, FALS"&amp;"E), ""!C3:R29"")), {6;16;20;24}, FALSE)), ""=-4"") + COUNTIF(ARRAYFORMULA(HLOOKUP($B36, IMPORTRANGE('Match Names'!$H$23, CONCAT(VLOOKUP($C36, 'Match Names'!$1:$22, 8, FALSE), ""!C3:R29"")), {2;8;14;20}, FALSE)), ""=-4"")"),0.0)</f>
        <v>0</v>
      </c>
      <c r="H36" s="33">
        <f t="shared" si="1"/>
        <v>0</v>
      </c>
    </row>
    <row r="37">
      <c r="A37" s="31" t="s">
        <v>115</v>
      </c>
      <c r="B37" s="31" t="str">
        <f>VLOOKUP(CONCAT(A37, C37), 'Discord Username to Real Name'!C:D, 2, FALSE)</f>
        <v>choiboi#3455</v>
      </c>
      <c r="C37" s="31" t="s">
        <v>20</v>
      </c>
      <c r="D37" s="32">
        <f>IFERROR(__xludf.DUMMYFUNCTION("(4 - COUNTIF(IFERROR(ARRAYFORMULA(HLOOKUP($B37, IMPORTRANGE('Prelim Rankings Unsorted'!$B$40, CONCAT(VLOOKUP($C37, 'Match Names'!$A$1:$D$22, 2, FALSE), ""!C3:R29"")), {2;7;13;19}, FALSE)), 'Player Overall Stats Unsorted'!$AA$9:$AA$12), ""=X"")) + (4 - COU"&amp;"NTIF(IFERROR(ARRAYFORMULA(HLOOKUP($B37, IMPORTRANGE('Prelim Rankings Unsorted'!$B$41, CONCAT(VLOOKUP($C37, 'Match Names'!$A$1:$D$22, 3, FALSE), ""!C3:R29"")), {3;9;15;21}, FALSE)), 'Player Overall Stats Unsorted'!$AA$9:$AA$12), ""=X"")) + (4 - COUNTIF(IFE"&amp;"RROR(ARRAYFORMULA(HLOOKUP($B37, IMPORTRANGE('Prelim Rankings Unsorted'!$B$42, CONCAT(VLOOKUP($C37, 'Match Names'!$A$1:$D$22, 4, FALSE), ""!C3:R29"")), {3;9;15;21}, FALSE)), 'Player Overall Stats Unsorted'!$AA$9:$AA$12), ""=X"")) + (4 - COUNTIF(IFERROR(ARR"&amp;"AYFORMULA(HLOOKUP($B37, IMPORTRANGE('Match Names'!$E$23, CONCAT(VLOOKUP($C37, 'Match Names'!$1:$22, 5, FALSE), ""!C3:R29"")), {9;14;19;24}, FALSE)), 'Player Overall Stats Unsorted'!$AA$9:$AA$12), ""=X"")) + (4 - COUNTIF(IFERROR(ARRAYFORMULA(HLOOKUP($B37, "&amp;"IMPORTRANGE('Match Names'!$F$23, CONCAT(VLOOKUP($C37, 'Match Names'!$1:$22, 6, FALSE), ""!C3:R29"")), {2;8;14;20}, FALSE)), 'Player Overall Stats Unsorted'!$AA$9:$AA$12), ""=X"")) + (4 - COUNTIF(IFERROR(ARRAYFORMULA(HLOOKUP($B37, IMPORTRANGE('Match Names'"&amp;"!$G$23, CONCAT(VLOOKUP($C37, 'Match Names'!$1:$22, 7, FALSE), ""!C3:R29"")), {6;16;20;24}, FALSE)), 'Player Overall Stats Unsorted'!$AA$9:$AA$12), ""=X"")) + (4 - COUNTIF(IFERROR(ARRAYFORMULA(HLOOKUP($B37, IMPORTRANGE('Match Names'!$H$23, CONCAT(VLOOKUP($"&amp;"C37, 'Match Names'!$1:$22, 8, FALSE), ""!C3:R29"")), {2;8;14;20}, FALSE)), 'Player Overall Stats Unsorted'!$AA$9:$AA$12), ""=X""))"),16.0)</f>
        <v>16</v>
      </c>
      <c r="E37" s="32">
        <f>IFERROR(__xludf.DUMMYFUNCTION("COUNTIF(ARRAYFORMULA(HLOOKUP($B37, IMPORTRANGE('Prelim Rankings Unsorted'!$B$40, CONCAT(VLOOKUP($C37, 'Match Names'!$A$1:$D$22, 2, FALSE), ""!C3:R29"")), {2;7;13;19}, FALSE)), ""=4"") + COUNTIF(ARRAYFORMULA(HLOOKUP($B37, IMPORTRANGE('Prelim Rankings Unsor"&amp;"ted'!$B$41, CONCAT(VLOOKUP($C37, 'Match Names'!$A$1:$D$22, 3, FALSE), ""!C3:R29"")), {3;9;15;21}, FALSE)), ""=4"") + COUNTIF(ARRAYFORMULA(HLOOKUP($B37, IMPORTRANGE('Prelim Rankings Unsorted'!$B$42, CONCAT(VLOOKUP($C37, 'Match Names'!$A$1:$D$22, 4, FALSE),"&amp;" ""!C3:R29"")), {3;9;15;21}, FALSE)), ""=4"") + COUNTIF(ARRAYFORMULA(HLOOKUP($B37, IMPORTRANGE('Match Names'!$E$23, CONCAT(VLOOKUP($C37, 'Match Names'!$1:$22, 5, FALSE), ""!C3:R29"")), {9;14;19;24}, FALSE)), ""=4"") + COUNTIF(ARRAYFORMULA(HLOOKUP($B37, IM"&amp;"PORTRANGE('Match Names'!$F$23, CONCAT(VLOOKUP($C37, 'Match Names'!$1:$22, 6, FALSE), ""!C3:R29"")), {2;8;14;20}, FALSE)), ""=4"") + COUNTIF(ARRAYFORMULA(HLOOKUP($B37, IMPORTRANGE('Match Names'!$G$23, CONCAT(VLOOKUP($C37, 'Match Names'!$1:$22, 7, FALSE), "&amp;"""!C3:R29"")), {6;16;20;24}, FALSE)), ""=4"") + COUNTIF(ARRAYFORMULA(HLOOKUP($B37, IMPORTRANGE('Match Names'!$H$23, CONCAT(VLOOKUP($C37, 'Match Names'!$1:$22, 8, FALSE), ""!C3:R29"")), {2;8;14;20}, FALSE)), ""=4"")"),1.0)</f>
        <v>1</v>
      </c>
      <c r="F37" s="32">
        <f>IFERROR(__xludf.DUMMYFUNCTION("COUNTIF(ARRAYFORMULA(HLOOKUP($B37, IMPORTRANGE('Prelim Rankings Unsorted'!$B$40, CONCAT(VLOOKUP($C37, 'Match Names'!$A$1:$D$22, 2, FALSE), ""!C3:R29"")), {2;7;13;19}, FALSE)), ""=0"") + COUNTIF(ARRAYFORMULA(HLOOKUP($B37, IMPORTRANGE('Prelim Rankings Unsor"&amp;"ted'!$B$41, CONCAT(VLOOKUP($C37, 'Match Names'!$A$1:$D$22, 3, FALSE), ""!C3:R29"")), {3;9;15;21}, FALSE)), ""=0"") + COUNTIF(ARRAYFORMULA(HLOOKUP($B37, IMPORTRANGE('Prelim Rankings Unsorted'!$B$42, CONCAT(VLOOKUP($C37, 'Match Names'!$A$1:$D$22, 4, FALSE),"&amp;" ""!C3:R29"")), {3;9;15;21}, FALSE)), ""=0"") + COUNTIF(ARRAYFORMULA(HLOOKUP($B37, IMPORTRANGE('Match Names'!$E$23, CONCAT(VLOOKUP($C37, 'Match Names'!$1:$22, 5, FALSE), ""!C3:R29"")), {9;14;19;24}, FALSE)), ""=0"") + COUNTIF(ARRAYFORMULA(HLOOKUP($B37, IM"&amp;"PORTRANGE('Match Names'!$F$23, CONCAT(VLOOKUP($C37, 'Match Names'!$1:$22, 6, FALSE), ""!C3:R29"")), {2;8;14;20}, FALSE)), ""=0"") + COUNTIF(ARRAYFORMULA(HLOOKUP($B37, IMPORTRANGE('Match Names'!$G$23, CONCAT(VLOOKUP($C37, 'Match Names'!$1:$22, 7, FALSE), "&amp;"""!C3:R29"")), {6;16;20;24}, FALSE)), ""=0"") + COUNTIF(ARRAYFORMULA(HLOOKUP($B37, IMPORTRANGE('Match Names'!$H$23, CONCAT(VLOOKUP($C37, 'Match Names'!$1:$22, 8, FALSE), ""!C3:R29"")), {2;8;14;20}, FALSE)), ""=0"")"),1.0)</f>
        <v>1</v>
      </c>
      <c r="G37" s="32">
        <f>IFERROR(__xludf.DUMMYFUNCTION("COUNTIF(ARRAYFORMULA(HLOOKUP($B37, IMPORTRANGE('Prelim Rankings Unsorted'!$B$40, CONCAT(VLOOKUP($C37, 'Match Names'!$A$1:$D$22, 2, FALSE), ""!C3:R29"")), {2;7;13;19}, FALSE)), ""=-4"") + COUNTIF(ARRAYFORMULA(HLOOKUP($B37, IMPORTRANGE('Prelim Rankings Unso"&amp;"rted'!$B$41, CONCAT(VLOOKUP($C37, 'Match Names'!$A$1:$D$22, 3, FALSE), ""!C3:R29"")), {3;9;15;21}, FALSE)), ""=-4"") + COUNTIF(ARRAYFORMULA(HLOOKUP($B37, IMPORTRANGE('Prelim Rankings Unsorted'!$B$42, CONCAT(VLOOKUP($C37, 'Match Names'!$A$1:$D$22, 4, FALSE"&amp;"), ""!C3:R29"")), {3;9;15;21}, FALSE)), ""=-4"") + COUNTIF(ARRAYFORMULA(HLOOKUP($B37, IMPORTRANGE('Match Names'!$E$23, CONCAT(VLOOKUP($C37, 'Match Names'!$1:$22, 5, FALSE), ""!C3:R29"")), {9;14;19;24}, FALSE)), ""=-4"") + COUNTIF(ARRAYFORMULA(HLOOKUP($B37"&amp;", IMPORTRANGE('Match Names'!$F$23, CONCAT(VLOOKUP($C37, 'Match Names'!$1:$22, 6, FALSE), ""!C3:R29"")), {2;8;14;20}, FALSE)), ""=-4"") + COUNTIF(ARRAYFORMULA(HLOOKUP($B37, IMPORTRANGE('Match Names'!$G$23, CONCAT(VLOOKUP($C37, 'Match Names'!$1:$22, 7, FALS"&amp;"E), ""!C3:R29"")), {6;16;20;24}, FALSE)), ""=-4"") + COUNTIF(ARRAYFORMULA(HLOOKUP($B37, IMPORTRANGE('Match Names'!$H$23, CONCAT(VLOOKUP($C37, 'Match Names'!$1:$22, 8, FALSE), ""!C3:R29"")), {2;8;14;20}, FALSE)), ""=-4"")"),0.0)</f>
        <v>0</v>
      </c>
      <c r="H37" s="33">
        <f t="shared" si="1"/>
        <v>1</v>
      </c>
    </row>
    <row r="38">
      <c r="A38" s="31" t="s">
        <v>58</v>
      </c>
      <c r="B38" s="31" t="str">
        <f>VLOOKUP(CONCAT(A38, C38), 'Discord Username to Real Name'!C:D, 2, FALSE)</f>
        <v>nshapiro#4660</v>
      </c>
      <c r="C38" s="31" t="s">
        <v>16</v>
      </c>
      <c r="D38" s="32">
        <f>IFERROR(__xludf.DUMMYFUNCTION("(4 - COUNTIF(IFERROR(ARRAYFORMULA(HLOOKUP($B38, IMPORTRANGE('Prelim Rankings Unsorted'!$B$40, CONCAT(VLOOKUP($C38, 'Match Names'!$A$1:$D$22, 2, FALSE), ""!C3:R29"")), {2;7;13;19}, FALSE)), 'Player Overall Stats Unsorted'!$AA$9:$AA$12), ""=X"")) + (4 - COU"&amp;"NTIF(IFERROR(ARRAYFORMULA(HLOOKUP($B38, IMPORTRANGE('Prelim Rankings Unsorted'!$B$41, CONCAT(VLOOKUP($C38, 'Match Names'!$A$1:$D$22, 3, FALSE), ""!C3:R29"")), {3;9;15;21}, FALSE)), 'Player Overall Stats Unsorted'!$AA$9:$AA$12), ""=X"")) + (4 - COUNTIF(IFE"&amp;"RROR(ARRAYFORMULA(HLOOKUP($B38, IMPORTRANGE('Prelim Rankings Unsorted'!$B$42, CONCAT(VLOOKUP($C38, 'Match Names'!$A$1:$D$22, 4, FALSE), ""!C3:R29"")), {3;9;15;21}, FALSE)), 'Player Overall Stats Unsorted'!$AA$9:$AA$12), ""=X"")) + (4 - COUNTIF(IFERROR(ARR"&amp;"AYFORMULA(HLOOKUP($B38, IMPORTRANGE('Match Names'!$E$23, CONCAT(VLOOKUP($C38, 'Match Names'!$1:$22, 5, FALSE), ""!C3:R29"")), {9;14;19;24}, FALSE)), 'Player Overall Stats Unsorted'!$AA$9:$AA$12), ""=X"")) + (4 - COUNTIF(IFERROR(ARRAYFORMULA(HLOOKUP($B38, "&amp;"IMPORTRANGE('Match Names'!$F$23, CONCAT(VLOOKUP($C38, 'Match Names'!$1:$22, 6, FALSE), ""!C3:R29"")), {2;8;14;20}, FALSE)), 'Player Overall Stats Unsorted'!$AA$9:$AA$12), ""=X"")) + (4 - COUNTIF(IFERROR(ARRAYFORMULA(HLOOKUP($B38, IMPORTRANGE('Match Names'"&amp;"!$G$23, CONCAT(VLOOKUP($C38, 'Match Names'!$1:$22, 7, FALSE), ""!C3:R29"")), {6;16;20;24}, FALSE)), 'Player Overall Stats Unsorted'!$AA$9:$AA$12), ""=X"")) + (4 - COUNTIF(IFERROR(ARRAYFORMULA(HLOOKUP($B38, IMPORTRANGE('Match Names'!$H$23, CONCAT(VLOOKUP($"&amp;"C38, 'Match Names'!$1:$22, 8, FALSE), ""!C3:R29"")), {2;8;14;20}, FALSE)), 'Player Overall Stats Unsorted'!$AA$9:$AA$12), ""=X""))"),16.0)</f>
        <v>16</v>
      </c>
      <c r="E38" s="32">
        <f>IFERROR(__xludf.DUMMYFUNCTION("COUNTIF(ARRAYFORMULA(HLOOKUP($B38, IMPORTRANGE('Prelim Rankings Unsorted'!$B$40, CONCAT(VLOOKUP($C38, 'Match Names'!$A$1:$D$22, 2, FALSE), ""!C3:R29"")), {2;7;13;19}, FALSE)), ""=4"") + COUNTIF(ARRAYFORMULA(HLOOKUP($B38, IMPORTRANGE('Prelim Rankings Unsor"&amp;"ted'!$B$41, CONCAT(VLOOKUP($C38, 'Match Names'!$A$1:$D$22, 3, FALSE), ""!C3:R29"")), {3;9;15;21}, FALSE)), ""=4"") + COUNTIF(ARRAYFORMULA(HLOOKUP($B38, IMPORTRANGE('Prelim Rankings Unsorted'!$B$42, CONCAT(VLOOKUP($C38, 'Match Names'!$A$1:$D$22, 4, FALSE),"&amp;" ""!C3:R29"")), {3;9;15;21}, FALSE)), ""=4"") + COUNTIF(ARRAYFORMULA(HLOOKUP($B38, IMPORTRANGE('Match Names'!$E$23, CONCAT(VLOOKUP($C38, 'Match Names'!$1:$22, 5, FALSE), ""!C3:R29"")), {9;14;19;24}, FALSE)), ""=4"") + COUNTIF(ARRAYFORMULA(HLOOKUP($B38, IM"&amp;"PORTRANGE('Match Names'!$F$23, CONCAT(VLOOKUP($C38, 'Match Names'!$1:$22, 6, FALSE), ""!C3:R29"")), {2;8;14;20}, FALSE)), ""=4"") + COUNTIF(ARRAYFORMULA(HLOOKUP($B38, IMPORTRANGE('Match Names'!$G$23, CONCAT(VLOOKUP($C38, 'Match Names'!$1:$22, 7, FALSE), "&amp;"""!C3:R29"")), {6;16;20;24}, FALSE)), ""=4"") + COUNTIF(ARRAYFORMULA(HLOOKUP($B38, IMPORTRANGE('Match Names'!$H$23, CONCAT(VLOOKUP($C38, 'Match Names'!$1:$22, 8, FALSE), ""!C3:R29"")), {2;8;14;20}, FALSE)), ""=4"")"),1.0)</f>
        <v>1</v>
      </c>
      <c r="F38" s="32">
        <f>IFERROR(__xludf.DUMMYFUNCTION("COUNTIF(ARRAYFORMULA(HLOOKUP($B38, IMPORTRANGE('Prelim Rankings Unsorted'!$B$40, CONCAT(VLOOKUP($C38, 'Match Names'!$A$1:$D$22, 2, FALSE), ""!C3:R29"")), {2;7;13;19}, FALSE)), ""=0"") + COUNTIF(ARRAYFORMULA(HLOOKUP($B38, IMPORTRANGE('Prelim Rankings Unsor"&amp;"ted'!$B$41, CONCAT(VLOOKUP($C38, 'Match Names'!$A$1:$D$22, 3, FALSE), ""!C3:R29"")), {3;9;15;21}, FALSE)), ""=0"") + COUNTIF(ARRAYFORMULA(HLOOKUP($B38, IMPORTRANGE('Prelim Rankings Unsorted'!$B$42, CONCAT(VLOOKUP($C38, 'Match Names'!$A$1:$D$22, 4, FALSE),"&amp;" ""!C3:R29"")), {3;9;15;21}, FALSE)), ""=0"") + COUNTIF(ARRAYFORMULA(HLOOKUP($B38, IMPORTRANGE('Match Names'!$E$23, CONCAT(VLOOKUP($C38, 'Match Names'!$1:$22, 5, FALSE), ""!C3:R29"")), {9;14;19;24}, FALSE)), ""=0"") + COUNTIF(ARRAYFORMULA(HLOOKUP($B38, IM"&amp;"PORTRANGE('Match Names'!$F$23, CONCAT(VLOOKUP($C38, 'Match Names'!$1:$22, 6, FALSE), ""!C3:R29"")), {2;8;14;20}, FALSE)), ""=0"") + COUNTIF(ARRAYFORMULA(HLOOKUP($B38, IMPORTRANGE('Match Names'!$G$23, CONCAT(VLOOKUP($C38, 'Match Names'!$1:$22, 7, FALSE), "&amp;"""!C3:R29"")), {6;16;20;24}, FALSE)), ""=0"") + COUNTIF(ARRAYFORMULA(HLOOKUP($B38, IMPORTRANGE('Match Names'!$H$23, CONCAT(VLOOKUP($C38, 'Match Names'!$1:$22, 8, FALSE), ""!C3:R29"")), {2;8;14;20}, FALSE)), ""=0"")"),3.0)</f>
        <v>3</v>
      </c>
      <c r="G38" s="32">
        <f>IFERROR(__xludf.DUMMYFUNCTION("COUNTIF(ARRAYFORMULA(HLOOKUP($B38, IMPORTRANGE('Prelim Rankings Unsorted'!$B$40, CONCAT(VLOOKUP($C38, 'Match Names'!$A$1:$D$22, 2, FALSE), ""!C3:R29"")), {2;7;13;19}, FALSE)), ""=-4"") + COUNTIF(ARRAYFORMULA(HLOOKUP($B38, IMPORTRANGE('Prelim Rankings Unso"&amp;"rted'!$B$41, CONCAT(VLOOKUP($C38, 'Match Names'!$A$1:$D$22, 3, FALSE), ""!C3:R29"")), {3;9;15;21}, FALSE)), ""=-4"") + COUNTIF(ARRAYFORMULA(HLOOKUP($B38, IMPORTRANGE('Prelim Rankings Unsorted'!$B$42, CONCAT(VLOOKUP($C38, 'Match Names'!$A$1:$D$22, 4, FALSE"&amp;"), ""!C3:R29"")), {3;9;15;21}, FALSE)), ""=-4"") + COUNTIF(ARRAYFORMULA(HLOOKUP($B38, IMPORTRANGE('Match Names'!$E$23, CONCAT(VLOOKUP($C38, 'Match Names'!$1:$22, 5, FALSE), ""!C3:R29"")), {9;14;19;24}, FALSE)), ""=-4"") + COUNTIF(ARRAYFORMULA(HLOOKUP($B38"&amp;", IMPORTRANGE('Match Names'!$F$23, CONCAT(VLOOKUP($C38, 'Match Names'!$1:$22, 6, FALSE), ""!C3:R29"")), {2;8;14;20}, FALSE)), ""=-4"") + COUNTIF(ARRAYFORMULA(HLOOKUP($B38, IMPORTRANGE('Match Names'!$G$23, CONCAT(VLOOKUP($C38, 'Match Names'!$1:$22, 7, FALS"&amp;"E), ""!C3:R29"")), {6;16;20;24}, FALSE)), ""=-4"") + COUNTIF(ARRAYFORMULA(HLOOKUP($B38, IMPORTRANGE('Match Names'!$H$23, CONCAT(VLOOKUP($C38, 'Match Names'!$1:$22, 8, FALSE), ""!C3:R29"")), {2;8;14;20}, FALSE)), ""=-4"")"),0.0)</f>
        <v>0</v>
      </c>
      <c r="H38" s="33">
        <f t="shared" si="1"/>
        <v>1</v>
      </c>
    </row>
    <row r="39">
      <c r="A39" s="31" t="s">
        <v>86</v>
      </c>
      <c r="B39" s="31" t="str">
        <f>VLOOKUP(CONCAT(A39, C39), 'Discord Username to Real Name'!C:D, 2, FALSE)</f>
        <v>Henryb#9686</v>
      </c>
      <c r="C39" s="31" t="s">
        <v>16</v>
      </c>
      <c r="D39" s="32">
        <f>IFERROR(__xludf.DUMMYFUNCTION("(4 - COUNTIF(IFERROR(ARRAYFORMULA(HLOOKUP($B39, IMPORTRANGE('Prelim Rankings Unsorted'!$B$40, CONCAT(VLOOKUP($C39, 'Match Names'!$A$1:$D$22, 2, FALSE), ""!C3:R29"")), {2;7;13;19}, FALSE)), 'Player Overall Stats Unsorted'!$AA$9:$AA$12), ""=X"")) + (4 - COU"&amp;"NTIF(IFERROR(ARRAYFORMULA(HLOOKUP($B39, IMPORTRANGE('Prelim Rankings Unsorted'!$B$41, CONCAT(VLOOKUP($C39, 'Match Names'!$A$1:$D$22, 3, FALSE), ""!C3:R29"")), {3;9;15;21}, FALSE)), 'Player Overall Stats Unsorted'!$AA$9:$AA$12), ""=X"")) + (4 - COUNTIF(IFE"&amp;"RROR(ARRAYFORMULA(HLOOKUP($B39, IMPORTRANGE('Prelim Rankings Unsorted'!$B$42, CONCAT(VLOOKUP($C39, 'Match Names'!$A$1:$D$22, 4, FALSE), ""!C3:R29"")), {3;9;15;21}, FALSE)), 'Player Overall Stats Unsorted'!$AA$9:$AA$12), ""=X"")) + (4 - COUNTIF(IFERROR(ARR"&amp;"AYFORMULA(HLOOKUP($B39, IMPORTRANGE('Match Names'!$E$23, CONCAT(VLOOKUP($C39, 'Match Names'!$1:$22, 5, FALSE), ""!C3:R29"")), {9;14;19;24}, FALSE)), 'Player Overall Stats Unsorted'!$AA$9:$AA$12), ""=X"")) + (4 - COUNTIF(IFERROR(ARRAYFORMULA(HLOOKUP($B39, "&amp;"IMPORTRANGE('Match Names'!$F$23, CONCAT(VLOOKUP($C39, 'Match Names'!$1:$22, 6, FALSE), ""!C3:R29"")), {2;8;14;20}, FALSE)), 'Player Overall Stats Unsorted'!$AA$9:$AA$12), ""=X"")) + (4 - COUNTIF(IFERROR(ARRAYFORMULA(HLOOKUP($B39, IMPORTRANGE('Match Names'"&amp;"!$G$23, CONCAT(VLOOKUP($C39, 'Match Names'!$1:$22, 7, FALSE), ""!C3:R29"")), {6;16;20;24}, FALSE)), 'Player Overall Stats Unsorted'!$AA$9:$AA$12), ""=X"")) + (4 - COUNTIF(IFERROR(ARRAYFORMULA(HLOOKUP($B39, IMPORTRANGE('Match Names'!$H$23, CONCAT(VLOOKUP($"&amp;"C39, 'Match Names'!$1:$22, 8, FALSE), ""!C3:R29"")), {2;8;14;20}, FALSE)), 'Player Overall Stats Unsorted'!$AA$9:$AA$12), ""=X""))"),20.0)</f>
        <v>20</v>
      </c>
      <c r="E39" s="32">
        <f>IFERROR(__xludf.DUMMYFUNCTION("COUNTIF(ARRAYFORMULA(HLOOKUP($B39, IMPORTRANGE('Prelim Rankings Unsorted'!$B$40, CONCAT(VLOOKUP($C39, 'Match Names'!$A$1:$D$22, 2, FALSE), ""!C3:R29"")), {2;7;13;19}, FALSE)), ""=4"") + COUNTIF(ARRAYFORMULA(HLOOKUP($B39, IMPORTRANGE('Prelim Rankings Unsor"&amp;"ted'!$B$41, CONCAT(VLOOKUP($C39, 'Match Names'!$A$1:$D$22, 3, FALSE), ""!C3:R29"")), {3;9;15;21}, FALSE)), ""=4"") + COUNTIF(ARRAYFORMULA(HLOOKUP($B39, IMPORTRANGE('Prelim Rankings Unsorted'!$B$42, CONCAT(VLOOKUP($C39, 'Match Names'!$A$1:$D$22, 4, FALSE),"&amp;" ""!C3:R29"")), {3;9;15;21}, FALSE)), ""=4"") + COUNTIF(ARRAYFORMULA(HLOOKUP($B39, IMPORTRANGE('Match Names'!$E$23, CONCAT(VLOOKUP($C39, 'Match Names'!$1:$22, 5, FALSE), ""!C3:R29"")), {9;14;19;24}, FALSE)), ""=4"") + COUNTIF(ARRAYFORMULA(HLOOKUP($B39, IM"&amp;"PORTRANGE('Match Names'!$F$23, CONCAT(VLOOKUP($C39, 'Match Names'!$1:$22, 6, FALSE), ""!C3:R29"")), {2;8;14;20}, FALSE)), ""=4"") + COUNTIF(ARRAYFORMULA(HLOOKUP($B39, IMPORTRANGE('Match Names'!$G$23, CONCAT(VLOOKUP($C39, 'Match Names'!$1:$22, 7, FALSE), "&amp;"""!C3:R29"")), {6;16;20;24}, FALSE)), ""=4"") + COUNTIF(ARRAYFORMULA(HLOOKUP($B39, IMPORTRANGE('Match Names'!$H$23, CONCAT(VLOOKUP($C39, 'Match Names'!$1:$22, 8, FALSE), ""!C3:R29"")), {2;8;14;20}, FALSE)), ""=4"")"),2.0)</f>
        <v>2</v>
      </c>
      <c r="F39" s="32">
        <f>IFERROR(__xludf.DUMMYFUNCTION("COUNTIF(ARRAYFORMULA(HLOOKUP($B39, IMPORTRANGE('Prelim Rankings Unsorted'!$B$40, CONCAT(VLOOKUP($C39, 'Match Names'!$A$1:$D$22, 2, FALSE), ""!C3:R29"")), {2;7;13;19}, FALSE)), ""=0"") + COUNTIF(ARRAYFORMULA(HLOOKUP($B39, IMPORTRANGE('Prelim Rankings Unsor"&amp;"ted'!$B$41, CONCAT(VLOOKUP($C39, 'Match Names'!$A$1:$D$22, 3, FALSE), ""!C3:R29"")), {3;9;15;21}, FALSE)), ""=0"") + COUNTIF(ARRAYFORMULA(HLOOKUP($B39, IMPORTRANGE('Prelim Rankings Unsorted'!$B$42, CONCAT(VLOOKUP($C39, 'Match Names'!$A$1:$D$22, 4, FALSE),"&amp;" ""!C3:R29"")), {3;9;15;21}, FALSE)), ""=0"") + COUNTIF(ARRAYFORMULA(HLOOKUP($B39, IMPORTRANGE('Match Names'!$E$23, CONCAT(VLOOKUP($C39, 'Match Names'!$1:$22, 5, FALSE), ""!C3:R29"")), {9;14;19;24}, FALSE)), ""=0"") + COUNTIF(ARRAYFORMULA(HLOOKUP($B39, IM"&amp;"PORTRANGE('Match Names'!$F$23, CONCAT(VLOOKUP($C39, 'Match Names'!$1:$22, 6, FALSE), ""!C3:R29"")), {2;8;14;20}, FALSE)), ""=0"") + COUNTIF(ARRAYFORMULA(HLOOKUP($B39, IMPORTRANGE('Match Names'!$G$23, CONCAT(VLOOKUP($C39, 'Match Names'!$1:$22, 7, FALSE), "&amp;"""!C3:R29"")), {6;16;20;24}, FALSE)), ""=0"") + COUNTIF(ARRAYFORMULA(HLOOKUP($B39, IMPORTRANGE('Match Names'!$H$23, CONCAT(VLOOKUP($C39, 'Match Names'!$1:$22, 8, FALSE), ""!C3:R29"")), {2;8;14;20}, FALSE)), ""=0"")"),6.0)</f>
        <v>6</v>
      </c>
      <c r="G39" s="32">
        <f>IFERROR(__xludf.DUMMYFUNCTION("COUNTIF(ARRAYFORMULA(HLOOKUP($B39, IMPORTRANGE('Prelim Rankings Unsorted'!$B$40, CONCAT(VLOOKUP($C39, 'Match Names'!$A$1:$D$22, 2, FALSE), ""!C3:R29"")), {2;7;13;19}, FALSE)), ""=-4"") + COUNTIF(ARRAYFORMULA(HLOOKUP($B39, IMPORTRANGE('Prelim Rankings Unso"&amp;"rted'!$B$41, CONCAT(VLOOKUP($C39, 'Match Names'!$A$1:$D$22, 3, FALSE), ""!C3:R29"")), {3;9;15;21}, FALSE)), ""=-4"") + COUNTIF(ARRAYFORMULA(HLOOKUP($B39, IMPORTRANGE('Prelim Rankings Unsorted'!$B$42, CONCAT(VLOOKUP($C39, 'Match Names'!$A$1:$D$22, 4, FALSE"&amp;"), ""!C3:R29"")), {3;9;15;21}, FALSE)), ""=-4"") + COUNTIF(ARRAYFORMULA(HLOOKUP($B39, IMPORTRANGE('Match Names'!$E$23, CONCAT(VLOOKUP($C39, 'Match Names'!$1:$22, 5, FALSE), ""!C3:R29"")), {9;14;19;24}, FALSE)), ""=-4"") + COUNTIF(ARRAYFORMULA(HLOOKUP($B39"&amp;", IMPORTRANGE('Match Names'!$F$23, CONCAT(VLOOKUP($C39, 'Match Names'!$1:$22, 6, FALSE), ""!C3:R29"")), {2;8;14;20}, FALSE)), ""=-4"") + COUNTIF(ARRAYFORMULA(HLOOKUP($B39, IMPORTRANGE('Match Names'!$G$23, CONCAT(VLOOKUP($C39, 'Match Names'!$1:$22, 7, FALS"&amp;"E), ""!C3:R29"")), {6;16;20;24}, FALSE)), ""=-4"") + COUNTIF(ARRAYFORMULA(HLOOKUP($B39, IMPORTRANGE('Match Names'!$H$23, CONCAT(VLOOKUP($C39, 'Match Names'!$1:$22, 8, FALSE), ""!C3:R29"")), {2;8;14;20}, FALSE)), ""=-4"")"),1.0)</f>
        <v>1</v>
      </c>
      <c r="H39" s="33">
        <f t="shared" si="1"/>
        <v>0.8</v>
      </c>
    </row>
    <row r="40">
      <c r="A40" s="31" t="s">
        <v>164</v>
      </c>
      <c r="B40" s="31" t="str">
        <f>VLOOKUP(CONCAT(A40, C40), 'Discord Username to Real Name'!C:D, 2, FALSE)</f>
        <v>Teji11#5265</v>
      </c>
      <c r="C40" s="31" t="s">
        <v>16</v>
      </c>
      <c r="D40" s="32">
        <f>IFERROR(__xludf.DUMMYFUNCTION("(4 - COUNTIF(IFERROR(ARRAYFORMULA(HLOOKUP($B40, IMPORTRANGE('Prelim Rankings Unsorted'!$B$40, CONCAT(VLOOKUP($C40, 'Match Names'!$A$1:$D$22, 2, FALSE), ""!C3:R29"")), {2;7;13;19}, FALSE)), 'Player Overall Stats Unsorted'!$AA$9:$AA$12), ""=X"")) + (4 - COU"&amp;"NTIF(IFERROR(ARRAYFORMULA(HLOOKUP($B40, IMPORTRANGE('Prelim Rankings Unsorted'!$B$41, CONCAT(VLOOKUP($C40, 'Match Names'!$A$1:$D$22, 3, FALSE), ""!C3:R29"")), {3;9;15;21}, FALSE)), 'Player Overall Stats Unsorted'!$AA$9:$AA$12), ""=X"")) + (4 - COUNTIF(IFE"&amp;"RROR(ARRAYFORMULA(HLOOKUP($B40, IMPORTRANGE('Prelim Rankings Unsorted'!$B$42, CONCAT(VLOOKUP($C40, 'Match Names'!$A$1:$D$22, 4, FALSE), ""!C3:R29"")), {3;9;15;21}, FALSE)), 'Player Overall Stats Unsorted'!$AA$9:$AA$12), ""=X"")) + (4 - COUNTIF(IFERROR(ARR"&amp;"AYFORMULA(HLOOKUP($B40, IMPORTRANGE('Match Names'!$E$23, CONCAT(VLOOKUP($C40, 'Match Names'!$1:$22, 5, FALSE), ""!C3:R29"")), {9;14;19;24}, FALSE)), 'Player Overall Stats Unsorted'!$AA$9:$AA$12), ""=X"")) + (4 - COUNTIF(IFERROR(ARRAYFORMULA(HLOOKUP($B40, "&amp;"IMPORTRANGE('Match Names'!$F$23, CONCAT(VLOOKUP($C40, 'Match Names'!$1:$22, 6, FALSE), ""!C3:R29"")), {2;8;14;20}, FALSE)), 'Player Overall Stats Unsorted'!$AA$9:$AA$12), ""=X"")) + (4 - COUNTIF(IFERROR(ARRAYFORMULA(HLOOKUP($B40, IMPORTRANGE('Match Names'"&amp;"!$G$23, CONCAT(VLOOKUP($C40, 'Match Names'!$1:$22, 7, FALSE), ""!C3:R29"")), {6;16;20;24}, FALSE)), 'Player Overall Stats Unsorted'!$AA$9:$AA$12), ""=X"")) + (4 - COUNTIF(IFERROR(ARRAYFORMULA(HLOOKUP($B40, IMPORTRANGE('Match Names'!$H$23, CONCAT(VLOOKUP($"&amp;"C40, 'Match Names'!$1:$22, 8, FALSE), ""!C3:R29"")), {2;8;14;20}, FALSE)), 'Player Overall Stats Unsorted'!$AA$9:$AA$12), ""=X""))"),16.0)</f>
        <v>16</v>
      </c>
      <c r="E40" s="32">
        <f>IFERROR(__xludf.DUMMYFUNCTION("COUNTIF(ARRAYFORMULA(HLOOKUP($B40, IMPORTRANGE('Prelim Rankings Unsorted'!$B$40, CONCAT(VLOOKUP($C40, 'Match Names'!$A$1:$D$22, 2, FALSE), ""!C3:R29"")), {2;7;13;19}, FALSE)), ""=4"") + COUNTIF(ARRAYFORMULA(HLOOKUP($B40, IMPORTRANGE('Prelim Rankings Unsor"&amp;"ted'!$B$41, CONCAT(VLOOKUP($C40, 'Match Names'!$A$1:$D$22, 3, FALSE), ""!C3:R29"")), {3;9;15;21}, FALSE)), ""=4"") + COUNTIF(ARRAYFORMULA(HLOOKUP($B40, IMPORTRANGE('Prelim Rankings Unsorted'!$B$42, CONCAT(VLOOKUP($C40, 'Match Names'!$A$1:$D$22, 4, FALSE),"&amp;" ""!C3:R29"")), {3;9;15;21}, FALSE)), ""=4"") + COUNTIF(ARRAYFORMULA(HLOOKUP($B40, IMPORTRANGE('Match Names'!$E$23, CONCAT(VLOOKUP($C40, 'Match Names'!$1:$22, 5, FALSE), ""!C3:R29"")), {9;14;19;24}, FALSE)), ""=4"") + COUNTIF(ARRAYFORMULA(HLOOKUP($B40, IM"&amp;"PORTRANGE('Match Names'!$F$23, CONCAT(VLOOKUP($C40, 'Match Names'!$1:$22, 6, FALSE), ""!C3:R29"")), {2;8;14;20}, FALSE)), ""=4"") + COUNTIF(ARRAYFORMULA(HLOOKUP($B40, IMPORTRANGE('Match Names'!$G$23, CONCAT(VLOOKUP($C40, 'Match Names'!$1:$22, 7, FALSE), "&amp;"""!C3:R29"")), {6;16;20;24}, FALSE)), ""=4"") + COUNTIF(ARRAYFORMULA(HLOOKUP($B40, IMPORTRANGE('Match Names'!$H$23, CONCAT(VLOOKUP($C40, 'Match Names'!$1:$22, 8, FALSE), ""!C3:R29"")), {2;8;14;20}, FALSE)), ""=4"")"),0.0)</f>
        <v>0</v>
      </c>
      <c r="F40" s="32">
        <f>IFERROR(__xludf.DUMMYFUNCTION("COUNTIF(ARRAYFORMULA(HLOOKUP($B40, IMPORTRANGE('Prelim Rankings Unsorted'!$B$40, CONCAT(VLOOKUP($C40, 'Match Names'!$A$1:$D$22, 2, FALSE), ""!C3:R29"")), {2;7;13;19}, FALSE)), ""=0"") + COUNTIF(ARRAYFORMULA(HLOOKUP($B40, IMPORTRANGE('Prelim Rankings Unsor"&amp;"ted'!$B$41, CONCAT(VLOOKUP($C40, 'Match Names'!$A$1:$D$22, 3, FALSE), ""!C3:R29"")), {3;9;15;21}, FALSE)), ""=0"") + COUNTIF(ARRAYFORMULA(HLOOKUP($B40, IMPORTRANGE('Prelim Rankings Unsorted'!$B$42, CONCAT(VLOOKUP($C40, 'Match Names'!$A$1:$D$22, 4, FALSE),"&amp;" ""!C3:R29"")), {3;9;15;21}, FALSE)), ""=0"") + COUNTIF(ARRAYFORMULA(HLOOKUP($B40, IMPORTRANGE('Match Names'!$E$23, CONCAT(VLOOKUP($C40, 'Match Names'!$1:$22, 5, FALSE), ""!C3:R29"")), {9;14;19;24}, FALSE)), ""=0"") + COUNTIF(ARRAYFORMULA(HLOOKUP($B40, IM"&amp;"PORTRANGE('Match Names'!$F$23, CONCAT(VLOOKUP($C40, 'Match Names'!$1:$22, 6, FALSE), ""!C3:R29"")), {2;8;14;20}, FALSE)), ""=0"") + COUNTIF(ARRAYFORMULA(HLOOKUP($B40, IMPORTRANGE('Match Names'!$G$23, CONCAT(VLOOKUP($C40, 'Match Names'!$1:$22, 7, FALSE), "&amp;"""!C3:R29"")), {6;16;20;24}, FALSE)), ""=0"") + COUNTIF(ARRAYFORMULA(HLOOKUP($B40, IMPORTRANGE('Match Names'!$H$23, CONCAT(VLOOKUP($C40, 'Match Names'!$1:$22, 8, FALSE), ""!C3:R29"")), {2;8;14;20}, FALSE)), ""=0"")"),0.0)</f>
        <v>0</v>
      </c>
      <c r="G40" s="32">
        <f>IFERROR(__xludf.DUMMYFUNCTION("COUNTIF(ARRAYFORMULA(HLOOKUP($B40, IMPORTRANGE('Prelim Rankings Unsorted'!$B$40, CONCAT(VLOOKUP($C40, 'Match Names'!$A$1:$D$22, 2, FALSE), ""!C3:R29"")), {2;7;13;19}, FALSE)), ""=-4"") + COUNTIF(ARRAYFORMULA(HLOOKUP($B40, IMPORTRANGE('Prelim Rankings Unso"&amp;"rted'!$B$41, CONCAT(VLOOKUP($C40, 'Match Names'!$A$1:$D$22, 3, FALSE), ""!C3:R29"")), {3;9;15;21}, FALSE)), ""=-4"") + COUNTIF(ARRAYFORMULA(HLOOKUP($B40, IMPORTRANGE('Prelim Rankings Unsorted'!$B$42, CONCAT(VLOOKUP($C40, 'Match Names'!$A$1:$D$22, 4, FALSE"&amp;"), ""!C3:R29"")), {3;9;15;21}, FALSE)), ""=-4"") + COUNTIF(ARRAYFORMULA(HLOOKUP($B40, IMPORTRANGE('Match Names'!$E$23, CONCAT(VLOOKUP($C40, 'Match Names'!$1:$22, 5, FALSE), ""!C3:R29"")), {9;14;19;24}, FALSE)), ""=-4"") + COUNTIF(ARRAYFORMULA(HLOOKUP($B40"&amp;", IMPORTRANGE('Match Names'!$F$23, CONCAT(VLOOKUP($C40, 'Match Names'!$1:$22, 6, FALSE), ""!C3:R29"")), {2;8;14;20}, FALSE)), ""=-4"") + COUNTIF(ARRAYFORMULA(HLOOKUP($B40, IMPORTRANGE('Match Names'!$G$23, CONCAT(VLOOKUP($C40, 'Match Names'!$1:$22, 7, FALS"&amp;"E), ""!C3:R29"")), {6;16;20;24}, FALSE)), ""=-4"") + COUNTIF(ARRAYFORMULA(HLOOKUP($B40, IMPORTRANGE('Match Names'!$H$23, CONCAT(VLOOKUP($C40, 'Match Names'!$1:$22, 8, FALSE), ""!C3:R29"")), {2;8;14;20}, FALSE)), ""=-4"")"),0.0)</f>
        <v>0</v>
      </c>
      <c r="H40" s="33">
        <f t="shared" si="1"/>
        <v>0</v>
      </c>
    </row>
    <row r="41">
      <c r="A41" s="31" t="s">
        <v>162</v>
      </c>
      <c r="B41" s="31" t="str">
        <f>VLOOKUP(CONCAT(A41, C41), 'Discord Username to Real Name'!C:D, 2, FALSE)</f>
        <v>Ajay G.#0147</v>
      </c>
      <c r="C41" s="31" t="s">
        <v>16</v>
      </c>
      <c r="D41" s="32">
        <f>IFERROR(__xludf.DUMMYFUNCTION("(4 - COUNTIF(IFERROR(ARRAYFORMULA(HLOOKUP($B41, IMPORTRANGE('Prelim Rankings Unsorted'!$B$40, CONCAT(VLOOKUP($C41, 'Match Names'!$A$1:$D$22, 2, FALSE), ""!C3:R29"")), {2;7;13;19}, FALSE)), 'Player Overall Stats Unsorted'!$AA$9:$AA$12), ""=X"")) + (4 - COU"&amp;"NTIF(IFERROR(ARRAYFORMULA(HLOOKUP($B41, IMPORTRANGE('Prelim Rankings Unsorted'!$B$41, CONCAT(VLOOKUP($C41, 'Match Names'!$A$1:$D$22, 3, FALSE), ""!C3:R29"")), {3;9;15;21}, FALSE)), 'Player Overall Stats Unsorted'!$AA$9:$AA$12), ""=X"")) + (4 - COUNTIF(IFE"&amp;"RROR(ARRAYFORMULA(HLOOKUP($B41, IMPORTRANGE('Prelim Rankings Unsorted'!$B$42, CONCAT(VLOOKUP($C41, 'Match Names'!$A$1:$D$22, 4, FALSE), ""!C3:R29"")), {3;9;15;21}, FALSE)), 'Player Overall Stats Unsorted'!$AA$9:$AA$12), ""=X"")) + (4 - COUNTIF(IFERROR(ARR"&amp;"AYFORMULA(HLOOKUP($B41, IMPORTRANGE('Match Names'!$E$23, CONCAT(VLOOKUP($C41, 'Match Names'!$1:$22, 5, FALSE), ""!C3:R29"")), {9;14;19;24}, FALSE)), 'Player Overall Stats Unsorted'!$AA$9:$AA$12), ""=X"")) + (4 - COUNTIF(IFERROR(ARRAYFORMULA(HLOOKUP($B41, "&amp;"IMPORTRANGE('Match Names'!$F$23, CONCAT(VLOOKUP($C41, 'Match Names'!$1:$22, 6, FALSE), ""!C3:R29"")), {2;8;14;20}, FALSE)), 'Player Overall Stats Unsorted'!$AA$9:$AA$12), ""=X"")) + (4 - COUNTIF(IFERROR(ARRAYFORMULA(HLOOKUP($B41, IMPORTRANGE('Match Names'"&amp;"!$G$23, CONCAT(VLOOKUP($C41, 'Match Names'!$1:$22, 7, FALSE), ""!C3:R29"")), {6;16;20;24}, FALSE)), 'Player Overall Stats Unsorted'!$AA$9:$AA$12), ""=X"")) + (4 - COUNTIF(IFERROR(ARRAYFORMULA(HLOOKUP($B41, IMPORTRANGE('Match Names'!$H$23, CONCAT(VLOOKUP($"&amp;"C41, 'Match Names'!$1:$22, 8, FALSE), ""!C3:R29"")), {2;8;14;20}, FALSE)), 'Player Overall Stats Unsorted'!$AA$9:$AA$12), ""=X""))"),16.0)</f>
        <v>16</v>
      </c>
      <c r="E41" s="32">
        <f>IFERROR(__xludf.DUMMYFUNCTION("COUNTIF(ARRAYFORMULA(HLOOKUP($B41, IMPORTRANGE('Prelim Rankings Unsorted'!$B$40, CONCAT(VLOOKUP($C41, 'Match Names'!$A$1:$D$22, 2, FALSE), ""!C3:R29"")), {2;7;13;19}, FALSE)), ""=4"") + COUNTIF(ARRAYFORMULA(HLOOKUP($B41, IMPORTRANGE('Prelim Rankings Unsor"&amp;"ted'!$B$41, CONCAT(VLOOKUP($C41, 'Match Names'!$A$1:$D$22, 3, FALSE), ""!C3:R29"")), {3;9;15;21}, FALSE)), ""=4"") + COUNTIF(ARRAYFORMULA(HLOOKUP($B41, IMPORTRANGE('Prelim Rankings Unsorted'!$B$42, CONCAT(VLOOKUP($C41, 'Match Names'!$A$1:$D$22, 4, FALSE),"&amp;" ""!C3:R29"")), {3;9;15;21}, FALSE)), ""=4"") + COUNTIF(ARRAYFORMULA(HLOOKUP($B41, IMPORTRANGE('Match Names'!$E$23, CONCAT(VLOOKUP($C41, 'Match Names'!$1:$22, 5, FALSE), ""!C3:R29"")), {9;14;19;24}, FALSE)), ""=4"") + COUNTIF(ARRAYFORMULA(HLOOKUP($B41, IM"&amp;"PORTRANGE('Match Names'!$F$23, CONCAT(VLOOKUP($C41, 'Match Names'!$1:$22, 6, FALSE), ""!C3:R29"")), {2;8;14;20}, FALSE)), ""=4"") + COUNTIF(ARRAYFORMULA(HLOOKUP($B41, IMPORTRANGE('Match Names'!$G$23, CONCAT(VLOOKUP($C41, 'Match Names'!$1:$22, 7, FALSE), "&amp;"""!C3:R29"")), {6;16;20;24}, FALSE)), ""=4"") + COUNTIF(ARRAYFORMULA(HLOOKUP($B41, IMPORTRANGE('Match Names'!$H$23, CONCAT(VLOOKUP($C41, 'Match Names'!$1:$22, 8, FALSE), ""!C3:R29"")), {2;8;14;20}, FALSE)), ""=4"")"),0.0)</f>
        <v>0</v>
      </c>
      <c r="F41" s="32">
        <f>IFERROR(__xludf.DUMMYFUNCTION("COUNTIF(ARRAYFORMULA(HLOOKUP($B41, IMPORTRANGE('Prelim Rankings Unsorted'!$B$40, CONCAT(VLOOKUP($C41, 'Match Names'!$A$1:$D$22, 2, FALSE), ""!C3:R29"")), {2;7;13;19}, FALSE)), ""=0"") + COUNTIF(ARRAYFORMULA(HLOOKUP($B41, IMPORTRANGE('Prelim Rankings Unsor"&amp;"ted'!$B$41, CONCAT(VLOOKUP($C41, 'Match Names'!$A$1:$D$22, 3, FALSE), ""!C3:R29"")), {3;9;15;21}, FALSE)), ""=0"") + COUNTIF(ARRAYFORMULA(HLOOKUP($B41, IMPORTRANGE('Prelim Rankings Unsorted'!$B$42, CONCAT(VLOOKUP($C41, 'Match Names'!$A$1:$D$22, 4, FALSE),"&amp;" ""!C3:R29"")), {3;9;15;21}, FALSE)), ""=0"") + COUNTIF(ARRAYFORMULA(HLOOKUP($B41, IMPORTRANGE('Match Names'!$E$23, CONCAT(VLOOKUP($C41, 'Match Names'!$1:$22, 5, FALSE), ""!C3:R29"")), {9;14;19;24}, FALSE)), ""=0"") + COUNTIF(ARRAYFORMULA(HLOOKUP($B41, IM"&amp;"PORTRANGE('Match Names'!$F$23, CONCAT(VLOOKUP($C41, 'Match Names'!$1:$22, 6, FALSE), ""!C3:R29"")), {2;8;14;20}, FALSE)), ""=0"") + COUNTIF(ARRAYFORMULA(HLOOKUP($B41, IMPORTRANGE('Match Names'!$G$23, CONCAT(VLOOKUP($C41, 'Match Names'!$1:$22, 7, FALSE), "&amp;"""!C3:R29"")), {6;16;20;24}, FALSE)), ""=0"") + COUNTIF(ARRAYFORMULA(HLOOKUP($B41, IMPORTRANGE('Match Names'!$H$23, CONCAT(VLOOKUP($C41, 'Match Names'!$1:$22, 8, FALSE), ""!C3:R29"")), {2;8;14;20}, FALSE)), ""=0"")"),0.0)</f>
        <v>0</v>
      </c>
      <c r="G41" s="32">
        <f>IFERROR(__xludf.DUMMYFUNCTION("COUNTIF(ARRAYFORMULA(HLOOKUP($B41, IMPORTRANGE('Prelim Rankings Unsorted'!$B$40, CONCAT(VLOOKUP($C41, 'Match Names'!$A$1:$D$22, 2, FALSE), ""!C3:R29"")), {2;7;13;19}, FALSE)), ""=-4"") + COUNTIF(ARRAYFORMULA(HLOOKUP($B41, IMPORTRANGE('Prelim Rankings Unso"&amp;"rted'!$B$41, CONCAT(VLOOKUP($C41, 'Match Names'!$A$1:$D$22, 3, FALSE), ""!C3:R29"")), {3;9;15;21}, FALSE)), ""=-4"") + COUNTIF(ARRAYFORMULA(HLOOKUP($B41, IMPORTRANGE('Prelim Rankings Unsorted'!$B$42, CONCAT(VLOOKUP($C41, 'Match Names'!$A$1:$D$22, 4, FALSE"&amp;"), ""!C3:R29"")), {3;9;15;21}, FALSE)), ""=-4"") + COUNTIF(ARRAYFORMULA(HLOOKUP($B41, IMPORTRANGE('Match Names'!$E$23, CONCAT(VLOOKUP($C41, 'Match Names'!$1:$22, 5, FALSE), ""!C3:R29"")), {9;14;19;24}, FALSE)), ""=-4"") + COUNTIF(ARRAYFORMULA(HLOOKUP($B41"&amp;", IMPORTRANGE('Match Names'!$F$23, CONCAT(VLOOKUP($C41, 'Match Names'!$1:$22, 6, FALSE), ""!C3:R29"")), {2;8;14;20}, FALSE)), ""=-4"") + COUNTIF(ARRAYFORMULA(HLOOKUP($B41, IMPORTRANGE('Match Names'!$G$23, CONCAT(VLOOKUP($C41, 'Match Names'!$1:$22, 7, FALS"&amp;"E), ""!C3:R29"")), {6;16;20;24}, FALSE)), ""=-4"") + COUNTIF(ARRAYFORMULA(HLOOKUP($B41, IMPORTRANGE('Match Names'!$H$23, CONCAT(VLOOKUP($C41, 'Match Names'!$1:$22, 8, FALSE), ""!C3:R29"")), {2;8;14;20}, FALSE)), ""=-4"")"),0.0)</f>
        <v>0</v>
      </c>
      <c r="H41" s="33">
        <f t="shared" si="1"/>
        <v>0</v>
      </c>
    </row>
    <row r="42">
      <c r="A42" s="31" t="s">
        <v>171</v>
      </c>
      <c r="B42" s="31" t="str">
        <f>VLOOKUP(CONCAT(A42, C42), 'Discord Username to Real Name'!C:D, 2, FALSE)</f>
        <v>Tencor7144#2297</v>
      </c>
      <c r="C42" s="31" t="s">
        <v>16</v>
      </c>
      <c r="D42" s="32">
        <f>IFERROR(__xludf.DUMMYFUNCTION("(4 - COUNTIF(IFERROR(ARRAYFORMULA(HLOOKUP($B42, IMPORTRANGE('Prelim Rankings Unsorted'!$B$40, CONCAT(VLOOKUP($C42, 'Match Names'!$A$1:$D$22, 2, FALSE), ""!C3:R29"")), {2;7;13;19}, FALSE)), 'Player Overall Stats Unsorted'!$AA$9:$AA$12), ""=X"")) + (4 - COU"&amp;"NTIF(IFERROR(ARRAYFORMULA(HLOOKUP($B42, IMPORTRANGE('Prelim Rankings Unsorted'!$B$41, CONCAT(VLOOKUP($C42, 'Match Names'!$A$1:$D$22, 3, FALSE), ""!C3:R29"")), {3;9;15;21}, FALSE)), 'Player Overall Stats Unsorted'!$AA$9:$AA$12), ""=X"")) + (4 - COUNTIF(IFE"&amp;"RROR(ARRAYFORMULA(HLOOKUP($B42, IMPORTRANGE('Prelim Rankings Unsorted'!$B$42, CONCAT(VLOOKUP($C42, 'Match Names'!$A$1:$D$22, 4, FALSE), ""!C3:R29"")), {3;9;15;21}, FALSE)), 'Player Overall Stats Unsorted'!$AA$9:$AA$12), ""=X"")) + (4 - COUNTIF(IFERROR(ARR"&amp;"AYFORMULA(HLOOKUP($B42, IMPORTRANGE('Match Names'!$E$23, CONCAT(VLOOKUP($C42, 'Match Names'!$1:$22, 5, FALSE), ""!C3:R29"")), {9;14;19;24}, FALSE)), 'Player Overall Stats Unsorted'!$AA$9:$AA$12), ""=X"")) + (4 - COUNTIF(IFERROR(ARRAYFORMULA(HLOOKUP($B42, "&amp;"IMPORTRANGE('Match Names'!$F$23, CONCAT(VLOOKUP($C42, 'Match Names'!$1:$22, 6, FALSE), ""!C3:R29"")), {2;8;14;20}, FALSE)), 'Player Overall Stats Unsorted'!$AA$9:$AA$12), ""=X"")) + (4 - COUNTIF(IFERROR(ARRAYFORMULA(HLOOKUP($B42, IMPORTRANGE('Match Names'"&amp;"!$G$23, CONCAT(VLOOKUP($C42, 'Match Names'!$1:$22, 7, FALSE), ""!C3:R29"")), {6;16;20;24}, FALSE)), 'Player Overall Stats Unsorted'!$AA$9:$AA$12), ""=X"")) + (4 - COUNTIF(IFERROR(ARRAYFORMULA(HLOOKUP($B42, IMPORTRANGE('Match Names'!$H$23, CONCAT(VLOOKUP($"&amp;"C42, 'Match Names'!$1:$22, 8, FALSE), ""!C3:R29"")), {2;8;14;20}, FALSE)), 'Player Overall Stats Unsorted'!$AA$9:$AA$12), ""=X""))"),8.0)</f>
        <v>8</v>
      </c>
      <c r="E42" s="32">
        <f>IFERROR(__xludf.DUMMYFUNCTION("COUNTIF(ARRAYFORMULA(HLOOKUP($B42, IMPORTRANGE('Prelim Rankings Unsorted'!$B$40, CONCAT(VLOOKUP($C42, 'Match Names'!$A$1:$D$22, 2, FALSE), ""!C3:R29"")), {2;7;13;19}, FALSE)), ""=4"") + COUNTIF(ARRAYFORMULA(HLOOKUP($B42, IMPORTRANGE('Prelim Rankings Unsor"&amp;"ted'!$B$41, CONCAT(VLOOKUP($C42, 'Match Names'!$A$1:$D$22, 3, FALSE), ""!C3:R29"")), {3;9;15;21}, FALSE)), ""=4"") + COUNTIF(ARRAYFORMULA(HLOOKUP($B42, IMPORTRANGE('Prelim Rankings Unsorted'!$B$42, CONCAT(VLOOKUP($C42, 'Match Names'!$A$1:$D$22, 4, FALSE),"&amp;" ""!C3:R29"")), {3;9;15;21}, FALSE)), ""=4"") + COUNTIF(ARRAYFORMULA(HLOOKUP($B42, IMPORTRANGE('Match Names'!$E$23, CONCAT(VLOOKUP($C42, 'Match Names'!$1:$22, 5, FALSE), ""!C3:R29"")), {9;14;19;24}, FALSE)), ""=4"") + COUNTIF(ARRAYFORMULA(HLOOKUP($B42, IM"&amp;"PORTRANGE('Match Names'!$F$23, CONCAT(VLOOKUP($C42, 'Match Names'!$1:$22, 6, FALSE), ""!C3:R29"")), {2;8;14;20}, FALSE)), ""=4"") + COUNTIF(ARRAYFORMULA(HLOOKUP($B42, IMPORTRANGE('Match Names'!$G$23, CONCAT(VLOOKUP($C42, 'Match Names'!$1:$22, 7, FALSE), "&amp;"""!C3:R29"")), {6;16;20;24}, FALSE)), ""=4"") + COUNTIF(ARRAYFORMULA(HLOOKUP($B42, IMPORTRANGE('Match Names'!$H$23, CONCAT(VLOOKUP($C42, 'Match Names'!$1:$22, 8, FALSE), ""!C3:R29"")), {2;8;14;20}, FALSE)), ""=4"")"),0.0)</f>
        <v>0</v>
      </c>
      <c r="F42" s="32">
        <f>IFERROR(__xludf.DUMMYFUNCTION("COUNTIF(ARRAYFORMULA(HLOOKUP($B42, IMPORTRANGE('Prelim Rankings Unsorted'!$B$40, CONCAT(VLOOKUP($C42, 'Match Names'!$A$1:$D$22, 2, FALSE), ""!C3:R29"")), {2;7;13;19}, FALSE)), ""=0"") + COUNTIF(ARRAYFORMULA(HLOOKUP($B42, IMPORTRANGE('Prelim Rankings Unsor"&amp;"ted'!$B$41, CONCAT(VLOOKUP($C42, 'Match Names'!$A$1:$D$22, 3, FALSE), ""!C3:R29"")), {3;9;15;21}, FALSE)), ""=0"") + COUNTIF(ARRAYFORMULA(HLOOKUP($B42, IMPORTRANGE('Prelim Rankings Unsorted'!$B$42, CONCAT(VLOOKUP($C42, 'Match Names'!$A$1:$D$22, 4, FALSE),"&amp;" ""!C3:R29"")), {3;9;15;21}, FALSE)), ""=0"") + COUNTIF(ARRAYFORMULA(HLOOKUP($B42, IMPORTRANGE('Match Names'!$E$23, CONCAT(VLOOKUP($C42, 'Match Names'!$1:$22, 5, FALSE), ""!C3:R29"")), {9;14;19;24}, FALSE)), ""=0"") + COUNTIF(ARRAYFORMULA(HLOOKUP($B42, IM"&amp;"PORTRANGE('Match Names'!$F$23, CONCAT(VLOOKUP($C42, 'Match Names'!$1:$22, 6, FALSE), ""!C3:R29"")), {2;8;14;20}, FALSE)), ""=0"") + COUNTIF(ARRAYFORMULA(HLOOKUP($B42, IMPORTRANGE('Match Names'!$G$23, CONCAT(VLOOKUP($C42, 'Match Names'!$1:$22, 7, FALSE), "&amp;"""!C3:R29"")), {6;16;20;24}, FALSE)), ""=0"") + COUNTIF(ARRAYFORMULA(HLOOKUP($B42, IMPORTRANGE('Match Names'!$H$23, CONCAT(VLOOKUP($C42, 'Match Names'!$1:$22, 8, FALSE), ""!C3:R29"")), {2;8;14;20}, FALSE)), ""=0"")"),0.0)</f>
        <v>0</v>
      </c>
      <c r="G42" s="32">
        <f>IFERROR(__xludf.DUMMYFUNCTION("COUNTIF(ARRAYFORMULA(HLOOKUP($B42, IMPORTRANGE('Prelim Rankings Unsorted'!$B$40, CONCAT(VLOOKUP($C42, 'Match Names'!$A$1:$D$22, 2, FALSE), ""!C3:R29"")), {2;7;13;19}, FALSE)), ""=-4"") + COUNTIF(ARRAYFORMULA(HLOOKUP($B42, IMPORTRANGE('Prelim Rankings Unso"&amp;"rted'!$B$41, CONCAT(VLOOKUP($C42, 'Match Names'!$A$1:$D$22, 3, FALSE), ""!C3:R29"")), {3;9;15;21}, FALSE)), ""=-4"") + COUNTIF(ARRAYFORMULA(HLOOKUP($B42, IMPORTRANGE('Prelim Rankings Unsorted'!$B$42, CONCAT(VLOOKUP($C42, 'Match Names'!$A$1:$D$22, 4, FALSE"&amp;"), ""!C3:R29"")), {3;9;15;21}, FALSE)), ""=-4"") + COUNTIF(ARRAYFORMULA(HLOOKUP($B42, IMPORTRANGE('Match Names'!$E$23, CONCAT(VLOOKUP($C42, 'Match Names'!$1:$22, 5, FALSE), ""!C3:R29"")), {9;14;19;24}, FALSE)), ""=-4"") + COUNTIF(ARRAYFORMULA(HLOOKUP($B42"&amp;", IMPORTRANGE('Match Names'!$F$23, CONCAT(VLOOKUP($C42, 'Match Names'!$1:$22, 6, FALSE), ""!C3:R29"")), {2;8;14;20}, FALSE)), ""=-4"") + COUNTIF(ARRAYFORMULA(HLOOKUP($B42, IMPORTRANGE('Match Names'!$G$23, CONCAT(VLOOKUP($C42, 'Match Names'!$1:$22, 7, FALS"&amp;"E), ""!C3:R29"")), {6;16;20;24}, FALSE)), ""=-4"") + COUNTIF(ARRAYFORMULA(HLOOKUP($B42, IMPORTRANGE('Match Names'!$H$23, CONCAT(VLOOKUP($C42, 'Match Names'!$1:$22, 8, FALSE), ""!C3:R29"")), {2;8;14;20}, FALSE)), ""=-4"")"),0.0)</f>
        <v>0</v>
      </c>
      <c r="H42" s="33">
        <f t="shared" si="1"/>
        <v>0</v>
      </c>
    </row>
    <row r="43">
      <c r="A43" s="31" t="s">
        <v>73</v>
      </c>
      <c r="B43" s="31" t="str">
        <f>VLOOKUP(CONCAT(A43, C43), 'Discord Username to Real Name'!C:D, 2, FALSE)</f>
        <v>oof7373#7373</v>
      </c>
      <c r="C43" s="31" t="s">
        <v>15</v>
      </c>
      <c r="D43" s="32">
        <f>IFERROR(__xludf.DUMMYFUNCTION("(4 - COUNTIF(IFERROR(ARRAYFORMULA(HLOOKUP($B43, IMPORTRANGE('Prelim Rankings Unsorted'!$B$40, CONCAT(VLOOKUP($C43, 'Match Names'!$A$1:$D$22, 2, FALSE), ""!C3:R29"")), {2;7;13;19}, FALSE)), 'Player Overall Stats Unsorted'!$AA$9:$AA$12), ""=X"")) + (4 - COU"&amp;"NTIF(IFERROR(ARRAYFORMULA(HLOOKUP($B43, IMPORTRANGE('Prelim Rankings Unsorted'!$B$41, CONCAT(VLOOKUP($C43, 'Match Names'!$A$1:$D$22, 3, FALSE), ""!C3:R29"")), {3;9;15;21}, FALSE)), 'Player Overall Stats Unsorted'!$AA$9:$AA$12), ""=X"")) + (4 - COUNTIF(IFE"&amp;"RROR(ARRAYFORMULA(HLOOKUP($B43, IMPORTRANGE('Prelim Rankings Unsorted'!$B$42, CONCAT(VLOOKUP($C43, 'Match Names'!$A$1:$D$22, 4, FALSE), ""!C3:R29"")), {3;9;15;21}, FALSE)), 'Player Overall Stats Unsorted'!$AA$9:$AA$12), ""=X"")) + (4 - COUNTIF(IFERROR(ARR"&amp;"AYFORMULA(HLOOKUP($B43, IMPORTRANGE('Match Names'!$E$23, CONCAT(VLOOKUP($C43, 'Match Names'!$1:$22, 5, FALSE), ""!C3:R29"")), {9;14;19;24}, FALSE)), 'Player Overall Stats Unsorted'!$AA$9:$AA$12), ""=X"")) + (4 - COUNTIF(IFERROR(ARRAYFORMULA(HLOOKUP($B43, "&amp;"IMPORTRANGE('Match Names'!$F$23, CONCAT(VLOOKUP($C43, 'Match Names'!$1:$22, 6, FALSE), ""!C3:R29"")), {2;8;14;20}, FALSE)), 'Player Overall Stats Unsorted'!$AA$9:$AA$12), ""=X"")) + (4 - COUNTIF(IFERROR(ARRAYFORMULA(HLOOKUP($B43, IMPORTRANGE('Match Names'"&amp;"!$G$23, CONCAT(VLOOKUP($C43, 'Match Names'!$1:$22, 7, FALSE), ""!C3:R29"")), {6;16;20;24}, FALSE)), 'Player Overall Stats Unsorted'!$AA$9:$AA$12), ""=X"")) + (4 - COUNTIF(IFERROR(ARRAYFORMULA(HLOOKUP($B43, IMPORTRANGE('Match Names'!$H$23, CONCAT(VLOOKUP($"&amp;"C43, 'Match Names'!$1:$22, 8, FALSE), ""!C3:R29"")), {2;8;14;20}, FALSE)), 'Player Overall Stats Unsorted'!$AA$9:$AA$12), ""=X""))"),24.0)</f>
        <v>24</v>
      </c>
      <c r="E43" s="32">
        <f>IFERROR(__xludf.DUMMYFUNCTION("COUNTIF(ARRAYFORMULA(HLOOKUP($B43, IMPORTRANGE('Prelim Rankings Unsorted'!$B$40, CONCAT(VLOOKUP($C43, 'Match Names'!$A$1:$D$22, 2, FALSE), ""!C3:R29"")), {2;7;13;19}, FALSE)), ""=4"") + COUNTIF(ARRAYFORMULA(HLOOKUP($B43, IMPORTRANGE('Prelim Rankings Unsor"&amp;"ted'!$B$41, CONCAT(VLOOKUP($C43, 'Match Names'!$A$1:$D$22, 3, FALSE), ""!C3:R29"")), {3;9;15;21}, FALSE)), ""=4"") + COUNTIF(ARRAYFORMULA(HLOOKUP($B43, IMPORTRANGE('Prelim Rankings Unsorted'!$B$42, CONCAT(VLOOKUP($C43, 'Match Names'!$A$1:$D$22, 4, FALSE),"&amp;" ""!C3:R29"")), {3;9;15;21}, FALSE)), ""=4"") + COUNTIF(ARRAYFORMULA(HLOOKUP($B43, IMPORTRANGE('Match Names'!$E$23, CONCAT(VLOOKUP($C43, 'Match Names'!$1:$22, 5, FALSE), ""!C3:R29"")), {9;14;19;24}, FALSE)), ""=4"") + COUNTIF(ARRAYFORMULA(HLOOKUP($B43, IM"&amp;"PORTRANGE('Match Names'!$F$23, CONCAT(VLOOKUP($C43, 'Match Names'!$1:$22, 6, FALSE), ""!C3:R29"")), {2;8;14;20}, FALSE)), ""=4"") + COUNTIF(ARRAYFORMULA(HLOOKUP($B43, IMPORTRANGE('Match Names'!$G$23, CONCAT(VLOOKUP($C43, 'Match Names'!$1:$22, 7, FALSE), "&amp;"""!C3:R29"")), {6;16;20;24}, FALSE)), ""=4"") + COUNTIF(ARRAYFORMULA(HLOOKUP($B43, IMPORTRANGE('Match Names'!$H$23, CONCAT(VLOOKUP($C43, 'Match Names'!$1:$22, 8, FALSE), ""!C3:R29"")), {2;8;14;20}, FALSE)), ""=4"")"),6.0)</f>
        <v>6</v>
      </c>
      <c r="F43" s="32">
        <f>IFERROR(__xludf.DUMMYFUNCTION("COUNTIF(ARRAYFORMULA(HLOOKUP($B43, IMPORTRANGE('Prelim Rankings Unsorted'!$B$40, CONCAT(VLOOKUP($C43, 'Match Names'!$A$1:$D$22, 2, FALSE), ""!C3:R29"")), {2;7;13;19}, FALSE)), ""=0"") + COUNTIF(ARRAYFORMULA(HLOOKUP($B43, IMPORTRANGE('Prelim Rankings Unsor"&amp;"ted'!$B$41, CONCAT(VLOOKUP($C43, 'Match Names'!$A$1:$D$22, 3, FALSE), ""!C3:R29"")), {3;9;15;21}, FALSE)), ""=0"") + COUNTIF(ARRAYFORMULA(HLOOKUP($B43, IMPORTRANGE('Prelim Rankings Unsorted'!$B$42, CONCAT(VLOOKUP($C43, 'Match Names'!$A$1:$D$22, 4, FALSE),"&amp;" ""!C3:R29"")), {3;9;15;21}, FALSE)), ""=0"") + COUNTIF(ARRAYFORMULA(HLOOKUP($B43, IMPORTRANGE('Match Names'!$E$23, CONCAT(VLOOKUP($C43, 'Match Names'!$1:$22, 5, FALSE), ""!C3:R29"")), {9;14;19;24}, FALSE)), ""=0"") + COUNTIF(ARRAYFORMULA(HLOOKUP($B43, IM"&amp;"PORTRANGE('Match Names'!$F$23, CONCAT(VLOOKUP($C43, 'Match Names'!$1:$22, 6, FALSE), ""!C3:R29"")), {2;8;14;20}, FALSE)), ""=0"") + COUNTIF(ARRAYFORMULA(HLOOKUP($B43, IMPORTRANGE('Match Names'!$G$23, CONCAT(VLOOKUP($C43, 'Match Names'!$1:$22, 7, FALSE), "&amp;"""!C3:R29"")), {6;16;20;24}, FALSE)), ""=0"") + COUNTIF(ARRAYFORMULA(HLOOKUP($B43, IMPORTRANGE('Match Names'!$H$23, CONCAT(VLOOKUP($C43, 'Match Names'!$1:$22, 8, FALSE), ""!C3:R29"")), {2;8;14;20}, FALSE)), ""=0"")"),5.0)</f>
        <v>5</v>
      </c>
      <c r="G43" s="32">
        <f>IFERROR(__xludf.DUMMYFUNCTION("COUNTIF(ARRAYFORMULA(HLOOKUP($B43, IMPORTRANGE('Prelim Rankings Unsorted'!$B$40, CONCAT(VLOOKUP($C43, 'Match Names'!$A$1:$D$22, 2, FALSE), ""!C3:R29"")), {2;7;13;19}, FALSE)), ""=-4"") + COUNTIF(ARRAYFORMULA(HLOOKUP($B43, IMPORTRANGE('Prelim Rankings Unso"&amp;"rted'!$B$41, CONCAT(VLOOKUP($C43, 'Match Names'!$A$1:$D$22, 3, FALSE), ""!C3:R29"")), {3;9;15;21}, FALSE)), ""=-4"") + COUNTIF(ARRAYFORMULA(HLOOKUP($B43, IMPORTRANGE('Prelim Rankings Unsorted'!$B$42, CONCAT(VLOOKUP($C43, 'Match Names'!$A$1:$D$22, 4, FALSE"&amp;"), ""!C3:R29"")), {3;9;15;21}, FALSE)), ""=-4"") + COUNTIF(ARRAYFORMULA(HLOOKUP($B43, IMPORTRANGE('Match Names'!$E$23, CONCAT(VLOOKUP($C43, 'Match Names'!$1:$22, 5, FALSE), ""!C3:R29"")), {9;14;19;24}, FALSE)), ""=-4"") + COUNTIF(ARRAYFORMULA(HLOOKUP($B43"&amp;", IMPORTRANGE('Match Names'!$F$23, CONCAT(VLOOKUP($C43, 'Match Names'!$1:$22, 6, FALSE), ""!C3:R29"")), {2;8;14;20}, FALSE)), ""=-4"") + COUNTIF(ARRAYFORMULA(HLOOKUP($B43, IMPORTRANGE('Match Names'!$G$23, CONCAT(VLOOKUP($C43, 'Match Names'!$1:$22, 7, FALS"&amp;"E), ""!C3:R29"")), {6;16;20;24}, FALSE)), ""=-4"") + COUNTIF(ARRAYFORMULA(HLOOKUP($B43, IMPORTRANGE('Match Names'!$H$23, CONCAT(VLOOKUP($C43, 'Match Names'!$1:$22, 8, FALSE), ""!C3:R29"")), {2;8;14;20}, FALSE)), ""=-4"")"),2.0)</f>
        <v>2</v>
      </c>
      <c r="H43" s="33">
        <f t="shared" si="1"/>
        <v>2.67</v>
      </c>
    </row>
    <row r="44">
      <c r="A44" s="31" t="s">
        <v>63</v>
      </c>
      <c r="B44" s="31" t="str">
        <f>VLOOKUP(CONCAT(A44, C44), 'Discord Username to Real Name'!C:D, 2, FALSE)</f>
        <v>effervescence#3904</v>
      </c>
      <c r="C44" s="31" t="s">
        <v>15</v>
      </c>
      <c r="D44" s="32">
        <f>IFERROR(__xludf.DUMMYFUNCTION("(4 - COUNTIF(IFERROR(ARRAYFORMULA(HLOOKUP($B44, IMPORTRANGE('Prelim Rankings Unsorted'!$B$40, CONCAT(VLOOKUP($C44, 'Match Names'!$A$1:$D$22, 2, FALSE), ""!C3:R29"")), {2;7;13;19}, FALSE)), 'Player Overall Stats Unsorted'!$AA$9:$AA$12), ""=X"")) + (4 - COU"&amp;"NTIF(IFERROR(ARRAYFORMULA(HLOOKUP($B44, IMPORTRANGE('Prelim Rankings Unsorted'!$B$41, CONCAT(VLOOKUP($C44, 'Match Names'!$A$1:$D$22, 3, FALSE), ""!C3:R29"")), {3;9;15;21}, FALSE)), 'Player Overall Stats Unsorted'!$AA$9:$AA$12), ""=X"")) + (4 - COUNTIF(IFE"&amp;"RROR(ARRAYFORMULA(HLOOKUP($B44, IMPORTRANGE('Prelim Rankings Unsorted'!$B$42, CONCAT(VLOOKUP($C44, 'Match Names'!$A$1:$D$22, 4, FALSE), ""!C3:R29"")), {3;9;15;21}, FALSE)), 'Player Overall Stats Unsorted'!$AA$9:$AA$12), ""=X"")) + (4 - COUNTIF(IFERROR(ARR"&amp;"AYFORMULA(HLOOKUP($B44, IMPORTRANGE('Match Names'!$E$23, CONCAT(VLOOKUP($C44, 'Match Names'!$1:$22, 5, FALSE), ""!C3:R29"")), {9;14;19;24}, FALSE)), 'Player Overall Stats Unsorted'!$AA$9:$AA$12), ""=X"")) + (4 - COUNTIF(IFERROR(ARRAYFORMULA(HLOOKUP($B44, "&amp;"IMPORTRANGE('Match Names'!$F$23, CONCAT(VLOOKUP($C44, 'Match Names'!$1:$22, 6, FALSE), ""!C3:R29"")), {2;8;14;20}, FALSE)), 'Player Overall Stats Unsorted'!$AA$9:$AA$12), ""=X"")) + (4 - COUNTIF(IFERROR(ARRAYFORMULA(HLOOKUP($B44, IMPORTRANGE('Match Names'"&amp;"!$G$23, CONCAT(VLOOKUP($C44, 'Match Names'!$1:$22, 7, FALSE), ""!C3:R29"")), {6;16;20;24}, FALSE)), 'Player Overall Stats Unsorted'!$AA$9:$AA$12), ""=X"")) + (4 - COUNTIF(IFERROR(ARRAYFORMULA(HLOOKUP($B44, IMPORTRANGE('Match Names'!$H$23, CONCAT(VLOOKUP($"&amp;"C44, 'Match Names'!$1:$22, 8, FALSE), ""!C3:R29"")), {2;8;14;20}, FALSE)), 'Player Overall Stats Unsorted'!$AA$9:$AA$12), ""=X""))"),20.0)</f>
        <v>20</v>
      </c>
      <c r="E44" s="32">
        <f>IFERROR(__xludf.DUMMYFUNCTION("COUNTIF(ARRAYFORMULA(HLOOKUP($B44, IMPORTRANGE('Prelim Rankings Unsorted'!$B$40, CONCAT(VLOOKUP($C44, 'Match Names'!$A$1:$D$22, 2, FALSE), ""!C3:R29"")), {2;7;13;19}, FALSE)), ""=4"") + COUNTIF(ARRAYFORMULA(HLOOKUP($B44, IMPORTRANGE('Prelim Rankings Unsor"&amp;"ted'!$B$41, CONCAT(VLOOKUP($C44, 'Match Names'!$A$1:$D$22, 3, FALSE), ""!C3:R29"")), {3;9;15;21}, FALSE)), ""=4"") + COUNTIF(ARRAYFORMULA(HLOOKUP($B44, IMPORTRANGE('Prelim Rankings Unsorted'!$B$42, CONCAT(VLOOKUP($C44, 'Match Names'!$A$1:$D$22, 4, FALSE),"&amp;" ""!C3:R29"")), {3;9;15;21}, FALSE)), ""=4"") + COUNTIF(ARRAYFORMULA(HLOOKUP($B44, IMPORTRANGE('Match Names'!$E$23, CONCAT(VLOOKUP($C44, 'Match Names'!$1:$22, 5, FALSE), ""!C3:R29"")), {9;14;19;24}, FALSE)), ""=4"") + COUNTIF(ARRAYFORMULA(HLOOKUP($B44, IM"&amp;"PORTRANGE('Match Names'!$F$23, CONCAT(VLOOKUP($C44, 'Match Names'!$1:$22, 6, FALSE), ""!C3:R29"")), {2;8;14;20}, FALSE)), ""=4"") + COUNTIF(ARRAYFORMULA(HLOOKUP($B44, IMPORTRANGE('Match Names'!$G$23, CONCAT(VLOOKUP($C44, 'Match Names'!$1:$22, 7, FALSE), "&amp;"""!C3:R29"")), {6;16;20;24}, FALSE)), ""=4"") + COUNTIF(ARRAYFORMULA(HLOOKUP($B44, IMPORTRANGE('Match Names'!$H$23, CONCAT(VLOOKUP($C44, 'Match Names'!$1:$22, 8, FALSE), ""!C3:R29"")), {2;8;14;20}, FALSE)), ""=4"")"),0.0)</f>
        <v>0</v>
      </c>
      <c r="F44" s="32">
        <f>IFERROR(__xludf.DUMMYFUNCTION("COUNTIF(ARRAYFORMULA(HLOOKUP($B44, IMPORTRANGE('Prelim Rankings Unsorted'!$B$40, CONCAT(VLOOKUP($C44, 'Match Names'!$A$1:$D$22, 2, FALSE), ""!C3:R29"")), {2;7;13;19}, FALSE)), ""=0"") + COUNTIF(ARRAYFORMULA(HLOOKUP($B44, IMPORTRANGE('Prelim Rankings Unsor"&amp;"ted'!$B$41, CONCAT(VLOOKUP($C44, 'Match Names'!$A$1:$D$22, 3, FALSE), ""!C3:R29"")), {3;9;15;21}, FALSE)), ""=0"") + COUNTIF(ARRAYFORMULA(HLOOKUP($B44, IMPORTRANGE('Prelim Rankings Unsorted'!$B$42, CONCAT(VLOOKUP($C44, 'Match Names'!$A$1:$D$22, 4, FALSE),"&amp;" ""!C3:R29"")), {3;9;15;21}, FALSE)), ""=0"") + COUNTIF(ARRAYFORMULA(HLOOKUP($B44, IMPORTRANGE('Match Names'!$E$23, CONCAT(VLOOKUP($C44, 'Match Names'!$1:$22, 5, FALSE), ""!C3:R29"")), {9;14;19;24}, FALSE)), ""=0"") + COUNTIF(ARRAYFORMULA(HLOOKUP($B44, IM"&amp;"PORTRANGE('Match Names'!$F$23, CONCAT(VLOOKUP($C44, 'Match Names'!$1:$22, 6, FALSE), ""!C3:R29"")), {2;8;14;20}, FALSE)), ""=0"") + COUNTIF(ARRAYFORMULA(HLOOKUP($B44, IMPORTRANGE('Match Names'!$G$23, CONCAT(VLOOKUP($C44, 'Match Names'!$1:$22, 7, FALSE), "&amp;"""!C3:R29"")), {6;16;20;24}, FALSE)), ""=0"") + COUNTIF(ARRAYFORMULA(HLOOKUP($B44, IMPORTRANGE('Match Names'!$H$23, CONCAT(VLOOKUP($C44, 'Match Names'!$1:$22, 8, FALSE), ""!C3:R29"")), {2;8;14;20}, FALSE)), ""=0"")"),0.0)</f>
        <v>0</v>
      </c>
      <c r="G44" s="32">
        <f>IFERROR(__xludf.DUMMYFUNCTION("COUNTIF(ARRAYFORMULA(HLOOKUP($B44, IMPORTRANGE('Prelim Rankings Unsorted'!$B$40, CONCAT(VLOOKUP($C44, 'Match Names'!$A$1:$D$22, 2, FALSE), ""!C3:R29"")), {2;7;13;19}, FALSE)), ""=-4"") + COUNTIF(ARRAYFORMULA(HLOOKUP($B44, IMPORTRANGE('Prelim Rankings Unso"&amp;"rted'!$B$41, CONCAT(VLOOKUP($C44, 'Match Names'!$A$1:$D$22, 3, FALSE), ""!C3:R29"")), {3;9;15;21}, FALSE)), ""=-4"") + COUNTIF(ARRAYFORMULA(HLOOKUP($B44, IMPORTRANGE('Prelim Rankings Unsorted'!$B$42, CONCAT(VLOOKUP($C44, 'Match Names'!$A$1:$D$22, 4, FALSE"&amp;"), ""!C3:R29"")), {3;9;15;21}, FALSE)), ""=-4"") + COUNTIF(ARRAYFORMULA(HLOOKUP($B44, IMPORTRANGE('Match Names'!$E$23, CONCAT(VLOOKUP($C44, 'Match Names'!$1:$22, 5, FALSE), ""!C3:R29"")), {9;14;19;24}, FALSE)), ""=-4"") + COUNTIF(ARRAYFORMULA(HLOOKUP($B44"&amp;", IMPORTRANGE('Match Names'!$F$23, CONCAT(VLOOKUP($C44, 'Match Names'!$1:$22, 6, FALSE), ""!C3:R29"")), {2;8;14;20}, FALSE)), ""=-4"") + COUNTIF(ARRAYFORMULA(HLOOKUP($B44, IMPORTRANGE('Match Names'!$G$23, CONCAT(VLOOKUP($C44, 'Match Names'!$1:$22, 7, FALS"&amp;"E), ""!C3:R29"")), {6;16;20;24}, FALSE)), ""=-4"") + COUNTIF(ARRAYFORMULA(HLOOKUP($B44, IMPORTRANGE('Match Names'!$H$23, CONCAT(VLOOKUP($C44, 'Match Names'!$1:$22, 8, FALSE), ""!C3:R29"")), {2;8;14;20}, FALSE)), ""=-4"")"),0.0)</f>
        <v>0</v>
      </c>
      <c r="H44" s="33">
        <f t="shared" si="1"/>
        <v>0</v>
      </c>
      <c r="J44" s="11"/>
    </row>
    <row r="45">
      <c r="A45" s="31" t="s">
        <v>113</v>
      </c>
      <c r="B45" s="31" t="str">
        <f>VLOOKUP(CONCAT(A45, C45), 'Discord Username to Real Name'!C:D, 2, FALSE)</f>
        <v>a5a7#2184</v>
      </c>
      <c r="C45" s="31" t="s">
        <v>15</v>
      </c>
      <c r="D45" s="32">
        <f>IFERROR(__xludf.DUMMYFUNCTION("(4 - COUNTIF(IFERROR(ARRAYFORMULA(HLOOKUP($B45, IMPORTRANGE('Prelim Rankings Unsorted'!$B$40, CONCAT(VLOOKUP($C45, 'Match Names'!$A$1:$D$22, 2, FALSE), ""!C3:R29"")), {2;7;13;19}, FALSE)), 'Player Overall Stats Unsorted'!$AA$9:$AA$12), ""=X"")) + (4 - COU"&amp;"NTIF(IFERROR(ARRAYFORMULA(HLOOKUP($B45, IMPORTRANGE('Prelim Rankings Unsorted'!$B$41, CONCAT(VLOOKUP($C45, 'Match Names'!$A$1:$D$22, 3, FALSE), ""!C3:R29"")), {3;9;15;21}, FALSE)), 'Player Overall Stats Unsorted'!$AA$9:$AA$12), ""=X"")) + (4 - COUNTIF(IFE"&amp;"RROR(ARRAYFORMULA(HLOOKUP($B45, IMPORTRANGE('Prelim Rankings Unsorted'!$B$42, CONCAT(VLOOKUP($C45, 'Match Names'!$A$1:$D$22, 4, FALSE), ""!C3:R29"")), {3;9;15;21}, FALSE)), 'Player Overall Stats Unsorted'!$AA$9:$AA$12), ""=X"")) + (4 - COUNTIF(IFERROR(ARR"&amp;"AYFORMULA(HLOOKUP($B45, IMPORTRANGE('Match Names'!$E$23, CONCAT(VLOOKUP($C45, 'Match Names'!$1:$22, 5, FALSE), ""!C3:R29"")), {9;14;19;24}, FALSE)), 'Player Overall Stats Unsorted'!$AA$9:$AA$12), ""=X"")) + (4 - COUNTIF(IFERROR(ARRAYFORMULA(HLOOKUP($B45, "&amp;"IMPORTRANGE('Match Names'!$F$23, CONCAT(VLOOKUP($C45, 'Match Names'!$1:$22, 6, FALSE), ""!C3:R29"")), {2;8;14;20}, FALSE)), 'Player Overall Stats Unsorted'!$AA$9:$AA$12), ""=X"")) + (4 - COUNTIF(IFERROR(ARRAYFORMULA(HLOOKUP($B45, IMPORTRANGE('Match Names'"&amp;"!$G$23, CONCAT(VLOOKUP($C45, 'Match Names'!$1:$22, 7, FALSE), ""!C3:R29"")), {6;16;20;24}, FALSE)), 'Player Overall Stats Unsorted'!$AA$9:$AA$12), ""=X"")) + (4 - COUNTIF(IFERROR(ARRAYFORMULA(HLOOKUP($B45, IMPORTRANGE('Match Names'!$H$23, CONCAT(VLOOKUP($"&amp;"C45, 'Match Names'!$1:$22, 8, FALSE), ""!C3:R29"")), {2;8;14;20}, FALSE)), 'Player Overall Stats Unsorted'!$AA$9:$AA$12), ""=X""))"),13.0)</f>
        <v>13</v>
      </c>
      <c r="E45" s="32">
        <f>IFERROR(__xludf.DUMMYFUNCTION("COUNTIF(ARRAYFORMULA(HLOOKUP($B45, IMPORTRANGE('Prelim Rankings Unsorted'!$B$40, CONCAT(VLOOKUP($C45, 'Match Names'!$A$1:$D$22, 2, FALSE), ""!C3:R29"")), {2;7;13;19}, FALSE)), ""=4"") + COUNTIF(ARRAYFORMULA(HLOOKUP($B45, IMPORTRANGE('Prelim Rankings Unsor"&amp;"ted'!$B$41, CONCAT(VLOOKUP($C45, 'Match Names'!$A$1:$D$22, 3, FALSE), ""!C3:R29"")), {3;9;15;21}, FALSE)), ""=4"") + COUNTIF(ARRAYFORMULA(HLOOKUP($B45, IMPORTRANGE('Prelim Rankings Unsorted'!$B$42, CONCAT(VLOOKUP($C45, 'Match Names'!$A$1:$D$22, 4, FALSE),"&amp;" ""!C3:R29"")), {3;9;15;21}, FALSE)), ""=4"") + COUNTIF(ARRAYFORMULA(HLOOKUP($B45, IMPORTRANGE('Match Names'!$E$23, CONCAT(VLOOKUP($C45, 'Match Names'!$1:$22, 5, FALSE), ""!C3:R29"")), {9;14;19;24}, FALSE)), ""=4"") + COUNTIF(ARRAYFORMULA(HLOOKUP($B45, IM"&amp;"PORTRANGE('Match Names'!$F$23, CONCAT(VLOOKUP($C45, 'Match Names'!$1:$22, 6, FALSE), ""!C3:R29"")), {2;8;14;20}, FALSE)), ""=4"") + COUNTIF(ARRAYFORMULA(HLOOKUP($B45, IMPORTRANGE('Match Names'!$G$23, CONCAT(VLOOKUP($C45, 'Match Names'!$1:$22, 7, FALSE), "&amp;"""!C3:R29"")), {6;16;20;24}, FALSE)), ""=4"") + COUNTIF(ARRAYFORMULA(HLOOKUP($B45, IMPORTRANGE('Match Names'!$H$23, CONCAT(VLOOKUP($C45, 'Match Names'!$1:$22, 8, FALSE), ""!C3:R29"")), {2;8;14;20}, FALSE)), ""=4"")"),1.0)</f>
        <v>1</v>
      </c>
      <c r="F45" s="32">
        <f>IFERROR(__xludf.DUMMYFUNCTION("COUNTIF(ARRAYFORMULA(HLOOKUP($B45, IMPORTRANGE('Prelim Rankings Unsorted'!$B$40, CONCAT(VLOOKUP($C45, 'Match Names'!$A$1:$D$22, 2, FALSE), ""!C3:R29"")), {2;7;13;19}, FALSE)), ""=0"") + COUNTIF(ARRAYFORMULA(HLOOKUP($B45, IMPORTRANGE('Prelim Rankings Unsor"&amp;"ted'!$B$41, CONCAT(VLOOKUP($C45, 'Match Names'!$A$1:$D$22, 3, FALSE), ""!C3:R29"")), {3;9;15;21}, FALSE)), ""=0"") + COUNTIF(ARRAYFORMULA(HLOOKUP($B45, IMPORTRANGE('Prelim Rankings Unsorted'!$B$42, CONCAT(VLOOKUP($C45, 'Match Names'!$A$1:$D$22, 4, FALSE),"&amp;" ""!C3:R29"")), {3;9;15;21}, FALSE)), ""=0"") + COUNTIF(ARRAYFORMULA(HLOOKUP($B45, IMPORTRANGE('Match Names'!$E$23, CONCAT(VLOOKUP($C45, 'Match Names'!$1:$22, 5, FALSE), ""!C3:R29"")), {9;14;19;24}, FALSE)), ""=0"") + COUNTIF(ARRAYFORMULA(HLOOKUP($B45, IM"&amp;"PORTRANGE('Match Names'!$F$23, CONCAT(VLOOKUP($C45, 'Match Names'!$1:$22, 6, FALSE), ""!C3:R29"")), {2;8;14;20}, FALSE)), ""=0"") + COUNTIF(ARRAYFORMULA(HLOOKUP($B45, IMPORTRANGE('Match Names'!$G$23, CONCAT(VLOOKUP($C45, 'Match Names'!$1:$22, 7, FALSE), "&amp;"""!C3:R29"")), {6;16;20;24}, FALSE)), ""=0"") + COUNTIF(ARRAYFORMULA(HLOOKUP($B45, IMPORTRANGE('Match Names'!$H$23, CONCAT(VLOOKUP($C45, 'Match Names'!$1:$22, 8, FALSE), ""!C3:R29"")), {2;8;14;20}, FALSE)), ""=0"")"),0.0)</f>
        <v>0</v>
      </c>
      <c r="G45" s="32">
        <f>IFERROR(__xludf.DUMMYFUNCTION("COUNTIF(ARRAYFORMULA(HLOOKUP($B45, IMPORTRANGE('Prelim Rankings Unsorted'!$B$40, CONCAT(VLOOKUP($C45, 'Match Names'!$A$1:$D$22, 2, FALSE), ""!C3:R29"")), {2;7;13;19}, FALSE)), ""=-4"") + COUNTIF(ARRAYFORMULA(HLOOKUP($B45, IMPORTRANGE('Prelim Rankings Unso"&amp;"rted'!$B$41, CONCAT(VLOOKUP($C45, 'Match Names'!$A$1:$D$22, 3, FALSE), ""!C3:R29"")), {3;9;15;21}, FALSE)), ""=-4"") + COUNTIF(ARRAYFORMULA(HLOOKUP($B45, IMPORTRANGE('Prelim Rankings Unsorted'!$B$42, CONCAT(VLOOKUP($C45, 'Match Names'!$A$1:$D$22, 4, FALSE"&amp;"), ""!C3:R29"")), {3;9;15;21}, FALSE)), ""=-4"") + COUNTIF(ARRAYFORMULA(HLOOKUP($B45, IMPORTRANGE('Match Names'!$E$23, CONCAT(VLOOKUP($C45, 'Match Names'!$1:$22, 5, FALSE), ""!C3:R29"")), {9;14;19;24}, FALSE)), ""=-4"") + COUNTIF(ARRAYFORMULA(HLOOKUP($B45"&amp;", IMPORTRANGE('Match Names'!$F$23, CONCAT(VLOOKUP($C45, 'Match Names'!$1:$22, 6, FALSE), ""!C3:R29"")), {2;8;14;20}, FALSE)), ""=-4"") + COUNTIF(ARRAYFORMULA(HLOOKUP($B45, IMPORTRANGE('Match Names'!$G$23, CONCAT(VLOOKUP($C45, 'Match Names'!$1:$22, 7, FALS"&amp;"E), ""!C3:R29"")), {6;16;20;24}, FALSE)), ""=-4"") + COUNTIF(ARRAYFORMULA(HLOOKUP($B45, IMPORTRANGE('Match Names'!$H$23, CONCAT(VLOOKUP($C45, 'Match Names'!$1:$22, 8, FALSE), ""!C3:R29"")), {2;8;14;20}, FALSE)), ""=-4"")"),0.0)</f>
        <v>0</v>
      </c>
      <c r="H45" s="33">
        <f t="shared" si="1"/>
        <v>1.23</v>
      </c>
    </row>
    <row r="46">
      <c r="A46" s="31" t="s">
        <v>169</v>
      </c>
      <c r="B46" s="31" t="str">
        <f>VLOOKUP(CONCAT(A46, C46), 'Discord Username to Real Name'!C:D, 2, FALSE)</f>
        <v>Verisimilitude#2169</v>
      </c>
      <c r="C46" s="31" t="s">
        <v>15</v>
      </c>
      <c r="D46" s="32">
        <f>IFERROR(__xludf.DUMMYFUNCTION("(4 - COUNTIF(IFERROR(ARRAYFORMULA(HLOOKUP($B46, IMPORTRANGE('Prelim Rankings Unsorted'!$B$40, CONCAT(VLOOKUP($C46, 'Match Names'!$A$1:$D$22, 2, FALSE), ""!C3:R29"")), {2;7;13;19}, FALSE)), 'Player Overall Stats Unsorted'!$AA$9:$AA$12), ""=X"")) + (4 - COU"&amp;"NTIF(IFERROR(ARRAYFORMULA(HLOOKUP($B46, IMPORTRANGE('Prelim Rankings Unsorted'!$B$41, CONCAT(VLOOKUP($C46, 'Match Names'!$A$1:$D$22, 3, FALSE), ""!C3:R29"")), {3;9;15;21}, FALSE)), 'Player Overall Stats Unsorted'!$AA$9:$AA$12), ""=X"")) + (4 - COUNTIF(IFE"&amp;"RROR(ARRAYFORMULA(HLOOKUP($B46, IMPORTRANGE('Prelim Rankings Unsorted'!$B$42, CONCAT(VLOOKUP($C46, 'Match Names'!$A$1:$D$22, 4, FALSE), ""!C3:R29"")), {3;9;15;21}, FALSE)), 'Player Overall Stats Unsorted'!$AA$9:$AA$12), ""=X"")) + (4 - COUNTIF(IFERROR(ARR"&amp;"AYFORMULA(HLOOKUP($B46, IMPORTRANGE('Match Names'!$E$23, CONCAT(VLOOKUP($C46, 'Match Names'!$1:$22, 5, FALSE), ""!C3:R29"")), {9;14;19;24}, FALSE)), 'Player Overall Stats Unsorted'!$AA$9:$AA$12), ""=X"")) + (4 - COUNTIF(IFERROR(ARRAYFORMULA(HLOOKUP($B46, "&amp;"IMPORTRANGE('Match Names'!$F$23, CONCAT(VLOOKUP($C46, 'Match Names'!$1:$22, 6, FALSE), ""!C3:R29"")), {2;8;14;20}, FALSE)), 'Player Overall Stats Unsorted'!$AA$9:$AA$12), ""=X"")) + (4 - COUNTIF(IFERROR(ARRAYFORMULA(HLOOKUP($B46, IMPORTRANGE('Match Names'"&amp;"!$G$23, CONCAT(VLOOKUP($C46, 'Match Names'!$1:$22, 7, FALSE), ""!C3:R29"")), {6;16;20;24}, FALSE)), 'Player Overall Stats Unsorted'!$AA$9:$AA$12), ""=X"")) + (4 - COUNTIF(IFERROR(ARRAYFORMULA(HLOOKUP($B46, IMPORTRANGE('Match Names'!$H$23, CONCAT(VLOOKUP($"&amp;"C46, 'Match Names'!$1:$22, 8, FALSE), ""!C3:R29"")), {2;8;14;20}, FALSE)), 'Player Overall Stats Unsorted'!$AA$9:$AA$12), ""=X""))"),15.0)</f>
        <v>15</v>
      </c>
      <c r="E46" s="32">
        <f>IFERROR(__xludf.DUMMYFUNCTION("COUNTIF(ARRAYFORMULA(HLOOKUP($B46, IMPORTRANGE('Prelim Rankings Unsorted'!$B$40, CONCAT(VLOOKUP($C46, 'Match Names'!$A$1:$D$22, 2, FALSE), ""!C3:R29"")), {2;7;13;19}, FALSE)), ""=4"") + COUNTIF(ARRAYFORMULA(HLOOKUP($B46, IMPORTRANGE('Prelim Rankings Unsor"&amp;"ted'!$B$41, CONCAT(VLOOKUP($C46, 'Match Names'!$A$1:$D$22, 3, FALSE), ""!C3:R29"")), {3;9;15;21}, FALSE)), ""=4"") + COUNTIF(ARRAYFORMULA(HLOOKUP($B46, IMPORTRANGE('Prelim Rankings Unsorted'!$B$42, CONCAT(VLOOKUP($C46, 'Match Names'!$A$1:$D$22, 4, FALSE),"&amp;" ""!C3:R29"")), {3;9;15;21}, FALSE)), ""=4"") + COUNTIF(ARRAYFORMULA(HLOOKUP($B46, IMPORTRANGE('Match Names'!$E$23, CONCAT(VLOOKUP($C46, 'Match Names'!$1:$22, 5, FALSE), ""!C3:R29"")), {9;14;19;24}, FALSE)), ""=4"") + COUNTIF(ARRAYFORMULA(HLOOKUP($B46, IM"&amp;"PORTRANGE('Match Names'!$F$23, CONCAT(VLOOKUP($C46, 'Match Names'!$1:$22, 6, FALSE), ""!C3:R29"")), {2;8;14;20}, FALSE)), ""=4"") + COUNTIF(ARRAYFORMULA(HLOOKUP($B46, IMPORTRANGE('Match Names'!$G$23, CONCAT(VLOOKUP($C46, 'Match Names'!$1:$22, 7, FALSE), "&amp;"""!C3:R29"")), {6;16;20;24}, FALSE)), ""=4"") + COUNTIF(ARRAYFORMULA(HLOOKUP($B46, IMPORTRANGE('Match Names'!$H$23, CONCAT(VLOOKUP($C46, 'Match Names'!$1:$22, 8, FALSE), ""!C3:R29"")), {2;8;14;20}, FALSE)), ""=4"")"),0.0)</f>
        <v>0</v>
      </c>
      <c r="F46" s="32">
        <f>IFERROR(__xludf.DUMMYFUNCTION("COUNTIF(ARRAYFORMULA(HLOOKUP($B46, IMPORTRANGE('Prelim Rankings Unsorted'!$B$40, CONCAT(VLOOKUP($C46, 'Match Names'!$A$1:$D$22, 2, FALSE), ""!C3:R29"")), {2;7;13;19}, FALSE)), ""=0"") + COUNTIF(ARRAYFORMULA(HLOOKUP($B46, IMPORTRANGE('Prelim Rankings Unsor"&amp;"ted'!$B$41, CONCAT(VLOOKUP($C46, 'Match Names'!$A$1:$D$22, 3, FALSE), ""!C3:R29"")), {3;9;15;21}, FALSE)), ""=0"") + COUNTIF(ARRAYFORMULA(HLOOKUP($B46, IMPORTRANGE('Prelim Rankings Unsorted'!$B$42, CONCAT(VLOOKUP($C46, 'Match Names'!$A$1:$D$22, 4, FALSE),"&amp;" ""!C3:R29"")), {3;9;15;21}, FALSE)), ""=0"") + COUNTIF(ARRAYFORMULA(HLOOKUP($B46, IMPORTRANGE('Match Names'!$E$23, CONCAT(VLOOKUP($C46, 'Match Names'!$1:$22, 5, FALSE), ""!C3:R29"")), {9;14;19;24}, FALSE)), ""=0"") + COUNTIF(ARRAYFORMULA(HLOOKUP($B46, IM"&amp;"PORTRANGE('Match Names'!$F$23, CONCAT(VLOOKUP($C46, 'Match Names'!$1:$22, 6, FALSE), ""!C3:R29"")), {2;8;14;20}, FALSE)), ""=0"") + COUNTIF(ARRAYFORMULA(HLOOKUP($B46, IMPORTRANGE('Match Names'!$G$23, CONCAT(VLOOKUP($C46, 'Match Names'!$1:$22, 7, FALSE), "&amp;"""!C3:R29"")), {6;16;20;24}, FALSE)), ""=0"") + COUNTIF(ARRAYFORMULA(HLOOKUP($B46, IMPORTRANGE('Match Names'!$H$23, CONCAT(VLOOKUP($C46, 'Match Names'!$1:$22, 8, FALSE), ""!C3:R29"")), {2;8;14;20}, FALSE)), ""=0"")"),0.0)</f>
        <v>0</v>
      </c>
      <c r="G46" s="32">
        <f>IFERROR(__xludf.DUMMYFUNCTION("COUNTIF(ARRAYFORMULA(HLOOKUP($B46, IMPORTRANGE('Prelim Rankings Unsorted'!$B$40, CONCAT(VLOOKUP($C46, 'Match Names'!$A$1:$D$22, 2, FALSE), ""!C3:R29"")), {2;7;13;19}, FALSE)), ""=-4"") + COUNTIF(ARRAYFORMULA(HLOOKUP($B46, IMPORTRANGE('Prelim Rankings Unso"&amp;"rted'!$B$41, CONCAT(VLOOKUP($C46, 'Match Names'!$A$1:$D$22, 3, FALSE), ""!C3:R29"")), {3;9;15;21}, FALSE)), ""=-4"") + COUNTIF(ARRAYFORMULA(HLOOKUP($B46, IMPORTRANGE('Prelim Rankings Unsorted'!$B$42, CONCAT(VLOOKUP($C46, 'Match Names'!$A$1:$D$22, 4, FALSE"&amp;"), ""!C3:R29"")), {3;9;15;21}, FALSE)), ""=-4"") + COUNTIF(ARRAYFORMULA(HLOOKUP($B46, IMPORTRANGE('Match Names'!$E$23, CONCAT(VLOOKUP($C46, 'Match Names'!$1:$22, 5, FALSE), ""!C3:R29"")), {9;14;19;24}, FALSE)), ""=-4"") + COUNTIF(ARRAYFORMULA(HLOOKUP($B46"&amp;", IMPORTRANGE('Match Names'!$F$23, CONCAT(VLOOKUP($C46, 'Match Names'!$1:$22, 6, FALSE), ""!C3:R29"")), {2;8;14;20}, FALSE)), ""=-4"") + COUNTIF(ARRAYFORMULA(HLOOKUP($B46, IMPORTRANGE('Match Names'!$G$23, CONCAT(VLOOKUP($C46, 'Match Names'!$1:$22, 7, FALS"&amp;"E), ""!C3:R29"")), {6;16;20;24}, FALSE)), ""=-4"") + COUNTIF(ARRAYFORMULA(HLOOKUP($B46, IMPORTRANGE('Match Names'!$H$23, CONCAT(VLOOKUP($C46, 'Match Names'!$1:$22, 8, FALSE), ""!C3:R29"")), {2;8;14;20}, FALSE)), ""=-4"")"),0.0)</f>
        <v>0</v>
      </c>
      <c r="H46" s="33">
        <f t="shared" si="1"/>
        <v>0</v>
      </c>
    </row>
    <row r="47">
      <c r="A47" s="31" t="s">
        <v>127</v>
      </c>
      <c r="B47" s="31" t="str">
        <f>VLOOKUP(CONCAT(A47, C47), 'Discord Username to Real Name'!C:D, 2, FALSE)</f>
        <v>PerfectPenguin#3133</v>
      </c>
      <c r="C47" s="31" t="s">
        <v>15</v>
      </c>
      <c r="D47" s="32">
        <f>IFERROR(__xludf.DUMMYFUNCTION("(4 - COUNTIF(IFERROR(ARRAYFORMULA(HLOOKUP($B47, IMPORTRANGE('Prelim Rankings Unsorted'!$B$40, CONCAT(VLOOKUP($C47, 'Match Names'!$A$1:$D$22, 2, FALSE), ""!C3:R29"")), {2;7;13;19}, FALSE)), 'Player Overall Stats Unsorted'!$AA$9:$AA$12), ""=X"")) + (4 - COU"&amp;"NTIF(IFERROR(ARRAYFORMULA(HLOOKUP($B47, IMPORTRANGE('Prelim Rankings Unsorted'!$B$41, CONCAT(VLOOKUP($C47, 'Match Names'!$A$1:$D$22, 3, FALSE), ""!C3:R29"")), {3;9;15;21}, FALSE)), 'Player Overall Stats Unsorted'!$AA$9:$AA$12), ""=X"")) + (4 - COUNTIF(IFE"&amp;"RROR(ARRAYFORMULA(HLOOKUP($B47, IMPORTRANGE('Prelim Rankings Unsorted'!$B$42, CONCAT(VLOOKUP($C47, 'Match Names'!$A$1:$D$22, 4, FALSE), ""!C3:R29"")), {3;9;15;21}, FALSE)), 'Player Overall Stats Unsorted'!$AA$9:$AA$12), ""=X"")) + (4 - COUNTIF(IFERROR(ARR"&amp;"AYFORMULA(HLOOKUP($B47, IMPORTRANGE('Match Names'!$E$23, CONCAT(VLOOKUP($C47, 'Match Names'!$1:$22, 5, FALSE), ""!C3:R29"")), {9;14;19;24}, FALSE)), 'Player Overall Stats Unsorted'!$AA$9:$AA$12), ""=X"")) + (4 - COUNTIF(IFERROR(ARRAYFORMULA(HLOOKUP($B47, "&amp;"IMPORTRANGE('Match Names'!$F$23, CONCAT(VLOOKUP($C47, 'Match Names'!$1:$22, 6, FALSE), ""!C3:R29"")), {2;8;14;20}, FALSE)), 'Player Overall Stats Unsorted'!$AA$9:$AA$12), ""=X"")) + (4 - COUNTIF(IFERROR(ARRAYFORMULA(HLOOKUP($B47, IMPORTRANGE('Match Names'"&amp;"!$G$23, CONCAT(VLOOKUP($C47, 'Match Names'!$1:$22, 7, FALSE), ""!C3:R29"")), {6;16;20;24}, FALSE)), 'Player Overall Stats Unsorted'!$AA$9:$AA$12), ""=X"")) + (4 - COUNTIF(IFERROR(ARRAYFORMULA(HLOOKUP($B47, IMPORTRANGE('Match Names'!$H$23, CONCAT(VLOOKUP($"&amp;"C47, 'Match Names'!$1:$22, 8, FALSE), ""!C3:R29"")), {2;8;14;20}, FALSE)), 'Player Overall Stats Unsorted'!$AA$9:$AA$12), ""=X""))"),24.0)</f>
        <v>24</v>
      </c>
      <c r="E47" s="32">
        <f>IFERROR(__xludf.DUMMYFUNCTION("COUNTIF(ARRAYFORMULA(HLOOKUP($B47, IMPORTRANGE('Prelim Rankings Unsorted'!$B$40, CONCAT(VLOOKUP($C47, 'Match Names'!$A$1:$D$22, 2, FALSE), ""!C3:R29"")), {2;7;13;19}, FALSE)), ""=4"") + COUNTIF(ARRAYFORMULA(HLOOKUP($B47, IMPORTRANGE('Prelim Rankings Unsor"&amp;"ted'!$B$41, CONCAT(VLOOKUP($C47, 'Match Names'!$A$1:$D$22, 3, FALSE), ""!C3:R29"")), {3;9;15;21}, FALSE)), ""=4"") + COUNTIF(ARRAYFORMULA(HLOOKUP($B47, IMPORTRANGE('Prelim Rankings Unsorted'!$B$42, CONCAT(VLOOKUP($C47, 'Match Names'!$A$1:$D$22, 4, FALSE),"&amp;" ""!C3:R29"")), {3;9;15;21}, FALSE)), ""=4"") + COUNTIF(ARRAYFORMULA(HLOOKUP($B47, IMPORTRANGE('Match Names'!$E$23, CONCAT(VLOOKUP($C47, 'Match Names'!$1:$22, 5, FALSE), ""!C3:R29"")), {9;14;19;24}, FALSE)), ""=4"") + COUNTIF(ARRAYFORMULA(HLOOKUP($B47, IM"&amp;"PORTRANGE('Match Names'!$F$23, CONCAT(VLOOKUP($C47, 'Match Names'!$1:$22, 6, FALSE), ""!C3:R29"")), {2;8;14;20}, FALSE)), ""=4"") + COUNTIF(ARRAYFORMULA(HLOOKUP($B47, IMPORTRANGE('Match Names'!$G$23, CONCAT(VLOOKUP($C47, 'Match Names'!$1:$22, 7, FALSE), "&amp;"""!C3:R29"")), {6;16;20;24}, FALSE)), ""=4"") + COUNTIF(ARRAYFORMULA(HLOOKUP($B47, IMPORTRANGE('Match Names'!$H$23, CONCAT(VLOOKUP($C47, 'Match Names'!$1:$22, 8, FALSE), ""!C3:R29"")), {2;8;14;20}, FALSE)), ""=4"")"),0.0)</f>
        <v>0</v>
      </c>
      <c r="F47" s="32">
        <f>IFERROR(__xludf.DUMMYFUNCTION("COUNTIF(ARRAYFORMULA(HLOOKUP($B47, IMPORTRANGE('Prelim Rankings Unsorted'!$B$40, CONCAT(VLOOKUP($C47, 'Match Names'!$A$1:$D$22, 2, FALSE), ""!C3:R29"")), {2;7;13;19}, FALSE)), ""=0"") + COUNTIF(ARRAYFORMULA(HLOOKUP($B47, IMPORTRANGE('Prelim Rankings Unsor"&amp;"ted'!$B$41, CONCAT(VLOOKUP($C47, 'Match Names'!$A$1:$D$22, 3, FALSE), ""!C3:R29"")), {3;9;15;21}, FALSE)), ""=0"") + COUNTIF(ARRAYFORMULA(HLOOKUP($B47, IMPORTRANGE('Prelim Rankings Unsorted'!$B$42, CONCAT(VLOOKUP($C47, 'Match Names'!$A$1:$D$22, 4, FALSE),"&amp;" ""!C3:R29"")), {3;9;15;21}, FALSE)), ""=0"") + COUNTIF(ARRAYFORMULA(HLOOKUP($B47, IMPORTRANGE('Match Names'!$E$23, CONCAT(VLOOKUP($C47, 'Match Names'!$1:$22, 5, FALSE), ""!C3:R29"")), {9;14;19;24}, FALSE)), ""=0"") + COUNTIF(ARRAYFORMULA(HLOOKUP($B47, IM"&amp;"PORTRANGE('Match Names'!$F$23, CONCAT(VLOOKUP($C47, 'Match Names'!$1:$22, 6, FALSE), ""!C3:R29"")), {2;8;14;20}, FALSE)), ""=0"") + COUNTIF(ARRAYFORMULA(HLOOKUP($B47, IMPORTRANGE('Match Names'!$G$23, CONCAT(VLOOKUP($C47, 'Match Names'!$1:$22, 7, FALSE), "&amp;"""!C3:R29"")), {6;16;20;24}, FALSE)), ""=0"") + COUNTIF(ARRAYFORMULA(HLOOKUP($B47, IMPORTRANGE('Match Names'!$H$23, CONCAT(VLOOKUP($C47, 'Match Names'!$1:$22, 8, FALSE), ""!C3:R29"")), {2;8;14;20}, FALSE)), ""=0"")"),1.0)</f>
        <v>1</v>
      </c>
      <c r="G47" s="32">
        <f>IFERROR(__xludf.DUMMYFUNCTION("COUNTIF(ARRAYFORMULA(HLOOKUP($B47, IMPORTRANGE('Prelim Rankings Unsorted'!$B$40, CONCAT(VLOOKUP($C47, 'Match Names'!$A$1:$D$22, 2, FALSE), ""!C3:R29"")), {2;7;13;19}, FALSE)), ""=-4"") + COUNTIF(ARRAYFORMULA(HLOOKUP($B47, IMPORTRANGE('Prelim Rankings Unso"&amp;"rted'!$B$41, CONCAT(VLOOKUP($C47, 'Match Names'!$A$1:$D$22, 3, FALSE), ""!C3:R29"")), {3;9;15;21}, FALSE)), ""=-4"") + COUNTIF(ARRAYFORMULA(HLOOKUP($B47, IMPORTRANGE('Prelim Rankings Unsorted'!$B$42, CONCAT(VLOOKUP($C47, 'Match Names'!$A$1:$D$22, 4, FALSE"&amp;"), ""!C3:R29"")), {3;9;15;21}, FALSE)), ""=-4"") + COUNTIF(ARRAYFORMULA(HLOOKUP($B47, IMPORTRANGE('Match Names'!$E$23, CONCAT(VLOOKUP($C47, 'Match Names'!$1:$22, 5, FALSE), ""!C3:R29"")), {9;14;19;24}, FALSE)), ""=-4"") + COUNTIF(ARRAYFORMULA(HLOOKUP($B47"&amp;", IMPORTRANGE('Match Names'!$F$23, CONCAT(VLOOKUP($C47, 'Match Names'!$1:$22, 6, FALSE), ""!C3:R29"")), {2;8;14;20}, FALSE)), ""=-4"") + COUNTIF(ARRAYFORMULA(HLOOKUP($B47, IMPORTRANGE('Match Names'!$G$23, CONCAT(VLOOKUP($C47, 'Match Names'!$1:$22, 7, FALS"&amp;"E), ""!C3:R29"")), {6;16;20;24}, FALSE)), ""=-4"") + COUNTIF(ARRAYFORMULA(HLOOKUP($B47, IMPORTRANGE('Match Names'!$H$23, CONCAT(VLOOKUP($C47, 'Match Names'!$1:$22, 8, FALSE), ""!C3:R29"")), {2;8;14;20}, FALSE)), ""=-4"")"),0.0)</f>
        <v>0</v>
      </c>
      <c r="H47" s="33">
        <f t="shared" si="1"/>
        <v>0</v>
      </c>
    </row>
    <row r="48">
      <c r="A48" s="21" t="s">
        <v>41</v>
      </c>
      <c r="B48" s="31" t="str">
        <f>VLOOKUP(CONCAT(A48, C48), 'Discord Username to Real Name'!C:D, 2, FALSE)</f>
        <v>ClownFrogg𓆏#3571</v>
      </c>
      <c r="C48" s="21" t="s">
        <v>14</v>
      </c>
      <c r="D48" s="32">
        <f>IFERROR(__xludf.DUMMYFUNCTION("(4 - COUNTIF(IFERROR(ARRAYFORMULA(HLOOKUP($B48, IMPORTRANGE('Prelim Rankings Unsorted'!$B$40, CONCAT(VLOOKUP($C48, 'Match Names'!$A$1:$D$22, 2, FALSE), ""!C3:R29"")), {2;7;13;19}, FALSE)), 'Player Overall Stats Unsorted'!$AA$9:$AA$12), ""=X"")) + (4 - COU"&amp;"NTIF(IFERROR(ARRAYFORMULA(HLOOKUP($B48, IMPORTRANGE('Prelim Rankings Unsorted'!$B$41, CONCAT(VLOOKUP($C48, 'Match Names'!$A$1:$D$22, 3, FALSE), ""!C3:R29"")), {3;9;15;21}, FALSE)), 'Player Overall Stats Unsorted'!$AA$9:$AA$12), ""=X"")) + (4 - COUNTIF(IFE"&amp;"RROR(ARRAYFORMULA(HLOOKUP($B48, IMPORTRANGE('Prelim Rankings Unsorted'!$B$42, CONCAT(VLOOKUP($C48, 'Match Names'!$A$1:$D$22, 4, FALSE), ""!C3:R29"")), {3;9;15;21}, FALSE)), 'Player Overall Stats Unsorted'!$AA$9:$AA$12), ""=X"")) + (4 - COUNTIF(IFERROR(ARR"&amp;"AYFORMULA(HLOOKUP($B48, IMPORTRANGE('Match Names'!$E$23, CONCAT(VLOOKUP($C48, 'Match Names'!$1:$22, 5, FALSE), ""!C3:R29"")), {9;14;19;24}, FALSE)), 'Player Overall Stats Unsorted'!$AA$9:$AA$12), ""=X"")) + (4 - COUNTIF(IFERROR(ARRAYFORMULA(HLOOKUP($B48, "&amp;"IMPORTRANGE('Match Names'!$F$23, CONCAT(VLOOKUP($C48, 'Match Names'!$1:$22, 6, FALSE), ""!C3:R29"")), {2;8;14;20}, FALSE)), 'Player Overall Stats Unsorted'!$AA$9:$AA$12), ""=X"")) + (4 - COUNTIF(IFERROR(ARRAYFORMULA(HLOOKUP($B48, IMPORTRANGE('Match Names'"&amp;"!$G$23, CONCAT(VLOOKUP($C48, 'Match Names'!$1:$22, 7, FALSE), ""!C3:R29"")), {6;16;20;24}, FALSE)), 'Player Overall Stats Unsorted'!$AA$9:$AA$12), ""=X"")) + (4 - COUNTIF(IFERROR(ARRAYFORMULA(HLOOKUP($B48, IMPORTRANGE('Match Names'!$H$23, CONCAT(VLOOKUP($"&amp;"C48, 'Match Names'!$1:$22, 8, FALSE), ""!C3:R29"")), {2;8;14;20}, FALSE)), 'Player Overall Stats Unsorted'!$AA$9:$AA$12), ""=X""))"),24.0)</f>
        <v>24</v>
      </c>
      <c r="E48" s="32">
        <f>IFERROR(__xludf.DUMMYFUNCTION("COUNTIF(ARRAYFORMULA(HLOOKUP($B48, IMPORTRANGE('Prelim Rankings Unsorted'!$B$40, CONCAT(VLOOKUP($C48, 'Match Names'!$A$1:$D$22, 2, FALSE), ""!C3:R29"")), {2;7;13;19}, FALSE)), ""=4"") + COUNTIF(ARRAYFORMULA(HLOOKUP($B48, IMPORTRANGE('Prelim Rankings Unsor"&amp;"ted'!$B$41, CONCAT(VLOOKUP($C48, 'Match Names'!$A$1:$D$22, 3, FALSE), ""!C3:R29"")), {3;9;15;21}, FALSE)), ""=4"") + COUNTIF(ARRAYFORMULA(HLOOKUP($B48, IMPORTRANGE('Prelim Rankings Unsorted'!$B$42, CONCAT(VLOOKUP($C48, 'Match Names'!$A$1:$D$22, 4, FALSE),"&amp;" ""!C3:R29"")), {3;9;15;21}, FALSE)), ""=4"") + COUNTIF(ARRAYFORMULA(HLOOKUP($B48, IMPORTRANGE('Match Names'!$E$23, CONCAT(VLOOKUP($C48, 'Match Names'!$1:$22, 5, FALSE), ""!C3:R29"")), {9;14;19;24}, FALSE)), ""=4"") + COUNTIF(ARRAYFORMULA(HLOOKUP($B48, IM"&amp;"PORTRANGE('Match Names'!$F$23, CONCAT(VLOOKUP($C48, 'Match Names'!$1:$22, 6, FALSE), ""!C3:R29"")), {2;8;14;20}, FALSE)), ""=4"") + COUNTIF(ARRAYFORMULA(HLOOKUP($B48, IMPORTRANGE('Match Names'!$G$23, CONCAT(VLOOKUP($C48, 'Match Names'!$1:$22, 7, FALSE), "&amp;"""!C3:R29"")), {6;16;20;24}, FALSE)), ""=4"") + COUNTIF(ARRAYFORMULA(HLOOKUP($B48, IMPORTRANGE('Match Names'!$H$23, CONCAT(VLOOKUP($C48, 'Match Names'!$1:$22, 8, FALSE), ""!C3:R29"")), {2;8;14;20}, FALSE)), ""=4"")"),1.0)</f>
        <v>1</v>
      </c>
      <c r="F48" s="32">
        <f>IFERROR(__xludf.DUMMYFUNCTION("COUNTIF(ARRAYFORMULA(HLOOKUP($B48, IMPORTRANGE('Prelim Rankings Unsorted'!$B$40, CONCAT(VLOOKUP($C48, 'Match Names'!$A$1:$D$22, 2, FALSE), ""!C3:R29"")), {2;7;13;19}, FALSE)), ""=0"") + COUNTIF(ARRAYFORMULA(HLOOKUP($B48, IMPORTRANGE('Prelim Rankings Unsor"&amp;"ted'!$B$41, CONCAT(VLOOKUP($C48, 'Match Names'!$A$1:$D$22, 3, FALSE), ""!C3:R29"")), {3;9;15;21}, FALSE)), ""=0"") + COUNTIF(ARRAYFORMULA(HLOOKUP($B48, IMPORTRANGE('Prelim Rankings Unsorted'!$B$42, CONCAT(VLOOKUP($C48, 'Match Names'!$A$1:$D$22, 4, FALSE),"&amp;" ""!C3:R29"")), {3;9;15;21}, FALSE)), ""=0"") + COUNTIF(ARRAYFORMULA(HLOOKUP($B48, IMPORTRANGE('Match Names'!$E$23, CONCAT(VLOOKUP($C48, 'Match Names'!$1:$22, 5, FALSE), ""!C3:R29"")), {9;14;19;24}, FALSE)), ""=0"") + COUNTIF(ARRAYFORMULA(HLOOKUP($B48, IM"&amp;"PORTRANGE('Match Names'!$F$23, CONCAT(VLOOKUP($C48, 'Match Names'!$1:$22, 6, FALSE), ""!C3:R29"")), {2;8;14;20}, FALSE)), ""=0"") + COUNTIF(ARRAYFORMULA(HLOOKUP($B48, IMPORTRANGE('Match Names'!$G$23, CONCAT(VLOOKUP($C48, 'Match Names'!$1:$22, 7, FALSE), "&amp;"""!C3:R29"")), {6;16;20;24}, FALSE)), ""=0"") + COUNTIF(ARRAYFORMULA(HLOOKUP($B48, IMPORTRANGE('Match Names'!$H$23, CONCAT(VLOOKUP($C48, 'Match Names'!$1:$22, 8, FALSE), ""!C3:R29"")), {2;8;14;20}, FALSE)), ""=0"")"),0.0)</f>
        <v>0</v>
      </c>
      <c r="G48" s="32">
        <f>IFERROR(__xludf.DUMMYFUNCTION("COUNTIF(ARRAYFORMULA(HLOOKUP($B48, IMPORTRANGE('Prelim Rankings Unsorted'!$B$40, CONCAT(VLOOKUP($C48, 'Match Names'!$A$1:$D$22, 2, FALSE), ""!C3:R29"")), {2;7;13;19}, FALSE)), ""=-4"") + COUNTIF(ARRAYFORMULA(HLOOKUP($B48, IMPORTRANGE('Prelim Rankings Unso"&amp;"rted'!$B$41, CONCAT(VLOOKUP($C48, 'Match Names'!$A$1:$D$22, 3, FALSE), ""!C3:R29"")), {3;9;15;21}, FALSE)), ""=-4"") + COUNTIF(ARRAYFORMULA(HLOOKUP($B48, IMPORTRANGE('Prelim Rankings Unsorted'!$B$42, CONCAT(VLOOKUP($C48, 'Match Names'!$A$1:$D$22, 4, FALSE"&amp;"), ""!C3:R29"")), {3;9;15;21}, FALSE)), ""=-4"") + COUNTIF(ARRAYFORMULA(HLOOKUP($B48, IMPORTRANGE('Match Names'!$E$23, CONCAT(VLOOKUP($C48, 'Match Names'!$1:$22, 5, FALSE), ""!C3:R29"")), {9;14;19;24}, FALSE)), ""=-4"") + COUNTIF(ARRAYFORMULA(HLOOKUP($B48"&amp;", IMPORTRANGE('Match Names'!$F$23, CONCAT(VLOOKUP($C48, 'Match Names'!$1:$22, 6, FALSE), ""!C3:R29"")), {2;8;14;20}, FALSE)), ""=-4"") + COUNTIF(ARRAYFORMULA(HLOOKUP($B48, IMPORTRANGE('Match Names'!$G$23, CONCAT(VLOOKUP($C48, 'Match Names'!$1:$22, 7, FALS"&amp;"E), ""!C3:R29"")), {6;16;20;24}, FALSE)), ""=-4"") + COUNTIF(ARRAYFORMULA(HLOOKUP($B48, IMPORTRANGE('Match Names'!$H$23, CONCAT(VLOOKUP($C48, 'Match Names'!$1:$22, 8, FALSE), ""!C3:R29"")), {2;8;14;20}, FALSE)), ""=-4"")"),0.0)</f>
        <v>0</v>
      </c>
      <c r="H48" s="33">
        <f t="shared" si="1"/>
        <v>0.67</v>
      </c>
    </row>
    <row r="49">
      <c r="A49" s="21" t="s">
        <v>56</v>
      </c>
      <c r="B49" s="31" t="str">
        <f>VLOOKUP(CONCAT(A49, C49), 'Discord Username to Real Name'!C:D, 2, FALSE)</f>
        <v>WeisPickle#1350</v>
      </c>
      <c r="C49" s="21" t="s">
        <v>14</v>
      </c>
      <c r="D49" s="32">
        <f>IFERROR(__xludf.DUMMYFUNCTION("(4 - COUNTIF(IFERROR(ARRAYFORMULA(HLOOKUP($B49, IMPORTRANGE('Prelim Rankings Unsorted'!$B$40, CONCAT(VLOOKUP($C49, 'Match Names'!$A$1:$D$22, 2, FALSE), ""!C3:R29"")), {2;7;13;19}, FALSE)), 'Player Overall Stats Unsorted'!$AA$9:$AA$12), ""=X"")) + (4 - COU"&amp;"NTIF(IFERROR(ARRAYFORMULA(HLOOKUP($B49, IMPORTRANGE('Prelim Rankings Unsorted'!$B$41, CONCAT(VLOOKUP($C49, 'Match Names'!$A$1:$D$22, 3, FALSE), ""!C3:R29"")), {3;9;15;21}, FALSE)), 'Player Overall Stats Unsorted'!$AA$9:$AA$12), ""=X"")) + (4 - COUNTIF(IFE"&amp;"RROR(ARRAYFORMULA(HLOOKUP($B49, IMPORTRANGE('Prelim Rankings Unsorted'!$B$42, CONCAT(VLOOKUP($C49, 'Match Names'!$A$1:$D$22, 4, FALSE), ""!C3:R29"")), {3;9;15;21}, FALSE)), 'Player Overall Stats Unsorted'!$AA$9:$AA$12), ""=X"")) + (4 - COUNTIF(IFERROR(ARR"&amp;"AYFORMULA(HLOOKUP($B49, IMPORTRANGE('Match Names'!$E$23, CONCAT(VLOOKUP($C49, 'Match Names'!$1:$22, 5, FALSE), ""!C3:R29"")), {9;14;19;24}, FALSE)), 'Player Overall Stats Unsorted'!$AA$9:$AA$12), ""=X"")) + (4 - COUNTIF(IFERROR(ARRAYFORMULA(HLOOKUP($B49, "&amp;"IMPORTRANGE('Match Names'!$F$23, CONCAT(VLOOKUP($C49, 'Match Names'!$1:$22, 6, FALSE), ""!C3:R29"")), {2;8;14;20}, FALSE)), 'Player Overall Stats Unsorted'!$AA$9:$AA$12), ""=X"")) + (4 - COUNTIF(IFERROR(ARRAYFORMULA(HLOOKUP($B49, IMPORTRANGE('Match Names'"&amp;"!$G$23, CONCAT(VLOOKUP($C49, 'Match Names'!$1:$22, 7, FALSE), ""!C3:R29"")), {6;16;20;24}, FALSE)), 'Player Overall Stats Unsorted'!$AA$9:$AA$12), ""=X"")) + (4 - COUNTIF(IFERROR(ARRAYFORMULA(HLOOKUP($B49, IMPORTRANGE('Match Names'!$H$23, CONCAT(VLOOKUP($"&amp;"C49, 'Match Names'!$1:$22, 8, FALSE), ""!C3:R29"")), {2;8;14;20}, FALSE)), 'Player Overall Stats Unsorted'!$AA$9:$AA$12), ""=X""))"),24.0)</f>
        <v>24</v>
      </c>
      <c r="E49" s="32">
        <f>IFERROR(__xludf.DUMMYFUNCTION("COUNTIF(ARRAYFORMULA(HLOOKUP($B49, IMPORTRANGE('Prelim Rankings Unsorted'!$B$40, CONCAT(VLOOKUP($C49, 'Match Names'!$A$1:$D$22, 2, FALSE), ""!C3:R29"")), {2;7;13;19}, FALSE)), ""=4"") + COUNTIF(ARRAYFORMULA(HLOOKUP($B49, IMPORTRANGE('Prelim Rankings Unsor"&amp;"ted'!$B$41, CONCAT(VLOOKUP($C49, 'Match Names'!$A$1:$D$22, 3, FALSE), ""!C3:R29"")), {3;9;15;21}, FALSE)), ""=4"") + COUNTIF(ARRAYFORMULA(HLOOKUP($B49, IMPORTRANGE('Prelim Rankings Unsorted'!$B$42, CONCAT(VLOOKUP($C49, 'Match Names'!$A$1:$D$22, 4, FALSE),"&amp;" ""!C3:R29"")), {3;9;15;21}, FALSE)), ""=4"") + COUNTIF(ARRAYFORMULA(HLOOKUP($B49, IMPORTRANGE('Match Names'!$E$23, CONCAT(VLOOKUP($C49, 'Match Names'!$1:$22, 5, FALSE), ""!C3:R29"")), {9;14;19;24}, FALSE)), ""=4"") + COUNTIF(ARRAYFORMULA(HLOOKUP($B49, IM"&amp;"PORTRANGE('Match Names'!$F$23, CONCAT(VLOOKUP($C49, 'Match Names'!$1:$22, 6, FALSE), ""!C3:R29"")), {2;8;14;20}, FALSE)), ""=4"") + COUNTIF(ARRAYFORMULA(HLOOKUP($B49, IMPORTRANGE('Match Names'!$G$23, CONCAT(VLOOKUP($C49, 'Match Names'!$1:$22, 7, FALSE), "&amp;"""!C3:R29"")), {6;16;20;24}, FALSE)), ""=4"") + COUNTIF(ARRAYFORMULA(HLOOKUP($B49, IMPORTRANGE('Match Names'!$H$23, CONCAT(VLOOKUP($C49, 'Match Names'!$1:$22, 8, FALSE), ""!C3:R29"")), {2;8;14;20}, FALSE)), ""=4"")"),15.0)</f>
        <v>15</v>
      </c>
      <c r="F49" s="32">
        <f>IFERROR(__xludf.DUMMYFUNCTION("COUNTIF(ARRAYFORMULA(HLOOKUP($B49, IMPORTRANGE('Prelim Rankings Unsorted'!$B$40, CONCAT(VLOOKUP($C49, 'Match Names'!$A$1:$D$22, 2, FALSE), ""!C3:R29"")), {2;7;13;19}, FALSE)), ""=0"") + COUNTIF(ARRAYFORMULA(HLOOKUP($B49, IMPORTRANGE('Prelim Rankings Unsor"&amp;"ted'!$B$41, CONCAT(VLOOKUP($C49, 'Match Names'!$A$1:$D$22, 3, FALSE), ""!C3:R29"")), {3;9;15;21}, FALSE)), ""=0"") + COUNTIF(ARRAYFORMULA(HLOOKUP($B49, IMPORTRANGE('Prelim Rankings Unsorted'!$B$42, CONCAT(VLOOKUP($C49, 'Match Names'!$A$1:$D$22, 4, FALSE),"&amp;" ""!C3:R29"")), {3;9;15;21}, FALSE)), ""=0"") + COUNTIF(ARRAYFORMULA(HLOOKUP($B49, IMPORTRANGE('Match Names'!$E$23, CONCAT(VLOOKUP($C49, 'Match Names'!$1:$22, 5, FALSE), ""!C3:R29"")), {9;14;19;24}, FALSE)), ""=0"") + COUNTIF(ARRAYFORMULA(HLOOKUP($B49, IM"&amp;"PORTRANGE('Match Names'!$F$23, CONCAT(VLOOKUP($C49, 'Match Names'!$1:$22, 6, FALSE), ""!C3:R29"")), {2;8;14;20}, FALSE)), ""=0"") + COUNTIF(ARRAYFORMULA(HLOOKUP($B49, IMPORTRANGE('Match Names'!$G$23, CONCAT(VLOOKUP($C49, 'Match Names'!$1:$22, 7, FALSE), "&amp;"""!C3:R29"")), {6;16;20;24}, FALSE)), ""=0"") + COUNTIF(ARRAYFORMULA(HLOOKUP($B49, IMPORTRANGE('Match Names'!$H$23, CONCAT(VLOOKUP($C49, 'Match Names'!$1:$22, 8, FALSE), ""!C3:R29"")), {2;8;14;20}, FALSE)), ""=0"")"),2.0)</f>
        <v>2</v>
      </c>
      <c r="G49" s="32">
        <f>IFERROR(__xludf.DUMMYFUNCTION("COUNTIF(ARRAYFORMULA(HLOOKUP($B49, IMPORTRANGE('Prelim Rankings Unsorted'!$B$40, CONCAT(VLOOKUP($C49, 'Match Names'!$A$1:$D$22, 2, FALSE), ""!C3:R29"")), {2;7;13;19}, FALSE)), ""=-4"") + COUNTIF(ARRAYFORMULA(HLOOKUP($B49, IMPORTRANGE('Prelim Rankings Unso"&amp;"rted'!$B$41, CONCAT(VLOOKUP($C49, 'Match Names'!$A$1:$D$22, 3, FALSE), ""!C3:R29"")), {3;9;15;21}, FALSE)), ""=-4"") + COUNTIF(ARRAYFORMULA(HLOOKUP($B49, IMPORTRANGE('Prelim Rankings Unsorted'!$B$42, CONCAT(VLOOKUP($C49, 'Match Names'!$A$1:$D$22, 4, FALSE"&amp;"), ""!C3:R29"")), {3;9;15;21}, FALSE)), ""=-4"") + COUNTIF(ARRAYFORMULA(HLOOKUP($B49, IMPORTRANGE('Match Names'!$E$23, CONCAT(VLOOKUP($C49, 'Match Names'!$1:$22, 5, FALSE), ""!C3:R29"")), {9;14;19;24}, FALSE)), ""=-4"") + COUNTIF(ARRAYFORMULA(HLOOKUP($B49"&amp;", IMPORTRANGE('Match Names'!$F$23, CONCAT(VLOOKUP($C49, 'Match Names'!$1:$22, 6, FALSE), ""!C3:R29"")), {2;8;14;20}, FALSE)), ""=-4"") + COUNTIF(ARRAYFORMULA(HLOOKUP($B49, IMPORTRANGE('Match Names'!$G$23, CONCAT(VLOOKUP($C49, 'Match Names'!$1:$22, 7, FALS"&amp;"E), ""!C3:R29"")), {6;16;20;24}, FALSE)), ""=-4"") + COUNTIF(ARRAYFORMULA(HLOOKUP($B49, IMPORTRANGE('Match Names'!$H$23, CONCAT(VLOOKUP($C49, 'Match Names'!$1:$22, 8, FALSE), ""!C3:R29"")), {2;8;14;20}, FALSE)), ""=-4"")"),4.0)</f>
        <v>4</v>
      </c>
      <c r="H49" s="33">
        <f t="shared" si="1"/>
        <v>7.33</v>
      </c>
    </row>
    <row r="50">
      <c r="A50" s="21" t="s">
        <v>132</v>
      </c>
      <c r="B50" s="31" t="str">
        <f>VLOOKUP(CONCAT(A50, C50), 'Discord Username to Real Name'!C:D, 2, FALSE)</f>
        <v>Endoplasmic Rayticulum#6706</v>
      </c>
      <c r="C50" s="21" t="s">
        <v>14</v>
      </c>
      <c r="D50" s="32">
        <f>IFERROR(__xludf.DUMMYFUNCTION("(4 - COUNTIF(IFERROR(ARRAYFORMULA(HLOOKUP($B50, IMPORTRANGE('Prelim Rankings Unsorted'!$B$40, CONCAT(VLOOKUP($C50, 'Match Names'!$A$1:$D$22, 2, FALSE), ""!C3:R29"")), {2;7;13;19}, FALSE)), 'Player Overall Stats Unsorted'!$AA$9:$AA$12), ""=X"")) + (4 - COU"&amp;"NTIF(IFERROR(ARRAYFORMULA(HLOOKUP($B50, IMPORTRANGE('Prelim Rankings Unsorted'!$B$41, CONCAT(VLOOKUP($C50, 'Match Names'!$A$1:$D$22, 3, FALSE), ""!C3:R29"")), {3;9;15;21}, FALSE)), 'Player Overall Stats Unsorted'!$AA$9:$AA$12), ""=X"")) + (4 - COUNTIF(IFE"&amp;"RROR(ARRAYFORMULA(HLOOKUP($B50, IMPORTRANGE('Prelim Rankings Unsorted'!$B$42, CONCAT(VLOOKUP($C50, 'Match Names'!$A$1:$D$22, 4, FALSE), ""!C3:R29"")), {3;9;15;21}, FALSE)), 'Player Overall Stats Unsorted'!$AA$9:$AA$12), ""=X"")) + (4 - COUNTIF(IFERROR(ARR"&amp;"AYFORMULA(HLOOKUP($B50, IMPORTRANGE('Match Names'!$E$23, CONCAT(VLOOKUP($C50, 'Match Names'!$1:$22, 5, FALSE), ""!C3:R29"")), {9;14;19;24}, FALSE)), 'Player Overall Stats Unsorted'!$AA$9:$AA$12), ""=X"")) + (4 - COUNTIF(IFERROR(ARRAYFORMULA(HLOOKUP($B50, "&amp;"IMPORTRANGE('Match Names'!$F$23, CONCAT(VLOOKUP($C50, 'Match Names'!$1:$22, 6, FALSE), ""!C3:R29"")), {2;8;14;20}, FALSE)), 'Player Overall Stats Unsorted'!$AA$9:$AA$12), ""=X"")) + (4 - COUNTIF(IFERROR(ARRAYFORMULA(HLOOKUP($B50, IMPORTRANGE('Match Names'"&amp;"!$G$23, CONCAT(VLOOKUP($C50, 'Match Names'!$1:$22, 7, FALSE), ""!C3:R29"")), {6;16;20;24}, FALSE)), 'Player Overall Stats Unsorted'!$AA$9:$AA$12), ""=X"")) + (4 - COUNTIF(IFERROR(ARRAYFORMULA(HLOOKUP($B50, IMPORTRANGE('Match Names'!$H$23, CONCAT(VLOOKUP($"&amp;"C50, 'Match Names'!$1:$22, 8, FALSE), ""!C3:R29"")), {2;8;14;20}, FALSE)), 'Player Overall Stats Unsorted'!$AA$9:$AA$12), ""=X""))"),24.0)</f>
        <v>24</v>
      </c>
      <c r="E50" s="32">
        <f>IFERROR(__xludf.DUMMYFUNCTION("COUNTIF(ARRAYFORMULA(HLOOKUP($B50, IMPORTRANGE('Prelim Rankings Unsorted'!$B$40, CONCAT(VLOOKUP($C50, 'Match Names'!$A$1:$D$22, 2, FALSE), ""!C3:R29"")), {2;7;13;19}, FALSE)), ""=4"") + COUNTIF(ARRAYFORMULA(HLOOKUP($B50, IMPORTRANGE('Prelim Rankings Unsor"&amp;"ted'!$B$41, CONCAT(VLOOKUP($C50, 'Match Names'!$A$1:$D$22, 3, FALSE), ""!C3:R29"")), {3;9;15;21}, FALSE)), ""=4"") + COUNTIF(ARRAYFORMULA(HLOOKUP($B50, IMPORTRANGE('Prelim Rankings Unsorted'!$B$42, CONCAT(VLOOKUP($C50, 'Match Names'!$A$1:$D$22, 4, FALSE),"&amp;" ""!C3:R29"")), {3;9;15;21}, FALSE)), ""=4"") + COUNTIF(ARRAYFORMULA(HLOOKUP($B50, IMPORTRANGE('Match Names'!$E$23, CONCAT(VLOOKUP($C50, 'Match Names'!$1:$22, 5, FALSE), ""!C3:R29"")), {9;14;19;24}, FALSE)), ""=4"") + COUNTIF(ARRAYFORMULA(HLOOKUP($B50, IM"&amp;"PORTRANGE('Match Names'!$F$23, CONCAT(VLOOKUP($C50, 'Match Names'!$1:$22, 6, FALSE), ""!C3:R29"")), {2;8;14;20}, FALSE)), ""=4"") + COUNTIF(ARRAYFORMULA(HLOOKUP($B50, IMPORTRANGE('Match Names'!$G$23, CONCAT(VLOOKUP($C50, 'Match Names'!$1:$22, 7, FALSE), "&amp;"""!C3:R29"")), {6;16;20;24}, FALSE)), ""=4"") + COUNTIF(ARRAYFORMULA(HLOOKUP($B50, IMPORTRANGE('Match Names'!$H$23, CONCAT(VLOOKUP($C50, 'Match Names'!$1:$22, 8, FALSE), ""!C3:R29"")), {2;8;14;20}, FALSE)), ""=4"")"),0.0)</f>
        <v>0</v>
      </c>
      <c r="F50" s="32">
        <f>IFERROR(__xludf.DUMMYFUNCTION("COUNTIF(ARRAYFORMULA(HLOOKUP($B50, IMPORTRANGE('Prelim Rankings Unsorted'!$B$40, CONCAT(VLOOKUP($C50, 'Match Names'!$A$1:$D$22, 2, FALSE), ""!C3:R29"")), {2;7;13;19}, FALSE)), ""=0"") + COUNTIF(ARRAYFORMULA(HLOOKUP($B50, IMPORTRANGE('Prelim Rankings Unsor"&amp;"ted'!$B$41, CONCAT(VLOOKUP($C50, 'Match Names'!$A$1:$D$22, 3, FALSE), ""!C3:R29"")), {3;9;15;21}, FALSE)), ""=0"") + COUNTIF(ARRAYFORMULA(HLOOKUP($B50, IMPORTRANGE('Prelim Rankings Unsorted'!$B$42, CONCAT(VLOOKUP($C50, 'Match Names'!$A$1:$D$22, 4, FALSE),"&amp;" ""!C3:R29"")), {3;9;15;21}, FALSE)), ""=0"") + COUNTIF(ARRAYFORMULA(HLOOKUP($B50, IMPORTRANGE('Match Names'!$E$23, CONCAT(VLOOKUP($C50, 'Match Names'!$1:$22, 5, FALSE), ""!C3:R29"")), {9;14;19;24}, FALSE)), ""=0"") + COUNTIF(ARRAYFORMULA(HLOOKUP($B50, IM"&amp;"PORTRANGE('Match Names'!$F$23, CONCAT(VLOOKUP($C50, 'Match Names'!$1:$22, 6, FALSE), ""!C3:R29"")), {2;8;14;20}, FALSE)), ""=0"") + COUNTIF(ARRAYFORMULA(HLOOKUP($B50, IMPORTRANGE('Match Names'!$G$23, CONCAT(VLOOKUP($C50, 'Match Names'!$1:$22, 7, FALSE), "&amp;"""!C3:R29"")), {6;16;20;24}, FALSE)), ""=0"") + COUNTIF(ARRAYFORMULA(HLOOKUP($B50, IMPORTRANGE('Match Names'!$H$23, CONCAT(VLOOKUP($C50, 'Match Names'!$1:$22, 8, FALSE), ""!C3:R29"")), {2;8;14;20}, FALSE)), ""=0"")"),0.0)</f>
        <v>0</v>
      </c>
      <c r="G50" s="32">
        <f>IFERROR(__xludf.DUMMYFUNCTION("COUNTIF(ARRAYFORMULA(HLOOKUP($B50, IMPORTRANGE('Prelim Rankings Unsorted'!$B$40, CONCAT(VLOOKUP($C50, 'Match Names'!$A$1:$D$22, 2, FALSE), ""!C3:R29"")), {2;7;13;19}, FALSE)), ""=-4"") + COUNTIF(ARRAYFORMULA(HLOOKUP($B50, IMPORTRANGE('Prelim Rankings Unso"&amp;"rted'!$B$41, CONCAT(VLOOKUP($C50, 'Match Names'!$A$1:$D$22, 3, FALSE), ""!C3:R29"")), {3;9;15;21}, FALSE)), ""=-4"") + COUNTIF(ARRAYFORMULA(HLOOKUP($B50, IMPORTRANGE('Prelim Rankings Unsorted'!$B$42, CONCAT(VLOOKUP($C50, 'Match Names'!$A$1:$D$22, 4, FALSE"&amp;"), ""!C3:R29"")), {3;9;15;21}, FALSE)), ""=-4"") + COUNTIF(ARRAYFORMULA(HLOOKUP($B50, IMPORTRANGE('Match Names'!$E$23, CONCAT(VLOOKUP($C50, 'Match Names'!$1:$22, 5, FALSE), ""!C3:R29"")), {9;14;19;24}, FALSE)), ""=-4"") + COUNTIF(ARRAYFORMULA(HLOOKUP($B50"&amp;", IMPORTRANGE('Match Names'!$F$23, CONCAT(VLOOKUP($C50, 'Match Names'!$1:$22, 6, FALSE), ""!C3:R29"")), {2;8;14;20}, FALSE)), ""=-4"") + COUNTIF(ARRAYFORMULA(HLOOKUP($B50, IMPORTRANGE('Match Names'!$G$23, CONCAT(VLOOKUP($C50, 'Match Names'!$1:$22, 7, FALS"&amp;"E), ""!C3:R29"")), {6;16;20;24}, FALSE)), ""=-4"") + COUNTIF(ARRAYFORMULA(HLOOKUP($B50, IMPORTRANGE('Match Names'!$H$23, CONCAT(VLOOKUP($C50, 'Match Names'!$1:$22, 8, FALSE), ""!C3:R29"")), {2;8;14;20}, FALSE)), ""=-4"")"),0.0)</f>
        <v>0</v>
      </c>
      <c r="H50" s="33">
        <f t="shared" si="1"/>
        <v>0</v>
      </c>
    </row>
    <row r="51">
      <c r="A51" s="21" t="s">
        <v>119</v>
      </c>
      <c r="B51" s="31" t="str">
        <f>VLOOKUP(CONCAT(A51, C51), 'Discord Username to Real Name'!C:D, 2, FALSE)</f>
        <v>saltwater#3722</v>
      </c>
      <c r="C51" s="21" t="s">
        <v>14</v>
      </c>
      <c r="D51" s="32">
        <f>IFERROR(__xludf.DUMMYFUNCTION("(4 - COUNTIF(IFERROR(ARRAYFORMULA(HLOOKUP($B51, IMPORTRANGE('Prelim Rankings Unsorted'!$B$40, CONCAT(VLOOKUP($C51, 'Match Names'!$A$1:$D$22, 2, FALSE), ""!C3:R29"")), {2;7;13;19}, FALSE)), 'Player Overall Stats Unsorted'!$AA$9:$AA$12), ""=X"")) + (4 - COU"&amp;"NTIF(IFERROR(ARRAYFORMULA(HLOOKUP($B51, IMPORTRANGE('Prelim Rankings Unsorted'!$B$41, CONCAT(VLOOKUP($C51, 'Match Names'!$A$1:$D$22, 3, FALSE), ""!C3:R29"")), {3;9;15;21}, FALSE)), 'Player Overall Stats Unsorted'!$AA$9:$AA$12), ""=X"")) + (4 - COUNTIF(IFE"&amp;"RROR(ARRAYFORMULA(HLOOKUP($B51, IMPORTRANGE('Prelim Rankings Unsorted'!$B$42, CONCAT(VLOOKUP($C51, 'Match Names'!$A$1:$D$22, 4, FALSE), ""!C3:R29"")), {3;9;15;21}, FALSE)), 'Player Overall Stats Unsorted'!$AA$9:$AA$12), ""=X"")) + (4 - COUNTIF(IFERROR(ARR"&amp;"AYFORMULA(HLOOKUP($B51, IMPORTRANGE('Match Names'!$E$23, CONCAT(VLOOKUP($C51, 'Match Names'!$1:$22, 5, FALSE), ""!C3:R29"")), {9;14;19;24}, FALSE)), 'Player Overall Stats Unsorted'!$AA$9:$AA$12), ""=X"")) + (4 - COUNTIF(IFERROR(ARRAYFORMULA(HLOOKUP($B51, "&amp;"IMPORTRANGE('Match Names'!$F$23, CONCAT(VLOOKUP($C51, 'Match Names'!$1:$22, 6, FALSE), ""!C3:R29"")), {2;8;14;20}, FALSE)), 'Player Overall Stats Unsorted'!$AA$9:$AA$12), ""=X"")) + (4 - COUNTIF(IFERROR(ARRAYFORMULA(HLOOKUP($B51, IMPORTRANGE('Match Names'"&amp;"!$G$23, CONCAT(VLOOKUP($C51, 'Match Names'!$1:$22, 7, FALSE), ""!C3:R29"")), {6;16;20;24}, FALSE)), 'Player Overall Stats Unsorted'!$AA$9:$AA$12), ""=X"")) + (4 - COUNTIF(IFERROR(ARRAYFORMULA(HLOOKUP($B51, IMPORTRANGE('Match Names'!$H$23, CONCAT(VLOOKUP($"&amp;"C51, 'Match Names'!$1:$22, 8, FALSE), ""!C3:R29"")), {2;8;14;20}, FALSE)), 'Player Overall Stats Unsorted'!$AA$9:$AA$12), ""=X""))"),11.0)</f>
        <v>11</v>
      </c>
      <c r="E51" s="32">
        <f>IFERROR(__xludf.DUMMYFUNCTION("COUNTIF(ARRAYFORMULA(HLOOKUP($B51, IMPORTRANGE('Prelim Rankings Unsorted'!$B$40, CONCAT(VLOOKUP($C51, 'Match Names'!$A$1:$D$22, 2, FALSE), ""!C3:R29"")), {2;7;13;19}, FALSE)), ""=4"") + COUNTIF(ARRAYFORMULA(HLOOKUP($B51, IMPORTRANGE('Prelim Rankings Unsor"&amp;"ted'!$B$41, CONCAT(VLOOKUP($C51, 'Match Names'!$A$1:$D$22, 3, FALSE), ""!C3:R29"")), {3;9;15;21}, FALSE)), ""=4"") + COUNTIF(ARRAYFORMULA(HLOOKUP($B51, IMPORTRANGE('Prelim Rankings Unsorted'!$B$42, CONCAT(VLOOKUP($C51, 'Match Names'!$A$1:$D$22, 4, FALSE),"&amp;" ""!C3:R29"")), {3;9;15;21}, FALSE)), ""=4"") + COUNTIF(ARRAYFORMULA(HLOOKUP($B51, IMPORTRANGE('Match Names'!$E$23, CONCAT(VLOOKUP($C51, 'Match Names'!$1:$22, 5, FALSE), ""!C3:R29"")), {9;14;19;24}, FALSE)), ""=4"") + COUNTIF(ARRAYFORMULA(HLOOKUP($B51, IM"&amp;"PORTRANGE('Match Names'!$F$23, CONCAT(VLOOKUP($C51, 'Match Names'!$1:$22, 6, FALSE), ""!C3:R29"")), {2;8;14;20}, FALSE)), ""=4"") + COUNTIF(ARRAYFORMULA(HLOOKUP($B51, IMPORTRANGE('Match Names'!$G$23, CONCAT(VLOOKUP($C51, 'Match Names'!$1:$22, 7, FALSE), "&amp;"""!C3:R29"")), {6;16;20;24}, FALSE)), ""=4"") + COUNTIF(ARRAYFORMULA(HLOOKUP($B51, IMPORTRANGE('Match Names'!$H$23, CONCAT(VLOOKUP($C51, 'Match Names'!$1:$22, 8, FALSE), ""!C3:R29"")), {2;8;14;20}, FALSE)), ""=4"")"),0.0)</f>
        <v>0</v>
      </c>
      <c r="F51" s="32">
        <f>IFERROR(__xludf.DUMMYFUNCTION("COUNTIF(ARRAYFORMULA(HLOOKUP($B51, IMPORTRANGE('Prelim Rankings Unsorted'!$B$40, CONCAT(VLOOKUP($C51, 'Match Names'!$A$1:$D$22, 2, FALSE), ""!C3:R29"")), {2;7;13;19}, FALSE)), ""=0"") + COUNTIF(ARRAYFORMULA(HLOOKUP($B51, IMPORTRANGE('Prelim Rankings Unsor"&amp;"ted'!$B$41, CONCAT(VLOOKUP($C51, 'Match Names'!$A$1:$D$22, 3, FALSE), ""!C3:R29"")), {3;9;15;21}, FALSE)), ""=0"") + COUNTIF(ARRAYFORMULA(HLOOKUP($B51, IMPORTRANGE('Prelim Rankings Unsorted'!$B$42, CONCAT(VLOOKUP($C51, 'Match Names'!$A$1:$D$22, 4, FALSE),"&amp;" ""!C3:R29"")), {3;9;15;21}, FALSE)), ""=0"") + COUNTIF(ARRAYFORMULA(HLOOKUP($B51, IMPORTRANGE('Match Names'!$E$23, CONCAT(VLOOKUP($C51, 'Match Names'!$1:$22, 5, FALSE), ""!C3:R29"")), {9;14;19;24}, FALSE)), ""=0"") + COUNTIF(ARRAYFORMULA(HLOOKUP($B51, IM"&amp;"PORTRANGE('Match Names'!$F$23, CONCAT(VLOOKUP($C51, 'Match Names'!$1:$22, 6, FALSE), ""!C3:R29"")), {2;8;14;20}, FALSE)), ""=0"") + COUNTIF(ARRAYFORMULA(HLOOKUP($B51, IMPORTRANGE('Match Names'!$G$23, CONCAT(VLOOKUP($C51, 'Match Names'!$1:$22, 7, FALSE), "&amp;"""!C3:R29"")), {6;16;20;24}, FALSE)), ""=0"") + COUNTIF(ARRAYFORMULA(HLOOKUP($B51, IMPORTRANGE('Match Names'!$H$23, CONCAT(VLOOKUP($C51, 'Match Names'!$1:$22, 8, FALSE), ""!C3:R29"")), {2;8;14;20}, FALSE)), ""=0"")"),0.0)</f>
        <v>0</v>
      </c>
      <c r="G51" s="32">
        <f>IFERROR(__xludf.DUMMYFUNCTION("COUNTIF(ARRAYFORMULA(HLOOKUP($B51, IMPORTRANGE('Prelim Rankings Unsorted'!$B$40, CONCAT(VLOOKUP($C51, 'Match Names'!$A$1:$D$22, 2, FALSE), ""!C3:R29"")), {2;7;13;19}, FALSE)), ""=-4"") + COUNTIF(ARRAYFORMULA(HLOOKUP($B51, IMPORTRANGE('Prelim Rankings Unso"&amp;"rted'!$B$41, CONCAT(VLOOKUP($C51, 'Match Names'!$A$1:$D$22, 3, FALSE), ""!C3:R29"")), {3;9;15;21}, FALSE)), ""=-4"") + COUNTIF(ARRAYFORMULA(HLOOKUP($B51, IMPORTRANGE('Prelim Rankings Unsorted'!$B$42, CONCAT(VLOOKUP($C51, 'Match Names'!$A$1:$D$22, 4, FALSE"&amp;"), ""!C3:R29"")), {3;9;15;21}, FALSE)), ""=-4"") + COUNTIF(ARRAYFORMULA(HLOOKUP($B51, IMPORTRANGE('Match Names'!$E$23, CONCAT(VLOOKUP($C51, 'Match Names'!$1:$22, 5, FALSE), ""!C3:R29"")), {9;14;19;24}, FALSE)), ""=-4"") + COUNTIF(ARRAYFORMULA(HLOOKUP($B51"&amp;", IMPORTRANGE('Match Names'!$F$23, CONCAT(VLOOKUP($C51, 'Match Names'!$1:$22, 6, FALSE), ""!C3:R29"")), {2;8;14;20}, FALSE)), ""=-4"") + COUNTIF(ARRAYFORMULA(HLOOKUP($B51, IMPORTRANGE('Match Names'!$G$23, CONCAT(VLOOKUP($C51, 'Match Names'!$1:$22, 7, FALS"&amp;"E), ""!C3:R29"")), {6;16;20;24}, FALSE)), ""=-4"") + COUNTIF(ARRAYFORMULA(HLOOKUP($B51, IMPORTRANGE('Match Names'!$H$23, CONCAT(VLOOKUP($C51, 'Match Names'!$1:$22, 8, FALSE), ""!C3:R29"")), {2;8;14;20}, FALSE)), ""=-4"")"),0.0)</f>
        <v>0</v>
      </c>
      <c r="H51" s="33">
        <f t="shared" si="1"/>
        <v>0</v>
      </c>
    </row>
    <row r="52">
      <c r="A52" s="21" t="s">
        <v>67</v>
      </c>
      <c r="B52" s="31" t="str">
        <f>VLOOKUP(CONCAT(A52, C52), 'Discord Username to Real Name'!C:D, 2, FALSE)</f>
        <v>dannyridel#2256</v>
      </c>
      <c r="C52" s="21" t="s">
        <v>29</v>
      </c>
      <c r="D52" s="32">
        <f>IFERROR(__xludf.DUMMYFUNCTION("(4 - COUNTIF(IFERROR(ARRAYFORMULA(HLOOKUP($B52, IMPORTRANGE('Prelim Rankings Unsorted'!$B$40, CONCAT(VLOOKUP($C52, 'Match Names'!$A$1:$D$22, 2, FALSE), ""!C3:R29"")), {2;7;13;19}, FALSE)), 'Player Overall Stats Unsorted'!$AA$9:$AA$12), ""=X"")) + (4 - COU"&amp;"NTIF(IFERROR(ARRAYFORMULA(HLOOKUP($B52, IMPORTRANGE('Prelim Rankings Unsorted'!$B$41, CONCAT(VLOOKUP($C52, 'Match Names'!$A$1:$D$22, 3, FALSE), ""!C3:R29"")), {3;9;15;21}, FALSE)), 'Player Overall Stats Unsorted'!$AA$9:$AA$12), ""=X"")) + (4 - COUNTIF(IFE"&amp;"RROR(ARRAYFORMULA(HLOOKUP($B52, IMPORTRANGE('Prelim Rankings Unsorted'!$B$42, CONCAT(VLOOKUP($C52, 'Match Names'!$A$1:$D$22, 4, FALSE), ""!C3:R29"")), {3;9;15;21}, FALSE)), 'Player Overall Stats Unsorted'!$AA$9:$AA$12), ""=X"")) + (4 - COUNTIF(IFERROR(ARR"&amp;"AYFORMULA(HLOOKUP($B52, IMPORTRANGE('Match Names'!$E$23, CONCAT(VLOOKUP($C52, 'Match Names'!$1:$22, 5, FALSE), ""!C3:R29"")), {9;14;19;24}, FALSE)), 'Player Overall Stats Unsorted'!$AA$9:$AA$12), ""=X"")) + (4 - COUNTIF(IFERROR(ARRAYFORMULA(HLOOKUP($B52, "&amp;"IMPORTRANGE('Match Names'!$F$23, CONCAT(VLOOKUP($C52, 'Match Names'!$1:$22, 6, FALSE), ""!C3:R29"")), {2;8;14;20}, FALSE)), 'Player Overall Stats Unsorted'!$AA$9:$AA$12), ""=X"")) + (4 - COUNTIF(IFERROR(ARRAYFORMULA(HLOOKUP($B52, IMPORTRANGE('Match Names'"&amp;"!$G$23, CONCAT(VLOOKUP($C52, 'Match Names'!$1:$22, 7, FALSE), ""!C3:R29"")), {6;16;20;24}, FALSE)), 'Player Overall Stats Unsorted'!$AA$9:$AA$12), ""=X"")) + (4 - COUNTIF(IFERROR(ARRAYFORMULA(HLOOKUP($B52, IMPORTRANGE('Match Names'!$H$23, CONCAT(VLOOKUP($"&amp;"C52, 'Match Names'!$1:$22, 8, FALSE), ""!C3:R29"")), {2;8;14;20}, FALSE)), 'Player Overall Stats Unsorted'!$AA$9:$AA$12), ""=X""))"),20.0)</f>
        <v>20</v>
      </c>
      <c r="E52" s="32">
        <f>IFERROR(__xludf.DUMMYFUNCTION("COUNTIF(ARRAYFORMULA(HLOOKUP($B52, IMPORTRANGE('Prelim Rankings Unsorted'!$B$40, CONCAT(VLOOKUP($C52, 'Match Names'!$A$1:$D$22, 2, FALSE), ""!C3:R29"")), {2;7;13;19}, FALSE)), ""=4"") + COUNTIF(ARRAYFORMULA(HLOOKUP($B52, IMPORTRANGE('Prelim Rankings Unsor"&amp;"ted'!$B$41, CONCAT(VLOOKUP($C52, 'Match Names'!$A$1:$D$22, 3, FALSE), ""!C3:R29"")), {3;9;15;21}, FALSE)), ""=4"") + COUNTIF(ARRAYFORMULA(HLOOKUP($B52, IMPORTRANGE('Prelim Rankings Unsorted'!$B$42, CONCAT(VLOOKUP($C52, 'Match Names'!$A$1:$D$22, 4, FALSE),"&amp;" ""!C3:R29"")), {3;9;15;21}, FALSE)), ""=4"") + COUNTIF(ARRAYFORMULA(HLOOKUP($B52, IMPORTRANGE('Match Names'!$E$23, CONCAT(VLOOKUP($C52, 'Match Names'!$1:$22, 5, FALSE), ""!C3:R29"")), {9;14;19;24}, FALSE)), ""=4"") + COUNTIF(ARRAYFORMULA(HLOOKUP($B52, IM"&amp;"PORTRANGE('Match Names'!$F$23, CONCAT(VLOOKUP($C52, 'Match Names'!$1:$22, 6, FALSE), ""!C3:R29"")), {2;8;14;20}, FALSE)), ""=4"") + COUNTIF(ARRAYFORMULA(HLOOKUP($B52, IMPORTRANGE('Match Names'!$G$23, CONCAT(VLOOKUP($C52, 'Match Names'!$1:$22, 7, FALSE), "&amp;"""!C3:R29"")), {6;16;20;24}, FALSE)), ""=4"") + COUNTIF(ARRAYFORMULA(HLOOKUP($B52, IMPORTRANGE('Match Names'!$H$23, CONCAT(VLOOKUP($C52, 'Match Names'!$1:$22, 8, FALSE), ""!C3:R29"")), {2;8;14;20}, FALSE)), ""=4"")"),0.0)</f>
        <v>0</v>
      </c>
      <c r="F52" s="32">
        <f>IFERROR(__xludf.DUMMYFUNCTION("COUNTIF(ARRAYFORMULA(HLOOKUP($B52, IMPORTRANGE('Prelim Rankings Unsorted'!$B$40, CONCAT(VLOOKUP($C52, 'Match Names'!$A$1:$D$22, 2, FALSE), ""!C3:R29"")), {2;7;13;19}, FALSE)), ""=0"") + COUNTIF(ARRAYFORMULA(HLOOKUP($B52, IMPORTRANGE('Prelim Rankings Unsor"&amp;"ted'!$B$41, CONCAT(VLOOKUP($C52, 'Match Names'!$A$1:$D$22, 3, FALSE), ""!C3:R29"")), {3;9;15;21}, FALSE)), ""=0"") + COUNTIF(ARRAYFORMULA(HLOOKUP($B52, IMPORTRANGE('Prelim Rankings Unsorted'!$B$42, CONCAT(VLOOKUP($C52, 'Match Names'!$A$1:$D$22, 4, FALSE),"&amp;" ""!C3:R29"")), {3;9;15;21}, FALSE)), ""=0"") + COUNTIF(ARRAYFORMULA(HLOOKUP($B52, IMPORTRANGE('Match Names'!$E$23, CONCAT(VLOOKUP($C52, 'Match Names'!$1:$22, 5, FALSE), ""!C3:R29"")), {9;14;19;24}, FALSE)), ""=0"") + COUNTIF(ARRAYFORMULA(HLOOKUP($B52, IM"&amp;"PORTRANGE('Match Names'!$F$23, CONCAT(VLOOKUP($C52, 'Match Names'!$1:$22, 6, FALSE), ""!C3:R29"")), {2;8;14;20}, FALSE)), ""=0"") + COUNTIF(ARRAYFORMULA(HLOOKUP($B52, IMPORTRANGE('Match Names'!$G$23, CONCAT(VLOOKUP($C52, 'Match Names'!$1:$22, 7, FALSE), "&amp;"""!C3:R29"")), {6;16;20;24}, FALSE)), ""=0"") + COUNTIF(ARRAYFORMULA(HLOOKUP($B52, IMPORTRANGE('Match Names'!$H$23, CONCAT(VLOOKUP($C52, 'Match Names'!$1:$22, 8, FALSE), ""!C3:R29"")), {2;8;14;20}, FALSE)), ""=0"")"),1.0)</f>
        <v>1</v>
      </c>
      <c r="G52" s="32">
        <f>IFERROR(__xludf.DUMMYFUNCTION("COUNTIF(ARRAYFORMULA(HLOOKUP($B52, IMPORTRANGE('Prelim Rankings Unsorted'!$B$40, CONCAT(VLOOKUP($C52, 'Match Names'!$A$1:$D$22, 2, FALSE), ""!C3:R29"")), {2;7;13;19}, FALSE)), ""=-4"") + COUNTIF(ARRAYFORMULA(HLOOKUP($B52, IMPORTRANGE('Prelim Rankings Unso"&amp;"rted'!$B$41, CONCAT(VLOOKUP($C52, 'Match Names'!$A$1:$D$22, 3, FALSE), ""!C3:R29"")), {3;9;15;21}, FALSE)), ""=-4"") + COUNTIF(ARRAYFORMULA(HLOOKUP($B52, IMPORTRANGE('Prelim Rankings Unsorted'!$B$42, CONCAT(VLOOKUP($C52, 'Match Names'!$A$1:$D$22, 4, FALSE"&amp;"), ""!C3:R29"")), {3;9;15;21}, FALSE)), ""=-4"") + COUNTIF(ARRAYFORMULA(HLOOKUP($B52, IMPORTRANGE('Match Names'!$E$23, CONCAT(VLOOKUP($C52, 'Match Names'!$1:$22, 5, FALSE), ""!C3:R29"")), {9;14;19;24}, FALSE)), ""=-4"") + COUNTIF(ARRAYFORMULA(HLOOKUP($B52"&amp;", IMPORTRANGE('Match Names'!$F$23, CONCAT(VLOOKUP($C52, 'Match Names'!$1:$22, 6, FALSE), ""!C3:R29"")), {2;8;14;20}, FALSE)), ""=-4"") + COUNTIF(ARRAYFORMULA(HLOOKUP($B52, IMPORTRANGE('Match Names'!$G$23, CONCAT(VLOOKUP($C52, 'Match Names'!$1:$22, 7, FALS"&amp;"E), ""!C3:R29"")), {6;16;20;24}, FALSE)), ""=-4"") + COUNTIF(ARRAYFORMULA(HLOOKUP($B52, IMPORTRANGE('Match Names'!$H$23, CONCAT(VLOOKUP($C52, 'Match Names'!$1:$22, 8, FALSE), ""!C3:R29"")), {2;8;14;20}, FALSE)), ""=-4"")"),0.0)</f>
        <v>0</v>
      </c>
      <c r="H52" s="33">
        <f t="shared" si="1"/>
        <v>0</v>
      </c>
    </row>
    <row r="53">
      <c r="A53" s="21" t="s">
        <v>188</v>
      </c>
      <c r="B53" s="31" t="str">
        <f>VLOOKUP(CONCAT(A53, C53), 'Discord Username to Real Name'!C:D, 2, FALSE)</f>
        <v>Allusion#0092</v>
      </c>
      <c r="C53" s="21" t="s">
        <v>29</v>
      </c>
      <c r="D53" s="32">
        <f>IFERROR(__xludf.DUMMYFUNCTION("(4 - COUNTIF(IFERROR(ARRAYFORMULA(HLOOKUP($B53, IMPORTRANGE('Prelim Rankings Unsorted'!$B$40, CONCAT(VLOOKUP($C53, 'Match Names'!$A$1:$D$22, 2, FALSE), ""!C3:R29"")), {2;7;13;19}, FALSE)), 'Player Overall Stats Unsorted'!$AA$9:$AA$12), ""=X"")) + (4 - COU"&amp;"NTIF(IFERROR(ARRAYFORMULA(HLOOKUP($B53, IMPORTRANGE('Prelim Rankings Unsorted'!$B$41, CONCAT(VLOOKUP($C53, 'Match Names'!$A$1:$D$22, 3, FALSE), ""!C3:R29"")), {3;9;15;21}, FALSE)), 'Player Overall Stats Unsorted'!$AA$9:$AA$12), ""=X"")) + (4 - COUNTIF(IFE"&amp;"RROR(ARRAYFORMULA(HLOOKUP($B53, IMPORTRANGE('Prelim Rankings Unsorted'!$B$42, CONCAT(VLOOKUP($C53, 'Match Names'!$A$1:$D$22, 4, FALSE), ""!C3:R29"")), {3;9;15;21}, FALSE)), 'Player Overall Stats Unsorted'!$AA$9:$AA$12), ""=X"")) + (4 - COUNTIF(IFERROR(ARR"&amp;"AYFORMULA(HLOOKUP($B53, IMPORTRANGE('Match Names'!$E$23, CONCAT(VLOOKUP($C53, 'Match Names'!$1:$22, 5, FALSE), ""!C3:R29"")), {9;14;19;24}, FALSE)), 'Player Overall Stats Unsorted'!$AA$9:$AA$12), ""=X"")) + (4 - COUNTIF(IFERROR(ARRAYFORMULA(HLOOKUP($B53, "&amp;"IMPORTRANGE('Match Names'!$F$23, CONCAT(VLOOKUP($C53, 'Match Names'!$1:$22, 6, FALSE), ""!C3:R29"")), {2;8;14;20}, FALSE)), 'Player Overall Stats Unsorted'!$AA$9:$AA$12), ""=X"")) + (4 - COUNTIF(IFERROR(ARRAYFORMULA(HLOOKUP($B53, IMPORTRANGE('Match Names'"&amp;"!$G$23, CONCAT(VLOOKUP($C53, 'Match Names'!$1:$22, 7, FALSE), ""!C3:R29"")), {6;16;20;24}, FALSE)), 'Player Overall Stats Unsorted'!$AA$9:$AA$12), ""=X"")) + (4 - COUNTIF(IFERROR(ARRAYFORMULA(HLOOKUP($B53, IMPORTRANGE('Match Names'!$H$23, CONCAT(VLOOKUP($"&amp;"C53, 'Match Names'!$1:$22, 8, FALSE), ""!C3:R29"")), {2;8;14;20}, FALSE)), 'Player Overall Stats Unsorted'!$AA$9:$AA$12), ""=X""))"),4.0)</f>
        <v>4</v>
      </c>
      <c r="E53" s="32">
        <f>IFERROR(__xludf.DUMMYFUNCTION("COUNTIF(ARRAYFORMULA(HLOOKUP($B53, IMPORTRANGE('Prelim Rankings Unsorted'!$B$40, CONCAT(VLOOKUP($C53, 'Match Names'!$A$1:$D$22, 2, FALSE), ""!C3:R29"")), {2;7;13;19}, FALSE)), ""=4"") + COUNTIF(ARRAYFORMULA(HLOOKUP($B53, IMPORTRANGE('Prelim Rankings Unsor"&amp;"ted'!$B$41, CONCAT(VLOOKUP($C53, 'Match Names'!$A$1:$D$22, 3, FALSE), ""!C3:R29"")), {3;9;15;21}, FALSE)), ""=4"") + COUNTIF(ARRAYFORMULA(HLOOKUP($B53, IMPORTRANGE('Prelim Rankings Unsorted'!$B$42, CONCAT(VLOOKUP($C53, 'Match Names'!$A$1:$D$22, 4, FALSE),"&amp;" ""!C3:R29"")), {3;9;15;21}, FALSE)), ""=4"") + COUNTIF(ARRAYFORMULA(HLOOKUP($B53, IMPORTRANGE('Match Names'!$E$23, CONCAT(VLOOKUP($C53, 'Match Names'!$1:$22, 5, FALSE), ""!C3:R29"")), {9;14;19;24}, FALSE)), ""=4"") + COUNTIF(ARRAYFORMULA(HLOOKUP($B53, IM"&amp;"PORTRANGE('Match Names'!$F$23, CONCAT(VLOOKUP($C53, 'Match Names'!$1:$22, 6, FALSE), ""!C3:R29"")), {2;8;14;20}, FALSE)), ""=4"") + COUNTIF(ARRAYFORMULA(HLOOKUP($B53, IMPORTRANGE('Match Names'!$G$23, CONCAT(VLOOKUP($C53, 'Match Names'!$1:$22, 7, FALSE), "&amp;"""!C3:R29"")), {6;16;20;24}, FALSE)), ""=4"") + COUNTIF(ARRAYFORMULA(HLOOKUP($B53, IMPORTRANGE('Match Names'!$H$23, CONCAT(VLOOKUP($C53, 'Match Names'!$1:$22, 8, FALSE), ""!C3:R29"")), {2;8;14;20}, FALSE)), ""=4"")"),0.0)</f>
        <v>0</v>
      </c>
      <c r="F53" s="32">
        <f>IFERROR(__xludf.DUMMYFUNCTION("COUNTIF(ARRAYFORMULA(HLOOKUP($B53, IMPORTRANGE('Prelim Rankings Unsorted'!$B$40, CONCAT(VLOOKUP($C53, 'Match Names'!$A$1:$D$22, 2, FALSE), ""!C3:R29"")), {2;7;13;19}, FALSE)), ""=0"") + COUNTIF(ARRAYFORMULA(HLOOKUP($B53, IMPORTRANGE('Prelim Rankings Unsor"&amp;"ted'!$B$41, CONCAT(VLOOKUP($C53, 'Match Names'!$A$1:$D$22, 3, FALSE), ""!C3:R29"")), {3;9;15;21}, FALSE)), ""=0"") + COUNTIF(ARRAYFORMULA(HLOOKUP($B53, IMPORTRANGE('Prelim Rankings Unsorted'!$B$42, CONCAT(VLOOKUP($C53, 'Match Names'!$A$1:$D$22, 4, FALSE),"&amp;" ""!C3:R29"")), {3;9;15;21}, FALSE)), ""=0"") + COUNTIF(ARRAYFORMULA(HLOOKUP($B53, IMPORTRANGE('Match Names'!$E$23, CONCAT(VLOOKUP($C53, 'Match Names'!$1:$22, 5, FALSE), ""!C3:R29"")), {9;14;19;24}, FALSE)), ""=0"") + COUNTIF(ARRAYFORMULA(HLOOKUP($B53, IM"&amp;"PORTRANGE('Match Names'!$F$23, CONCAT(VLOOKUP($C53, 'Match Names'!$1:$22, 6, FALSE), ""!C3:R29"")), {2;8;14;20}, FALSE)), ""=0"") + COUNTIF(ARRAYFORMULA(HLOOKUP($B53, IMPORTRANGE('Match Names'!$G$23, CONCAT(VLOOKUP($C53, 'Match Names'!$1:$22, 7, FALSE), "&amp;"""!C3:R29"")), {6;16;20;24}, FALSE)), ""=0"") + COUNTIF(ARRAYFORMULA(HLOOKUP($B53, IMPORTRANGE('Match Names'!$H$23, CONCAT(VLOOKUP($C53, 'Match Names'!$1:$22, 8, FALSE), ""!C3:R29"")), {2;8;14;20}, FALSE)), ""=0"")"),0.0)</f>
        <v>0</v>
      </c>
      <c r="G53" s="32">
        <f>IFERROR(__xludf.DUMMYFUNCTION("COUNTIF(ARRAYFORMULA(HLOOKUP($B53, IMPORTRANGE('Prelim Rankings Unsorted'!$B$40, CONCAT(VLOOKUP($C53, 'Match Names'!$A$1:$D$22, 2, FALSE), ""!C3:R29"")), {2;7;13;19}, FALSE)), ""=-4"") + COUNTIF(ARRAYFORMULA(HLOOKUP($B53, IMPORTRANGE('Prelim Rankings Unso"&amp;"rted'!$B$41, CONCAT(VLOOKUP($C53, 'Match Names'!$A$1:$D$22, 3, FALSE), ""!C3:R29"")), {3;9;15;21}, FALSE)), ""=-4"") + COUNTIF(ARRAYFORMULA(HLOOKUP($B53, IMPORTRANGE('Prelim Rankings Unsorted'!$B$42, CONCAT(VLOOKUP($C53, 'Match Names'!$A$1:$D$22, 4, FALSE"&amp;"), ""!C3:R29"")), {3;9;15;21}, FALSE)), ""=-4"") + COUNTIF(ARRAYFORMULA(HLOOKUP($B53, IMPORTRANGE('Match Names'!$E$23, CONCAT(VLOOKUP($C53, 'Match Names'!$1:$22, 5, FALSE), ""!C3:R29"")), {9;14;19;24}, FALSE)), ""=-4"") + COUNTIF(ARRAYFORMULA(HLOOKUP($B53"&amp;", IMPORTRANGE('Match Names'!$F$23, CONCAT(VLOOKUP($C53, 'Match Names'!$1:$22, 6, FALSE), ""!C3:R29"")), {2;8;14;20}, FALSE)), ""=-4"") + COUNTIF(ARRAYFORMULA(HLOOKUP($B53, IMPORTRANGE('Match Names'!$G$23, CONCAT(VLOOKUP($C53, 'Match Names'!$1:$22, 7, FALS"&amp;"E), ""!C3:R29"")), {6;16;20;24}, FALSE)), ""=-4"") + COUNTIF(ARRAYFORMULA(HLOOKUP($B53, IMPORTRANGE('Match Names'!$H$23, CONCAT(VLOOKUP($C53, 'Match Names'!$1:$22, 8, FALSE), ""!C3:R29"")), {2;8;14;20}, FALSE)), ""=-4"")"),0.0)</f>
        <v>0</v>
      </c>
      <c r="H53" s="33">
        <f t="shared" si="1"/>
        <v>0</v>
      </c>
    </row>
    <row r="54">
      <c r="A54" s="21" t="s">
        <v>81</v>
      </c>
      <c r="B54" s="31" t="str">
        <f>VLOOKUP(CONCAT(A54, C54), 'Discord Username to Real Name'!C:D, 2, FALSE)</f>
        <v>grassisgood#9863</v>
      </c>
      <c r="C54" s="21" t="s">
        <v>29</v>
      </c>
      <c r="D54" s="32">
        <f>IFERROR(__xludf.DUMMYFUNCTION("(4 - COUNTIF(IFERROR(ARRAYFORMULA(HLOOKUP($B54, IMPORTRANGE('Prelim Rankings Unsorted'!$B$40, CONCAT(VLOOKUP($C54, 'Match Names'!$A$1:$D$22, 2, FALSE), ""!C3:R29"")), {2;7;13;19}, FALSE)), 'Player Overall Stats Unsorted'!$AA$9:$AA$12), ""=X"")) + (4 - COU"&amp;"NTIF(IFERROR(ARRAYFORMULA(HLOOKUP($B54, IMPORTRANGE('Prelim Rankings Unsorted'!$B$41, CONCAT(VLOOKUP($C54, 'Match Names'!$A$1:$D$22, 3, FALSE), ""!C3:R29"")), {3;9;15;21}, FALSE)), 'Player Overall Stats Unsorted'!$AA$9:$AA$12), ""=X"")) + (4 - COUNTIF(IFE"&amp;"RROR(ARRAYFORMULA(HLOOKUP($B54, IMPORTRANGE('Prelim Rankings Unsorted'!$B$42, CONCAT(VLOOKUP($C54, 'Match Names'!$A$1:$D$22, 4, FALSE), ""!C3:R29"")), {3;9;15;21}, FALSE)), 'Player Overall Stats Unsorted'!$AA$9:$AA$12), ""=X"")) + (4 - COUNTIF(IFERROR(ARR"&amp;"AYFORMULA(HLOOKUP($B54, IMPORTRANGE('Match Names'!$E$23, CONCAT(VLOOKUP($C54, 'Match Names'!$1:$22, 5, FALSE), ""!C3:R29"")), {9;14;19;24}, FALSE)), 'Player Overall Stats Unsorted'!$AA$9:$AA$12), ""=X"")) + (4 - COUNTIF(IFERROR(ARRAYFORMULA(HLOOKUP($B54, "&amp;"IMPORTRANGE('Match Names'!$F$23, CONCAT(VLOOKUP($C54, 'Match Names'!$1:$22, 6, FALSE), ""!C3:R29"")), {2;8;14;20}, FALSE)), 'Player Overall Stats Unsorted'!$AA$9:$AA$12), ""=X"")) + (4 - COUNTIF(IFERROR(ARRAYFORMULA(HLOOKUP($B54, IMPORTRANGE('Match Names'"&amp;"!$G$23, CONCAT(VLOOKUP($C54, 'Match Names'!$1:$22, 7, FALSE), ""!C3:R29"")), {6;16;20;24}, FALSE)), 'Player Overall Stats Unsorted'!$AA$9:$AA$12), ""=X"")) + (4 - COUNTIF(IFERROR(ARRAYFORMULA(HLOOKUP($B54, IMPORTRANGE('Match Names'!$H$23, CONCAT(VLOOKUP($"&amp;"C54, 'Match Names'!$1:$22, 8, FALSE), ""!C3:R29"")), {2;8;14;20}, FALSE)), 'Player Overall Stats Unsorted'!$AA$9:$AA$12), ""=X""))"),20.0)</f>
        <v>20</v>
      </c>
      <c r="E54" s="32">
        <f>IFERROR(__xludf.DUMMYFUNCTION("COUNTIF(ARRAYFORMULA(HLOOKUP($B54, IMPORTRANGE('Prelim Rankings Unsorted'!$B$40, CONCAT(VLOOKUP($C54, 'Match Names'!$A$1:$D$22, 2, FALSE), ""!C3:R29"")), {2;7;13;19}, FALSE)), ""=4"") + COUNTIF(ARRAYFORMULA(HLOOKUP($B54, IMPORTRANGE('Prelim Rankings Unsor"&amp;"ted'!$B$41, CONCAT(VLOOKUP($C54, 'Match Names'!$A$1:$D$22, 3, FALSE), ""!C3:R29"")), {3;9;15;21}, FALSE)), ""=4"") + COUNTIF(ARRAYFORMULA(HLOOKUP($B54, IMPORTRANGE('Prelim Rankings Unsorted'!$B$42, CONCAT(VLOOKUP($C54, 'Match Names'!$A$1:$D$22, 4, FALSE),"&amp;" ""!C3:R29"")), {3;9;15;21}, FALSE)), ""=4"") + COUNTIF(ARRAYFORMULA(HLOOKUP($B54, IMPORTRANGE('Match Names'!$E$23, CONCAT(VLOOKUP($C54, 'Match Names'!$1:$22, 5, FALSE), ""!C3:R29"")), {9;14;19;24}, FALSE)), ""=4"") + COUNTIF(ARRAYFORMULA(HLOOKUP($B54, IM"&amp;"PORTRANGE('Match Names'!$F$23, CONCAT(VLOOKUP($C54, 'Match Names'!$1:$22, 6, FALSE), ""!C3:R29"")), {2;8;14;20}, FALSE)), ""=4"") + COUNTIF(ARRAYFORMULA(HLOOKUP($B54, IMPORTRANGE('Match Names'!$G$23, CONCAT(VLOOKUP($C54, 'Match Names'!$1:$22, 7, FALSE), "&amp;"""!C3:R29"")), {6;16;20;24}, FALSE)), ""=4"") + COUNTIF(ARRAYFORMULA(HLOOKUP($B54, IMPORTRANGE('Match Names'!$H$23, CONCAT(VLOOKUP($C54, 'Match Names'!$1:$22, 8, FALSE), ""!C3:R29"")), {2;8;14;20}, FALSE)), ""=4"")"),11.0)</f>
        <v>11</v>
      </c>
      <c r="F54" s="32">
        <f>IFERROR(__xludf.DUMMYFUNCTION("COUNTIF(ARRAYFORMULA(HLOOKUP($B54, IMPORTRANGE('Prelim Rankings Unsorted'!$B$40, CONCAT(VLOOKUP($C54, 'Match Names'!$A$1:$D$22, 2, FALSE), ""!C3:R29"")), {2;7;13;19}, FALSE)), ""=0"") + COUNTIF(ARRAYFORMULA(HLOOKUP($B54, IMPORTRANGE('Prelim Rankings Unsor"&amp;"ted'!$B$41, CONCAT(VLOOKUP($C54, 'Match Names'!$A$1:$D$22, 3, FALSE), ""!C3:R29"")), {3;9;15;21}, FALSE)), ""=0"") + COUNTIF(ARRAYFORMULA(HLOOKUP($B54, IMPORTRANGE('Prelim Rankings Unsorted'!$B$42, CONCAT(VLOOKUP($C54, 'Match Names'!$A$1:$D$22, 4, FALSE),"&amp;" ""!C3:R29"")), {3;9;15;21}, FALSE)), ""=0"") + COUNTIF(ARRAYFORMULA(HLOOKUP($B54, IMPORTRANGE('Match Names'!$E$23, CONCAT(VLOOKUP($C54, 'Match Names'!$1:$22, 5, FALSE), ""!C3:R29"")), {9;14;19;24}, FALSE)), ""=0"") + COUNTIF(ARRAYFORMULA(HLOOKUP($B54, IM"&amp;"PORTRANGE('Match Names'!$F$23, CONCAT(VLOOKUP($C54, 'Match Names'!$1:$22, 6, FALSE), ""!C3:R29"")), {2;8;14;20}, FALSE)), ""=0"") + COUNTIF(ARRAYFORMULA(HLOOKUP($B54, IMPORTRANGE('Match Names'!$G$23, CONCAT(VLOOKUP($C54, 'Match Names'!$1:$22, 7, FALSE), "&amp;"""!C3:R29"")), {6;16;20;24}, FALSE)), ""=0"") + COUNTIF(ARRAYFORMULA(HLOOKUP($B54, IMPORTRANGE('Match Names'!$H$23, CONCAT(VLOOKUP($C54, 'Match Names'!$1:$22, 8, FALSE), ""!C3:R29"")), {2;8;14;20}, FALSE)), ""=0"")"),3.0)</f>
        <v>3</v>
      </c>
      <c r="G54" s="32">
        <f>IFERROR(__xludf.DUMMYFUNCTION("COUNTIF(ARRAYFORMULA(HLOOKUP($B54, IMPORTRANGE('Prelim Rankings Unsorted'!$B$40, CONCAT(VLOOKUP($C54, 'Match Names'!$A$1:$D$22, 2, FALSE), ""!C3:R29"")), {2;7;13;19}, FALSE)), ""=-4"") + COUNTIF(ARRAYFORMULA(HLOOKUP($B54, IMPORTRANGE('Prelim Rankings Unso"&amp;"rted'!$B$41, CONCAT(VLOOKUP($C54, 'Match Names'!$A$1:$D$22, 3, FALSE), ""!C3:R29"")), {3;9;15;21}, FALSE)), ""=-4"") + COUNTIF(ARRAYFORMULA(HLOOKUP($B54, IMPORTRANGE('Prelim Rankings Unsorted'!$B$42, CONCAT(VLOOKUP($C54, 'Match Names'!$A$1:$D$22, 4, FALSE"&amp;"), ""!C3:R29"")), {3;9;15;21}, FALSE)), ""=-4"") + COUNTIF(ARRAYFORMULA(HLOOKUP($B54, IMPORTRANGE('Match Names'!$E$23, CONCAT(VLOOKUP($C54, 'Match Names'!$1:$22, 5, FALSE), ""!C3:R29"")), {9;14;19;24}, FALSE)), ""=-4"") + COUNTIF(ARRAYFORMULA(HLOOKUP($B54"&amp;", IMPORTRANGE('Match Names'!$F$23, CONCAT(VLOOKUP($C54, 'Match Names'!$1:$22, 6, FALSE), ""!C3:R29"")), {2;8;14;20}, FALSE)), ""=-4"") + COUNTIF(ARRAYFORMULA(HLOOKUP($B54, IMPORTRANGE('Match Names'!$G$23, CONCAT(VLOOKUP($C54, 'Match Names'!$1:$22, 7, FALS"&amp;"E), ""!C3:R29"")), {6;16;20;24}, FALSE)), ""=-4"") + COUNTIF(ARRAYFORMULA(HLOOKUP($B54, IMPORTRANGE('Match Names'!$H$23, CONCAT(VLOOKUP($C54, 'Match Names'!$1:$22, 8, FALSE), ""!C3:R29"")), {2;8;14;20}, FALSE)), ""=-4"")"),0.0)</f>
        <v>0</v>
      </c>
      <c r="H54" s="33">
        <f t="shared" si="1"/>
        <v>8.8</v>
      </c>
    </row>
    <row r="55">
      <c r="A55" s="21" t="s">
        <v>190</v>
      </c>
      <c r="B55" s="31" t="str">
        <f>VLOOKUP(CONCAT(A55, C55), 'Discord Username to Real Name'!C:D, 2, FALSE)</f>
        <v>bread#1582</v>
      </c>
      <c r="C55" s="21" t="s">
        <v>29</v>
      </c>
      <c r="D55" s="32">
        <f>IFERROR(__xludf.DUMMYFUNCTION("(4 - COUNTIF(IFERROR(ARRAYFORMULA(HLOOKUP($B55, IMPORTRANGE('Prelim Rankings Unsorted'!$B$40, CONCAT(VLOOKUP($C55, 'Match Names'!$A$1:$D$22, 2, FALSE), ""!C3:R29"")), {2;7;13;19}, FALSE)), 'Player Overall Stats Unsorted'!$AA$9:$AA$12), ""=X"")) + (4 - COU"&amp;"NTIF(IFERROR(ARRAYFORMULA(HLOOKUP($B55, IMPORTRANGE('Prelim Rankings Unsorted'!$B$41, CONCAT(VLOOKUP($C55, 'Match Names'!$A$1:$D$22, 3, FALSE), ""!C3:R29"")), {3;9;15;21}, FALSE)), 'Player Overall Stats Unsorted'!$AA$9:$AA$12), ""=X"")) + (4 - COUNTIF(IFE"&amp;"RROR(ARRAYFORMULA(HLOOKUP($B55, IMPORTRANGE('Prelim Rankings Unsorted'!$B$42, CONCAT(VLOOKUP($C55, 'Match Names'!$A$1:$D$22, 4, FALSE), ""!C3:R29"")), {3;9;15;21}, FALSE)), 'Player Overall Stats Unsorted'!$AA$9:$AA$12), ""=X"")) + (4 - COUNTIF(IFERROR(ARR"&amp;"AYFORMULA(HLOOKUP($B55, IMPORTRANGE('Match Names'!$E$23, CONCAT(VLOOKUP($C55, 'Match Names'!$1:$22, 5, FALSE), ""!C3:R29"")), {9;14;19;24}, FALSE)), 'Player Overall Stats Unsorted'!$AA$9:$AA$12), ""=X"")) + (4 - COUNTIF(IFERROR(ARRAYFORMULA(HLOOKUP($B55, "&amp;"IMPORTRANGE('Match Names'!$F$23, CONCAT(VLOOKUP($C55, 'Match Names'!$1:$22, 6, FALSE), ""!C3:R29"")), {2;8;14;20}, FALSE)), 'Player Overall Stats Unsorted'!$AA$9:$AA$12), ""=X"")) + (4 - COUNTIF(IFERROR(ARRAYFORMULA(HLOOKUP($B55, IMPORTRANGE('Match Names'"&amp;"!$G$23, CONCAT(VLOOKUP($C55, 'Match Names'!$1:$22, 7, FALSE), ""!C3:R29"")), {6;16;20;24}, FALSE)), 'Player Overall Stats Unsorted'!$AA$9:$AA$12), ""=X"")) + (4 - COUNTIF(IFERROR(ARRAYFORMULA(HLOOKUP($B55, IMPORTRANGE('Match Names'!$H$23, CONCAT(VLOOKUP($"&amp;"C55, 'Match Names'!$1:$22, 8, FALSE), ""!C3:R29"")), {2;8;14;20}, FALSE)), 'Player Overall Stats Unsorted'!$AA$9:$AA$12), ""=X""))"),4.0)</f>
        <v>4</v>
      </c>
      <c r="E55" s="32">
        <f>IFERROR(__xludf.DUMMYFUNCTION("COUNTIF(ARRAYFORMULA(HLOOKUP($B55, IMPORTRANGE('Prelim Rankings Unsorted'!$B$40, CONCAT(VLOOKUP($C55, 'Match Names'!$A$1:$D$22, 2, FALSE), ""!C3:R29"")), {2;7;13;19}, FALSE)), ""=4"") + COUNTIF(ARRAYFORMULA(HLOOKUP($B55, IMPORTRANGE('Prelim Rankings Unsor"&amp;"ted'!$B$41, CONCAT(VLOOKUP($C55, 'Match Names'!$A$1:$D$22, 3, FALSE), ""!C3:R29"")), {3;9;15;21}, FALSE)), ""=4"") + COUNTIF(ARRAYFORMULA(HLOOKUP($B55, IMPORTRANGE('Prelim Rankings Unsorted'!$B$42, CONCAT(VLOOKUP($C55, 'Match Names'!$A$1:$D$22, 4, FALSE),"&amp;" ""!C3:R29"")), {3;9;15;21}, FALSE)), ""=4"") + COUNTIF(ARRAYFORMULA(HLOOKUP($B55, IMPORTRANGE('Match Names'!$E$23, CONCAT(VLOOKUP($C55, 'Match Names'!$1:$22, 5, FALSE), ""!C3:R29"")), {9;14;19;24}, FALSE)), ""=4"") + COUNTIF(ARRAYFORMULA(HLOOKUP($B55, IM"&amp;"PORTRANGE('Match Names'!$F$23, CONCAT(VLOOKUP($C55, 'Match Names'!$1:$22, 6, FALSE), ""!C3:R29"")), {2;8;14;20}, FALSE)), ""=4"") + COUNTIF(ARRAYFORMULA(HLOOKUP($B55, IMPORTRANGE('Match Names'!$G$23, CONCAT(VLOOKUP($C55, 'Match Names'!$1:$22, 7, FALSE), "&amp;"""!C3:R29"")), {6;16;20;24}, FALSE)), ""=4"") + COUNTIF(ARRAYFORMULA(HLOOKUP($B55, IMPORTRANGE('Match Names'!$H$23, CONCAT(VLOOKUP($C55, 'Match Names'!$1:$22, 8, FALSE), ""!C3:R29"")), {2;8;14;20}, FALSE)), ""=4"")"),0.0)</f>
        <v>0</v>
      </c>
      <c r="F55" s="32">
        <f>IFERROR(__xludf.DUMMYFUNCTION("COUNTIF(ARRAYFORMULA(HLOOKUP($B55, IMPORTRANGE('Prelim Rankings Unsorted'!$B$40, CONCAT(VLOOKUP($C55, 'Match Names'!$A$1:$D$22, 2, FALSE), ""!C3:R29"")), {2;7;13;19}, FALSE)), ""=0"") + COUNTIF(ARRAYFORMULA(HLOOKUP($B55, IMPORTRANGE('Prelim Rankings Unsor"&amp;"ted'!$B$41, CONCAT(VLOOKUP($C55, 'Match Names'!$A$1:$D$22, 3, FALSE), ""!C3:R29"")), {3;9;15;21}, FALSE)), ""=0"") + COUNTIF(ARRAYFORMULA(HLOOKUP($B55, IMPORTRANGE('Prelim Rankings Unsorted'!$B$42, CONCAT(VLOOKUP($C55, 'Match Names'!$A$1:$D$22, 4, FALSE),"&amp;" ""!C3:R29"")), {3;9;15;21}, FALSE)), ""=0"") + COUNTIF(ARRAYFORMULA(HLOOKUP($B55, IMPORTRANGE('Match Names'!$E$23, CONCAT(VLOOKUP($C55, 'Match Names'!$1:$22, 5, FALSE), ""!C3:R29"")), {9;14;19;24}, FALSE)), ""=0"") + COUNTIF(ARRAYFORMULA(HLOOKUP($B55, IM"&amp;"PORTRANGE('Match Names'!$F$23, CONCAT(VLOOKUP($C55, 'Match Names'!$1:$22, 6, FALSE), ""!C3:R29"")), {2;8;14;20}, FALSE)), ""=0"") + COUNTIF(ARRAYFORMULA(HLOOKUP($B55, IMPORTRANGE('Match Names'!$G$23, CONCAT(VLOOKUP($C55, 'Match Names'!$1:$22, 7, FALSE), "&amp;"""!C3:R29"")), {6;16;20;24}, FALSE)), ""=0"") + COUNTIF(ARRAYFORMULA(HLOOKUP($B55, IMPORTRANGE('Match Names'!$H$23, CONCAT(VLOOKUP($C55, 'Match Names'!$1:$22, 8, FALSE), ""!C3:R29"")), {2;8;14;20}, FALSE)), ""=0"")"),0.0)</f>
        <v>0</v>
      </c>
      <c r="G55" s="32">
        <f>IFERROR(__xludf.DUMMYFUNCTION("COUNTIF(ARRAYFORMULA(HLOOKUP($B55, IMPORTRANGE('Prelim Rankings Unsorted'!$B$40, CONCAT(VLOOKUP($C55, 'Match Names'!$A$1:$D$22, 2, FALSE), ""!C3:R29"")), {2;7;13;19}, FALSE)), ""=-4"") + COUNTIF(ARRAYFORMULA(HLOOKUP($B55, IMPORTRANGE('Prelim Rankings Unso"&amp;"rted'!$B$41, CONCAT(VLOOKUP($C55, 'Match Names'!$A$1:$D$22, 3, FALSE), ""!C3:R29"")), {3;9;15;21}, FALSE)), ""=-4"") + COUNTIF(ARRAYFORMULA(HLOOKUP($B55, IMPORTRANGE('Prelim Rankings Unsorted'!$B$42, CONCAT(VLOOKUP($C55, 'Match Names'!$A$1:$D$22, 4, FALSE"&amp;"), ""!C3:R29"")), {3;9;15;21}, FALSE)), ""=-4"") + COUNTIF(ARRAYFORMULA(HLOOKUP($B55, IMPORTRANGE('Match Names'!$E$23, CONCAT(VLOOKUP($C55, 'Match Names'!$1:$22, 5, FALSE), ""!C3:R29"")), {9;14;19;24}, FALSE)), ""=-4"") + COUNTIF(ARRAYFORMULA(HLOOKUP($B55"&amp;", IMPORTRANGE('Match Names'!$F$23, CONCAT(VLOOKUP($C55, 'Match Names'!$1:$22, 6, FALSE), ""!C3:R29"")), {2;8;14;20}, FALSE)), ""=-4"") + COUNTIF(ARRAYFORMULA(HLOOKUP($B55, IMPORTRANGE('Match Names'!$G$23, CONCAT(VLOOKUP($C55, 'Match Names'!$1:$22, 7, FALS"&amp;"E), ""!C3:R29"")), {6;16;20;24}, FALSE)), ""=-4"") + COUNTIF(ARRAYFORMULA(HLOOKUP($B55, IMPORTRANGE('Match Names'!$H$23, CONCAT(VLOOKUP($C55, 'Match Names'!$1:$22, 8, FALSE), ""!C3:R29"")), {2;8;14;20}, FALSE)), ""=-4"")"),0.0)</f>
        <v>0</v>
      </c>
      <c r="H55" s="33">
        <f t="shared" si="1"/>
        <v>0</v>
      </c>
    </row>
    <row r="56">
      <c r="A56" s="21" t="s">
        <v>140</v>
      </c>
      <c r="B56" s="31" t="str">
        <f>VLOOKUP(CONCAT(A56, C56), 'Discord Username to Real Name'!C:D, 2, FALSE)</f>
        <v>Jonathan Hu#9386</v>
      </c>
      <c r="C56" s="21" t="s">
        <v>29</v>
      </c>
      <c r="D56" s="32">
        <f>IFERROR(__xludf.DUMMYFUNCTION("(4 - COUNTIF(IFERROR(ARRAYFORMULA(HLOOKUP($B56, IMPORTRANGE('Prelim Rankings Unsorted'!$B$40, CONCAT(VLOOKUP($C56, 'Match Names'!$A$1:$D$22, 2, FALSE), ""!C3:R29"")), {2;7;13;19}, FALSE)), 'Player Overall Stats Unsorted'!$AA$9:$AA$12), ""=X"")) + (4 - COU"&amp;"NTIF(IFERROR(ARRAYFORMULA(HLOOKUP($B56, IMPORTRANGE('Prelim Rankings Unsorted'!$B$41, CONCAT(VLOOKUP($C56, 'Match Names'!$A$1:$D$22, 3, FALSE), ""!C3:R29"")), {3;9;15;21}, FALSE)), 'Player Overall Stats Unsorted'!$AA$9:$AA$12), ""=X"")) + (4 - COUNTIF(IFE"&amp;"RROR(ARRAYFORMULA(HLOOKUP($B56, IMPORTRANGE('Prelim Rankings Unsorted'!$B$42, CONCAT(VLOOKUP($C56, 'Match Names'!$A$1:$D$22, 4, FALSE), ""!C3:R29"")), {3;9;15;21}, FALSE)), 'Player Overall Stats Unsorted'!$AA$9:$AA$12), ""=X"")) + (4 - COUNTIF(IFERROR(ARR"&amp;"AYFORMULA(HLOOKUP($B56, IMPORTRANGE('Match Names'!$E$23, CONCAT(VLOOKUP($C56, 'Match Names'!$1:$22, 5, FALSE), ""!C3:R29"")), {9;14;19;24}, FALSE)), 'Player Overall Stats Unsorted'!$AA$9:$AA$12), ""=X"")) + (4 - COUNTIF(IFERROR(ARRAYFORMULA(HLOOKUP($B56, "&amp;"IMPORTRANGE('Match Names'!$F$23, CONCAT(VLOOKUP($C56, 'Match Names'!$1:$22, 6, FALSE), ""!C3:R29"")), {2;8;14;20}, FALSE)), 'Player Overall Stats Unsorted'!$AA$9:$AA$12), ""=X"")) + (4 - COUNTIF(IFERROR(ARRAYFORMULA(HLOOKUP($B56, IMPORTRANGE('Match Names'"&amp;"!$G$23, CONCAT(VLOOKUP($C56, 'Match Names'!$1:$22, 7, FALSE), ""!C3:R29"")), {6;16;20;24}, FALSE)), 'Player Overall Stats Unsorted'!$AA$9:$AA$12), ""=X"")) + (4 - COUNTIF(IFERROR(ARRAYFORMULA(HLOOKUP($B56, IMPORTRANGE('Match Names'!$H$23, CONCAT(VLOOKUP($"&amp;"C56, 'Match Names'!$1:$22, 8, FALSE), ""!C3:R29"")), {2;8;14;20}, FALSE)), 'Player Overall Stats Unsorted'!$AA$9:$AA$12), ""=X""))"),16.0)</f>
        <v>16</v>
      </c>
      <c r="E56" s="32">
        <f>IFERROR(__xludf.DUMMYFUNCTION("COUNTIF(ARRAYFORMULA(HLOOKUP($B56, IMPORTRANGE('Prelim Rankings Unsorted'!$B$40, CONCAT(VLOOKUP($C56, 'Match Names'!$A$1:$D$22, 2, FALSE), ""!C3:R29"")), {2;7;13;19}, FALSE)), ""=4"") + COUNTIF(ARRAYFORMULA(HLOOKUP($B56, IMPORTRANGE('Prelim Rankings Unsor"&amp;"ted'!$B$41, CONCAT(VLOOKUP($C56, 'Match Names'!$A$1:$D$22, 3, FALSE), ""!C3:R29"")), {3;9;15;21}, FALSE)), ""=4"") + COUNTIF(ARRAYFORMULA(HLOOKUP($B56, IMPORTRANGE('Prelim Rankings Unsorted'!$B$42, CONCAT(VLOOKUP($C56, 'Match Names'!$A$1:$D$22, 4, FALSE),"&amp;" ""!C3:R29"")), {3;9;15;21}, FALSE)), ""=4"") + COUNTIF(ARRAYFORMULA(HLOOKUP($B56, IMPORTRANGE('Match Names'!$E$23, CONCAT(VLOOKUP($C56, 'Match Names'!$1:$22, 5, FALSE), ""!C3:R29"")), {9;14;19;24}, FALSE)), ""=4"") + COUNTIF(ARRAYFORMULA(HLOOKUP($B56, IM"&amp;"PORTRANGE('Match Names'!$F$23, CONCAT(VLOOKUP($C56, 'Match Names'!$1:$22, 6, FALSE), ""!C3:R29"")), {2;8;14;20}, FALSE)), ""=4"") + COUNTIF(ARRAYFORMULA(HLOOKUP($B56, IMPORTRANGE('Match Names'!$G$23, CONCAT(VLOOKUP($C56, 'Match Names'!$1:$22, 7, FALSE), "&amp;"""!C3:R29"")), {6;16;20;24}, FALSE)), ""=4"") + COUNTIF(ARRAYFORMULA(HLOOKUP($B56, IMPORTRANGE('Match Names'!$H$23, CONCAT(VLOOKUP($C56, 'Match Names'!$1:$22, 8, FALSE), ""!C3:R29"")), {2;8;14;20}, FALSE)), ""=4"")"),0.0)</f>
        <v>0</v>
      </c>
      <c r="F56" s="32">
        <f>IFERROR(__xludf.DUMMYFUNCTION("COUNTIF(ARRAYFORMULA(HLOOKUP($B56, IMPORTRANGE('Prelim Rankings Unsorted'!$B$40, CONCAT(VLOOKUP($C56, 'Match Names'!$A$1:$D$22, 2, FALSE), ""!C3:R29"")), {2;7;13;19}, FALSE)), ""=0"") + COUNTIF(ARRAYFORMULA(HLOOKUP($B56, IMPORTRANGE('Prelim Rankings Unsor"&amp;"ted'!$B$41, CONCAT(VLOOKUP($C56, 'Match Names'!$A$1:$D$22, 3, FALSE), ""!C3:R29"")), {3;9;15;21}, FALSE)), ""=0"") + COUNTIF(ARRAYFORMULA(HLOOKUP($B56, IMPORTRANGE('Prelim Rankings Unsorted'!$B$42, CONCAT(VLOOKUP($C56, 'Match Names'!$A$1:$D$22, 4, FALSE),"&amp;" ""!C3:R29"")), {3;9;15;21}, FALSE)), ""=0"") + COUNTIF(ARRAYFORMULA(HLOOKUP($B56, IMPORTRANGE('Match Names'!$E$23, CONCAT(VLOOKUP($C56, 'Match Names'!$1:$22, 5, FALSE), ""!C3:R29"")), {9;14;19;24}, FALSE)), ""=0"") + COUNTIF(ARRAYFORMULA(HLOOKUP($B56, IM"&amp;"PORTRANGE('Match Names'!$F$23, CONCAT(VLOOKUP($C56, 'Match Names'!$1:$22, 6, FALSE), ""!C3:R29"")), {2;8;14;20}, FALSE)), ""=0"") + COUNTIF(ARRAYFORMULA(HLOOKUP($B56, IMPORTRANGE('Match Names'!$G$23, CONCAT(VLOOKUP($C56, 'Match Names'!$1:$22, 7, FALSE), "&amp;"""!C3:R29"")), {6;16;20;24}, FALSE)), ""=0"") + COUNTIF(ARRAYFORMULA(HLOOKUP($B56, IMPORTRANGE('Match Names'!$H$23, CONCAT(VLOOKUP($C56, 'Match Names'!$1:$22, 8, FALSE), ""!C3:R29"")), {2;8;14;20}, FALSE)), ""=0"")"),0.0)</f>
        <v>0</v>
      </c>
      <c r="G56" s="32">
        <f>IFERROR(__xludf.DUMMYFUNCTION("COUNTIF(ARRAYFORMULA(HLOOKUP($B56, IMPORTRANGE('Prelim Rankings Unsorted'!$B$40, CONCAT(VLOOKUP($C56, 'Match Names'!$A$1:$D$22, 2, FALSE), ""!C3:R29"")), {2;7;13;19}, FALSE)), ""=-4"") + COUNTIF(ARRAYFORMULA(HLOOKUP($B56, IMPORTRANGE('Prelim Rankings Unso"&amp;"rted'!$B$41, CONCAT(VLOOKUP($C56, 'Match Names'!$A$1:$D$22, 3, FALSE), ""!C3:R29"")), {3;9;15;21}, FALSE)), ""=-4"") + COUNTIF(ARRAYFORMULA(HLOOKUP($B56, IMPORTRANGE('Prelim Rankings Unsorted'!$B$42, CONCAT(VLOOKUP($C56, 'Match Names'!$A$1:$D$22, 4, FALSE"&amp;"), ""!C3:R29"")), {3;9;15;21}, FALSE)), ""=-4"") + COUNTIF(ARRAYFORMULA(HLOOKUP($B56, IMPORTRANGE('Match Names'!$E$23, CONCAT(VLOOKUP($C56, 'Match Names'!$1:$22, 5, FALSE), ""!C3:R29"")), {9;14;19;24}, FALSE)), ""=-4"") + COUNTIF(ARRAYFORMULA(HLOOKUP($B56"&amp;", IMPORTRANGE('Match Names'!$F$23, CONCAT(VLOOKUP($C56, 'Match Names'!$1:$22, 6, FALSE), ""!C3:R29"")), {2;8;14;20}, FALSE)), ""=-4"") + COUNTIF(ARRAYFORMULA(HLOOKUP($B56, IMPORTRANGE('Match Names'!$G$23, CONCAT(VLOOKUP($C56, 'Match Names'!$1:$22, 7, FALS"&amp;"E), ""!C3:R29"")), {6;16;20;24}, FALSE)), ""=-4"") + COUNTIF(ARRAYFORMULA(HLOOKUP($B56, IMPORTRANGE('Match Names'!$H$23, CONCAT(VLOOKUP($C56, 'Match Names'!$1:$22, 8, FALSE), ""!C3:R29"")), {2;8;14;20}, FALSE)), ""=-4"")"),0.0)</f>
        <v>0</v>
      </c>
      <c r="H56" s="33">
        <f t="shared" si="1"/>
        <v>0</v>
      </c>
    </row>
    <row r="57">
      <c r="A57" s="21" t="s">
        <v>154</v>
      </c>
      <c r="B57" s="31" t="str">
        <f>VLOOKUP(CONCAT(A57, C57), 'Discord Username to Real Name'!C:D, 2, FALSE)</f>
        <v>Shinybro64#1122</v>
      </c>
      <c r="C57" s="21" t="s">
        <v>29</v>
      </c>
      <c r="D57" s="32">
        <f>IFERROR(__xludf.DUMMYFUNCTION("(4 - COUNTIF(IFERROR(ARRAYFORMULA(HLOOKUP($B57, IMPORTRANGE('Prelim Rankings Unsorted'!$B$40, CONCAT(VLOOKUP($C57, 'Match Names'!$A$1:$D$22, 2, FALSE), ""!C3:R29"")), {2;7;13;19}, FALSE)), 'Player Overall Stats Unsorted'!$AA$9:$AA$12), ""=X"")) + (4 - COU"&amp;"NTIF(IFERROR(ARRAYFORMULA(HLOOKUP($B57, IMPORTRANGE('Prelim Rankings Unsorted'!$B$41, CONCAT(VLOOKUP($C57, 'Match Names'!$A$1:$D$22, 3, FALSE), ""!C3:R29"")), {3;9;15;21}, FALSE)), 'Player Overall Stats Unsorted'!$AA$9:$AA$12), ""=X"")) + (4 - COUNTIF(IFE"&amp;"RROR(ARRAYFORMULA(HLOOKUP($B57, IMPORTRANGE('Prelim Rankings Unsorted'!$B$42, CONCAT(VLOOKUP($C57, 'Match Names'!$A$1:$D$22, 4, FALSE), ""!C3:R29"")), {3;9;15;21}, FALSE)), 'Player Overall Stats Unsorted'!$AA$9:$AA$12), ""=X"")) + (4 - COUNTIF(IFERROR(ARR"&amp;"AYFORMULA(HLOOKUP($B57, IMPORTRANGE('Match Names'!$E$23, CONCAT(VLOOKUP($C57, 'Match Names'!$1:$22, 5, FALSE), ""!C3:R29"")), {9;14;19;24}, FALSE)), 'Player Overall Stats Unsorted'!$AA$9:$AA$12), ""=X"")) + (4 - COUNTIF(IFERROR(ARRAYFORMULA(HLOOKUP($B57, "&amp;"IMPORTRANGE('Match Names'!$F$23, CONCAT(VLOOKUP($C57, 'Match Names'!$1:$22, 6, FALSE), ""!C3:R29"")), {2;8;14;20}, FALSE)), 'Player Overall Stats Unsorted'!$AA$9:$AA$12), ""=X"")) + (4 - COUNTIF(IFERROR(ARRAYFORMULA(HLOOKUP($B57, IMPORTRANGE('Match Names'"&amp;"!$G$23, CONCAT(VLOOKUP($C57, 'Match Names'!$1:$22, 7, FALSE), ""!C3:R29"")), {6;16;20;24}, FALSE)), 'Player Overall Stats Unsorted'!$AA$9:$AA$12), ""=X"")) + (4 - COUNTIF(IFERROR(ARRAYFORMULA(HLOOKUP($B57, IMPORTRANGE('Match Names'!$H$23, CONCAT(VLOOKUP($"&amp;"C57, 'Match Names'!$1:$22, 8, FALSE), ""!C3:R29"")), {2;8;14;20}, FALSE)), 'Player Overall Stats Unsorted'!$AA$9:$AA$12), ""=X""))"),16.0)</f>
        <v>16</v>
      </c>
      <c r="E57" s="32">
        <f>IFERROR(__xludf.DUMMYFUNCTION("COUNTIF(ARRAYFORMULA(HLOOKUP($B57, IMPORTRANGE('Prelim Rankings Unsorted'!$B$40, CONCAT(VLOOKUP($C57, 'Match Names'!$A$1:$D$22, 2, FALSE), ""!C3:R29"")), {2;7;13;19}, FALSE)), ""=4"") + COUNTIF(ARRAYFORMULA(HLOOKUP($B57, IMPORTRANGE('Prelim Rankings Unsor"&amp;"ted'!$B$41, CONCAT(VLOOKUP($C57, 'Match Names'!$A$1:$D$22, 3, FALSE), ""!C3:R29"")), {3;9;15;21}, FALSE)), ""=4"") + COUNTIF(ARRAYFORMULA(HLOOKUP($B57, IMPORTRANGE('Prelim Rankings Unsorted'!$B$42, CONCAT(VLOOKUP($C57, 'Match Names'!$A$1:$D$22, 4, FALSE),"&amp;" ""!C3:R29"")), {3;9;15;21}, FALSE)), ""=4"") + COUNTIF(ARRAYFORMULA(HLOOKUP($B57, IMPORTRANGE('Match Names'!$E$23, CONCAT(VLOOKUP($C57, 'Match Names'!$1:$22, 5, FALSE), ""!C3:R29"")), {9;14;19;24}, FALSE)), ""=4"") + COUNTIF(ARRAYFORMULA(HLOOKUP($B57, IM"&amp;"PORTRANGE('Match Names'!$F$23, CONCAT(VLOOKUP($C57, 'Match Names'!$1:$22, 6, FALSE), ""!C3:R29"")), {2;8;14;20}, FALSE)), ""=4"") + COUNTIF(ARRAYFORMULA(HLOOKUP($B57, IMPORTRANGE('Match Names'!$G$23, CONCAT(VLOOKUP($C57, 'Match Names'!$1:$22, 7, FALSE), "&amp;"""!C3:R29"")), {6;16;20;24}, FALSE)), ""=4"") + COUNTIF(ARRAYFORMULA(HLOOKUP($B57, IMPORTRANGE('Match Names'!$H$23, CONCAT(VLOOKUP($C57, 'Match Names'!$1:$22, 8, FALSE), ""!C3:R29"")), {2;8;14;20}, FALSE)), ""=4"")"),0.0)</f>
        <v>0</v>
      </c>
      <c r="F57" s="32">
        <f>IFERROR(__xludf.DUMMYFUNCTION("COUNTIF(ARRAYFORMULA(HLOOKUP($B57, IMPORTRANGE('Prelim Rankings Unsorted'!$B$40, CONCAT(VLOOKUP($C57, 'Match Names'!$A$1:$D$22, 2, FALSE), ""!C3:R29"")), {2;7;13;19}, FALSE)), ""=0"") + COUNTIF(ARRAYFORMULA(HLOOKUP($B57, IMPORTRANGE('Prelim Rankings Unsor"&amp;"ted'!$B$41, CONCAT(VLOOKUP($C57, 'Match Names'!$A$1:$D$22, 3, FALSE), ""!C3:R29"")), {3;9;15;21}, FALSE)), ""=0"") + COUNTIF(ARRAYFORMULA(HLOOKUP($B57, IMPORTRANGE('Prelim Rankings Unsorted'!$B$42, CONCAT(VLOOKUP($C57, 'Match Names'!$A$1:$D$22, 4, FALSE),"&amp;" ""!C3:R29"")), {3;9;15;21}, FALSE)), ""=0"") + COUNTIF(ARRAYFORMULA(HLOOKUP($B57, IMPORTRANGE('Match Names'!$E$23, CONCAT(VLOOKUP($C57, 'Match Names'!$1:$22, 5, FALSE), ""!C3:R29"")), {9;14;19;24}, FALSE)), ""=0"") + COUNTIF(ARRAYFORMULA(HLOOKUP($B57, IM"&amp;"PORTRANGE('Match Names'!$F$23, CONCAT(VLOOKUP($C57, 'Match Names'!$1:$22, 6, FALSE), ""!C3:R29"")), {2;8;14;20}, FALSE)), ""=0"") + COUNTIF(ARRAYFORMULA(HLOOKUP($B57, IMPORTRANGE('Match Names'!$G$23, CONCAT(VLOOKUP($C57, 'Match Names'!$1:$22, 7, FALSE), "&amp;"""!C3:R29"")), {6;16;20;24}, FALSE)), ""=0"") + COUNTIF(ARRAYFORMULA(HLOOKUP($B57, IMPORTRANGE('Match Names'!$H$23, CONCAT(VLOOKUP($C57, 'Match Names'!$1:$22, 8, FALSE), ""!C3:R29"")), {2;8;14;20}, FALSE)), ""=0"")"),0.0)</f>
        <v>0</v>
      </c>
      <c r="G57" s="32">
        <f>IFERROR(__xludf.DUMMYFUNCTION("COUNTIF(ARRAYFORMULA(HLOOKUP($B57, IMPORTRANGE('Prelim Rankings Unsorted'!$B$40, CONCAT(VLOOKUP($C57, 'Match Names'!$A$1:$D$22, 2, FALSE), ""!C3:R29"")), {2;7;13;19}, FALSE)), ""=-4"") + COUNTIF(ARRAYFORMULA(HLOOKUP($B57, IMPORTRANGE('Prelim Rankings Unso"&amp;"rted'!$B$41, CONCAT(VLOOKUP($C57, 'Match Names'!$A$1:$D$22, 3, FALSE), ""!C3:R29"")), {3;9;15;21}, FALSE)), ""=-4"") + COUNTIF(ARRAYFORMULA(HLOOKUP($B57, IMPORTRANGE('Prelim Rankings Unsorted'!$B$42, CONCAT(VLOOKUP($C57, 'Match Names'!$A$1:$D$22, 4, FALSE"&amp;"), ""!C3:R29"")), {3;9;15;21}, FALSE)), ""=-4"") + COUNTIF(ARRAYFORMULA(HLOOKUP($B57, IMPORTRANGE('Match Names'!$E$23, CONCAT(VLOOKUP($C57, 'Match Names'!$1:$22, 5, FALSE), ""!C3:R29"")), {9;14;19;24}, FALSE)), ""=-4"") + COUNTIF(ARRAYFORMULA(HLOOKUP($B57"&amp;", IMPORTRANGE('Match Names'!$F$23, CONCAT(VLOOKUP($C57, 'Match Names'!$1:$22, 6, FALSE), ""!C3:R29"")), {2;8;14;20}, FALSE)), ""=-4"") + COUNTIF(ARRAYFORMULA(HLOOKUP($B57, IMPORTRANGE('Match Names'!$G$23, CONCAT(VLOOKUP($C57, 'Match Names'!$1:$22, 7, FALS"&amp;"E), ""!C3:R29"")), {6;16;20;24}, FALSE)), ""=-4"") + COUNTIF(ARRAYFORMULA(HLOOKUP($B57, IMPORTRANGE('Match Names'!$H$23, CONCAT(VLOOKUP($C57, 'Match Names'!$1:$22, 8, FALSE), ""!C3:R29"")), {2;8;14;20}, FALSE)), ""=-4"")"),0.0)</f>
        <v>0</v>
      </c>
      <c r="H57" s="33">
        <f t="shared" si="1"/>
        <v>0</v>
      </c>
    </row>
    <row r="58">
      <c r="A58" s="21" t="s">
        <v>82</v>
      </c>
      <c r="B58" s="31" t="str">
        <f>VLOOKUP(CONCAT(A58, C58), 'Discord Username to Real Name'!C:D, 2, FALSE)</f>
        <v>Cemo475#3867</v>
      </c>
      <c r="C58" s="21" t="s">
        <v>19</v>
      </c>
      <c r="D58" s="32">
        <f>IFERROR(__xludf.DUMMYFUNCTION("(4 - COUNTIF(IFERROR(ARRAYFORMULA(HLOOKUP($B58, IMPORTRANGE('Prelim Rankings Unsorted'!$B$40, CONCAT(VLOOKUP($C58, 'Match Names'!$A$1:$D$22, 2, FALSE), ""!C3:R29"")), {2;7;13;19}, FALSE)), 'Player Overall Stats Unsorted'!$AA$9:$AA$12), ""=X"")) + (4 - COU"&amp;"NTIF(IFERROR(ARRAYFORMULA(HLOOKUP($B58, IMPORTRANGE('Prelim Rankings Unsorted'!$B$41, CONCAT(VLOOKUP($C58, 'Match Names'!$A$1:$D$22, 3, FALSE), ""!C3:R29"")), {3;9;15;21}, FALSE)), 'Player Overall Stats Unsorted'!$AA$9:$AA$12), ""=X"")) + (4 - COUNTIF(IFE"&amp;"RROR(ARRAYFORMULA(HLOOKUP($B58, IMPORTRANGE('Prelim Rankings Unsorted'!$B$42, CONCAT(VLOOKUP($C58, 'Match Names'!$A$1:$D$22, 4, FALSE), ""!C3:R29"")), {3;9;15;21}, FALSE)), 'Player Overall Stats Unsorted'!$AA$9:$AA$12), ""=X"")) + (4 - COUNTIF(IFERROR(ARR"&amp;"AYFORMULA(HLOOKUP($B58, IMPORTRANGE('Match Names'!$E$23, CONCAT(VLOOKUP($C58, 'Match Names'!$1:$22, 5, FALSE), ""!C3:R29"")), {9;14;19;24}, FALSE)), 'Player Overall Stats Unsorted'!$AA$9:$AA$12), ""=X"")) + (4 - COUNTIF(IFERROR(ARRAYFORMULA(HLOOKUP($B58, "&amp;"IMPORTRANGE('Match Names'!$F$23, CONCAT(VLOOKUP($C58, 'Match Names'!$1:$22, 6, FALSE), ""!C3:R29"")), {2;8;14;20}, FALSE)), 'Player Overall Stats Unsorted'!$AA$9:$AA$12), ""=X"")) + (4 - COUNTIF(IFERROR(ARRAYFORMULA(HLOOKUP($B58, IMPORTRANGE('Match Names'"&amp;"!$G$23, CONCAT(VLOOKUP($C58, 'Match Names'!$1:$22, 7, FALSE), ""!C3:R29"")), {6;16;20;24}, FALSE)), 'Player Overall Stats Unsorted'!$AA$9:$AA$12), ""=X"")) + (4 - COUNTIF(IFERROR(ARRAYFORMULA(HLOOKUP($B58, IMPORTRANGE('Match Names'!$H$23, CONCAT(VLOOKUP($"&amp;"C58, 'Match Names'!$1:$22, 8, FALSE), ""!C3:R29"")), {2;8;14;20}, FALSE)), 'Player Overall Stats Unsorted'!$AA$9:$AA$12), ""=X""))"),12.0)</f>
        <v>12</v>
      </c>
      <c r="E58" s="32">
        <f>IFERROR(__xludf.DUMMYFUNCTION("COUNTIF(ARRAYFORMULA(HLOOKUP($B58, IMPORTRANGE('Prelim Rankings Unsorted'!$B$40, CONCAT(VLOOKUP($C58, 'Match Names'!$A$1:$D$22, 2, FALSE), ""!C3:R29"")), {2;7;13;19}, FALSE)), ""=4"") + COUNTIF(ARRAYFORMULA(HLOOKUP($B58, IMPORTRANGE('Prelim Rankings Unsor"&amp;"ted'!$B$41, CONCAT(VLOOKUP($C58, 'Match Names'!$A$1:$D$22, 3, FALSE), ""!C3:R29"")), {3;9;15;21}, FALSE)), ""=4"") + COUNTIF(ARRAYFORMULA(HLOOKUP($B58, IMPORTRANGE('Prelim Rankings Unsorted'!$B$42, CONCAT(VLOOKUP($C58, 'Match Names'!$A$1:$D$22, 4, FALSE),"&amp;" ""!C3:R29"")), {3;9;15;21}, FALSE)), ""=4"") + COUNTIF(ARRAYFORMULA(HLOOKUP($B58, IMPORTRANGE('Match Names'!$E$23, CONCAT(VLOOKUP($C58, 'Match Names'!$1:$22, 5, FALSE), ""!C3:R29"")), {9;14;19;24}, FALSE)), ""=4"") + COUNTIF(ARRAYFORMULA(HLOOKUP($B58, IM"&amp;"PORTRANGE('Match Names'!$F$23, CONCAT(VLOOKUP($C58, 'Match Names'!$1:$22, 6, FALSE), ""!C3:R29"")), {2;8;14;20}, FALSE)), ""=4"") + COUNTIF(ARRAYFORMULA(HLOOKUP($B58, IMPORTRANGE('Match Names'!$G$23, CONCAT(VLOOKUP($C58, 'Match Names'!$1:$22, 7, FALSE), "&amp;"""!C3:R29"")), {6;16;20;24}, FALSE)), ""=4"") + COUNTIF(ARRAYFORMULA(HLOOKUP($B58, IMPORTRANGE('Match Names'!$H$23, CONCAT(VLOOKUP($C58, 'Match Names'!$1:$22, 8, FALSE), ""!C3:R29"")), {2;8;14;20}, FALSE)), ""=4"")"),2.0)</f>
        <v>2</v>
      </c>
      <c r="F58" s="32">
        <f>IFERROR(__xludf.DUMMYFUNCTION("COUNTIF(ARRAYFORMULA(HLOOKUP($B58, IMPORTRANGE('Prelim Rankings Unsorted'!$B$40, CONCAT(VLOOKUP($C58, 'Match Names'!$A$1:$D$22, 2, FALSE), ""!C3:R29"")), {2;7;13;19}, FALSE)), ""=0"") + COUNTIF(ARRAYFORMULA(HLOOKUP($B58, IMPORTRANGE('Prelim Rankings Unsor"&amp;"ted'!$B$41, CONCAT(VLOOKUP($C58, 'Match Names'!$A$1:$D$22, 3, FALSE), ""!C3:R29"")), {3;9;15;21}, FALSE)), ""=0"") + COUNTIF(ARRAYFORMULA(HLOOKUP($B58, IMPORTRANGE('Prelim Rankings Unsorted'!$B$42, CONCAT(VLOOKUP($C58, 'Match Names'!$A$1:$D$22, 4, FALSE),"&amp;" ""!C3:R29"")), {3;9;15;21}, FALSE)), ""=0"") + COUNTIF(ARRAYFORMULA(HLOOKUP($B58, IMPORTRANGE('Match Names'!$E$23, CONCAT(VLOOKUP($C58, 'Match Names'!$1:$22, 5, FALSE), ""!C3:R29"")), {9;14;19;24}, FALSE)), ""=0"") + COUNTIF(ARRAYFORMULA(HLOOKUP($B58, IM"&amp;"PORTRANGE('Match Names'!$F$23, CONCAT(VLOOKUP($C58, 'Match Names'!$1:$22, 6, FALSE), ""!C3:R29"")), {2;8;14;20}, FALSE)), ""=0"") + COUNTIF(ARRAYFORMULA(HLOOKUP($B58, IMPORTRANGE('Match Names'!$G$23, CONCAT(VLOOKUP($C58, 'Match Names'!$1:$22, 7, FALSE), "&amp;"""!C3:R29"")), {6;16;20;24}, FALSE)), ""=0"") + COUNTIF(ARRAYFORMULA(HLOOKUP($B58, IMPORTRANGE('Match Names'!$H$23, CONCAT(VLOOKUP($C58, 'Match Names'!$1:$22, 8, FALSE), ""!C3:R29"")), {2;8;14;20}, FALSE)), ""=0"")"),0.0)</f>
        <v>0</v>
      </c>
      <c r="G58" s="32">
        <f>IFERROR(__xludf.DUMMYFUNCTION("COUNTIF(ARRAYFORMULA(HLOOKUP($B58, IMPORTRANGE('Prelim Rankings Unsorted'!$B$40, CONCAT(VLOOKUP($C58, 'Match Names'!$A$1:$D$22, 2, FALSE), ""!C3:R29"")), {2;7;13;19}, FALSE)), ""=-4"") + COUNTIF(ARRAYFORMULA(HLOOKUP($B58, IMPORTRANGE('Prelim Rankings Unso"&amp;"rted'!$B$41, CONCAT(VLOOKUP($C58, 'Match Names'!$A$1:$D$22, 3, FALSE), ""!C3:R29"")), {3;9;15;21}, FALSE)), ""=-4"") + COUNTIF(ARRAYFORMULA(HLOOKUP($B58, IMPORTRANGE('Prelim Rankings Unsorted'!$B$42, CONCAT(VLOOKUP($C58, 'Match Names'!$A$1:$D$22, 4, FALSE"&amp;"), ""!C3:R29"")), {3;9;15;21}, FALSE)), ""=-4"") + COUNTIF(ARRAYFORMULA(HLOOKUP($B58, IMPORTRANGE('Match Names'!$E$23, CONCAT(VLOOKUP($C58, 'Match Names'!$1:$22, 5, FALSE), ""!C3:R29"")), {9;14;19;24}, FALSE)), ""=-4"") + COUNTIF(ARRAYFORMULA(HLOOKUP($B58"&amp;", IMPORTRANGE('Match Names'!$F$23, CONCAT(VLOOKUP($C58, 'Match Names'!$1:$22, 6, FALSE), ""!C3:R29"")), {2;8;14;20}, FALSE)), ""=-4"") + COUNTIF(ARRAYFORMULA(HLOOKUP($B58, IMPORTRANGE('Match Names'!$G$23, CONCAT(VLOOKUP($C58, 'Match Names'!$1:$22, 7, FALS"&amp;"E), ""!C3:R29"")), {6;16;20;24}, FALSE)), ""=-4"") + COUNTIF(ARRAYFORMULA(HLOOKUP($B58, IMPORTRANGE('Match Names'!$H$23, CONCAT(VLOOKUP($C58, 'Match Names'!$1:$22, 8, FALSE), ""!C3:R29"")), {2;8;14;20}, FALSE)), ""=-4"")"),0.0)</f>
        <v>0</v>
      </c>
      <c r="H58" s="33">
        <f t="shared" si="1"/>
        <v>2.67</v>
      </c>
    </row>
    <row r="59">
      <c r="A59" s="21" t="s">
        <v>74</v>
      </c>
      <c r="B59" s="31" t="str">
        <f>VLOOKUP(CONCAT(A59, C59), 'Discord Username to Real Name'!C:D, 2, FALSE)</f>
        <v>Chris Ge#6364</v>
      </c>
      <c r="C59" s="21" t="s">
        <v>19</v>
      </c>
      <c r="D59" s="32">
        <f>IFERROR(__xludf.DUMMYFUNCTION("(4 - COUNTIF(IFERROR(ARRAYFORMULA(HLOOKUP($B59, IMPORTRANGE('Prelim Rankings Unsorted'!$B$40, CONCAT(VLOOKUP($C59, 'Match Names'!$A$1:$D$22, 2, FALSE), ""!C3:R29"")), {2;7;13;19}, FALSE)), 'Player Overall Stats Unsorted'!$AA$9:$AA$12), ""=X"")) + (4 - COU"&amp;"NTIF(IFERROR(ARRAYFORMULA(HLOOKUP($B59, IMPORTRANGE('Prelim Rankings Unsorted'!$B$41, CONCAT(VLOOKUP($C59, 'Match Names'!$A$1:$D$22, 3, FALSE), ""!C3:R29"")), {3;9;15;21}, FALSE)), 'Player Overall Stats Unsorted'!$AA$9:$AA$12), ""=X"")) + (4 - COUNTIF(IFE"&amp;"RROR(ARRAYFORMULA(HLOOKUP($B59, IMPORTRANGE('Prelim Rankings Unsorted'!$B$42, CONCAT(VLOOKUP($C59, 'Match Names'!$A$1:$D$22, 4, FALSE), ""!C3:R29"")), {3;9;15;21}, FALSE)), 'Player Overall Stats Unsorted'!$AA$9:$AA$12), ""=X"")) + (4 - COUNTIF(IFERROR(ARR"&amp;"AYFORMULA(HLOOKUP($B59, IMPORTRANGE('Match Names'!$E$23, CONCAT(VLOOKUP($C59, 'Match Names'!$1:$22, 5, FALSE), ""!C3:R29"")), {9;14;19;24}, FALSE)), 'Player Overall Stats Unsorted'!$AA$9:$AA$12), ""=X"")) + (4 - COUNTIF(IFERROR(ARRAYFORMULA(HLOOKUP($B59, "&amp;"IMPORTRANGE('Match Names'!$F$23, CONCAT(VLOOKUP($C59, 'Match Names'!$1:$22, 6, FALSE), ""!C3:R29"")), {2;8;14;20}, FALSE)), 'Player Overall Stats Unsorted'!$AA$9:$AA$12), ""=X"")) + (4 - COUNTIF(IFERROR(ARRAYFORMULA(HLOOKUP($B59, IMPORTRANGE('Match Names'"&amp;"!$G$23, CONCAT(VLOOKUP($C59, 'Match Names'!$1:$22, 7, FALSE), ""!C3:R29"")), {6;16;20;24}, FALSE)), 'Player Overall Stats Unsorted'!$AA$9:$AA$12), ""=X"")) + (4 - COUNTIF(IFERROR(ARRAYFORMULA(HLOOKUP($B59, IMPORTRANGE('Match Names'!$H$23, CONCAT(VLOOKUP($"&amp;"C59, 'Match Names'!$1:$22, 8, FALSE), ""!C3:R29"")), {2;8;14;20}, FALSE)), 'Player Overall Stats Unsorted'!$AA$9:$AA$12), ""=X""))"),16.0)</f>
        <v>16</v>
      </c>
      <c r="E59" s="32">
        <f>IFERROR(__xludf.DUMMYFUNCTION("COUNTIF(ARRAYFORMULA(HLOOKUP($B59, IMPORTRANGE('Prelim Rankings Unsorted'!$B$40, CONCAT(VLOOKUP($C59, 'Match Names'!$A$1:$D$22, 2, FALSE), ""!C3:R29"")), {2;7;13;19}, FALSE)), ""=4"") + COUNTIF(ARRAYFORMULA(HLOOKUP($B59, IMPORTRANGE('Prelim Rankings Unsor"&amp;"ted'!$B$41, CONCAT(VLOOKUP($C59, 'Match Names'!$A$1:$D$22, 3, FALSE), ""!C3:R29"")), {3;9;15;21}, FALSE)), ""=4"") + COUNTIF(ARRAYFORMULA(HLOOKUP($B59, IMPORTRANGE('Prelim Rankings Unsorted'!$B$42, CONCAT(VLOOKUP($C59, 'Match Names'!$A$1:$D$22, 4, FALSE),"&amp;" ""!C3:R29"")), {3;9;15;21}, FALSE)), ""=4"") + COUNTIF(ARRAYFORMULA(HLOOKUP($B59, IMPORTRANGE('Match Names'!$E$23, CONCAT(VLOOKUP($C59, 'Match Names'!$1:$22, 5, FALSE), ""!C3:R29"")), {9;14;19;24}, FALSE)), ""=4"") + COUNTIF(ARRAYFORMULA(HLOOKUP($B59, IM"&amp;"PORTRANGE('Match Names'!$F$23, CONCAT(VLOOKUP($C59, 'Match Names'!$1:$22, 6, FALSE), ""!C3:R29"")), {2;8;14;20}, FALSE)), ""=4"") + COUNTIF(ARRAYFORMULA(HLOOKUP($B59, IMPORTRANGE('Match Names'!$G$23, CONCAT(VLOOKUP($C59, 'Match Names'!$1:$22, 7, FALSE), "&amp;"""!C3:R29"")), {6;16;20;24}, FALSE)), ""=4"") + COUNTIF(ARRAYFORMULA(HLOOKUP($B59, IMPORTRANGE('Match Names'!$H$23, CONCAT(VLOOKUP($C59, 'Match Names'!$1:$22, 8, FALSE), ""!C3:R29"")), {2;8;14;20}, FALSE)), ""=4"")"),0.0)</f>
        <v>0</v>
      </c>
      <c r="F59" s="32">
        <f>IFERROR(__xludf.DUMMYFUNCTION("COUNTIF(ARRAYFORMULA(HLOOKUP($B59, IMPORTRANGE('Prelim Rankings Unsorted'!$B$40, CONCAT(VLOOKUP($C59, 'Match Names'!$A$1:$D$22, 2, FALSE), ""!C3:R29"")), {2;7;13;19}, FALSE)), ""=0"") + COUNTIF(ARRAYFORMULA(HLOOKUP($B59, IMPORTRANGE('Prelim Rankings Unsor"&amp;"ted'!$B$41, CONCAT(VLOOKUP($C59, 'Match Names'!$A$1:$D$22, 3, FALSE), ""!C3:R29"")), {3;9;15;21}, FALSE)), ""=0"") + COUNTIF(ARRAYFORMULA(HLOOKUP($B59, IMPORTRANGE('Prelim Rankings Unsorted'!$B$42, CONCAT(VLOOKUP($C59, 'Match Names'!$A$1:$D$22, 4, FALSE),"&amp;" ""!C3:R29"")), {3;9;15;21}, FALSE)), ""=0"") + COUNTIF(ARRAYFORMULA(HLOOKUP($B59, IMPORTRANGE('Match Names'!$E$23, CONCAT(VLOOKUP($C59, 'Match Names'!$1:$22, 5, FALSE), ""!C3:R29"")), {9;14;19;24}, FALSE)), ""=0"") + COUNTIF(ARRAYFORMULA(HLOOKUP($B59, IM"&amp;"PORTRANGE('Match Names'!$F$23, CONCAT(VLOOKUP($C59, 'Match Names'!$1:$22, 6, FALSE), ""!C3:R29"")), {2;8;14;20}, FALSE)), ""=0"") + COUNTIF(ARRAYFORMULA(HLOOKUP($B59, IMPORTRANGE('Match Names'!$G$23, CONCAT(VLOOKUP($C59, 'Match Names'!$1:$22, 7, FALSE), "&amp;"""!C3:R29"")), {6;16;20;24}, FALSE)), ""=0"") + COUNTIF(ARRAYFORMULA(HLOOKUP($B59, IMPORTRANGE('Match Names'!$H$23, CONCAT(VLOOKUP($C59, 'Match Names'!$1:$22, 8, FALSE), ""!C3:R29"")), {2;8;14;20}, FALSE)), ""=0"")"),0.0)</f>
        <v>0</v>
      </c>
      <c r="G59" s="32">
        <f>IFERROR(__xludf.DUMMYFUNCTION("COUNTIF(ARRAYFORMULA(HLOOKUP($B59, IMPORTRANGE('Prelim Rankings Unsorted'!$B$40, CONCAT(VLOOKUP($C59, 'Match Names'!$A$1:$D$22, 2, FALSE), ""!C3:R29"")), {2;7;13;19}, FALSE)), ""=-4"") + COUNTIF(ARRAYFORMULA(HLOOKUP($B59, IMPORTRANGE('Prelim Rankings Unso"&amp;"rted'!$B$41, CONCAT(VLOOKUP($C59, 'Match Names'!$A$1:$D$22, 3, FALSE), ""!C3:R29"")), {3;9;15;21}, FALSE)), ""=-4"") + COUNTIF(ARRAYFORMULA(HLOOKUP($B59, IMPORTRANGE('Prelim Rankings Unsorted'!$B$42, CONCAT(VLOOKUP($C59, 'Match Names'!$A$1:$D$22, 4, FALSE"&amp;"), ""!C3:R29"")), {3;9;15;21}, FALSE)), ""=-4"") + COUNTIF(ARRAYFORMULA(HLOOKUP($B59, IMPORTRANGE('Match Names'!$E$23, CONCAT(VLOOKUP($C59, 'Match Names'!$1:$22, 5, FALSE), ""!C3:R29"")), {9;14;19;24}, FALSE)), ""=-4"") + COUNTIF(ARRAYFORMULA(HLOOKUP($B59"&amp;", IMPORTRANGE('Match Names'!$F$23, CONCAT(VLOOKUP($C59, 'Match Names'!$1:$22, 6, FALSE), ""!C3:R29"")), {2;8;14;20}, FALSE)), ""=-4"") + COUNTIF(ARRAYFORMULA(HLOOKUP($B59, IMPORTRANGE('Match Names'!$G$23, CONCAT(VLOOKUP($C59, 'Match Names'!$1:$22, 7, FALS"&amp;"E), ""!C3:R29"")), {6;16;20;24}, FALSE)), ""=-4"") + COUNTIF(ARRAYFORMULA(HLOOKUP($B59, IMPORTRANGE('Match Names'!$H$23, CONCAT(VLOOKUP($C59, 'Match Names'!$1:$22, 8, FALSE), ""!C3:R29"")), {2;8;14;20}, FALSE)), ""=-4"")"),0.0)</f>
        <v>0</v>
      </c>
      <c r="H59" s="33">
        <f t="shared" si="1"/>
        <v>0</v>
      </c>
    </row>
    <row r="60">
      <c r="A60" s="21" t="s">
        <v>61</v>
      </c>
      <c r="B60" s="31" t="str">
        <f>VLOOKUP(CONCAT(A60, C60), 'Discord Username to Real Name'!C:D, 2, FALSE)</f>
        <v>chalk#0845</v>
      </c>
      <c r="C60" s="21" t="s">
        <v>19</v>
      </c>
      <c r="D60" s="32">
        <f>IFERROR(__xludf.DUMMYFUNCTION("(4 - COUNTIF(IFERROR(ARRAYFORMULA(HLOOKUP($B60, IMPORTRANGE('Prelim Rankings Unsorted'!$B$40, CONCAT(VLOOKUP($C60, 'Match Names'!$A$1:$D$22, 2, FALSE), ""!C3:R29"")), {2;7;13;19}, FALSE)), 'Player Overall Stats Unsorted'!$AA$9:$AA$12), ""=X"")) + (4 - COU"&amp;"NTIF(IFERROR(ARRAYFORMULA(HLOOKUP($B60, IMPORTRANGE('Prelim Rankings Unsorted'!$B$41, CONCAT(VLOOKUP($C60, 'Match Names'!$A$1:$D$22, 3, FALSE), ""!C3:R29"")), {3;9;15;21}, FALSE)), 'Player Overall Stats Unsorted'!$AA$9:$AA$12), ""=X"")) + (4 - COUNTIF(IFE"&amp;"RROR(ARRAYFORMULA(HLOOKUP($B60, IMPORTRANGE('Prelim Rankings Unsorted'!$B$42, CONCAT(VLOOKUP($C60, 'Match Names'!$A$1:$D$22, 4, FALSE), ""!C3:R29"")), {3;9;15;21}, FALSE)), 'Player Overall Stats Unsorted'!$AA$9:$AA$12), ""=X"")) + (4 - COUNTIF(IFERROR(ARR"&amp;"AYFORMULA(HLOOKUP($B60, IMPORTRANGE('Match Names'!$E$23, CONCAT(VLOOKUP($C60, 'Match Names'!$1:$22, 5, FALSE), ""!C3:R29"")), {9;14;19;24}, FALSE)), 'Player Overall Stats Unsorted'!$AA$9:$AA$12), ""=X"")) + (4 - COUNTIF(IFERROR(ARRAYFORMULA(HLOOKUP($B60, "&amp;"IMPORTRANGE('Match Names'!$F$23, CONCAT(VLOOKUP($C60, 'Match Names'!$1:$22, 6, FALSE), ""!C3:R29"")), {2;8;14;20}, FALSE)), 'Player Overall Stats Unsorted'!$AA$9:$AA$12), ""=X"")) + (4 - COUNTIF(IFERROR(ARRAYFORMULA(HLOOKUP($B60, IMPORTRANGE('Match Names'"&amp;"!$G$23, CONCAT(VLOOKUP($C60, 'Match Names'!$1:$22, 7, FALSE), ""!C3:R29"")), {6;16;20;24}, FALSE)), 'Player Overall Stats Unsorted'!$AA$9:$AA$12), ""=X"")) + (4 - COUNTIF(IFERROR(ARRAYFORMULA(HLOOKUP($B60, IMPORTRANGE('Match Names'!$H$23, CONCAT(VLOOKUP($"&amp;"C60, 'Match Names'!$1:$22, 8, FALSE), ""!C3:R29"")), {2;8;14;20}, FALSE)), 'Player Overall Stats Unsorted'!$AA$9:$AA$12), ""=X""))"),12.0)</f>
        <v>12</v>
      </c>
      <c r="E60" s="32">
        <f>IFERROR(__xludf.DUMMYFUNCTION("COUNTIF(ARRAYFORMULA(HLOOKUP($B60, IMPORTRANGE('Prelim Rankings Unsorted'!$B$40, CONCAT(VLOOKUP($C60, 'Match Names'!$A$1:$D$22, 2, FALSE), ""!C3:R29"")), {2;7;13;19}, FALSE)), ""=4"") + COUNTIF(ARRAYFORMULA(HLOOKUP($B60, IMPORTRANGE('Prelim Rankings Unsor"&amp;"ted'!$B$41, CONCAT(VLOOKUP($C60, 'Match Names'!$A$1:$D$22, 3, FALSE), ""!C3:R29"")), {3;9;15;21}, FALSE)), ""=4"") + COUNTIF(ARRAYFORMULA(HLOOKUP($B60, IMPORTRANGE('Prelim Rankings Unsorted'!$B$42, CONCAT(VLOOKUP($C60, 'Match Names'!$A$1:$D$22, 4, FALSE),"&amp;" ""!C3:R29"")), {3;9;15;21}, FALSE)), ""=4"") + COUNTIF(ARRAYFORMULA(HLOOKUP($B60, IMPORTRANGE('Match Names'!$E$23, CONCAT(VLOOKUP($C60, 'Match Names'!$1:$22, 5, FALSE), ""!C3:R29"")), {9;14;19;24}, FALSE)), ""=4"") + COUNTIF(ARRAYFORMULA(HLOOKUP($B60, IM"&amp;"PORTRANGE('Match Names'!$F$23, CONCAT(VLOOKUP($C60, 'Match Names'!$1:$22, 6, FALSE), ""!C3:R29"")), {2;8;14;20}, FALSE)), ""=4"") + COUNTIF(ARRAYFORMULA(HLOOKUP($B60, IMPORTRANGE('Match Names'!$G$23, CONCAT(VLOOKUP($C60, 'Match Names'!$1:$22, 7, FALSE), "&amp;"""!C3:R29"")), {6;16;20;24}, FALSE)), ""=4"") + COUNTIF(ARRAYFORMULA(HLOOKUP($B60, IMPORTRANGE('Match Names'!$H$23, CONCAT(VLOOKUP($C60, 'Match Names'!$1:$22, 8, FALSE), ""!C3:R29"")), {2;8;14;20}, FALSE)), ""=4"")"),4.0)</f>
        <v>4</v>
      </c>
      <c r="F60" s="32">
        <f>IFERROR(__xludf.DUMMYFUNCTION("COUNTIF(ARRAYFORMULA(HLOOKUP($B60, IMPORTRANGE('Prelim Rankings Unsorted'!$B$40, CONCAT(VLOOKUP($C60, 'Match Names'!$A$1:$D$22, 2, FALSE), ""!C3:R29"")), {2;7;13;19}, FALSE)), ""=0"") + COUNTIF(ARRAYFORMULA(HLOOKUP($B60, IMPORTRANGE('Prelim Rankings Unsor"&amp;"ted'!$B$41, CONCAT(VLOOKUP($C60, 'Match Names'!$A$1:$D$22, 3, FALSE), ""!C3:R29"")), {3;9;15;21}, FALSE)), ""=0"") + COUNTIF(ARRAYFORMULA(HLOOKUP($B60, IMPORTRANGE('Prelim Rankings Unsorted'!$B$42, CONCAT(VLOOKUP($C60, 'Match Names'!$A$1:$D$22, 4, FALSE),"&amp;" ""!C3:R29"")), {3;9;15;21}, FALSE)), ""=0"") + COUNTIF(ARRAYFORMULA(HLOOKUP($B60, IMPORTRANGE('Match Names'!$E$23, CONCAT(VLOOKUP($C60, 'Match Names'!$1:$22, 5, FALSE), ""!C3:R29"")), {9;14;19;24}, FALSE)), ""=0"") + COUNTIF(ARRAYFORMULA(HLOOKUP($B60, IM"&amp;"PORTRANGE('Match Names'!$F$23, CONCAT(VLOOKUP($C60, 'Match Names'!$1:$22, 6, FALSE), ""!C3:R29"")), {2;8;14;20}, FALSE)), ""=0"") + COUNTIF(ARRAYFORMULA(HLOOKUP($B60, IMPORTRANGE('Match Names'!$G$23, CONCAT(VLOOKUP($C60, 'Match Names'!$1:$22, 7, FALSE), "&amp;"""!C3:R29"")), {6;16;20;24}, FALSE)), ""=0"") + COUNTIF(ARRAYFORMULA(HLOOKUP($B60, IMPORTRANGE('Match Names'!$H$23, CONCAT(VLOOKUP($C60, 'Match Names'!$1:$22, 8, FALSE), ""!C3:R29"")), {2;8;14;20}, FALSE)), ""=0"")"),1.0)</f>
        <v>1</v>
      </c>
      <c r="G60" s="32">
        <f>IFERROR(__xludf.DUMMYFUNCTION("COUNTIF(ARRAYFORMULA(HLOOKUP($B60, IMPORTRANGE('Prelim Rankings Unsorted'!$B$40, CONCAT(VLOOKUP($C60, 'Match Names'!$A$1:$D$22, 2, FALSE), ""!C3:R29"")), {2;7;13;19}, FALSE)), ""=-4"") + COUNTIF(ARRAYFORMULA(HLOOKUP($B60, IMPORTRANGE('Prelim Rankings Unso"&amp;"rted'!$B$41, CONCAT(VLOOKUP($C60, 'Match Names'!$A$1:$D$22, 3, FALSE), ""!C3:R29"")), {3;9;15;21}, FALSE)), ""=-4"") + COUNTIF(ARRAYFORMULA(HLOOKUP($B60, IMPORTRANGE('Prelim Rankings Unsorted'!$B$42, CONCAT(VLOOKUP($C60, 'Match Names'!$A$1:$D$22, 4, FALSE"&amp;"), ""!C3:R29"")), {3;9;15;21}, FALSE)), ""=-4"") + COUNTIF(ARRAYFORMULA(HLOOKUP($B60, IMPORTRANGE('Match Names'!$E$23, CONCAT(VLOOKUP($C60, 'Match Names'!$1:$22, 5, FALSE), ""!C3:R29"")), {9;14;19;24}, FALSE)), ""=-4"") + COUNTIF(ARRAYFORMULA(HLOOKUP($B60"&amp;", IMPORTRANGE('Match Names'!$F$23, CONCAT(VLOOKUP($C60, 'Match Names'!$1:$22, 6, FALSE), ""!C3:R29"")), {2;8;14;20}, FALSE)), ""=-4"") + COUNTIF(ARRAYFORMULA(HLOOKUP($B60, IMPORTRANGE('Match Names'!$G$23, CONCAT(VLOOKUP($C60, 'Match Names'!$1:$22, 7, FALS"&amp;"E), ""!C3:R29"")), {6;16;20;24}, FALSE)), ""=-4"") + COUNTIF(ARRAYFORMULA(HLOOKUP($B60, IMPORTRANGE('Match Names'!$H$23, CONCAT(VLOOKUP($C60, 'Match Names'!$1:$22, 8, FALSE), ""!C3:R29"")), {2;8;14;20}, FALSE)), ""=-4"")"),0.0)</f>
        <v>0</v>
      </c>
      <c r="H60" s="33">
        <f t="shared" si="1"/>
        <v>5.33</v>
      </c>
    </row>
    <row r="61">
      <c r="A61" s="21" t="s">
        <v>106</v>
      </c>
      <c r="B61" s="31" t="str">
        <f>VLOOKUP(CONCAT(A61, C61), 'Discord Username to Real Name'!C:D, 2, FALSE)</f>
        <v>banane#7103</v>
      </c>
      <c r="C61" s="21" t="s">
        <v>19</v>
      </c>
      <c r="D61" s="32">
        <f>IFERROR(__xludf.DUMMYFUNCTION("(4 - COUNTIF(IFERROR(ARRAYFORMULA(HLOOKUP($B61, IMPORTRANGE('Prelim Rankings Unsorted'!$B$40, CONCAT(VLOOKUP($C61, 'Match Names'!$A$1:$D$22, 2, FALSE), ""!C3:R29"")), {2;7;13;19}, FALSE)), 'Player Overall Stats Unsorted'!$AA$9:$AA$12), ""=X"")) + (4 - COU"&amp;"NTIF(IFERROR(ARRAYFORMULA(HLOOKUP($B61, IMPORTRANGE('Prelim Rankings Unsorted'!$B$41, CONCAT(VLOOKUP($C61, 'Match Names'!$A$1:$D$22, 3, FALSE), ""!C3:R29"")), {3;9;15;21}, FALSE)), 'Player Overall Stats Unsorted'!$AA$9:$AA$12), ""=X"")) + (4 - COUNTIF(IFE"&amp;"RROR(ARRAYFORMULA(HLOOKUP($B61, IMPORTRANGE('Prelim Rankings Unsorted'!$B$42, CONCAT(VLOOKUP($C61, 'Match Names'!$A$1:$D$22, 4, FALSE), ""!C3:R29"")), {3;9;15;21}, FALSE)), 'Player Overall Stats Unsorted'!$AA$9:$AA$12), ""=X"")) + (4 - COUNTIF(IFERROR(ARR"&amp;"AYFORMULA(HLOOKUP($B61, IMPORTRANGE('Match Names'!$E$23, CONCAT(VLOOKUP($C61, 'Match Names'!$1:$22, 5, FALSE), ""!C3:R29"")), {9;14;19;24}, FALSE)), 'Player Overall Stats Unsorted'!$AA$9:$AA$12), ""=X"")) + (4 - COUNTIF(IFERROR(ARRAYFORMULA(HLOOKUP($B61, "&amp;"IMPORTRANGE('Match Names'!$F$23, CONCAT(VLOOKUP($C61, 'Match Names'!$1:$22, 6, FALSE), ""!C3:R29"")), {2;8;14;20}, FALSE)), 'Player Overall Stats Unsorted'!$AA$9:$AA$12), ""=X"")) + (4 - COUNTIF(IFERROR(ARRAYFORMULA(HLOOKUP($B61, IMPORTRANGE('Match Names'"&amp;"!$G$23, CONCAT(VLOOKUP($C61, 'Match Names'!$1:$22, 7, FALSE), ""!C3:R29"")), {6;16;20;24}, FALSE)), 'Player Overall Stats Unsorted'!$AA$9:$AA$12), ""=X"")) + (4 - COUNTIF(IFERROR(ARRAYFORMULA(HLOOKUP($B61, IMPORTRANGE('Match Names'!$H$23, CONCAT(VLOOKUP($"&amp;"C61, 'Match Names'!$1:$22, 8, FALSE), ""!C3:R29"")), {2;8;14;20}, FALSE)), 'Player Overall Stats Unsorted'!$AA$9:$AA$12), ""=X""))"),14.0)</f>
        <v>14</v>
      </c>
      <c r="E61" s="32">
        <f>IFERROR(__xludf.DUMMYFUNCTION("COUNTIF(ARRAYFORMULA(HLOOKUP($B61, IMPORTRANGE('Prelim Rankings Unsorted'!$B$40, CONCAT(VLOOKUP($C61, 'Match Names'!$A$1:$D$22, 2, FALSE), ""!C3:R29"")), {2;7;13;19}, FALSE)), ""=4"") + COUNTIF(ARRAYFORMULA(HLOOKUP($B61, IMPORTRANGE('Prelim Rankings Unsor"&amp;"ted'!$B$41, CONCAT(VLOOKUP($C61, 'Match Names'!$A$1:$D$22, 3, FALSE), ""!C3:R29"")), {3;9;15;21}, FALSE)), ""=4"") + COUNTIF(ARRAYFORMULA(HLOOKUP($B61, IMPORTRANGE('Prelim Rankings Unsorted'!$B$42, CONCAT(VLOOKUP($C61, 'Match Names'!$A$1:$D$22, 4, FALSE),"&amp;" ""!C3:R29"")), {3;9;15;21}, FALSE)), ""=4"") + COUNTIF(ARRAYFORMULA(HLOOKUP($B61, IMPORTRANGE('Match Names'!$E$23, CONCAT(VLOOKUP($C61, 'Match Names'!$1:$22, 5, FALSE), ""!C3:R29"")), {9;14;19;24}, FALSE)), ""=4"") + COUNTIF(ARRAYFORMULA(HLOOKUP($B61, IM"&amp;"PORTRANGE('Match Names'!$F$23, CONCAT(VLOOKUP($C61, 'Match Names'!$1:$22, 6, FALSE), ""!C3:R29"")), {2;8;14;20}, FALSE)), ""=4"") + COUNTIF(ARRAYFORMULA(HLOOKUP($B61, IMPORTRANGE('Match Names'!$G$23, CONCAT(VLOOKUP($C61, 'Match Names'!$1:$22, 7, FALSE), "&amp;"""!C3:R29"")), {6;16;20;24}, FALSE)), ""=4"") + COUNTIF(ARRAYFORMULA(HLOOKUP($B61, IMPORTRANGE('Match Names'!$H$23, CONCAT(VLOOKUP($C61, 'Match Names'!$1:$22, 8, FALSE), ""!C3:R29"")), {2;8;14;20}, FALSE)), ""=4"")"),0.0)</f>
        <v>0</v>
      </c>
      <c r="F61" s="32">
        <f>IFERROR(__xludf.DUMMYFUNCTION("COUNTIF(ARRAYFORMULA(HLOOKUP($B61, IMPORTRANGE('Prelim Rankings Unsorted'!$B$40, CONCAT(VLOOKUP($C61, 'Match Names'!$A$1:$D$22, 2, FALSE), ""!C3:R29"")), {2;7;13;19}, FALSE)), ""=0"") + COUNTIF(ARRAYFORMULA(HLOOKUP($B61, IMPORTRANGE('Prelim Rankings Unsor"&amp;"ted'!$B$41, CONCAT(VLOOKUP($C61, 'Match Names'!$A$1:$D$22, 3, FALSE), ""!C3:R29"")), {3;9;15;21}, FALSE)), ""=0"") + COUNTIF(ARRAYFORMULA(HLOOKUP($B61, IMPORTRANGE('Prelim Rankings Unsorted'!$B$42, CONCAT(VLOOKUP($C61, 'Match Names'!$A$1:$D$22, 4, FALSE),"&amp;" ""!C3:R29"")), {3;9;15;21}, FALSE)), ""=0"") + COUNTIF(ARRAYFORMULA(HLOOKUP($B61, IMPORTRANGE('Match Names'!$E$23, CONCAT(VLOOKUP($C61, 'Match Names'!$1:$22, 5, FALSE), ""!C3:R29"")), {9;14;19;24}, FALSE)), ""=0"") + COUNTIF(ARRAYFORMULA(HLOOKUP($B61, IM"&amp;"PORTRANGE('Match Names'!$F$23, CONCAT(VLOOKUP($C61, 'Match Names'!$1:$22, 6, FALSE), ""!C3:R29"")), {2;8;14;20}, FALSE)), ""=0"") + COUNTIF(ARRAYFORMULA(HLOOKUP($B61, IMPORTRANGE('Match Names'!$G$23, CONCAT(VLOOKUP($C61, 'Match Names'!$1:$22, 7, FALSE), "&amp;"""!C3:R29"")), {6;16;20;24}, FALSE)), ""=0"") + COUNTIF(ARRAYFORMULA(HLOOKUP($B61, IMPORTRANGE('Match Names'!$H$23, CONCAT(VLOOKUP($C61, 'Match Names'!$1:$22, 8, FALSE), ""!C3:R29"")), {2;8;14;20}, FALSE)), ""=0"")"),0.0)</f>
        <v>0</v>
      </c>
      <c r="G61" s="32">
        <f>IFERROR(__xludf.DUMMYFUNCTION("COUNTIF(ARRAYFORMULA(HLOOKUP($B61, IMPORTRANGE('Prelim Rankings Unsorted'!$B$40, CONCAT(VLOOKUP($C61, 'Match Names'!$A$1:$D$22, 2, FALSE), ""!C3:R29"")), {2;7;13;19}, FALSE)), ""=-4"") + COUNTIF(ARRAYFORMULA(HLOOKUP($B61, IMPORTRANGE('Prelim Rankings Unso"&amp;"rted'!$B$41, CONCAT(VLOOKUP($C61, 'Match Names'!$A$1:$D$22, 3, FALSE), ""!C3:R29"")), {3;9;15;21}, FALSE)), ""=-4"") + COUNTIF(ARRAYFORMULA(HLOOKUP($B61, IMPORTRANGE('Prelim Rankings Unsorted'!$B$42, CONCAT(VLOOKUP($C61, 'Match Names'!$A$1:$D$22, 4, FALSE"&amp;"), ""!C3:R29"")), {3;9;15;21}, FALSE)), ""=-4"") + COUNTIF(ARRAYFORMULA(HLOOKUP($B61, IMPORTRANGE('Match Names'!$E$23, CONCAT(VLOOKUP($C61, 'Match Names'!$1:$22, 5, FALSE), ""!C3:R29"")), {9;14;19;24}, FALSE)), ""=-4"") + COUNTIF(ARRAYFORMULA(HLOOKUP($B61"&amp;", IMPORTRANGE('Match Names'!$F$23, CONCAT(VLOOKUP($C61, 'Match Names'!$1:$22, 6, FALSE), ""!C3:R29"")), {2;8;14;20}, FALSE)), ""=-4"") + COUNTIF(ARRAYFORMULA(HLOOKUP($B61, IMPORTRANGE('Match Names'!$G$23, CONCAT(VLOOKUP($C61, 'Match Names'!$1:$22, 7, FALS"&amp;"E), ""!C3:R29"")), {6;16;20;24}, FALSE)), ""=-4"") + COUNTIF(ARRAYFORMULA(HLOOKUP($B61, IMPORTRANGE('Match Names'!$H$23, CONCAT(VLOOKUP($C61, 'Match Names'!$1:$22, 8, FALSE), ""!C3:R29"")), {2;8;14;20}, FALSE)), ""=-4"")"),0.0)</f>
        <v>0</v>
      </c>
      <c r="H61" s="33">
        <f t="shared" si="1"/>
        <v>0</v>
      </c>
    </row>
    <row r="62">
      <c r="A62" s="21" t="s">
        <v>65</v>
      </c>
      <c r="B62" s="31" t="str">
        <f>VLOOKUP(CONCAT(A62, C62), 'Discord Username to Real Name'!C:D, 2, FALSE)</f>
        <v>Sahas#5704</v>
      </c>
      <c r="C62" s="21" t="s">
        <v>19</v>
      </c>
      <c r="D62" s="32">
        <f>IFERROR(__xludf.DUMMYFUNCTION("(4 - COUNTIF(IFERROR(ARRAYFORMULA(HLOOKUP($B62, IMPORTRANGE('Prelim Rankings Unsorted'!$B$40, CONCAT(VLOOKUP($C62, 'Match Names'!$A$1:$D$22, 2, FALSE), ""!C3:R29"")), {2;7;13;19}, FALSE)), 'Player Overall Stats Unsorted'!$AA$9:$AA$12), ""=X"")) + (4 - COU"&amp;"NTIF(IFERROR(ARRAYFORMULA(HLOOKUP($B62, IMPORTRANGE('Prelim Rankings Unsorted'!$B$41, CONCAT(VLOOKUP($C62, 'Match Names'!$A$1:$D$22, 3, FALSE), ""!C3:R29"")), {3;9;15;21}, FALSE)), 'Player Overall Stats Unsorted'!$AA$9:$AA$12), ""=X"")) + (4 - COUNTIF(IFE"&amp;"RROR(ARRAYFORMULA(HLOOKUP($B62, IMPORTRANGE('Prelim Rankings Unsorted'!$B$42, CONCAT(VLOOKUP($C62, 'Match Names'!$A$1:$D$22, 4, FALSE), ""!C3:R29"")), {3;9;15;21}, FALSE)), 'Player Overall Stats Unsorted'!$AA$9:$AA$12), ""=X"")) + (4 - COUNTIF(IFERROR(ARR"&amp;"AYFORMULA(HLOOKUP($B62, IMPORTRANGE('Match Names'!$E$23, CONCAT(VLOOKUP($C62, 'Match Names'!$1:$22, 5, FALSE), ""!C3:R29"")), {9;14;19;24}, FALSE)), 'Player Overall Stats Unsorted'!$AA$9:$AA$12), ""=X"")) + (4 - COUNTIF(IFERROR(ARRAYFORMULA(HLOOKUP($B62, "&amp;"IMPORTRANGE('Match Names'!$F$23, CONCAT(VLOOKUP($C62, 'Match Names'!$1:$22, 6, FALSE), ""!C3:R29"")), {2;8;14;20}, FALSE)), 'Player Overall Stats Unsorted'!$AA$9:$AA$12), ""=X"")) + (4 - COUNTIF(IFERROR(ARRAYFORMULA(HLOOKUP($B62, IMPORTRANGE('Match Names'"&amp;"!$G$23, CONCAT(VLOOKUP($C62, 'Match Names'!$1:$22, 7, FALSE), ""!C3:R29"")), {6;16;20;24}, FALSE)), 'Player Overall Stats Unsorted'!$AA$9:$AA$12), ""=X"")) + (4 - COUNTIF(IFERROR(ARRAYFORMULA(HLOOKUP($B62, IMPORTRANGE('Match Names'!$H$23, CONCAT(VLOOKUP($"&amp;"C62, 'Match Names'!$1:$22, 8, FALSE), ""!C3:R29"")), {2;8;14;20}, FALSE)), 'Player Overall Stats Unsorted'!$AA$9:$AA$12), ""=X""))"),16.0)</f>
        <v>16</v>
      </c>
      <c r="E62" s="32">
        <f>IFERROR(__xludf.DUMMYFUNCTION("COUNTIF(ARRAYFORMULA(HLOOKUP($B62, IMPORTRANGE('Prelim Rankings Unsorted'!$B$40, CONCAT(VLOOKUP($C62, 'Match Names'!$A$1:$D$22, 2, FALSE), ""!C3:R29"")), {2;7;13;19}, FALSE)), ""=4"") + COUNTIF(ARRAYFORMULA(HLOOKUP($B62, IMPORTRANGE('Prelim Rankings Unsor"&amp;"ted'!$B$41, CONCAT(VLOOKUP($C62, 'Match Names'!$A$1:$D$22, 3, FALSE), ""!C3:R29"")), {3;9;15;21}, FALSE)), ""=4"") + COUNTIF(ARRAYFORMULA(HLOOKUP($B62, IMPORTRANGE('Prelim Rankings Unsorted'!$B$42, CONCAT(VLOOKUP($C62, 'Match Names'!$A$1:$D$22, 4, FALSE),"&amp;" ""!C3:R29"")), {3;9;15;21}, FALSE)), ""=4"") + COUNTIF(ARRAYFORMULA(HLOOKUP($B62, IMPORTRANGE('Match Names'!$E$23, CONCAT(VLOOKUP($C62, 'Match Names'!$1:$22, 5, FALSE), ""!C3:R29"")), {9;14;19;24}, FALSE)), ""=4"") + COUNTIF(ARRAYFORMULA(HLOOKUP($B62, IM"&amp;"PORTRANGE('Match Names'!$F$23, CONCAT(VLOOKUP($C62, 'Match Names'!$1:$22, 6, FALSE), ""!C3:R29"")), {2;8;14;20}, FALSE)), ""=4"") + COUNTIF(ARRAYFORMULA(HLOOKUP($B62, IMPORTRANGE('Match Names'!$G$23, CONCAT(VLOOKUP($C62, 'Match Names'!$1:$22, 7, FALSE), "&amp;"""!C3:R29"")), {6;16;20;24}, FALSE)), ""=4"") + COUNTIF(ARRAYFORMULA(HLOOKUP($B62, IMPORTRANGE('Match Names'!$H$23, CONCAT(VLOOKUP($C62, 'Match Names'!$1:$22, 8, FALSE), ""!C3:R29"")), {2;8;14;20}, FALSE)), ""=4"")"),4.0)</f>
        <v>4</v>
      </c>
      <c r="F62" s="32">
        <f>IFERROR(__xludf.DUMMYFUNCTION("COUNTIF(ARRAYFORMULA(HLOOKUP($B62, IMPORTRANGE('Prelim Rankings Unsorted'!$B$40, CONCAT(VLOOKUP($C62, 'Match Names'!$A$1:$D$22, 2, FALSE), ""!C3:R29"")), {2;7;13;19}, FALSE)), ""=0"") + COUNTIF(ARRAYFORMULA(HLOOKUP($B62, IMPORTRANGE('Prelim Rankings Unsor"&amp;"ted'!$B$41, CONCAT(VLOOKUP($C62, 'Match Names'!$A$1:$D$22, 3, FALSE), ""!C3:R29"")), {3;9;15;21}, FALSE)), ""=0"") + COUNTIF(ARRAYFORMULA(HLOOKUP($B62, IMPORTRANGE('Prelim Rankings Unsorted'!$B$42, CONCAT(VLOOKUP($C62, 'Match Names'!$A$1:$D$22, 4, FALSE),"&amp;" ""!C3:R29"")), {3;9;15;21}, FALSE)), ""=0"") + COUNTIF(ARRAYFORMULA(HLOOKUP($B62, IMPORTRANGE('Match Names'!$E$23, CONCAT(VLOOKUP($C62, 'Match Names'!$1:$22, 5, FALSE), ""!C3:R29"")), {9;14;19;24}, FALSE)), ""=0"") + COUNTIF(ARRAYFORMULA(HLOOKUP($B62, IM"&amp;"PORTRANGE('Match Names'!$F$23, CONCAT(VLOOKUP($C62, 'Match Names'!$1:$22, 6, FALSE), ""!C3:R29"")), {2;8;14;20}, FALSE)), ""=0"") + COUNTIF(ARRAYFORMULA(HLOOKUP($B62, IMPORTRANGE('Match Names'!$G$23, CONCAT(VLOOKUP($C62, 'Match Names'!$1:$22, 7, FALSE), "&amp;"""!C3:R29"")), {6;16;20;24}, FALSE)), ""=0"") + COUNTIF(ARRAYFORMULA(HLOOKUP($B62, IMPORTRANGE('Match Names'!$H$23, CONCAT(VLOOKUP($C62, 'Match Names'!$1:$22, 8, FALSE), ""!C3:R29"")), {2;8;14;20}, FALSE)), ""=0"")"),0.0)</f>
        <v>0</v>
      </c>
      <c r="G62" s="32">
        <f>IFERROR(__xludf.DUMMYFUNCTION("COUNTIF(ARRAYFORMULA(HLOOKUP($B62, IMPORTRANGE('Prelim Rankings Unsorted'!$B$40, CONCAT(VLOOKUP($C62, 'Match Names'!$A$1:$D$22, 2, FALSE), ""!C3:R29"")), {2;7;13;19}, FALSE)), ""=-4"") + COUNTIF(ARRAYFORMULA(HLOOKUP($B62, IMPORTRANGE('Prelim Rankings Unso"&amp;"rted'!$B$41, CONCAT(VLOOKUP($C62, 'Match Names'!$A$1:$D$22, 3, FALSE), ""!C3:R29"")), {3;9;15;21}, FALSE)), ""=-4"") + COUNTIF(ARRAYFORMULA(HLOOKUP($B62, IMPORTRANGE('Prelim Rankings Unsorted'!$B$42, CONCAT(VLOOKUP($C62, 'Match Names'!$A$1:$D$22, 4, FALSE"&amp;"), ""!C3:R29"")), {3;9;15;21}, FALSE)), ""=-4"") + COUNTIF(ARRAYFORMULA(HLOOKUP($B62, IMPORTRANGE('Match Names'!$E$23, CONCAT(VLOOKUP($C62, 'Match Names'!$1:$22, 5, FALSE), ""!C3:R29"")), {9;14;19;24}, FALSE)), ""=-4"") + COUNTIF(ARRAYFORMULA(HLOOKUP($B62"&amp;", IMPORTRANGE('Match Names'!$F$23, CONCAT(VLOOKUP($C62, 'Match Names'!$1:$22, 6, FALSE), ""!C3:R29"")), {2;8;14;20}, FALSE)), ""=-4"") + COUNTIF(ARRAYFORMULA(HLOOKUP($B62, IMPORTRANGE('Match Names'!$G$23, CONCAT(VLOOKUP($C62, 'Match Names'!$1:$22, 7, FALS"&amp;"E), ""!C3:R29"")), {6;16;20;24}, FALSE)), ""=-4"") + COUNTIF(ARRAYFORMULA(HLOOKUP($B62, IMPORTRANGE('Match Names'!$H$23, CONCAT(VLOOKUP($C62, 'Match Names'!$1:$22, 8, FALSE), ""!C3:R29"")), {2;8;14;20}, FALSE)), ""=-4"")"),0.0)</f>
        <v>0</v>
      </c>
      <c r="H62" s="33">
        <f t="shared" si="1"/>
        <v>4</v>
      </c>
    </row>
    <row r="63">
      <c r="A63" s="21" t="s">
        <v>134</v>
      </c>
      <c r="B63" s="31" t="str">
        <f>VLOOKUP(CONCAT(A63, C63), 'Discord Username to Real Name'!C:D, 2, FALSE)</f>
        <v>Jeffrey Li#1694</v>
      </c>
      <c r="C63" s="21" t="s">
        <v>22</v>
      </c>
      <c r="D63" s="32">
        <f>IFERROR(__xludf.DUMMYFUNCTION("(4 - COUNTIF(IFERROR(ARRAYFORMULA(HLOOKUP($B63, IMPORTRANGE('Prelim Rankings Unsorted'!$B$40, CONCAT(VLOOKUP($C63, 'Match Names'!$A$1:$D$22, 2, FALSE), ""!C3:R29"")), {2;7;13;19}, FALSE)), 'Player Overall Stats Unsorted'!$AA$9:$AA$12), ""=X"")) + (4 - COU"&amp;"NTIF(IFERROR(ARRAYFORMULA(HLOOKUP($B63, IMPORTRANGE('Prelim Rankings Unsorted'!$B$41, CONCAT(VLOOKUP($C63, 'Match Names'!$A$1:$D$22, 3, FALSE), ""!C3:R29"")), {3;9;15;21}, FALSE)), 'Player Overall Stats Unsorted'!$AA$9:$AA$12), ""=X"")) + (4 - COUNTIF(IFE"&amp;"RROR(ARRAYFORMULA(HLOOKUP($B63, IMPORTRANGE('Prelim Rankings Unsorted'!$B$42, CONCAT(VLOOKUP($C63, 'Match Names'!$A$1:$D$22, 4, FALSE), ""!C3:R29"")), {3;9;15;21}, FALSE)), 'Player Overall Stats Unsorted'!$AA$9:$AA$12), ""=X"")) + (4 - COUNTIF(IFERROR(ARR"&amp;"AYFORMULA(HLOOKUP($B63, IMPORTRANGE('Match Names'!$E$23, CONCAT(VLOOKUP($C63, 'Match Names'!$1:$22, 5, FALSE), ""!C3:R29"")), {9;14;19;24}, FALSE)), 'Player Overall Stats Unsorted'!$AA$9:$AA$12), ""=X"")) + (4 - COUNTIF(IFERROR(ARRAYFORMULA(HLOOKUP($B63, "&amp;"IMPORTRANGE('Match Names'!$F$23, CONCAT(VLOOKUP($C63, 'Match Names'!$1:$22, 6, FALSE), ""!C3:R29"")), {2;8;14;20}, FALSE)), 'Player Overall Stats Unsorted'!$AA$9:$AA$12), ""=X"")) + (4 - COUNTIF(IFERROR(ARRAYFORMULA(HLOOKUP($B63, IMPORTRANGE('Match Names'"&amp;"!$G$23, CONCAT(VLOOKUP($C63, 'Match Names'!$1:$22, 7, FALSE), ""!C3:R29"")), {6;16;20;24}, FALSE)), 'Player Overall Stats Unsorted'!$AA$9:$AA$12), ""=X"")) + (4 - COUNTIF(IFERROR(ARRAYFORMULA(HLOOKUP($B63, IMPORTRANGE('Match Names'!$H$23, CONCAT(VLOOKUP($"&amp;"C63, 'Match Names'!$1:$22, 8, FALSE), ""!C3:R29"")), {2;8;14;20}, FALSE)), 'Player Overall Stats Unsorted'!$AA$9:$AA$12), ""=X""))"),23.0)</f>
        <v>23</v>
      </c>
      <c r="E63" s="32">
        <f>IFERROR(__xludf.DUMMYFUNCTION("COUNTIF(ARRAYFORMULA(HLOOKUP($B63, IMPORTRANGE('Prelim Rankings Unsorted'!$B$40, CONCAT(VLOOKUP($C63, 'Match Names'!$A$1:$D$22, 2, FALSE), ""!C3:R29"")), {2;7;13;19}, FALSE)), ""=4"") + COUNTIF(ARRAYFORMULA(HLOOKUP($B63, IMPORTRANGE('Prelim Rankings Unsor"&amp;"ted'!$B$41, CONCAT(VLOOKUP($C63, 'Match Names'!$A$1:$D$22, 3, FALSE), ""!C3:R29"")), {3;9;15;21}, FALSE)), ""=4"") + COUNTIF(ARRAYFORMULA(HLOOKUP($B63, IMPORTRANGE('Prelim Rankings Unsorted'!$B$42, CONCAT(VLOOKUP($C63, 'Match Names'!$A$1:$D$22, 4, FALSE),"&amp;" ""!C3:R29"")), {3;9;15;21}, FALSE)), ""=4"") + COUNTIF(ARRAYFORMULA(HLOOKUP($B63, IMPORTRANGE('Match Names'!$E$23, CONCAT(VLOOKUP($C63, 'Match Names'!$1:$22, 5, FALSE), ""!C3:R29"")), {9;14;19;24}, FALSE)), ""=4"") + COUNTIF(ARRAYFORMULA(HLOOKUP($B63, IM"&amp;"PORTRANGE('Match Names'!$F$23, CONCAT(VLOOKUP($C63, 'Match Names'!$1:$22, 6, FALSE), ""!C3:R29"")), {2;8;14;20}, FALSE)), ""=4"") + COUNTIF(ARRAYFORMULA(HLOOKUP($B63, IMPORTRANGE('Match Names'!$G$23, CONCAT(VLOOKUP($C63, 'Match Names'!$1:$22, 7, FALSE), "&amp;"""!C3:R29"")), {6;16;20;24}, FALSE)), ""=4"") + COUNTIF(ARRAYFORMULA(HLOOKUP($B63, IMPORTRANGE('Match Names'!$H$23, CONCAT(VLOOKUP($C63, 'Match Names'!$1:$22, 8, FALSE), ""!C3:R29"")), {2;8;14;20}, FALSE)), ""=4"")"),0.0)</f>
        <v>0</v>
      </c>
      <c r="F63" s="32">
        <f>IFERROR(__xludf.DUMMYFUNCTION("COUNTIF(ARRAYFORMULA(HLOOKUP($B63, IMPORTRANGE('Prelim Rankings Unsorted'!$B$40, CONCAT(VLOOKUP($C63, 'Match Names'!$A$1:$D$22, 2, FALSE), ""!C3:R29"")), {2;7;13;19}, FALSE)), ""=0"") + COUNTIF(ARRAYFORMULA(HLOOKUP($B63, IMPORTRANGE('Prelim Rankings Unsor"&amp;"ted'!$B$41, CONCAT(VLOOKUP($C63, 'Match Names'!$A$1:$D$22, 3, FALSE), ""!C3:R29"")), {3;9;15;21}, FALSE)), ""=0"") + COUNTIF(ARRAYFORMULA(HLOOKUP($B63, IMPORTRANGE('Prelim Rankings Unsorted'!$B$42, CONCAT(VLOOKUP($C63, 'Match Names'!$A$1:$D$22, 4, FALSE),"&amp;" ""!C3:R29"")), {3;9;15;21}, FALSE)), ""=0"") + COUNTIF(ARRAYFORMULA(HLOOKUP($B63, IMPORTRANGE('Match Names'!$E$23, CONCAT(VLOOKUP($C63, 'Match Names'!$1:$22, 5, FALSE), ""!C3:R29"")), {9;14;19;24}, FALSE)), ""=0"") + COUNTIF(ARRAYFORMULA(HLOOKUP($B63, IM"&amp;"PORTRANGE('Match Names'!$F$23, CONCAT(VLOOKUP($C63, 'Match Names'!$1:$22, 6, FALSE), ""!C3:R29"")), {2;8;14;20}, FALSE)), ""=0"") + COUNTIF(ARRAYFORMULA(HLOOKUP($B63, IMPORTRANGE('Match Names'!$G$23, CONCAT(VLOOKUP($C63, 'Match Names'!$1:$22, 7, FALSE), "&amp;"""!C3:R29"")), {6;16;20;24}, FALSE)), ""=0"") + COUNTIF(ARRAYFORMULA(HLOOKUP($B63, IMPORTRANGE('Match Names'!$H$23, CONCAT(VLOOKUP($C63, 'Match Names'!$1:$22, 8, FALSE), ""!C3:R29"")), {2;8;14;20}, FALSE)), ""=0"")"),0.0)</f>
        <v>0</v>
      </c>
      <c r="G63" s="32">
        <f>IFERROR(__xludf.DUMMYFUNCTION("COUNTIF(ARRAYFORMULA(HLOOKUP($B63, IMPORTRANGE('Prelim Rankings Unsorted'!$B$40, CONCAT(VLOOKUP($C63, 'Match Names'!$A$1:$D$22, 2, FALSE), ""!C3:R29"")), {2;7;13;19}, FALSE)), ""=-4"") + COUNTIF(ARRAYFORMULA(HLOOKUP($B63, IMPORTRANGE('Prelim Rankings Unso"&amp;"rted'!$B$41, CONCAT(VLOOKUP($C63, 'Match Names'!$A$1:$D$22, 3, FALSE), ""!C3:R29"")), {3;9;15;21}, FALSE)), ""=-4"") + COUNTIF(ARRAYFORMULA(HLOOKUP($B63, IMPORTRANGE('Prelim Rankings Unsorted'!$B$42, CONCAT(VLOOKUP($C63, 'Match Names'!$A$1:$D$22, 4, FALSE"&amp;"), ""!C3:R29"")), {3;9;15;21}, FALSE)), ""=-4"") + COUNTIF(ARRAYFORMULA(HLOOKUP($B63, IMPORTRANGE('Match Names'!$E$23, CONCAT(VLOOKUP($C63, 'Match Names'!$1:$22, 5, FALSE), ""!C3:R29"")), {9;14;19;24}, FALSE)), ""=-4"") + COUNTIF(ARRAYFORMULA(HLOOKUP($B63"&amp;", IMPORTRANGE('Match Names'!$F$23, CONCAT(VLOOKUP($C63, 'Match Names'!$1:$22, 6, FALSE), ""!C3:R29"")), {2;8;14;20}, FALSE)), ""=-4"") + COUNTIF(ARRAYFORMULA(HLOOKUP($B63, IMPORTRANGE('Match Names'!$G$23, CONCAT(VLOOKUP($C63, 'Match Names'!$1:$22, 7, FALS"&amp;"E), ""!C3:R29"")), {6;16;20;24}, FALSE)), ""=-4"") + COUNTIF(ARRAYFORMULA(HLOOKUP($B63, IMPORTRANGE('Match Names'!$H$23, CONCAT(VLOOKUP($C63, 'Match Names'!$1:$22, 8, FALSE), ""!C3:R29"")), {2;8;14;20}, FALSE)), ""=-4"")"),0.0)</f>
        <v>0</v>
      </c>
      <c r="H63" s="33">
        <f t="shared" si="1"/>
        <v>0</v>
      </c>
    </row>
    <row r="64">
      <c r="A64" s="21" t="s">
        <v>13</v>
      </c>
      <c r="B64" s="31" t="str">
        <f>VLOOKUP(CONCAT(A64, C64), 'Discord Username to Real Name'!C:D, 2, FALSE)</f>
        <v>danliu488#6963</v>
      </c>
      <c r="C64" s="21" t="s">
        <v>22</v>
      </c>
      <c r="D64" s="32">
        <f>IFERROR(__xludf.DUMMYFUNCTION("(4 - COUNTIF(IFERROR(ARRAYFORMULA(HLOOKUP($B64, IMPORTRANGE('Prelim Rankings Unsorted'!$B$40, CONCAT(VLOOKUP($C64, 'Match Names'!$A$1:$D$22, 2, FALSE), ""!C3:R29"")), {2;7;13;19}, FALSE)), 'Player Overall Stats Unsorted'!$AA$9:$AA$12), ""=X"")) + (4 - COU"&amp;"NTIF(IFERROR(ARRAYFORMULA(HLOOKUP($B64, IMPORTRANGE('Prelim Rankings Unsorted'!$B$41, CONCAT(VLOOKUP($C64, 'Match Names'!$A$1:$D$22, 3, FALSE), ""!C3:R29"")), {3;9;15;21}, FALSE)), 'Player Overall Stats Unsorted'!$AA$9:$AA$12), ""=X"")) + (4 - COUNTIF(IFE"&amp;"RROR(ARRAYFORMULA(HLOOKUP($B64, IMPORTRANGE('Prelim Rankings Unsorted'!$B$42, CONCAT(VLOOKUP($C64, 'Match Names'!$A$1:$D$22, 4, FALSE), ""!C3:R29"")), {3;9;15;21}, FALSE)), 'Player Overall Stats Unsorted'!$AA$9:$AA$12), ""=X"")) + (4 - COUNTIF(IFERROR(ARR"&amp;"AYFORMULA(HLOOKUP($B64, IMPORTRANGE('Match Names'!$E$23, CONCAT(VLOOKUP($C64, 'Match Names'!$1:$22, 5, FALSE), ""!C3:R29"")), {9;14;19;24}, FALSE)), 'Player Overall Stats Unsorted'!$AA$9:$AA$12), ""=X"")) + (4 - COUNTIF(IFERROR(ARRAYFORMULA(HLOOKUP($B64, "&amp;"IMPORTRANGE('Match Names'!$F$23, CONCAT(VLOOKUP($C64, 'Match Names'!$1:$22, 6, FALSE), ""!C3:R29"")), {2;8;14;20}, FALSE)), 'Player Overall Stats Unsorted'!$AA$9:$AA$12), ""=X"")) + (4 - COUNTIF(IFERROR(ARRAYFORMULA(HLOOKUP($B64, IMPORTRANGE('Match Names'"&amp;"!$G$23, CONCAT(VLOOKUP($C64, 'Match Names'!$1:$22, 7, FALSE), ""!C3:R29"")), {6;16;20;24}, FALSE)), 'Player Overall Stats Unsorted'!$AA$9:$AA$12), ""=X"")) + (4 - COUNTIF(IFERROR(ARRAYFORMULA(HLOOKUP($B64, IMPORTRANGE('Match Names'!$H$23, CONCAT(VLOOKUP($"&amp;"C64, 'Match Names'!$1:$22, 8, FALSE), ""!C3:R29"")), {2;8;14;20}, FALSE)), 'Player Overall Stats Unsorted'!$AA$9:$AA$12), ""=X""))"),24.0)</f>
        <v>24</v>
      </c>
      <c r="E64" s="32">
        <f>IFERROR(__xludf.DUMMYFUNCTION("COUNTIF(ARRAYFORMULA(HLOOKUP($B64, IMPORTRANGE('Prelim Rankings Unsorted'!$B$40, CONCAT(VLOOKUP($C64, 'Match Names'!$A$1:$D$22, 2, FALSE), ""!C3:R29"")), {2;7;13;19}, FALSE)), ""=4"") + COUNTIF(ARRAYFORMULA(HLOOKUP($B64, IMPORTRANGE('Prelim Rankings Unsor"&amp;"ted'!$B$41, CONCAT(VLOOKUP($C64, 'Match Names'!$A$1:$D$22, 3, FALSE), ""!C3:R29"")), {3;9;15;21}, FALSE)), ""=4"") + COUNTIF(ARRAYFORMULA(HLOOKUP($B64, IMPORTRANGE('Prelim Rankings Unsorted'!$B$42, CONCAT(VLOOKUP($C64, 'Match Names'!$A$1:$D$22, 4, FALSE),"&amp;" ""!C3:R29"")), {3;9;15;21}, FALSE)), ""=4"") + COUNTIF(ARRAYFORMULA(HLOOKUP($B64, IMPORTRANGE('Match Names'!$E$23, CONCAT(VLOOKUP($C64, 'Match Names'!$1:$22, 5, FALSE), ""!C3:R29"")), {9;14;19;24}, FALSE)), ""=4"") + COUNTIF(ARRAYFORMULA(HLOOKUP($B64, IM"&amp;"PORTRANGE('Match Names'!$F$23, CONCAT(VLOOKUP($C64, 'Match Names'!$1:$22, 6, FALSE), ""!C3:R29"")), {2;8;14;20}, FALSE)), ""=4"") + COUNTIF(ARRAYFORMULA(HLOOKUP($B64, IMPORTRANGE('Match Names'!$G$23, CONCAT(VLOOKUP($C64, 'Match Names'!$1:$22, 7, FALSE), "&amp;"""!C3:R29"")), {6;16;20;24}, FALSE)), ""=4"") + COUNTIF(ARRAYFORMULA(HLOOKUP($B64, IMPORTRANGE('Match Names'!$H$23, CONCAT(VLOOKUP($C64, 'Match Names'!$1:$22, 8, FALSE), ""!C3:R29"")), {2;8;14;20}, FALSE)), ""=4"")"),9.0)</f>
        <v>9</v>
      </c>
      <c r="F64" s="32">
        <f>IFERROR(__xludf.DUMMYFUNCTION("COUNTIF(ARRAYFORMULA(HLOOKUP($B64, IMPORTRANGE('Prelim Rankings Unsorted'!$B$40, CONCAT(VLOOKUP($C64, 'Match Names'!$A$1:$D$22, 2, FALSE), ""!C3:R29"")), {2;7;13;19}, FALSE)), ""=0"") + COUNTIF(ARRAYFORMULA(HLOOKUP($B64, IMPORTRANGE('Prelim Rankings Unsor"&amp;"ted'!$B$41, CONCAT(VLOOKUP($C64, 'Match Names'!$A$1:$D$22, 3, FALSE), ""!C3:R29"")), {3;9;15;21}, FALSE)), ""=0"") + COUNTIF(ARRAYFORMULA(HLOOKUP($B64, IMPORTRANGE('Prelim Rankings Unsorted'!$B$42, CONCAT(VLOOKUP($C64, 'Match Names'!$A$1:$D$22, 4, FALSE),"&amp;" ""!C3:R29"")), {3;9;15;21}, FALSE)), ""=0"") + COUNTIF(ARRAYFORMULA(HLOOKUP($B64, IMPORTRANGE('Match Names'!$E$23, CONCAT(VLOOKUP($C64, 'Match Names'!$1:$22, 5, FALSE), ""!C3:R29"")), {9;14;19;24}, FALSE)), ""=0"") + COUNTIF(ARRAYFORMULA(HLOOKUP($B64, IM"&amp;"PORTRANGE('Match Names'!$F$23, CONCAT(VLOOKUP($C64, 'Match Names'!$1:$22, 6, FALSE), ""!C3:R29"")), {2;8;14;20}, FALSE)), ""=0"") + COUNTIF(ARRAYFORMULA(HLOOKUP($B64, IMPORTRANGE('Match Names'!$G$23, CONCAT(VLOOKUP($C64, 'Match Names'!$1:$22, 7, FALSE), "&amp;"""!C3:R29"")), {6;16;20;24}, FALSE)), ""=0"") + COUNTIF(ARRAYFORMULA(HLOOKUP($B64, IMPORTRANGE('Match Names'!$H$23, CONCAT(VLOOKUP($C64, 'Match Names'!$1:$22, 8, FALSE), ""!C3:R29"")), {2;8;14;20}, FALSE)), ""=0"")"),0.0)</f>
        <v>0</v>
      </c>
      <c r="G64" s="32">
        <f>IFERROR(__xludf.DUMMYFUNCTION("COUNTIF(ARRAYFORMULA(HLOOKUP($B64, IMPORTRANGE('Prelim Rankings Unsorted'!$B$40, CONCAT(VLOOKUP($C64, 'Match Names'!$A$1:$D$22, 2, FALSE), ""!C3:R29"")), {2;7;13;19}, FALSE)), ""=-4"") + COUNTIF(ARRAYFORMULA(HLOOKUP($B64, IMPORTRANGE('Prelim Rankings Unso"&amp;"rted'!$B$41, CONCAT(VLOOKUP($C64, 'Match Names'!$A$1:$D$22, 3, FALSE), ""!C3:R29"")), {3;9;15;21}, FALSE)), ""=-4"") + COUNTIF(ARRAYFORMULA(HLOOKUP($B64, IMPORTRANGE('Prelim Rankings Unsorted'!$B$42, CONCAT(VLOOKUP($C64, 'Match Names'!$A$1:$D$22, 4, FALSE"&amp;"), ""!C3:R29"")), {3;9;15;21}, FALSE)), ""=-4"") + COUNTIF(ARRAYFORMULA(HLOOKUP($B64, IMPORTRANGE('Match Names'!$E$23, CONCAT(VLOOKUP($C64, 'Match Names'!$1:$22, 5, FALSE), ""!C3:R29"")), {9;14;19;24}, FALSE)), ""=-4"") + COUNTIF(ARRAYFORMULA(HLOOKUP($B64"&amp;", IMPORTRANGE('Match Names'!$F$23, CONCAT(VLOOKUP($C64, 'Match Names'!$1:$22, 6, FALSE), ""!C3:R29"")), {2;8;14;20}, FALSE)), ""=-4"") + COUNTIF(ARRAYFORMULA(HLOOKUP($B64, IMPORTRANGE('Match Names'!$G$23, CONCAT(VLOOKUP($C64, 'Match Names'!$1:$22, 7, FALS"&amp;"E), ""!C3:R29"")), {6;16;20;24}, FALSE)), ""=-4"") + COUNTIF(ARRAYFORMULA(HLOOKUP($B64, IMPORTRANGE('Match Names'!$H$23, CONCAT(VLOOKUP($C64, 'Match Names'!$1:$22, 8, FALSE), ""!C3:R29"")), {2;8;14;20}, FALSE)), ""=-4"")"),0.0)</f>
        <v>0</v>
      </c>
      <c r="H64" s="33">
        <f t="shared" si="1"/>
        <v>6</v>
      </c>
    </row>
    <row r="65">
      <c r="A65" s="21" t="s">
        <v>99</v>
      </c>
      <c r="B65" s="31" t="str">
        <f>VLOOKUP(CONCAT(A65, C65), 'Discord Username to Real Name'!C:D, 2, FALSE)</f>
        <v>prr#4609</v>
      </c>
      <c r="C65" s="21" t="s">
        <v>22</v>
      </c>
      <c r="D65" s="32">
        <f>IFERROR(__xludf.DUMMYFUNCTION("(4 - COUNTIF(IFERROR(ARRAYFORMULA(HLOOKUP($B65, IMPORTRANGE('Prelim Rankings Unsorted'!$B$40, CONCAT(VLOOKUP($C65, 'Match Names'!$A$1:$D$22, 2, FALSE), ""!C3:R29"")), {2;7;13;19}, FALSE)), 'Player Overall Stats Unsorted'!$AA$9:$AA$12), ""=X"")) + (4 - COU"&amp;"NTIF(IFERROR(ARRAYFORMULA(HLOOKUP($B65, IMPORTRANGE('Prelim Rankings Unsorted'!$B$41, CONCAT(VLOOKUP($C65, 'Match Names'!$A$1:$D$22, 3, FALSE), ""!C3:R29"")), {3;9;15;21}, FALSE)), 'Player Overall Stats Unsorted'!$AA$9:$AA$12), ""=X"")) + (4 - COUNTIF(IFE"&amp;"RROR(ARRAYFORMULA(HLOOKUP($B65, IMPORTRANGE('Prelim Rankings Unsorted'!$B$42, CONCAT(VLOOKUP($C65, 'Match Names'!$A$1:$D$22, 4, FALSE), ""!C3:R29"")), {3;9;15;21}, FALSE)), 'Player Overall Stats Unsorted'!$AA$9:$AA$12), ""=X"")) + (4 - COUNTIF(IFERROR(ARR"&amp;"AYFORMULA(HLOOKUP($B65, IMPORTRANGE('Match Names'!$E$23, CONCAT(VLOOKUP($C65, 'Match Names'!$1:$22, 5, FALSE), ""!C3:R29"")), {9;14;19;24}, FALSE)), 'Player Overall Stats Unsorted'!$AA$9:$AA$12), ""=X"")) + (4 - COUNTIF(IFERROR(ARRAYFORMULA(HLOOKUP($B65, "&amp;"IMPORTRANGE('Match Names'!$F$23, CONCAT(VLOOKUP($C65, 'Match Names'!$1:$22, 6, FALSE), ""!C3:R29"")), {2;8;14;20}, FALSE)), 'Player Overall Stats Unsorted'!$AA$9:$AA$12), ""=X"")) + (4 - COUNTIF(IFERROR(ARRAYFORMULA(HLOOKUP($B65, IMPORTRANGE('Match Names'"&amp;"!$G$23, CONCAT(VLOOKUP($C65, 'Match Names'!$1:$22, 7, FALSE), ""!C3:R29"")), {6;16;20;24}, FALSE)), 'Player Overall Stats Unsorted'!$AA$9:$AA$12), ""=X"")) + (4 - COUNTIF(IFERROR(ARRAYFORMULA(HLOOKUP($B65, IMPORTRANGE('Match Names'!$H$23, CONCAT(VLOOKUP($"&amp;"C65, 'Match Names'!$1:$22, 8, FALSE), ""!C3:R29"")), {2;8;14;20}, FALSE)), 'Player Overall Stats Unsorted'!$AA$9:$AA$12), ""=X""))"),17.0)</f>
        <v>17</v>
      </c>
      <c r="E65" s="32">
        <f>IFERROR(__xludf.DUMMYFUNCTION("COUNTIF(ARRAYFORMULA(HLOOKUP($B65, IMPORTRANGE('Prelim Rankings Unsorted'!$B$40, CONCAT(VLOOKUP($C65, 'Match Names'!$A$1:$D$22, 2, FALSE), ""!C3:R29"")), {2;7;13;19}, FALSE)), ""=4"") + COUNTIF(ARRAYFORMULA(HLOOKUP($B65, IMPORTRANGE('Prelim Rankings Unsor"&amp;"ted'!$B$41, CONCAT(VLOOKUP($C65, 'Match Names'!$A$1:$D$22, 3, FALSE), ""!C3:R29"")), {3;9;15;21}, FALSE)), ""=4"") + COUNTIF(ARRAYFORMULA(HLOOKUP($B65, IMPORTRANGE('Prelim Rankings Unsorted'!$B$42, CONCAT(VLOOKUP($C65, 'Match Names'!$A$1:$D$22, 4, FALSE),"&amp;" ""!C3:R29"")), {3;9;15;21}, FALSE)), ""=4"") + COUNTIF(ARRAYFORMULA(HLOOKUP($B65, IMPORTRANGE('Match Names'!$E$23, CONCAT(VLOOKUP($C65, 'Match Names'!$1:$22, 5, FALSE), ""!C3:R29"")), {9;14;19;24}, FALSE)), ""=4"") + COUNTIF(ARRAYFORMULA(HLOOKUP($B65, IM"&amp;"PORTRANGE('Match Names'!$F$23, CONCAT(VLOOKUP($C65, 'Match Names'!$1:$22, 6, FALSE), ""!C3:R29"")), {2;8;14;20}, FALSE)), ""=4"") + COUNTIF(ARRAYFORMULA(HLOOKUP($B65, IMPORTRANGE('Match Names'!$G$23, CONCAT(VLOOKUP($C65, 'Match Names'!$1:$22, 7, FALSE), "&amp;"""!C3:R29"")), {6;16;20;24}, FALSE)), ""=4"") + COUNTIF(ARRAYFORMULA(HLOOKUP($B65, IMPORTRANGE('Match Names'!$H$23, CONCAT(VLOOKUP($C65, 'Match Names'!$1:$22, 8, FALSE), ""!C3:R29"")), {2;8;14;20}, FALSE)), ""=4"")"),2.0)</f>
        <v>2</v>
      </c>
      <c r="F65" s="32">
        <f>IFERROR(__xludf.DUMMYFUNCTION("COUNTIF(ARRAYFORMULA(HLOOKUP($B65, IMPORTRANGE('Prelim Rankings Unsorted'!$B$40, CONCAT(VLOOKUP($C65, 'Match Names'!$A$1:$D$22, 2, FALSE), ""!C3:R29"")), {2;7;13;19}, FALSE)), ""=0"") + COUNTIF(ARRAYFORMULA(HLOOKUP($B65, IMPORTRANGE('Prelim Rankings Unsor"&amp;"ted'!$B$41, CONCAT(VLOOKUP($C65, 'Match Names'!$A$1:$D$22, 3, FALSE), ""!C3:R29"")), {3;9;15;21}, FALSE)), ""=0"") + COUNTIF(ARRAYFORMULA(HLOOKUP($B65, IMPORTRANGE('Prelim Rankings Unsorted'!$B$42, CONCAT(VLOOKUP($C65, 'Match Names'!$A$1:$D$22, 4, FALSE),"&amp;" ""!C3:R29"")), {3;9;15;21}, FALSE)), ""=0"") + COUNTIF(ARRAYFORMULA(HLOOKUP($B65, IMPORTRANGE('Match Names'!$E$23, CONCAT(VLOOKUP($C65, 'Match Names'!$1:$22, 5, FALSE), ""!C3:R29"")), {9;14;19;24}, FALSE)), ""=0"") + COUNTIF(ARRAYFORMULA(HLOOKUP($B65, IM"&amp;"PORTRANGE('Match Names'!$F$23, CONCAT(VLOOKUP($C65, 'Match Names'!$1:$22, 6, FALSE), ""!C3:R29"")), {2;8;14;20}, FALSE)), ""=0"") + COUNTIF(ARRAYFORMULA(HLOOKUP($B65, IMPORTRANGE('Match Names'!$G$23, CONCAT(VLOOKUP($C65, 'Match Names'!$1:$22, 7, FALSE), "&amp;"""!C3:R29"")), {6;16;20;24}, FALSE)), ""=0"") + COUNTIF(ARRAYFORMULA(HLOOKUP($B65, IMPORTRANGE('Match Names'!$H$23, CONCAT(VLOOKUP($C65, 'Match Names'!$1:$22, 8, FALSE), ""!C3:R29"")), {2;8;14;20}, FALSE)), ""=0"")"),3.0)</f>
        <v>3</v>
      </c>
      <c r="G65" s="32">
        <f>IFERROR(__xludf.DUMMYFUNCTION("COUNTIF(ARRAYFORMULA(HLOOKUP($B65, IMPORTRANGE('Prelim Rankings Unsorted'!$B$40, CONCAT(VLOOKUP($C65, 'Match Names'!$A$1:$D$22, 2, FALSE), ""!C3:R29"")), {2;7;13;19}, FALSE)), ""=-4"") + COUNTIF(ARRAYFORMULA(HLOOKUP($B65, IMPORTRANGE('Prelim Rankings Unso"&amp;"rted'!$B$41, CONCAT(VLOOKUP($C65, 'Match Names'!$A$1:$D$22, 3, FALSE), ""!C3:R29"")), {3;9;15;21}, FALSE)), ""=-4"") + COUNTIF(ARRAYFORMULA(HLOOKUP($B65, IMPORTRANGE('Prelim Rankings Unsorted'!$B$42, CONCAT(VLOOKUP($C65, 'Match Names'!$A$1:$D$22, 4, FALSE"&amp;"), ""!C3:R29"")), {3;9;15;21}, FALSE)), ""=-4"") + COUNTIF(ARRAYFORMULA(HLOOKUP($B65, IMPORTRANGE('Match Names'!$E$23, CONCAT(VLOOKUP($C65, 'Match Names'!$1:$22, 5, FALSE), ""!C3:R29"")), {9;14;19;24}, FALSE)), ""=-4"") + COUNTIF(ARRAYFORMULA(HLOOKUP($B65"&amp;", IMPORTRANGE('Match Names'!$F$23, CONCAT(VLOOKUP($C65, 'Match Names'!$1:$22, 6, FALSE), ""!C3:R29"")), {2;8;14;20}, FALSE)), ""=-4"") + COUNTIF(ARRAYFORMULA(HLOOKUP($B65, IMPORTRANGE('Match Names'!$G$23, CONCAT(VLOOKUP($C65, 'Match Names'!$1:$22, 7, FALS"&amp;"E), ""!C3:R29"")), {6;16;20;24}, FALSE)), ""=-4"") + COUNTIF(ARRAYFORMULA(HLOOKUP($B65, IMPORTRANGE('Match Names'!$H$23, CONCAT(VLOOKUP($C65, 'Match Names'!$1:$22, 8, FALSE), ""!C3:R29"")), {2;8;14;20}, FALSE)), ""=-4"")"),1.0)</f>
        <v>1</v>
      </c>
      <c r="H65" s="33">
        <f t="shared" si="1"/>
        <v>0.94</v>
      </c>
    </row>
    <row r="66">
      <c r="A66" s="21" t="s">
        <v>174</v>
      </c>
      <c r="B66" s="31" t="str">
        <f>VLOOKUP(CONCAT(A66, C66), 'Discord Username to Real Name'!C:D, 2, FALSE)</f>
        <v>Static#2349</v>
      </c>
      <c r="C66" s="21" t="s">
        <v>22</v>
      </c>
      <c r="D66" s="32">
        <f>IFERROR(__xludf.DUMMYFUNCTION("(4 - COUNTIF(IFERROR(ARRAYFORMULA(HLOOKUP($B66, IMPORTRANGE('Prelim Rankings Unsorted'!$B$40, CONCAT(VLOOKUP($C66, 'Match Names'!$A$1:$D$22, 2, FALSE), ""!C3:R29"")), {2;7;13;19}, FALSE)), 'Player Overall Stats Unsorted'!$AA$9:$AA$12), ""=X"")) + (4 - COU"&amp;"NTIF(IFERROR(ARRAYFORMULA(HLOOKUP($B66, IMPORTRANGE('Prelim Rankings Unsorted'!$B$41, CONCAT(VLOOKUP($C66, 'Match Names'!$A$1:$D$22, 3, FALSE), ""!C3:R29"")), {3;9;15;21}, FALSE)), 'Player Overall Stats Unsorted'!$AA$9:$AA$12), ""=X"")) + (4 - COUNTIF(IFE"&amp;"RROR(ARRAYFORMULA(HLOOKUP($B66, IMPORTRANGE('Prelim Rankings Unsorted'!$B$42, CONCAT(VLOOKUP($C66, 'Match Names'!$A$1:$D$22, 4, FALSE), ""!C3:R29"")), {3;9;15;21}, FALSE)), 'Player Overall Stats Unsorted'!$AA$9:$AA$12), ""=X"")) + (4 - COUNTIF(IFERROR(ARR"&amp;"AYFORMULA(HLOOKUP($B66, IMPORTRANGE('Match Names'!$E$23, CONCAT(VLOOKUP($C66, 'Match Names'!$1:$22, 5, FALSE), ""!C3:R29"")), {9;14;19;24}, FALSE)), 'Player Overall Stats Unsorted'!$AA$9:$AA$12), ""=X"")) + (4 - COUNTIF(IFERROR(ARRAYFORMULA(HLOOKUP($B66, "&amp;"IMPORTRANGE('Match Names'!$F$23, CONCAT(VLOOKUP($C66, 'Match Names'!$1:$22, 6, FALSE), ""!C3:R29"")), {2;8;14;20}, FALSE)), 'Player Overall Stats Unsorted'!$AA$9:$AA$12), ""=X"")) + (4 - COUNTIF(IFERROR(ARRAYFORMULA(HLOOKUP($B66, IMPORTRANGE('Match Names'"&amp;"!$G$23, CONCAT(VLOOKUP($C66, 'Match Names'!$1:$22, 7, FALSE), ""!C3:R29"")), {6;16;20;24}, FALSE)), 'Player Overall Stats Unsorted'!$AA$9:$AA$12), ""=X"")) + (4 - COUNTIF(IFERROR(ARRAYFORMULA(HLOOKUP($B66, IMPORTRANGE('Match Names'!$H$23, CONCAT(VLOOKUP($"&amp;"C66, 'Match Names'!$1:$22, 8, FALSE), ""!C3:R29"")), {2;8;14;20}, FALSE)), 'Player Overall Stats Unsorted'!$AA$9:$AA$12), ""=X""))"),16.0)</f>
        <v>16</v>
      </c>
      <c r="E66" s="32">
        <f>IFERROR(__xludf.DUMMYFUNCTION("COUNTIF(ARRAYFORMULA(HLOOKUP($B66, IMPORTRANGE('Prelim Rankings Unsorted'!$B$40, CONCAT(VLOOKUP($C66, 'Match Names'!$A$1:$D$22, 2, FALSE), ""!C3:R29"")), {2;7;13;19}, FALSE)), ""=4"") + COUNTIF(ARRAYFORMULA(HLOOKUP($B66, IMPORTRANGE('Prelim Rankings Unsor"&amp;"ted'!$B$41, CONCAT(VLOOKUP($C66, 'Match Names'!$A$1:$D$22, 3, FALSE), ""!C3:R29"")), {3;9;15;21}, FALSE)), ""=4"") + COUNTIF(ARRAYFORMULA(HLOOKUP($B66, IMPORTRANGE('Prelim Rankings Unsorted'!$B$42, CONCAT(VLOOKUP($C66, 'Match Names'!$A$1:$D$22, 4, FALSE),"&amp;" ""!C3:R29"")), {3;9;15;21}, FALSE)), ""=4"") + COUNTIF(ARRAYFORMULA(HLOOKUP($B66, IMPORTRANGE('Match Names'!$E$23, CONCAT(VLOOKUP($C66, 'Match Names'!$1:$22, 5, FALSE), ""!C3:R29"")), {9;14;19;24}, FALSE)), ""=4"") + COUNTIF(ARRAYFORMULA(HLOOKUP($B66, IM"&amp;"PORTRANGE('Match Names'!$F$23, CONCAT(VLOOKUP($C66, 'Match Names'!$1:$22, 6, FALSE), ""!C3:R29"")), {2;8;14;20}, FALSE)), ""=4"") + COUNTIF(ARRAYFORMULA(HLOOKUP($B66, IMPORTRANGE('Match Names'!$G$23, CONCAT(VLOOKUP($C66, 'Match Names'!$1:$22, 7, FALSE), "&amp;"""!C3:R29"")), {6;16;20;24}, FALSE)), ""=4"") + COUNTIF(ARRAYFORMULA(HLOOKUP($B66, IMPORTRANGE('Match Names'!$H$23, CONCAT(VLOOKUP($C66, 'Match Names'!$1:$22, 8, FALSE), ""!C3:R29"")), {2;8;14;20}, FALSE)), ""=4"")"),0.0)</f>
        <v>0</v>
      </c>
      <c r="F66" s="32">
        <f>IFERROR(__xludf.DUMMYFUNCTION("COUNTIF(ARRAYFORMULA(HLOOKUP($B66, IMPORTRANGE('Prelim Rankings Unsorted'!$B$40, CONCAT(VLOOKUP($C66, 'Match Names'!$A$1:$D$22, 2, FALSE), ""!C3:R29"")), {2;7;13;19}, FALSE)), ""=0"") + COUNTIF(ARRAYFORMULA(HLOOKUP($B66, IMPORTRANGE('Prelim Rankings Unsor"&amp;"ted'!$B$41, CONCAT(VLOOKUP($C66, 'Match Names'!$A$1:$D$22, 3, FALSE), ""!C3:R29"")), {3;9;15;21}, FALSE)), ""=0"") + COUNTIF(ARRAYFORMULA(HLOOKUP($B66, IMPORTRANGE('Prelim Rankings Unsorted'!$B$42, CONCAT(VLOOKUP($C66, 'Match Names'!$A$1:$D$22, 4, FALSE),"&amp;" ""!C3:R29"")), {3;9;15;21}, FALSE)), ""=0"") + COUNTIF(ARRAYFORMULA(HLOOKUP($B66, IMPORTRANGE('Match Names'!$E$23, CONCAT(VLOOKUP($C66, 'Match Names'!$1:$22, 5, FALSE), ""!C3:R29"")), {9;14;19;24}, FALSE)), ""=0"") + COUNTIF(ARRAYFORMULA(HLOOKUP($B66, IM"&amp;"PORTRANGE('Match Names'!$F$23, CONCAT(VLOOKUP($C66, 'Match Names'!$1:$22, 6, FALSE), ""!C3:R29"")), {2;8;14;20}, FALSE)), ""=0"") + COUNTIF(ARRAYFORMULA(HLOOKUP($B66, IMPORTRANGE('Match Names'!$G$23, CONCAT(VLOOKUP($C66, 'Match Names'!$1:$22, 7, FALSE), "&amp;"""!C3:R29"")), {6;16;20;24}, FALSE)), ""=0"") + COUNTIF(ARRAYFORMULA(HLOOKUP($B66, IMPORTRANGE('Match Names'!$H$23, CONCAT(VLOOKUP($C66, 'Match Names'!$1:$22, 8, FALSE), ""!C3:R29"")), {2;8;14;20}, FALSE)), ""=0"")"),0.0)</f>
        <v>0</v>
      </c>
      <c r="G66" s="32">
        <f>IFERROR(__xludf.DUMMYFUNCTION("COUNTIF(ARRAYFORMULA(HLOOKUP($B66, IMPORTRANGE('Prelim Rankings Unsorted'!$B$40, CONCAT(VLOOKUP($C66, 'Match Names'!$A$1:$D$22, 2, FALSE), ""!C3:R29"")), {2;7;13;19}, FALSE)), ""=-4"") + COUNTIF(ARRAYFORMULA(HLOOKUP($B66, IMPORTRANGE('Prelim Rankings Unso"&amp;"rted'!$B$41, CONCAT(VLOOKUP($C66, 'Match Names'!$A$1:$D$22, 3, FALSE), ""!C3:R29"")), {3;9;15;21}, FALSE)), ""=-4"") + COUNTIF(ARRAYFORMULA(HLOOKUP($B66, IMPORTRANGE('Prelim Rankings Unsorted'!$B$42, CONCAT(VLOOKUP($C66, 'Match Names'!$A$1:$D$22, 4, FALSE"&amp;"), ""!C3:R29"")), {3;9;15;21}, FALSE)), ""=-4"") + COUNTIF(ARRAYFORMULA(HLOOKUP($B66, IMPORTRANGE('Match Names'!$E$23, CONCAT(VLOOKUP($C66, 'Match Names'!$1:$22, 5, FALSE), ""!C3:R29"")), {9;14;19;24}, FALSE)), ""=-4"") + COUNTIF(ARRAYFORMULA(HLOOKUP($B66"&amp;", IMPORTRANGE('Match Names'!$F$23, CONCAT(VLOOKUP($C66, 'Match Names'!$1:$22, 6, FALSE), ""!C3:R29"")), {2;8;14;20}, FALSE)), ""=-4"") + COUNTIF(ARRAYFORMULA(HLOOKUP($B66, IMPORTRANGE('Match Names'!$G$23, CONCAT(VLOOKUP($C66, 'Match Names'!$1:$22, 7, FALS"&amp;"E), ""!C3:R29"")), {6;16;20;24}, FALSE)), ""=-4"") + COUNTIF(ARRAYFORMULA(HLOOKUP($B66, IMPORTRANGE('Match Names'!$H$23, CONCAT(VLOOKUP($C66, 'Match Names'!$1:$22, 8, FALSE), ""!C3:R29"")), {2;8;14;20}, FALSE)), ""=-4"")"),1.0)</f>
        <v>1</v>
      </c>
      <c r="H66" s="33">
        <f t="shared" si="1"/>
        <v>-1</v>
      </c>
    </row>
    <row r="67">
      <c r="A67" s="21" t="s">
        <v>79</v>
      </c>
      <c r="B67" s="31" t="str">
        <f>VLOOKUP(CONCAT(A67, C67), 'Discord Username to Real Name'!C:D, 2, FALSE)</f>
        <v>Serferducter#1979</v>
      </c>
      <c r="C67" s="21" t="s">
        <v>22</v>
      </c>
      <c r="D67" s="32">
        <f>IFERROR(__xludf.DUMMYFUNCTION("(4 - COUNTIF(IFERROR(ARRAYFORMULA(HLOOKUP($B67, IMPORTRANGE('Prelim Rankings Unsorted'!$B$40, CONCAT(VLOOKUP($C67, 'Match Names'!$A$1:$D$22, 2, FALSE), ""!C3:R29"")), {2;7;13;19}, FALSE)), 'Player Overall Stats Unsorted'!$AA$9:$AA$12), ""=X"")) + (4 - COU"&amp;"NTIF(IFERROR(ARRAYFORMULA(HLOOKUP($B67, IMPORTRANGE('Prelim Rankings Unsorted'!$B$41, CONCAT(VLOOKUP($C67, 'Match Names'!$A$1:$D$22, 3, FALSE), ""!C3:R29"")), {3;9;15;21}, FALSE)), 'Player Overall Stats Unsorted'!$AA$9:$AA$12), ""=X"")) + (4 - COUNTIF(IFE"&amp;"RROR(ARRAYFORMULA(HLOOKUP($B67, IMPORTRANGE('Prelim Rankings Unsorted'!$B$42, CONCAT(VLOOKUP($C67, 'Match Names'!$A$1:$D$22, 4, FALSE), ""!C3:R29"")), {3;9;15;21}, FALSE)), 'Player Overall Stats Unsorted'!$AA$9:$AA$12), ""=X"")) + (4 - COUNTIF(IFERROR(ARR"&amp;"AYFORMULA(HLOOKUP($B67, IMPORTRANGE('Match Names'!$E$23, CONCAT(VLOOKUP($C67, 'Match Names'!$1:$22, 5, FALSE), ""!C3:R29"")), {9;14;19;24}, FALSE)), 'Player Overall Stats Unsorted'!$AA$9:$AA$12), ""=X"")) + (4 - COUNTIF(IFERROR(ARRAYFORMULA(HLOOKUP($B67, "&amp;"IMPORTRANGE('Match Names'!$F$23, CONCAT(VLOOKUP($C67, 'Match Names'!$1:$22, 6, FALSE), ""!C3:R29"")), {2;8;14;20}, FALSE)), 'Player Overall Stats Unsorted'!$AA$9:$AA$12), ""=X"")) + (4 - COUNTIF(IFERROR(ARRAYFORMULA(HLOOKUP($B67, IMPORTRANGE('Match Names'"&amp;"!$G$23, CONCAT(VLOOKUP($C67, 'Match Names'!$1:$22, 7, FALSE), ""!C3:R29"")), {6;16;20;24}, FALSE)), 'Player Overall Stats Unsorted'!$AA$9:$AA$12), ""=X"")) + (4 - COUNTIF(IFERROR(ARRAYFORMULA(HLOOKUP($B67, IMPORTRANGE('Match Names'!$H$23, CONCAT(VLOOKUP($"&amp;"C67, 'Match Names'!$1:$22, 8, FALSE), ""!C3:R29"")), {2;8;14;20}, FALSE)), 'Player Overall Stats Unsorted'!$AA$9:$AA$12), ""=X""))"),22.0)</f>
        <v>22</v>
      </c>
      <c r="E67" s="32">
        <f>IFERROR(__xludf.DUMMYFUNCTION("COUNTIF(ARRAYFORMULA(HLOOKUP($B67, IMPORTRANGE('Prelim Rankings Unsorted'!$B$40, CONCAT(VLOOKUP($C67, 'Match Names'!$A$1:$D$22, 2, FALSE), ""!C3:R29"")), {2;7;13;19}, FALSE)), ""=4"") + COUNTIF(ARRAYFORMULA(HLOOKUP($B67, IMPORTRANGE('Prelim Rankings Unsor"&amp;"ted'!$B$41, CONCAT(VLOOKUP($C67, 'Match Names'!$A$1:$D$22, 3, FALSE), ""!C3:R29"")), {3;9;15;21}, FALSE)), ""=4"") + COUNTIF(ARRAYFORMULA(HLOOKUP($B67, IMPORTRANGE('Prelim Rankings Unsorted'!$B$42, CONCAT(VLOOKUP($C67, 'Match Names'!$A$1:$D$22, 4, FALSE),"&amp;" ""!C3:R29"")), {3;9;15;21}, FALSE)), ""=4"") + COUNTIF(ARRAYFORMULA(HLOOKUP($B67, IMPORTRANGE('Match Names'!$E$23, CONCAT(VLOOKUP($C67, 'Match Names'!$1:$22, 5, FALSE), ""!C3:R29"")), {9;14;19;24}, FALSE)), ""=4"") + COUNTIF(ARRAYFORMULA(HLOOKUP($B67, IM"&amp;"PORTRANGE('Match Names'!$F$23, CONCAT(VLOOKUP($C67, 'Match Names'!$1:$22, 6, FALSE), ""!C3:R29"")), {2;8;14;20}, FALSE)), ""=4"") + COUNTIF(ARRAYFORMULA(HLOOKUP($B67, IMPORTRANGE('Match Names'!$G$23, CONCAT(VLOOKUP($C67, 'Match Names'!$1:$22, 7, FALSE), "&amp;"""!C3:R29"")), {6;16;20;24}, FALSE)), ""=4"") + COUNTIF(ARRAYFORMULA(HLOOKUP($B67, IMPORTRANGE('Match Names'!$H$23, CONCAT(VLOOKUP($C67, 'Match Names'!$1:$22, 8, FALSE), ""!C3:R29"")), {2;8;14;20}, FALSE)), ""=4"")"),3.0)</f>
        <v>3</v>
      </c>
      <c r="F67" s="32">
        <f>IFERROR(__xludf.DUMMYFUNCTION("COUNTIF(ARRAYFORMULA(HLOOKUP($B67, IMPORTRANGE('Prelim Rankings Unsorted'!$B$40, CONCAT(VLOOKUP($C67, 'Match Names'!$A$1:$D$22, 2, FALSE), ""!C3:R29"")), {2;7;13;19}, FALSE)), ""=0"") + COUNTIF(ARRAYFORMULA(HLOOKUP($B67, IMPORTRANGE('Prelim Rankings Unsor"&amp;"ted'!$B$41, CONCAT(VLOOKUP($C67, 'Match Names'!$A$1:$D$22, 3, FALSE), ""!C3:R29"")), {3;9;15;21}, FALSE)), ""=0"") + COUNTIF(ARRAYFORMULA(HLOOKUP($B67, IMPORTRANGE('Prelim Rankings Unsorted'!$B$42, CONCAT(VLOOKUP($C67, 'Match Names'!$A$1:$D$22, 4, FALSE),"&amp;" ""!C3:R29"")), {3;9;15;21}, FALSE)), ""=0"") + COUNTIF(ARRAYFORMULA(HLOOKUP($B67, IMPORTRANGE('Match Names'!$E$23, CONCAT(VLOOKUP($C67, 'Match Names'!$1:$22, 5, FALSE), ""!C3:R29"")), {9;14;19;24}, FALSE)), ""=0"") + COUNTIF(ARRAYFORMULA(HLOOKUP($B67, IM"&amp;"PORTRANGE('Match Names'!$F$23, CONCAT(VLOOKUP($C67, 'Match Names'!$1:$22, 6, FALSE), ""!C3:R29"")), {2;8;14;20}, FALSE)), ""=0"") + COUNTIF(ARRAYFORMULA(HLOOKUP($B67, IMPORTRANGE('Match Names'!$G$23, CONCAT(VLOOKUP($C67, 'Match Names'!$1:$22, 7, FALSE), "&amp;"""!C3:R29"")), {6;16;20;24}, FALSE)), ""=0"") + COUNTIF(ARRAYFORMULA(HLOOKUP($B67, IMPORTRANGE('Match Names'!$H$23, CONCAT(VLOOKUP($C67, 'Match Names'!$1:$22, 8, FALSE), ""!C3:R29"")), {2;8;14;20}, FALSE)), ""=0"")"),1.0)</f>
        <v>1</v>
      </c>
      <c r="G67" s="32">
        <f>IFERROR(__xludf.DUMMYFUNCTION("COUNTIF(ARRAYFORMULA(HLOOKUP($B67, IMPORTRANGE('Prelim Rankings Unsorted'!$B$40, CONCAT(VLOOKUP($C67, 'Match Names'!$A$1:$D$22, 2, FALSE), ""!C3:R29"")), {2;7;13;19}, FALSE)), ""=-4"") + COUNTIF(ARRAYFORMULA(HLOOKUP($B67, IMPORTRANGE('Prelim Rankings Unso"&amp;"rted'!$B$41, CONCAT(VLOOKUP($C67, 'Match Names'!$A$1:$D$22, 3, FALSE), ""!C3:R29"")), {3;9;15;21}, FALSE)), ""=-4"") + COUNTIF(ARRAYFORMULA(HLOOKUP($B67, IMPORTRANGE('Prelim Rankings Unsorted'!$B$42, CONCAT(VLOOKUP($C67, 'Match Names'!$A$1:$D$22, 4, FALSE"&amp;"), ""!C3:R29"")), {3;9;15;21}, FALSE)), ""=-4"") + COUNTIF(ARRAYFORMULA(HLOOKUP($B67, IMPORTRANGE('Match Names'!$E$23, CONCAT(VLOOKUP($C67, 'Match Names'!$1:$22, 5, FALSE), ""!C3:R29"")), {9;14;19;24}, FALSE)), ""=-4"") + COUNTIF(ARRAYFORMULA(HLOOKUP($B67"&amp;", IMPORTRANGE('Match Names'!$F$23, CONCAT(VLOOKUP($C67, 'Match Names'!$1:$22, 6, FALSE), ""!C3:R29"")), {2;8;14;20}, FALSE)), ""=-4"") + COUNTIF(ARRAYFORMULA(HLOOKUP($B67, IMPORTRANGE('Match Names'!$G$23, CONCAT(VLOOKUP($C67, 'Match Names'!$1:$22, 7, FALS"&amp;"E), ""!C3:R29"")), {6;16;20;24}, FALSE)), ""=-4"") + COUNTIF(ARRAYFORMULA(HLOOKUP($B67, IMPORTRANGE('Match Names'!$H$23, CONCAT(VLOOKUP($C67, 'Match Names'!$1:$22, 8, FALSE), ""!C3:R29"")), {2;8;14;20}, FALSE)), ""=-4"")"),1.0)</f>
        <v>1</v>
      </c>
      <c r="H67" s="33">
        <f t="shared" si="1"/>
        <v>1.45</v>
      </c>
    </row>
    <row r="68">
      <c r="A68" s="21" t="s">
        <v>93</v>
      </c>
      <c r="B68" s="31" t="str">
        <f>VLOOKUP(CONCAT(A68, C68), 'Discord Username to Real Name'!C:D, 2, FALSE)</f>
        <v>Hyperion#5422</v>
      </c>
      <c r="C68" s="21" t="s">
        <v>30</v>
      </c>
      <c r="D68" s="32">
        <f>IFERROR(__xludf.DUMMYFUNCTION("(4 - COUNTIF(IFERROR(ARRAYFORMULA(HLOOKUP($B68, IMPORTRANGE('Prelim Rankings Unsorted'!$B$40, CONCAT(VLOOKUP($C68, 'Match Names'!$A$1:$D$22, 2, FALSE), ""!C3:R29"")), {2;7;13;19}, FALSE)), 'Player Overall Stats Unsorted'!$AA$9:$AA$12), ""=X"")) + (4 - COU"&amp;"NTIF(IFERROR(ARRAYFORMULA(HLOOKUP($B68, IMPORTRANGE('Prelim Rankings Unsorted'!$B$41, CONCAT(VLOOKUP($C68, 'Match Names'!$A$1:$D$22, 3, FALSE), ""!C3:R29"")), {3;9;15;21}, FALSE)), 'Player Overall Stats Unsorted'!$AA$9:$AA$12), ""=X"")) + (4 - COUNTIF(IFE"&amp;"RROR(ARRAYFORMULA(HLOOKUP($B68, IMPORTRANGE('Prelim Rankings Unsorted'!$B$42, CONCAT(VLOOKUP($C68, 'Match Names'!$A$1:$D$22, 4, FALSE), ""!C3:R29"")), {3;9;15;21}, FALSE)), 'Player Overall Stats Unsorted'!$AA$9:$AA$12), ""=X"")) + (4 - COUNTIF(IFERROR(ARR"&amp;"AYFORMULA(HLOOKUP($B68, IMPORTRANGE('Match Names'!$E$23, CONCAT(VLOOKUP($C68, 'Match Names'!$1:$22, 5, FALSE), ""!C3:R29"")), {9;14;19;24}, FALSE)), 'Player Overall Stats Unsorted'!$AA$9:$AA$12), ""=X"")) + (4 - COUNTIF(IFERROR(ARRAYFORMULA(HLOOKUP($B68, "&amp;"IMPORTRANGE('Match Names'!$F$23, CONCAT(VLOOKUP($C68, 'Match Names'!$1:$22, 6, FALSE), ""!C3:R29"")), {2;8;14;20}, FALSE)), 'Player Overall Stats Unsorted'!$AA$9:$AA$12), ""=X"")) + (4 - COUNTIF(IFERROR(ARRAYFORMULA(HLOOKUP($B68, IMPORTRANGE('Match Names'"&amp;"!$G$23, CONCAT(VLOOKUP($C68, 'Match Names'!$1:$22, 7, FALSE), ""!C3:R29"")), {6;16;20;24}, FALSE)), 'Player Overall Stats Unsorted'!$AA$9:$AA$12), ""=X"")) + (4 - COUNTIF(IFERROR(ARRAYFORMULA(HLOOKUP($B68, IMPORTRANGE('Match Names'!$H$23, CONCAT(VLOOKUP($"&amp;"C68, 'Match Names'!$1:$22, 8, FALSE), ""!C3:R29"")), {2;8;14;20}, FALSE)), 'Player Overall Stats Unsorted'!$AA$9:$AA$12), ""=X""))"),16.0)</f>
        <v>16</v>
      </c>
      <c r="E68" s="32">
        <f>IFERROR(__xludf.DUMMYFUNCTION("COUNTIF(ARRAYFORMULA(HLOOKUP($B68, IMPORTRANGE('Prelim Rankings Unsorted'!$B$40, CONCAT(VLOOKUP($C68, 'Match Names'!$A$1:$D$22, 2, FALSE), ""!C3:R29"")), {2;7;13;19}, FALSE)), ""=4"") + COUNTIF(ARRAYFORMULA(HLOOKUP($B68, IMPORTRANGE('Prelim Rankings Unsor"&amp;"ted'!$B$41, CONCAT(VLOOKUP($C68, 'Match Names'!$A$1:$D$22, 3, FALSE), ""!C3:R29"")), {3;9;15;21}, FALSE)), ""=4"") + COUNTIF(ARRAYFORMULA(HLOOKUP($B68, IMPORTRANGE('Prelim Rankings Unsorted'!$B$42, CONCAT(VLOOKUP($C68, 'Match Names'!$A$1:$D$22, 4, FALSE),"&amp;" ""!C3:R29"")), {3;9;15;21}, FALSE)), ""=4"") + COUNTIF(ARRAYFORMULA(HLOOKUP($B68, IMPORTRANGE('Match Names'!$E$23, CONCAT(VLOOKUP($C68, 'Match Names'!$1:$22, 5, FALSE), ""!C3:R29"")), {9;14;19;24}, FALSE)), ""=4"") + COUNTIF(ARRAYFORMULA(HLOOKUP($B68, IM"&amp;"PORTRANGE('Match Names'!$F$23, CONCAT(VLOOKUP($C68, 'Match Names'!$1:$22, 6, FALSE), ""!C3:R29"")), {2;8;14;20}, FALSE)), ""=4"") + COUNTIF(ARRAYFORMULA(HLOOKUP($B68, IMPORTRANGE('Match Names'!$G$23, CONCAT(VLOOKUP($C68, 'Match Names'!$1:$22, 7, FALSE), "&amp;"""!C3:R29"")), {6;16;20;24}, FALSE)), ""=4"") + COUNTIF(ARRAYFORMULA(HLOOKUP($B68, IMPORTRANGE('Match Names'!$H$23, CONCAT(VLOOKUP($C68, 'Match Names'!$1:$22, 8, FALSE), ""!C3:R29"")), {2;8;14;20}, FALSE)), ""=4"")"),2.0)</f>
        <v>2</v>
      </c>
      <c r="F68" s="32">
        <f>IFERROR(__xludf.DUMMYFUNCTION("COUNTIF(ARRAYFORMULA(HLOOKUP($B68, IMPORTRANGE('Prelim Rankings Unsorted'!$B$40, CONCAT(VLOOKUP($C68, 'Match Names'!$A$1:$D$22, 2, FALSE), ""!C3:R29"")), {2;7;13;19}, FALSE)), ""=0"") + COUNTIF(ARRAYFORMULA(HLOOKUP($B68, IMPORTRANGE('Prelim Rankings Unsor"&amp;"ted'!$B$41, CONCAT(VLOOKUP($C68, 'Match Names'!$A$1:$D$22, 3, FALSE), ""!C3:R29"")), {3;9;15;21}, FALSE)), ""=0"") + COUNTIF(ARRAYFORMULA(HLOOKUP($B68, IMPORTRANGE('Prelim Rankings Unsorted'!$B$42, CONCAT(VLOOKUP($C68, 'Match Names'!$A$1:$D$22, 4, FALSE),"&amp;" ""!C3:R29"")), {3;9;15;21}, FALSE)), ""=0"") + COUNTIF(ARRAYFORMULA(HLOOKUP($B68, IMPORTRANGE('Match Names'!$E$23, CONCAT(VLOOKUP($C68, 'Match Names'!$1:$22, 5, FALSE), ""!C3:R29"")), {9;14;19;24}, FALSE)), ""=0"") + COUNTIF(ARRAYFORMULA(HLOOKUP($B68, IM"&amp;"PORTRANGE('Match Names'!$F$23, CONCAT(VLOOKUP($C68, 'Match Names'!$1:$22, 6, FALSE), ""!C3:R29"")), {2;8;14;20}, FALSE)), ""=0"") + COUNTIF(ARRAYFORMULA(HLOOKUP($B68, IMPORTRANGE('Match Names'!$G$23, CONCAT(VLOOKUP($C68, 'Match Names'!$1:$22, 7, FALSE), "&amp;"""!C3:R29"")), {6;16;20;24}, FALSE)), ""=0"") + COUNTIF(ARRAYFORMULA(HLOOKUP($B68, IMPORTRANGE('Match Names'!$H$23, CONCAT(VLOOKUP($C68, 'Match Names'!$1:$22, 8, FALSE), ""!C3:R29"")), {2;8;14;20}, FALSE)), ""=0"")"),5.0)</f>
        <v>5</v>
      </c>
      <c r="G68" s="32">
        <f>IFERROR(__xludf.DUMMYFUNCTION("COUNTIF(ARRAYFORMULA(HLOOKUP($B68, IMPORTRANGE('Prelim Rankings Unsorted'!$B$40, CONCAT(VLOOKUP($C68, 'Match Names'!$A$1:$D$22, 2, FALSE), ""!C3:R29"")), {2;7;13;19}, FALSE)), ""=-4"") + COUNTIF(ARRAYFORMULA(HLOOKUP($B68, IMPORTRANGE('Prelim Rankings Unso"&amp;"rted'!$B$41, CONCAT(VLOOKUP($C68, 'Match Names'!$A$1:$D$22, 3, FALSE), ""!C3:R29"")), {3;9;15;21}, FALSE)), ""=-4"") + COUNTIF(ARRAYFORMULA(HLOOKUP($B68, IMPORTRANGE('Prelim Rankings Unsorted'!$B$42, CONCAT(VLOOKUP($C68, 'Match Names'!$A$1:$D$22, 4, FALSE"&amp;"), ""!C3:R29"")), {3;9;15;21}, FALSE)), ""=-4"") + COUNTIF(ARRAYFORMULA(HLOOKUP($B68, IMPORTRANGE('Match Names'!$E$23, CONCAT(VLOOKUP($C68, 'Match Names'!$1:$22, 5, FALSE), ""!C3:R29"")), {9;14;19;24}, FALSE)), ""=-4"") + COUNTIF(ARRAYFORMULA(HLOOKUP($B68"&amp;", IMPORTRANGE('Match Names'!$F$23, CONCAT(VLOOKUP($C68, 'Match Names'!$1:$22, 6, FALSE), ""!C3:R29"")), {2;8;14;20}, FALSE)), ""=-4"") + COUNTIF(ARRAYFORMULA(HLOOKUP($B68, IMPORTRANGE('Match Names'!$G$23, CONCAT(VLOOKUP($C68, 'Match Names'!$1:$22, 7, FALS"&amp;"E), ""!C3:R29"")), {6;16;20;24}, FALSE)), ""=-4"") + COUNTIF(ARRAYFORMULA(HLOOKUP($B68, IMPORTRANGE('Match Names'!$H$23, CONCAT(VLOOKUP($C68, 'Match Names'!$1:$22, 8, FALSE), ""!C3:R29"")), {2;8;14;20}, FALSE)), ""=-4"")"),0.0)</f>
        <v>0</v>
      </c>
      <c r="H68" s="33">
        <f t="shared" si="1"/>
        <v>2</v>
      </c>
    </row>
    <row r="69">
      <c r="A69" s="21" t="s">
        <v>160</v>
      </c>
      <c r="B69" s="31" t="str">
        <f>VLOOKUP(CONCAT(A69, C69), 'Discord Username to Real Name'!C:D, 2, FALSE)</f>
        <v>luczha003#3376</v>
      </c>
      <c r="C69" s="21" t="s">
        <v>30</v>
      </c>
      <c r="D69" s="32">
        <f>IFERROR(__xludf.DUMMYFUNCTION("(4 - COUNTIF(IFERROR(ARRAYFORMULA(HLOOKUP($B69, IMPORTRANGE('Prelim Rankings Unsorted'!$B$40, CONCAT(VLOOKUP($C69, 'Match Names'!$A$1:$D$22, 2, FALSE), ""!C3:R29"")), {2;7;13;19}, FALSE)), 'Player Overall Stats Unsorted'!$AA$9:$AA$12), ""=X"")) + (4 - COU"&amp;"NTIF(IFERROR(ARRAYFORMULA(HLOOKUP($B69, IMPORTRANGE('Prelim Rankings Unsorted'!$B$41, CONCAT(VLOOKUP($C69, 'Match Names'!$A$1:$D$22, 3, FALSE), ""!C3:R29"")), {3;9;15;21}, FALSE)), 'Player Overall Stats Unsorted'!$AA$9:$AA$12), ""=X"")) + (4 - COUNTIF(IFE"&amp;"RROR(ARRAYFORMULA(HLOOKUP($B69, IMPORTRANGE('Prelim Rankings Unsorted'!$B$42, CONCAT(VLOOKUP($C69, 'Match Names'!$A$1:$D$22, 4, FALSE), ""!C3:R29"")), {3;9;15;21}, FALSE)), 'Player Overall Stats Unsorted'!$AA$9:$AA$12), ""=X"")) + (4 - COUNTIF(IFERROR(ARR"&amp;"AYFORMULA(HLOOKUP($B69, IMPORTRANGE('Match Names'!$E$23, CONCAT(VLOOKUP($C69, 'Match Names'!$1:$22, 5, FALSE), ""!C3:R29"")), {9;14;19;24}, FALSE)), 'Player Overall Stats Unsorted'!$AA$9:$AA$12), ""=X"")) + (4 - COUNTIF(IFERROR(ARRAYFORMULA(HLOOKUP($B69, "&amp;"IMPORTRANGE('Match Names'!$F$23, CONCAT(VLOOKUP($C69, 'Match Names'!$1:$22, 6, FALSE), ""!C3:R29"")), {2;8;14;20}, FALSE)), 'Player Overall Stats Unsorted'!$AA$9:$AA$12), ""=X"")) + (4 - COUNTIF(IFERROR(ARRAYFORMULA(HLOOKUP($B69, IMPORTRANGE('Match Names'"&amp;"!$G$23, CONCAT(VLOOKUP($C69, 'Match Names'!$1:$22, 7, FALSE), ""!C3:R29"")), {6;16;20;24}, FALSE)), 'Player Overall Stats Unsorted'!$AA$9:$AA$12), ""=X"")) + (4 - COUNTIF(IFERROR(ARRAYFORMULA(HLOOKUP($B69, IMPORTRANGE('Match Names'!$H$23, CONCAT(VLOOKUP($"&amp;"C69, 'Match Names'!$1:$22, 8, FALSE), ""!C3:R29"")), {2;8;14;20}, FALSE)), 'Player Overall Stats Unsorted'!$AA$9:$AA$12), ""=X""))"),12.0)</f>
        <v>12</v>
      </c>
      <c r="E69" s="32">
        <f>IFERROR(__xludf.DUMMYFUNCTION("COUNTIF(ARRAYFORMULA(HLOOKUP($B69, IMPORTRANGE('Prelim Rankings Unsorted'!$B$40, CONCAT(VLOOKUP($C69, 'Match Names'!$A$1:$D$22, 2, FALSE), ""!C3:R29"")), {2;7;13;19}, FALSE)), ""=4"") + COUNTIF(ARRAYFORMULA(HLOOKUP($B69, IMPORTRANGE('Prelim Rankings Unsor"&amp;"ted'!$B$41, CONCAT(VLOOKUP($C69, 'Match Names'!$A$1:$D$22, 3, FALSE), ""!C3:R29"")), {3;9;15;21}, FALSE)), ""=4"") + COUNTIF(ARRAYFORMULA(HLOOKUP($B69, IMPORTRANGE('Prelim Rankings Unsorted'!$B$42, CONCAT(VLOOKUP($C69, 'Match Names'!$A$1:$D$22, 4, FALSE),"&amp;" ""!C3:R29"")), {3;9;15;21}, FALSE)), ""=4"") + COUNTIF(ARRAYFORMULA(HLOOKUP($B69, IMPORTRANGE('Match Names'!$E$23, CONCAT(VLOOKUP($C69, 'Match Names'!$1:$22, 5, FALSE), ""!C3:R29"")), {9;14;19;24}, FALSE)), ""=4"") + COUNTIF(ARRAYFORMULA(HLOOKUP($B69, IM"&amp;"PORTRANGE('Match Names'!$F$23, CONCAT(VLOOKUP($C69, 'Match Names'!$1:$22, 6, FALSE), ""!C3:R29"")), {2;8;14;20}, FALSE)), ""=4"") + COUNTIF(ARRAYFORMULA(HLOOKUP($B69, IMPORTRANGE('Match Names'!$G$23, CONCAT(VLOOKUP($C69, 'Match Names'!$1:$22, 7, FALSE), "&amp;"""!C3:R29"")), {6;16;20;24}, FALSE)), ""=4"") + COUNTIF(ARRAYFORMULA(HLOOKUP($B69, IMPORTRANGE('Match Names'!$H$23, CONCAT(VLOOKUP($C69, 'Match Names'!$1:$22, 8, FALSE), ""!C3:R29"")), {2;8;14;20}, FALSE)), ""=4"")"),0.0)</f>
        <v>0</v>
      </c>
      <c r="F69" s="32">
        <f>IFERROR(__xludf.DUMMYFUNCTION("COUNTIF(ARRAYFORMULA(HLOOKUP($B69, IMPORTRANGE('Prelim Rankings Unsorted'!$B$40, CONCAT(VLOOKUP($C69, 'Match Names'!$A$1:$D$22, 2, FALSE), ""!C3:R29"")), {2;7;13;19}, FALSE)), ""=0"") + COUNTIF(ARRAYFORMULA(HLOOKUP($B69, IMPORTRANGE('Prelim Rankings Unsor"&amp;"ted'!$B$41, CONCAT(VLOOKUP($C69, 'Match Names'!$A$1:$D$22, 3, FALSE), ""!C3:R29"")), {3;9;15;21}, FALSE)), ""=0"") + COUNTIF(ARRAYFORMULA(HLOOKUP($B69, IMPORTRANGE('Prelim Rankings Unsorted'!$B$42, CONCAT(VLOOKUP($C69, 'Match Names'!$A$1:$D$22, 4, FALSE),"&amp;" ""!C3:R29"")), {3;9;15;21}, FALSE)), ""=0"") + COUNTIF(ARRAYFORMULA(HLOOKUP($B69, IMPORTRANGE('Match Names'!$E$23, CONCAT(VLOOKUP($C69, 'Match Names'!$1:$22, 5, FALSE), ""!C3:R29"")), {9;14;19;24}, FALSE)), ""=0"") + COUNTIF(ARRAYFORMULA(HLOOKUP($B69, IM"&amp;"PORTRANGE('Match Names'!$F$23, CONCAT(VLOOKUP($C69, 'Match Names'!$1:$22, 6, FALSE), ""!C3:R29"")), {2;8;14;20}, FALSE)), ""=0"") + COUNTIF(ARRAYFORMULA(HLOOKUP($B69, IMPORTRANGE('Match Names'!$G$23, CONCAT(VLOOKUP($C69, 'Match Names'!$1:$22, 7, FALSE), "&amp;"""!C3:R29"")), {6;16;20;24}, FALSE)), ""=0"") + COUNTIF(ARRAYFORMULA(HLOOKUP($B69, IMPORTRANGE('Match Names'!$H$23, CONCAT(VLOOKUP($C69, 'Match Names'!$1:$22, 8, FALSE), ""!C3:R29"")), {2;8;14;20}, FALSE)), ""=0"")"),1.0)</f>
        <v>1</v>
      </c>
      <c r="G69" s="32">
        <f>IFERROR(__xludf.DUMMYFUNCTION("COUNTIF(ARRAYFORMULA(HLOOKUP($B69, IMPORTRANGE('Prelim Rankings Unsorted'!$B$40, CONCAT(VLOOKUP($C69, 'Match Names'!$A$1:$D$22, 2, FALSE), ""!C3:R29"")), {2;7;13;19}, FALSE)), ""=-4"") + COUNTIF(ARRAYFORMULA(HLOOKUP($B69, IMPORTRANGE('Prelim Rankings Unso"&amp;"rted'!$B$41, CONCAT(VLOOKUP($C69, 'Match Names'!$A$1:$D$22, 3, FALSE), ""!C3:R29"")), {3;9;15;21}, FALSE)), ""=-4"") + COUNTIF(ARRAYFORMULA(HLOOKUP($B69, IMPORTRANGE('Prelim Rankings Unsorted'!$B$42, CONCAT(VLOOKUP($C69, 'Match Names'!$A$1:$D$22, 4, FALSE"&amp;"), ""!C3:R29"")), {3;9;15;21}, FALSE)), ""=-4"") + COUNTIF(ARRAYFORMULA(HLOOKUP($B69, IMPORTRANGE('Match Names'!$E$23, CONCAT(VLOOKUP($C69, 'Match Names'!$1:$22, 5, FALSE), ""!C3:R29"")), {9;14;19;24}, FALSE)), ""=-4"") + COUNTIF(ARRAYFORMULA(HLOOKUP($B69"&amp;", IMPORTRANGE('Match Names'!$F$23, CONCAT(VLOOKUP($C69, 'Match Names'!$1:$22, 6, FALSE), ""!C3:R29"")), {2;8;14;20}, FALSE)), ""=-4"") + COUNTIF(ARRAYFORMULA(HLOOKUP($B69, IMPORTRANGE('Match Names'!$G$23, CONCAT(VLOOKUP($C69, 'Match Names'!$1:$22, 7, FALS"&amp;"E), ""!C3:R29"")), {6;16;20;24}, FALSE)), ""=-4"") + COUNTIF(ARRAYFORMULA(HLOOKUP($B69, IMPORTRANGE('Match Names'!$H$23, CONCAT(VLOOKUP($C69, 'Match Names'!$1:$22, 8, FALSE), ""!C3:R29"")), {2;8;14;20}, FALSE)), ""=-4"")"),0.0)</f>
        <v>0</v>
      </c>
      <c r="H69" s="33">
        <f t="shared" si="1"/>
        <v>0</v>
      </c>
    </row>
    <row r="70">
      <c r="A70" s="21" t="s">
        <v>202</v>
      </c>
      <c r="B70" s="31" t="str">
        <f>VLOOKUP(CONCAT(A70, C70), 'Discord Username to Real Name'!C:D, 2, FALSE)</f>
        <v>Ritz#0792</v>
      </c>
      <c r="C70" s="21" t="s">
        <v>30</v>
      </c>
      <c r="D70" s="32">
        <f>IFERROR(__xludf.DUMMYFUNCTION("(4 - COUNTIF(IFERROR(ARRAYFORMULA(HLOOKUP($B70, IMPORTRANGE('Prelim Rankings Unsorted'!$B$40, CONCAT(VLOOKUP($C70, 'Match Names'!$A$1:$D$22, 2, FALSE), ""!C3:R29"")), {2;7;13;19}, FALSE)), 'Player Overall Stats Unsorted'!$AA$9:$AA$12), ""=X"")) + (4 - COU"&amp;"NTIF(IFERROR(ARRAYFORMULA(HLOOKUP($B70, IMPORTRANGE('Prelim Rankings Unsorted'!$B$41, CONCAT(VLOOKUP($C70, 'Match Names'!$A$1:$D$22, 3, FALSE), ""!C3:R29"")), {3;9;15;21}, FALSE)), 'Player Overall Stats Unsorted'!$AA$9:$AA$12), ""=X"")) + (4 - COUNTIF(IFE"&amp;"RROR(ARRAYFORMULA(HLOOKUP($B70, IMPORTRANGE('Prelim Rankings Unsorted'!$B$42, CONCAT(VLOOKUP($C70, 'Match Names'!$A$1:$D$22, 4, FALSE), ""!C3:R29"")), {3;9;15;21}, FALSE)), 'Player Overall Stats Unsorted'!$AA$9:$AA$12), ""=X"")) + (4 - COUNTIF(IFERROR(ARR"&amp;"AYFORMULA(HLOOKUP($B70, IMPORTRANGE('Match Names'!$E$23, CONCAT(VLOOKUP($C70, 'Match Names'!$1:$22, 5, FALSE), ""!C3:R29"")), {9;14;19;24}, FALSE)), 'Player Overall Stats Unsorted'!$AA$9:$AA$12), ""=X"")) + (4 - COUNTIF(IFERROR(ARRAYFORMULA(HLOOKUP($B70, "&amp;"IMPORTRANGE('Match Names'!$F$23, CONCAT(VLOOKUP($C70, 'Match Names'!$1:$22, 6, FALSE), ""!C3:R29"")), {2;8;14;20}, FALSE)), 'Player Overall Stats Unsorted'!$AA$9:$AA$12), ""=X"")) + (4 - COUNTIF(IFERROR(ARRAYFORMULA(HLOOKUP($B70, IMPORTRANGE('Match Names'"&amp;"!$G$23, CONCAT(VLOOKUP($C70, 'Match Names'!$1:$22, 7, FALSE), ""!C3:R29"")), {6;16;20;24}, FALSE)), 'Player Overall Stats Unsorted'!$AA$9:$AA$12), ""=X"")) + (4 - COUNTIF(IFERROR(ARRAYFORMULA(HLOOKUP($B70, IMPORTRANGE('Match Names'!$H$23, CONCAT(VLOOKUP($"&amp;"C70, 'Match Names'!$1:$22, 8, FALSE), ""!C3:R29"")), {2;8;14;20}, FALSE)), 'Player Overall Stats Unsorted'!$AA$9:$AA$12), ""=X""))"),0.0)</f>
        <v>0</v>
      </c>
      <c r="E70" s="32">
        <f>IFERROR(__xludf.DUMMYFUNCTION("COUNTIF(ARRAYFORMULA(HLOOKUP($B70, IMPORTRANGE('Prelim Rankings Unsorted'!$B$40, CONCAT(VLOOKUP($C70, 'Match Names'!$A$1:$D$22, 2, FALSE), ""!C3:R29"")), {2;7;13;19}, FALSE)), ""=4"") + COUNTIF(ARRAYFORMULA(HLOOKUP($B70, IMPORTRANGE('Prelim Rankings Unsor"&amp;"ted'!$B$41, CONCAT(VLOOKUP($C70, 'Match Names'!$A$1:$D$22, 3, FALSE), ""!C3:R29"")), {3;9;15;21}, FALSE)), ""=4"") + COUNTIF(ARRAYFORMULA(HLOOKUP($B70, IMPORTRANGE('Prelim Rankings Unsorted'!$B$42, CONCAT(VLOOKUP($C70, 'Match Names'!$A$1:$D$22, 4, FALSE),"&amp;" ""!C3:R29"")), {3;9;15;21}, FALSE)), ""=4"") + COUNTIF(ARRAYFORMULA(HLOOKUP($B70, IMPORTRANGE('Match Names'!$E$23, CONCAT(VLOOKUP($C70, 'Match Names'!$1:$22, 5, FALSE), ""!C3:R29"")), {9;14;19;24}, FALSE)), ""=4"") + COUNTIF(ARRAYFORMULA(HLOOKUP($B70, IM"&amp;"PORTRANGE('Match Names'!$F$23, CONCAT(VLOOKUP($C70, 'Match Names'!$1:$22, 6, FALSE), ""!C3:R29"")), {2;8;14;20}, FALSE)), ""=4"") + COUNTIF(ARRAYFORMULA(HLOOKUP($B70, IMPORTRANGE('Match Names'!$G$23, CONCAT(VLOOKUP($C70, 'Match Names'!$1:$22, 7, FALSE), "&amp;"""!C3:R29"")), {6;16;20;24}, FALSE)), ""=4"") + COUNTIF(ARRAYFORMULA(HLOOKUP($B70, IMPORTRANGE('Match Names'!$H$23, CONCAT(VLOOKUP($C70, 'Match Names'!$1:$22, 8, FALSE), ""!C3:R29"")), {2;8;14;20}, FALSE)), ""=4"")"),0.0)</f>
        <v>0</v>
      </c>
      <c r="F70" s="32">
        <f>IFERROR(__xludf.DUMMYFUNCTION("COUNTIF(ARRAYFORMULA(HLOOKUP($B70, IMPORTRANGE('Prelim Rankings Unsorted'!$B$40, CONCAT(VLOOKUP($C70, 'Match Names'!$A$1:$D$22, 2, FALSE), ""!C3:R29"")), {2;7;13;19}, FALSE)), ""=0"") + COUNTIF(ARRAYFORMULA(HLOOKUP($B70, IMPORTRANGE('Prelim Rankings Unsor"&amp;"ted'!$B$41, CONCAT(VLOOKUP($C70, 'Match Names'!$A$1:$D$22, 3, FALSE), ""!C3:R29"")), {3;9;15;21}, FALSE)), ""=0"") + COUNTIF(ARRAYFORMULA(HLOOKUP($B70, IMPORTRANGE('Prelim Rankings Unsorted'!$B$42, CONCAT(VLOOKUP($C70, 'Match Names'!$A$1:$D$22, 4, FALSE),"&amp;" ""!C3:R29"")), {3;9;15;21}, FALSE)), ""=0"") + COUNTIF(ARRAYFORMULA(HLOOKUP($B70, IMPORTRANGE('Match Names'!$E$23, CONCAT(VLOOKUP($C70, 'Match Names'!$1:$22, 5, FALSE), ""!C3:R29"")), {9;14;19;24}, FALSE)), ""=0"") + COUNTIF(ARRAYFORMULA(HLOOKUP($B70, IM"&amp;"PORTRANGE('Match Names'!$F$23, CONCAT(VLOOKUP($C70, 'Match Names'!$1:$22, 6, FALSE), ""!C3:R29"")), {2;8;14;20}, FALSE)), ""=0"") + COUNTIF(ARRAYFORMULA(HLOOKUP($B70, IMPORTRANGE('Match Names'!$G$23, CONCAT(VLOOKUP($C70, 'Match Names'!$1:$22, 7, FALSE), "&amp;"""!C3:R29"")), {6;16;20;24}, FALSE)), ""=0"") + COUNTIF(ARRAYFORMULA(HLOOKUP($B70, IMPORTRANGE('Match Names'!$H$23, CONCAT(VLOOKUP($C70, 'Match Names'!$1:$22, 8, FALSE), ""!C3:R29"")), {2;8;14;20}, FALSE)), ""=0"")"),0.0)</f>
        <v>0</v>
      </c>
      <c r="G70" s="32">
        <f>IFERROR(__xludf.DUMMYFUNCTION("COUNTIF(ARRAYFORMULA(HLOOKUP($B70, IMPORTRANGE('Prelim Rankings Unsorted'!$B$40, CONCAT(VLOOKUP($C70, 'Match Names'!$A$1:$D$22, 2, FALSE), ""!C3:R29"")), {2;7;13;19}, FALSE)), ""=-4"") + COUNTIF(ARRAYFORMULA(HLOOKUP($B70, IMPORTRANGE('Prelim Rankings Unso"&amp;"rted'!$B$41, CONCAT(VLOOKUP($C70, 'Match Names'!$A$1:$D$22, 3, FALSE), ""!C3:R29"")), {3;9;15;21}, FALSE)), ""=-4"") + COUNTIF(ARRAYFORMULA(HLOOKUP($B70, IMPORTRANGE('Prelim Rankings Unsorted'!$B$42, CONCAT(VLOOKUP($C70, 'Match Names'!$A$1:$D$22, 4, FALSE"&amp;"), ""!C3:R29"")), {3;9;15;21}, FALSE)), ""=-4"") + COUNTIF(ARRAYFORMULA(HLOOKUP($B70, IMPORTRANGE('Match Names'!$E$23, CONCAT(VLOOKUP($C70, 'Match Names'!$1:$22, 5, FALSE), ""!C3:R29"")), {9;14;19;24}, FALSE)), ""=-4"") + COUNTIF(ARRAYFORMULA(HLOOKUP($B70"&amp;", IMPORTRANGE('Match Names'!$F$23, CONCAT(VLOOKUP($C70, 'Match Names'!$1:$22, 6, FALSE), ""!C3:R29"")), {2;8;14;20}, FALSE)), ""=-4"") + COUNTIF(ARRAYFORMULA(HLOOKUP($B70, IMPORTRANGE('Match Names'!$G$23, CONCAT(VLOOKUP($C70, 'Match Names'!$1:$22, 7, FALS"&amp;"E), ""!C3:R29"")), {6;16;20;24}, FALSE)), ""=-4"") + COUNTIF(ARRAYFORMULA(HLOOKUP($B70, IMPORTRANGE('Match Names'!$H$23, CONCAT(VLOOKUP($C70, 'Match Names'!$1:$22, 8, FALSE), ""!C3:R29"")), {2;8;14;20}, FALSE)), ""=-4"")"),0.0)</f>
        <v>0</v>
      </c>
      <c r="H70" s="33">
        <f t="shared" si="1"/>
        <v>0</v>
      </c>
    </row>
    <row r="71">
      <c r="A71" s="21" t="s">
        <v>148</v>
      </c>
      <c r="B71" s="31" t="str">
        <f>VLOOKUP(CONCAT(A71, C71), 'Discord Username to Real Name'!C:D, 2, FALSE)</f>
        <v>RR#5337</v>
      </c>
      <c r="C71" s="21" t="s">
        <v>30</v>
      </c>
      <c r="D71" s="32">
        <f>IFERROR(__xludf.DUMMYFUNCTION("(4 - COUNTIF(IFERROR(ARRAYFORMULA(HLOOKUP($B71, IMPORTRANGE('Prelim Rankings Unsorted'!$B$40, CONCAT(VLOOKUP($C71, 'Match Names'!$A$1:$D$22, 2, FALSE), ""!C3:R29"")), {2;7;13;19}, FALSE)), 'Player Overall Stats Unsorted'!$AA$9:$AA$12), ""=X"")) + (4 - COU"&amp;"NTIF(IFERROR(ARRAYFORMULA(HLOOKUP($B71, IMPORTRANGE('Prelim Rankings Unsorted'!$B$41, CONCAT(VLOOKUP($C71, 'Match Names'!$A$1:$D$22, 3, FALSE), ""!C3:R29"")), {3;9;15;21}, FALSE)), 'Player Overall Stats Unsorted'!$AA$9:$AA$12), ""=X"")) + (4 - COUNTIF(IFE"&amp;"RROR(ARRAYFORMULA(HLOOKUP($B71, IMPORTRANGE('Prelim Rankings Unsorted'!$B$42, CONCAT(VLOOKUP($C71, 'Match Names'!$A$1:$D$22, 4, FALSE), ""!C3:R29"")), {3;9;15;21}, FALSE)), 'Player Overall Stats Unsorted'!$AA$9:$AA$12), ""=X"")) + (4 - COUNTIF(IFERROR(ARR"&amp;"AYFORMULA(HLOOKUP($B71, IMPORTRANGE('Match Names'!$E$23, CONCAT(VLOOKUP($C71, 'Match Names'!$1:$22, 5, FALSE), ""!C3:R29"")), {9;14;19;24}, FALSE)), 'Player Overall Stats Unsorted'!$AA$9:$AA$12), ""=X"")) + (4 - COUNTIF(IFERROR(ARRAYFORMULA(HLOOKUP($B71, "&amp;"IMPORTRANGE('Match Names'!$F$23, CONCAT(VLOOKUP($C71, 'Match Names'!$1:$22, 6, FALSE), ""!C3:R29"")), {2;8;14;20}, FALSE)), 'Player Overall Stats Unsorted'!$AA$9:$AA$12), ""=X"")) + (4 - COUNTIF(IFERROR(ARRAYFORMULA(HLOOKUP($B71, IMPORTRANGE('Match Names'"&amp;"!$G$23, CONCAT(VLOOKUP($C71, 'Match Names'!$1:$22, 7, FALSE), ""!C3:R29"")), {6;16;20;24}, FALSE)), 'Player Overall Stats Unsorted'!$AA$9:$AA$12), ""=X"")) + (4 - COUNTIF(IFERROR(ARRAYFORMULA(HLOOKUP($B71, IMPORTRANGE('Match Names'!$H$23, CONCAT(VLOOKUP($"&amp;"C71, 'Match Names'!$1:$22, 8, FALSE), ""!C3:R29"")), {2;8;14;20}, FALSE)), 'Player Overall Stats Unsorted'!$AA$9:$AA$12), ""=X""))"),12.0)</f>
        <v>12</v>
      </c>
      <c r="E71" s="32">
        <f>IFERROR(__xludf.DUMMYFUNCTION("COUNTIF(ARRAYFORMULA(HLOOKUP($B71, IMPORTRANGE('Prelim Rankings Unsorted'!$B$40, CONCAT(VLOOKUP($C71, 'Match Names'!$A$1:$D$22, 2, FALSE), ""!C3:R29"")), {2;7;13;19}, FALSE)), ""=4"") + COUNTIF(ARRAYFORMULA(HLOOKUP($B71, IMPORTRANGE('Prelim Rankings Unsor"&amp;"ted'!$B$41, CONCAT(VLOOKUP($C71, 'Match Names'!$A$1:$D$22, 3, FALSE), ""!C3:R29"")), {3;9;15;21}, FALSE)), ""=4"") + COUNTIF(ARRAYFORMULA(HLOOKUP($B71, IMPORTRANGE('Prelim Rankings Unsorted'!$B$42, CONCAT(VLOOKUP($C71, 'Match Names'!$A$1:$D$22, 4, FALSE),"&amp;" ""!C3:R29"")), {3;9;15;21}, FALSE)), ""=4"") + COUNTIF(ARRAYFORMULA(HLOOKUP($B71, IMPORTRANGE('Match Names'!$E$23, CONCAT(VLOOKUP($C71, 'Match Names'!$1:$22, 5, FALSE), ""!C3:R29"")), {9;14;19;24}, FALSE)), ""=4"") + COUNTIF(ARRAYFORMULA(HLOOKUP($B71, IM"&amp;"PORTRANGE('Match Names'!$F$23, CONCAT(VLOOKUP($C71, 'Match Names'!$1:$22, 6, FALSE), ""!C3:R29"")), {2;8;14;20}, FALSE)), ""=4"") + COUNTIF(ARRAYFORMULA(HLOOKUP($B71, IMPORTRANGE('Match Names'!$G$23, CONCAT(VLOOKUP($C71, 'Match Names'!$1:$22, 7, FALSE), "&amp;"""!C3:R29"")), {6;16;20;24}, FALSE)), ""=4"") + COUNTIF(ARRAYFORMULA(HLOOKUP($B71, IMPORTRANGE('Match Names'!$H$23, CONCAT(VLOOKUP($C71, 'Match Names'!$1:$22, 8, FALSE), ""!C3:R29"")), {2;8;14;20}, FALSE)), ""=4"")"),0.0)</f>
        <v>0</v>
      </c>
      <c r="F71" s="32">
        <f>IFERROR(__xludf.DUMMYFUNCTION("COUNTIF(ARRAYFORMULA(HLOOKUP($B71, IMPORTRANGE('Prelim Rankings Unsorted'!$B$40, CONCAT(VLOOKUP($C71, 'Match Names'!$A$1:$D$22, 2, FALSE), ""!C3:R29"")), {2;7;13;19}, FALSE)), ""=0"") + COUNTIF(ARRAYFORMULA(HLOOKUP($B71, IMPORTRANGE('Prelim Rankings Unsor"&amp;"ted'!$B$41, CONCAT(VLOOKUP($C71, 'Match Names'!$A$1:$D$22, 3, FALSE), ""!C3:R29"")), {3;9;15;21}, FALSE)), ""=0"") + COUNTIF(ARRAYFORMULA(HLOOKUP($B71, IMPORTRANGE('Prelim Rankings Unsorted'!$B$42, CONCAT(VLOOKUP($C71, 'Match Names'!$A$1:$D$22, 4, FALSE),"&amp;" ""!C3:R29"")), {3;9;15;21}, FALSE)), ""=0"") + COUNTIF(ARRAYFORMULA(HLOOKUP($B71, IMPORTRANGE('Match Names'!$E$23, CONCAT(VLOOKUP($C71, 'Match Names'!$1:$22, 5, FALSE), ""!C3:R29"")), {9;14;19;24}, FALSE)), ""=0"") + COUNTIF(ARRAYFORMULA(HLOOKUP($B71, IM"&amp;"PORTRANGE('Match Names'!$F$23, CONCAT(VLOOKUP($C71, 'Match Names'!$1:$22, 6, FALSE), ""!C3:R29"")), {2;8;14;20}, FALSE)), ""=0"") + COUNTIF(ARRAYFORMULA(HLOOKUP($B71, IMPORTRANGE('Match Names'!$G$23, CONCAT(VLOOKUP($C71, 'Match Names'!$1:$22, 7, FALSE), "&amp;"""!C3:R29"")), {6;16;20;24}, FALSE)), ""=0"") + COUNTIF(ARRAYFORMULA(HLOOKUP($B71, IMPORTRANGE('Match Names'!$H$23, CONCAT(VLOOKUP($C71, 'Match Names'!$1:$22, 8, FALSE), ""!C3:R29"")), {2;8;14;20}, FALSE)), ""=0"")"),0.0)</f>
        <v>0</v>
      </c>
      <c r="G71" s="32">
        <f>IFERROR(__xludf.DUMMYFUNCTION("COUNTIF(ARRAYFORMULA(HLOOKUP($B71, IMPORTRANGE('Prelim Rankings Unsorted'!$B$40, CONCAT(VLOOKUP($C71, 'Match Names'!$A$1:$D$22, 2, FALSE), ""!C3:R29"")), {2;7;13;19}, FALSE)), ""=-4"") + COUNTIF(ARRAYFORMULA(HLOOKUP($B71, IMPORTRANGE('Prelim Rankings Unso"&amp;"rted'!$B$41, CONCAT(VLOOKUP($C71, 'Match Names'!$A$1:$D$22, 3, FALSE), ""!C3:R29"")), {3;9;15;21}, FALSE)), ""=-4"") + COUNTIF(ARRAYFORMULA(HLOOKUP($B71, IMPORTRANGE('Prelim Rankings Unsorted'!$B$42, CONCAT(VLOOKUP($C71, 'Match Names'!$A$1:$D$22, 4, FALSE"&amp;"), ""!C3:R29"")), {3;9;15;21}, FALSE)), ""=-4"") + COUNTIF(ARRAYFORMULA(HLOOKUP($B71, IMPORTRANGE('Match Names'!$E$23, CONCAT(VLOOKUP($C71, 'Match Names'!$1:$22, 5, FALSE), ""!C3:R29"")), {9;14;19;24}, FALSE)), ""=-4"") + COUNTIF(ARRAYFORMULA(HLOOKUP($B71"&amp;", IMPORTRANGE('Match Names'!$F$23, CONCAT(VLOOKUP($C71, 'Match Names'!$1:$22, 6, FALSE), ""!C3:R29"")), {2;8;14;20}, FALSE)), ""=-4"") + COUNTIF(ARRAYFORMULA(HLOOKUP($B71, IMPORTRANGE('Match Names'!$G$23, CONCAT(VLOOKUP($C71, 'Match Names'!$1:$22, 7, FALS"&amp;"E), ""!C3:R29"")), {6;16;20;24}, FALSE)), ""=-4"") + COUNTIF(ARRAYFORMULA(HLOOKUP($B71, IMPORTRANGE('Match Names'!$H$23, CONCAT(VLOOKUP($C71, 'Match Names'!$1:$22, 8, FALSE), ""!C3:R29"")), {2;8;14;20}, FALSE)), ""=-4"")"),0.0)</f>
        <v>0</v>
      </c>
      <c r="H71" s="33">
        <f t="shared" si="1"/>
        <v>0</v>
      </c>
    </row>
    <row r="72">
      <c r="A72" s="21" t="s">
        <v>130</v>
      </c>
      <c r="B72" s="31" t="str">
        <f>VLOOKUP(CONCAT(A72, C72), 'Discord Username to Real Name'!C:D, 2, FALSE)</f>
        <v>crebz#4622</v>
      </c>
      <c r="C72" s="21" t="s">
        <v>30</v>
      </c>
      <c r="D72" s="32">
        <f>IFERROR(__xludf.DUMMYFUNCTION("(4 - COUNTIF(IFERROR(ARRAYFORMULA(HLOOKUP($B72, IMPORTRANGE('Prelim Rankings Unsorted'!$B$40, CONCAT(VLOOKUP($C72, 'Match Names'!$A$1:$D$22, 2, FALSE), ""!C3:R29"")), {2;7;13;19}, FALSE)), 'Player Overall Stats Unsorted'!$AA$9:$AA$12), ""=X"")) + (4 - COU"&amp;"NTIF(IFERROR(ARRAYFORMULA(HLOOKUP($B72, IMPORTRANGE('Prelim Rankings Unsorted'!$B$41, CONCAT(VLOOKUP($C72, 'Match Names'!$A$1:$D$22, 3, FALSE), ""!C3:R29"")), {3;9;15;21}, FALSE)), 'Player Overall Stats Unsorted'!$AA$9:$AA$12), ""=X"")) + (4 - COUNTIF(IFE"&amp;"RROR(ARRAYFORMULA(HLOOKUP($B72, IMPORTRANGE('Prelim Rankings Unsorted'!$B$42, CONCAT(VLOOKUP($C72, 'Match Names'!$A$1:$D$22, 4, FALSE), ""!C3:R29"")), {3;9;15;21}, FALSE)), 'Player Overall Stats Unsorted'!$AA$9:$AA$12), ""=X"")) + (4 - COUNTIF(IFERROR(ARR"&amp;"AYFORMULA(HLOOKUP($B72, IMPORTRANGE('Match Names'!$E$23, CONCAT(VLOOKUP($C72, 'Match Names'!$1:$22, 5, FALSE), ""!C3:R29"")), {9;14;19;24}, FALSE)), 'Player Overall Stats Unsorted'!$AA$9:$AA$12), ""=X"")) + (4 - COUNTIF(IFERROR(ARRAYFORMULA(HLOOKUP($B72, "&amp;"IMPORTRANGE('Match Names'!$F$23, CONCAT(VLOOKUP($C72, 'Match Names'!$1:$22, 6, FALSE), ""!C3:R29"")), {2;8;14;20}, FALSE)), 'Player Overall Stats Unsorted'!$AA$9:$AA$12), ""=X"")) + (4 - COUNTIF(IFERROR(ARRAYFORMULA(HLOOKUP($B72, IMPORTRANGE('Match Names'"&amp;"!$G$23, CONCAT(VLOOKUP($C72, 'Match Names'!$1:$22, 7, FALSE), ""!C3:R29"")), {6;16;20;24}, FALSE)), 'Player Overall Stats Unsorted'!$AA$9:$AA$12), ""=X"")) + (4 - COUNTIF(IFERROR(ARRAYFORMULA(HLOOKUP($B72, IMPORTRANGE('Match Names'!$H$23, CONCAT(VLOOKUP($"&amp;"C72, 'Match Names'!$1:$22, 8, FALSE), ""!C3:R29"")), {2;8;14;20}, FALSE)), 'Player Overall Stats Unsorted'!$AA$9:$AA$12), ""=X""))"),12.0)</f>
        <v>12</v>
      </c>
      <c r="E72" s="32">
        <f>IFERROR(__xludf.DUMMYFUNCTION("COUNTIF(ARRAYFORMULA(HLOOKUP($B72, IMPORTRANGE('Prelim Rankings Unsorted'!$B$40, CONCAT(VLOOKUP($C72, 'Match Names'!$A$1:$D$22, 2, FALSE), ""!C3:R29"")), {2;7;13;19}, FALSE)), ""=4"") + COUNTIF(ARRAYFORMULA(HLOOKUP($B72, IMPORTRANGE('Prelim Rankings Unsor"&amp;"ted'!$B$41, CONCAT(VLOOKUP($C72, 'Match Names'!$A$1:$D$22, 3, FALSE), ""!C3:R29"")), {3;9;15;21}, FALSE)), ""=4"") + COUNTIF(ARRAYFORMULA(HLOOKUP($B72, IMPORTRANGE('Prelim Rankings Unsorted'!$B$42, CONCAT(VLOOKUP($C72, 'Match Names'!$A$1:$D$22, 4, FALSE),"&amp;" ""!C3:R29"")), {3;9;15;21}, FALSE)), ""=4"") + COUNTIF(ARRAYFORMULA(HLOOKUP($B72, IMPORTRANGE('Match Names'!$E$23, CONCAT(VLOOKUP($C72, 'Match Names'!$1:$22, 5, FALSE), ""!C3:R29"")), {9;14;19;24}, FALSE)), ""=4"") + COUNTIF(ARRAYFORMULA(HLOOKUP($B72, IM"&amp;"PORTRANGE('Match Names'!$F$23, CONCAT(VLOOKUP($C72, 'Match Names'!$1:$22, 6, FALSE), ""!C3:R29"")), {2;8;14;20}, FALSE)), ""=4"") + COUNTIF(ARRAYFORMULA(HLOOKUP($B72, IMPORTRANGE('Match Names'!$G$23, CONCAT(VLOOKUP($C72, 'Match Names'!$1:$22, 7, FALSE), "&amp;"""!C3:R29"")), {6;16;20;24}, FALSE)), ""=4"") + COUNTIF(ARRAYFORMULA(HLOOKUP($B72, IMPORTRANGE('Match Names'!$H$23, CONCAT(VLOOKUP($C72, 'Match Names'!$1:$22, 8, FALSE), ""!C3:R29"")), {2;8;14;20}, FALSE)), ""=4"")"),0.0)</f>
        <v>0</v>
      </c>
      <c r="F72" s="32">
        <f>IFERROR(__xludf.DUMMYFUNCTION("COUNTIF(ARRAYFORMULA(HLOOKUP($B72, IMPORTRANGE('Prelim Rankings Unsorted'!$B$40, CONCAT(VLOOKUP($C72, 'Match Names'!$A$1:$D$22, 2, FALSE), ""!C3:R29"")), {2;7;13;19}, FALSE)), ""=0"") + COUNTIF(ARRAYFORMULA(HLOOKUP($B72, IMPORTRANGE('Prelim Rankings Unsor"&amp;"ted'!$B$41, CONCAT(VLOOKUP($C72, 'Match Names'!$A$1:$D$22, 3, FALSE), ""!C3:R29"")), {3;9;15;21}, FALSE)), ""=0"") + COUNTIF(ARRAYFORMULA(HLOOKUP($B72, IMPORTRANGE('Prelim Rankings Unsorted'!$B$42, CONCAT(VLOOKUP($C72, 'Match Names'!$A$1:$D$22, 4, FALSE),"&amp;" ""!C3:R29"")), {3;9;15;21}, FALSE)), ""=0"") + COUNTIF(ARRAYFORMULA(HLOOKUP($B72, IMPORTRANGE('Match Names'!$E$23, CONCAT(VLOOKUP($C72, 'Match Names'!$1:$22, 5, FALSE), ""!C3:R29"")), {9;14;19;24}, FALSE)), ""=0"") + COUNTIF(ARRAYFORMULA(HLOOKUP($B72, IM"&amp;"PORTRANGE('Match Names'!$F$23, CONCAT(VLOOKUP($C72, 'Match Names'!$1:$22, 6, FALSE), ""!C3:R29"")), {2;8;14;20}, FALSE)), ""=0"") + COUNTIF(ARRAYFORMULA(HLOOKUP($B72, IMPORTRANGE('Match Names'!$G$23, CONCAT(VLOOKUP($C72, 'Match Names'!$1:$22, 7, FALSE), "&amp;"""!C3:R29"")), {6;16;20;24}, FALSE)), ""=0"") + COUNTIF(ARRAYFORMULA(HLOOKUP($B72, IMPORTRANGE('Match Names'!$H$23, CONCAT(VLOOKUP($C72, 'Match Names'!$1:$22, 8, FALSE), ""!C3:R29"")), {2;8;14;20}, FALSE)), ""=0"")"),0.0)</f>
        <v>0</v>
      </c>
      <c r="G72" s="32">
        <f>IFERROR(__xludf.DUMMYFUNCTION("COUNTIF(ARRAYFORMULA(HLOOKUP($B72, IMPORTRANGE('Prelim Rankings Unsorted'!$B$40, CONCAT(VLOOKUP($C72, 'Match Names'!$A$1:$D$22, 2, FALSE), ""!C3:R29"")), {2;7;13;19}, FALSE)), ""=-4"") + COUNTIF(ARRAYFORMULA(HLOOKUP($B72, IMPORTRANGE('Prelim Rankings Unso"&amp;"rted'!$B$41, CONCAT(VLOOKUP($C72, 'Match Names'!$A$1:$D$22, 3, FALSE), ""!C3:R29"")), {3;9;15;21}, FALSE)), ""=-4"") + COUNTIF(ARRAYFORMULA(HLOOKUP($B72, IMPORTRANGE('Prelim Rankings Unsorted'!$B$42, CONCAT(VLOOKUP($C72, 'Match Names'!$A$1:$D$22, 4, FALSE"&amp;"), ""!C3:R29"")), {3;9;15;21}, FALSE)), ""=-4"") + COUNTIF(ARRAYFORMULA(HLOOKUP($B72, IMPORTRANGE('Match Names'!$E$23, CONCAT(VLOOKUP($C72, 'Match Names'!$1:$22, 5, FALSE), ""!C3:R29"")), {9;14;19;24}, FALSE)), ""=-4"") + COUNTIF(ARRAYFORMULA(HLOOKUP($B72"&amp;", IMPORTRANGE('Match Names'!$F$23, CONCAT(VLOOKUP($C72, 'Match Names'!$1:$22, 6, FALSE), ""!C3:R29"")), {2;8;14;20}, FALSE)), ""=-4"") + COUNTIF(ARRAYFORMULA(HLOOKUP($B72, IMPORTRANGE('Match Names'!$G$23, CONCAT(VLOOKUP($C72, 'Match Names'!$1:$22, 7, FALS"&amp;"E), ""!C3:R29"")), {6;16;20;24}, FALSE)), ""=-4"") + COUNTIF(ARRAYFORMULA(HLOOKUP($B72, IMPORTRANGE('Match Names'!$H$23, CONCAT(VLOOKUP($C72, 'Match Names'!$1:$22, 8, FALSE), ""!C3:R29"")), {2;8;14;20}, FALSE)), ""=-4"")"),0.0)</f>
        <v>0</v>
      </c>
      <c r="H72" s="33">
        <f t="shared" si="1"/>
        <v>0</v>
      </c>
    </row>
    <row r="73">
      <c r="A73" s="21" t="s">
        <v>53</v>
      </c>
      <c r="B73" s="31" t="str">
        <f>VLOOKUP(CONCAT(A73, C73), 'Discord Username to Real Name'!C:D, 2, FALSE)</f>
        <v>brandon.chang#3043</v>
      </c>
      <c r="C73" s="21" t="s">
        <v>24</v>
      </c>
      <c r="D73" s="32">
        <f>IFERROR(__xludf.DUMMYFUNCTION("(4 - COUNTIF(IFERROR(ARRAYFORMULA(HLOOKUP($B73, IMPORTRANGE('Prelim Rankings Unsorted'!$B$40, CONCAT(VLOOKUP($C73, 'Match Names'!$A$1:$D$22, 2, FALSE), ""!C3:R29"")), {2;7;13;19}, FALSE)), 'Player Overall Stats Unsorted'!$AA$9:$AA$12), ""=X"")) + (4 - COU"&amp;"NTIF(IFERROR(ARRAYFORMULA(HLOOKUP($B73, IMPORTRANGE('Prelim Rankings Unsorted'!$B$41, CONCAT(VLOOKUP($C73, 'Match Names'!$A$1:$D$22, 3, FALSE), ""!C3:R29"")), {3;9;15;21}, FALSE)), 'Player Overall Stats Unsorted'!$AA$9:$AA$12), ""=X"")) + (4 - COUNTIF(IFE"&amp;"RROR(ARRAYFORMULA(HLOOKUP($B73, IMPORTRANGE('Prelim Rankings Unsorted'!$B$42, CONCAT(VLOOKUP($C73, 'Match Names'!$A$1:$D$22, 4, FALSE), ""!C3:R29"")), {3;9;15;21}, FALSE)), 'Player Overall Stats Unsorted'!$AA$9:$AA$12), ""=X"")) + (4 - COUNTIF(IFERROR(ARR"&amp;"AYFORMULA(HLOOKUP($B73, IMPORTRANGE('Match Names'!$E$23, CONCAT(VLOOKUP($C73, 'Match Names'!$1:$22, 5, FALSE), ""!C3:R29"")), {9;14;19;24}, FALSE)), 'Player Overall Stats Unsorted'!$AA$9:$AA$12), ""=X"")) + (4 - COUNTIF(IFERROR(ARRAYFORMULA(HLOOKUP($B73, "&amp;"IMPORTRANGE('Match Names'!$F$23, CONCAT(VLOOKUP($C73, 'Match Names'!$1:$22, 6, FALSE), ""!C3:R29"")), {2;8;14;20}, FALSE)), 'Player Overall Stats Unsorted'!$AA$9:$AA$12), ""=X"")) + (4 - COUNTIF(IFERROR(ARRAYFORMULA(HLOOKUP($B73, IMPORTRANGE('Match Names'"&amp;"!$G$23, CONCAT(VLOOKUP($C73, 'Match Names'!$1:$22, 7, FALSE), ""!C3:R29"")), {6;16;20;24}, FALSE)), 'Player Overall Stats Unsorted'!$AA$9:$AA$12), ""=X"")) + (4 - COUNTIF(IFERROR(ARRAYFORMULA(HLOOKUP($B73, IMPORTRANGE('Match Names'!$H$23, CONCAT(VLOOKUP($"&amp;"C73, 'Match Names'!$1:$22, 8, FALSE), ""!C3:R29"")), {2;8;14;20}, FALSE)), 'Player Overall Stats Unsorted'!$AA$9:$AA$12), ""=X""))"),18.0)</f>
        <v>18</v>
      </c>
      <c r="E73" s="32">
        <f>IFERROR(__xludf.DUMMYFUNCTION("COUNTIF(ARRAYFORMULA(HLOOKUP($B73, IMPORTRANGE('Prelim Rankings Unsorted'!$B$40, CONCAT(VLOOKUP($C73, 'Match Names'!$A$1:$D$22, 2, FALSE), ""!C3:R29"")), {2;7;13;19}, FALSE)), ""=4"") + COUNTIF(ARRAYFORMULA(HLOOKUP($B73, IMPORTRANGE('Prelim Rankings Unsor"&amp;"ted'!$B$41, CONCAT(VLOOKUP($C73, 'Match Names'!$A$1:$D$22, 3, FALSE), ""!C3:R29"")), {3;9;15;21}, FALSE)), ""=4"") + COUNTIF(ARRAYFORMULA(HLOOKUP($B73, IMPORTRANGE('Prelim Rankings Unsorted'!$B$42, CONCAT(VLOOKUP($C73, 'Match Names'!$A$1:$D$22, 4, FALSE),"&amp;" ""!C3:R29"")), {3;9;15;21}, FALSE)), ""=4"") + COUNTIF(ARRAYFORMULA(HLOOKUP($B73, IMPORTRANGE('Match Names'!$E$23, CONCAT(VLOOKUP($C73, 'Match Names'!$1:$22, 5, FALSE), ""!C3:R29"")), {9;14;19;24}, FALSE)), ""=4"") + COUNTIF(ARRAYFORMULA(HLOOKUP($B73, IM"&amp;"PORTRANGE('Match Names'!$F$23, CONCAT(VLOOKUP($C73, 'Match Names'!$1:$22, 6, FALSE), ""!C3:R29"")), {2;8;14;20}, FALSE)), ""=4"") + COUNTIF(ARRAYFORMULA(HLOOKUP($B73, IMPORTRANGE('Match Names'!$G$23, CONCAT(VLOOKUP($C73, 'Match Names'!$1:$22, 7, FALSE), "&amp;"""!C3:R29"")), {6;16;20;24}, FALSE)), ""=4"") + COUNTIF(ARRAYFORMULA(HLOOKUP($B73, IMPORTRANGE('Match Names'!$H$23, CONCAT(VLOOKUP($C73, 'Match Names'!$1:$22, 8, FALSE), ""!C3:R29"")), {2;8;14;20}, FALSE)), ""=4"")"),3.0)</f>
        <v>3</v>
      </c>
      <c r="F73" s="32">
        <f>IFERROR(__xludf.DUMMYFUNCTION("COUNTIF(ARRAYFORMULA(HLOOKUP($B73, IMPORTRANGE('Prelim Rankings Unsorted'!$B$40, CONCAT(VLOOKUP($C73, 'Match Names'!$A$1:$D$22, 2, FALSE), ""!C3:R29"")), {2;7;13;19}, FALSE)), ""=0"") + COUNTIF(ARRAYFORMULA(HLOOKUP($B73, IMPORTRANGE('Prelim Rankings Unsor"&amp;"ted'!$B$41, CONCAT(VLOOKUP($C73, 'Match Names'!$A$1:$D$22, 3, FALSE), ""!C3:R29"")), {3;9;15;21}, FALSE)), ""=0"") + COUNTIF(ARRAYFORMULA(HLOOKUP($B73, IMPORTRANGE('Prelim Rankings Unsorted'!$B$42, CONCAT(VLOOKUP($C73, 'Match Names'!$A$1:$D$22, 4, FALSE),"&amp;" ""!C3:R29"")), {3;9;15;21}, FALSE)), ""=0"") + COUNTIF(ARRAYFORMULA(HLOOKUP($B73, IMPORTRANGE('Match Names'!$E$23, CONCAT(VLOOKUP($C73, 'Match Names'!$1:$22, 5, FALSE), ""!C3:R29"")), {9;14;19;24}, FALSE)), ""=0"") + COUNTIF(ARRAYFORMULA(HLOOKUP($B73, IM"&amp;"PORTRANGE('Match Names'!$F$23, CONCAT(VLOOKUP($C73, 'Match Names'!$1:$22, 6, FALSE), ""!C3:R29"")), {2;8;14;20}, FALSE)), ""=0"") + COUNTIF(ARRAYFORMULA(HLOOKUP($B73, IMPORTRANGE('Match Names'!$G$23, CONCAT(VLOOKUP($C73, 'Match Names'!$1:$22, 7, FALSE), "&amp;"""!C3:R29"")), {6;16;20;24}, FALSE)), ""=0"") + COUNTIF(ARRAYFORMULA(HLOOKUP($B73, IMPORTRANGE('Match Names'!$H$23, CONCAT(VLOOKUP($C73, 'Match Names'!$1:$22, 8, FALSE), ""!C3:R29"")), {2;8;14;20}, FALSE)), ""=0"")"),2.0)</f>
        <v>2</v>
      </c>
      <c r="G73" s="32">
        <f>IFERROR(__xludf.DUMMYFUNCTION("COUNTIF(ARRAYFORMULA(HLOOKUP($B73, IMPORTRANGE('Prelim Rankings Unsorted'!$B$40, CONCAT(VLOOKUP($C73, 'Match Names'!$A$1:$D$22, 2, FALSE), ""!C3:R29"")), {2;7;13;19}, FALSE)), ""=-4"") + COUNTIF(ARRAYFORMULA(HLOOKUP($B73, IMPORTRANGE('Prelim Rankings Unso"&amp;"rted'!$B$41, CONCAT(VLOOKUP($C73, 'Match Names'!$A$1:$D$22, 3, FALSE), ""!C3:R29"")), {3;9;15;21}, FALSE)), ""=-4"") + COUNTIF(ARRAYFORMULA(HLOOKUP($B73, IMPORTRANGE('Prelim Rankings Unsorted'!$B$42, CONCAT(VLOOKUP($C73, 'Match Names'!$A$1:$D$22, 4, FALSE"&amp;"), ""!C3:R29"")), {3;9;15;21}, FALSE)), ""=-4"") + COUNTIF(ARRAYFORMULA(HLOOKUP($B73, IMPORTRANGE('Match Names'!$E$23, CONCAT(VLOOKUP($C73, 'Match Names'!$1:$22, 5, FALSE), ""!C3:R29"")), {9;14;19;24}, FALSE)), ""=-4"") + COUNTIF(ARRAYFORMULA(HLOOKUP($B73"&amp;", IMPORTRANGE('Match Names'!$F$23, CONCAT(VLOOKUP($C73, 'Match Names'!$1:$22, 6, FALSE), ""!C3:R29"")), {2;8;14;20}, FALSE)), ""=-4"") + COUNTIF(ARRAYFORMULA(HLOOKUP($B73, IMPORTRANGE('Match Names'!$G$23, CONCAT(VLOOKUP($C73, 'Match Names'!$1:$22, 7, FALS"&amp;"E), ""!C3:R29"")), {6;16;20;24}, FALSE)), ""=-4"") + COUNTIF(ARRAYFORMULA(HLOOKUP($B73, IMPORTRANGE('Match Names'!$H$23, CONCAT(VLOOKUP($C73, 'Match Names'!$1:$22, 8, FALSE), ""!C3:R29"")), {2;8;14;20}, FALSE)), ""=-4"")"),0.0)</f>
        <v>0</v>
      </c>
      <c r="H73" s="33">
        <f t="shared" si="1"/>
        <v>2.67</v>
      </c>
    </row>
    <row r="74">
      <c r="A74" s="21" t="s">
        <v>136</v>
      </c>
      <c r="B74" s="31" t="str">
        <f>VLOOKUP(CONCAT(A74, C74), 'Discord Username to Real Name'!C:D, 2, FALSE)</f>
        <v>capriisun#3255</v>
      </c>
      <c r="C74" s="21" t="s">
        <v>24</v>
      </c>
      <c r="D74" s="32">
        <f>IFERROR(__xludf.DUMMYFUNCTION("(4 - COUNTIF(IFERROR(ARRAYFORMULA(HLOOKUP($B74, IMPORTRANGE('Prelim Rankings Unsorted'!$B$40, CONCAT(VLOOKUP($C74, 'Match Names'!$A$1:$D$22, 2, FALSE), ""!C3:R29"")), {2;7;13;19}, FALSE)), 'Player Overall Stats Unsorted'!$AA$9:$AA$12), ""=X"")) + (4 - COU"&amp;"NTIF(IFERROR(ARRAYFORMULA(HLOOKUP($B74, IMPORTRANGE('Prelim Rankings Unsorted'!$B$41, CONCAT(VLOOKUP($C74, 'Match Names'!$A$1:$D$22, 3, FALSE), ""!C3:R29"")), {3;9;15;21}, FALSE)), 'Player Overall Stats Unsorted'!$AA$9:$AA$12), ""=X"")) + (4 - COUNTIF(IFE"&amp;"RROR(ARRAYFORMULA(HLOOKUP($B74, IMPORTRANGE('Prelim Rankings Unsorted'!$B$42, CONCAT(VLOOKUP($C74, 'Match Names'!$A$1:$D$22, 4, FALSE), ""!C3:R29"")), {3;9;15;21}, FALSE)), 'Player Overall Stats Unsorted'!$AA$9:$AA$12), ""=X"")) + (4 - COUNTIF(IFERROR(ARR"&amp;"AYFORMULA(HLOOKUP($B74, IMPORTRANGE('Match Names'!$E$23, CONCAT(VLOOKUP($C74, 'Match Names'!$1:$22, 5, FALSE), ""!C3:R29"")), {9;14;19;24}, FALSE)), 'Player Overall Stats Unsorted'!$AA$9:$AA$12), ""=X"")) + (4 - COUNTIF(IFERROR(ARRAYFORMULA(HLOOKUP($B74, "&amp;"IMPORTRANGE('Match Names'!$F$23, CONCAT(VLOOKUP($C74, 'Match Names'!$1:$22, 6, FALSE), ""!C3:R29"")), {2;8;14;20}, FALSE)), 'Player Overall Stats Unsorted'!$AA$9:$AA$12), ""=X"")) + (4 - COUNTIF(IFERROR(ARRAYFORMULA(HLOOKUP($B74, IMPORTRANGE('Match Names'"&amp;"!$G$23, CONCAT(VLOOKUP($C74, 'Match Names'!$1:$22, 7, FALSE), ""!C3:R29"")), {6;16;20;24}, FALSE)), 'Player Overall Stats Unsorted'!$AA$9:$AA$12), ""=X"")) + (4 - COUNTIF(IFERROR(ARRAYFORMULA(HLOOKUP($B74, IMPORTRANGE('Match Names'!$H$23, CONCAT(VLOOKUP($"&amp;"C74, 'Match Names'!$1:$22, 8, FALSE), ""!C3:R29"")), {2;8;14;20}, FALSE)), 'Player Overall Stats Unsorted'!$AA$9:$AA$12), ""=X""))"),15.0)</f>
        <v>15</v>
      </c>
      <c r="E74" s="32">
        <f>IFERROR(__xludf.DUMMYFUNCTION("COUNTIF(ARRAYFORMULA(HLOOKUP($B74, IMPORTRANGE('Prelim Rankings Unsorted'!$B$40, CONCAT(VLOOKUP($C74, 'Match Names'!$A$1:$D$22, 2, FALSE), ""!C3:R29"")), {2;7;13;19}, FALSE)), ""=4"") + COUNTIF(ARRAYFORMULA(HLOOKUP($B74, IMPORTRANGE('Prelim Rankings Unsor"&amp;"ted'!$B$41, CONCAT(VLOOKUP($C74, 'Match Names'!$A$1:$D$22, 3, FALSE), ""!C3:R29"")), {3;9;15;21}, FALSE)), ""=4"") + COUNTIF(ARRAYFORMULA(HLOOKUP($B74, IMPORTRANGE('Prelim Rankings Unsorted'!$B$42, CONCAT(VLOOKUP($C74, 'Match Names'!$A$1:$D$22, 4, FALSE),"&amp;" ""!C3:R29"")), {3;9;15;21}, FALSE)), ""=4"") + COUNTIF(ARRAYFORMULA(HLOOKUP($B74, IMPORTRANGE('Match Names'!$E$23, CONCAT(VLOOKUP($C74, 'Match Names'!$1:$22, 5, FALSE), ""!C3:R29"")), {9;14;19;24}, FALSE)), ""=4"") + COUNTIF(ARRAYFORMULA(HLOOKUP($B74, IM"&amp;"PORTRANGE('Match Names'!$F$23, CONCAT(VLOOKUP($C74, 'Match Names'!$1:$22, 6, FALSE), ""!C3:R29"")), {2;8;14;20}, FALSE)), ""=4"") + COUNTIF(ARRAYFORMULA(HLOOKUP($B74, IMPORTRANGE('Match Names'!$G$23, CONCAT(VLOOKUP($C74, 'Match Names'!$1:$22, 7, FALSE), "&amp;"""!C3:R29"")), {6;16;20;24}, FALSE)), ""=4"") + COUNTIF(ARRAYFORMULA(HLOOKUP($B74, IMPORTRANGE('Match Names'!$H$23, CONCAT(VLOOKUP($C74, 'Match Names'!$1:$22, 8, FALSE), ""!C3:R29"")), {2;8;14;20}, FALSE)), ""=4"")"),0.0)</f>
        <v>0</v>
      </c>
      <c r="F74" s="32">
        <f>IFERROR(__xludf.DUMMYFUNCTION("COUNTIF(ARRAYFORMULA(HLOOKUP($B74, IMPORTRANGE('Prelim Rankings Unsorted'!$B$40, CONCAT(VLOOKUP($C74, 'Match Names'!$A$1:$D$22, 2, FALSE), ""!C3:R29"")), {2;7;13;19}, FALSE)), ""=0"") + COUNTIF(ARRAYFORMULA(HLOOKUP($B74, IMPORTRANGE('Prelim Rankings Unsor"&amp;"ted'!$B$41, CONCAT(VLOOKUP($C74, 'Match Names'!$A$1:$D$22, 3, FALSE), ""!C3:R29"")), {3;9;15;21}, FALSE)), ""=0"") + COUNTIF(ARRAYFORMULA(HLOOKUP($B74, IMPORTRANGE('Prelim Rankings Unsorted'!$B$42, CONCAT(VLOOKUP($C74, 'Match Names'!$A$1:$D$22, 4, FALSE),"&amp;" ""!C3:R29"")), {3;9;15;21}, FALSE)), ""=0"") + COUNTIF(ARRAYFORMULA(HLOOKUP($B74, IMPORTRANGE('Match Names'!$E$23, CONCAT(VLOOKUP($C74, 'Match Names'!$1:$22, 5, FALSE), ""!C3:R29"")), {9;14;19;24}, FALSE)), ""=0"") + COUNTIF(ARRAYFORMULA(HLOOKUP($B74, IM"&amp;"PORTRANGE('Match Names'!$F$23, CONCAT(VLOOKUP($C74, 'Match Names'!$1:$22, 6, FALSE), ""!C3:R29"")), {2;8;14;20}, FALSE)), ""=0"") + COUNTIF(ARRAYFORMULA(HLOOKUP($B74, IMPORTRANGE('Match Names'!$G$23, CONCAT(VLOOKUP($C74, 'Match Names'!$1:$22, 7, FALSE), "&amp;"""!C3:R29"")), {6;16;20;24}, FALSE)), ""=0"") + COUNTIF(ARRAYFORMULA(HLOOKUP($B74, IMPORTRANGE('Match Names'!$H$23, CONCAT(VLOOKUP($C74, 'Match Names'!$1:$22, 8, FALSE), ""!C3:R29"")), {2;8;14;20}, FALSE)), ""=0"")"),0.0)</f>
        <v>0</v>
      </c>
      <c r="G74" s="32">
        <f>IFERROR(__xludf.DUMMYFUNCTION("COUNTIF(ARRAYFORMULA(HLOOKUP($B74, IMPORTRANGE('Prelim Rankings Unsorted'!$B$40, CONCAT(VLOOKUP($C74, 'Match Names'!$A$1:$D$22, 2, FALSE), ""!C3:R29"")), {2;7;13;19}, FALSE)), ""=-4"") + COUNTIF(ARRAYFORMULA(HLOOKUP($B74, IMPORTRANGE('Prelim Rankings Unso"&amp;"rted'!$B$41, CONCAT(VLOOKUP($C74, 'Match Names'!$A$1:$D$22, 3, FALSE), ""!C3:R29"")), {3;9;15;21}, FALSE)), ""=-4"") + COUNTIF(ARRAYFORMULA(HLOOKUP($B74, IMPORTRANGE('Prelim Rankings Unsorted'!$B$42, CONCAT(VLOOKUP($C74, 'Match Names'!$A$1:$D$22, 4, FALSE"&amp;"), ""!C3:R29"")), {3;9;15;21}, FALSE)), ""=-4"") + COUNTIF(ARRAYFORMULA(HLOOKUP($B74, IMPORTRANGE('Match Names'!$E$23, CONCAT(VLOOKUP($C74, 'Match Names'!$1:$22, 5, FALSE), ""!C3:R29"")), {9;14;19;24}, FALSE)), ""=-4"") + COUNTIF(ARRAYFORMULA(HLOOKUP($B74"&amp;", IMPORTRANGE('Match Names'!$F$23, CONCAT(VLOOKUP($C74, 'Match Names'!$1:$22, 6, FALSE), ""!C3:R29"")), {2;8;14;20}, FALSE)), ""=-4"") + COUNTIF(ARRAYFORMULA(HLOOKUP($B74, IMPORTRANGE('Match Names'!$G$23, CONCAT(VLOOKUP($C74, 'Match Names'!$1:$22, 7, FALS"&amp;"E), ""!C3:R29"")), {6;16;20;24}, FALSE)), ""=-4"") + COUNTIF(ARRAYFORMULA(HLOOKUP($B74, IMPORTRANGE('Match Names'!$H$23, CONCAT(VLOOKUP($C74, 'Match Names'!$1:$22, 8, FALSE), ""!C3:R29"")), {2;8;14;20}, FALSE)), ""=-4"")"),0.0)</f>
        <v>0</v>
      </c>
      <c r="H74" s="33">
        <f t="shared" si="1"/>
        <v>0</v>
      </c>
    </row>
    <row r="75">
      <c r="A75" s="21" t="s">
        <v>52</v>
      </c>
      <c r="B75" s="31" t="str">
        <f>VLOOKUP(CONCAT(A75, C75), 'Discord Username to Real Name'!C:D, 2, FALSE)</f>
        <v>cindyhlu#0060</v>
      </c>
      <c r="C75" s="21" t="s">
        <v>24</v>
      </c>
      <c r="D75" s="32">
        <f>IFERROR(__xludf.DUMMYFUNCTION("(4 - COUNTIF(IFERROR(ARRAYFORMULA(HLOOKUP($B75, IMPORTRANGE('Prelim Rankings Unsorted'!$B$40, CONCAT(VLOOKUP($C75, 'Match Names'!$A$1:$D$22, 2, FALSE), ""!C3:R29"")), {2;7;13;19}, FALSE)), 'Player Overall Stats Unsorted'!$AA$9:$AA$12), ""=X"")) + (4 - COU"&amp;"NTIF(IFERROR(ARRAYFORMULA(HLOOKUP($B75, IMPORTRANGE('Prelim Rankings Unsorted'!$B$41, CONCAT(VLOOKUP($C75, 'Match Names'!$A$1:$D$22, 3, FALSE), ""!C3:R29"")), {3;9;15;21}, FALSE)), 'Player Overall Stats Unsorted'!$AA$9:$AA$12), ""=X"")) + (4 - COUNTIF(IFE"&amp;"RROR(ARRAYFORMULA(HLOOKUP($B75, IMPORTRANGE('Prelim Rankings Unsorted'!$B$42, CONCAT(VLOOKUP($C75, 'Match Names'!$A$1:$D$22, 4, FALSE), ""!C3:R29"")), {3;9;15;21}, FALSE)), 'Player Overall Stats Unsorted'!$AA$9:$AA$12), ""=X"")) + (4 - COUNTIF(IFERROR(ARR"&amp;"AYFORMULA(HLOOKUP($B75, IMPORTRANGE('Match Names'!$E$23, CONCAT(VLOOKUP($C75, 'Match Names'!$1:$22, 5, FALSE), ""!C3:R29"")), {9;14;19;24}, FALSE)), 'Player Overall Stats Unsorted'!$AA$9:$AA$12), ""=X"")) + (4 - COUNTIF(IFERROR(ARRAYFORMULA(HLOOKUP($B75, "&amp;"IMPORTRANGE('Match Names'!$F$23, CONCAT(VLOOKUP($C75, 'Match Names'!$1:$22, 6, FALSE), ""!C3:R29"")), {2;8;14;20}, FALSE)), 'Player Overall Stats Unsorted'!$AA$9:$AA$12), ""=X"")) + (4 - COUNTIF(IFERROR(ARRAYFORMULA(HLOOKUP($B75, IMPORTRANGE('Match Names'"&amp;"!$G$23, CONCAT(VLOOKUP($C75, 'Match Names'!$1:$22, 7, FALSE), ""!C3:R29"")), {6;16;20;24}, FALSE)), 'Player Overall Stats Unsorted'!$AA$9:$AA$12), ""=X"")) + (4 - COUNTIF(IFERROR(ARRAYFORMULA(HLOOKUP($B75, IMPORTRANGE('Match Names'!$H$23, CONCAT(VLOOKUP($"&amp;"C75, 'Match Names'!$1:$22, 8, FALSE), ""!C3:R29"")), {2;8;14;20}, FALSE)), 'Player Overall Stats Unsorted'!$AA$9:$AA$12), ""=X""))"),13.0)</f>
        <v>13</v>
      </c>
      <c r="E75" s="32">
        <f>IFERROR(__xludf.DUMMYFUNCTION("COUNTIF(ARRAYFORMULA(HLOOKUP($B75, IMPORTRANGE('Prelim Rankings Unsorted'!$B$40, CONCAT(VLOOKUP($C75, 'Match Names'!$A$1:$D$22, 2, FALSE), ""!C3:R29"")), {2;7;13;19}, FALSE)), ""=4"") + COUNTIF(ARRAYFORMULA(HLOOKUP($B75, IMPORTRANGE('Prelim Rankings Unsor"&amp;"ted'!$B$41, CONCAT(VLOOKUP($C75, 'Match Names'!$A$1:$D$22, 3, FALSE), ""!C3:R29"")), {3;9;15;21}, FALSE)), ""=4"") + COUNTIF(ARRAYFORMULA(HLOOKUP($B75, IMPORTRANGE('Prelim Rankings Unsorted'!$B$42, CONCAT(VLOOKUP($C75, 'Match Names'!$A$1:$D$22, 4, FALSE),"&amp;" ""!C3:R29"")), {3;9;15;21}, FALSE)), ""=4"") + COUNTIF(ARRAYFORMULA(HLOOKUP($B75, IMPORTRANGE('Match Names'!$E$23, CONCAT(VLOOKUP($C75, 'Match Names'!$1:$22, 5, FALSE), ""!C3:R29"")), {9;14;19;24}, FALSE)), ""=4"") + COUNTIF(ARRAYFORMULA(HLOOKUP($B75, IM"&amp;"PORTRANGE('Match Names'!$F$23, CONCAT(VLOOKUP($C75, 'Match Names'!$1:$22, 6, FALSE), ""!C3:R29"")), {2;8;14;20}, FALSE)), ""=4"") + COUNTIF(ARRAYFORMULA(HLOOKUP($B75, IMPORTRANGE('Match Names'!$G$23, CONCAT(VLOOKUP($C75, 'Match Names'!$1:$22, 7, FALSE), "&amp;"""!C3:R29"")), {6;16;20;24}, FALSE)), ""=4"") + COUNTIF(ARRAYFORMULA(HLOOKUP($B75, IMPORTRANGE('Match Names'!$H$23, CONCAT(VLOOKUP($C75, 'Match Names'!$1:$22, 8, FALSE), ""!C3:R29"")), {2;8;14;20}, FALSE)), ""=4"")"),7.0)</f>
        <v>7</v>
      </c>
      <c r="F75" s="32">
        <f>IFERROR(__xludf.DUMMYFUNCTION("COUNTIF(ARRAYFORMULA(HLOOKUP($B75, IMPORTRANGE('Prelim Rankings Unsorted'!$B$40, CONCAT(VLOOKUP($C75, 'Match Names'!$A$1:$D$22, 2, FALSE), ""!C3:R29"")), {2;7;13;19}, FALSE)), ""=0"") + COUNTIF(ARRAYFORMULA(HLOOKUP($B75, IMPORTRANGE('Prelim Rankings Unsor"&amp;"ted'!$B$41, CONCAT(VLOOKUP($C75, 'Match Names'!$A$1:$D$22, 3, FALSE), ""!C3:R29"")), {3;9;15;21}, FALSE)), ""=0"") + COUNTIF(ARRAYFORMULA(HLOOKUP($B75, IMPORTRANGE('Prelim Rankings Unsorted'!$B$42, CONCAT(VLOOKUP($C75, 'Match Names'!$A$1:$D$22, 4, FALSE),"&amp;" ""!C3:R29"")), {3;9;15;21}, FALSE)), ""=0"") + COUNTIF(ARRAYFORMULA(HLOOKUP($B75, IMPORTRANGE('Match Names'!$E$23, CONCAT(VLOOKUP($C75, 'Match Names'!$1:$22, 5, FALSE), ""!C3:R29"")), {9;14;19;24}, FALSE)), ""=0"") + COUNTIF(ARRAYFORMULA(HLOOKUP($B75, IM"&amp;"PORTRANGE('Match Names'!$F$23, CONCAT(VLOOKUP($C75, 'Match Names'!$1:$22, 6, FALSE), ""!C3:R29"")), {2;8;14;20}, FALSE)), ""=0"") + COUNTIF(ARRAYFORMULA(HLOOKUP($B75, IMPORTRANGE('Match Names'!$G$23, CONCAT(VLOOKUP($C75, 'Match Names'!$1:$22, 7, FALSE), "&amp;"""!C3:R29"")), {6;16;20;24}, FALSE)), ""=0"") + COUNTIF(ARRAYFORMULA(HLOOKUP($B75, IMPORTRANGE('Match Names'!$H$23, CONCAT(VLOOKUP($C75, 'Match Names'!$1:$22, 8, FALSE), ""!C3:R29"")), {2;8;14;20}, FALSE)), ""=0"")"),4.0)</f>
        <v>4</v>
      </c>
      <c r="G75" s="32">
        <f>IFERROR(__xludf.DUMMYFUNCTION("COUNTIF(ARRAYFORMULA(HLOOKUP($B75, IMPORTRANGE('Prelim Rankings Unsorted'!$B$40, CONCAT(VLOOKUP($C75, 'Match Names'!$A$1:$D$22, 2, FALSE), ""!C3:R29"")), {2;7;13;19}, FALSE)), ""=-4"") + COUNTIF(ARRAYFORMULA(HLOOKUP($B75, IMPORTRANGE('Prelim Rankings Unso"&amp;"rted'!$B$41, CONCAT(VLOOKUP($C75, 'Match Names'!$A$1:$D$22, 3, FALSE), ""!C3:R29"")), {3;9;15;21}, FALSE)), ""=-4"") + COUNTIF(ARRAYFORMULA(HLOOKUP($B75, IMPORTRANGE('Prelim Rankings Unsorted'!$B$42, CONCAT(VLOOKUP($C75, 'Match Names'!$A$1:$D$22, 4, FALSE"&amp;"), ""!C3:R29"")), {3;9;15;21}, FALSE)), ""=-4"") + COUNTIF(ARRAYFORMULA(HLOOKUP($B75, IMPORTRANGE('Match Names'!$E$23, CONCAT(VLOOKUP($C75, 'Match Names'!$1:$22, 5, FALSE), ""!C3:R29"")), {9;14;19;24}, FALSE)), ""=-4"") + COUNTIF(ARRAYFORMULA(HLOOKUP($B75"&amp;", IMPORTRANGE('Match Names'!$F$23, CONCAT(VLOOKUP($C75, 'Match Names'!$1:$22, 6, FALSE), ""!C3:R29"")), {2;8;14;20}, FALSE)), ""=-4"") + COUNTIF(ARRAYFORMULA(HLOOKUP($B75, IMPORTRANGE('Match Names'!$G$23, CONCAT(VLOOKUP($C75, 'Match Names'!$1:$22, 7, FALS"&amp;"E), ""!C3:R29"")), {6;16;20;24}, FALSE)), ""=-4"") + COUNTIF(ARRAYFORMULA(HLOOKUP($B75, IMPORTRANGE('Match Names'!$H$23, CONCAT(VLOOKUP($C75, 'Match Names'!$1:$22, 8, FALSE), ""!C3:R29"")), {2;8;14;20}, FALSE)), ""=-4"")"),1.0)</f>
        <v>1</v>
      </c>
      <c r="H75" s="33">
        <f t="shared" si="1"/>
        <v>7.38</v>
      </c>
    </row>
    <row r="76">
      <c r="A76" s="21" t="s">
        <v>13</v>
      </c>
      <c r="B76" s="31" t="str">
        <f>VLOOKUP(CONCAT(A76, C76), 'Discord Username to Real Name'!C:D, 2, FALSE)</f>
        <v>alienated#7505</v>
      </c>
      <c r="C76" s="21" t="s">
        <v>24</v>
      </c>
      <c r="D76" s="32">
        <f>IFERROR(__xludf.DUMMYFUNCTION("(4 - COUNTIF(IFERROR(ARRAYFORMULA(HLOOKUP($B76, IMPORTRANGE('Prelim Rankings Unsorted'!$B$40, CONCAT(VLOOKUP($C76, 'Match Names'!$A$1:$D$22, 2, FALSE), ""!C3:R29"")), {2;7;13;19}, FALSE)), 'Player Overall Stats Unsorted'!$AA$9:$AA$12), ""=X"")) + (4 - COU"&amp;"NTIF(IFERROR(ARRAYFORMULA(HLOOKUP($B76, IMPORTRANGE('Prelim Rankings Unsorted'!$B$41, CONCAT(VLOOKUP($C76, 'Match Names'!$A$1:$D$22, 3, FALSE), ""!C3:R29"")), {3;9;15;21}, FALSE)), 'Player Overall Stats Unsorted'!$AA$9:$AA$12), ""=X"")) + (4 - COUNTIF(IFE"&amp;"RROR(ARRAYFORMULA(HLOOKUP($B76, IMPORTRANGE('Prelim Rankings Unsorted'!$B$42, CONCAT(VLOOKUP($C76, 'Match Names'!$A$1:$D$22, 4, FALSE), ""!C3:R29"")), {3;9;15;21}, FALSE)), 'Player Overall Stats Unsorted'!$AA$9:$AA$12), ""=X"")) + (4 - COUNTIF(IFERROR(ARR"&amp;"AYFORMULA(HLOOKUP($B76, IMPORTRANGE('Match Names'!$E$23, CONCAT(VLOOKUP($C76, 'Match Names'!$1:$22, 5, FALSE), ""!C3:R29"")), {9;14;19;24}, FALSE)), 'Player Overall Stats Unsorted'!$AA$9:$AA$12), ""=X"")) + (4 - COUNTIF(IFERROR(ARRAYFORMULA(HLOOKUP($B76, "&amp;"IMPORTRANGE('Match Names'!$F$23, CONCAT(VLOOKUP($C76, 'Match Names'!$1:$22, 6, FALSE), ""!C3:R29"")), {2;8;14;20}, FALSE)), 'Player Overall Stats Unsorted'!$AA$9:$AA$12), ""=X"")) + (4 - COUNTIF(IFERROR(ARRAYFORMULA(HLOOKUP($B76, IMPORTRANGE('Match Names'"&amp;"!$G$23, CONCAT(VLOOKUP($C76, 'Match Names'!$1:$22, 7, FALSE), ""!C3:R29"")), {6;16;20;24}, FALSE)), 'Player Overall Stats Unsorted'!$AA$9:$AA$12), ""=X"")) + (4 - COUNTIF(IFERROR(ARRAYFORMULA(HLOOKUP($B76, IMPORTRANGE('Match Names'!$H$23, CONCAT(VLOOKUP($"&amp;"C76, 'Match Names'!$1:$22, 8, FALSE), ""!C3:R29"")), {2;8;14;20}, FALSE)), 'Player Overall Stats Unsorted'!$AA$9:$AA$12), ""=X""))"),15.0)</f>
        <v>15</v>
      </c>
      <c r="E76" s="32">
        <f>IFERROR(__xludf.DUMMYFUNCTION("COUNTIF(ARRAYFORMULA(HLOOKUP($B76, IMPORTRANGE('Prelim Rankings Unsorted'!$B$40, CONCAT(VLOOKUP($C76, 'Match Names'!$A$1:$D$22, 2, FALSE), ""!C3:R29"")), {2;7;13;19}, FALSE)), ""=4"") + COUNTIF(ARRAYFORMULA(HLOOKUP($B76, IMPORTRANGE('Prelim Rankings Unsor"&amp;"ted'!$B$41, CONCAT(VLOOKUP($C76, 'Match Names'!$A$1:$D$22, 3, FALSE), ""!C3:R29"")), {3;9;15;21}, FALSE)), ""=4"") + COUNTIF(ARRAYFORMULA(HLOOKUP($B76, IMPORTRANGE('Prelim Rankings Unsorted'!$B$42, CONCAT(VLOOKUP($C76, 'Match Names'!$A$1:$D$22, 4, FALSE),"&amp;" ""!C3:R29"")), {3;9;15;21}, FALSE)), ""=4"") + COUNTIF(ARRAYFORMULA(HLOOKUP($B76, IMPORTRANGE('Match Names'!$E$23, CONCAT(VLOOKUP($C76, 'Match Names'!$1:$22, 5, FALSE), ""!C3:R29"")), {9;14;19;24}, FALSE)), ""=4"") + COUNTIF(ARRAYFORMULA(HLOOKUP($B76, IM"&amp;"PORTRANGE('Match Names'!$F$23, CONCAT(VLOOKUP($C76, 'Match Names'!$1:$22, 6, FALSE), ""!C3:R29"")), {2;8;14;20}, FALSE)), ""=4"") + COUNTIF(ARRAYFORMULA(HLOOKUP($B76, IMPORTRANGE('Match Names'!$G$23, CONCAT(VLOOKUP($C76, 'Match Names'!$1:$22, 7, FALSE), "&amp;"""!C3:R29"")), {6;16;20;24}, FALSE)), ""=4"") + COUNTIF(ARRAYFORMULA(HLOOKUP($B76, IMPORTRANGE('Match Names'!$H$23, CONCAT(VLOOKUP($C76, 'Match Names'!$1:$22, 8, FALSE), ""!C3:R29"")), {2;8;14;20}, FALSE)), ""=4"")"),0.0)</f>
        <v>0</v>
      </c>
      <c r="F76" s="32">
        <f>IFERROR(__xludf.DUMMYFUNCTION("COUNTIF(ARRAYFORMULA(HLOOKUP($B76, IMPORTRANGE('Prelim Rankings Unsorted'!$B$40, CONCAT(VLOOKUP($C76, 'Match Names'!$A$1:$D$22, 2, FALSE), ""!C3:R29"")), {2;7;13;19}, FALSE)), ""=0"") + COUNTIF(ARRAYFORMULA(HLOOKUP($B76, IMPORTRANGE('Prelim Rankings Unsor"&amp;"ted'!$B$41, CONCAT(VLOOKUP($C76, 'Match Names'!$A$1:$D$22, 3, FALSE), ""!C3:R29"")), {3;9;15;21}, FALSE)), ""=0"") + COUNTIF(ARRAYFORMULA(HLOOKUP($B76, IMPORTRANGE('Prelim Rankings Unsorted'!$B$42, CONCAT(VLOOKUP($C76, 'Match Names'!$A$1:$D$22, 4, FALSE),"&amp;" ""!C3:R29"")), {3;9;15;21}, FALSE)), ""=0"") + COUNTIF(ARRAYFORMULA(HLOOKUP($B76, IMPORTRANGE('Match Names'!$E$23, CONCAT(VLOOKUP($C76, 'Match Names'!$1:$22, 5, FALSE), ""!C3:R29"")), {9;14;19;24}, FALSE)), ""=0"") + COUNTIF(ARRAYFORMULA(HLOOKUP($B76, IM"&amp;"PORTRANGE('Match Names'!$F$23, CONCAT(VLOOKUP($C76, 'Match Names'!$1:$22, 6, FALSE), ""!C3:R29"")), {2;8;14;20}, FALSE)), ""=0"") + COUNTIF(ARRAYFORMULA(HLOOKUP($B76, IMPORTRANGE('Match Names'!$G$23, CONCAT(VLOOKUP($C76, 'Match Names'!$1:$22, 7, FALSE), "&amp;"""!C3:R29"")), {6;16;20;24}, FALSE)), ""=0"") + COUNTIF(ARRAYFORMULA(HLOOKUP($B76, IMPORTRANGE('Match Names'!$H$23, CONCAT(VLOOKUP($C76, 'Match Names'!$1:$22, 8, FALSE), ""!C3:R29"")), {2;8;14;20}, FALSE)), ""=0"")"),0.0)</f>
        <v>0</v>
      </c>
      <c r="G76" s="32">
        <f>IFERROR(__xludf.DUMMYFUNCTION("COUNTIF(ARRAYFORMULA(HLOOKUP($B76, IMPORTRANGE('Prelim Rankings Unsorted'!$B$40, CONCAT(VLOOKUP($C76, 'Match Names'!$A$1:$D$22, 2, FALSE), ""!C3:R29"")), {2;7;13;19}, FALSE)), ""=-4"") + COUNTIF(ARRAYFORMULA(HLOOKUP($B76, IMPORTRANGE('Prelim Rankings Unso"&amp;"rted'!$B$41, CONCAT(VLOOKUP($C76, 'Match Names'!$A$1:$D$22, 3, FALSE), ""!C3:R29"")), {3;9;15;21}, FALSE)), ""=-4"") + COUNTIF(ARRAYFORMULA(HLOOKUP($B76, IMPORTRANGE('Prelim Rankings Unsorted'!$B$42, CONCAT(VLOOKUP($C76, 'Match Names'!$A$1:$D$22, 4, FALSE"&amp;"), ""!C3:R29"")), {3;9;15;21}, FALSE)), ""=-4"") + COUNTIF(ARRAYFORMULA(HLOOKUP($B76, IMPORTRANGE('Match Names'!$E$23, CONCAT(VLOOKUP($C76, 'Match Names'!$1:$22, 5, FALSE), ""!C3:R29"")), {9;14;19;24}, FALSE)), ""=-4"") + COUNTIF(ARRAYFORMULA(HLOOKUP($B76"&amp;", IMPORTRANGE('Match Names'!$F$23, CONCAT(VLOOKUP($C76, 'Match Names'!$1:$22, 6, FALSE), ""!C3:R29"")), {2;8;14;20}, FALSE)), ""=-4"") + COUNTIF(ARRAYFORMULA(HLOOKUP($B76, IMPORTRANGE('Match Names'!$G$23, CONCAT(VLOOKUP($C76, 'Match Names'!$1:$22, 7, FALS"&amp;"E), ""!C3:R29"")), {6;16;20;24}, FALSE)), ""=-4"") + COUNTIF(ARRAYFORMULA(HLOOKUP($B76, IMPORTRANGE('Match Names'!$H$23, CONCAT(VLOOKUP($C76, 'Match Names'!$1:$22, 8, FALSE), ""!C3:R29"")), {2;8;14;20}, FALSE)), ""=-4"")"),0.0)</f>
        <v>0</v>
      </c>
      <c r="H76" s="33">
        <f t="shared" si="1"/>
        <v>0</v>
      </c>
    </row>
    <row r="77">
      <c r="A77" s="21" t="s">
        <v>155</v>
      </c>
      <c r="B77" s="31" t="str">
        <f>VLOOKUP(CONCAT(A77, C77), 'Discord Username to Real Name'!C:D, 2, FALSE)</f>
        <v>xplt#4416</v>
      </c>
      <c r="C77" s="21" t="s">
        <v>24</v>
      </c>
      <c r="D77" s="32">
        <f>IFERROR(__xludf.DUMMYFUNCTION("(4 - COUNTIF(IFERROR(ARRAYFORMULA(HLOOKUP($B77, IMPORTRANGE('Prelim Rankings Unsorted'!$B$40, CONCAT(VLOOKUP($C77, 'Match Names'!$A$1:$D$22, 2, FALSE), ""!C3:R29"")), {2;7;13;19}, FALSE)), 'Player Overall Stats Unsorted'!$AA$9:$AA$12), ""=X"")) + (4 - COU"&amp;"NTIF(IFERROR(ARRAYFORMULA(HLOOKUP($B77, IMPORTRANGE('Prelim Rankings Unsorted'!$B$41, CONCAT(VLOOKUP($C77, 'Match Names'!$A$1:$D$22, 3, FALSE), ""!C3:R29"")), {3;9;15;21}, FALSE)), 'Player Overall Stats Unsorted'!$AA$9:$AA$12), ""=X"")) + (4 - COUNTIF(IFE"&amp;"RROR(ARRAYFORMULA(HLOOKUP($B77, IMPORTRANGE('Prelim Rankings Unsorted'!$B$42, CONCAT(VLOOKUP($C77, 'Match Names'!$A$1:$D$22, 4, FALSE), ""!C3:R29"")), {3;9;15;21}, FALSE)), 'Player Overall Stats Unsorted'!$AA$9:$AA$12), ""=X"")) + (4 - COUNTIF(IFERROR(ARR"&amp;"AYFORMULA(HLOOKUP($B77, IMPORTRANGE('Match Names'!$E$23, CONCAT(VLOOKUP($C77, 'Match Names'!$1:$22, 5, FALSE), ""!C3:R29"")), {9;14;19;24}, FALSE)), 'Player Overall Stats Unsorted'!$AA$9:$AA$12), ""=X"")) + (4 - COUNTIF(IFERROR(ARRAYFORMULA(HLOOKUP($B77, "&amp;"IMPORTRANGE('Match Names'!$F$23, CONCAT(VLOOKUP($C77, 'Match Names'!$1:$22, 6, FALSE), ""!C3:R29"")), {2;8;14;20}, FALSE)), 'Player Overall Stats Unsorted'!$AA$9:$AA$12), ""=X"")) + (4 - COUNTIF(IFERROR(ARRAYFORMULA(HLOOKUP($B77, IMPORTRANGE('Match Names'"&amp;"!$G$23, CONCAT(VLOOKUP($C77, 'Match Names'!$1:$22, 7, FALSE), ""!C3:R29"")), {6;16;20;24}, FALSE)), 'Player Overall Stats Unsorted'!$AA$9:$AA$12), ""=X"")) + (4 - COUNTIF(IFERROR(ARRAYFORMULA(HLOOKUP($B77, IMPORTRANGE('Match Names'!$H$23, CONCAT(VLOOKUP($"&amp;"C77, 'Match Names'!$1:$22, 8, FALSE), ""!C3:R29"")), {2;8;14;20}, FALSE)), 'Player Overall Stats Unsorted'!$AA$9:$AA$12), ""=X""))"),16.0)</f>
        <v>16</v>
      </c>
      <c r="E77" s="32">
        <f>IFERROR(__xludf.DUMMYFUNCTION("COUNTIF(ARRAYFORMULA(HLOOKUP($B77, IMPORTRANGE('Prelim Rankings Unsorted'!$B$40, CONCAT(VLOOKUP($C77, 'Match Names'!$A$1:$D$22, 2, FALSE), ""!C3:R29"")), {2;7;13;19}, FALSE)), ""=4"") + COUNTIF(ARRAYFORMULA(HLOOKUP($B77, IMPORTRANGE('Prelim Rankings Unsor"&amp;"ted'!$B$41, CONCAT(VLOOKUP($C77, 'Match Names'!$A$1:$D$22, 3, FALSE), ""!C3:R29"")), {3;9;15;21}, FALSE)), ""=4"") + COUNTIF(ARRAYFORMULA(HLOOKUP($B77, IMPORTRANGE('Prelim Rankings Unsorted'!$B$42, CONCAT(VLOOKUP($C77, 'Match Names'!$A$1:$D$22, 4, FALSE),"&amp;" ""!C3:R29"")), {3;9;15;21}, FALSE)), ""=4"") + COUNTIF(ARRAYFORMULA(HLOOKUP($B77, IMPORTRANGE('Match Names'!$E$23, CONCAT(VLOOKUP($C77, 'Match Names'!$1:$22, 5, FALSE), ""!C3:R29"")), {9;14;19;24}, FALSE)), ""=4"") + COUNTIF(ARRAYFORMULA(HLOOKUP($B77, IM"&amp;"PORTRANGE('Match Names'!$F$23, CONCAT(VLOOKUP($C77, 'Match Names'!$1:$22, 6, FALSE), ""!C3:R29"")), {2;8;14;20}, FALSE)), ""=4"") + COUNTIF(ARRAYFORMULA(HLOOKUP($B77, IMPORTRANGE('Match Names'!$G$23, CONCAT(VLOOKUP($C77, 'Match Names'!$1:$22, 7, FALSE), "&amp;"""!C3:R29"")), {6;16;20;24}, FALSE)), ""=4"") + COUNTIF(ARRAYFORMULA(HLOOKUP($B77, IMPORTRANGE('Match Names'!$H$23, CONCAT(VLOOKUP($C77, 'Match Names'!$1:$22, 8, FALSE), ""!C3:R29"")), {2;8;14;20}, FALSE)), ""=4"")"),0.0)</f>
        <v>0</v>
      </c>
      <c r="F77" s="32">
        <f>IFERROR(__xludf.DUMMYFUNCTION("COUNTIF(ARRAYFORMULA(HLOOKUP($B77, IMPORTRANGE('Prelim Rankings Unsorted'!$B$40, CONCAT(VLOOKUP($C77, 'Match Names'!$A$1:$D$22, 2, FALSE), ""!C3:R29"")), {2;7;13;19}, FALSE)), ""=0"") + COUNTIF(ARRAYFORMULA(HLOOKUP($B77, IMPORTRANGE('Prelim Rankings Unsor"&amp;"ted'!$B$41, CONCAT(VLOOKUP($C77, 'Match Names'!$A$1:$D$22, 3, FALSE), ""!C3:R29"")), {3;9;15;21}, FALSE)), ""=0"") + COUNTIF(ARRAYFORMULA(HLOOKUP($B77, IMPORTRANGE('Prelim Rankings Unsorted'!$B$42, CONCAT(VLOOKUP($C77, 'Match Names'!$A$1:$D$22, 4, FALSE),"&amp;" ""!C3:R29"")), {3;9;15;21}, FALSE)), ""=0"") + COUNTIF(ARRAYFORMULA(HLOOKUP($B77, IMPORTRANGE('Match Names'!$E$23, CONCAT(VLOOKUP($C77, 'Match Names'!$1:$22, 5, FALSE), ""!C3:R29"")), {9;14;19;24}, FALSE)), ""=0"") + COUNTIF(ARRAYFORMULA(HLOOKUP($B77, IM"&amp;"PORTRANGE('Match Names'!$F$23, CONCAT(VLOOKUP($C77, 'Match Names'!$1:$22, 6, FALSE), ""!C3:R29"")), {2;8;14;20}, FALSE)), ""=0"") + COUNTIF(ARRAYFORMULA(HLOOKUP($B77, IMPORTRANGE('Match Names'!$G$23, CONCAT(VLOOKUP($C77, 'Match Names'!$1:$22, 7, FALSE), "&amp;"""!C3:R29"")), {6;16;20;24}, FALSE)), ""=0"") + COUNTIF(ARRAYFORMULA(HLOOKUP($B77, IMPORTRANGE('Match Names'!$H$23, CONCAT(VLOOKUP($C77, 'Match Names'!$1:$22, 8, FALSE), ""!C3:R29"")), {2;8;14;20}, FALSE)), ""=0"")"),0.0)</f>
        <v>0</v>
      </c>
      <c r="G77" s="32">
        <f>IFERROR(__xludf.DUMMYFUNCTION("COUNTIF(ARRAYFORMULA(HLOOKUP($B77, IMPORTRANGE('Prelim Rankings Unsorted'!$B$40, CONCAT(VLOOKUP($C77, 'Match Names'!$A$1:$D$22, 2, FALSE), ""!C3:R29"")), {2;7;13;19}, FALSE)), ""=-4"") + COUNTIF(ARRAYFORMULA(HLOOKUP($B77, IMPORTRANGE('Prelim Rankings Unso"&amp;"rted'!$B$41, CONCAT(VLOOKUP($C77, 'Match Names'!$A$1:$D$22, 3, FALSE), ""!C3:R29"")), {3;9;15;21}, FALSE)), ""=-4"") + COUNTIF(ARRAYFORMULA(HLOOKUP($B77, IMPORTRANGE('Prelim Rankings Unsorted'!$B$42, CONCAT(VLOOKUP($C77, 'Match Names'!$A$1:$D$22, 4, FALSE"&amp;"), ""!C3:R29"")), {3;9;15;21}, FALSE)), ""=-4"") + COUNTIF(ARRAYFORMULA(HLOOKUP($B77, IMPORTRANGE('Match Names'!$E$23, CONCAT(VLOOKUP($C77, 'Match Names'!$1:$22, 5, FALSE), ""!C3:R29"")), {9;14;19;24}, FALSE)), ""=-4"") + COUNTIF(ARRAYFORMULA(HLOOKUP($B77"&amp;", IMPORTRANGE('Match Names'!$F$23, CONCAT(VLOOKUP($C77, 'Match Names'!$1:$22, 6, FALSE), ""!C3:R29"")), {2;8;14;20}, FALSE)), ""=-4"") + COUNTIF(ARRAYFORMULA(HLOOKUP($B77, IMPORTRANGE('Match Names'!$G$23, CONCAT(VLOOKUP($C77, 'Match Names'!$1:$22, 7, FALS"&amp;"E), ""!C3:R29"")), {6;16;20;24}, FALSE)), ""=-4"") + COUNTIF(ARRAYFORMULA(HLOOKUP($B77, IMPORTRANGE('Match Names'!$H$23, CONCAT(VLOOKUP($C77, 'Match Names'!$1:$22, 8, FALSE), ""!C3:R29"")), {2;8;14;20}, FALSE)), ""=-4"")"),0.0)</f>
        <v>0</v>
      </c>
      <c r="H77" s="33">
        <f t="shared" si="1"/>
        <v>0</v>
      </c>
    </row>
    <row r="78">
      <c r="A78" s="21" t="s">
        <v>150</v>
      </c>
      <c r="B78" s="31" t="str">
        <f>VLOOKUP(CONCAT(A78, C78), 'Discord Username to Real Name'!C:D, 2, FALSE)</f>
        <v>aaron0109#6251</v>
      </c>
      <c r="C78" s="21" t="s">
        <v>23</v>
      </c>
      <c r="D78" s="32">
        <f>IFERROR(__xludf.DUMMYFUNCTION("(4 - COUNTIF(IFERROR(ARRAYFORMULA(HLOOKUP($B78, IMPORTRANGE('Prelim Rankings Unsorted'!$B$40, CONCAT(VLOOKUP($C78, 'Match Names'!$A$1:$D$22, 2, FALSE), ""!C3:R29"")), {2;7;13;19}, FALSE)), 'Player Overall Stats Unsorted'!$AA$9:$AA$12), ""=X"")) + (4 - COU"&amp;"NTIF(IFERROR(ARRAYFORMULA(HLOOKUP($B78, IMPORTRANGE('Prelim Rankings Unsorted'!$B$41, CONCAT(VLOOKUP($C78, 'Match Names'!$A$1:$D$22, 3, FALSE), ""!C3:R29"")), {3;9;15;21}, FALSE)), 'Player Overall Stats Unsorted'!$AA$9:$AA$12), ""=X"")) + (4 - COUNTIF(IFE"&amp;"RROR(ARRAYFORMULA(HLOOKUP($B78, IMPORTRANGE('Prelim Rankings Unsorted'!$B$42, CONCAT(VLOOKUP($C78, 'Match Names'!$A$1:$D$22, 4, FALSE), ""!C3:R29"")), {3;9;15;21}, FALSE)), 'Player Overall Stats Unsorted'!$AA$9:$AA$12), ""=X"")) + (4 - COUNTIF(IFERROR(ARR"&amp;"AYFORMULA(HLOOKUP($B78, IMPORTRANGE('Match Names'!$E$23, CONCAT(VLOOKUP($C78, 'Match Names'!$1:$22, 5, FALSE), ""!C3:R29"")), {9;14;19;24}, FALSE)), 'Player Overall Stats Unsorted'!$AA$9:$AA$12), ""=X"")) + (4 - COUNTIF(IFERROR(ARRAYFORMULA(HLOOKUP($B78, "&amp;"IMPORTRANGE('Match Names'!$F$23, CONCAT(VLOOKUP($C78, 'Match Names'!$1:$22, 6, FALSE), ""!C3:R29"")), {2;8;14;20}, FALSE)), 'Player Overall Stats Unsorted'!$AA$9:$AA$12), ""=X"")) + (4 - COUNTIF(IFERROR(ARRAYFORMULA(HLOOKUP($B78, IMPORTRANGE('Match Names'"&amp;"!$G$23, CONCAT(VLOOKUP($C78, 'Match Names'!$1:$22, 7, FALSE), ""!C3:R29"")), {6;16;20;24}, FALSE)), 'Player Overall Stats Unsorted'!$AA$9:$AA$12), ""=X"")) + (4 - COUNTIF(IFERROR(ARRAYFORMULA(HLOOKUP($B78, IMPORTRANGE('Match Names'!$H$23, CONCAT(VLOOKUP($"&amp;"C78, 'Match Names'!$1:$22, 8, FALSE), ""!C3:R29"")), {2;8;14;20}, FALSE)), 'Player Overall Stats Unsorted'!$AA$9:$AA$12), ""=X""))"),8.0)</f>
        <v>8</v>
      </c>
      <c r="E78" s="32">
        <f>IFERROR(__xludf.DUMMYFUNCTION("COUNTIF(ARRAYFORMULA(HLOOKUP($B78, IMPORTRANGE('Prelim Rankings Unsorted'!$B$40, CONCAT(VLOOKUP($C78, 'Match Names'!$A$1:$D$22, 2, FALSE), ""!C3:R29"")), {2;7;13;19}, FALSE)), ""=4"") + COUNTIF(ARRAYFORMULA(HLOOKUP($B78, IMPORTRANGE('Prelim Rankings Unsor"&amp;"ted'!$B$41, CONCAT(VLOOKUP($C78, 'Match Names'!$A$1:$D$22, 3, FALSE), ""!C3:R29"")), {3;9;15;21}, FALSE)), ""=4"") + COUNTIF(ARRAYFORMULA(HLOOKUP($B78, IMPORTRANGE('Prelim Rankings Unsorted'!$B$42, CONCAT(VLOOKUP($C78, 'Match Names'!$A$1:$D$22, 4, FALSE),"&amp;" ""!C3:R29"")), {3;9;15;21}, FALSE)), ""=4"") + COUNTIF(ARRAYFORMULA(HLOOKUP($B78, IMPORTRANGE('Match Names'!$E$23, CONCAT(VLOOKUP($C78, 'Match Names'!$1:$22, 5, FALSE), ""!C3:R29"")), {9;14;19;24}, FALSE)), ""=4"") + COUNTIF(ARRAYFORMULA(HLOOKUP($B78, IM"&amp;"PORTRANGE('Match Names'!$F$23, CONCAT(VLOOKUP($C78, 'Match Names'!$1:$22, 6, FALSE), ""!C3:R29"")), {2;8;14;20}, FALSE)), ""=4"") + COUNTIF(ARRAYFORMULA(HLOOKUP($B78, IMPORTRANGE('Match Names'!$G$23, CONCAT(VLOOKUP($C78, 'Match Names'!$1:$22, 7, FALSE), "&amp;"""!C3:R29"")), {6;16;20;24}, FALSE)), ""=4"") + COUNTIF(ARRAYFORMULA(HLOOKUP($B78, IMPORTRANGE('Match Names'!$H$23, CONCAT(VLOOKUP($C78, 'Match Names'!$1:$22, 8, FALSE), ""!C3:R29"")), {2;8;14;20}, FALSE)), ""=4"")"),0.0)</f>
        <v>0</v>
      </c>
      <c r="F78" s="32">
        <f>IFERROR(__xludf.DUMMYFUNCTION("COUNTIF(ARRAYFORMULA(HLOOKUP($B78, IMPORTRANGE('Prelim Rankings Unsorted'!$B$40, CONCAT(VLOOKUP($C78, 'Match Names'!$A$1:$D$22, 2, FALSE), ""!C3:R29"")), {2;7;13;19}, FALSE)), ""=0"") + COUNTIF(ARRAYFORMULA(HLOOKUP($B78, IMPORTRANGE('Prelim Rankings Unsor"&amp;"ted'!$B$41, CONCAT(VLOOKUP($C78, 'Match Names'!$A$1:$D$22, 3, FALSE), ""!C3:R29"")), {3;9;15;21}, FALSE)), ""=0"") + COUNTIF(ARRAYFORMULA(HLOOKUP($B78, IMPORTRANGE('Prelim Rankings Unsorted'!$B$42, CONCAT(VLOOKUP($C78, 'Match Names'!$A$1:$D$22, 4, FALSE),"&amp;" ""!C3:R29"")), {3;9;15;21}, FALSE)), ""=0"") + COUNTIF(ARRAYFORMULA(HLOOKUP($B78, IMPORTRANGE('Match Names'!$E$23, CONCAT(VLOOKUP($C78, 'Match Names'!$1:$22, 5, FALSE), ""!C3:R29"")), {9;14;19;24}, FALSE)), ""=0"") + COUNTIF(ARRAYFORMULA(HLOOKUP($B78, IM"&amp;"PORTRANGE('Match Names'!$F$23, CONCAT(VLOOKUP($C78, 'Match Names'!$1:$22, 6, FALSE), ""!C3:R29"")), {2;8;14;20}, FALSE)), ""=0"") + COUNTIF(ARRAYFORMULA(HLOOKUP($B78, IMPORTRANGE('Match Names'!$G$23, CONCAT(VLOOKUP($C78, 'Match Names'!$1:$22, 7, FALSE), "&amp;"""!C3:R29"")), {6;16;20;24}, FALSE)), ""=0"") + COUNTIF(ARRAYFORMULA(HLOOKUP($B78, IMPORTRANGE('Match Names'!$H$23, CONCAT(VLOOKUP($C78, 'Match Names'!$1:$22, 8, FALSE), ""!C3:R29"")), {2;8;14;20}, FALSE)), ""=0"")"),0.0)</f>
        <v>0</v>
      </c>
      <c r="G78" s="32">
        <f>IFERROR(__xludf.DUMMYFUNCTION("COUNTIF(ARRAYFORMULA(HLOOKUP($B78, IMPORTRANGE('Prelim Rankings Unsorted'!$B$40, CONCAT(VLOOKUP($C78, 'Match Names'!$A$1:$D$22, 2, FALSE), ""!C3:R29"")), {2;7;13;19}, FALSE)), ""=-4"") + COUNTIF(ARRAYFORMULA(HLOOKUP($B78, IMPORTRANGE('Prelim Rankings Unso"&amp;"rted'!$B$41, CONCAT(VLOOKUP($C78, 'Match Names'!$A$1:$D$22, 3, FALSE), ""!C3:R29"")), {3;9;15;21}, FALSE)), ""=-4"") + COUNTIF(ARRAYFORMULA(HLOOKUP($B78, IMPORTRANGE('Prelim Rankings Unsorted'!$B$42, CONCAT(VLOOKUP($C78, 'Match Names'!$A$1:$D$22, 4, FALSE"&amp;"), ""!C3:R29"")), {3;9;15;21}, FALSE)), ""=-4"") + COUNTIF(ARRAYFORMULA(HLOOKUP($B78, IMPORTRANGE('Match Names'!$E$23, CONCAT(VLOOKUP($C78, 'Match Names'!$1:$22, 5, FALSE), ""!C3:R29"")), {9;14;19;24}, FALSE)), ""=-4"") + COUNTIF(ARRAYFORMULA(HLOOKUP($B78"&amp;", IMPORTRANGE('Match Names'!$F$23, CONCAT(VLOOKUP($C78, 'Match Names'!$1:$22, 6, FALSE), ""!C3:R29"")), {2;8;14;20}, FALSE)), ""=-4"") + COUNTIF(ARRAYFORMULA(HLOOKUP($B78, IMPORTRANGE('Match Names'!$G$23, CONCAT(VLOOKUP($C78, 'Match Names'!$1:$22, 7, FALS"&amp;"E), ""!C3:R29"")), {6;16;20;24}, FALSE)), ""=-4"") + COUNTIF(ARRAYFORMULA(HLOOKUP($B78, IMPORTRANGE('Match Names'!$H$23, CONCAT(VLOOKUP($C78, 'Match Names'!$1:$22, 8, FALSE), ""!C3:R29"")), {2;8;14;20}, FALSE)), ""=-4"")"),0.0)</f>
        <v>0</v>
      </c>
      <c r="H78" s="33">
        <f t="shared" si="1"/>
        <v>0</v>
      </c>
    </row>
    <row r="79">
      <c r="A79" s="21" t="s">
        <v>49</v>
      </c>
      <c r="B79" s="31" t="str">
        <f>VLOOKUP(CONCAT(A79, C79), 'Discord Username to Real Name'!C:D, 2, FALSE)</f>
        <v>avani#8445</v>
      </c>
      <c r="C79" s="21" t="s">
        <v>23</v>
      </c>
      <c r="D79" s="32">
        <f>IFERROR(__xludf.DUMMYFUNCTION("(4 - COUNTIF(IFERROR(ARRAYFORMULA(HLOOKUP($B79, IMPORTRANGE('Prelim Rankings Unsorted'!$B$40, CONCAT(VLOOKUP($C79, 'Match Names'!$A$1:$D$22, 2, FALSE), ""!C3:R29"")), {2;7;13;19}, FALSE)), 'Player Overall Stats Unsorted'!$AA$9:$AA$12), ""=X"")) + (4 - COU"&amp;"NTIF(IFERROR(ARRAYFORMULA(HLOOKUP($B79, IMPORTRANGE('Prelim Rankings Unsorted'!$B$41, CONCAT(VLOOKUP($C79, 'Match Names'!$A$1:$D$22, 3, FALSE), ""!C3:R29"")), {3;9;15;21}, FALSE)), 'Player Overall Stats Unsorted'!$AA$9:$AA$12), ""=X"")) + (4 - COUNTIF(IFE"&amp;"RROR(ARRAYFORMULA(HLOOKUP($B79, IMPORTRANGE('Prelim Rankings Unsorted'!$B$42, CONCAT(VLOOKUP($C79, 'Match Names'!$A$1:$D$22, 4, FALSE), ""!C3:R29"")), {3;9;15;21}, FALSE)), 'Player Overall Stats Unsorted'!$AA$9:$AA$12), ""=X"")) + (4 - COUNTIF(IFERROR(ARR"&amp;"AYFORMULA(HLOOKUP($B79, IMPORTRANGE('Match Names'!$E$23, CONCAT(VLOOKUP($C79, 'Match Names'!$1:$22, 5, FALSE), ""!C3:R29"")), {9;14;19;24}, FALSE)), 'Player Overall Stats Unsorted'!$AA$9:$AA$12), ""=X"")) + (4 - COUNTIF(IFERROR(ARRAYFORMULA(HLOOKUP($B79, "&amp;"IMPORTRANGE('Match Names'!$F$23, CONCAT(VLOOKUP($C79, 'Match Names'!$1:$22, 6, FALSE), ""!C3:R29"")), {2;8;14;20}, FALSE)), 'Player Overall Stats Unsorted'!$AA$9:$AA$12), ""=X"")) + (4 - COUNTIF(IFERROR(ARRAYFORMULA(HLOOKUP($B79, IMPORTRANGE('Match Names'"&amp;"!$G$23, CONCAT(VLOOKUP($C79, 'Match Names'!$1:$22, 7, FALSE), ""!C3:R29"")), {6;16;20;24}, FALSE)), 'Player Overall Stats Unsorted'!$AA$9:$AA$12), ""=X"")) + (4 - COUNTIF(IFERROR(ARRAYFORMULA(HLOOKUP($B79, IMPORTRANGE('Match Names'!$H$23, CONCAT(VLOOKUP($"&amp;"C79, 'Match Names'!$1:$22, 8, FALSE), ""!C3:R29"")), {2;8;14;20}, FALSE)), 'Player Overall Stats Unsorted'!$AA$9:$AA$12), ""=X""))"),20.0)</f>
        <v>20</v>
      </c>
      <c r="E79" s="32">
        <f>IFERROR(__xludf.DUMMYFUNCTION("COUNTIF(ARRAYFORMULA(HLOOKUP($B79, IMPORTRANGE('Prelim Rankings Unsorted'!$B$40, CONCAT(VLOOKUP($C79, 'Match Names'!$A$1:$D$22, 2, FALSE), ""!C3:R29"")), {2;7;13;19}, FALSE)), ""=4"") + COUNTIF(ARRAYFORMULA(HLOOKUP($B79, IMPORTRANGE('Prelim Rankings Unsor"&amp;"ted'!$B$41, CONCAT(VLOOKUP($C79, 'Match Names'!$A$1:$D$22, 3, FALSE), ""!C3:R29"")), {3;9;15;21}, FALSE)), ""=4"") + COUNTIF(ARRAYFORMULA(HLOOKUP($B79, IMPORTRANGE('Prelim Rankings Unsorted'!$B$42, CONCAT(VLOOKUP($C79, 'Match Names'!$A$1:$D$22, 4, FALSE),"&amp;" ""!C3:R29"")), {3;9;15;21}, FALSE)), ""=4"") + COUNTIF(ARRAYFORMULA(HLOOKUP($B79, IMPORTRANGE('Match Names'!$E$23, CONCAT(VLOOKUP($C79, 'Match Names'!$1:$22, 5, FALSE), ""!C3:R29"")), {9;14;19;24}, FALSE)), ""=4"") + COUNTIF(ARRAYFORMULA(HLOOKUP($B79, IM"&amp;"PORTRANGE('Match Names'!$F$23, CONCAT(VLOOKUP($C79, 'Match Names'!$1:$22, 6, FALSE), ""!C3:R29"")), {2;8;14;20}, FALSE)), ""=4"") + COUNTIF(ARRAYFORMULA(HLOOKUP($B79, IMPORTRANGE('Match Names'!$G$23, CONCAT(VLOOKUP($C79, 'Match Names'!$1:$22, 7, FALSE), "&amp;"""!C3:R29"")), {6;16;20;24}, FALSE)), ""=4"") + COUNTIF(ARRAYFORMULA(HLOOKUP($B79, IMPORTRANGE('Match Names'!$H$23, CONCAT(VLOOKUP($C79, 'Match Names'!$1:$22, 8, FALSE), ""!C3:R29"")), {2;8;14;20}, FALSE)), ""=4"")"),10.0)</f>
        <v>10</v>
      </c>
      <c r="F79" s="32">
        <f>IFERROR(__xludf.DUMMYFUNCTION("COUNTIF(ARRAYFORMULA(HLOOKUP($B79, IMPORTRANGE('Prelim Rankings Unsorted'!$B$40, CONCAT(VLOOKUP($C79, 'Match Names'!$A$1:$D$22, 2, FALSE), ""!C3:R29"")), {2;7;13;19}, FALSE)), ""=0"") + COUNTIF(ARRAYFORMULA(HLOOKUP($B79, IMPORTRANGE('Prelim Rankings Unsor"&amp;"ted'!$B$41, CONCAT(VLOOKUP($C79, 'Match Names'!$A$1:$D$22, 3, FALSE), ""!C3:R29"")), {3;9;15;21}, FALSE)), ""=0"") + COUNTIF(ARRAYFORMULA(HLOOKUP($B79, IMPORTRANGE('Prelim Rankings Unsorted'!$B$42, CONCAT(VLOOKUP($C79, 'Match Names'!$A$1:$D$22, 4, FALSE),"&amp;" ""!C3:R29"")), {3;9;15;21}, FALSE)), ""=0"") + COUNTIF(ARRAYFORMULA(HLOOKUP($B79, IMPORTRANGE('Match Names'!$E$23, CONCAT(VLOOKUP($C79, 'Match Names'!$1:$22, 5, FALSE), ""!C3:R29"")), {9;14;19;24}, FALSE)), ""=0"") + COUNTIF(ARRAYFORMULA(HLOOKUP($B79, IM"&amp;"PORTRANGE('Match Names'!$F$23, CONCAT(VLOOKUP($C79, 'Match Names'!$1:$22, 6, FALSE), ""!C3:R29"")), {2;8;14;20}, FALSE)), ""=0"") + COUNTIF(ARRAYFORMULA(HLOOKUP($B79, IMPORTRANGE('Match Names'!$G$23, CONCAT(VLOOKUP($C79, 'Match Names'!$1:$22, 7, FALSE), "&amp;"""!C3:R29"")), {6;16;20;24}, FALSE)), ""=0"") + COUNTIF(ARRAYFORMULA(HLOOKUP($B79, IMPORTRANGE('Match Names'!$H$23, CONCAT(VLOOKUP($C79, 'Match Names'!$1:$22, 8, FALSE), ""!C3:R29"")), {2;8;14;20}, FALSE)), ""=0"")"),5.0)</f>
        <v>5</v>
      </c>
      <c r="G79" s="32">
        <f>IFERROR(__xludf.DUMMYFUNCTION("COUNTIF(ARRAYFORMULA(HLOOKUP($B79, IMPORTRANGE('Prelim Rankings Unsorted'!$B$40, CONCAT(VLOOKUP($C79, 'Match Names'!$A$1:$D$22, 2, FALSE), ""!C3:R29"")), {2;7;13;19}, FALSE)), ""=-4"") + COUNTIF(ARRAYFORMULA(HLOOKUP($B79, IMPORTRANGE('Prelim Rankings Unso"&amp;"rted'!$B$41, CONCAT(VLOOKUP($C79, 'Match Names'!$A$1:$D$22, 3, FALSE), ""!C3:R29"")), {3;9;15;21}, FALSE)), ""=-4"") + COUNTIF(ARRAYFORMULA(HLOOKUP($B79, IMPORTRANGE('Prelim Rankings Unsorted'!$B$42, CONCAT(VLOOKUP($C79, 'Match Names'!$A$1:$D$22, 4, FALSE"&amp;"), ""!C3:R29"")), {3;9;15;21}, FALSE)), ""=-4"") + COUNTIF(ARRAYFORMULA(HLOOKUP($B79, IMPORTRANGE('Match Names'!$E$23, CONCAT(VLOOKUP($C79, 'Match Names'!$1:$22, 5, FALSE), ""!C3:R29"")), {9;14;19;24}, FALSE)), ""=-4"") + COUNTIF(ARRAYFORMULA(HLOOKUP($B79"&amp;", IMPORTRANGE('Match Names'!$F$23, CONCAT(VLOOKUP($C79, 'Match Names'!$1:$22, 6, FALSE), ""!C3:R29"")), {2;8;14;20}, FALSE)), ""=-4"") + COUNTIF(ARRAYFORMULA(HLOOKUP($B79, IMPORTRANGE('Match Names'!$G$23, CONCAT(VLOOKUP($C79, 'Match Names'!$1:$22, 7, FALS"&amp;"E), ""!C3:R29"")), {6;16;20;24}, FALSE)), ""=-4"") + COUNTIF(ARRAYFORMULA(HLOOKUP($B79, IMPORTRANGE('Match Names'!$H$23, CONCAT(VLOOKUP($C79, 'Match Names'!$1:$22, 8, FALSE), ""!C3:R29"")), {2;8;14;20}, FALSE)), ""=-4"")"),0.0)</f>
        <v>0</v>
      </c>
      <c r="H79" s="33">
        <f t="shared" si="1"/>
        <v>8</v>
      </c>
    </row>
    <row r="80">
      <c r="A80" s="21" t="s">
        <v>142</v>
      </c>
      <c r="B80" s="31" t="str">
        <f>VLOOKUP(CONCAT(A80, C80), 'Discord Username to Real Name'!C:D, 2, FALSE)</f>
        <v>Char#5513</v>
      </c>
      <c r="C80" s="21" t="s">
        <v>23</v>
      </c>
      <c r="D80" s="32">
        <f>IFERROR(__xludf.DUMMYFUNCTION("(4 - COUNTIF(IFERROR(ARRAYFORMULA(HLOOKUP($B80, IMPORTRANGE('Prelim Rankings Unsorted'!$B$40, CONCAT(VLOOKUP($C80, 'Match Names'!$A$1:$D$22, 2, FALSE), ""!C3:R29"")), {2;7;13;19}, FALSE)), 'Player Overall Stats Unsorted'!$AA$9:$AA$12), ""=X"")) + (4 - COU"&amp;"NTIF(IFERROR(ARRAYFORMULA(HLOOKUP($B80, IMPORTRANGE('Prelim Rankings Unsorted'!$B$41, CONCAT(VLOOKUP($C80, 'Match Names'!$A$1:$D$22, 3, FALSE), ""!C3:R29"")), {3;9;15;21}, FALSE)), 'Player Overall Stats Unsorted'!$AA$9:$AA$12), ""=X"")) + (4 - COUNTIF(IFE"&amp;"RROR(ARRAYFORMULA(HLOOKUP($B80, IMPORTRANGE('Prelim Rankings Unsorted'!$B$42, CONCAT(VLOOKUP($C80, 'Match Names'!$A$1:$D$22, 4, FALSE), ""!C3:R29"")), {3;9;15;21}, FALSE)), 'Player Overall Stats Unsorted'!$AA$9:$AA$12), ""=X"")) + (4 - COUNTIF(IFERROR(ARR"&amp;"AYFORMULA(HLOOKUP($B80, IMPORTRANGE('Match Names'!$E$23, CONCAT(VLOOKUP($C80, 'Match Names'!$1:$22, 5, FALSE), ""!C3:R29"")), {9;14;19;24}, FALSE)), 'Player Overall Stats Unsorted'!$AA$9:$AA$12), ""=X"")) + (4 - COUNTIF(IFERROR(ARRAYFORMULA(HLOOKUP($B80, "&amp;"IMPORTRANGE('Match Names'!$F$23, CONCAT(VLOOKUP($C80, 'Match Names'!$1:$22, 6, FALSE), ""!C3:R29"")), {2;8;14;20}, FALSE)), 'Player Overall Stats Unsorted'!$AA$9:$AA$12), ""=X"")) + (4 - COUNTIF(IFERROR(ARRAYFORMULA(HLOOKUP($B80, IMPORTRANGE('Match Names'"&amp;"!$G$23, CONCAT(VLOOKUP($C80, 'Match Names'!$1:$22, 7, FALSE), ""!C3:R29"")), {6;16;20;24}, FALSE)), 'Player Overall Stats Unsorted'!$AA$9:$AA$12), ""=X"")) + (4 - COUNTIF(IFERROR(ARRAYFORMULA(HLOOKUP($B80, IMPORTRANGE('Match Names'!$H$23, CONCAT(VLOOKUP($"&amp;"C80, 'Match Names'!$1:$22, 8, FALSE), ""!C3:R29"")), {2;8;14;20}, FALSE)), 'Player Overall Stats Unsorted'!$AA$9:$AA$12), ""=X""))"),16.0)</f>
        <v>16</v>
      </c>
      <c r="E80" s="32">
        <f>IFERROR(__xludf.DUMMYFUNCTION("COUNTIF(ARRAYFORMULA(HLOOKUP($B80, IMPORTRANGE('Prelim Rankings Unsorted'!$B$40, CONCAT(VLOOKUP($C80, 'Match Names'!$A$1:$D$22, 2, FALSE), ""!C3:R29"")), {2;7;13;19}, FALSE)), ""=4"") + COUNTIF(ARRAYFORMULA(HLOOKUP($B80, IMPORTRANGE('Prelim Rankings Unsor"&amp;"ted'!$B$41, CONCAT(VLOOKUP($C80, 'Match Names'!$A$1:$D$22, 3, FALSE), ""!C3:R29"")), {3;9;15;21}, FALSE)), ""=4"") + COUNTIF(ARRAYFORMULA(HLOOKUP($B80, IMPORTRANGE('Prelim Rankings Unsorted'!$B$42, CONCAT(VLOOKUP($C80, 'Match Names'!$A$1:$D$22, 4, FALSE),"&amp;" ""!C3:R29"")), {3;9;15;21}, FALSE)), ""=4"") + COUNTIF(ARRAYFORMULA(HLOOKUP($B80, IMPORTRANGE('Match Names'!$E$23, CONCAT(VLOOKUP($C80, 'Match Names'!$1:$22, 5, FALSE), ""!C3:R29"")), {9;14;19;24}, FALSE)), ""=4"") + COUNTIF(ARRAYFORMULA(HLOOKUP($B80, IM"&amp;"PORTRANGE('Match Names'!$F$23, CONCAT(VLOOKUP($C80, 'Match Names'!$1:$22, 6, FALSE), ""!C3:R29"")), {2;8;14;20}, FALSE)), ""=4"") + COUNTIF(ARRAYFORMULA(HLOOKUP($B80, IMPORTRANGE('Match Names'!$G$23, CONCAT(VLOOKUP($C80, 'Match Names'!$1:$22, 7, FALSE), "&amp;"""!C3:R29"")), {6;16;20;24}, FALSE)), ""=4"") + COUNTIF(ARRAYFORMULA(HLOOKUP($B80, IMPORTRANGE('Match Names'!$H$23, CONCAT(VLOOKUP($C80, 'Match Names'!$1:$22, 8, FALSE), ""!C3:R29"")), {2;8;14;20}, FALSE)), ""=4"")"),0.0)</f>
        <v>0</v>
      </c>
      <c r="F80" s="32">
        <f>IFERROR(__xludf.DUMMYFUNCTION("COUNTIF(ARRAYFORMULA(HLOOKUP($B80, IMPORTRANGE('Prelim Rankings Unsorted'!$B$40, CONCAT(VLOOKUP($C80, 'Match Names'!$A$1:$D$22, 2, FALSE), ""!C3:R29"")), {2;7;13;19}, FALSE)), ""=0"") + COUNTIF(ARRAYFORMULA(HLOOKUP($B80, IMPORTRANGE('Prelim Rankings Unsor"&amp;"ted'!$B$41, CONCAT(VLOOKUP($C80, 'Match Names'!$A$1:$D$22, 3, FALSE), ""!C3:R29"")), {3;9;15;21}, FALSE)), ""=0"") + COUNTIF(ARRAYFORMULA(HLOOKUP($B80, IMPORTRANGE('Prelim Rankings Unsorted'!$B$42, CONCAT(VLOOKUP($C80, 'Match Names'!$A$1:$D$22, 4, FALSE),"&amp;" ""!C3:R29"")), {3;9;15;21}, FALSE)), ""=0"") + COUNTIF(ARRAYFORMULA(HLOOKUP($B80, IMPORTRANGE('Match Names'!$E$23, CONCAT(VLOOKUP($C80, 'Match Names'!$1:$22, 5, FALSE), ""!C3:R29"")), {9;14;19;24}, FALSE)), ""=0"") + COUNTIF(ARRAYFORMULA(HLOOKUP($B80, IM"&amp;"PORTRANGE('Match Names'!$F$23, CONCAT(VLOOKUP($C80, 'Match Names'!$1:$22, 6, FALSE), ""!C3:R29"")), {2;8;14;20}, FALSE)), ""=0"") + COUNTIF(ARRAYFORMULA(HLOOKUP($B80, IMPORTRANGE('Match Names'!$G$23, CONCAT(VLOOKUP($C80, 'Match Names'!$1:$22, 7, FALSE), "&amp;"""!C3:R29"")), {6;16;20;24}, FALSE)), ""=0"") + COUNTIF(ARRAYFORMULA(HLOOKUP($B80, IMPORTRANGE('Match Names'!$H$23, CONCAT(VLOOKUP($C80, 'Match Names'!$1:$22, 8, FALSE), ""!C3:R29"")), {2;8;14;20}, FALSE)), ""=0"")"),0.0)</f>
        <v>0</v>
      </c>
      <c r="G80" s="32">
        <f>IFERROR(__xludf.DUMMYFUNCTION("COUNTIF(ARRAYFORMULA(HLOOKUP($B80, IMPORTRANGE('Prelim Rankings Unsorted'!$B$40, CONCAT(VLOOKUP($C80, 'Match Names'!$A$1:$D$22, 2, FALSE), ""!C3:R29"")), {2;7;13;19}, FALSE)), ""=-4"") + COUNTIF(ARRAYFORMULA(HLOOKUP($B80, IMPORTRANGE('Prelim Rankings Unso"&amp;"rted'!$B$41, CONCAT(VLOOKUP($C80, 'Match Names'!$A$1:$D$22, 3, FALSE), ""!C3:R29"")), {3;9;15;21}, FALSE)), ""=-4"") + COUNTIF(ARRAYFORMULA(HLOOKUP($B80, IMPORTRANGE('Prelim Rankings Unsorted'!$B$42, CONCAT(VLOOKUP($C80, 'Match Names'!$A$1:$D$22, 4, FALSE"&amp;"), ""!C3:R29"")), {3;9;15;21}, FALSE)), ""=-4"") + COUNTIF(ARRAYFORMULA(HLOOKUP($B80, IMPORTRANGE('Match Names'!$E$23, CONCAT(VLOOKUP($C80, 'Match Names'!$1:$22, 5, FALSE), ""!C3:R29"")), {9;14;19;24}, FALSE)), ""=-4"") + COUNTIF(ARRAYFORMULA(HLOOKUP($B80"&amp;", IMPORTRANGE('Match Names'!$F$23, CONCAT(VLOOKUP($C80, 'Match Names'!$1:$22, 6, FALSE), ""!C3:R29"")), {2;8;14;20}, FALSE)), ""=-4"") + COUNTIF(ARRAYFORMULA(HLOOKUP($B80, IMPORTRANGE('Match Names'!$G$23, CONCAT(VLOOKUP($C80, 'Match Names'!$1:$22, 7, FALS"&amp;"E), ""!C3:R29"")), {6;16;20;24}, FALSE)), ""=-4"") + COUNTIF(ARRAYFORMULA(HLOOKUP($B80, IMPORTRANGE('Match Names'!$H$23, CONCAT(VLOOKUP($C80, 'Match Names'!$1:$22, 8, FALSE), ""!C3:R29"")), {2;8;14;20}, FALSE)), ""=-4"")"),0.0)</f>
        <v>0</v>
      </c>
      <c r="H80" s="33">
        <f t="shared" si="1"/>
        <v>0</v>
      </c>
    </row>
    <row r="81">
      <c r="A81" s="21" t="s">
        <v>102</v>
      </c>
      <c r="B81" s="31" t="str">
        <f>VLOOKUP(CONCAT(A81, C81), 'Discord Username to Real Name'!C:D, 2, FALSE)</f>
        <v>Weber_Lin#5389</v>
      </c>
      <c r="C81" s="21" t="s">
        <v>23</v>
      </c>
      <c r="D81" s="32">
        <f>IFERROR(__xludf.DUMMYFUNCTION("(4 - COUNTIF(IFERROR(ARRAYFORMULA(HLOOKUP($B81, IMPORTRANGE('Prelim Rankings Unsorted'!$B$40, CONCAT(VLOOKUP($C81, 'Match Names'!$A$1:$D$22, 2, FALSE), ""!C3:R29"")), {2;7;13;19}, FALSE)), 'Player Overall Stats Unsorted'!$AA$9:$AA$12), ""=X"")) + (4 - COU"&amp;"NTIF(IFERROR(ARRAYFORMULA(HLOOKUP($B81, IMPORTRANGE('Prelim Rankings Unsorted'!$B$41, CONCAT(VLOOKUP($C81, 'Match Names'!$A$1:$D$22, 3, FALSE), ""!C3:R29"")), {3;9;15;21}, FALSE)), 'Player Overall Stats Unsorted'!$AA$9:$AA$12), ""=X"")) + (4 - COUNTIF(IFE"&amp;"RROR(ARRAYFORMULA(HLOOKUP($B81, IMPORTRANGE('Prelim Rankings Unsorted'!$B$42, CONCAT(VLOOKUP($C81, 'Match Names'!$A$1:$D$22, 4, FALSE), ""!C3:R29"")), {3;9;15;21}, FALSE)), 'Player Overall Stats Unsorted'!$AA$9:$AA$12), ""=X"")) + (4 - COUNTIF(IFERROR(ARR"&amp;"AYFORMULA(HLOOKUP($B81, IMPORTRANGE('Match Names'!$E$23, CONCAT(VLOOKUP($C81, 'Match Names'!$1:$22, 5, FALSE), ""!C3:R29"")), {9;14;19;24}, FALSE)), 'Player Overall Stats Unsorted'!$AA$9:$AA$12), ""=X"")) + (4 - COUNTIF(IFERROR(ARRAYFORMULA(HLOOKUP($B81, "&amp;"IMPORTRANGE('Match Names'!$F$23, CONCAT(VLOOKUP($C81, 'Match Names'!$1:$22, 6, FALSE), ""!C3:R29"")), {2;8;14;20}, FALSE)), 'Player Overall Stats Unsorted'!$AA$9:$AA$12), ""=X"")) + (4 - COUNTIF(IFERROR(ARRAYFORMULA(HLOOKUP($B81, IMPORTRANGE('Match Names'"&amp;"!$G$23, CONCAT(VLOOKUP($C81, 'Match Names'!$1:$22, 7, FALSE), ""!C3:R29"")), {6;16;20;24}, FALSE)), 'Player Overall Stats Unsorted'!$AA$9:$AA$12), ""=X"")) + (4 - COUNTIF(IFERROR(ARRAYFORMULA(HLOOKUP($B81, IMPORTRANGE('Match Names'!$H$23, CONCAT(VLOOKUP($"&amp;"C81, 'Match Names'!$1:$22, 8, FALSE), ""!C3:R29"")), {2;8;14;20}, FALSE)), 'Player Overall Stats Unsorted'!$AA$9:$AA$12), ""=X""))"),20.0)</f>
        <v>20</v>
      </c>
      <c r="E81" s="32">
        <f>IFERROR(__xludf.DUMMYFUNCTION("COUNTIF(ARRAYFORMULA(HLOOKUP($B81, IMPORTRANGE('Prelim Rankings Unsorted'!$B$40, CONCAT(VLOOKUP($C81, 'Match Names'!$A$1:$D$22, 2, FALSE), ""!C3:R29"")), {2;7;13;19}, FALSE)), ""=4"") + COUNTIF(ARRAYFORMULA(HLOOKUP($B81, IMPORTRANGE('Prelim Rankings Unsor"&amp;"ted'!$B$41, CONCAT(VLOOKUP($C81, 'Match Names'!$A$1:$D$22, 3, FALSE), ""!C3:R29"")), {3;9;15;21}, FALSE)), ""=4"") + COUNTIF(ARRAYFORMULA(HLOOKUP($B81, IMPORTRANGE('Prelim Rankings Unsorted'!$B$42, CONCAT(VLOOKUP($C81, 'Match Names'!$A$1:$D$22, 4, FALSE),"&amp;" ""!C3:R29"")), {3;9;15;21}, FALSE)), ""=4"") + COUNTIF(ARRAYFORMULA(HLOOKUP($B81, IMPORTRANGE('Match Names'!$E$23, CONCAT(VLOOKUP($C81, 'Match Names'!$1:$22, 5, FALSE), ""!C3:R29"")), {9;14;19;24}, FALSE)), ""=4"") + COUNTIF(ARRAYFORMULA(HLOOKUP($B81, IM"&amp;"PORTRANGE('Match Names'!$F$23, CONCAT(VLOOKUP($C81, 'Match Names'!$1:$22, 6, FALSE), ""!C3:R29"")), {2;8;14;20}, FALSE)), ""=4"") + COUNTIF(ARRAYFORMULA(HLOOKUP($B81, IMPORTRANGE('Match Names'!$G$23, CONCAT(VLOOKUP($C81, 'Match Names'!$1:$22, 7, FALSE), "&amp;"""!C3:R29"")), {6;16;20;24}, FALSE)), ""=4"") + COUNTIF(ARRAYFORMULA(HLOOKUP($B81, IMPORTRANGE('Match Names'!$H$23, CONCAT(VLOOKUP($C81, 'Match Names'!$1:$22, 8, FALSE), ""!C3:R29"")), {2;8;14;20}, FALSE)), ""=4"")"),2.0)</f>
        <v>2</v>
      </c>
      <c r="F81" s="32">
        <f>IFERROR(__xludf.DUMMYFUNCTION("COUNTIF(ARRAYFORMULA(HLOOKUP($B81, IMPORTRANGE('Prelim Rankings Unsorted'!$B$40, CONCAT(VLOOKUP($C81, 'Match Names'!$A$1:$D$22, 2, FALSE), ""!C3:R29"")), {2;7;13;19}, FALSE)), ""=0"") + COUNTIF(ARRAYFORMULA(HLOOKUP($B81, IMPORTRANGE('Prelim Rankings Unsor"&amp;"ted'!$B$41, CONCAT(VLOOKUP($C81, 'Match Names'!$A$1:$D$22, 3, FALSE), ""!C3:R29"")), {3;9;15;21}, FALSE)), ""=0"") + COUNTIF(ARRAYFORMULA(HLOOKUP($B81, IMPORTRANGE('Prelim Rankings Unsorted'!$B$42, CONCAT(VLOOKUP($C81, 'Match Names'!$A$1:$D$22, 4, FALSE),"&amp;" ""!C3:R29"")), {3;9;15;21}, FALSE)), ""=0"") + COUNTIF(ARRAYFORMULA(HLOOKUP($B81, IMPORTRANGE('Match Names'!$E$23, CONCAT(VLOOKUP($C81, 'Match Names'!$1:$22, 5, FALSE), ""!C3:R29"")), {9;14;19;24}, FALSE)), ""=0"") + COUNTIF(ARRAYFORMULA(HLOOKUP($B81, IM"&amp;"PORTRANGE('Match Names'!$F$23, CONCAT(VLOOKUP($C81, 'Match Names'!$1:$22, 6, FALSE), ""!C3:R29"")), {2;8;14;20}, FALSE)), ""=0"") + COUNTIF(ARRAYFORMULA(HLOOKUP($B81, IMPORTRANGE('Match Names'!$G$23, CONCAT(VLOOKUP($C81, 'Match Names'!$1:$22, 7, FALSE), "&amp;"""!C3:R29"")), {6;16;20;24}, FALSE)), ""=0"") + COUNTIF(ARRAYFORMULA(HLOOKUP($B81, IMPORTRANGE('Match Names'!$H$23, CONCAT(VLOOKUP($C81, 'Match Names'!$1:$22, 8, FALSE), ""!C3:R29"")), {2;8;14;20}, FALSE)), ""=0"")"),0.0)</f>
        <v>0</v>
      </c>
      <c r="G81" s="32">
        <f>IFERROR(__xludf.DUMMYFUNCTION("COUNTIF(ARRAYFORMULA(HLOOKUP($B81, IMPORTRANGE('Prelim Rankings Unsorted'!$B$40, CONCAT(VLOOKUP($C81, 'Match Names'!$A$1:$D$22, 2, FALSE), ""!C3:R29"")), {2;7;13;19}, FALSE)), ""=-4"") + COUNTIF(ARRAYFORMULA(HLOOKUP($B81, IMPORTRANGE('Prelim Rankings Unso"&amp;"rted'!$B$41, CONCAT(VLOOKUP($C81, 'Match Names'!$A$1:$D$22, 3, FALSE), ""!C3:R29"")), {3;9;15;21}, FALSE)), ""=-4"") + COUNTIF(ARRAYFORMULA(HLOOKUP($B81, IMPORTRANGE('Prelim Rankings Unsorted'!$B$42, CONCAT(VLOOKUP($C81, 'Match Names'!$A$1:$D$22, 4, FALSE"&amp;"), ""!C3:R29"")), {3;9;15;21}, FALSE)), ""=-4"") + COUNTIF(ARRAYFORMULA(HLOOKUP($B81, IMPORTRANGE('Match Names'!$E$23, CONCAT(VLOOKUP($C81, 'Match Names'!$1:$22, 5, FALSE), ""!C3:R29"")), {9;14;19;24}, FALSE)), ""=-4"") + COUNTIF(ARRAYFORMULA(HLOOKUP($B81"&amp;", IMPORTRANGE('Match Names'!$F$23, CONCAT(VLOOKUP($C81, 'Match Names'!$1:$22, 6, FALSE), ""!C3:R29"")), {2;8;14;20}, FALSE)), ""=-4"") + COUNTIF(ARRAYFORMULA(HLOOKUP($B81, IMPORTRANGE('Match Names'!$G$23, CONCAT(VLOOKUP($C81, 'Match Names'!$1:$22, 7, FALS"&amp;"E), ""!C3:R29"")), {6;16;20;24}, FALSE)), ""=-4"") + COUNTIF(ARRAYFORMULA(HLOOKUP($B81, IMPORTRANGE('Match Names'!$H$23, CONCAT(VLOOKUP($C81, 'Match Names'!$1:$22, 8, FALSE), ""!C3:R29"")), {2;8;14;20}, FALSE)), ""=-4"")"),0.0)</f>
        <v>0</v>
      </c>
      <c r="H81" s="33">
        <f t="shared" si="1"/>
        <v>1.6</v>
      </c>
    </row>
    <row r="82">
      <c r="A82" s="21" t="s">
        <v>43</v>
      </c>
      <c r="B82" s="31" t="str">
        <f>VLOOKUP(CONCAT(A82, C82), 'Discord Username to Real Name'!C:D, 2, FALSE)</f>
        <v>Xing#7270</v>
      </c>
      <c r="C82" s="21" t="s">
        <v>23</v>
      </c>
      <c r="D82" s="32">
        <f>IFERROR(__xludf.DUMMYFUNCTION("(4 - COUNTIF(IFERROR(ARRAYFORMULA(HLOOKUP($B82, IMPORTRANGE('Prelim Rankings Unsorted'!$B$40, CONCAT(VLOOKUP($C82, 'Match Names'!$A$1:$D$22, 2, FALSE), ""!C3:R29"")), {2;7;13;19}, FALSE)), 'Player Overall Stats Unsorted'!$AA$9:$AA$12), ""=X"")) + (4 - COU"&amp;"NTIF(IFERROR(ARRAYFORMULA(HLOOKUP($B82, IMPORTRANGE('Prelim Rankings Unsorted'!$B$41, CONCAT(VLOOKUP($C82, 'Match Names'!$A$1:$D$22, 3, FALSE), ""!C3:R29"")), {3;9;15;21}, FALSE)), 'Player Overall Stats Unsorted'!$AA$9:$AA$12), ""=X"")) + (4 - COUNTIF(IFE"&amp;"RROR(ARRAYFORMULA(HLOOKUP($B82, IMPORTRANGE('Prelim Rankings Unsorted'!$B$42, CONCAT(VLOOKUP($C82, 'Match Names'!$A$1:$D$22, 4, FALSE), ""!C3:R29"")), {3;9;15;21}, FALSE)), 'Player Overall Stats Unsorted'!$AA$9:$AA$12), ""=X"")) + (4 - COUNTIF(IFERROR(ARR"&amp;"AYFORMULA(HLOOKUP($B82, IMPORTRANGE('Match Names'!$E$23, CONCAT(VLOOKUP($C82, 'Match Names'!$1:$22, 5, FALSE), ""!C3:R29"")), {9;14;19;24}, FALSE)), 'Player Overall Stats Unsorted'!$AA$9:$AA$12), ""=X"")) + (4 - COUNTIF(IFERROR(ARRAYFORMULA(HLOOKUP($B82, "&amp;"IMPORTRANGE('Match Names'!$F$23, CONCAT(VLOOKUP($C82, 'Match Names'!$1:$22, 6, FALSE), ""!C3:R29"")), {2;8;14;20}, FALSE)), 'Player Overall Stats Unsorted'!$AA$9:$AA$12), ""=X"")) + (4 - COUNTIF(IFERROR(ARRAYFORMULA(HLOOKUP($B82, IMPORTRANGE('Match Names'"&amp;"!$G$23, CONCAT(VLOOKUP($C82, 'Match Names'!$1:$22, 7, FALSE), ""!C3:R29"")), {6;16;20;24}, FALSE)), 'Player Overall Stats Unsorted'!$AA$9:$AA$12), ""=X"")) + (4 - COUNTIF(IFERROR(ARRAYFORMULA(HLOOKUP($B82, IMPORTRANGE('Match Names'!$H$23, CONCAT(VLOOKUP($"&amp;"C82, 'Match Names'!$1:$22, 8, FALSE), ""!C3:R29"")), {2;8;14;20}, FALSE)), 'Player Overall Stats Unsorted'!$AA$9:$AA$12), ""=X""))"),20.0)</f>
        <v>20</v>
      </c>
      <c r="E82" s="32">
        <f>IFERROR(__xludf.DUMMYFUNCTION("COUNTIF(ARRAYFORMULA(HLOOKUP($B82, IMPORTRANGE('Prelim Rankings Unsorted'!$B$40, CONCAT(VLOOKUP($C82, 'Match Names'!$A$1:$D$22, 2, FALSE), ""!C3:R29"")), {2;7;13;19}, FALSE)), ""=4"") + COUNTIF(ARRAYFORMULA(HLOOKUP($B82, IMPORTRANGE('Prelim Rankings Unsor"&amp;"ted'!$B$41, CONCAT(VLOOKUP($C82, 'Match Names'!$A$1:$D$22, 3, FALSE), ""!C3:R29"")), {3;9;15;21}, FALSE)), ""=4"") + COUNTIF(ARRAYFORMULA(HLOOKUP($B82, IMPORTRANGE('Prelim Rankings Unsorted'!$B$42, CONCAT(VLOOKUP($C82, 'Match Names'!$A$1:$D$22, 4, FALSE),"&amp;" ""!C3:R29"")), {3;9;15;21}, FALSE)), ""=4"") + COUNTIF(ARRAYFORMULA(HLOOKUP($B82, IMPORTRANGE('Match Names'!$E$23, CONCAT(VLOOKUP($C82, 'Match Names'!$1:$22, 5, FALSE), ""!C3:R29"")), {9;14;19;24}, FALSE)), ""=4"") + COUNTIF(ARRAYFORMULA(HLOOKUP($B82, IM"&amp;"PORTRANGE('Match Names'!$F$23, CONCAT(VLOOKUP($C82, 'Match Names'!$1:$22, 6, FALSE), ""!C3:R29"")), {2;8;14;20}, FALSE)), ""=4"") + COUNTIF(ARRAYFORMULA(HLOOKUP($B82, IMPORTRANGE('Match Names'!$G$23, CONCAT(VLOOKUP($C82, 'Match Names'!$1:$22, 7, FALSE), "&amp;"""!C3:R29"")), {6;16;20;24}, FALSE)), ""=4"") + COUNTIF(ARRAYFORMULA(HLOOKUP($B82, IMPORTRANGE('Match Names'!$H$23, CONCAT(VLOOKUP($C82, 'Match Names'!$1:$22, 8, FALSE), ""!C3:R29"")), {2;8;14;20}, FALSE)), ""=4"")"),0.0)</f>
        <v>0</v>
      </c>
      <c r="F82" s="32">
        <f>IFERROR(__xludf.DUMMYFUNCTION("COUNTIF(ARRAYFORMULA(HLOOKUP($B82, IMPORTRANGE('Prelim Rankings Unsorted'!$B$40, CONCAT(VLOOKUP($C82, 'Match Names'!$A$1:$D$22, 2, FALSE), ""!C3:R29"")), {2;7;13;19}, FALSE)), ""=0"") + COUNTIF(ARRAYFORMULA(HLOOKUP($B82, IMPORTRANGE('Prelim Rankings Unsor"&amp;"ted'!$B$41, CONCAT(VLOOKUP($C82, 'Match Names'!$A$1:$D$22, 3, FALSE), ""!C3:R29"")), {3;9;15;21}, FALSE)), ""=0"") + COUNTIF(ARRAYFORMULA(HLOOKUP($B82, IMPORTRANGE('Prelim Rankings Unsorted'!$B$42, CONCAT(VLOOKUP($C82, 'Match Names'!$A$1:$D$22, 4, FALSE),"&amp;" ""!C3:R29"")), {3;9;15;21}, FALSE)), ""=0"") + COUNTIF(ARRAYFORMULA(HLOOKUP($B82, IMPORTRANGE('Match Names'!$E$23, CONCAT(VLOOKUP($C82, 'Match Names'!$1:$22, 5, FALSE), ""!C3:R29"")), {9;14;19;24}, FALSE)), ""=0"") + COUNTIF(ARRAYFORMULA(HLOOKUP($B82, IM"&amp;"PORTRANGE('Match Names'!$F$23, CONCAT(VLOOKUP($C82, 'Match Names'!$1:$22, 6, FALSE), ""!C3:R29"")), {2;8;14;20}, FALSE)), ""=0"") + COUNTIF(ARRAYFORMULA(HLOOKUP($B82, IMPORTRANGE('Match Names'!$G$23, CONCAT(VLOOKUP($C82, 'Match Names'!$1:$22, 7, FALSE), "&amp;"""!C3:R29"")), {6;16;20;24}, FALSE)), ""=0"") + COUNTIF(ARRAYFORMULA(HLOOKUP($B82, IMPORTRANGE('Match Names'!$H$23, CONCAT(VLOOKUP($C82, 'Match Names'!$1:$22, 8, FALSE), ""!C3:R29"")), {2;8;14;20}, FALSE)), ""=0"")"),3.0)</f>
        <v>3</v>
      </c>
      <c r="G82" s="32">
        <f>IFERROR(__xludf.DUMMYFUNCTION("COUNTIF(ARRAYFORMULA(HLOOKUP($B82, IMPORTRANGE('Prelim Rankings Unsorted'!$B$40, CONCAT(VLOOKUP($C82, 'Match Names'!$A$1:$D$22, 2, FALSE), ""!C3:R29"")), {2;7;13;19}, FALSE)), ""=-4"") + COUNTIF(ARRAYFORMULA(HLOOKUP($B82, IMPORTRANGE('Prelim Rankings Unso"&amp;"rted'!$B$41, CONCAT(VLOOKUP($C82, 'Match Names'!$A$1:$D$22, 3, FALSE), ""!C3:R29"")), {3;9;15;21}, FALSE)), ""=-4"") + COUNTIF(ARRAYFORMULA(HLOOKUP($B82, IMPORTRANGE('Prelim Rankings Unsorted'!$B$42, CONCAT(VLOOKUP($C82, 'Match Names'!$A$1:$D$22, 4, FALSE"&amp;"), ""!C3:R29"")), {3;9;15;21}, FALSE)), ""=-4"") + COUNTIF(ARRAYFORMULA(HLOOKUP($B82, IMPORTRANGE('Match Names'!$E$23, CONCAT(VLOOKUP($C82, 'Match Names'!$1:$22, 5, FALSE), ""!C3:R29"")), {9;14;19;24}, FALSE)), ""=-4"") + COUNTIF(ARRAYFORMULA(HLOOKUP($B82"&amp;", IMPORTRANGE('Match Names'!$F$23, CONCAT(VLOOKUP($C82, 'Match Names'!$1:$22, 6, FALSE), ""!C3:R29"")), {2;8;14;20}, FALSE)), ""=-4"") + COUNTIF(ARRAYFORMULA(HLOOKUP($B82, IMPORTRANGE('Match Names'!$G$23, CONCAT(VLOOKUP($C82, 'Match Names'!$1:$22, 7, FALS"&amp;"E), ""!C3:R29"")), {6;16;20;24}, FALSE)), ""=-4"") + COUNTIF(ARRAYFORMULA(HLOOKUP($B82, IMPORTRANGE('Match Names'!$H$23, CONCAT(VLOOKUP($C82, 'Match Names'!$1:$22, 8, FALSE), ""!C3:R29"")), {2;8;14;20}, FALSE)), ""=-4"")"),0.0)</f>
        <v>0</v>
      </c>
      <c r="H82" s="33">
        <f t="shared" si="1"/>
        <v>0</v>
      </c>
    </row>
    <row r="83">
      <c r="A83" s="21" t="s">
        <v>76</v>
      </c>
      <c r="B83" s="31" t="str">
        <f>VLOOKUP(CONCAT(A83, C83), 'Discord Username to Real Name'!C:D, 2, FALSE)</f>
        <v>Dr. Jess#0829</v>
      </c>
      <c r="C83" s="21" t="s">
        <v>26</v>
      </c>
      <c r="D83" s="32">
        <f>IFERROR(__xludf.DUMMYFUNCTION("(4 - COUNTIF(IFERROR(ARRAYFORMULA(HLOOKUP($B83, IMPORTRANGE('Prelim Rankings Unsorted'!$B$40, CONCAT(VLOOKUP($C83, 'Match Names'!$A$1:$D$22, 2, FALSE), ""!C3:R29"")), {2;7;13;19}, FALSE)), 'Player Overall Stats Unsorted'!$AA$9:$AA$12), ""=X"")) + (4 - COU"&amp;"NTIF(IFERROR(ARRAYFORMULA(HLOOKUP($B83, IMPORTRANGE('Prelim Rankings Unsorted'!$B$41, CONCAT(VLOOKUP($C83, 'Match Names'!$A$1:$D$22, 3, FALSE), ""!C3:R29"")), {3;9;15;21}, FALSE)), 'Player Overall Stats Unsorted'!$AA$9:$AA$12), ""=X"")) + (4 - COUNTIF(IFE"&amp;"RROR(ARRAYFORMULA(HLOOKUP($B83, IMPORTRANGE('Prelim Rankings Unsorted'!$B$42, CONCAT(VLOOKUP($C83, 'Match Names'!$A$1:$D$22, 4, FALSE), ""!C3:R29"")), {3;9;15;21}, FALSE)), 'Player Overall Stats Unsorted'!$AA$9:$AA$12), ""=X"")) + (4 - COUNTIF(IFERROR(ARR"&amp;"AYFORMULA(HLOOKUP($B83, IMPORTRANGE('Match Names'!$E$23, CONCAT(VLOOKUP($C83, 'Match Names'!$1:$22, 5, FALSE), ""!C3:R29"")), {9;14;19;24}, FALSE)), 'Player Overall Stats Unsorted'!$AA$9:$AA$12), ""=X"")) + (4 - COUNTIF(IFERROR(ARRAYFORMULA(HLOOKUP($B83, "&amp;"IMPORTRANGE('Match Names'!$F$23, CONCAT(VLOOKUP($C83, 'Match Names'!$1:$22, 6, FALSE), ""!C3:R29"")), {2;8;14;20}, FALSE)), 'Player Overall Stats Unsorted'!$AA$9:$AA$12), ""=X"")) + (4 - COUNTIF(IFERROR(ARRAYFORMULA(HLOOKUP($B83, IMPORTRANGE('Match Names'"&amp;"!$G$23, CONCAT(VLOOKUP($C83, 'Match Names'!$1:$22, 7, FALSE), ""!C3:R29"")), {6;16;20;24}, FALSE)), 'Player Overall Stats Unsorted'!$AA$9:$AA$12), ""=X"")) + (4 - COUNTIF(IFERROR(ARRAYFORMULA(HLOOKUP($B83, IMPORTRANGE('Match Names'!$H$23, CONCAT(VLOOKUP($"&amp;"C83, 'Match Names'!$1:$22, 8, FALSE), ""!C3:R29"")), {2;8;14;20}, FALSE)), 'Player Overall Stats Unsorted'!$AA$9:$AA$12), ""=X""))"),12.0)</f>
        <v>12</v>
      </c>
      <c r="E83" s="32">
        <f>IFERROR(__xludf.DUMMYFUNCTION("COUNTIF(ARRAYFORMULA(HLOOKUP($B83, IMPORTRANGE('Prelim Rankings Unsorted'!$B$40, CONCAT(VLOOKUP($C83, 'Match Names'!$A$1:$D$22, 2, FALSE), ""!C3:R29"")), {2;7;13;19}, FALSE)), ""=4"") + COUNTIF(ARRAYFORMULA(HLOOKUP($B83, IMPORTRANGE('Prelim Rankings Unsor"&amp;"ted'!$B$41, CONCAT(VLOOKUP($C83, 'Match Names'!$A$1:$D$22, 3, FALSE), ""!C3:R29"")), {3;9;15;21}, FALSE)), ""=4"") + COUNTIF(ARRAYFORMULA(HLOOKUP($B83, IMPORTRANGE('Prelim Rankings Unsorted'!$B$42, CONCAT(VLOOKUP($C83, 'Match Names'!$A$1:$D$22, 4, FALSE),"&amp;" ""!C3:R29"")), {3;9;15;21}, FALSE)), ""=4"") + COUNTIF(ARRAYFORMULA(HLOOKUP($B83, IMPORTRANGE('Match Names'!$E$23, CONCAT(VLOOKUP($C83, 'Match Names'!$1:$22, 5, FALSE), ""!C3:R29"")), {9;14;19;24}, FALSE)), ""=4"") + COUNTIF(ARRAYFORMULA(HLOOKUP($B83, IM"&amp;"PORTRANGE('Match Names'!$F$23, CONCAT(VLOOKUP($C83, 'Match Names'!$1:$22, 6, FALSE), ""!C3:R29"")), {2;8;14;20}, FALSE)), ""=4"") + COUNTIF(ARRAYFORMULA(HLOOKUP($B83, IMPORTRANGE('Match Names'!$G$23, CONCAT(VLOOKUP($C83, 'Match Names'!$1:$22, 7, FALSE), "&amp;"""!C3:R29"")), {6;16;20;24}, FALSE)), ""=4"") + COUNTIF(ARRAYFORMULA(HLOOKUP($B83, IMPORTRANGE('Match Names'!$H$23, CONCAT(VLOOKUP($C83, 'Match Names'!$1:$22, 8, FALSE), ""!C3:R29"")), {2;8;14;20}, FALSE)), ""=4"")"),1.0)</f>
        <v>1</v>
      </c>
      <c r="F83" s="32">
        <f>IFERROR(__xludf.DUMMYFUNCTION("COUNTIF(ARRAYFORMULA(HLOOKUP($B83, IMPORTRANGE('Prelim Rankings Unsorted'!$B$40, CONCAT(VLOOKUP($C83, 'Match Names'!$A$1:$D$22, 2, FALSE), ""!C3:R29"")), {2;7;13;19}, FALSE)), ""=0"") + COUNTIF(ARRAYFORMULA(HLOOKUP($B83, IMPORTRANGE('Prelim Rankings Unsor"&amp;"ted'!$B$41, CONCAT(VLOOKUP($C83, 'Match Names'!$A$1:$D$22, 3, FALSE), ""!C3:R29"")), {3;9;15;21}, FALSE)), ""=0"") + COUNTIF(ARRAYFORMULA(HLOOKUP($B83, IMPORTRANGE('Prelim Rankings Unsorted'!$B$42, CONCAT(VLOOKUP($C83, 'Match Names'!$A$1:$D$22, 4, FALSE),"&amp;" ""!C3:R29"")), {3;9;15;21}, FALSE)), ""=0"") + COUNTIF(ARRAYFORMULA(HLOOKUP($B83, IMPORTRANGE('Match Names'!$E$23, CONCAT(VLOOKUP($C83, 'Match Names'!$1:$22, 5, FALSE), ""!C3:R29"")), {9;14;19;24}, FALSE)), ""=0"") + COUNTIF(ARRAYFORMULA(HLOOKUP($B83, IM"&amp;"PORTRANGE('Match Names'!$F$23, CONCAT(VLOOKUP($C83, 'Match Names'!$1:$22, 6, FALSE), ""!C3:R29"")), {2;8;14;20}, FALSE)), ""=0"") + COUNTIF(ARRAYFORMULA(HLOOKUP($B83, IMPORTRANGE('Match Names'!$G$23, CONCAT(VLOOKUP($C83, 'Match Names'!$1:$22, 7, FALSE), "&amp;"""!C3:R29"")), {6;16;20;24}, FALSE)), ""=0"") + COUNTIF(ARRAYFORMULA(HLOOKUP($B83, IMPORTRANGE('Match Names'!$H$23, CONCAT(VLOOKUP($C83, 'Match Names'!$1:$22, 8, FALSE), ""!C3:R29"")), {2;8;14;20}, FALSE)), ""=0"")"),1.0)</f>
        <v>1</v>
      </c>
      <c r="G83" s="32">
        <f>IFERROR(__xludf.DUMMYFUNCTION("COUNTIF(ARRAYFORMULA(HLOOKUP($B83, IMPORTRANGE('Prelim Rankings Unsorted'!$B$40, CONCAT(VLOOKUP($C83, 'Match Names'!$A$1:$D$22, 2, FALSE), ""!C3:R29"")), {2;7;13;19}, FALSE)), ""=-4"") + COUNTIF(ARRAYFORMULA(HLOOKUP($B83, IMPORTRANGE('Prelim Rankings Unso"&amp;"rted'!$B$41, CONCAT(VLOOKUP($C83, 'Match Names'!$A$1:$D$22, 3, FALSE), ""!C3:R29"")), {3;9;15;21}, FALSE)), ""=-4"") + COUNTIF(ARRAYFORMULA(HLOOKUP($B83, IMPORTRANGE('Prelim Rankings Unsorted'!$B$42, CONCAT(VLOOKUP($C83, 'Match Names'!$A$1:$D$22, 4, FALSE"&amp;"), ""!C3:R29"")), {3;9;15;21}, FALSE)), ""=-4"") + COUNTIF(ARRAYFORMULA(HLOOKUP($B83, IMPORTRANGE('Match Names'!$E$23, CONCAT(VLOOKUP($C83, 'Match Names'!$1:$22, 5, FALSE), ""!C3:R29"")), {9;14;19;24}, FALSE)), ""=-4"") + COUNTIF(ARRAYFORMULA(HLOOKUP($B83"&amp;", IMPORTRANGE('Match Names'!$F$23, CONCAT(VLOOKUP($C83, 'Match Names'!$1:$22, 6, FALSE), ""!C3:R29"")), {2;8;14;20}, FALSE)), ""=-4"") + COUNTIF(ARRAYFORMULA(HLOOKUP($B83, IMPORTRANGE('Match Names'!$G$23, CONCAT(VLOOKUP($C83, 'Match Names'!$1:$22, 7, FALS"&amp;"E), ""!C3:R29"")), {6;16;20;24}, FALSE)), ""=-4"") + COUNTIF(ARRAYFORMULA(HLOOKUP($B83, IMPORTRANGE('Match Names'!$H$23, CONCAT(VLOOKUP($C83, 'Match Names'!$1:$22, 8, FALSE), ""!C3:R29"")), {2;8;14;20}, FALSE)), ""=-4"")"),0.0)</f>
        <v>0</v>
      </c>
      <c r="H83" s="33">
        <f t="shared" si="1"/>
        <v>1.33</v>
      </c>
    </row>
    <row r="84">
      <c r="A84" s="21" t="s">
        <v>181</v>
      </c>
      <c r="B84" s="31" t="str">
        <f>VLOOKUP(CONCAT(A84, C84), 'Discord Username to Real Name'!C:D, 2, FALSE)</f>
        <v>ronster#8561</v>
      </c>
      <c r="C84" s="21" t="s">
        <v>26</v>
      </c>
      <c r="D84" s="32">
        <f>IFERROR(__xludf.DUMMYFUNCTION("(4 - COUNTIF(IFERROR(ARRAYFORMULA(HLOOKUP($B84, IMPORTRANGE('Prelim Rankings Unsorted'!$B$40, CONCAT(VLOOKUP($C84, 'Match Names'!$A$1:$D$22, 2, FALSE), ""!C3:R29"")), {2;7;13;19}, FALSE)), 'Player Overall Stats Unsorted'!$AA$9:$AA$12), ""=X"")) + (4 - COU"&amp;"NTIF(IFERROR(ARRAYFORMULA(HLOOKUP($B84, IMPORTRANGE('Prelim Rankings Unsorted'!$B$41, CONCAT(VLOOKUP($C84, 'Match Names'!$A$1:$D$22, 3, FALSE), ""!C3:R29"")), {3;9;15;21}, FALSE)), 'Player Overall Stats Unsorted'!$AA$9:$AA$12), ""=X"")) + (4 - COUNTIF(IFE"&amp;"RROR(ARRAYFORMULA(HLOOKUP($B84, IMPORTRANGE('Prelim Rankings Unsorted'!$B$42, CONCAT(VLOOKUP($C84, 'Match Names'!$A$1:$D$22, 4, FALSE), ""!C3:R29"")), {3;9;15;21}, FALSE)), 'Player Overall Stats Unsorted'!$AA$9:$AA$12), ""=X"")) + (4 - COUNTIF(IFERROR(ARR"&amp;"AYFORMULA(HLOOKUP($B84, IMPORTRANGE('Match Names'!$E$23, CONCAT(VLOOKUP($C84, 'Match Names'!$1:$22, 5, FALSE), ""!C3:R29"")), {9;14;19;24}, FALSE)), 'Player Overall Stats Unsorted'!$AA$9:$AA$12), ""=X"")) + (4 - COUNTIF(IFERROR(ARRAYFORMULA(HLOOKUP($B84, "&amp;"IMPORTRANGE('Match Names'!$F$23, CONCAT(VLOOKUP($C84, 'Match Names'!$1:$22, 6, FALSE), ""!C3:R29"")), {2;8;14;20}, FALSE)), 'Player Overall Stats Unsorted'!$AA$9:$AA$12), ""=X"")) + (4 - COUNTIF(IFERROR(ARRAYFORMULA(HLOOKUP($B84, IMPORTRANGE('Match Names'"&amp;"!$G$23, CONCAT(VLOOKUP($C84, 'Match Names'!$1:$22, 7, FALSE), ""!C3:R29"")), {6;16;20;24}, FALSE)), 'Player Overall Stats Unsorted'!$AA$9:$AA$12), ""=X"")) + (4 - COUNTIF(IFERROR(ARRAYFORMULA(HLOOKUP($B84, IMPORTRANGE('Match Names'!$H$23, CONCAT(VLOOKUP($"&amp;"C84, 'Match Names'!$1:$22, 8, FALSE), ""!C3:R29"")), {2;8;14;20}, FALSE)), 'Player Overall Stats Unsorted'!$AA$9:$AA$12), ""=X""))"),8.0)</f>
        <v>8</v>
      </c>
      <c r="E84" s="32">
        <f>IFERROR(__xludf.DUMMYFUNCTION("COUNTIF(ARRAYFORMULA(HLOOKUP($B84, IMPORTRANGE('Prelim Rankings Unsorted'!$B$40, CONCAT(VLOOKUP($C84, 'Match Names'!$A$1:$D$22, 2, FALSE), ""!C3:R29"")), {2;7;13;19}, FALSE)), ""=4"") + COUNTIF(ARRAYFORMULA(HLOOKUP($B84, IMPORTRANGE('Prelim Rankings Unsor"&amp;"ted'!$B$41, CONCAT(VLOOKUP($C84, 'Match Names'!$A$1:$D$22, 3, FALSE), ""!C3:R29"")), {3;9;15;21}, FALSE)), ""=4"") + COUNTIF(ARRAYFORMULA(HLOOKUP($B84, IMPORTRANGE('Prelim Rankings Unsorted'!$B$42, CONCAT(VLOOKUP($C84, 'Match Names'!$A$1:$D$22, 4, FALSE),"&amp;" ""!C3:R29"")), {3;9;15;21}, FALSE)), ""=4"") + COUNTIF(ARRAYFORMULA(HLOOKUP($B84, IMPORTRANGE('Match Names'!$E$23, CONCAT(VLOOKUP($C84, 'Match Names'!$1:$22, 5, FALSE), ""!C3:R29"")), {9;14;19;24}, FALSE)), ""=4"") + COUNTIF(ARRAYFORMULA(HLOOKUP($B84, IM"&amp;"PORTRANGE('Match Names'!$F$23, CONCAT(VLOOKUP($C84, 'Match Names'!$1:$22, 6, FALSE), ""!C3:R29"")), {2;8;14;20}, FALSE)), ""=4"") + COUNTIF(ARRAYFORMULA(HLOOKUP($B84, IMPORTRANGE('Match Names'!$G$23, CONCAT(VLOOKUP($C84, 'Match Names'!$1:$22, 7, FALSE), "&amp;"""!C3:R29"")), {6;16;20;24}, FALSE)), ""=4"") + COUNTIF(ARRAYFORMULA(HLOOKUP($B84, IMPORTRANGE('Match Names'!$H$23, CONCAT(VLOOKUP($C84, 'Match Names'!$1:$22, 8, FALSE), ""!C3:R29"")), {2;8;14;20}, FALSE)), ""=4"")"),0.0)</f>
        <v>0</v>
      </c>
      <c r="F84" s="32">
        <f>IFERROR(__xludf.DUMMYFUNCTION("COUNTIF(ARRAYFORMULA(HLOOKUP($B84, IMPORTRANGE('Prelim Rankings Unsorted'!$B$40, CONCAT(VLOOKUP($C84, 'Match Names'!$A$1:$D$22, 2, FALSE), ""!C3:R29"")), {2;7;13;19}, FALSE)), ""=0"") + COUNTIF(ARRAYFORMULA(HLOOKUP($B84, IMPORTRANGE('Prelim Rankings Unsor"&amp;"ted'!$B$41, CONCAT(VLOOKUP($C84, 'Match Names'!$A$1:$D$22, 3, FALSE), ""!C3:R29"")), {3;9;15;21}, FALSE)), ""=0"") + COUNTIF(ARRAYFORMULA(HLOOKUP($B84, IMPORTRANGE('Prelim Rankings Unsorted'!$B$42, CONCAT(VLOOKUP($C84, 'Match Names'!$A$1:$D$22, 4, FALSE),"&amp;" ""!C3:R29"")), {3;9;15;21}, FALSE)), ""=0"") + COUNTIF(ARRAYFORMULA(HLOOKUP($B84, IMPORTRANGE('Match Names'!$E$23, CONCAT(VLOOKUP($C84, 'Match Names'!$1:$22, 5, FALSE), ""!C3:R29"")), {9;14;19;24}, FALSE)), ""=0"") + COUNTIF(ARRAYFORMULA(HLOOKUP($B84, IM"&amp;"PORTRANGE('Match Names'!$F$23, CONCAT(VLOOKUP($C84, 'Match Names'!$1:$22, 6, FALSE), ""!C3:R29"")), {2;8;14;20}, FALSE)), ""=0"") + COUNTIF(ARRAYFORMULA(HLOOKUP($B84, IMPORTRANGE('Match Names'!$G$23, CONCAT(VLOOKUP($C84, 'Match Names'!$1:$22, 7, FALSE), "&amp;"""!C3:R29"")), {6;16;20;24}, FALSE)), ""=0"") + COUNTIF(ARRAYFORMULA(HLOOKUP($B84, IMPORTRANGE('Match Names'!$H$23, CONCAT(VLOOKUP($C84, 'Match Names'!$1:$22, 8, FALSE), ""!C3:R29"")), {2;8;14;20}, FALSE)), ""=0"")"),0.0)</f>
        <v>0</v>
      </c>
      <c r="G84" s="32">
        <f>IFERROR(__xludf.DUMMYFUNCTION("COUNTIF(ARRAYFORMULA(HLOOKUP($B84, IMPORTRANGE('Prelim Rankings Unsorted'!$B$40, CONCAT(VLOOKUP($C84, 'Match Names'!$A$1:$D$22, 2, FALSE), ""!C3:R29"")), {2;7;13;19}, FALSE)), ""=-4"") + COUNTIF(ARRAYFORMULA(HLOOKUP($B84, IMPORTRANGE('Prelim Rankings Unso"&amp;"rted'!$B$41, CONCAT(VLOOKUP($C84, 'Match Names'!$A$1:$D$22, 3, FALSE), ""!C3:R29"")), {3;9;15;21}, FALSE)), ""=-4"") + COUNTIF(ARRAYFORMULA(HLOOKUP($B84, IMPORTRANGE('Prelim Rankings Unsorted'!$B$42, CONCAT(VLOOKUP($C84, 'Match Names'!$A$1:$D$22, 4, FALSE"&amp;"), ""!C3:R29"")), {3;9;15;21}, FALSE)), ""=-4"") + COUNTIF(ARRAYFORMULA(HLOOKUP($B84, IMPORTRANGE('Match Names'!$E$23, CONCAT(VLOOKUP($C84, 'Match Names'!$1:$22, 5, FALSE), ""!C3:R29"")), {9;14;19;24}, FALSE)), ""=-4"") + COUNTIF(ARRAYFORMULA(HLOOKUP($B84"&amp;", IMPORTRANGE('Match Names'!$F$23, CONCAT(VLOOKUP($C84, 'Match Names'!$1:$22, 6, FALSE), ""!C3:R29"")), {2;8;14;20}, FALSE)), ""=-4"") + COUNTIF(ARRAYFORMULA(HLOOKUP($B84, IMPORTRANGE('Match Names'!$G$23, CONCAT(VLOOKUP($C84, 'Match Names'!$1:$22, 7, FALS"&amp;"E), ""!C3:R29"")), {6;16;20;24}, FALSE)), ""=-4"") + COUNTIF(ARRAYFORMULA(HLOOKUP($B84, IMPORTRANGE('Match Names'!$H$23, CONCAT(VLOOKUP($C84, 'Match Names'!$1:$22, 8, FALSE), ""!C3:R29"")), {2;8;14;20}, FALSE)), ""=-4"")"),0.0)</f>
        <v>0</v>
      </c>
      <c r="H84" s="33">
        <f t="shared" si="1"/>
        <v>0</v>
      </c>
    </row>
    <row r="85">
      <c r="A85" s="21" t="s">
        <v>192</v>
      </c>
      <c r="B85" s="31" t="str">
        <f>VLOOKUP(CONCAT(A85, C85), 'Discord Username to Real Name'!C:D, 2, FALSE)</f>
        <v>aditi#0716</v>
      </c>
      <c r="C85" s="21" t="s">
        <v>26</v>
      </c>
      <c r="D85" s="32">
        <f>IFERROR(__xludf.DUMMYFUNCTION("(4 - COUNTIF(IFERROR(ARRAYFORMULA(HLOOKUP($B85, IMPORTRANGE('Prelim Rankings Unsorted'!$B$40, CONCAT(VLOOKUP($C85, 'Match Names'!$A$1:$D$22, 2, FALSE), ""!C3:R29"")), {2;7;13;19}, FALSE)), 'Player Overall Stats Unsorted'!$AA$9:$AA$12), ""=X"")) + (4 - COU"&amp;"NTIF(IFERROR(ARRAYFORMULA(HLOOKUP($B85, IMPORTRANGE('Prelim Rankings Unsorted'!$B$41, CONCAT(VLOOKUP($C85, 'Match Names'!$A$1:$D$22, 3, FALSE), ""!C3:R29"")), {3;9;15;21}, FALSE)), 'Player Overall Stats Unsorted'!$AA$9:$AA$12), ""=X"")) + (4 - COUNTIF(IFE"&amp;"RROR(ARRAYFORMULA(HLOOKUP($B85, IMPORTRANGE('Prelim Rankings Unsorted'!$B$42, CONCAT(VLOOKUP($C85, 'Match Names'!$A$1:$D$22, 4, FALSE), ""!C3:R29"")), {3;9;15;21}, FALSE)), 'Player Overall Stats Unsorted'!$AA$9:$AA$12), ""=X"")) + (4 - COUNTIF(IFERROR(ARR"&amp;"AYFORMULA(HLOOKUP($B85, IMPORTRANGE('Match Names'!$E$23, CONCAT(VLOOKUP($C85, 'Match Names'!$1:$22, 5, FALSE), ""!C3:R29"")), {9;14;19;24}, FALSE)), 'Player Overall Stats Unsorted'!$AA$9:$AA$12), ""=X"")) + (4 - COUNTIF(IFERROR(ARRAYFORMULA(HLOOKUP($B85, "&amp;"IMPORTRANGE('Match Names'!$F$23, CONCAT(VLOOKUP($C85, 'Match Names'!$1:$22, 6, FALSE), ""!C3:R29"")), {2;8;14;20}, FALSE)), 'Player Overall Stats Unsorted'!$AA$9:$AA$12), ""=X"")) + (4 - COUNTIF(IFERROR(ARRAYFORMULA(HLOOKUP($B85, IMPORTRANGE('Match Names'"&amp;"!$G$23, CONCAT(VLOOKUP($C85, 'Match Names'!$1:$22, 7, FALSE), ""!C3:R29"")), {6;16;20;24}, FALSE)), 'Player Overall Stats Unsorted'!$AA$9:$AA$12), ""=X"")) + (4 - COUNTIF(IFERROR(ARRAYFORMULA(HLOOKUP($B85, IMPORTRANGE('Match Names'!$H$23, CONCAT(VLOOKUP($"&amp;"C85, 'Match Names'!$1:$22, 8, FALSE), ""!C3:R29"")), {2;8;14;20}, FALSE)), 'Player Overall Stats Unsorted'!$AA$9:$AA$12), ""=X""))"),4.0)</f>
        <v>4</v>
      </c>
      <c r="E85" s="32">
        <f>IFERROR(__xludf.DUMMYFUNCTION("COUNTIF(ARRAYFORMULA(HLOOKUP($B85, IMPORTRANGE('Prelim Rankings Unsorted'!$B$40, CONCAT(VLOOKUP($C85, 'Match Names'!$A$1:$D$22, 2, FALSE), ""!C3:R29"")), {2;7;13;19}, FALSE)), ""=4"") + COUNTIF(ARRAYFORMULA(HLOOKUP($B85, IMPORTRANGE('Prelim Rankings Unsor"&amp;"ted'!$B$41, CONCAT(VLOOKUP($C85, 'Match Names'!$A$1:$D$22, 3, FALSE), ""!C3:R29"")), {3;9;15;21}, FALSE)), ""=4"") + COUNTIF(ARRAYFORMULA(HLOOKUP($B85, IMPORTRANGE('Prelim Rankings Unsorted'!$B$42, CONCAT(VLOOKUP($C85, 'Match Names'!$A$1:$D$22, 4, FALSE),"&amp;" ""!C3:R29"")), {3;9;15;21}, FALSE)), ""=4"") + COUNTIF(ARRAYFORMULA(HLOOKUP($B85, IMPORTRANGE('Match Names'!$E$23, CONCAT(VLOOKUP($C85, 'Match Names'!$1:$22, 5, FALSE), ""!C3:R29"")), {9;14;19;24}, FALSE)), ""=4"") + COUNTIF(ARRAYFORMULA(HLOOKUP($B85, IM"&amp;"PORTRANGE('Match Names'!$F$23, CONCAT(VLOOKUP($C85, 'Match Names'!$1:$22, 6, FALSE), ""!C3:R29"")), {2;8;14;20}, FALSE)), ""=4"") + COUNTIF(ARRAYFORMULA(HLOOKUP($B85, IMPORTRANGE('Match Names'!$G$23, CONCAT(VLOOKUP($C85, 'Match Names'!$1:$22, 7, FALSE), "&amp;"""!C3:R29"")), {6;16;20;24}, FALSE)), ""=4"") + COUNTIF(ARRAYFORMULA(HLOOKUP($B85, IMPORTRANGE('Match Names'!$H$23, CONCAT(VLOOKUP($C85, 'Match Names'!$1:$22, 8, FALSE), ""!C3:R29"")), {2;8;14;20}, FALSE)), ""=4"")"),0.0)</f>
        <v>0</v>
      </c>
      <c r="F85" s="32">
        <f>IFERROR(__xludf.DUMMYFUNCTION("COUNTIF(ARRAYFORMULA(HLOOKUP($B85, IMPORTRANGE('Prelim Rankings Unsorted'!$B$40, CONCAT(VLOOKUP($C85, 'Match Names'!$A$1:$D$22, 2, FALSE), ""!C3:R29"")), {2;7;13;19}, FALSE)), ""=0"") + COUNTIF(ARRAYFORMULA(HLOOKUP($B85, IMPORTRANGE('Prelim Rankings Unsor"&amp;"ted'!$B$41, CONCAT(VLOOKUP($C85, 'Match Names'!$A$1:$D$22, 3, FALSE), ""!C3:R29"")), {3;9;15;21}, FALSE)), ""=0"") + COUNTIF(ARRAYFORMULA(HLOOKUP($B85, IMPORTRANGE('Prelim Rankings Unsorted'!$B$42, CONCAT(VLOOKUP($C85, 'Match Names'!$A$1:$D$22, 4, FALSE),"&amp;" ""!C3:R29"")), {3;9;15;21}, FALSE)), ""=0"") + COUNTIF(ARRAYFORMULA(HLOOKUP($B85, IMPORTRANGE('Match Names'!$E$23, CONCAT(VLOOKUP($C85, 'Match Names'!$1:$22, 5, FALSE), ""!C3:R29"")), {9;14;19;24}, FALSE)), ""=0"") + COUNTIF(ARRAYFORMULA(HLOOKUP($B85, IM"&amp;"PORTRANGE('Match Names'!$F$23, CONCAT(VLOOKUP($C85, 'Match Names'!$1:$22, 6, FALSE), ""!C3:R29"")), {2;8;14;20}, FALSE)), ""=0"") + COUNTIF(ARRAYFORMULA(HLOOKUP($B85, IMPORTRANGE('Match Names'!$G$23, CONCAT(VLOOKUP($C85, 'Match Names'!$1:$22, 7, FALSE), "&amp;"""!C3:R29"")), {6;16;20;24}, FALSE)), ""=0"") + COUNTIF(ARRAYFORMULA(HLOOKUP($B85, IMPORTRANGE('Match Names'!$H$23, CONCAT(VLOOKUP($C85, 'Match Names'!$1:$22, 8, FALSE), ""!C3:R29"")), {2;8;14;20}, FALSE)), ""=0"")"),0.0)</f>
        <v>0</v>
      </c>
      <c r="G85" s="32">
        <f>IFERROR(__xludf.DUMMYFUNCTION("COUNTIF(ARRAYFORMULA(HLOOKUP($B85, IMPORTRANGE('Prelim Rankings Unsorted'!$B$40, CONCAT(VLOOKUP($C85, 'Match Names'!$A$1:$D$22, 2, FALSE), ""!C3:R29"")), {2;7;13;19}, FALSE)), ""=-4"") + COUNTIF(ARRAYFORMULA(HLOOKUP($B85, IMPORTRANGE('Prelim Rankings Unso"&amp;"rted'!$B$41, CONCAT(VLOOKUP($C85, 'Match Names'!$A$1:$D$22, 3, FALSE), ""!C3:R29"")), {3;9;15;21}, FALSE)), ""=-4"") + COUNTIF(ARRAYFORMULA(HLOOKUP($B85, IMPORTRANGE('Prelim Rankings Unsorted'!$B$42, CONCAT(VLOOKUP($C85, 'Match Names'!$A$1:$D$22, 4, FALSE"&amp;"), ""!C3:R29"")), {3;9;15;21}, FALSE)), ""=-4"") + COUNTIF(ARRAYFORMULA(HLOOKUP($B85, IMPORTRANGE('Match Names'!$E$23, CONCAT(VLOOKUP($C85, 'Match Names'!$1:$22, 5, FALSE), ""!C3:R29"")), {9;14;19;24}, FALSE)), ""=-4"") + COUNTIF(ARRAYFORMULA(HLOOKUP($B85"&amp;", IMPORTRANGE('Match Names'!$F$23, CONCAT(VLOOKUP($C85, 'Match Names'!$1:$22, 6, FALSE), ""!C3:R29"")), {2;8;14;20}, FALSE)), ""=-4"") + COUNTIF(ARRAYFORMULA(HLOOKUP($B85, IMPORTRANGE('Match Names'!$G$23, CONCAT(VLOOKUP($C85, 'Match Names'!$1:$22, 7, FALS"&amp;"E), ""!C3:R29"")), {6;16;20;24}, FALSE)), ""=-4"") + COUNTIF(ARRAYFORMULA(HLOOKUP($B85, IMPORTRANGE('Match Names'!$H$23, CONCAT(VLOOKUP($C85, 'Match Names'!$1:$22, 8, FALSE), ""!C3:R29"")), {2;8;14;20}, FALSE)), ""=-4"")"),0.0)</f>
        <v>0</v>
      </c>
      <c r="H85" s="33">
        <f t="shared" si="1"/>
        <v>0</v>
      </c>
    </row>
    <row r="86">
      <c r="A86" s="21" t="s">
        <v>37</v>
      </c>
      <c r="B86" s="31" t="str">
        <f>VLOOKUP(CONCAT(A86, C86), 'Discord Username to Real Name'!C:D, 2, FALSE)</f>
        <v>aurum#9391</v>
      </c>
      <c r="C86" s="21" t="s">
        <v>18</v>
      </c>
      <c r="D86" s="32">
        <f>IFERROR(__xludf.DUMMYFUNCTION("(4 - COUNTIF(IFERROR(ARRAYFORMULA(HLOOKUP($B86, IMPORTRANGE('Prelim Rankings Unsorted'!$B$40, CONCAT(VLOOKUP($C86, 'Match Names'!$A$1:$D$22, 2, FALSE), ""!C3:R29"")), {2;7;13;19}, FALSE)), 'Player Overall Stats Unsorted'!$AA$9:$AA$12), ""=X"")) + (4 - COU"&amp;"NTIF(IFERROR(ARRAYFORMULA(HLOOKUP($B86, IMPORTRANGE('Prelim Rankings Unsorted'!$B$41, CONCAT(VLOOKUP($C86, 'Match Names'!$A$1:$D$22, 3, FALSE), ""!C3:R29"")), {3;9;15;21}, FALSE)), 'Player Overall Stats Unsorted'!$AA$9:$AA$12), ""=X"")) + (4 - COUNTIF(IFE"&amp;"RROR(ARRAYFORMULA(HLOOKUP($B86, IMPORTRANGE('Prelim Rankings Unsorted'!$B$42, CONCAT(VLOOKUP($C86, 'Match Names'!$A$1:$D$22, 4, FALSE), ""!C3:R29"")), {3;9;15;21}, FALSE)), 'Player Overall Stats Unsorted'!$AA$9:$AA$12), ""=X"")) + (4 - COUNTIF(IFERROR(ARR"&amp;"AYFORMULA(HLOOKUP($B86, IMPORTRANGE('Match Names'!$E$23, CONCAT(VLOOKUP($C86, 'Match Names'!$1:$22, 5, FALSE), ""!C3:R29"")), {9;14;19;24}, FALSE)), 'Player Overall Stats Unsorted'!$AA$9:$AA$12), ""=X"")) + (4 - COUNTIF(IFERROR(ARRAYFORMULA(HLOOKUP($B86, "&amp;"IMPORTRANGE('Match Names'!$F$23, CONCAT(VLOOKUP($C86, 'Match Names'!$1:$22, 6, FALSE), ""!C3:R29"")), {2;8;14;20}, FALSE)), 'Player Overall Stats Unsorted'!$AA$9:$AA$12), ""=X"")) + (4 - COUNTIF(IFERROR(ARRAYFORMULA(HLOOKUP($B86, IMPORTRANGE('Match Names'"&amp;"!$G$23, CONCAT(VLOOKUP($C86, 'Match Names'!$1:$22, 7, FALSE), ""!C3:R29"")), {6;16;20;24}, FALSE)), 'Player Overall Stats Unsorted'!$AA$9:$AA$12), ""=X"")) + (4 - COUNTIF(IFERROR(ARRAYFORMULA(HLOOKUP($B86, IMPORTRANGE('Match Names'!$H$23, CONCAT(VLOOKUP($"&amp;"C86, 'Match Names'!$1:$22, 8, FALSE), ""!C3:R29"")), {2;8;14;20}, FALSE)), 'Player Overall Stats Unsorted'!$AA$9:$AA$12), ""=X""))"),20.0)</f>
        <v>20</v>
      </c>
      <c r="E86" s="32">
        <f>IFERROR(__xludf.DUMMYFUNCTION("COUNTIF(ARRAYFORMULA(HLOOKUP($B86, IMPORTRANGE('Prelim Rankings Unsorted'!$B$40, CONCAT(VLOOKUP($C86, 'Match Names'!$A$1:$D$22, 2, FALSE), ""!C3:R29"")), {2;7;13;19}, FALSE)), ""=4"") + COUNTIF(ARRAYFORMULA(HLOOKUP($B86, IMPORTRANGE('Prelim Rankings Unsor"&amp;"ted'!$B$41, CONCAT(VLOOKUP($C86, 'Match Names'!$A$1:$D$22, 3, FALSE), ""!C3:R29"")), {3;9;15;21}, FALSE)), ""=4"") + COUNTIF(ARRAYFORMULA(HLOOKUP($B86, IMPORTRANGE('Prelim Rankings Unsorted'!$B$42, CONCAT(VLOOKUP($C86, 'Match Names'!$A$1:$D$22, 4, FALSE),"&amp;" ""!C3:R29"")), {3;9;15;21}, FALSE)), ""=4"") + COUNTIF(ARRAYFORMULA(HLOOKUP($B86, IMPORTRANGE('Match Names'!$E$23, CONCAT(VLOOKUP($C86, 'Match Names'!$1:$22, 5, FALSE), ""!C3:R29"")), {9;14;19;24}, FALSE)), ""=4"") + COUNTIF(ARRAYFORMULA(HLOOKUP($B86, IM"&amp;"PORTRANGE('Match Names'!$F$23, CONCAT(VLOOKUP($C86, 'Match Names'!$1:$22, 6, FALSE), ""!C3:R29"")), {2;8;14;20}, FALSE)), ""=4"") + COUNTIF(ARRAYFORMULA(HLOOKUP($B86, IMPORTRANGE('Match Names'!$G$23, CONCAT(VLOOKUP($C86, 'Match Names'!$1:$22, 7, FALSE), "&amp;"""!C3:R29"")), {6;16;20;24}, FALSE)), ""=4"") + COUNTIF(ARRAYFORMULA(HLOOKUP($B86, IMPORTRANGE('Match Names'!$H$23, CONCAT(VLOOKUP($C86, 'Match Names'!$1:$22, 8, FALSE), ""!C3:R29"")), {2;8;14;20}, FALSE)), ""=4"")"),4.0)</f>
        <v>4</v>
      </c>
      <c r="F86" s="32">
        <f>IFERROR(__xludf.DUMMYFUNCTION("COUNTIF(ARRAYFORMULA(HLOOKUP($B86, IMPORTRANGE('Prelim Rankings Unsorted'!$B$40, CONCAT(VLOOKUP($C86, 'Match Names'!$A$1:$D$22, 2, FALSE), ""!C3:R29"")), {2;7;13;19}, FALSE)), ""=0"") + COUNTIF(ARRAYFORMULA(HLOOKUP($B86, IMPORTRANGE('Prelim Rankings Unsor"&amp;"ted'!$B$41, CONCAT(VLOOKUP($C86, 'Match Names'!$A$1:$D$22, 3, FALSE), ""!C3:R29"")), {3;9;15;21}, FALSE)), ""=0"") + COUNTIF(ARRAYFORMULA(HLOOKUP($B86, IMPORTRANGE('Prelim Rankings Unsorted'!$B$42, CONCAT(VLOOKUP($C86, 'Match Names'!$A$1:$D$22, 4, FALSE),"&amp;" ""!C3:R29"")), {3;9;15;21}, FALSE)), ""=0"") + COUNTIF(ARRAYFORMULA(HLOOKUP($B86, IMPORTRANGE('Match Names'!$E$23, CONCAT(VLOOKUP($C86, 'Match Names'!$1:$22, 5, FALSE), ""!C3:R29"")), {9;14;19;24}, FALSE)), ""=0"") + COUNTIF(ARRAYFORMULA(HLOOKUP($B86, IM"&amp;"PORTRANGE('Match Names'!$F$23, CONCAT(VLOOKUP($C86, 'Match Names'!$1:$22, 6, FALSE), ""!C3:R29"")), {2;8;14;20}, FALSE)), ""=0"") + COUNTIF(ARRAYFORMULA(HLOOKUP($B86, IMPORTRANGE('Match Names'!$G$23, CONCAT(VLOOKUP($C86, 'Match Names'!$1:$22, 7, FALSE), "&amp;"""!C3:R29"")), {6;16;20;24}, FALSE)), ""=0"") + COUNTIF(ARRAYFORMULA(HLOOKUP($B86, IMPORTRANGE('Match Names'!$H$23, CONCAT(VLOOKUP($C86, 'Match Names'!$1:$22, 8, FALSE), ""!C3:R29"")), {2;8;14;20}, FALSE)), ""=0"")"),5.0)</f>
        <v>5</v>
      </c>
      <c r="G86" s="32">
        <f>IFERROR(__xludf.DUMMYFUNCTION("COUNTIF(ARRAYFORMULA(HLOOKUP($B86, IMPORTRANGE('Prelim Rankings Unsorted'!$B$40, CONCAT(VLOOKUP($C86, 'Match Names'!$A$1:$D$22, 2, FALSE), ""!C3:R29"")), {2;7;13;19}, FALSE)), ""=-4"") + COUNTIF(ARRAYFORMULA(HLOOKUP($B86, IMPORTRANGE('Prelim Rankings Unso"&amp;"rted'!$B$41, CONCAT(VLOOKUP($C86, 'Match Names'!$A$1:$D$22, 3, FALSE), ""!C3:R29"")), {3;9;15;21}, FALSE)), ""=-4"") + COUNTIF(ARRAYFORMULA(HLOOKUP($B86, IMPORTRANGE('Prelim Rankings Unsorted'!$B$42, CONCAT(VLOOKUP($C86, 'Match Names'!$A$1:$D$22, 4, FALSE"&amp;"), ""!C3:R29"")), {3;9;15;21}, FALSE)), ""=-4"") + COUNTIF(ARRAYFORMULA(HLOOKUP($B86, IMPORTRANGE('Match Names'!$E$23, CONCAT(VLOOKUP($C86, 'Match Names'!$1:$22, 5, FALSE), ""!C3:R29"")), {9;14;19;24}, FALSE)), ""=-4"") + COUNTIF(ARRAYFORMULA(HLOOKUP($B86"&amp;", IMPORTRANGE('Match Names'!$F$23, CONCAT(VLOOKUP($C86, 'Match Names'!$1:$22, 6, FALSE), ""!C3:R29"")), {2;8;14;20}, FALSE)), ""=-4"") + COUNTIF(ARRAYFORMULA(HLOOKUP($B86, IMPORTRANGE('Match Names'!$G$23, CONCAT(VLOOKUP($C86, 'Match Names'!$1:$22, 7, FALS"&amp;"E), ""!C3:R29"")), {6;16;20;24}, FALSE)), ""=-4"") + COUNTIF(ARRAYFORMULA(HLOOKUP($B86, IMPORTRANGE('Match Names'!$H$23, CONCAT(VLOOKUP($C86, 'Match Names'!$1:$22, 8, FALSE), ""!C3:R29"")), {2;8;14;20}, FALSE)), ""=-4"")"),0.0)</f>
        <v>0</v>
      </c>
      <c r="H86" s="33">
        <f t="shared" si="1"/>
        <v>3.2</v>
      </c>
    </row>
    <row r="87">
      <c r="A87" s="21" t="s">
        <v>45</v>
      </c>
      <c r="B87" s="31" t="str">
        <f>VLOOKUP(CONCAT(A87, C87), 'Discord Username to Real Name'!C:D, 2, FALSE)</f>
        <v>Rosin#8074</v>
      </c>
      <c r="C87" s="21" t="s">
        <v>18</v>
      </c>
      <c r="D87" s="32">
        <f>IFERROR(__xludf.DUMMYFUNCTION("(4 - COUNTIF(IFERROR(ARRAYFORMULA(HLOOKUP($B87, IMPORTRANGE('Prelim Rankings Unsorted'!$B$40, CONCAT(VLOOKUP($C87, 'Match Names'!$A$1:$D$22, 2, FALSE), ""!C3:R29"")), {2;7;13;19}, FALSE)), 'Player Overall Stats Unsorted'!$AA$9:$AA$12), ""=X"")) + (4 - COU"&amp;"NTIF(IFERROR(ARRAYFORMULA(HLOOKUP($B87, IMPORTRANGE('Prelim Rankings Unsorted'!$B$41, CONCAT(VLOOKUP($C87, 'Match Names'!$A$1:$D$22, 3, FALSE), ""!C3:R29"")), {3;9;15;21}, FALSE)), 'Player Overall Stats Unsorted'!$AA$9:$AA$12), ""=X"")) + (4 - COUNTIF(IFE"&amp;"RROR(ARRAYFORMULA(HLOOKUP($B87, IMPORTRANGE('Prelim Rankings Unsorted'!$B$42, CONCAT(VLOOKUP($C87, 'Match Names'!$A$1:$D$22, 4, FALSE), ""!C3:R29"")), {3;9;15;21}, FALSE)), 'Player Overall Stats Unsorted'!$AA$9:$AA$12), ""=X"")) + (4 - COUNTIF(IFERROR(ARR"&amp;"AYFORMULA(HLOOKUP($B87, IMPORTRANGE('Match Names'!$E$23, CONCAT(VLOOKUP($C87, 'Match Names'!$1:$22, 5, FALSE), ""!C3:R29"")), {9;14;19;24}, FALSE)), 'Player Overall Stats Unsorted'!$AA$9:$AA$12), ""=X"")) + (4 - COUNTIF(IFERROR(ARRAYFORMULA(HLOOKUP($B87, "&amp;"IMPORTRANGE('Match Names'!$F$23, CONCAT(VLOOKUP($C87, 'Match Names'!$1:$22, 6, FALSE), ""!C3:R29"")), {2;8;14;20}, FALSE)), 'Player Overall Stats Unsorted'!$AA$9:$AA$12), ""=X"")) + (4 - COUNTIF(IFERROR(ARRAYFORMULA(HLOOKUP($B87, IMPORTRANGE('Match Names'"&amp;"!$G$23, CONCAT(VLOOKUP($C87, 'Match Names'!$1:$22, 7, FALSE), ""!C3:R29"")), {6;16;20;24}, FALSE)), 'Player Overall Stats Unsorted'!$AA$9:$AA$12), ""=X"")) + (4 - COUNTIF(IFERROR(ARRAYFORMULA(HLOOKUP($B87, IMPORTRANGE('Match Names'!$H$23, CONCAT(VLOOKUP($"&amp;"C87, 'Match Names'!$1:$22, 8, FALSE), ""!C3:R29"")), {2;8;14;20}, FALSE)), 'Player Overall Stats Unsorted'!$AA$9:$AA$12), ""=X""))"),8.0)</f>
        <v>8</v>
      </c>
      <c r="E87" s="32">
        <f>IFERROR(__xludf.DUMMYFUNCTION("COUNTIF(ARRAYFORMULA(HLOOKUP($B87, IMPORTRANGE('Prelim Rankings Unsorted'!$B$40, CONCAT(VLOOKUP($C87, 'Match Names'!$A$1:$D$22, 2, FALSE), ""!C3:R29"")), {2;7;13;19}, FALSE)), ""=4"") + COUNTIF(ARRAYFORMULA(HLOOKUP($B87, IMPORTRANGE('Prelim Rankings Unsor"&amp;"ted'!$B$41, CONCAT(VLOOKUP($C87, 'Match Names'!$A$1:$D$22, 3, FALSE), ""!C3:R29"")), {3;9;15;21}, FALSE)), ""=4"") + COUNTIF(ARRAYFORMULA(HLOOKUP($B87, IMPORTRANGE('Prelim Rankings Unsorted'!$B$42, CONCAT(VLOOKUP($C87, 'Match Names'!$A$1:$D$22, 4, FALSE),"&amp;" ""!C3:R29"")), {3;9;15;21}, FALSE)), ""=4"") + COUNTIF(ARRAYFORMULA(HLOOKUP($B87, IMPORTRANGE('Match Names'!$E$23, CONCAT(VLOOKUP($C87, 'Match Names'!$1:$22, 5, FALSE), ""!C3:R29"")), {9;14;19;24}, FALSE)), ""=4"") + COUNTIF(ARRAYFORMULA(HLOOKUP($B87, IM"&amp;"PORTRANGE('Match Names'!$F$23, CONCAT(VLOOKUP($C87, 'Match Names'!$1:$22, 6, FALSE), ""!C3:R29"")), {2;8;14;20}, FALSE)), ""=4"") + COUNTIF(ARRAYFORMULA(HLOOKUP($B87, IMPORTRANGE('Match Names'!$G$23, CONCAT(VLOOKUP($C87, 'Match Names'!$1:$22, 7, FALSE), "&amp;"""!C3:R29"")), {6;16;20;24}, FALSE)), ""=4"") + COUNTIF(ARRAYFORMULA(HLOOKUP($B87, IMPORTRANGE('Match Names'!$H$23, CONCAT(VLOOKUP($C87, 'Match Names'!$1:$22, 8, FALSE), ""!C3:R29"")), {2;8;14;20}, FALSE)), ""=4"")"),0.0)</f>
        <v>0</v>
      </c>
      <c r="F87" s="32">
        <f>IFERROR(__xludf.DUMMYFUNCTION("COUNTIF(ARRAYFORMULA(HLOOKUP($B87, IMPORTRANGE('Prelim Rankings Unsorted'!$B$40, CONCAT(VLOOKUP($C87, 'Match Names'!$A$1:$D$22, 2, FALSE), ""!C3:R29"")), {2;7;13;19}, FALSE)), ""=0"") + COUNTIF(ARRAYFORMULA(HLOOKUP($B87, IMPORTRANGE('Prelim Rankings Unsor"&amp;"ted'!$B$41, CONCAT(VLOOKUP($C87, 'Match Names'!$A$1:$D$22, 3, FALSE), ""!C3:R29"")), {3;9;15;21}, FALSE)), ""=0"") + COUNTIF(ARRAYFORMULA(HLOOKUP($B87, IMPORTRANGE('Prelim Rankings Unsorted'!$B$42, CONCAT(VLOOKUP($C87, 'Match Names'!$A$1:$D$22, 4, FALSE),"&amp;" ""!C3:R29"")), {3;9;15;21}, FALSE)), ""=0"") + COUNTIF(ARRAYFORMULA(HLOOKUP($B87, IMPORTRANGE('Match Names'!$E$23, CONCAT(VLOOKUP($C87, 'Match Names'!$1:$22, 5, FALSE), ""!C3:R29"")), {9;14;19;24}, FALSE)), ""=0"") + COUNTIF(ARRAYFORMULA(HLOOKUP($B87, IM"&amp;"PORTRANGE('Match Names'!$F$23, CONCAT(VLOOKUP($C87, 'Match Names'!$1:$22, 6, FALSE), ""!C3:R29"")), {2;8;14;20}, FALSE)), ""=0"") + COUNTIF(ARRAYFORMULA(HLOOKUP($B87, IMPORTRANGE('Match Names'!$G$23, CONCAT(VLOOKUP($C87, 'Match Names'!$1:$22, 7, FALSE), "&amp;"""!C3:R29"")), {6;16;20;24}, FALSE)), ""=0"") + COUNTIF(ARRAYFORMULA(HLOOKUP($B87, IMPORTRANGE('Match Names'!$H$23, CONCAT(VLOOKUP($C87, 'Match Names'!$1:$22, 8, FALSE), ""!C3:R29"")), {2;8;14;20}, FALSE)), ""=0"")"),1.0)</f>
        <v>1</v>
      </c>
      <c r="G87" s="32">
        <f>IFERROR(__xludf.DUMMYFUNCTION("COUNTIF(ARRAYFORMULA(HLOOKUP($B87, IMPORTRANGE('Prelim Rankings Unsorted'!$B$40, CONCAT(VLOOKUP($C87, 'Match Names'!$A$1:$D$22, 2, FALSE), ""!C3:R29"")), {2;7;13;19}, FALSE)), ""=-4"") + COUNTIF(ARRAYFORMULA(HLOOKUP($B87, IMPORTRANGE('Prelim Rankings Unso"&amp;"rted'!$B$41, CONCAT(VLOOKUP($C87, 'Match Names'!$A$1:$D$22, 3, FALSE), ""!C3:R29"")), {3;9;15;21}, FALSE)), ""=-4"") + COUNTIF(ARRAYFORMULA(HLOOKUP($B87, IMPORTRANGE('Prelim Rankings Unsorted'!$B$42, CONCAT(VLOOKUP($C87, 'Match Names'!$A$1:$D$22, 4, FALSE"&amp;"), ""!C3:R29"")), {3;9;15;21}, FALSE)), ""=-4"") + COUNTIF(ARRAYFORMULA(HLOOKUP($B87, IMPORTRANGE('Match Names'!$E$23, CONCAT(VLOOKUP($C87, 'Match Names'!$1:$22, 5, FALSE), ""!C3:R29"")), {9;14;19;24}, FALSE)), ""=-4"") + COUNTIF(ARRAYFORMULA(HLOOKUP($B87"&amp;", IMPORTRANGE('Match Names'!$F$23, CONCAT(VLOOKUP($C87, 'Match Names'!$1:$22, 6, FALSE), ""!C3:R29"")), {2;8;14;20}, FALSE)), ""=-4"") + COUNTIF(ARRAYFORMULA(HLOOKUP($B87, IMPORTRANGE('Match Names'!$G$23, CONCAT(VLOOKUP($C87, 'Match Names'!$1:$22, 7, FALS"&amp;"E), ""!C3:R29"")), {6;16;20;24}, FALSE)), ""=-4"") + COUNTIF(ARRAYFORMULA(HLOOKUP($B87, IMPORTRANGE('Match Names'!$H$23, CONCAT(VLOOKUP($C87, 'Match Names'!$1:$22, 8, FALSE), ""!C3:R29"")), {2;8;14;20}, FALSE)), ""=-4"")"),0.0)</f>
        <v>0</v>
      </c>
      <c r="H87" s="33">
        <f t="shared" si="1"/>
        <v>0</v>
      </c>
    </row>
    <row r="88">
      <c r="A88" s="23" t="s">
        <v>204</v>
      </c>
      <c r="B88" s="31" t="str">
        <f>VLOOKUP(CONCAT(A88, C88), 'Discord Username to Real Name'!C:D, 2, FALSE)</f>
        <v/>
      </c>
      <c r="C88" s="23" t="s">
        <v>18</v>
      </c>
      <c r="D88" s="32">
        <f>IFERROR(__xludf.DUMMYFUNCTION("(4 - COUNTIF(IFERROR(ARRAYFORMULA(HLOOKUP($B88, IMPORTRANGE('Prelim Rankings Unsorted'!$B$40, CONCAT(VLOOKUP($C88, 'Match Names'!$A$1:$D$22, 2, FALSE), ""!C3:R29"")), {2;7;13;19}, FALSE)), 'Player Overall Stats Unsorted'!$AA$9:$AA$12), ""=X"")) + (4 - COU"&amp;"NTIF(IFERROR(ARRAYFORMULA(HLOOKUP($B88, IMPORTRANGE('Prelim Rankings Unsorted'!$B$41, CONCAT(VLOOKUP($C88, 'Match Names'!$A$1:$D$22, 3, FALSE), ""!C3:R29"")), {3;9;15;21}, FALSE)), 'Player Overall Stats Unsorted'!$AA$9:$AA$12), ""=X"")) + (4 - COUNTIF(IFE"&amp;"RROR(ARRAYFORMULA(HLOOKUP($B88, IMPORTRANGE('Prelim Rankings Unsorted'!$B$42, CONCAT(VLOOKUP($C88, 'Match Names'!$A$1:$D$22, 4, FALSE), ""!C3:R29"")), {3;9;15;21}, FALSE)), 'Player Overall Stats Unsorted'!$AA$9:$AA$12), ""=X"")) + (4 - COUNTIF(IFERROR(ARR"&amp;"AYFORMULA(HLOOKUP($B88, IMPORTRANGE('Match Names'!$E$23, CONCAT(VLOOKUP($C88, 'Match Names'!$1:$22, 5, FALSE), ""!C3:R29"")), {9;14;19;24}, FALSE)), 'Player Overall Stats Unsorted'!$AA$9:$AA$12), ""=X"")) + (4 - COUNTIF(IFERROR(ARRAYFORMULA(HLOOKUP($B88, "&amp;"IMPORTRANGE('Match Names'!$F$23, CONCAT(VLOOKUP($C88, 'Match Names'!$1:$22, 6, FALSE), ""!C3:R29"")), {2;8;14;20}, FALSE)), 'Player Overall Stats Unsorted'!$AA$9:$AA$12), ""=X"")) + (4 - COUNTIF(IFERROR(ARRAYFORMULA(HLOOKUP($B88, IMPORTRANGE('Match Names'"&amp;"!$G$23, CONCAT(VLOOKUP($C88, 'Match Names'!$1:$22, 7, FALSE), ""!C3:R29"")), {6;16;20;24}, FALSE)), 'Player Overall Stats Unsorted'!$AA$9:$AA$12), ""=X"")) + (4 - COUNTIF(IFERROR(ARRAYFORMULA(HLOOKUP($B88, IMPORTRANGE('Match Names'!$H$23, CONCAT(VLOOKUP($"&amp;"C88, 'Match Names'!$1:$22, 8, FALSE), ""!C3:R29"")), {2;8;14;20}, FALSE)), 'Player Overall Stats Unsorted'!$AA$9:$AA$12), ""=X""))"),0.0)</f>
        <v>0</v>
      </c>
      <c r="E88" s="32">
        <f>IFERROR(__xludf.DUMMYFUNCTION("COUNTIF(ARRAYFORMULA(HLOOKUP($B88, IMPORTRANGE('Prelim Rankings Unsorted'!$B$40, CONCAT(VLOOKUP($C88, 'Match Names'!$A$1:$D$22, 2, FALSE), ""!C3:R29"")), {2;7;13;19}, FALSE)), ""=4"") + COUNTIF(ARRAYFORMULA(HLOOKUP($B88, IMPORTRANGE('Prelim Rankings Unsor"&amp;"ted'!$B$41, CONCAT(VLOOKUP($C88, 'Match Names'!$A$1:$D$22, 3, FALSE), ""!C3:R29"")), {3;9;15;21}, FALSE)), ""=4"") + COUNTIF(ARRAYFORMULA(HLOOKUP($B88, IMPORTRANGE('Prelim Rankings Unsorted'!$B$42, CONCAT(VLOOKUP($C88, 'Match Names'!$A$1:$D$22, 4, FALSE),"&amp;" ""!C3:R29"")), {3;9;15;21}, FALSE)), ""=4"") + COUNTIF(ARRAYFORMULA(HLOOKUP($B88, IMPORTRANGE('Match Names'!$E$23, CONCAT(VLOOKUP($C88, 'Match Names'!$1:$22, 5, FALSE), ""!C3:R29"")), {9;14;19;24}, FALSE)), ""=4"") + COUNTIF(ARRAYFORMULA(HLOOKUP($B88, IM"&amp;"PORTRANGE('Match Names'!$F$23, CONCAT(VLOOKUP($C88, 'Match Names'!$1:$22, 6, FALSE), ""!C3:R29"")), {2;8;14;20}, FALSE)), ""=4"") + COUNTIF(ARRAYFORMULA(HLOOKUP($B88, IMPORTRANGE('Match Names'!$G$23, CONCAT(VLOOKUP($C88, 'Match Names'!$1:$22, 7, FALSE), "&amp;"""!C3:R29"")), {6;16;20;24}, FALSE)), ""=4"") + COUNTIF(ARRAYFORMULA(HLOOKUP($B88, IMPORTRANGE('Match Names'!$H$23, CONCAT(VLOOKUP($C88, 'Match Names'!$1:$22, 8, FALSE), ""!C3:R29"")), {2;8;14;20}, FALSE)), ""=4"")"),0.0)</f>
        <v>0</v>
      </c>
      <c r="F88" s="32">
        <f>IFERROR(__xludf.DUMMYFUNCTION("COUNTIF(ARRAYFORMULA(HLOOKUP($B88, IMPORTRANGE('Prelim Rankings Unsorted'!$B$40, CONCAT(VLOOKUP($C88, 'Match Names'!$A$1:$D$22, 2, FALSE), ""!C3:R29"")), {2;7;13;19}, FALSE)), ""=0"") + COUNTIF(ARRAYFORMULA(HLOOKUP($B88, IMPORTRANGE('Prelim Rankings Unsor"&amp;"ted'!$B$41, CONCAT(VLOOKUP($C88, 'Match Names'!$A$1:$D$22, 3, FALSE), ""!C3:R29"")), {3;9;15;21}, FALSE)), ""=0"") + COUNTIF(ARRAYFORMULA(HLOOKUP($B88, IMPORTRANGE('Prelim Rankings Unsorted'!$B$42, CONCAT(VLOOKUP($C88, 'Match Names'!$A$1:$D$22, 4, FALSE),"&amp;" ""!C3:R29"")), {3;9;15;21}, FALSE)), ""=0"") + COUNTIF(ARRAYFORMULA(HLOOKUP($B88, IMPORTRANGE('Match Names'!$E$23, CONCAT(VLOOKUP($C88, 'Match Names'!$1:$22, 5, FALSE), ""!C3:R29"")), {9;14;19;24}, FALSE)), ""=0"") + COUNTIF(ARRAYFORMULA(HLOOKUP($B88, IM"&amp;"PORTRANGE('Match Names'!$F$23, CONCAT(VLOOKUP($C88, 'Match Names'!$1:$22, 6, FALSE), ""!C3:R29"")), {2;8;14;20}, FALSE)), ""=0"") + COUNTIF(ARRAYFORMULA(HLOOKUP($B88, IMPORTRANGE('Match Names'!$G$23, CONCAT(VLOOKUP($C88, 'Match Names'!$1:$22, 7, FALSE), "&amp;"""!C3:R29"")), {6;16;20;24}, FALSE)), ""=0"") + COUNTIF(ARRAYFORMULA(HLOOKUP($B88, IMPORTRANGE('Match Names'!$H$23, CONCAT(VLOOKUP($C88, 'Match Names'!$1:$22, 8, FALSE), ""!C3:R29"")), {2;8;14;20}, FALSE)), ""=0"")"),0.0)</f>
        <v>0</v>
      </c>
      <c r="G88" s="32">
        <f>IFERROR(__xludf.DUMMYFUNCTION("COUNTIF(ARRAYFORMULA(HLOOKUP($B88, IMPORTRANGE('Prelim Rankings Unsorted'!$B$40, CONCAT(VLOOKUP($C88, 'Match Names'!$A$1:$D$22, 2, FALSE), ""!C3:R29"")), {2;7;13;19}, FALSE)), ""=-4"") + COUNTIF(ARRAYFORMULA(HLOOKUP($B88, IMPORTRANGE('Prelim Rankings Unso"&amp;"rted'!$B$41, CONCAT(VLOOKUP($C88, 'Match Names'!$A$1:$D$22, 3, FALSE), ""!C3:R29"")), {3;9;15;21}, FALSE)), ""=-4"") + COUNTIF(ARRAYFORMULA(HLOOKUP($B88, IMPORTRANGE('Prelim Rankings Unsorted'!$B$42, CONCAT(VLOOKUP($C88, 'Match Names'!$A$1:$D$22, 4, FALSE"&amp;"), ""!C3:R29"")), {3;9;15;21}, FALSE)), ""=-4"") + COUNTIF(ARRAYFORMULA(HLOOKUP($B88, IMPORTRANGE('Match Names'!$E$23, CONCAT(VLOOKUP($C88, 'Match Names'!$1:$22, 5, FALSE), ""!C3:R29"")), {9;14;19;24}, FALSE)), ""=-4"") + COUNTIF(ARRAYFORMULA(HLOOKUP($B88"&amp;", IMPORTRANGE('Match Names'!$F$23, CONCAT(VLOOKUP($C88, 'Match Names'!$1:$22, 6, FALSE), ""!C3:R29"")), {2;8;14;20}, FALSE)), ""=-4"") + COUNTIF(ARRAYFORMULA(HLOOKUP($B88, IMPORTRANGE('Match Names'!$G$23, CONCAT(VLOOKUP($C88, 'Match Names'!$1:$22, 7, FALS"&amp;"E), ""!C3:R29"")), {6;16;20;24}, FALSE)), ""=-4"") + COUNTIF(ARRAYFORMULA(HLOOKUP($B88, IMPORTRANGE('Match Names'!$H$23, CONCAT(VLOOKUP($C88, 'Match Names'!$1:$22, 8, FALSE), ""!C3:R29"")), {2;8;14;20}, FALSE)), ""=-4"")"),0.0)</f>
        <v>0</v>
      </c>
      <c r="H88" s="33">
        <f t="shared" si="1"/>
        <v>0</v>
      </c>
    </row>
    <row r="89">
      <c r="A89" s="21" t="s">
        <v>117</v>
      </c>
      <c r="B89" s="31" t="str">
        <f>VLOOKUP(CONCAT(A89, C89), 'Discord Username to Real Name'!C:D, 2, FALSE)</f>
        <v>the-wraith#2013</v>
      </c>
      <c r="C89" s="21" t="s">
        <v>18</v>
      </c>
      <c r="D89" s="32">
        <f>IFERROR(__xludf.DUMMYFUNCTION("(4 - COUNTIF(IFERROR(ARRAYFORMULA(HLOOKUP($B89, IMPORTRANGE('Prelim Rankings Unsorted'!$B$40, CONCAT(VLOOKUP($C89, 'Match Names'!$A$1:$D$22, 2, FALSE), ""!C3:R29"")), {2;7;13;19}, FALSE)), 'Player Overall Stats Unsorted'!$AA$9:$AA$12), ""=X"")) + (4 - COU"&amp;"NTIF(IFERROR(ARRAYFORMULA(HLOOKUP($B89, IMPORTRANGE('Prelim Rankings Unsorted'!$B$41, CONCAT(VLOOKUP($C89, 'Match Names'!$A$1:$D$22, 3, FALSE), ""!C3:R29"")), {3;9;15;21}, FALSE)), 'Player Overall Stats Unsorted'!$AA$9:$AA$12), ""=X"")) + (4 - COUNTIF(IFE"&amp;"RROR(ARRAYFORMULA(HLOOKUP($B89, IMPORTRANGE('Prelim Rankings Unsorted'!$B$42, CONCAT(VLOOKUP($C89, 'Match Names'!$A$1:$D$22, 4, FALSE), ""!C3:R29"")), {3;9;15;21}, FALSE)), 'Player Overall Stats Unsorted'!$AA$9:$AA$12), ""=X"")) + (4 - COUNTIF(IFERROR(ARR"&amp;"AYFORMULA(HLOOKUP($B89, IMPORTRANGE('Match Names'!$E$23, CONCAT(VLOOKUP($C89, 'Match Names'!$1:$22, 5, FALSE), ""!C3:R29"")), {9;14;19;24}, FALSE)), 'Player Overall Stats Unsorted'!$AA$9:$AA$12), ""=X"")) + (4 - COUNTIF(IFERROR(ARRAYFORMULA(HLOOKUP($B89, "&amp;"IMPORTRANGE('Match Names'!$F$23, CONCAT(VLOOKUP($C89, 'Match Names'!$1:$22, 6, FALSE), ""!C3:R29"")), {2;8;14;20}, FALSE)), 'Player Overall Stats Unsorted'!$AA$9:$AA$12), ""=X"")) + (4 - COUNTIF(IFERROR(ARRAYFORMULA(HLOOKUP($B89, IMPORTRANGE('Match Names'"&amp;"!$G$23, CONCAT(VLOOKUP($C89, 'Match Names'!$1:$22, 7, FALSE), ""!C3:R29"")), {6;16;20;24}, FALSE)), 'Player Overall Stats Unsorted'!$AA$9:$AA$12), ""=X"")) + (4 - COUNTIF(IFERROR(ARRAYFORMULA(HLOOKUP($B89, IMPORTRANGE('Match Names'!$H$23, CONCAT(VLOOKUP($"&amp;"C89, 'Match Names'!$1:$22, 8, FALSE), ""!C3:R29"")), {2;8;14;20}, FALSE)), 'Player Overall Stats Unsorted'!$AA$9:$AA$12), ""=X""))"),20.0)</f>
        <v>20</v>
      </c>
      <c r="E89" s="32">
        <f>IFERROR(__xludf.DUMMYFUNCTION("COUNTIF(ARRAYFORMULA(HLOOKUP($B89, IMPORTRANGE('Prelim Rankings Unsorted'!$B$40, CONCAT(VLOOKUP($C89, 'Match Names'!$A$1:$D$22, 2, FALSE), ""!C3:R29"")), {2;7;13;19}, FALSE)), ""=4"") + COUNTIF(ARRAYFORMULA(HLOOKUP($B89, IMPORTRANGE('Prelim Rankings Unsor"&amp;"ted'!$B$41, CONCAT(VLOOKUP($C89, 'Match Names'!$A$1:$D$22, 3, FALSE), ""!C3:R29"")), {3;9;15;21}, FALSE)), ""=4"") + COUNTIF(ARRAYFORMULA(HLOOKUP($B89, IMPORTRANGE('Prelim Rankings Unsorted'!$B$42, CONCAT(VLOOKUP($C89, 'Match Names'!$A$1:$D$22, 4, FALSE),"&amp;" ""!C3:R29"")), {3;9;15;21}, FALSE)), ""=4"") + COUNTIF(ARRAYFORMULA(HLOOKUP($B89, IMPORTRANGE('Match Names'!$E$23, CONCAT(VLOOKUP($C89, 'Match Names'!$1:$22, 5, FALSE), ""!C3:R29"")), {9;14;19;24}, FALSE)), ""=4"") + COUNTIF(ARRAYFORMULA(HLOOKUP($B89, IM"&amp;"PORTRANGE('Match Names'!$F$23, CONCAT(VLOOKUP($C89, 'Match Names'!$1:$22, 6, FALSE), ""!C3:R29"")), {2;8;14;20}, FALSE)), ""=4"") + COUNTIF(ARRAYFORMULA(HLOOKUP($B89, IMPORTRANGE('Match Names'!$G$23, CONCAT(VLOOKUP($C89, 'Match Names'!$1:$22, 7, FALSE), "&amp;"""!C3:R29"")), {6;16;20;24}, FALSE)), ""=4"") + COUNTIF(ARRAYFORMULA(HLOOKUP($B89, IMPORTRANGE('Match Names'!$H$23, CONCAT(VLOOKUP($C89, 'Match Names'!$1:$22, 8, FALSE), ""!C3:R29"")), {2;8;14;20}, FALSE)), ""=4"")"),0.0)</f>
        <v>0</v>
      </c>
      <c r="F89" s="32">
        <f>IFERROR(__xludf.DUMMYFUNCTION("COUNTIF(ARRAYFORMULA(HLOOKUP($B89, IMPORTRANGE('Prelim Rankings Unsorted'!$B$40, CONCAT(VLOOKUP($C89, 'Match Names'!$A$1:$D$22, 2, FALSE), ""!C3:R29"")), {2;7;13;19}, FALSE)), ""=0"") + COUNTIF(ARRAYFORMULA(HLOOKUP($B89, IMPORTRANGE('Prelim Rankings Unsor"&amp;"ted'!$B$41, CONCAT(VLOOKUP($C89, 'Match Names'!$A$1:$D$22, 3, FALSE), ""!C3:R29"")), {3;9;15;21}, FALSE)), ""=0"") + COUNTIF(ARRAYFORMULA(HLOOKUP($B89, IMPORTRANGE('Prelim Rankings Unsorted'!$B$42, CONCAT(VLOOKUP($C89, 'Match Names'!$A$1:$D$22, 4, FALSE),"&amp;" ""!C3:R29"")), {3;9;15;21}, FALSE)), ""=0"") + COUNTIF(ARRAYFORMULA(HLOOKUP($B89, IMPORTRANGE('Match Names'!$E$23, CONCAT(VLOOKUP($C89, 'Match Names'!$1:$22, 5, FALSE), ""!C3:R29"")), {9;14;19;24}, FALSE)), ""=0"") + COUNTIF(ARRAYFORMULA(HLOOKUP($B89, IM"&amp;"PORTRANGE('Match Names'!$F$23, CONCAT(VLOOKUP($C89, 'Match Names'!$1:$22, 6, FALSE), ""!C3:R29"")), {2;8;14;20}, FALSE)), ""=0"") + COUNTIF(ARRAYFORMULA(HLOOKUP($B89, IMPORTRANGE('Match Names'!$G$23, CONCAT(VLOOKUP($C89, 'Match Names'!$1:$22, 7, FALSE), "&amp;"""!C3:R29"")), {6;16;20;24}, FALSE)), ""=0"") + COUNTIF(ARRAYFORMULA(HLOOKUP($B89, IMPORTRANGE('Match Names'!$H$23, CONCAT(VLOOKUP($C89, 'Match Names'!$1:$22, 8, FALSE), ""!C3:R29"")), {2;8;14;20}, FALSE)), ""=0"")"),0.0)</f>
        <v>0</v>
      </c>
      <c r="G89" s="32">
        <f>IFERROR(__xludf.DUMMYFUNCTION("COUNTIF(ARRAYFORMULA(HLOOKUP($B89, IMPORTRANGE('Prelim Rankings Unsorted'!$B$40, CONCAT(VLOOKUP($C89, 'Match Names'!$A$1:$D$22, 2, FALSE), ""!C3:R29"")), {2;7;13;19}, FALSE)), ""=-4"") + COUNTIF(ARRAYFORMULA(HLOOKUP($B89, IMPORTRANGE('Prelim Rankings Unso"&amp;"rted'!$B$41, CONCAT(VLOOKUP($C89, 'Match Names'!$A$1:$D$22, 3, FALSE), ""!C3:R29"")), {3;9;15;21}, FALSE)), ""=-4"") + COUNTIF(ARRAYFORMULA(HLOOKUP($B89, IMPORTRANGE('Prelim Rankings Unsorted'!$B$42, CONCAT(VLOOKUP($C89, 'Match Names'!$A$1:$D$22, 4, FALSE"&amp;"), ""!C3:R29"")), {3;9;15;21}, FALSE)), ""=-4"") + COUNTIF(ARRAYFORMULA(HLOOKUP($B89, IMPORTRANGE('Match Names'!$E$23, CONCAT(VLOOKUP($C89, 'Match Names'!$1:$22, 5, FALSE), ""!C3:R29"")), {9;14;19;24}, FALSE)), ""=-4"") + COUNTIF(ARRAYFORMULA(HLOOKUP($B89"&amp;", IMPORTRANGE('Match Names'!$F$23, CONCAT(VLOOKUP($C89, 'Match Names'!$1:$22, 6, FALSE), ""!C3:R29"")), {2;8;14;20}, FALSE)), ""=-4"") + COUNTIF(ARRAYFORMULA(HLOOKUP($B89, IMPORTRANGE('Match Names'!$G$23, CONCAT(VLOOKUP($C89, 'Match Names'!$1:$22, 7, FALS"&amp;"E), ""!C3:R29"")), {6;16;20;24}, FALSE)), ""=-4"") + COUNTIF(ARRAYFORMULA(HLOOKUP($B89, IMPORTRANGE('Match Names'!$H$23, CONCAT(VLOOKUP($C89, 'Match Names'!$1:$22, 8, FALSE), ""!C3:R29"")), {2;8;14;20}, FALSE)), ""=-4"")"),0.0)</f>
        <v>0</v>
      </c>
      <c r="H89" s="33">
        <f t="shared" si="1"/>
        <v>0</v>
      </c>
    </row>
    <row r="90">
      <c r="A90" s="21" t="s">
        <v>78</v>
      </c>
      <c r="B90" s="31" t="str">
        <f>VLOOKUP(CONCAT(A90, C90), 'Discord Username to Real Name'!C:D, 2, FALSE)</f>
        <v>avaebe#2714</v>
      </c>
      <c r="C90" s="21" t="s">
        <v>18</v>
      </c>
      <c r="D90" s="32">
        <f>IFERROR(__xludf.DUMMYFUNCTION("(4 - COUNTIF(IFERROR(ARRAYFORMULA(HLOOKUP($B90, IMPORTRANGE('Prelim Rankings Unsorted'!$B$40, CONCAT(VLOOKUP($C90, 'Match Names'!$A$1:$D$22, 2, FALSE), ""!C3:R29"")), {2;7;13;19}, FALSE)), 'Player Overall Stats Unsorted'!$AA$9:$AA$12), ""=X"")) + (4 - COU"&amp;"NTIF(IFERROR(ARRAYFORMULA(HLOOKUP($B90, IMPORTRANGE('Prelim Rankings Unsorted'!$B$41, CONCAT(VLOOKUP($C90, 'Match Names'!$A$1:$D$22, 3, FALSE), ""!C3:R29"")), {3;9;15;21}, FALSE)), 'Player Overall Stats Unsorted'!$AA$9:$AA$12), ""=X"")) + (4 - COUNTIF(IFE"&amp;"RROR(ARRAYFORMULA(HLOOKUP($B90, IMPORTRANGE('Prelim Rankings Unsorted'!$B$42, CONCAT(VLOOKUP($C90, 'Match Names'!$A$1:$D$22, 4, FALSE), ""!C3:R29"")), {3;9;15;21}, FALSE)), 'Player Overall Stats Unsorted'!$AA$9:$AA$12), ""=X"")) + (4 - COUNTIF(IFERROR(ARR"&amp;"AYFORMULA(HLOOKUP($B90, IMPORTRANGE('Match Names'!$E$23, CONCAT(VLOOKUP($C90, 'Match Names'!$1:$22, 5, FALSE), ""!C3:R29"")), {9;14;19;24}, FALSE)), 'Player Overall Stats Unsorted'!$AA$9:$AA$12), ""=X"")) + (4 - COUNTIF(IFERROR(ARRAYFORMULA(HLOOKUP($B90, "&amp;"IMPORTRANGE('Match Names'!$F$23, CONCAT(VLOOKUP($C90, 'Match Names'!$1:$22, 6, FALSE), ""!C3:R29"")), {2;8;14;20}, FALSE)), 'Player Overall Stats Unsorted'!$AA$9:$AA$12), ""=X"")) + (4 - COUNTIF(IFERROR(ARRAYFORMULA(HLOOKUP($B90, IMPORTRANGE('Match Names'"&amp;"!$G$23, CONCAT(VLOOKUP($C90, 'Match Names'!$1:$22, 7, FALSE), ""!C3:R29"")), {6;16;20;24}, FALSE)), 'Player Overall Stats Unsorted'!$AA$9:$AA$12), ""=X"")) + (4 - COUNTIF(IFERROR(ARRAYFORMULA(HLOOKUP($B90, IMPORTRANGE('Match Names'!$H$23, CONCAT(VLOOKUP($"&amp;"C90, 'Match Names'!$1:$22, 8, FALSE), ""!C3:R29"")), {2;8;14;20}, FALSE)), 'Player Overall Stats Unsorted'!$AA$9:$AA$12), ""=X""))"),12.0)</f>
        <v>12</v>
      </c>
      <c r="E90" s="32">
        <f>IFERROR(__xludf.DUMMYFUNCTION("COUNTIF(ARRAYFORMULA(HLOOKUP($B90, IMPORTRANGE('Prelim Rankings Unsorted'!$B$40, CONCAT(VLOOKUP($C90, 'Match Names'!$A$1:$D$22, 2, FALSE), ""!C3:R29"")), {2;7;13;19}, FALSE)), ""=4"") + COUNTIF(ARRAYFORMULA(HLOOKUP($B90, IMPORTRANGE('Prelim Rankings Unsor"&amp;"ted'!$B$41, CONCAT(VLOOKUP($C90, 'Match Names'!$A$1:$D$22, 3, FALSE), ""!C3:R29"")), {3;9;15;21}, FALSE)), ""=4"") + COUNTIF(ARRAYFORMULA(HLOOKUP($B90, IMPORTRANGE('Prelim Rankings Unsorted'!$B$42, CONCAT(VLOOKUP($C90, 'Match Names'!$A$1:$D$22, 4, FALSE),"&amp;" ""!C3:R29"")), {3;9;15;21}, FALSE)), ""=4"") + COUNTIF(ARRAYFORMULA(HLOOKUP($B90, IMPORTRANGE('Match Names'!$E$23, CONCAT(VLOOKUP($C90, 'Match Names'!$1:$22, 5, FALSE), ""!C3:R29"")), {9;14;19;24}, FALSE)), ""=4"") + COUNTIF(ARRAYFORMULA(HLOOKUP($B90, IM"&amp;"PORTRANGE('Match Names'!$F$23, CONCAT(VLOOKUP($C90, 'Match Names'!$1:$22, 6, FALSE), ""!C3:R29"")), {2;8;14;20}, FALSE)), ""=4"") + COUNTIF(ARRAYFORMULA(HLOOKUP($B90, IMPORTRANGE('Match Names'!$G$23, CONCAT(VLOOKUP($C90, 'Match Names'!$1:$22, 7, FALSE), "&amp;"""!C3:R29"")), {6;16;20;24}, FALSE)), ""=4"") + COUNTIF(ARRAYFORMULA(HLOOKUP($B90, IMPORTRANGE('Match Names'!$H$23, CONCAT(VLOOKUP($C90, 'Match Names'!$1:$22, 8, FALSE), ""!C3:R29"")), {2;8;14;20}, FALSE)), ""=4"")"),0.0)</f>
        <v>0</v>
      </c>
      <c r="F90" s="32">
        <f>IFERROR(__xludf.DUMMYFUNCTION("COUNTIF(ARRAYFORMULA(HLOOKUP($B90, IMPORTRANGE('Prelim Rankings Unsorted'!$B$40, CONCAT(VLOOKUP($C90, 'Match Names'!$A$1:$D$22, 2, FALSE), ""!C3:R29"")), {2;7;13;19}, FALSE)), ""=0"") + COUNTIF(ARRAYFORMULA(HLOOKUP($B90, IMPORTRANGE('Prelim Rankings Unsor"&amp;"ted'!$B$41, CONCAT(VLOOKUP($C90, 'Match Names'!$A$1:$D$22, 3, FALSE), ""!C3:R29"")), {3;9;15;21}, FALSE)), ""=0"") + COUNTIF(ARRAYFORMULA(HLOOKUP($B90, IMPORTRANGE('Prelim Rankings Unsorted'!$B$42, CONCAT(VLOOKUP($C90, 'Match Names'!$A$1:$D$22, 4, FALSE),"&amp;" ""!C3:R29"")), {3;9;15;21}, FALSE)), ""=0"") + COUNTIF(ARRAYFORMULA(HLOOKUP($B90, IMPORTRANGE('Match Names'!$E$23, CONCAT(VLOOKUP($C90, 'Match Names'!$1:$22, 5, FALSE), ""!C3:R29"")), {9;14;19;24}, FALSE)), ""=0"") + COUNTIF(ARRAYFORMULA(HLOOKUP($B90, IM"&amp;"PORTRANGE('Match Names'!$F$23, CONCAT(VLOOKUP($C90, 'Match Names'!$1:$22, 6, FALSE), ""!C3:R29"")), {2;8;14;20}, FALSE)), ""=0"") + COUNTIF(ARRAYFORMULA(HLOOKUP($B90, IMPORTRANGE('Match Names'!$G$23, CONCAT(VLOOKUP($C90, 'Match Names'!$1:$22, 7, FALSE), "&amp;"""!C3:R29"")), {6;16;20;24}, FALSE)), ""=0"") + COUNTIF(ARRAYFORMULA(HLOOKUP($B90, IMPORTRANGE('Match Names'!$H$23, CONCAT(VLOOKUP($C90, 'Match Names'!$1:$22, 8, FALSE), ""!C3:R29"")), {2;8;14;20}, FALSE)), ""=0"")"),0.0)</f>
        <v>0</v>
      </c>
      <c r="G90" s="32">
        <f>IFERROR(__xludf.DUMMYFUNCTION("COUNTIF(ARRAYFORMULA(HLOOKUP($B90, IMPORTRANGE('Prelim Rankings Unsorted'!$B$40, CONCAT(VLOOKUP($C90, 'Match Names'!$A$1:$D$22, 2, FALSE), ""!C3:R29"")), {2;7;13;19}, FALSE)), ""=-4"") + COUNTIF(ARRAYFORMULA(HLOOKUP($B90, IMPORTRANGE('Prelim Rankings Unso"&amp;"rted'!$B$41, CONCAT(VLOOKUP($C90, 'Match Names'!$A$1:$D$22, 3, FALSE), ""!C3:R29"")), {3;9;15;21}, FALSE)), ""=-4"") + COUNTIF(ARRAYFORMULA(HLOOKUP($B90, IMPORTRANGE('Prelim Rankings Unsorted'!$B$42, CONCAT(VLOOKUP($C90, 'Match Names'!$A$1:$D$22, 4, FALSE"&amp;"), ""!C3:R29"")), {3;9;15;21}, FALSE)), ""=-4"") + COUNTIF(ARRAYFORMULA(HLOOKUP($B90, IMPORTRANGE('Match Names'!$E$23, CONCAT(VLOOKUP($C90, 'Match Names'!$1:$22, 5, FALSE), ""!C3:R29"")), {9;14;19;24}, FALSE)), ""=-4"") + COUNTIF(ARRAYFORMULA(HLOOKUP($B90"&amp;", IMPORTRANGE('Match Names'!$F$23, CONCAT(VLOOKUP($C90, 'Match Names'!$1:$22, 6, FALSE), ""!C3:R29"")), {2;8;14;20}, FALSE)), ""=-4"") + COUNTIF(ARRAYFORMULA(HLOOKUP($B90, IMPORTRANGE('Match Names'!$G$23, CONCAT(VLOOKUP($C90, 'Match Names'!$1:$22, 7, FALS"&amp;"E), ""!C3:R29"")), {6;16;20;24}, FALSE)), ""=-4"") + COUNTIF(ARRAYFORMULA(HLOOKUP($B90, IMPORTRANGE('Match Names'!$H$23, CONCAT(VLOOKUP($C90, 'Match Names'!$1:$22, 8, FALSE), ""!C3:R29"")), {2;8;14;20}, FALSE)), ""=-4"")"),0.0)</f>
        <v>0</v>
      </c>
      <c r="H90" s="33">
        <f t="shared" si="1"/>
        <v>0</v>
      </c>
    </row>
    <row r="91">
      <c r="A91" s="21" t="s">
        <v>70</v>
      </c>
      <c r="B91" s="31" t="str">
        <f>VLOOKUP(CONCAT(A91, C91), 'Discord Username to Real Name'!C:D, 2, FALSE)</f>
        <v>aloevera42#2760</v>
      </c>
      <c r="C91" s="21" t="s">
        <v>28</v>
      </c>
      <c r="D91" s="32">
        <f>IFERROR(__xludf.DUMMYFUNCTION("(4 - COUNTIF(IFERROR(ARRAYFORMULA(HLOOKUP($B91, IMPORTRANGE('Prelim Rankings Unsorted'!$B$40, CONCAT(VLOOKUP($C91, 'Match Names'!$A$1:$D$22, 2, FALSE), ""!C3:R29"")), {2;7;13;19}, FALSE)), 'Player Overall Stats Unsorted'!$AA$9:$AA$12), ""=X"")) + (4 - COU"&amp;"NTIF(IFERROR(ARRAYFORMULA(HLOOKUP($B91, IMPORTRANGE('Prelim Rankings Unsorted'!$B$41, CONCAT(VLOOKUP($C91, 'Match Names'!$A$1:$D$22, 3, FALSE), ""!C3:R29"")), {3;9;15;21}, FALSE)), 'Player Overall Stats Unsorted'!$AA$9:$AA$12), ""=X"")) + (4 - COUNTIF(IFE"&amp;"RROR(ARRAYFORMULA(HLOOKUP($B91, IMPORTRANGE('Prelim Rankings Unsorted'!$B$42, CONCAT(VLOOKUP($C91, 'Match Names'!$A$1:$D$22, 4, FALSE), ""!C3:R29"")), {3;9;15;21}, FALSE)), 'Player Overall Stats Unsorted'!$AA$9:$AA$12), ""=X"")) + (4 - COUNTIF(IFERROR(ARR"&amp;"AYFORMULA(HLOOKUP($B91, IMPORTRANGE('Match Names'!$E$23, CONCAT(VLOOKUP($C91, 'Match Names'!$1:$22, 5, FALSE), ""!C3:R29"")), {9;14;19;24}, FALSE)), 'Player Overall Stats Unsorted'!$AA$9:$AA$12), ""=X"")) + (4 - COUNTIF(IFERROR(ARRAYFORMULA(HLOOKUP($B91, "&amp;"IMPORTRANGE('Match Names'!$F$23, CONCAT(VLOOKUP($C91, 'Match Names'!$1:$22, 6, FALSE), ""!C3:R29"")), {2;8;14;20}, FALSE)), 'Player Overall Stats Unsorted'!$AA$9:$AA$12), ""=X"")) + (4 - COUNTIF(IFERROR(ARRAYFORMULA(HLOOKUP($B91, IMPORTRANGE('Match Names'"&amp;"!$G$23, CONCAT(VLOOKUP($C91, 'Match Names'!$1:$22, 7, FALSE), ""!C3:R29"")), {6;16;20;24}, FALSE)), 'Player Overall Stats Unsorted'!$AA$9:$AA$12), ""=X"")) + (4 - COUNTIF(IFERROR(ARRAYFORMULA(HLOOKUP($B91, IMPORTRANGE('Match Names'!$H$23, CONCAT(VLOOKUP($"&amp;"C91, 'Match Names'!$1:$22, 8, FALSE), ""!C3:R29"")), {2;8;14;20}, FALSE)), 'Player Overall Stats Unsorted'!$AA$9:$AA$12), ""=X""))"),16.0)</f>
        <v>16</v>
      </c>
      <c r="E91" s="32">
        <f>IFERROR(__xludf.DUMMYFUNCTION("COUNTIF(ARRAYFORMULA(HLOOKUP($B91, IMPORTRANGE('Prelim Rankings Unsorted'!$B$40, CONCAT(VLOOKUP($C91, 'Match Names'!$A$1:$D$22, 2, FALSE), ""!C3:R29"")), {2;7;13;19}, FALSE)), ""=4"") + COUNTIF(ARRAYFORMULA(HLOOKUP($B91, IMPORTRANGE('Prelim Rankings Unsor"&amp;"ted'!$B$41, CONCAT(VLOOKUP($C91, 'Match Names'!$A$1:$D$22, 3, FALSE), ""!C3:R29"")), {3;9;15;21}, FALSE)), ""=4"") + COUNTIF(ARRAYFORMULA(HLOOKUP($B91, IMPORTRANGE('Prelim Rankings Unsorted'!$B$42, CONCAT(VLOOKUP($C91, 'Match Names'!$A$1:$D$22, 4, FALSE),"&amp;" ""!C3:R29"")), {3;9;15;21}, FALSE)), ""=4"") + COUNTIF(ARRAYFORMULA(HLOOKUP($B91, IMPORTRANGE('Match Names'!$E$23, CONCAT(VLOOKUP($C91, 'Match Names'!$1:$22, 5, FALSE), ""!C3:R29"")), {9;14;19;24}, FALSE)), ""=4"") + COUNTIF(ARRAYFORMULA(HLOOKUP($B91, IM"&amp;"PORTRANGE('Match Names'!$F$23, CONCAT(VLOOKUP($C91, 'Match Names'!$1:$22, 6, FALSE), ""!C3:R29"")), {2;8;14;20}, FALSE)), ""=4"") + COUNTIF(ARRAYFORMULA(HLOOKUP($B91, IMPORTRANGE('Match Names'!$G$23, CONCAT(VLOOKUP($C91, 'Match Names'!$1:$22, 7, FALSE), "&amp;"""!C3:R29"")), {6;16;20;24}, FALSE)), ""=4"") + COUNTIF(ARRAYFORMULA(HLOOKUP($B91, IMPORTRANGE('Match Names'!$H$23, CONCAT(VLOOKUP($C91, 'Match Names'!$1:$22, 8, FALSE), ""!C3:R29"")), {2;8;14;20}, FALSE)), ""=4"")"),2.0)</f>
        <v>2</v>
      </c>
      <c r="F91" s="32">
        <f>IFERROR(__xludf.DUMMYFUNCTION("COUNTIF(ARRAYFORMULA(HLOOKUP($B91, IMPORTRANGE('Prelim Rankings Unsorted'!$B$40, CONCAT(VLOOKUP($C91, 'Match Names'!$A$1:$D$22, 2, FALSE), ""!C3:R29"")), {2;7;13;19}, FALSE)), ""=0"") + COUNTIF(ARRAYFORMULA(HLOOKUP($B91, IMPORTRANGE('Prelim Rankings Unsor"&amp;"ted'!$B$41, CONCAT(VLOOKUP($C91, 'Match Names'!$A$1:$D$22, 3, FALSE), ""!C3:R29"")), {3;9;15;21}, FALSE)), ""=0"") + COUNTIF(ARRAYFORMULA(HLOOKUP($B91, IMPORTRANGE('Prelim Rankings Unsorted'!$B$42, CONCAT(VLOOKUP($C91, 'Match Names'!$A$1:$D$22, 4, FALSE),"&amp;" ""!C3:R29"")), {3;9;15;21}, FALSE)), ""=0"") + COUNTIF(ARRAYFORMULA(HLOOKUP($B91, IMPORTRANGE('Match Names'!$E$23, CONCAT(VLOOKUP($C91, 'Match Names'!$1:$22, 5, FALSE), ""!C3:R29"")), {9;14;19;24}, FALSE)), ""=0"") + COUNTIF(ARRAYFORMULA(HLOOKUP($B91, IM"&amp;"PORTRANGE('Match Names'!$F$23, CONCAT(VLOOKUP($C91, 'Match Names'!$1:$22, 6, FALSE), ""!C3:R29"")), {2;8;14;20}, FALSE)), ""=0"") + COUNTIF(ARRAYFORMULA(HLOOKUP($B91, IMPORTRANGE('Match Names'!$G$23, CONCAT(VLOOKUP($C91, 'Match Names'!$1:$22, 7, FALSE), "&amp;"""!C3:R29"")), {6;16;20;24}, FALSE)), ""=0"") + COUNTIF(ARRAYFORMULA(HLOOKUP($B91, IMPORTRANGE('Match Names'!$H$23, CONCAT(VLOOKUP($C91, 'Match Names'!$1:$22, 8, FALSE), ""!C3:R29"")), {2;8;14;20}, FALSE)), ""=0"")"),0.0)</f>
        <v>0</v>
      </c>
      <c r="G91" s="32">
        <f>IFERROR(__xludf.DUMMYFUNCTION("COUNTIF(ARRAYFORMULA(HLOOKUP($B91, IMPORTRANGE('Prelim Rankings Unsorted'!$B$40, CONCAT(VLOOKUP($C91, 'Match Names'!$A$1:$D$22, 2, FALSE), ""!C3:R29"")), {2;7;13;19}, FALSE)), ""=-4"") + COUNTIF(ARRAYFORMULA(HLOOKUP($B91, IMPORTRANGE('Prelim Rankings Unso"&amp;"rted'!$B$41, CONCAT(VLOOKUP($C91, 'Match Names'!$A$1:$D$22, 3, FALSE), ""!C3:R29"")), {3;9;15;21}, FALSE)), ""=-4"") + COUNTIF(ARRAYFORMULA(HLOOKUP($B91, IMPORTRANGE('Prelim Rankings Unsorted'!$B$42, CONCAT(VLOOKUP($C91, 'Match Names'!$A$1:$D$22, 4, FALSE"&amp;"), ""!C3:R29"")), {3;9;15;21}, FALSE)), ""=-4"") + COUNTIF(ARRAYFORMULA(HLOOKUP($B91, IMPORTRANGE('Match Names'!$E$23, CONCAT(VLOOKUP($C91, 'Match Names'!$1:$22, 5, FALSE), ""!C3:R29"")), {9;14;19;24}, FALSE)), ""=-4"") + COUNTIF(ARRAYFORMULA(HLOOKUP($B91"&amp;", IMPORTRANGE('Match Names'!$F$23, CONCAT(VLOOKUP($C91, 'Match Names'!$1:$22, 6, FALSE), ""!C3:R29"")), {2;8;14;20}, FALSE)), ""=-4"") + COUNTIF(ARRAYFORMULA(HLOOKUP($B91, IMPORTRANGE('Match Names'!$G$23, CONCAT(VLOOKUP($C91, 'Match Names'!$1:$22, 7, FALS"&amp;"E), ""!C3:R29"")), {6;16;20;24}, FALSE)), ""=-4"") + COUNTIF(ARRAYFORMULA(HLOOKUP($B91, IMPORTRANGE('Match Names'!$H$23, CONCAT(VLOOKUP($C91, 'Match Names'!$1:$22, 8, FALSE), ""!C3:R29"")), {2;8;14;20}, FALSE)), ""=-4"")"),0.0)</f>
        <v>0</v>
      </c>
      <c r="H91" s="33">
        <f t="shared" si="1"/>
        <v>2</v>
      </c>
    </row>
    <row r="92">
      <c r="A92" s="21" t="s">
        <v>69</v>
      </c>
      <c r="B92" s="31" t="str">
        <f>VLOOKUP(CONCAT(A92, C92), 'Discord Username to Real Name'!C:D, 2, FALSE)</f>
        <v>Cows#0460</v>
      </c>
      <c r="C92" s="21" t="s">
        <v>28</v>
      </c>
      <c r="D92" s="32">
        <f>IFERROR(__xludf.DUMMYFUNCTION("(4 - COUNTIF(IFERROR(ARRAYFORMULA(HLOOKUP($B92, IMPORTRANGE('Prelim Rankings Unsorted'!$B$40, CONCAT(VLOOKUP($C92, 'Match Names'!$A$1:$D$22, 2, FALSE), ""!C3:R29"")), {2;7;13;19}, FALSE)), 'Player Overall Stats Unsorted'!$AA$9:$AA$12), ""=X"")) + (4 - COU"&amp;"NTIF(IFERROR(ARRAYFORMULA(HLOOKUP($B92, IMPORTRANGE('Prelim Rankings Unsorted'!$B$41, CONCAT(VLOOKUP($C92, 'Match Names'!$A$1:$D$22, 3, FALSE), ""!C3:R29"")), {3;9;15;21}, FALSE)), 'Player Overall Stats Unsorted'!$AA$9:$AA$12), ""=X"")) + (4 - COUNTIF(IFE"&amp;"RROR(ARRAYFORMULA(HLOOKUP($B92, IMPORTRANGE('Prelim Rankings Unsorted'!$B$42, CONCAT(VLOOKUP($C92, 'Match Names'!$A$1:$D$22, 4, FALSE), ""!C3:R29"")), {3;9;15;21}, FALSE)), 'Player Overall Stats Unsorted'!$AA$9:$AA$12), ""=X"")) + (4 - COUNTIF(IFERROR(ARR"&amp;"AYFORMULA(HLOOKUP($B92, IMPORTRANGE('Match Names'!$E$23, CONCAT(VLOOKUP($C92, 'Match Names'!$1:$22, 5, FALSE), ""!C3:R29"")), {9;14;19;24}, FALSE)), 'Player Overall Stats Unsorted'!$AA$9:$AA$12), ""=X"")) + (4 - COUNTIF(IFERROR(ARRAYFORMULA(HLOOKUP($B92, "&amp;"IMPORTRANGE('Match Names'!$F$23, CONCAT(VLOOKUP($C92, 'Match Names'!$1:$22, 6, FALSE), ""!C3:R29"")), {2;8;14;20}, FALSE)), 'Player Overall Stats Unsorted'!$AA$9:$AA$12), ""=X"")) + (4 - COUNTIF(IFERROR(ARRAYFORMULA(HLOOKUP($B92, IMPORTRANGE('Match Names'"&amp;"!$G$23, CONCAT(VLOOKUP($C92, 'Match Names'!$1:$22, 7, FALSE), ""!C3:R29"")), {6;16;20;24}, FALSE)), 'Player Overall Stats Unsorted'!$AA$9:$AA$12), ""=X"")) + (4 - COUNTIF(IFERROR(ARRAYFORMULA(HLOOKUP($B92, IMPORTRANGE('Match Names'!$H$23, CONCAT(VLOOKUP($"&amp;"C92, 'Match Names'!$1:$22, 8, FALSE), ""!C3:R29"")), {2;8;14;20}, FALSE)), 'Player Overall Stats Unsorted'!$AA$9:$AA$12), ""=X""))"),16.0)</f>
        <v>16</v>
      </c>
      <c r="E92" s="32">
        <f>IFERROR(__xludf.DUMMYFUNCTION("COUNTIF(ARRAYFORMULA(HLOOKUP($B92, IMPORTRANGE('Prelim Rankings Unsorted'!$B$40, CONCAT(VLOOKUP($C92, 'Match Names'!$A$1:$D$22, 2, FALSE), ""!C3:R29"")), {2;7;13;19}, FALSE)), ""=4"") + COUNTIF(ARRAYFORMULA(HLOOKUP($B92, IMPORTRANGE('Prelim Rankings Unsor"&amp;"ted'!$B$41, CONCAT(VLOOKUP($C92, 'Match Names'!$A$1:$D$22, 3, FALSE), ""!C3:R29"")), {3;9;15;21}, FALSE)), ""=4"") + COUNTIF(ARRAYFORMULA(HLOOKUP($B92, IMPORTRANGE('Prelim Rankings Unsorted'!$B$42, CONCAT(VLOOKUP($C92, 'Match Names'!$A$1:$D$22, 4, FALSE),"&amp;" ""!C3:R29"")), {3;9;15;21}, FALSE)), ""=4"") + COUNTIF(ARRAYFORMULA(HLOOKUP($B92, IMPORTRANGE('Match Names'!$E$23, CONCAT(VLOOKUP($C92, 'Match Names'!$1:$22, 5, FALSE), ""!C3:R29"")), {9;14;19;24}, FALSE)), ""=4"") + COUNTIF(ARRAYFORMULA(HLOOKUP($B92, IM"&amp;"PORTRANGE('Match Names'!$F$23, CONCAT(VLOOKUP($C92, 'Match Names'!$1:$22, 6, FALSE), ""!C3:R29"")), {2;8;14;20}, FALSE)), ""=4"") + COUNTIF(ARRAYFORMULA(HLOOKUP($B92, IMPORTRANGE('Match Names'!$G$23, CONCAT(VLOOKUP($C92, 'Match Names'!$1:$22, 7, FALSE), "&amp;"""!C3:R29"")), {6;16;20;24}, FALSE)), ""=4"") + COUNTIF(ARRAYFORMULA(HLOOKUP($B92, IMPORTRANGE('Match Names'!$H$23, CONCAT(VLOOKUP($C92, 'Match Names'!$1:$22, 8, FALSE), ""!C3:R29"")), {2;8;14;20}, FALSE)), ""=4"")"),3.0)</f>
        <v>3</v>
      </c>
      <c r="F92" s="32">
        <f>IFERROR(__xludf.DUMMYFUNCTION("COUNTIF(ARRAYFORMULA(HLOOKUP($B92, IMPORTRANGE('Prelim Rankings Unsorted'!$B$40, CONCAT(VLOOKUP($C92, 'Match Names'!$A$1:$D$22, 2, FALSE), ""!C3:R29"")), {2;7;13;19}, FALSE)), ""=0"") + COUNTIF(ARRAYFORMULA(HLOOKUP($B92, IMPORTRANGE('Prelim Rankings Unsor"&amp;"ted'!$B$41, CONCAT(VLOOKUP($C92, 'Match Names'!$A$1:$D$22, 3, FALSE), ""!C3:R29"")), {3;9;15;21}, FALSE)), ""=0"") + COUNTIF(ARRAYFORMULA(HLOOKUP($B92, IMPORTRANGE('Prelim Rankings Unsorted'!$B$42, CONCAT(VLOOKUP($C92, 'Match Names'!$A$1:$D$22, 4, FALSE),"&amp;" ""!C3:R29"")), {3;9;15;21}, FALSE)), ""=0"") + COUNTIF(ARRAYFORMULA(HLOOKUP($B92, IMPORTRANGE('Match Names'!$E$23, CONCAT(VLOOKUP($C92, 'Match Names'!$1:$22, 5, FALSE), ""!C3:R29"")), {9;14;19;24}, FALSE)), ""=0"") + COUNTIF(ARRAYFORMULA(HLOOKUP($B92, IM"&amp;"PORTRANGE('Match Names'!$F$23, CONCAT(VLOOKUP($C92, 'Match Names'!$1:$22, 6, FALSE), ""!C3:R29"")), {2;8;14;20}, FALSE)), ""=0"") + COUNTIF(ARRAYFORMULA(HLOOKUP($B92, IMPORTRANGE('Match Names'!$G$23, CONCAT(VLOOKUP($C92, 'Match Names'!$1:$22, 7, FALSE), "&amp;"""!C3:R29"")), {6;16;20;24}, FALSE)), ""=0"") + COUNTIF(ARRAYFORMULA(HLOOKUP($B92, IMPORTRANGE('Match Names'!$H$23, CONCAT(VLOOKUP($C92, 'Match Names'!$1:$22, 8, FALSE), ""!C3:R29"")), {2;8;14;20}, FALSE)), ""=0"")"),2.0)</f>
        <v>2</v>
      </c>
      <c r="G92" s="32">
        <f>IFERROR(__xludf.DUMMYFUNCTION("COUNTIF(ARRAYFORMULA(HLOOKUP($B92, IMPORTRANGE('Prelim Rankings Unsorted'!$B$40, CONCAT(VLOOKUP($C92, 'Match Names'!$A$1:$D$22, 2, FALSE), ""!C3:R29"")), {2;7;13;19}, FALSE)), ""=-4"") + COUNTIF(ARRAYFORMULA(HLOOKUP($B92, IMPORTRANGE('Prelim Rankings Unso"&amp;"rted'!$B$41, CONCAT(VLOOKUP($C92, 'Match Names'!$A$1:$D$22, 3, FALSE), ""!C3:R29"")), {3;9;15;21}, FALSE)), ""=-4"") + COUNTIF(ARRAYFORMULA(HLOOKUP($B92, IMPORTRANGE('Prelim Rankings Unsorted'!$B$42, CONCAT(VLOOKUP($C92, 'Match Names'!$A$1:$D$22, 4, FALSE"&amp;"), ""!C3:R29"")), {3;9;15;21}, FALSE)), ""=-4"") + COUNTIF(ARRAYFORMULA(HLOOKUP($B92, IMPORTRANGE('Match Names'!$E$23, CONCAT(VLOOKUP($C92, 'Match Names'!$1:$22, 5, FALSE), ""!C3:R29"")), {9;14;19;24}, FALSE)), ""=-4"") + COUNTIF(ARRAYFORMULA(HLOOKUP($B92"&amp;", IMPORTRANGE('Match Names'!$F$23, CONCAT(VLOOKUP($C92, 'Match Names'!$1:$22, 6, FALSE), ""!C3:R29"")), {2;8;14;20}, FALSE)), ""=-4"") + COUNTIF(ARRAYFORMULA(HLOOKUP($B92, IMPORTRANGE('Match Names'!$G$23, CONCAT(VLOOKUP($C92, 'Match Names'!$1:$22, 7, FALS"&amp;"E), ""!C3:R29"")), {6;16;20;24}, FALSE)), ""=-4"") + COUNTIF(ARRAYFORMULA(HLOOKUP($B92, IMPORTRANGE('Match Names'!$H$23, CONCAT(VLOOKUP($C92, 'Match Names'!$1:$22, 8, FALSE), ""!C3:R29"")), {2;8;14;20}, FALSE)), ""=-4"")"),0.0)</f>
        <v>0</v>
      </c>
      <c r="H92" s="33">
        <f t="shared" si="1"/>
        <v>3</v>
      </c>
    </row>
    <row r="93">
      <c r="A93" s="21" t="s">
        <v>176</v>
      </c>
      <c r="B93" s="31" t="str">
        <f>VLOOKUP(CONCAT(A93, C93), 'Discord Username to Real Name'!C:D, 2, FALSE)</f>
        <v>aryc702#7517</v>
      </c>
      <c r="C93" s="21" t="s">
        <v>28</v>
      </c>
      <c r="D93" s="32">
        <f>IFERROR(__xludf.DUMMYFUNCTION("(4 - COUNTIF(IFERROR(ARRAYFORMULA(HLOOKUP($B93, IMPORTRANGE('Prelim Rankings Unsorted'!$B$40, CONCAT(VLOOKUP($C93, 'Match Names'!$A$1:$D$22, 2, FALSE), ""!C3:R29"")), {2;7;13;19}, FALSE)), 'Player Overall Stats Unsorted'!$AA$9:$AA$12), ""=X"")) + (4 - COU"&amp;"NTIF(IFERROR(ARRAYFORMULA(HLOOKUP($B93, IMPORTRANGE('Prelim Rankings Unsorted'!$B$41, CONCAT(VLOOKUP($C93, 'Match Names'!$A$1:$D$22, 3, FALSE), ""!C3:R29"")), {3;9;15;21}, FALSE)), 'Player Overall Stats Unsorted'!$AA$9:$AA$12), ""=X"")) + (4 - COUNTIF(IFE"&amp;"RROR(ARRAYFORMULA(HLOOKUP($B93, IMPORTRANGE('Prelim Rankings Unsorted'!$B$42, CONCAT(VLOOKUP($C93, 'Match Names'!$A$1:$D$22, 4, FALSE), ""!C3:R29"")), {3;9;15;21}, FALSE)), 'Player Overall Stats Unsorted'!$AA$9:$AA$12), ""=X"")) + (4 - COUNTIF(IFERROR(ARR"&amp;"AYFORMULA(HLOOKUP($B93, IMPORTRANGE('Match Names'!$E$23, CONCAT(VLOOKUP($C93, 'Match Names'!$1:$22, 5, FALSE), ""!C3:R29"")), {9;14;19;24}, FALSE)), 'Player Overall Stats Unsorted'!$AA$9:$AA$12), ""=X"")) + (4 - COUNTIF(IFERROR(ARRAYFORMULA(HLOOKUP($B93, "&amp;"IMPORTRANGE('Match Names'!$F$23, CONCAT(VLOOKUP($C93, 'Match Names'!$1:$22, 6, FALSE), ""!C3:R29"")), {2;8;14;20}, FALSE)), 'Player Overall Stats Unsorted'!$AA$9:$AA$12), ""=X"")) + (4 - COUNTIF(IFERROR(ARRAYFORMULA(HLOOKUP($B93, IMPORTRANGE('Match Names'"&amp;"!$G$23, CONCAT(VLOOKUP($C93, 'Match Names'!$1:$22, 7, FALSE), ""!C3:R29"")), {6;16;20;24}, FALSE)), 'Player Overall Stats Unsorted'!$AA$9:$AA$12), ""=X"")) + (4 - COUNTIF(IFERROR(ARRAYFORMULA(HLOOKUP($B93, IMPORTRANGE('Match Names'!$H$23, CONCAT(VLOOKUP($"&amp;"C93, 'Match Names'!$1:$22, 8, FALSE), ""!C3:R29"")), {2;8;14;20}, FALSE)), 'Player Overall Stats Unsorted'!$AA$9:$AA$12), ""=X""))"),12.0)</f>
        <v>12</v>
      </c>
      <c r="E93" s="32">
        <f>IFERROR(__xludf.DUMMYFUNCTION("COUNTIF(ARRAYFORMULA(HLOOKUP($B93, IMPORTRANGE('Prelim Rankings Unsorted'!$B$40, CONCAT(VLOOKUP($C93, 'Match Names'!$A$1:$D$22, 2, FALSE), ""!C3:R29"")), {2;7;13;19}, FALSE)), ""=4"") + COUNTIF(ARRAYFORMULA(HLOOKUP($B93, IMPORTRANGE('Prelim Rankings Unsor"&amp;"ted'!$B$41, CONCAT(VLOOKUP($C93, 'Match Names'!$A$1:$D$22, 3, FALSE), ""!C3:R29"")), {3;9;15;21}, FALSE)), ""=4"") + COUNTIF(ARRAYFORMULA(HLOOKUP($B93, IMPORTRANGE('Prelim Rankings Unsorted'!$B$42, CONCAT(VLOOKUP($C93, 'Match Names'!$A$1:$D$22, 4, FALSE),"&amp;" ""!C3:R29"")), {3;9;15;21}, FALSE)), ""=4"") + COUNTIF(ARRAYFORMULA(HLOOKUP($B93, IMPORTRANGE('Match Names'!$E$23, CONCAT(VLOOKUP($C93, 'Match Names'!$1:$22, 5, FALSE), ""!C3:R29"")), {9;14;19;24}, FALSE)), ""=4"") + COUNTIF(ARRAYFORMULA(HLOOKUP($B93, IM"&amp;"PORTRANGE('Match Names'!$F$23, CONCAT(VLOOKUP($C93, 'Match Names'!$1:$22, 6, FALSE), ""!C3:R29"")), {2;8;14;20}, FALSE)), ""=4"") + COUNTIF(ARRAYFORMULA(HLOOKUP($B93, IMPORTRANGE('Match Names'!$G$23, CONCAT(VLOOKUP($C93, 'Match Names'!$1:$22, 7, FALSE), "&amp;"""!C3:R29"")), {6;16;20;24}, FALSE)), ""=4"") + COUNTIF(ARRAYFORMULA(HLOOKUP($B93, IMPORTRANGE('Match Names'!$H$23, CONCAT(VLOOKUP($C93, 'Match Names'!$1:$22, 8, FALSE), ""!C3:R29"")), {2;8;14;20}, FALSE)), ""=4"")"),0.0)</f>
        <v>0</v>
      </c>
      <c r="F93" s="32">
        <f>IFERROR(__xludf.DUMMYFUNCTION("COUNTIF(ARRAYFORMULA(HLOOKUP($B93, IMPORTRANGE('Prelim Rankings Unsorted'!$B$40, CONCAT(VLOOKUP($C93, 'Match Names'!$A$1:$D$22, 2, FALSE), ""!C3:R29"")), {2;7;13;19}, FALSE)), ""=0"") + COUNTIF(ARRAYFORMULA(HLOOKUP($B93, IMPORTRANGE('Prelim Rankings Unsor"&amp;"ted'!$B$41, CONCAT(VLOOKUP($C93, 'Match Names'!$A$1:$D$22, 3, FALSE), ""!C3:R29"")), {3;9;15;21}, FALSE)), ""=0"") + COUNTIF(ARRAYFORMULA(HLOOKUP($B93, IMPORTRANGE('Prelim Rankings Unsorted'!$B$42, CONCAT(VLOOKUP($C93, 'Match Names'!$A$1:$D$22, 4, FALSE),"&amp;" ""!C3:R29"")), {3;9;15;21}, FALSE)), ""=0"") + COUNTIF(ARRAYFORMULA(HLOOKUP($B93, IMPORTRANGE('Match Names'!$E$23, CONCAT(VLOOKUP($C93, 'Match Names'!$1:$22, 5, FALSE), ""!C3:R29"")), {9;14;19;24}, FALSE)), ""=0"") + COUNTIF(ARRAYFORMULA(HLOOKUP($B93, IM"&amp;"PORTRANGE('Match Names'!$F$23, CONCAT(VLOOKUP($C93, 'Match Names'!$1:$22, 6, FALSE), ""!C3:R29"")), {2;8;14;20}, FALSE)), ""=0"") + COUNTIF(ARRAYFORMULA(HLOOKUP($B93, IMPORTRANGE('Match Names'!$G$23, CONCAT(VLOOKUP($C93, 'Match Names'!$1:$22, 7, FALSE), "&amp;"""!C3:R29"")), {6;16;20;24}, FALSE)), ""=0"") + COUNTIF(ARRAYFORMULA(HLOOKUP($B93, IMPORTRANGE('Match Names'!$H$23, CONCAT(VLOOKUP($C93, 'Match Names'!$1:$22, 8, FALSE), ""!C3:R29"")), {2;8;14;20}, FALSE)), ""=0"")"),0.0)</f>
        <v>0</v>
      </c>
      <c r="G93" s="32">
        <f>IFERROR(__xludf.DUMMYFUNCTION("COUNTIF(ARRAYFORMULA(HLOOKUP($B93, IMPORTRANGE('Prelim Rankings Unsorted'!$B$40, CONCAT(VLOOKUP($C93, 'Match Names'!$A$1:$D$22, 2, FALSE), ""!C3:R29"")), {2;7;13;19}, FALSE)), ""=-4"") + COUNTIF(ARRAYFORMULA(HLOOKUP($B93, IMPORTRANGE('Prelim Rankings Unso"&amp;"rted'!$B$41, CONCAT(VLOOKUP($C93, 'Match Names'!$A$1:$D$22, 3, FALSE), ""!C3:R29"")), {3;9;15;21}, FALSE)), ""=-4"") + COUNTIF(ARRAYFORMULA(HLOOKUP($B93, IMPORTRANGE('Prelim Rankings Unsorted'!$B$42, CONCAT(VLOOKUP($C93, 'Match Names'!$A$1:$D$22, 4, FALSE"&amp;"), ""!C3:R29"")), {3;9;15;21}, FALSE)), ""=-4"") + COUNTIF(ARRAYFORMULA(HLOOKUP($B93, IMPORTRANGE('Match Names'!$E$23, CONCAT(VLOOKUP($C93, 'Match Names'!$1:$22, 5, FALSE), ""!C3:R29"")), {9;14;19;24}, FALSE)), ""=-4"") + COUNTIF(ARRAYFORMULA(HLOOKUP($B93"&amp;", IMPORTRANGE('Match Names'!$F$23, CONCAT(VLOOKUP($C93, 'Match Names'!$1:$22, 6, FALSE), ""!C3:R29"")), {2;8;14;20}, FALSE)), ""=-4"") + COUNTIF(ARRAYFORMULA(HLOOKUP($B93, IMPORTRANGE('Match Names'!$G$23, CONCAT(VLOOKUP($C93, 'Match Names'!$1:$22, 7, FALS"&amp;"E), ""!C3:R29"")), {6;16;20;24}, FALSE)), ""=-4"") + COUNTIF(ARRAYFORMULA(HLOOKUP($B93, IMPORTRANGE('Match Names'!$H$23, CONCAT(VLOOKUP($C93, 'Match Names'!$1:$22, 8, FALSE), ""!C3:R29"")), {2;8;14;20}, FALSE)), ""=-4"")"),0.0)</f>
        <v>0</v>
      </c>
      <c r="H93" s="33">
        <f t="shared" si="1"/>
        <v>0</v>
      </c>
    </row>
    <row r="94">
      <c r="A94" s="21" t="s">
        <v>97</v>
      </c>
      <c r="B94" s="31" t="str">
        <f>VLOOKUP(CONCAT(A94, C94), 'Discord Username to Real Name'!C:D, 2, FALSE)</f>
        <v>very_creative_name#1358</v>
      </c>
      <c r="C94" s="21" t="s">
        <v>28</v>
      </c>
      <c r="D94" s="32">
        <f>IFERROR(__xludf.DUMMYFUNCTION("(4 - COUNTIF(IFERROR(ARRAYFORMULA(HLOOKUP($B94, IMPORTRANGE('Prelim Rankings Unsorted'!$B$40, CONCAT(VLOOKUP($C94, 'Match Names'!$A$1:$D$22, 2, FALSE), ""!C3:R29"")), {2;7;13;19}, FALSE)), 'Player Overall Stats Unsorted'!$AA$9:$AA$12), ""=X"")) + (4 - COU"&amp;"NTIF(IFERROR(ARRAYFORMULA(HLOOKUP($B94, IMPORTRANGE('Prelim Rankings Unsorted'!$B$41, CONCAT(VLOOKUP($C94, 'Match Names'!$A$1:$D$22, 3, FALSE), ""!C3:R29"")), {3;9;15;21}, FALSE)), 'Player Overall Stats Unsorted'!$AA$9:$AA$12), ""=X"")) + (4 - COUNTIF(IFE"&amp;"RROR(ARRAYFORMULA(HLOOKUP($B94, IMPORTRANGE('Prelim Rankings Unsorted'!$B$42, CONCAT(VLOOKUP($C94, 'Match Names'!$A$1:$D$22, 4, FALSE), ""!C3:R29"")), {3;9;15;21}, FALSE)), 'Player Overall Stats Unsorted'!$AA$9:$AA$12), ""=X"")) + (4 - COUNTIF(IFERROR(ARR"&amp;"AYFORMULA(HLOOKUP($B94, IMPORTRANGE('Match Names'!$E$23, CONCAT(VLOOKUP($C94, 'Match Names'!$1:$22, 5, FALSE), ""!C3:R29"")), {9;14;19;24}, FALSE)), 'Player Overall Stats Unsorted'!$AA$9:$AA$12), ""=X"")) + (4 - COUNTIF(IFERROR(ARRAYFORMULA(HLOOKUP($B94, "&amp;"IMPORTRANGE('Match Names'!$F$23, CONCAT(VLOOKUP($C94, 'Match Names'!$1:$22, 6, FALSE), ""!C3:R29"")), {2;8;14;20}, FALSE)), 'Player Overall Stats Unsorted'!$AA$9:$AA$12), ""=X"")) + (4 - COUNTIF(IFERROR(ARRAYFORMULA(HLOOKUP($B94, IMPORTRANGE('Match Names'"&amp;"!$G$23, CONCAT(VLOOKUP($C94, 'Match Names'!$1:$22, 7, FALSE), ""!C3:R29"")), {6;16;20;24}, FALSE)), 'Player Overall Stats Unsorted'!$AA$9:$AA$12), ""=X"")) + (4 - COUNTIF(IFERROR(ARRAYFORMULA(HLOOKUP($B94, IMPORTRANGE('Match Names'!$H$23, CONCAT(VLOOKUP($"&amp;"C94, 'Match Names'!$1:$22, 8, FALSE), ""!C3:R29"")), {2;8;14;20}, FALSE)), 'Player Overall Stats Unsorted'!$AA$9:$AA$12), ""=X""))"),8.0)</f>
        <v>8</v>
      </c>
      <c r="E94" s="32">
        <f>IFERROR(__xludf.DUMMYFUNCTION("COUNTIF(ARRAYFORMULA(HLOOKUP($B94, IMPORTRANGE('Prelim Rankings Unsorted'!$B$40, CONCAT(VLOOKUP($C94, 'Match Names'!$A$1:$D$22, 2, FALSE), ""!C3:R29"")), {2;7;13;19}, FALSE)), ""=4"") + COUNTIF(ARRAYFORMULA(HLOOKUP($B94, IMPORTRANGE('Prelim Rankings Unsor"&amp;"ted'!$B$41, CONCAT(VLOOKUP($C94, 'Match Names'!$A$1:$D$22, 3, FALSE), ""!C3:R29"")), {3;9;15;21}, FALSE)), ""=4"") + COUNTIF(ARRAYFORMULA(HLOOKUP($B94, IMPORTRANGE('Prelim Rankings Unsorted'!$B$42, CONCAT(VLOOKUP($C94, 'Match Names'!$A$1:$D$22, 4, FALSE),"&amp;" ""!C3:R29"")), {3;9;15;21}, FALSE)), ""=4"") + COUNTIF(ARRAYFORMULA(HLOOKUP($B94, IMPORTRANGE('Match Names'!$E$23, CONCAT(VLOOKUP($C94, 'Match Names'!$1:$22, 5, FALSE), ""!C3:R29"")), {9;14;19;24}, FALSE)), ""=4"") + COUNTIF(ARRAYFORMULA(HLOOKUP($B94, IM"&amp;"PORTRANGE('Match Names'!$F$23, CONCAT(VLOOKUP($C94, 'Match Names'!$1:$22, 6, FALSE), ""!C3:R29"")), {2;8;14;20}, FALSE)), ""=4"") + COUNTIF(ARRAYFORMULA(HLOOKUP($B94, IMPORTRANGE('Match Names'!$G$23, CONCAT(VLOOKUP($C94, 'Match Names'!$1:$22, 7, FALSE), "&amp;"""!C3:R29"")), {6;16;20;24}, FALSE)), ""=4"") + COUNTIF(ARRAYFORMULA(HLOOKUP($B94, IMPORTRANGE('Match Names'!$H$23, CONCAT(VLOOKUP($C94, 'Match Names'!$1:$22, 8, FALSE), ""!C3:R29"")), {2;8;14;20}, FALSE)), ""=4"")"),1.0)</f>
        <v>1</v>
      </c>
      <c r="F94" s="32">
        <f>IFERROR(__xludf.DUMMYFUNCTION("COUNTIF(ARRAYFORMULA(HLOOKUP($B94, IMPORTRANGE('Prelim Rankings Unsorted'!$B$40, CONCAT(VLOOKUP($C94, 'Match Names'!$A$1:$D$22, 2, FALSE), ""!C3:R29"")), {2;7;13;19}, FALSE)), ""=0"") + COUNTIF(ARRAYFORMULA(HLOOKUP($B94, IMPORTRANGE('Prelim Rankings Unsor"&amp;"ted'!$B$41, CONCAT(VLOOKUP($C94, 'Match Names'!$A$1:$D$22, 3, FALSE), ""!C3:R29"")), {3;9;15;21}, FALSE)), ""=0"") + COUNTIF(ARRAYFORMULA(HLOOKUP($B94, IMPORTRANGE('Prelim Rankings Unsorted'!$B$42, CONCAT(VLOOKUP($C94, 'Match Names'!$A$1:$D$22, 4, FALSE),"&amp;" ""!C3:R29"")), {3;9;15;21}, FALSE)), ""=0"") + COUNTIF(ARRAYFORMULA(HLOOKUP($B94, IMPORTRANGE('Match Names'!$E$23, CONCAT(VLOOKUP($C94, 'Match Names'!$1:$22, 5, FALSE), ""!C3:R29"")), {9;14;19;24}, FALSE)), ""=0"") + COUNTIF(ARRAYFORMULA(HLOOKUP($B94, IM"&amp;"PORTRANGE('Match Names'!$F$23, CONCAT(VLOOKUP($C94, 'Match Names'!$1:$22, 6, FALSE), ""!C3:R29"")), {2;8;14;20}, FALSE)), ""=0"") + COUNTIF(ARRAYFORMULA(HLOOKUP($B94, IMPORTRANGE('Match Names'!$G$23, CONCAT(VLOOKUP($C94, 'Match Names'!$1:$22, 7, FALSE), "&amp;"""!C3:R29"")), {6;16;20;24}, FALSE)), ""=0"") + COUNTIF(ARRAYFORMULA(HLOOKUP($B94, IMPORTRANGE('Match Names'!$H$23, CONCAT(VLOOKUP($C94, 'Match Names'!$1:$22, 8, FALSE), ""!C3:R29"")), {2;8;14;20}, FALSE)), ""=0"")"),2.0)</f>
        <v>2</v>
      </c>
      <c r="G94" s="32">
        <f>IFERROR(__xludf.DUMMYFUNCTION("COUNTIF(ARRAYFORMULA(HLOOKUP($B94, IMPORTRANGE('Prelim Rankings Unsorted'!$B$40, CONCAT(VLOOKUP($C94, 'Match Names'!$A$1:$D$22, 2, FALSE), ""!C3:R29"")), {2;7;13;19}, FALSE)), ""=-4"") + COUNTIF(ARRAYFORMULA(HLOOKUP($B94, IMPORTRANGE('Prelim Rankings Unso"&amp;"rted'!$B$41, CONCAT(VLOOKUP($C94, 'Match Names'!$A$1:$D$22, 3, FALSE), ""!C3:R29"")), {3;9;15;21}, FALSE)), ""=-4"") + COUNTIF(ARRAYFORMULA(HLOOKUP($B94, IMPORTRANGE('Prelim Rankings Unsorted'!$B$42, CONCAT(VLOOKUP($C94, 'Match Names'!$A$1:$D$22, 4, FALSE"&amp;"), ""!C3:R29"")), {3;9;15;21}, FALSE)), ""=-4"") + COUNTIF(ARRAYFORMULA(HLOOKUP($B94, IMPORTRANGE('Match Names'!$E$23, CONCAT(VLOOKUP($C94, 'Match Names'!$1:$22, 5, FALSE), ""!C3:R29"")), {9;14;19;24}, FALSE)), ""=-4"") + COUNTIF(ARRAYFORMULA(HLOOKUP($B94"&amp;", IMPORTRANGE('Match Names'!$F$23, CONCAT(VLOOKUP($C94, 'Match Names'!$1:$22, 6, FALSE), ""!C3:R29"")), {2;8;14;20}, FALSE)), ""=-4"") + COUNTIF(ARRAYFORMULA(HLOOKUP($B94, IMPORTRANGE('Match Names'!$G$23, CONCAT(VLOOKUP($C94, 'Match Names'!$1:$22, 7, FALS"&amp;"E), ""!C3:R29"")), {6;16;20;24}, FALSE)), ""=-4"") + COUNTIF(ARRAYFORMULA(HLOOKUP($B94, IMPORTRANGE('Match Names'!$H$23, CONCAT(VLOOKUP($C94, 'Match Names'!$1:$22, 8, FALSE), ""!C3:R29"")), {2;8;14;20}, FALSE)), ""=-4"")"),0.0)</f>
        <v>0</v>
      </c>
      <c r="H94" s="33">
        <f t="shared" si="1"/>
        <v>2</v>
      </c>
    </row>
    <row r="95">
      <c r="A95" s="21" t="s">
        <v>111</v>
      </c>
      <c r="B95" s="31" t="str">
        <f>VLOOKUP(CONCAT(A95, C95), 'Discord Username to Real Name'!C:D, 2, FALSE)</f>
        <v>margaret#3477</v>
      </c>
      <c r="C95" s="21" t="s">
        <v>28</v>
      </c>
      <c r="D95" s="32">
        <f>IFERROR(__xludf.DUMMYFUNCTION("(4 - COUNTIF(IFERROR(ARRAYFORMULA(HLOOKUP($B95, IMPORTRANGE('Prelim Rankings Unsorted'!$B$40, CONCAT(VLOOKUP($C95, 'Match Names'!$A$1:$D$22, 2, FALSE), ""!C3:R29"")), {2;7;13;19}, FALSE)), 'Player Overall Stats Unsorted'!$AA$9:$AA$12), ""=X"")) + (4 - COU"&amp;"NTIF(IFERROR(ARRAYFORMULA(HLOOKUP($B95, IMPORTRANGE('Prelim Rankings Unsorted'!$B$41, CONCAT(VLOOKUP($C95, 'Match Names'!$A$1:$D$22, 3, FALSE), ""!C3:R29"")), {3;9;15;21}, FALSE)), 'Player Overall Stats Unsorted'!$AA$9:$AA$12), ""=X"")) + (4 - COUNTIF(IFE"&amp;"RROR(ARRAYFORMULA(HLOOKUP($B95, IMPORTRANGE('Prelim Rankings Unsorted'!$B$42, CONCAT(VLOOKUP($C95, 'Match Names'!$A$1:$D$22, 4, FALSE), ""!C3:R29"")), {3;9;15;21}, FALSE)), 'Player Overall Stats Unsorted'!$AA$9:$AA$12), ""=X"")) + (4 - COUNTIF(IFERROR(ARR"&amp;"AYFORMULA(HLOOKUP($B95, IMPORTRANGE('Match Names'!$E$23, CONCAT(VLOOKUP($C95, 'Match Names'!$1:$22, 5, FALSE), ""!C3:R29"")), {9;14;19;24}, FALSE)), 'Player Overall Stats Unsorted'!$AA$9:$AA$12), ""=X"")) + (4 - COUNTIF(IFERROR(ARRAYFORMULA(HLOOKUP($B95, "&amp;"IMPORTRANGE('Match Names'!$F$23, CONCAT(VLOOKUP($C95, 'Match Names'!$1:$22, 6, FALSE), ""!C3:R29"")), {2;8;14;20}, FALSE)), 'Player Overall Stats Unsorted'!$AA$9:$AA$12), ""=X"")) + (4 - COUNTIF(IFERROR(ARRAYFORMULA(HLOOKUP($B95, IMPORTRANGE('Match Names'"&amp;"!$G$23, CONCAT(VLOOKUP($C95, 'Match Names'!$1:$22, 7, FALSE), ""!C3:R29"")), {6;16;20;24}, FALSE)), 'Player Overall Stats Unsorted'!$AA$9:$AA$12), ""=X"")) + (4 - COUNTIF(IFERROR(ARRAYFORMULA(HLOOKUP($B95, IMPORTRANGE('Match Names'!$H$23, CONCAT(VLOOKUP($"&amp;"C95, 'Match Names'!$1:$22, 8, FALSE), ""!C3:R29"")), {2;8;14;20}, FALSE)), 'Player Overall Stats Unsorted'!$AA$9:$AA$12), ""=X""))"),12.0)</f>
        <v>12</v>
      </c>
      <c r="E95" s="32">
        <f>IFERROR(__xludf.DUMMYFUNCTION("COUNTIF(ARRAYFORMULA(HLOOKUP($B95, IMPORTRANGE('Prelim Rankings Unsorted'!$B$40, CONCAT(VLOOKUP($C95, 'Match Names'!$A$1:$D$22, 2, FALSE), ""!C3:R29"")), {2;7;13;19}, FALSE)), ""=4"") + COUNTIF(ARRAYFORMULA(HLOOKUP($B95, IMPORTRANGE('Prelim Rankings Unsor"&amp;"ted'!$B$41, CONCAT(VLOOKUP($C95, 'Match Names'!$A$1:$D$22, 3, FALSE), ""!C3:R29"")), {3;9;15;21}, FALSE)), ""=4"") + COUNTIF(ARRAYFORMULA(HLOOKUP($B95, IMPORTRANGE('Prelim Rankings Unsorted'!$B$42, CONCAT(VLOOKUP($C95, 'Match Names'!$A$1:$D$22, 4, FALSE),"&amp;" ""!C3:R29"")), {3;9;15;21}, FALSE)), ""=4"") + COUNTIF(ARRAYFORMULA(HLOOKUP($B95, IMPORTRANGE('Match Names'!$E$23, CONCAT(VLOOKUP($C95, 'Match Names'!$1:$22, 5, FALSE), ""!C3:R29"")), {9;14;19;24}, FALSE)), ""=4"") + COUNTIF(ARRAYFORMULA(HLOOKUP($B95, IM"&amp;"PORTRANGE('Match Names'!$F$23, CONCAT(VLOOKUP($C95, 'Match Names'!$1:$22, 6, FALSE), ""!C3:R29"")), {2;8;14;20}, FALSE)), ""=4"") + COUNTIF(ARRAYFORMULA(HLOOKUP($B95, IMPORTRANGE('Match Names'!$G$23, CONCAT(VLOOKUP($C95, 'Match Names'!$1:$22, 7, FALSE), "&amp;"""!C3:R29"")), {6;16;20;24}, FALSE)), ""=4"") + COUNTIF(ARRAYFORMULA(HLOOKUP($B95, IMPORTRANGE('Match Names'!$H$23, CONCAT(VLOOKUP($C95, 'Match Names'!$1:$22, 8, FALSE), ""!C3:R29"")), {2;8;14;20}, FALSE)), ""=4"")"),1.0)</f>
        <v>1</v>
      </c>
      <c r="F95" s="32">
        <f>IFERROR(__xludf.DUMMYFUNCTION("COUNTIF(ARRAYFORMULA(HLOOKUP($B95, IMPORTRANGE('Prelim Rankings Unsorted'!$B$40, CONCAT(VLOOKUP($C95, 'Match Names'!$A$1:$D$22, 2, FALSE), ""!C3:R29"")), {2;7;13;19}, FALSE)), ""=0"") + COUNTIF(ARRAYFORMULA(HLOOKUP($B95, IMPORTRANGE('Prelim Rankings Unsor"&amp;"ted'!$B$41, CONCAT(VLOOKUP($C95, 'Match Names'!$A$1:$D$22, 3, FALSE), ""!C3:R29"")), {3;9;15;21}, FALSE)), ""=0"") + COUNTIF(ARRAYFORMULA(HLOOKUP($B95, IMPORTRANGE('Prelim Rankings Unsorted'!$B$42, CONCAT(VLOOKUP($C95, 'Match Names'!$A$1:$D$22, 4, FALSE),"&amp;" ""!C3:R29"")), {3;9;15;21}, FALSE)), ""=0"") + COUNTIF(ARRAYFORMULA(HLOOKUP($B95, IMPORTRANGE('Match Names'!$E$23, CONCAT(VLOOKUP($C95, 'Match Names'!$1:$22, 5, FALSE), ""!C3:R29"")), {9;14;19;24}, FALSE)), ""=0"") + COUNTIF(ARRAYFORMULA(HLOOKUP($B95, IM"&amp;"PORTRANGE('Match Names'!$F$23, CONCAT(VLOOKUP($C95, 'Match Names'!$1:$22, 6, FALSE), ""!C3:R29"")), {2;8;14;20}, FALSE)), ""=0"") + COUNTIF(ARRAYFORMULA(HLOOKUP($B95, IMPORTRANGE('Match Names'!$G$23, CONCAT(VLOOKUP($C95, 'Match Names'!$1:$22, 7, FALSE), "&amp;"""!C3:R29"")), {6;16;20;24}, FALSE)), ""=0"") + COUNTIF(ARRAYFORMULA(HLOOKUP($B95, IMPORTRANGE('Match Names'!$H$23, CONCAT(VLOOKUP($C95, 'Match Names'!$1:$22, 8, FALSE), ""!C3:R29"")), {2;8;14;20}, FALSE)), ""=0"")"),0.0)</f>
        <v>0</v>
      </c>
      <c r="G95" s="32">
        <f>IFERROR(__xludf.DUMMYFUNCTION("COUNTIF(ARRAYFORMULA(HLOOKUP($B95, IMPORTRANGE('Prelim Rankings Unsorted'!$B$40, CONCAT(VLOOKUP($C95, 'Match Names'!$A$1:$D$22, 2, FALSE), ""!C3:R29"")), {2;7;13;19}, FALSE)), ""=-4"") + COUNTIF(ARRAYFORMULA(HLOOKUP($B95, IMPORTRANGE('Prelim Rankings Unso"&amp;"rted'!$B$41, CONCAT(VLOOKUP($C95, 'Match Names'!$A$1:$D$22, 3, FALSE), ""!C3:R29"")), {3;9;15;21}, FALSE)), ""=-4"") + COUNTIF(ARRAYFORMULA(HLOOKUP($B95, IMPORTRANGE('Prelim Rankings Unsorted'!$B$42, CONCAT(VLOOKUP($C95, 'Match Names'!$A$1:$D$22, 4, FALSE"&amp;"), ""!C3:R29"")), {3;9;15;21}, FALSE)), ""=-4"") + COUNTIF(ARRAYFORMULA(HLOOKUP($B95, IMPORTRANGE('Match Names'!$E$23, CONCAT(VLOOKUP($C95, 'Match Names'!$1:$22, 5, FALSE), ""!C3:R29"")), {9;14;19;24}, FALSE)), ""=-4"") + COUNTIF(ARRAYFORMULA(HLOOKUP($B95"&amp;", IMPORTRANGE('Match Names'!$F$23, CONCAT(VLOOKUP($C95, 'Match Names'!$1:$22, 6, FALSE), ""!C3:R29"")), {2;8;14;20}, FALSE)), ""=-4"") + COUNTIF(ARRAYFORMULA(HLOOKUP($B95, IMPORTRANGE('Match Names'!$G$23, CONCAT(VLOOKUP($C95, 'Match Names'!$1:$22, 7, FALS"&amp;"E), ""!C3:R29"")), {6;16;20;24}, FALSE)), ""=-4"") + COUNTIF(ARRAYFORMULA(HLOOKUP($B95, IMPORTRANGE('Match Names'!$H$23, CONCAT(VLOOKUP($C95, 'Match Names'!$1:$22, 8, FALSE), ""!C3:R29"")), {2;8;14;20}, FALSE)), ""=-4"")"),0.0)</f>
        <v>0</v>
      </c>
      <c r="H95" s="33">
        <f t="shared" si="1"/>
        <v>1.33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9.38"/>
  </cols>
  <sheetData>
    <row r="2">
      <c r="A2" s="5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</row>
    <row r="3">
      <c r="A3" s="7" t="s">
        <v>13</v>
      </c>
      <c r="B3" s="7" t="str">
        <f>VLOOKUP(CONCAT(A3, C3), 'Discord Username to Real Name'!C:D, 2, FALSE)</f>
        <v>DanielRocks(UrMom)#5639</v>
      </c>
      <c r="C3" s="7" t="s">
        <v>5</v>
      </c>
      <c r="D3" s="32">
        <f>IFERROR(__xludf.DUMMYFUNCTION("(4 - COUNTIF(IFERROR(ARRAYFORMULA(HLOOKUP($B3, IMPORTRANGE('Prelim Rankings Unsorted'!$B$40, CONCAT(VLOOKUP($C3, 'Match Names'!$A$1:$D$22, 2, FALSE), ""!C3:R29"")), {4;9;15;21}, FALSE)), 'Player Overall Stats Unsorted'!$AA$9:$AA$12), ""=X"")) + (4 - COUNT"&amp;"IF(IFERROR(ARRAYFORMULA(HLOOKUP($B3, IMPORTRANGE('Prelim Rankings Unsorted'!$B$41, CONCAT(VLOOKUP($C3, 'Match Names'!$A$1:$D$22, 3, FALSE), ""!C3:R29"")), {7;13;19;24}, FALSE)), 'Player Overall Stats Unsorted'!$AA$9:$AA$12), ""=X"")) + (4 - COUNTIF(IFERRO"&amp;"R(ARRAYFORMULA(HLOOKUP($B3, IMPORTRANGE('Prelim Rankings Unsorted'!$B$42, CONCAT(VLOOKUP($C3, 'Match Names'!$A$1:$D$22, 4, FALSE), ""!C3:R29"")), {7;13;19;24}, FALSE)), 'Player Overall Stats Unsorted'!$AA$9:$AA$12), ""=X"")) + (4 - COUNTIF(IFERROR(ARRAYFO"&amp;"RMULA(HLOOKUP($B3, IMPORTRANGE('Match Names'!$E$23, CONCAT(VLOOKUP($C3, 'Match Names'!$1:$22, 5, FALSE), ""!C3:R29"")), {2;8;12;22}, FALSE)), 'Player Overall Stats Unsorted'!$AA$9:$AA$12), ""=X"")) + (4 - COUNTIF(IFERROR(ARRAYFORMULA(HLOOKUP($B3, IMPORTRA"&amp;"NGE('Match Names'!$F$23, CONCAT(VLOOKUP($C3, 'Match Names'!$1:$22, 6, FALSE), ""!C3:R29"")), {3;9;15;21}, FALSE)), 'Player Overall Stats Unsorted'!$AA$9:$AA$12), ""=X"")) + (4 - COUNTIF(IFERROR(ARRAYFORMULA(HLOOKUP($B3, IMPORTRANGE('Match Names'!$G$23, CO"&amp;"NCAT(VLOOKUP($C3, 'Match Names'!$1:$22, 7, FALSE), ""!C3:R29"")), {3;8;12;18}, FALSE)), 'Player Overall Stats Unsorted'!$AA$9:$AA$12), ""=X"")) + (4 - COUNTIF(IFERROR(ARRAYFORMULA(HLOOKUP($B3, IMPORTRANGE('Match Names'!$H$23, CONCAT(VLOOKUP($C3, 'Match Na"&amp;"mes'!$1:$22, 8, FALSE), ""!C3:R29"")), {7;13;19;24}, FALSE)), 'Player Overall Stats Unsorted'!$AA$9:$AA$12), ""=X""))"),8.0)</f>
        <v>8</v>
      </c>
      <c r="E3" s="32">
        <f>IFERROR(__xludf.DUMMYFUNCTION("COUNTIF(ARRAYFORMULA(HLOOKUP($B3, IMPORTRANGE('Prelim Rankings Unsorted'!$B$40, CONCAT(VLOOKUP($C3, 'Match Names'!$A$1:$D$22, 2, FALSE), ""!C3:R29"")), {4;9;15;21}, FALSE)), ""=4"") + COUNTIF(ARRAYFORMULA(HLOOKUP($B3, IMPORTRANGE('Prelim Rankings Unsorted"&amp;"'!$B$41, CONCAT(VLOOKUP($C3, 'Match Names'!$A$1:$D$22, 3, FALSE), ""!C3:R29"")), {7;13;19;24}, FALSE)), ""=4"") + COUNTIF(ARRAYFORMULA(HLOOKUP($B3, IMPORTRANGE('Prelim Rankings Unsorted'!$B$42, CONCAT(VLOOKUP($C3, 'Match Names'!$A$1:$D$22, 4, FALSE), ""!C"&amp;"3:R29"")), {7;13;19;24}, FALSE)), ""=4"") + COUNTIF(ARRAYFORMULA(HLOOKUP($B3, IMPORTRANGE('Match Names'!$E$23, CONCAT(VLOOKUP($C3, 'Match Names'!$1:$22, 5, FALSE), ""!C3:R29"")), {2;8;12;22}, FALSE)), ""=4"") + COUNTIF(ARRAYFORMULA(HLOOKUP($B3, IMPORTRANG"&amp;"E('Match Names'!$F$23, CONCAT(VLOOKUP($C3, 'Match Names'!$1:$22, 6, FALSE), ""!C3:R29"")), {3;9;15;21}, FALSE)), ""=4"") + COUNTIF(ARRAYFORMULA(HLOOKUP($B3, IMPORTRANGE('Match Names'!$G$23, CONCAT(VLOOKUP($C3, 'Match Names'!$1:$22, 7, FALSE), ""!C3:R29"")"&amp;"), {3;8;12;18}, FALSE)), ""=4"") + COUNTIF(ARRAYFORMULA(HLOOKUP($B3, IMPORTRANGE('Match Names'!$H$23, CONCAT(VLOOKUP($C3, 'Match Names'!$1:$22, 8, FALSE), ""!C3:R29"")), {7;13;19;24}, FALSE)), ""=4"")"),0.0)</f>
        <v>0</v>
      </c>
      <c r="F3" s="32">
        <f>IFERROR(__xludf.DUMMYFUNCTION("COUNTIF(ARRAYFORMULA(HLOOKUP($B3, IMPORTRANGE('Prelim Rankings Unsorted'!$B$40, CONCAT(VLOOKUP($C3, 'Match Names'!$A$1:$D$22, 2, FALSE), ""!C3:R29"")), {4;9;15;21}, FALSE)), ""=0"") + COUNTIF(ARRAYFORMULA(HLOOKUP($B3, IMPORTRANGE('Prelim Rankings Unsorted"&amp;"'!$B$41, CONCAT(VLOOKUP($C3, 'Match Names'!$A$1:$D$22, 3, FALSE), ""!C3:R29"")), {7;13;19;24}, FALSE)), ""=0"") + COUNTIF(ARRAYFORMULA(HLOOKUP($B3, IMPORTRANGE('Prelim Rankings Unsorted'!$B$42, CONCAT(VLOOKUP($C3, 'Match Names'!$A$1:$D$22, 4, FALSE), ""!C"&amp;"3:R29"")), {7;13;19;24}, FALSE)), ""=0"") + COUNTIF(ARRAYFORMULA(HLOOKUP($B3, IMPORTRANGE('Match Names'!$E$23, CONCAT(VLOOKUP($C3, 'Match Names'!$1:$22, 5, FALSE), ""!C3:R29"")), {2;8;12;22}, FALSE)), ""=0"") + COUNTIF(ARRAYFORMULA(HLOOKUP($B3, IMPORTRANG"&amp;"E('Match Names'!$F$23, CONCAT(VLOOKUP($C3, 'Match Names'!$1:$22, 6, FALSE), ""!C3:R29"")), {3;9;15;21}, FALSE)), ""=0"") + COUNTIF(ARRAYFORMULA(HLOOKUP($B3, IMPORTRANGE('Match Names'!$G$23, CONCAT(VLOOKUP($C3, 'Match Names'!$1:$22, 7, FALSE), ""!C3:R29"")"&amp;"), {3;8;12;18}, FALSE)), ""=0"") + COUNTIF(ARRAYFORMULA(HLOOKUP($B3, IMPORTRANGE('Match Names'!$H$23, CONCAT(VLOOKUP($C3, 'Match Names'!$1:$22, 8, FALSE), ""!C3:R29"")), {7;13;19;24}, FALSE)), ""=0"")"),0.0)</f>
        <v>0</v>
      </c>
      <c r="G3" s="32">
        <f>IFERROR(__xludf.DUMMYFUNCTION("COUNTIF(ARRAYFORMULA(HLOOKUP($B3, IMPORTRANGE('Prelim Rankings Unsorted'!$B$40, CONCAT(VLOOKUP($C3, 'Match Names'!$A$1:$D$22, 2, FALSE), ""!C3:R29"")), {4;9;15;21}, FALSE)), ""=-4"") + COUNTIF(ARRAYFORMULA(HLOOKUP($B3, IMPORTRANGE('Prelim Rankings Unsorte"&amp;"d'!$B$41, CONCAT(VLOOKUP($C3, 'Match Names'!$A$1:$D$22, 3, FALSE), ""!C3:R29"")), {7;13;19;24}, FALSE)), ""=-4"") + COUNTIF(ARRAYFORMULA(HLOOKUP($B3, IMPORTRANGE('Prelim Rankings Unsorted'!$B$42, CONCAT(VLOOKUP($C3, 'Match Names'!$A$1:$D$22, 4, FALSE), """&amp;"!C3:R29"")), {7;13;19;24}, FALSE)), ""=-4"") + COUNTIF(ARRAYFORMULA(HLOOKUP($B3, IMPORTRANGE('Match Names'!$E$23, CONCAT(VLOOKUP($C3, 'Match Names'!$1:$22, 5, FALSE), ""!C3:R29"")), {2;8;12;22}, FALSE)), ""=-4"") + COUNTIF(ARRAYFORMULA(HLOOKUP($B3, IMPORT"&amp;"RANGE('Match Names'!$F$23, CONCAT(VLOOKUP($C3, 'Match Names'!$1:$22, 6, FALSE), ""!C3:R29"")), {3;9;15;21}, FALSE)), ""=-4"") + COUNTIF(ARRAYFORMULA(HLOOKUP($B3, IMPORTRANGE('Match Names'!$G$23, CONCAT(VLOOKUP($C3, 'Match Names'!$1:$22, 7, FALSE), ""!C3:R"&amp;"29"")), {3;8;12;18}, FALSE)), ""=-4"") + COUNTIF(ARRAYFORMULA(HLOOKUP($B3, IMPORTRANGE('Match Names'!$H$23, CONCAT(VLOOKUP($C3, 'Match Names'!$1:$22, 8, FALSE), ""!C3:R29"")), {7;13;19;24}, FALSE)), ""=-4"")"),1.0)</f>
        <v>1</v>
      </c>
      <c r="H3" s="33">
        <f t="shared" ref="H3:H95" si="1">IFERROR(ROUND(((E3*4)+(G3*-4))/(D3/4), 2), 0)</f>
        <v>-2</v>
      </c>
    </row>
    <row r="4">
      <c r="A4" s="4" t="s">
        <v>33</v>
      </c>
      <c r="B4" s="7" t="str">
        <f>VLOOKUP(CONCAT(A4, C4), 'Discord Username to Real Name'!C:D, 2, FALSE)</f>
        <v>Running Runin#5021</v>
      </c>
      <c r="C4" s="7" t="s">
        <v>5</v>
      </c>
      <c r="D4" s="32">
        <f>IFERROR(__xludf.DUMMYFUNCTION("(4 - COUNTIF(IFERROR(ARRAYFORMULA(HLOOKUP($B4, IMPORTRANGE('Prelim Rankings Unsorted'!$B$40, CONCAT(VLOOKUP($C4, 'Match Names'!$A$1:$D$22, 2, FALSE), ""!C3:R29"")), {4;9;15;21}, FALSE)), 'Player Overall Stats Unsorted'!$AA$9:$AA$12), ""=X"")) + (4 - COUNT"&amp;"IF(IFERROR(ARRAYFORMULA(HLOOKUP($B4, IMPORTRANGE('Prelim Rankings Unsorted'!$B$41, CONCAT(VLOOKUP($C4, 'Match Names'!$A$1:$D$22, 3, FALSE), ""!C3:R29"")), {7;13;19;24}, FALSE)), 'Player Overall Stats Unsorted'!$AA$9:$AA$12), ""=X"")) + (4 - COUNTIF(IFERRO"&amp;"R(ARRAYFORMULA(HLOOKUP($B4, IMPORTRANGE('Prelim Rankings Unsorted'!$B$42, CONCAT(VLOOKUP($C4, 'Match Names'!$A$1:$D$22, 4, FALSE), ""!C3:R29"")), {7;13;19;24}, FALSE)), 'Player Overall Stats Unsorted'!$AA$9:$AA$12), ""=X"")) + (4 - COUNTIF(IFERROR(ARRAYFO"&amp;"RMULA(HLOOKUP($B4, IMPORTRANGE('Match Names'!$E$23, CONCAT(VLOOKUP($C4, 'Match Names'!$1:$22, 5, FALSE), ""!C3:R29"")), {2;8;12;22}, FALSE)), 'Player Overall Stats Unsorted'!$AA$9:$AA$12), ""=X"")) + (4 - COUNTIF(IFERROR(ARRAYFORMULA(HLOOKUP($B4, IMPORTRA"&amp;"NGE('Match Names'!$F$23, CONCAT(VLOOKUP($C4, 'Match Names'!$1:$22, 6, FALSE), ""!C3:R29"")), {3;9;15;21}, FALSE)), 'Player Overall Stats Unsorted'!$AA$9:$AA$12), ""=X"")) + (4 - COUNTIF(IFERROR(ARRAYFORMULA(HLOOKUP($B4, IMPORTRANGE('Match Names'!$G$23, CO"&amp;"NCAT(VLOOKUP($C4, 'Match Names'!$1:$22, 7, FALSE), ""!C3:R29"")), {3;8;12;18}, FALSE)), 'Player Overall Stats Unsorted'!$AA$9:$AA$12), ""=X"")) + (4 - COUNTIF(IFERROR(ARRAYFORMULA(HLOOKUP($B4, IMPORTRANGE('Match Names'!$H$23, CONCAT(VLOOKUP($C4, 'Match Na"&amp;"mes'!$1:$22, 8, FALSE), ""!C3:R29"")), {7;13;19;24}, FALSE)), 'Player Overall Stats Unsorted'!$AA$9:$AA$12), ""=X""))"),0.0)</f>
        <v>0</v>
      </c>
      <c r="E4" s="32">
        <f>IFERROR(__xludf.DUMMYFUNCTION("COUNTIF(ARRAYFORMULA(HLOOKUP($B4, IMPORTRANGE('Prelim Rankings Unsorted'!$B$40, CONCAT(VLOOKUP($C4, 'Match Names'!$A$1:$D$22, 2, FALSE), ""!C3:R29"")), {4;9;15;21}, FALSE)), ""=4"") + COUNTIF(ARRAYFORMULA(HLOOKUP($B4, IMPORTRANGE('Prelim Rankings Unsorted"&amp;"'!$B$41, CONCAT(VLOOKUP($C4, 'Match Names'!$A$1:$D$22, 3, FALSE), ""!C3:R29"")), {7;13;19;24}, FALSE)), ""=4"") + COUNTIF(ARRAYFORMULA(HLOOKUP($B4, IMPORTRANGE('Prelim Rankings Unsorted'!$B$42, CONCAT(VLOOKUP($C4, 'Match Names'!$A$1:$D$22, 4, FALSE), ""!C"&amp;"3:R29"")), {7;13;19;24}, FALSE)), ""=4"") + COUNTIF(ARRAYFORMULA(HLOOKUP($B4, IMPORTRANGE('Match Names'!$E$23, CONCAT(VLOOKUP($C4, 'Match Names'!$1:$22, 5, FALSE), ""!C3:R29"")), {2;8;12;22}, FALSE)), ""=4"") + COUNTIF(ARRAYFORMULA(HLOOKUP($B4, IMPORTRANG"&amp;"E('Match Names'!$F$23, CONCAT(VLOOKUP($C4, 'Match Names'!$1:$22, 6, FALSE), ""!C3:R29"")), {3;9;15;21}, FALSE)), ""=4"") + COUNTIF(ARRAYFORMULA(HLOOKUP($B4, IMPORTRANGE('Match Names'!$G$23, CONCAT(VLOOKUP($C4, 'Match Names'!$1:$22, 7, FALSE), ""!C3:R29"")"&amp;"), {3;8;12;18}, FALSE)), ""=4"") + COUNTIF(ARRAYFORMULA(HLOOKUP($B4, IMPORTRANGE('Match Names'!$H$23, CONCAT(VLOOKUP($C4, 'Match Names'!$1:$22, 8, FALSE), ""!C3:R29"")), {7;13;19;24}, FALSE)), ""=4"")"),0.0)</f>
        <v>0</v>
      </c>
      <c r="F4" s="32">
        <f>IFERROR(__xludf.DUMMYFUNCTION("COUNTIF(ARRAYFORMULA(HLOOKUP($B4, IMPORTRANGE('Prelim Rankings Unsorted'!$B$40, CONCAT(VLOOKUP($C4, 'Match Names'!$A$1:$D$22, 2, FALSE), ""!C3:R29"")), {4;9;15;21}, FALSE)), ""=0"") + COUNTIF(ARRAYFORMULA(HLOOKUP($B4, IMPORTRANGE('Prelim Rankings Unsorted"&amp;"'!$B$41, CONCAT(VLOOKUP($C4, 'Match Names'!$A$1:$D$22, 3, FALSE), ""!C3:R29"")), {7;13;19;24}, FALSE)), ""=0"") + COUNTIF(ARRAYFORMULA(HLOOKUP($B4, IMPORTRANGE('Prelim Rankings Unsorted'!$B$42, CONCAT(VLOOKUP($C4, 'Match Names'!$A$1:$D$22, 4, FALSE), ""!C"&amp;"3:R29"")), {7;13;19;24}, FALSE)), ""=0"") + COUNTIF(ARRAYFORMULA(HLOOKUP($B4, IMPORTRANGE('Match Names'!$E$23, CONCAT(VLOOKUP($C4, 'Match Names'!$1:$22, 5, FALSE), ""!C3:R29"")), {2;8;12;22}, FALSE)), ""=0"") + COUNTIF(ARRAYFORMULA(HLOOKUP($B4, IMPORTRANG"&amp;"E('Match Names'!$F$23, CONCAT(VLOOKUP($C4, 'Match Names'!$1:$22, 6, FALSE), ""!C3:R29"")), {3;9;15;21}, FALSE)), ""=0"") + COUNTIF(ARRAYFORMULA(HLOOKUP($B4, IMPORTRANGE('Match Names'!$G$23, CONCAT(VLOOKUP($C4, 'Match Names'!$1:$22, 7, FALSE), ""!C3:R29"")"&amp;"), {3;8;12;18}, FALSE)), ""=0"") + COUNTIF(ARRAYFORMULA(HLOOKUP($B4, IMPORTRANGE('Match Names'!$H$23, CONCAT(VLOOKUP($C4, 'Match Names'!$1:$22, 8, FALSE), ""!C3:R29"")), {7;13;19;24}, FALSE)), ""=0"")"),0.0)</f>
        <v>0</v>
      </c>
      <c r="G4" s="32">
        <f>IFERROR(__xludf.DUMMYFUNCTION("COUNTIF(ARRAYFORMULA(HLOOKUP($B4, IMPORTRANGE('Prelim Rankings Unsorted'!$B$40, CONCAT(VLOOKUP($C4, 'Match Names'!$A$1:$D$22, 2, FALSE), ""!C3:R29"")), {4;9;15;21}, FALSE)), ""=-4"") + COUNTIF(ARRAYFORMULA(HLOOKUP($B4, IMPORTRANGE('Prelim Rankings Unsorte"&amp;"d'!$B$41, CONCAT(VLOOKUP($C4, 'Match Names'!$A$1:$D$22, 3, FALSE), ""!C3:R29"")), {7;13;19;24}, FALSE)), ""=-4"") + COUNTIF(ARRAYFORMULA(HLOOKUP($B4, IMPORTRANGE('Prelim Rankings Unsorted'!$B$42, CONCAT(VLOOKUP($C4, 'Match Names'!$A$1:$D$22, 4, FALSE), """&amp;"!C3:R29"")), {7;13;19;24}, FALSE)), ""=-4"") + COUNTIF(ARRAYFORMULA(HLOOKUP($B4, IMPORTRANGE('Match Names'!$E$23, CONCAT(VLOOKUP($C4, 'Match Names'!$1:$22, 5, FALSE), ""!C3:R29"")), {2;8;12;22}, FALSE)), ""=-4"") + COUNTIF(ARRAYFORMULA(HLOOKUP($B4, IMPORT"&amp;"RANGE('Match Names'!$F$23, CONCAT(VLOOKUP($C4, 'Match Names'!$1:$22, 6, FALSE), ""!C3:R29"")), {3;9;15;21}, FALSE)), ""=-4"") + COUNTIF(ARRAYFORMULA(HLOOKUP($B4, IMPORTRANGE('Match Names'!$G$23, CONCAT(VLOOKUP($C4, 'Match Names'!$1:$22, 7, FALSE), ""!C3:R"&amp;"29"")), {3;8;12;18}, FALSE)), ""=-4"") + COUNTIF(ARRAYFORMULA(HLOOKUP($B4, IMPORTRANGE('Match Names'!$H$23, CONCAT(VLOOKUP($C4, 'Match Names'!$1:$22, 8, FALSE), ""!C3:R29"")), {7;13;19;24}, FALSE)), ""=-4"")"),0.0)</f>
        <v>0</v>
      </c>
      <c r="H4" s="33">
        <f t="shared" si="1"/>
        <v>0</v>
      </c>
    </row>
    <row r="5">
      <c r="A5" s="7" t="s">
        <v>78</v>
      </c>
      <c r="B5" s="7" t="str">
        <f>VLOOKUP(CONCAT(A5, C5), 'Discord Username to Real Name'!C:D, 2, FALSE)</f>
        <v>avaa#8678</v>
      </c>
      <c r="C5" s="7" t="s">
        <v>5</v>
      </c>
      <c r="D5" s="32">
        <f>IFERROR(__xludf.DUMMYFUNCTION("(4 - COUNTIF(IFERROR(ARRAYFORMULA(HLOOKUP($B5, IMPORTRANGE('Prelim Rankings Unsorted'!$B$40, CONCAT(VLOOKUP($C5, 'Match Names'!$A$1:$D$22, 2, FALSE), ""!C3:R29"")), {4;9;15;21}, FALSE)), 'Player Overall Stats Unsorted'!$AA$9:$AA$12), ""=X"")) + (4 - COUNT"&amp;"IF(IFERROR(ARRAYFORMULA(HLOOKUP($B5, IMPORTRANGE('Prelim Rankings Unsorted'!$B$41, CONCAT(VLOOKUP($C5, 'Match Names'!$A$1:$D$22, 3, FALSE), ""!C3:R29"")), {7;13;19;24}, FALSE)), 'Player Overall Stats Unsorted'!$AA$9:$AA$12), ""=X"")) + (4 - COUNTIF(IFERRO"&amp;"R(ARRAYFORMULA(HLOOKUP($B5, IMPORTRANGE('Prelim Rankings Unsorted'!$B$42, CONCAT(VLOOKUP($C5, 'Match Names'!$A$1:$D$22, 4, FALSE), ""!C3:R29"")), {7;13;19;24}, FALSE)), 'Player Overall Stats Unsorted'!$AA$9:$AA$12), ""=X"")) + (4 - COUNTIF(IFERROR(ARRAYFO"&amp;"RMULA(HLOOKUP($B5, IMPORTRANGE('Match Names'!$E$23, CONCAT(VLOOKUP($C5, 'Match Names'!$1:$22, 5, FALSE), ""!C3:R29"")), {2;8;12;22}, FALSE)), 'Player Overall Stats Unsorted'!$AA$9:$AA$12), ""=X"")) + (4 - COUNTIF(IFERROR(ARRAYFORMULA(HLOOKUP($B5, IMPORTRA"&amp;"NGE('Match Names'!$F$23, CONCAT(VLOOKUP($C5, 'Match Names'!$1:$22, 6, FALSE), ""!C3:R29"")), {3;9;15;21}, FALSE)), 'Player Overall Stats Unsorted'!$AA$9:$AA$12), ""=X"")) + (4 - COUNTIF(IFERROR(ARRAYFORMULA(HLOOKUP($B5, IMPORTRANGE('Match Names'!$G$23, CO"&amp;"NCAT(VLOOKUP($C5, 'Match Names'!$1:$22, 7, FALSE), ""!C3:R29"")), {3;8;12;18}, FALSE)), 'Player Overall Stats Unsorted'!$AA$9:$AA$12), ""=X"")) + (4 - COUNTIF(IFERROR(ARRAYFORMULA(HLOOKUP($B5, IMPORTRANGE('Match Names'!$H$23, CONCAT(VLOOKUP($C5, 'Match Na"&amp;"mes'!$1:$22, 8, FALSE), ""!C3:R29"")), {7;13;19;24}, FALSE)), 'Player Overall Stats Unsorted'!$AA$9:$AA$12), ""=X""))"),8.0)</f>
        <v>8</v>
      </c>
      <c r="E5" s="32">
        <f>IFERROR(__xludf.DUMMYFUNCTION("COUNTIF(ARRAYFORMULA(HLOOKUP($B5, IMPORTRANGE('Prelim Rankings Unsorted'!$B$40, CONCAT(VLOOKUP($C5, 'Match Names'!$A$1:$D$22, 2, FALSE), ""!C3:R29"")), {4;9;15;21}, FALSE)), ""=4"") + COUNTIF(ARRAYFORMULA(HLOOKUP($B5, IMPORTRANGE('Prelim Rankings Unsorted"&amp;"'!$B$41, CONCAT(VLOOKUP($C5, 'Match Names'!$A$1:$D$22, 3, FALSE), ""!C3:R29"")), {7;13;19;24}, FALSE)), ""=4"") + COUNTIF(ARRAYFORMULA(HLOOKUP($B5, IMPORTRANGE('Prelim Rankings Unsorted'!$B$42, CONCAT(VLOOKUP($C5, 'Match Names'!$A$1:$D$22, 4, FALSE), ""!C"&amp;"3:R29"")), {7;13;19;24}, FALSE)), ""=4"") + COUNTIF(ARRAYFORMULA(HLOOKUP($B5, IMPORTRANGE('Match Names'!$E$23, CONCAT(VLOOKUP($C5, 'Match Names'!$1:$22, 5, FALSE), ""!C3:R29"")), {2;8;12;22}, FALSE)), ""=4"") + COUNTIF(ARRAYFORMULA(HLOOKUP($B5, IMPORTRANG"&amp;"E('Match Names'!$F$23, CONCAT(VLOOKUP($C5, 'Match Names'!$1:$22, 6, FALSE), ""!C3:R29"")), {3;9;15;21}, FALSE)), ""=4"") + COUNTIF(ARRAYFORMULA(HLOOKUP($B5, IMPORTRANGE('Match Names'!$G$23, CONCAT(VLOOKUP($C5, 'Match Names'!$1:$22, 7, FALSE), ""!C3:R29"")"&amp;"), {3;8;12;18}, FALSE)), ""=4"") + COUNTIF(ARRAYFORMULA(HLOOKUP($B5, IMPORTRANGE('Match Names'!$H$23, CONCAT(VLOOKUP($C5, 'Match Names'!$1:$22, 8, FALSE), ""!C3:R29"")), {7;13;19;24}, FALSE)), ""=4"")"),0.0)</f>
        <v>0</v>
      </c>
      <c r="F5" s="32">
        <f>IFERROR(__xludf.DUMMYFUNCTION("COUNTIF(ARRAYFORMULA(HLOOKUP($B5, IMPORTRANGE('Prelim Rankings Unsorted'!$B$40, CONCAT(VLOOKUP($C5, 'Match Names'!$A$1:$D$22, 2, FALSE), ""!C3:R29"")), {4;9;15;21}, FALSE)), ""=0"") + COUNTIF(ARRAYFORMULA(HLOOKUP($B5, IMPORTRANGE('Prelim Rankings Unsorted"&amp;"'!$B$41, CONCAT(VLOOKUP($C5, 'Match Names'!$A$1:$D$22, 3, FALSE), ""!C3:R29"")), {7;13;19;24}, FALSE)), ""=0"") + COUNTIF(ARRAYFORMULA(HLOOKUP($B5, IMPORTRANGE('Prelim Rankings Unsorted'!$B$42, CONCAT(VLOOKUP($C5, 'Match Names'!$A$1:$D$22, 4, FALSE), ""!C"&amp;"3:R29"")), {7;13;19;24}, FALSE)), ""=0"") + COUNTIF(ARRAYFORMULA(HLOOKUP($B5, IMPORTRANGE('Match Names'!$E$23, CONCAT(VLOOKUP($C5, 'Match Names'!$1:$22, 5, FALSE), ""!C3:R29"")), {2;8;12;22}, FALSE)), ""=0"") + COUNTIF(ARRAYFORMULA(HLOOKUP($B5, IMPORTRANG"&amp;"E('Match Names'!$F$23, CONCAT(VLOOKUP($C5, 'Match Names'!$1:$22, 6, FALSE), ""!C3:R29"")), {3;9;15;21}, FALSE)), ""=0"") + COUNTIF(ARRAYFORMULA(HLOOKUP($B5, IMPORTRANGE('Match Names'!$G$23, CONCAT(VLOOKUP($C5, 'Match Names'!$1:$22, 7, FALSE), ""!C3:R29"")"&amp;"), {3;8;12;18}, FALSE)), ""=0"") + COUNTIF(ARRAYFORMULA(HLOOKUP($B5, IMPORTRANGE('Match Names'!$H$23, CONCAT(VLOOKUP($C5, 'Match Names'!$1:$22, 8, FALSE), ""!C3:R29"")), {7;13;19;24}, FALSE)), ""=0"")"),0.0)</f>
        <v>0</v>
      </c>
      <c r="G5" s="32">
        <f>IFERROR(__xludf.DUMMYFUNCTION("COUNTIF(ARRAYFORMULA(HLOOKUP($B5, IMPORTRANGE('Prelim Rankings Unsorted'!$B$40, CONCAT(VLOOKUP($C5, 'Match Names'!$A$1:$D$22, 2, FALSE), ""!C3:R29"")), {4;9;15;21}, FALSE)), ""=-4"") + COUNTIF(ARRAYFORMULA(HLOOKUP($B5, IMPORTRANGE('Prelim Rankings Unsorte"&amp;"d'!$B$41, CONCAT(VLOOKUP($C5, 'Match Names'!$A$1:$D$22, 3, FALSE), ""!C3:R29"")), {7;13;19;24}, FALSE)), ""=-4"") + COUNTIF(ARRAYFORMULA(HLOOKUP($B5, IMPORTRANGE('Prelim Rankings Unsorted'!$B$42, CONCAT(VLOOKUP($C5, 'Match Names'!$A$1:$D$22, 4, FALSE), """&amp;"!C3:R29"")), {7;13;19;24}, FALSE)), ""=-4"") + COUNTIF(ARRAYFORMULA(HLOOKUP($B5, IMPORTRANGE('Match Names'!$E$23, CONCAT(VLOOKUP($C5, 'Match Names'!$1:$22, 5, FALSE), ""!C3:R29"")), {2;8;12;22}, FALSE)), ""=-4"") + COUNTIF(ARRAYFORMULA(HLOOKUP($B5, IMPORT"&amp;"RANGE('Match Names'!$F$23, CONCAT(VLOOKUP($C5, 'Match Names'!$1:$22, 6, FALSE), ""!C3:R29"")), {3;9;15;21}, FALSE)), ""=-4"") + COUNTIF(ARRAYFORMULA(HLOOKUP($B5, IMPORTRANGE('Match Names'!$G$23, CONCAT(VLOOKUP($C5, 'Match Names'!$1:$22, 7, FALSE), ""!C3:R"&amp;"29"")), {3;8;12;18}, FALSE)), ""=-4"") + COUNTIF(ARRAYFORMULA(HLOOKUP($B5, IMPORTRANGE('Match Names'!$H$23, CONCAT(VLOOKUP($C5, 'Match Names'!$1:$22, 8, FALSE), ""!C3:R29"")), {7;13;19;24}, FALSE)), ""=-4"")"),0.0)</f>
        <v>0</v>
      </c>
      <c r="H5" s="33">
        <f t="shared" si="1"/>
        <v>0</v>
      </c>
    </row>
    <row r="6">
      <c r="A6" s="7" t="s">
        <v>146</v>
      </c>
      <c r="B6" s="7" t="str">
        <f>VLOOKUP(CONCAT(A6, C6), 'Discord Username to Real Name'!C:D, 2, FALSE)</f>
        <v>Kevin Yang#3870</v>
      </c>
      <c r="C6" s="7" t="s">
        <v>5</v>
      </c>
      <c r="D6" s="32">
        <f>IFERROR(__xludf.DUMMYFUNCTION("(4 - COUNTIF(IFERROR(ARRAYFORMULA(HLOOKUP($B6, IMPORTRANGE('Prelim Rankings Unsorted'!$B$40, CONCAT(VLOOKUP($C6, 'Match Names'!$A$1:$D$22, 2, FALSE), ""!C3:R29"")), {4;9;15;21}, FALSE)), 'Player Overall Stats Unsorted'!$AA$9:$AA$12), ""=X"")) + (4 - COUNT"&amp;"IF(IFERROR(ARRAYFORMULA(HLOOKUP($B6, IMPORTRANGE('Prelim Rankings Unsorted'!$B$41, CONCAT(VLOOKUP($C6, 'Match Names'!$A$1:$D$22, 3, FALSE), ""!C3:R29"")), {7;13;19;24}, FALSE)), 'Player Overall Stats Unsorted'!$AA$9:$AA$12), ""=X"")) + (4 - COUNTIF(IFERRO"&amp;"R(ARRAYFORMULA(HLOOKUP($B6, IMPORTRANGE('Prelim Rankings Unsorted'!$B$42, CONCAT(VLOOKUP($C6, 'Match Names'!$A$1:$D$22, 4, FALSE), ""!C3:R29"")), {7;13;19;24}, FALSE)), 'Player Overall Stats Unsorted'!$AA$9:$AA$12), ""=X"")) + (4 - COUNTIF(IFERROR(ARRAYFO"&amp;"RMULA(HLOOKUP($B6, IMPORTRANGE('Match Names'!$E$23, CONCAT(VLOOKUP($C6, 'Match Names'!$1:$22, 5, FALSE), ""!C3:R29"")), {2;8;12;22}, FALSE)), 'Player Overall Stats Unsorted'!$AA$9:$AA$12), ""=X"")) + (4 - COUNTIF(IFERROR(ARRAYFORMULA(HLOOKUP($B6, IMPORTRA"&amp;"NGE('Match Names'!$F$23, CONCAT(VLOOKUP($C6, 'Match Names'!$1:$22, 6, FALSE), ""!C3:R29"")), {3;9;15;21}, FALSE)), 'Player Overall Stats Unsorted'!$AA$9:$AA$12), ""=X"")) + (4 - COUNTIF(IFERROR(ARRAYFORMULA(HLOOKUP($B6, IMPORTRANGE('Match Names'!$G$23, CO"&amp;"NCAT(VLOOKUP($C6, 'Match Names'!$1:$22, 7, FALSE), ""!C3:R29"")), {3;8;12;18}, FALSE)), 'Player Overall Stats Unsorted'!$AA$9:$AA$12), ""=X"")) + (4 - COUNTIF(IFERROR(ARRAYFORMULA(HLOOKUP($B6, IMPORTRANGE('Match Names'!$H$23, CONCAT(VLOOKUP($C6, 'Match Na"&amp;"mes'!$1:$22, 8, FALSE), ""!C3:R29"")), {7;13;19;24}, FALSE)), 'Player Overall Stats Unsorted'!$AA$9:$AA$12), ""=X""))"),12.0)</f>
        <v>12</v>
      </c>
      <c r="E6" s="32">
        <f>IFERROR(__xludf.DUMMYFUNCTION("COUNTIF(ARRAYFORMULA(HLOOKUP($B6, IMPORTRANGE('Prelim Rankings Unsorted'!$B$40, CONCAT(VLOOKUP($C6, 'Match Names'!$A$1:$D$22, 2, FALSE), ""!C3:R29"")), {4;9;15;21}, FALSE)), ""=4"") + COUNTIF(ARRAYFORMULA(HLOOKUP($B6, IMPORTRANGE('Prelim Rankings Unsorted"&amp;"'!$B$41, CONCAT(VLOOKUP($C6, 'Match Names'!$A$1:$D$22, 3, FALSE), ""!C3:R29"")), {7;13;19;24}, FALSE)), ""=4"") + COUNTIF(ARRAYFORMULA(HLOOKUP($B6, IMPORTRANGE('Prelim Rankings Unsorted'!$B$42, CONCAT(VLOOKUP($C6, 'Match Names'!$A$1:$D$22, 4, FALSE), ""!C"&amp;"3:R29"")), {7;13;19;24}, FALSE)), ""=4"") + COUNTIF(ARRAYFORMULA(HLOOKUP($B6, IMPORTRANGE('Match Names'!$E$23, CONCAT(VLOOKUP($C6, 'Match Names'!$1:$22, 5, FALSE), ""!C3:R29"")), {2;8;12;22}, FALSE)), ""=4"") + COUNTIF(ARRAYFORMULA(HLOOKUP($B6, IMPORTRANG"&amp;"E('Match Names'!$F$23, CONCAT(VLOOKUP($C6, 'Match Names'!$1:$22, 6, FALSE), ""!C3:R29"")), {3;9;15;21}, FALSE)), ""=4"") + COUNTIF(ARRAYFORMULA(HLOOKUP($B6, IMPORTRANGE('Match Names'!$G$23, CONCAT(VLOOKUP($C6, 'Match Names'!$1:$22, 7, FALSE), ""!C3:R29"")"&amp;"), {3;8;12;18}, FALSE)), ""=4"") + COUNTIF(ARRAYFORMULA(HLOOKUP($B6, IMPORTRANGE('Match Names'!$H$23, CONCAT(VLOOKUP($C6, 'Match Names'!$1:$22, 8, FALSE), ""!C3:R29"")), {7;13;19;24}, FALSE)), ""=4"")"),0.0)</f>
        <v>0</v>
      </c>
      <c r="F6" s="32">
        <f>IFERROR(__xludf.DUMMYFUNCTION("COUNTIF(ARRAYFORMULA(HLOOKUP($B6, IMPORTRANGE('Prelim Rankings Unsorted'!$B$40, CONCAT(VLOOKUP($C6, 'Match Names'!$A$1:$D$22, 2, FALSE), ""!C3:R29"")), {4;9;15;21}, FALSE)), ""=0"") + COUNTIF(ARRAYFORMULA(HLOOKUP($B6, IMPORTRANGE('Prelim Rankings Unsorted"&amp;"'!$B$41, CONCAT(VLOOKUP($C6, 'Match Names'!$A$1:$D$22, 3, FALSE), ""!C3:R29"")), {7;13;19;24}, FALSE)), ""=0"") + COUNTIF(ARRAYFORMULA(HLOOKUP($B6, IMPORTRANGE('Prelim Rankings Unsorted'!$B$42, CONCAT(VLOOKUP($C6, 'Match Names'!$A$1:$D$22, 4, FALSE), ""!C"&amp;"3:R29"")), {7;13;19;24}, FALSE)), ""=0"") + COUNTIF(ARRAYFORMULA(HLOOKUP($B6, IMPORTRANGE('Match Names'!$E$23, CONCAT(VLOOKUP($C6, 'Match Names'!$1:$22, 5, FALSE), ""!C3:R29"")), {2;8;12;22}, FALSE)), ""=0"") + COUNTIF(ARRAYFORMULA(HLOOKUP($B6, IMPORTRANG"&amp;"E('Match Names'!$F$23, CONCAT(VLOOKUP($C6, 'Match Names'!$1:$22, 6, FALSE), ""!C3:R29"")), {3;9;15;21}, FALSE)), ""=0"") + COUNTIF(ARRAYFORMULA(HLOOKUP($B6, IMPORTRANGE('Match Names'!$G$23, CONCAT(VLOOKUP($C6, 'Match Names'!$1:$22, 7, FALSE), ""!C3:R29"")"&amp;"), {3;8;12;18}, FALSE)), ""=0"") + COUNTIF(ARRAYFORMULA(HLOOKUP($B6, IMPORTRANGE('Match Names'!$H$23, CONCAT(VLOOKUP($C6, 'Match Names'!$1:$22, 8, FALSE), ""!C3:R29"")), {7;13;19;24}, FALSE)), ""=0"")"),0.0)</f>
        <v>0</v>
      </c>
      <c r="G6" s="32">
        <f>IFERROR(__xludf.DUMMYFUNCTION("COUNTIF(ARRAYFORMULA(HLOOKUP($B6, IMPORTRANGE('Prelim Rankings Unsorted'!$B$40, CONCAT(VLOOKUP($C6, 'Match Names'!$A$1:$D$22, 2, FALSE), ""!C3:R29"")), {4;9;15;21}, FALSE)), ""=-4"") + COUNTIF(ARRAYFORMULA(HLOOKUP($B6, IMPORTRANGE('Prelim Rankings Unsorte"&amp;"d'!$B$41, CONCAT(VLOOKUP($C6, 'Match Names'!$A$1:$D$22, 3, FALSE), ""!C3:R29"")), {7;13;19;24}, FALSE)), ""=-4"") + COUNTIF(ARRAYFORMULA(HLOOKUP($B6, IMPORTRANGE('Prelim Rankings Unsorted'!$B$42, CONCAT(VLOOKUP($C6, 'Match Names'!$A$1:$D$22, 4, FALSE), """&amp;"!C3:R29"")), {7;13;19;24}, FALSE)), ""=-4"") + COUNTIF(ARRAYFORMULA(HLOOKUP($B6, IMPORTRANGE('Match Names'!$E$23, CONCAT(VLOOKUP($C6, 'Match Names'!$1:$22, 5, FALSE), ""!C3:R29"")), {2;8;12;22}, FALSE)), ""=-4"") + COUNTIF(ARRAYFORMULA(HLOOKUP($B6, IMPORT"&amp;"RANGE('Match Names'!$F$23, CONCAT(VLOOKUP($C6, 'Match Names'!$1:$22, 6, FALSE), ""!C3:R29"")), {3;9;15;21}, FALSE)), ""=-4"") + COUNTIF(ARRAYFORMULA(HLOOKUP($B6, IMPORTRANGE('Match Names'!$G$23, CONCAT(VLOOKUP($C6, 'Match Names'!$1:$22, 7, FALSE), ""!C3:R"&amp;"29"")), {3;8;12;18}, FALSE)), ""=-4"") + COUNTIF(ARRAYFORMULA(HLOOKUP($B6, IMPORTRANGE('Match Names'!$H$23, CONCAT(VLOOKUP($C6, 'Match Names'!$1:$22, 8, FALSE), ""!C3:R29"")), {7;13;19;24}, FALSE)), ""=-4"")"),0.0)</f>
        <v>0</v>
      </c>
      <c r="H6" s="33">
        <f t="shared" si="1"/>
        <v>0</v>
      </c>
    </row>
    <row r="7">
      <c r="A7" s="17" t="s">
        <v>198</v>
      </c>
      <c r="B7" s="18" t="str">
        <f>VLOOKUP(CONCAT(A7, C7), 'Discord Username to Real Name'!C:D, 2, FALSE)</f>
        <v/>
      </c>
      <c r="C7" s="19" t="s">
        <v>5</v>
      </c>
      <c r="D7" s="32">
        <f>IFERROR(__xludf.DUMMYFUNCTION("(4 - COUNTIF(IFERROR(ARRAYFORMULA(HLOOKUP($B7, IMPORTRANGE('Prelim Rankings Unsorted'!$B$40, CONCAT(VLOOKUP($C7, 'Match Names'!$A$1:$D$22, 2, FALSE), ""!C3:R29"")), {4;9;15;21}, FALSE)), 'Player Overall Stats Unsorted'!$AA$9:$AA$12), ""=X"")) + (4 - COUNT"&amp;"IF(IFERROR(ARRAYFORMULA(HLOOKUP($B7, IMPORTRANGE('Prelim Rankings Unsorted'!$B$41, CONCAT(VLOOKUP($C7, 'Match Names'!$A$1:$D$22, 3, FALSE), ""!C3:R29"")), {7;13;19;24}, FALSE)), 'Player Overall Stats Unsorted'!$AA$9:$AA$12), ""=X"")) + (4 - COUNTIF(IFERRO"&amp;"R(ARRAYFORMULA(HLOOKUP($B7, IMPORTRANGE('Prelim Rankings Unsorted'!$B$42, CONCAT(VLOOKUP($C7, 'Match Names'!$A$1:$D$22, 4, FALSE), ""!C3:R29"")), {7;13;19;24}, FALSE)), 'Player Overall Stats Unsorted'!$AA$9:$AA$12), ""=X"")) + (4 - COUNTIF(IFERROR(ARRAYFO"&amp;"RMULA(HLOOKUP($B7, IMPORTRANGE('Match Names'!$E$23, CONCAT(VLOOKUP($C7, 'Match Names'!$1:$22, 5, FALSE), ""!C3:R29"")), {2;8;12;22}, FALSE)), 'Player Overall Stats Unsorted'!$AA$9:$AA$12), ""=X"")) + (4 - COUNTIF(IFERROR(ARRAYFORMULA(HLOOKUP($B7, IMPORTRA"&amp;"NGE('Match Names'!$F$23, CONCAT(VLOOKUP($C7, 'Match Names'!$1:$22, 6, FALSE), ""!C3:R29"")), {3;9;15;21}, FALSE)), 'Player Overall Stats Unsorted'!$AA$9:$AA$12), ""=X"")) + (4 - COUNTIF(IFERROR(ARRAYFORMULA(HLOOKUP($B7, IMPORTRANGE('Match Names'!$G$23, CO"&amp;"NCAT(VLOOKUP($C7, 'Match Names'!$1:$22, 7, FALSE), ""!C3:R29"")), {3;8;12;18}, FALSE)), 'Player Overall Stats Unsorted'!$AA$9:$AA$12), ""=X"")) + (4 - COUNTIF(IFERROR(ARRAYFORMULA(HLOOKUP($B7, IMPORTRANGE('Match Names'!$H$23, CONCAT(VLOOKUP($C7, 'Match Na"&amp;"mes'!$1:$22, 8, FALSE), ""!C3:R29"")), {7;13;19;24}, FALSE)), 'Player Overall Stats Unsorted'!$AA$9:$AA$12), ""=X""))"),0.0)</f>
        <v>0</v>
      </c>
      <c r="E7" s="32">
        <f>IFERROR(__xludf.DUMMYFUNCTION("COUNTIF(ARRAYFORMULA(HLOOKUP($B7, IMPORTRANGE('Prelim Rankings Unsorted'!$B$40, CONCAT(VLOOKUP($C7, 'Match Names'!$A$1:$D$22, 2, FALSE), ""!C3:R29"")), {4;9;15;21}, FALSE)), ""=4"") + COUNTIF(ARRAYFORMULA(HLOOKUP($B7, IMPORTRANGE('Prelim Rankings Unsorted"&amp;"'!$B$41, CONCAT(VLOOKUP($C7, 'Match Names'!$A$1:$D$22, 3, FALSE), ""!C3:R29"")), {7;13;19;24}, FALSE)), ""=4"") + COUNTIF(ARRAYFORMULA(HLOOKUP($B7, IMPORTRANGE('Prelim Rankings Unsorted'!$B$42, CONCAT(VLOOKUP($C7, 'Match Names'!$A$1:$D$22, 4, FALSE), ""!C"&amp;"3:R29"")), {7;13;19;24}, FALSE)), ""=4"") + COUNTIF(ARRAYFORMULA(HLOOKUP($B7, IMPORTRANGE('Match Names'!$E$23, CONCAT(VLOOKUP($C7, 'Match Names'!$1:$22, 5, FALSE), ""!C3:R29"")), {2;8;12;22}, FALSE)), ""=4"") + COUNTIF(ARRAYFORMULA(HLOOKUP($B7, IMPORTRANG"&amp;"E('Match Names'!$F$23, CONCAT(VLOOKUP($C7, 'Match Names'!$1:$22, 6, FALSE), ""!C3:R29"")), {3;9;15;21}, FALSE)), ""=4"") + COUNTIF(ARRAYFORMULA(HLOOKUP($B7, IMPORTRANGE('Match Names'!$G$23, CONCAT(VLOOKUP($C7, 'Match Names'!$1:$22, 7, FALSE), ""!C3:R29"")"&amp;"), {3;8;12;18}, FALSE)), ""=4"") + COUNTIF(ARRAYFORMULA(HLOOKUP($B7, IMPORTRANGE('Match Names'!$H$23, CONCAT(VLOOKUP($C7, 'Match Names'!$1:$22, 8, FALSE), ""!C3:R29"")), {7;13;19;24}, FALSE)), ""=4"")"),0.0)</f>
        <v>0</v>
      </c>
      <c r="F7" s="32">
        <f>IFERROR(__xludf.DUMMYFUNCTION("COUNTIF(ARRAYFORMULA(HLOOKUP($B7, IMPORTRANGE('Prelim Rankings Unsorted'!$B$40, CONCAT(VLOOKUP($C7, 'Match Names'!$A$1:$D$22, 2, FALSE), ""!C3:R29"")), {4;9;15;21}, FALSE)), ""=0"") + COUNTIF(ARRAYFORMULA(HLOOKUP($B7, IMPORTRANGE('Prelim Rankings Unsorted"&amp;"'!$B$41, CONCAT(VLOOKUP($C7, 'Match Names'!$A$1:$D$22, 3, FALSE), ""!C3:R29"")), {7;13;19;24}, FALSE)), ""=0"") + COUNTIF(ARRAYFORMULA(HLOOKUP($B7, IMPORTRANGE('Prelim Rankings Unsorted'!$B$42, CONCAT(VLOOKUP($C7, 'Match Names'!$A$1:$D$22, 4, FALSE), ""!C"&amp;"3:R29"")), {7;13;19;24}, FALSE)), ""=0"") + COUNTIF(ARRAYFORMULA(HLOOKUP($B7, IMPORTRANGE('Match Names'!$E$23, CONCAT(VLOOKUP($C7, 'Match Names'!$1:$22, 5, FALSE), ""!C3:R29"")), {2;8;12;22}, FALSE)), ""=0"") + COUNTIF(ARRAYFORMULA(HLOOKUP($B7, IMPORTRANG"&amp;"E('Match Names'!$F$23, CONCAT(VLOOKUP($C7, 'Match Names'!$1:$22, 6, FALSE), ""!C3:R29"")), {3;9;15;21}, FALSE)), ""=0"") + COUNTIF(ARRAYFORMULA(HLOOKUP($B7, IMPORTRANGE('Match Names'!$G$23, CONCAT(VLOOKUP($C7, 'Match Names'!$1:$22, 7, FALSE), ""!C3:R29"")"&amp;"), {3;8;12;18}, FALSE)), ""=0"") + COUNTIF(ARRAYFORMULA(HLOOKUP($B7, IMPORTRANGE('Match Names'!$H$23, CONCAT(VLOOKUP($C7, 'Match Names'!$1:$22, 8, FALSE), ""!C3:R29"")), {7;13;19;24}, FALSE)), ""=0"")"),0.0)</f>
        <v>0</v>
      </c>
      <c r="G7" s="32">
        <f>IFERROR(__xludf.DUMMYFUNCTION("COUNTIF(ARRAYFORMULA(HLOOKUP($B7, IMPORTRANGE('Prelim Rankings Unsorted'!$B$40, CONCAT(VLOOKUP($C7, 'Match Names'!$A$1:$D$22, 2, FALSE), ""!C3:R29"")), {4;9;15;21}, FALSE)), ""=-4"") + COUNTIF(ARRAYFORMULA(HLOOKUP($B7, IMPORTRANGE('Prelim Rankings Unsorte"&amp;"d'!$B$41, CONCAT(VLOOKUP($C7, 'Match Names'!$A$1:$D$22, 3, FALSE), ""!C3:R29"")), {7;13;19;24}, FALSE)), ""=-4"") + COUNTIF(ARRAYFORMULA(HLOOKUP($B7, IMPORTRANGE('Prelim Rankings Unsorted'!$B$42, CONCAT(VLOOKUP($C7, 'Match Names'!$A$1:$D$22, 4, FALSE), """&amp;"!C3:R29"")), {7;13;19;24}, FALSE)), ""=-4"") + COUNTIF(ARRAYFORMULA(HLOOKUP($B7, IMPORTRANGE('Match Names'!$E$23, CONCAT(VLOOKUP($C7, 'Match Names'!$1:$22, 5, FALSE), ""!C3:R29"")), {2;8;12;22}, FALSE)), ""=-4"") + COUNTIF(ARRAYFORMULA(HLOOKUP($B7, IMPORT"&amp;"RANGE('Match Names'!$F$23, CONCAT(VLOOKUP($C7, 'Match Names'!$1:$22, 6, FALSE), ""!C3:R29"")), {3;9;15;21}, FALSE)), ""=-4"") + COUNTIF(ARRAYFORMULA(HLOOKUP($B7, IMPORTRANGE('Match Names'!$G$23, CONCAT(VLOOKUP($C7, 'Match Names'!$1:$22, 7, FALSE), ""!C3:R"&amp;"29"")), {3;8;12;18}, FALSE)), ""=-4"") + COUNTIF(ARRAYFORMULA(HLOOKUP($B7, IMPORTRANGE('Match Names'!$H$23, CONCAT(VLOOKUP($C7, 'Match Names'!$1:$22, 8, FALSE), ""!C3:R29"")), {7;13;19;24}, FALSE)), ""=-4"")"),0.0)</f>
        <v>0</v>
      </c>
      <c r="H7" s="33">
        <f t="shared" si="1"/>
        <v>0</v>
      </c>
    </row>
    <row r="8">
      <c r="A8" s="7" t="s">
        <v>200</v>
      </c>
      <c r="B8" s="7" t="str">
        <f>VLOOKUP(CONCAT(A8, C8), 'Discord Username to Real Name'!C:D, 2, FALSE)</f>
        <v>Victoria123#0687</v>
      </c>
      <c r="C8" s="7" t="s">
        <v>5</v>
      </c>
      <c r="D8" s="32">
        <f>IFERROR(__xludf.DUMMYFUNCTION("(4 - COUNTIF(IFERROR(ARRAYFORMULA(HLOOKUP($B8, IMPORTRANGE('Prelim Rankings Unsorted'!$B$40, CONCAT(VLOOKUP($C8, 'Match Names'!$A$1:$D$22, 2, FALSE), ""!C3:R29"")), {4;9;15;21}, FALSE)), 'Player Overall Stats Unsorted'!$AA$9:$AA$12), ""=X"")) + (4 - COUNT"&amp;"IF(IFERROR(ARRAYFORMULA(HLOOKUP($B8, IMPORTRANGE('Prelim Rankings Unsorted'!$B$41, CONCAT(VLOOKUP($C8, 'Match Names'!$A$1:$D$22, 3, FALSE), ""!C3:R29"")), {7;13;19;24}, FALSE)), 'Player Overall Stats Unsorted'!$AA$9:$AA$12), ""=X"")) + (4 - COUNTIF(IFERRO"&amp;"R(ARRAYFORMULA(HLOOKUP($B8, IMPORTRANGE('Prelim Rankings Unsorted'!$B$42, CONCAT(VLOOKUP($C8, 'Match Names'!$A$1:$D$22, 4, FALSE), ""!C3:R29"")), {7;13;19;24}, FALSE)), 'Player Overall Stats Unsorted'!$AA$9:$AA$12), ""=X"")) + (4 - COUNTIF(IFERROR(ARRAYFO"&amp;"RMULA(HLOOKUP($B8, IMPORTRANGE('Match Names'!$E$23, CONCAT(VLOOKUP($C8, 'Match Names'!$1:$22, 5, FALSE), ""!C3:R29"")), {2;8;12;22}, FALSE)), 'Player Overall Stats Unsorted'!$AA$9:$AA$12), ""=X"")) + (4 - COUNTIF(IFERROR(ARRAYFORMULA(HLOOKUP($B8, IMPORTRA"&amp;"NGE('Match Names'!$F$23, CONCAT(VLOOKUP($C8, 'Match Names'!$1:$22, 6, FALSE), ""!C3:R29"")), {3;9;15;21}, FALSE)), 'Player Overall Stats Unsorted'!$AA$9:$AA$12), ""=X"")) + (4 - COUNTIF(IFERROR(ARRAYFORMULA(HLOOKUP($B8, IMPORTRANGE('Match Names'!$G$23, CO"&amp;"NCAT(VLOOKUP($C8, 'Match Names'!$1:$22, 7, FALSE), ""!C3:R29"")), {3;8;12;18}, FALSE)), 'Player Overall Stats Unsorted'!$AA$9:$AA$12), ""=X"")) + (4 - COUNTIF(IFERROR(ARRAYFORMULA(HLOOKUP($B8, IMPORTRANGE('Match Names'!$H$23, CONCAT(VLOOKUP($C8, 'Match Na"&amp;"mes'!$1:$22, 8, FALSE), ""!C3:R29"")), {7;13;19;24}, FALSE)), 'Player Overall Stats Unsorted'!$AA$9:$AA$12), ""=X""))"),0.0)</f>
        <v>0</v>
      </c>
      <c r="E8" s="32">
        <f>IFERROR(__xludf.DUMMYFUNCTION("COUNTIF(ARRAYFORMULA(HLOOKUP($B8, IMPORTRANGE('Prelim Rankings Unsorted'!$B$40, CONCAT(VLOOKUP($C8, 'Match Names'!$A$1:$D$22, 2, FALSE), ""!C3:R29"")), {4;9;15;21}, FALSE)), ""=4"") + COUNTIF(ARRAYFORMULA(HLOOKUP($B8, IMPORTRANGE('Prelim Rankings Unsorted"&amp;"'!$B$41, CONCAT(VLOOKUP($C8, 'Match Names'!$A$1:$D$22, 3, FALSE), ""!C3:R29"")), {7;13;19;24}, FALSE)), ""=4"") + COUNTIF(ARRAYFORMULA(HLOOKUP($B8, IMPORTRANGE('Prelim Rankings Unsorted'!$B$42, CONCAT(VLOOKUP($C8, 'Match Names'!$A$1:$D$22, 4, FALSE), ""!C"&amp;"3:R29"")), {7;13;19;24}, FALSE)), ""=4"") + COUNTIF(ARRAYFORMULA(HLOOKUP($B8, IMPORTRANGE('Match Names'!$E$23, CONCAT(VLOOKUP($C8, 'Match Names'!$1:$22, 5, FALSE), ""!C3:R29"")), {2;8;12;22}, FALSE)), ""=4"") + COUNTIF(ARRAYFORMULA(HLOOKUP($B8, IMPORTRANG"&amp;"E('Match Names'!$F$23, CONCAT(VLOOKUP($C8, 'Match Names'!$1:$22, 6, FALSE), ""!C3:R29"")), {3;9;15;21}, FALSE)), ""=4"") + COUNTIF(ARRAYFORMULA(HLOOKUP($B8, IMPORTRANGE('Match Names'!$G$23, CONCAT(VLOOKUP($C8, 'Match Names'!$1:$22, 7, FALSE), ""!C3:R29"")"&amp;"), {3;8;12;18}, FALSE)), ""=4"") + COUNTIF(ARRAYFORMULA(HLOOKUP($B8, IMPORTRANGE('Match Names'!$H$23, CONCAT(VLOOKUP($C8, 'Match Names'!$1:$22, 8, FALSE), ""!C3:R29"")), {7;13;19;24}, FALSE)), ""=4"")"),0.0)</f>
        <v>0</v>
      </c>
      <c r="F8" s="32">
        <f>IFERROR(__xludf.DUMMYFUNCTION("COUNTIF(ARRAYFORMULA(HLOOKUP($B8, IMPORTRANGE('Prelim Rankings Unsorted'!$B$40, CONCAT(VLOOKUP($C8, 'Match Names'!$A$1:$D$22, 2, FALSE), ""!C3:R29"")), {4;9;15;21}, FALSE)), ""=0"") + COUNTIF(ARRAYFORMULA(HLOOKUP($B8, IMPORTRANGE('Prelim Rankings Unsorted"&amp;"'!$B$41, CONCAT(VLOOKUP($C8, 'Match Names'!$A$1:$D$22, 3, FALSE), ""!C3:R29"")), {7;13;19;24}, FALSE)), ""=0"") + COUNTIF(ARRAYFORMULA(HLOOKUP($B8, IMPORTRANGE('Prelim Rankings Unsorted'!$B$42, CONCAT(VLOOKUP($C8, 'Match Names'!$A$1:$D$22, 4, FALSE), ""!C"&amp;"3:R29"")), {7;13;19;24}, FALSE)), ""=0"") + COUNTIF(ARRAYFORMULA(HLOOKUP($B8, IMPORTRANGE('Match Names'!$E$23, CONCAT(VLOOKUP($C8, 'Match Names'!$1:$22, 5, FALSE), ""!C3:R29"")), {2;8;12;22}, FALSE)), ""=0"") + COUNTIF(ARRAYFORMULA(HLOOKUP($B8, IMPORTRANG"&amp;"E('Match Names'!$F$23, CONCAT(VLOOKUP($C8, 'Match Names'!$1:$22, 6, FALSE), ""!C3:R29"")), {3;9;15;21}, FALSE)), ""=0"") + COUNTIF(ARRAYFORMULA(HLOOKUP($B8, IMPORTRANGE('Match Names'!$G$23, CONCAT(VLOOKUP($C8, 'Match Names'!$1:$22, 7, FALSE), ""!C3:R29"")"&amp;"), {3;8;12;18}, FALSE)), ""=0"") + COUNTIF(ARRAYFORMULA(HLOOKUP($B8, IMPORTRANGE('Match Names'!$H$23, CONCAT(VLOOKUP($C8, 'Match Names'!$1:$22, 8, FALSE), ""!C3:R29"")), {7;13;19;24}, FALSE)), ""=0"")"),0.0)</f>
        <v>0</v>
      </c>
      <c r="G8" s="32">
        <f>IFERROR(__xludf.DUMMYFUNCTION("COUNTIF(ARRAYFORMULA(HLOOKUP($B8, IMPORTRANGE('Prelim Rankings Unsorted'!$B$40, CONCAT(VLOOKUP($C8, 'Match Names'!$A$1:$D$22, 2, FALSE), ""!C3:R29"")), {4;9;15;21}, FALSE)), ""=-4"") + COUNTIF(ARRAYFORMULA(HLOOKUP($B8, IMPORTRANGE('Prelim Rankings Unsorte"&amp;"d'!$B$41, CONCAT(VLOOKUP($C8, 'Match Names'!$A$1:$D$22, 3, FALSE), ""!C3:R29"")), {7;13;19;24}, FALSE)), ""=-4"") + COUNTIF(ARRAYFORMULA(HLOOKUP($B8, IMPORTRANGE('Prelim Rankings Unsorted'!$B$42, CONCAT(VLOOKUP($C8, 'Match Names'!$A$1:$D$22, 4, FALSE), """&amp;"!C3:R29"")), {7;13;19;24}, FALSE)), ""=-4"") + COUNTIF(ARRAYFORMULA(HLOOKUP($B8, IMPORTRANGE('Match Names'!$E$23, CONCAT(VLOOKUP($C8, 'Match Names'!$1:$22, 5, FALSE), ""!C3:R29"")), {2;8;12;22}, FALSE)), ""=-4"") + COUNTIF(ARRAYFORMULA(HLOOKUP($B8, IMPORT"&amp;"RANGE('Match Names'!$F$23, CONCAT(VLOOKUP($C8, 'Match Names'!$1:$22, 6, FALSE), ""!C3:R29"")), {3;9;15;21}, FALSE)), ""=-4"") + COUNTIF(ARRAYFORMULA(HLOOKUP($B8, IMPORTRANGE('Match Names'!$G$23, CONCAT(VLOOKUP($C8, 'Match Names'!$1:$22, 7, FALSE), ""!C3:R"&amp;"29"")), {3;8;12;18}, FALSE)), ""=-4"") + COUNTIF(ARRAYFORMULA(HLOOKUP($B8, IMPORTRANGE('Match Names'!$H$23, CONCAT(VLOOKUP($C8, 'Match Names'!$1:$22, 8, FALSE), ""!C3:R29"")), {7;13;19;24}, FALSE)), ""=-4"")"),0.0)</f>
        <v>0</v>
      </c>
      <c r="H8" s="33">
        <f t="shared" si="1"/>
        <v>0</v>
      </c>
    </row>
    <row r="9">
      <c r="A9" s="7" t="s">
        <v>82</v>
      </c>
      <c r="B9" s="7" t="str">
        <f>VLOOKUP(CONCAT(A9, C9), 'Discord Username to Real Name'!C:D, 2, FALSE)</f>
        <v>IAmNotJerry#6312</v>
      </c>
      <c r="C9" s="7" t="s">
        <v>5</v>
      </c>
      <c r="D9" s="32">
        <f>IFERROR(__xludf.DUMMYFUNCTION("(4 - COUNTIF(IFERROR(ARRAYFORMULA(HLOOKUP($B9, IMPORTRANGE('Prelim Rankings Unsorted'!$B$40, CONCAT(VLOOKUP($C9, 'Match Names'!$A$1:$D$22, 2, FALSE), ""!C3:R29"")), {4;9;15;21}, FALSE)), 'Player Overall Stats Unsorted'!$AA$9:$AA$12), ""=X"")) + (4 - COUNT"&amp;"IF(IFERROR(ARRAYFORMULA(HLOOKUP($B9, IMPORTRANGE('Prelim Rankings Unsorted'!$B$41, CONCAT(VLOOKUP($C9, 'Match Names'!$A$1:$D$22, 3, FALSE), ""!C3:R29"")), {7;13;19;24}, FALSE)), 'Player Overall Stats Unsorted'!$AA$9:$AA$12), ""=X"")) + (4 - COUNTIF(IFERRO"&amp;"R(ARRAYFORMULA(HLOOKUP($B9, IMPORTRANGE('Prelim Rankings Unsorted'!$B$42, CONCAT(VLOOKUP($C9, 'Match Names'!$A$1:$D$22, 4, FALSE), ""!C3:R29"")), {7;13;19;24}, FALSE)), 'Player Overall Stats Unsorted'!$AA$9:$AA$12), ""=X"")) + (4 - COUNTIF(IFERROR(ARRAYFO"&amp;"RMULA(HLOOKUP($B9, IMPORTRANGE('Match Names'!$E$23, CONCAT(VLOOKUP($C9, 'Match Names'!$1:$22, 5, FALSE), ""!C3:R29"")), {2;8;12;22}, FALSE)), 'Player Overall Stats Unsorted'!$AA$9:$AA$12), ""=X"")) + (4 - COUNTIF(IFERROR(ARRAYFORMULA(HLOOKUP($B9, IMPORTRA"&amp;"NGE('Match Names'!$F$23, CONCAT(VLOOKUP($C9, 'Match Names'!$1:$22, 6, FALSE), ""!C3:R29"")), {3;9;15;21}, FALSE)), 'Player Overall Stats Unsorted'!$AA$9:$AA$12), ""=X"")) + (4 - COUNTIF(IFERROR(ARRAYFORMULA(HLOOKUP($B9, IMPORTRANGE('Match Names'!$G$23, CO"&amp;"NCAT(VLOOKUP($C9, 'Match Names'!$1:$22, 7, FALSE), ""!C3:R29"")), {3;8;12;18}, FALSE)), 'Player Overall Stats Unsorted'!$AA$9:$AA$12), ""=X"")) + (4 - COUNTIF(IFERROR(ARRAYFORMULA(HLOOKUP($B9, IMPORTRANGE('Match Names'!$H$23, CONCAT(VLOOKUP($C9, 'Match Na"&amp;"mes'!$1:$22, 8, FALSE), ""!C3:R29"")), {7;13;19;24}, FALSE)), 'Player Overall Stats Unsorted'!$AA$9:$AA$12), ""=X""))"),12.0)</f>
        <v>12</v>
      </c>
      <c r="E9" s="32">
        <f>IFERROR(__xludf.DUMMYFUNCTION("COUNTIF(ARRAYFORMULA(HLOOKUP($B9, IMPORTRANGE('Prelim Rankings Unsorted'!$B$40, CONCAT(VLOOKUP($C9, 'Match Names'!$A$1:$D$22, 2, FALSE), ""!C3:R29"")), {4;9;15;21}, FALSE)), ""=4"") + COUNTIF(ARRAYFORMULA(HLOOKUP($B9, IMPORTRANGE('Prelim Rankings Unsorted"&amp;"'!$B$41, CONCAT(VLOOKUP($C9, 'Match Names'!$A$1:$D$22, 3, FALSE), ""!C3:R29"")), {7;13;19;24}, FALSE)), ""=4"") + COUNTIF(ARRAYFORMULA(HLOOKUP($B9, IMPORTRANGE('Prelim Rankings Unsorted'!$B$42, CONCAT(VLOOKUP($C9, 'Match Names'!$A$1:$D$22, 4, FALSE), ""!C"&amp;"3:R29"")), {7;13;19;24}, FALSE)), ""=4"") + COUNTIF(ARRAYFORMULA(HLOOKUP($B9, IMPORTRANGE('Match Names'!$E$23, CONCAT(VLOOKUP($C9, 'Match Names'!$1:$22, 5, FALSE), ""!C3:R29"")), {2;8;12;22}, FALSE)), ""=4"") + COUNTIF(ARRAYFORMULA(HLOOKUP($B9, IMPORTRANG"&amp;"E('Match Names'!$F$23, CONCAT(VLOOKUP($C9, 'Match Names'!$1:$22, 6, FALSE), ""!C3:R29"")), {3;9;15;21}, FALSE)), ""=4"") + COUNTIF(ARRAYFORMULA(HLOOKUP($B9, IMPORTRANGE('Match Names'!$G$23, CONCAT(VLOOKUP($C9, 'Match Names'!$1:$22, 7, FALSE), ""!C3:R29"")"&amp;"), {3;8;12;18}, FALSE)), ""=4"") + COUNTIF(ARRAYFORMULA(HLOOKUP($B9, IMPORTRANGE('Match Names'!$H$23, CONCAT(VLOOKUP($C9, 'Match Names'!$1:$22, 8, FALSE), ""!C3:R29"")), {7;13;19;24}, FALSE)), ""=4"")"),0.0)</f>
        <v>0</v>
      </c>
      <c r="F9" s="32">
        <f>IFERROR(__xludf.DUMMYFUNCTION("COUNTIF(ARRAYFORMULA(HLOOKUP($B9, IMPORTRANGE('Prelim Rankings Unsorted'!$B$40, CONCAT(VLOOKUP($C9, 'Match Names'!$A$1:$D$22, 2, FALSE), ""!C3:R29"")), {4;9;15;21}, FALSE)), ""=0"") + COUNTIF(ARRAYFORMULA(HLOOKUP($B9, IMPORTRANGE('Prelim Rankings Unsorted"&amp;"'!$B$41, CONCAT(VLOOKUP($C9, 'Match Names'!$A$1:$D$22, 3, FALSE), ""!C3:R29"")), {7;13;19;24}, FALSE)), ""=0"") + COUNTIF(ARRAYFORMULA(HLOOKUP($B9, IMPORTRANGE('Prelim Rankings Unsorted'!$B$42, CONCAT(VLOOKUP($C9, 'Match Names'!$A$1:$D$22, 4, FALSE), ""!C"&amp;"3:R29"")), {7;13;19;24}, FALSE)), ""=0"") + COUNTIF(ARRAYFORMULA(HLOOKUP($B9, IMPORTRANGE('Match Names'!$E$23, CONCAT(VLOOKUP($C9, 'Match Names'!$1:$22, 5, FALSE), ""!C3:R29"")), {2;8;12;22}, FALSE)), ""=0"") + COUNTIF(ARRAYFORMULA(HLOOKUP($B9, IMPORTRANG"&amp;"E('Match Names'!$F$23, CONCAT(VLOOKUP($C9, 'Match Names'!$1:$22, 6, FALSE), ""!C3:R29"")), {3;9;15;21}, FALSE)), ""=0"") + COUNTIF(ARRAYFORMULA(HLOOKUP($B9, IMPORTRANGE('Match Names'!$G$23, CONCAT(VLOOKUP($C9, 'Match Names'!$1:$22, 7, FALSE), ""!C3:R29"")"&amp;"), {3;8;12;18}, FALSE)), ""=0"") + COUNTIF(ARRAYFORMULA(HLOOKUP($B9, IMPORTRANGE('Match Names'!$H$23, CONCAT(VLOOKUP($C9, 'Match Names'!$1:$22, 8, FALSE), ""!C3:R29"")), {7;13;19;24}, FALSE)), ""=0"")"),1.0)</f>
        <v>1</v>
      </c>
      <c r="G9" s="32">
        <f>IFERROR(__xludf.DUMMYFUNCTION("COUNTIF(ARRAYFORMULA(HLOOKUP($B9, IMPORTRANGE('Prelim Rankings Unsorted'!$B$40, CONCAT(VLOOKUP($C9, 'Match Names'!$A$1:$D$22, 2, FALSE), ""!C3:R29"")), {4;9;15;21}, FALSE)), ""=-4"") + COUNTIF(ARRAYFORMULA(HLOOKUP($B9, IMPORTRANGE('Prelim Rankings Unsorte"&amp;"d'!$B$41, CONCAT(VLOOKUP($C9, 'Match Names'!$A$1:$D$22, 3, FALSE), ""!C3:R29"")), {7;13;19;24}, FALSE)), ""=-4"") + COUNTIF(ARRAYFORMULA(HLOOKUP($B9, IMPORTRANGE('Prelim Rankings Unsorted'!$B$42, CONCAT(VLOOKUP($C9, 'Match Names'!$A$1:$D$22, 4, FALSE), """&amp;"!C3:R29"")), {7;13;19;24}, FALSE)), ""=-4"") + COUNTIF(ARRAYFORMULA(HLOOKUP($B9, IMPORTRANGE('Match Names'!$E$23, CONCAT(VLOOKUP($C9, 'Match Names'!$1:$22, 5, FALSE), ""!C3:R29"")), {2;8;12;22}, FALSE)), ""=-4"") + COUNTIF(ARRAYFORMULA(HLOOKUP($B9, IMPORT"&amp;"RANGE('Match Names'!$F$23, CONCAT(VLOOKUP($C9, 'Match Names'!$1:$22, 6, FALSE), ""!C3:R29"")), {3;9;15;21}, FALSE)), ""=-4"") + COUNTIF(ARRAYFORMULA(HLOOKUP($B9, IMPORTRANGE('Match Names'!$G$23, CONCAT(VLOOKUP($C9, 'Match Names'!$1:$22, 7, FALSE), ""!C3:R"&amp;"29"")), {3;8;12;18}, FALSE)), ""=-4"") + COUNTIF(ARRAYFORMULA(HLOOKUP($B9, IMPORTRANGE('Match Names'!$H$23, CONCAT(VLOOKUP($C9, 'Match Names'!$1:$22, 8, FALSE), ""!C3:R29"")), {7;13;19;24}, FALSE)), ""=-4"")"),0.0)</f>
        <v>0</v>
      </c>
      <c r="H9" s="33">
        <f t="shared" si="1"/>
        <v>0</v>
      </c>
    </row>
    <row r="10">
      <c r="A10" s="7" t="s">
        <v>196</v>
      </c>
      <c r="B10" s="7" t="str">
        <f>VLOOKUP(CONCAT(A10, C10), 'Discord Username to Real Name'!C:D, 2, FALSE)</f>
        <v>haybales#0656</v>
      </c>
      <c r="C10" s="21" t="s">
        <v>17</v>
      </c>
      <c r="D10" s="32">
        <f>IFERROR(__xludf.DUMMYFUNCTION("(4 - COUNTIF(IFERROR(ARRAYFORMULA(HLOOKUP($B10, IMPORTRANGE('Prelim Rankings Unsorted'!$B$40, CONCAT(VLOOKUP($C10, 'Match Names'!$A$1:$D$22, 2, FALSE), ""!C3:R29"")), {4;9;15;21}, FALSE)), 'Player Overall Stats Unsorted'!$AA$9:$AA$12), ""=X"")) + (4 - COU"&amp;"NTIF(IFERROR(ARRAYFORMULA(HLOOKUP($B10, IMPORTRANGE('Prelim Rankings Unsorted'!$B$41, CONCAT(VLOOKUP($C10, 'Match Names'!$A$1:$D$22, 3, FALSE), ""!C3:R29"")), {7;13;19;24}, FALSE)), 'Player Overall Stats Unsorted'!$AA$9:$AA$12), ""=X"")) + (4 - COUNTIF(IF"&amp;"ERROR(ARRAYFORMULA(HLOOKUP($B10, IMPORTRANGE('Prelim Rankings Unsorted'!$B$42, CONCAT(VLOOKUP($C10, 'Match Names'!$A$1:$D$22, 4, FALSE), ""!C3:R29"")), {7;13;19;24}, FALSE)), 'Player Overall Stats Unsorted'!$AA$9:$AA$12), ""=X"")) + (4 - COUNTIF(IFERROR(A"&amp;"RRAYFORMULA(HLOOKUP($B10, IMPORTRANGE('Match Names'!$E$23, CONCAT(VLOOKUP($C10, 'Match Names'!$1:$22, 5, FALSE), ""!C3:R29"")), {2;8;12;22}, FALSE)), 'Player Overall Stats Unsorted'!$AA$9:$AA$12), ""=X"")) + (4 - COUNTIF(IFERROR(ARRAYFORMULA(HLOOKUP($B10,"&amp;" IMPORTRANGE('Match Names'!$F$23, CONCAT(VLOOKUP($C10, 'Match Names'!$1:$22, 6, FALSE), ""!C3:R29"")), {3;9;15;21}, FALSE)), 'Player Overall Stats Unsorted'!$AA$9:$AA$12), ""=X"")) + (4 - COUNTIF(IFERROR(ARRAYFORMULA(HLOOKUP($B10, IMPORTRANGE('Match Names"&amp;"'!$G$23, CONCAT(VLOOKUP($C10, 'Match Names'!$1:$22, 7, FALSE), ""!C3:R29"")), {3;8;12;18}, FALSE)), 'Player Overall Stats Unsorted'!$AA$9:$AA$12), ""=X"")) + (4 - COUNTIF(IFERROR(ARRAYFORMULA(HLOOKUP($B10, IMPORTRANGE('Match Names'!$H$23, CONCAT(VLOOKUP($"&amp;"C10, 'Match Names'!$1:$22, 8, FALSE), ""!C3:R29"")), {7;13;19;24}, FALSE)), 'Player Overall Stats Unsorted'!$AA$9:$AA$12), ""=X""))"),0.0)</f>
        <v>0</v>
      </c>
      <c r="E10" s="32">
        <f>IFERROR(__xludf.DUMMYFUNCTION("COUNTIF(ARRAYFORMULA(HLOOKUP($B10, IMPORTRANGE('Prelim Rankings Unsorted'!$B$40, CONCAT(VLOOKUP($C10, 'Match Names'!$A$1:$D$22, 2, FALSE), ""!C3:R29"")), {4;9;15;21}, FALSE)), ""=4"") + COUNTIF(ARRAYFORMULA(HLOOKUP($B10, IMPORTRANGE('Prelim Rankings Unsor"&amp;"ted'!$B$41, CONCAT(VLOOKUP($C10, 'Match Names'!$A$1:$D$22, 3, FALSE), ""!C3:R29"")), {7;13;19;24}, FALSE)), ""=4"") + COUNTIF(ARRAYFORMULA(HLOOKUP($B10, IMPORTRANGE('Prelim Rankings Unsorted'!$B$42, CONCAT(VLOOKUP($C10, 'Match Names'!$A$1:$D$22, 4, FALSE)"&amp;", ""!C3:R29"")), {7;13;19;24}, FALSE)), ""=4"") + COUNTIF(ARRAYFORMULA(HLOOKUP($B10, IMPORTRANGE('Match Names'!$E$23, CONCAT(VLOOKUP($C10, 'Match Names'!$1:$22, 5, FALSE), ""!C3:R29"")), {2;8;12;22}, FALSE)), ""=4"") + COUNTIF(ARRAYFORMULA(HLOOKUP($B10, I"&amp;"MPORTRANGE('Match Names'!$F$23, CONCAT(VLOOKUP($C10, 'Match Names'!$1:$22, 6, FALSE), ""!C3:R29"")), {3;9;15;21}, FALSE)), ""=4"") + COUNTIF(ARRAYFORMULA(HLOOKUP($B10, IMPORTRANGE('Match Names'!$G$23, CONCAT(VLOOKUP($C10, 'Match Names'!$1:$22, 7, FALSE), "&amp;"""!C3:R29"")), {3;8;12;18}, FALSE)), ""=4"") + COUNTIF(ARRAYFORMULA(HLOOKUP($B10, IMPORTRANGE('Match Names'!$H$23, CONCAT(VLOOKUP($C10, 'Match Names'!$1:$22, 8, FALSE), ""!C3:R29"")), {7;13;19;24}, FALSE)), ""=4"")"),0.0)</f>
        <v>0</v>
      </c>
      <c r="F10" s="32">
        <f>IFERROR(__xludf.DUMMYFUNCTION("COUNTIF(ARRAYFORMULA(HLOOKUP($B10, IMPORTRANGE('Prelim Rankings Unsorted'!$B$40, CONCAT(VLOOKUP($C10, 'Match Names'!$A$1:$D$22, 2, FALSE), ""!C3:R29"")), {4;9;15;21}, FALSE)), ""=0"") + COUNTIF(ARRAYFORMULA(HLOOKUP($B10, IMPORTRANGE('Prelim Rankings Unsor"&amp;"ted'!$B$41, CONCAT(VLOOKUP($C10, 'Match Names'!$A$1:$D$22, 3, FALSE), ""!C3:R29"")), {7;13;19;24}, FALSE)), ""=0"") + COUNTIF(ARRAYFORMULA(HLOOKUP($B10, IMPORTRANGE('Prelim Rankings Unsorted'!$B$42, CONCAT(VLOOKUP($C10, 'Match Names'!$A$1:$D$22, 4, FALSE)"&amp;", ""!C3:R29"")), {7;13;19;24}, FALSE)), ""=0"") + COUNTIF(ARRAYFORMULA(HLOOKUP($B10, IMPORTRANGE('Match Names'!$E$23, CONCAT(VLOOKUP($C10, 'Match Names'!$1:$22, 5, FALSE), ""!C3:R29"")), {2;8;12;22}, FALSE)), ""=0"") + COUNTIF(ARRAYFORMULA(HLOOKUP($B10, I"&amp;"MPORTRANGE('Match Names'!$F$23, CONCAT(VLOOKUP($C10, 'Match Names'!$1:$22, 6, FALSE), ""!C3:R29"")), {3;9;15;21}, FALSE)), ""=0"") + COUNTIF(ARRAYFORMULA(HLOOKUP($B10, IMPORTRANGE('Match Names'!$G$23, CONCAT(VLOOKUP($C10, 'Match Names'!$1:$22, 7, FALSE), "&amp;"""!C3:R29"")), {3;8;12;18}, FALSE)), ""=0"") + COUNTIF(ARRAYFORMULA(HLOOKUP($B10, IMPORTRANGE('Match Names'!$H$23, CONCAT(VLOOKUP($C10, 'Match Names'!$1:$22, 8, FALSE), ""!C3:R29"")), {7;13;19;24}, FALSE)), ""=0"")"),0.0)</f>
        <v>0</v>
      </c>
      <c r="G10" s="32">
        <f>IFERROR(__xludf.DUMMYFUNCTION("COUNTIF(ARRAYFORMULA(HLOOKUP($B10, IMPORTRANGE('Prelim Rankings Unsorted'!$B$40, CONCAT(VLOOKUP($C10, 'Match Names'!$A$1:$D$22, 2, FALSE), ""!C3:R29"")), {4;9;15;21}, FALSE)), ""=-4"") + COUNTIF(ARRAYFORMULA(HLOOKUP($B10, IMPORTRANGE('Prelim Rankings Unso"&amp;"rted'!$B$41, CONCAT(VLOOKUP($C10, 'Match Names'!$A$1:$D$22, 3, FALSE), ""!C3:R29"")), {7;13;19;24}, FALSE)), ""=-4"") + COUNTIF(ARRAYFORMULA(HLOOKUP($B10, IMPORTRANGE('Prelim Rankings Unsorted'!$B$42, CONCAT(VLOOKUP($C10, 'Match Names'!$A$1:$D$22, 4, FALS"&amp;"E), ""!C3:R29"")), {7;13;19;24}, FALSE)), ""=-4"") + COUNTIF(ARRAYFORMULA(HLOOKUP($B10, IMPORTRANGE('Match Names'!$E$23, CONCAT(VLOOKUP($C10, 'Match Names'!$1:$22, 5, FALSE), ""!C3:R29"")), {2;8;12;22}, FALSE)), ""=-4"") + COUNTIF(ARRAYFORMULA(HLOOKUP($B1"&amp;"0, IMPORTRANGE('Match Names'!$F$23, CONCAT(VLOOKUP($C10, 'Match Names'!$1:$22, 6, FALSE), ""!C3:R29"")), {3;9;15;21}, FALSE)), ""=-4"") + COUNTIF(ARRAYFORMULA(HLOOKUP($B10, IMPORTRANGE('Match Names'!$G$23, CONCAT(VLOOKUP($C10, 'Match Names'!$1:$22, 7, FAL"&amp;"SE), ""!C3:R29"")), {3;8;12;18}, FALSE)), ""=-4"") + COUNTIF(ARRAYFORMULA(HLOOKUP($B10, IMPORTRANGE('Match Names'!$H$23, CONCAT(VLOOKUP($C10, 'Match Names'!$1:$22, 8, FALSE), ""!C3:R29"")), {7;13;19;24}, FALSE)), ""=-4"")"),0.0)</f>
        <v>0</v>
      </c>
      <c r="H10" s="33">
        <f t="shared" si="1"/>
        <v>0</v>
      </c>
    </row>
    <row r="11">
      <c r="A11" s="7" t="s">
        <v>194</v>
      </c>
      <c r="B11" s="7" t="str">
        <f>VLOOKUP(CONCAT(A11, C11), 'Discord Username to Real Name'!C:D, 2, FALSE)</f>
        <v>ez#5904</v>
      </c>
      <c r="C11" s="21" t="s">
        <v>17</v>
      </c>
      <c r="D11" s="32">
        <f>IFERROR(__xludf.DUMMYFUNCTION("(4 - COUNTIF(IFERROR(ARRAYFORMULA(HLOOKUP($B11, IMPORTRANGE('Prelim Rankings Unsorted'!$B$40, CONCAT(VLOOKUP($C11, 'Match Names'!$A$1:$D$22, 2, FALSE), ""!C3:R29"")), {4;9;15;21}, FALSE)), 'Player Overall Stats Unsorted'!$AA$9:$AA$12), ""=X"")) + (4 - COU"&amp;"NTIF(IFERROR(ARRAYFORMULA(HLOOKUP($B11, IMPORTRANGE('Prelim Rankings Unsorted'!$B$41, CONCAT(VLOOKUP($C11, 'Match Names'!$A$1:$D$22, 3, FALSE), ""!C3:R29"")), {7;13;19;24}, FALSE)), 'Player Overall Stats Unsorted'!$AA$9:$AA$12), ""=X"")) + (4 - COUNTIF(IF"&amp;"ERROR(ARRAYFORMULA(HLOOKUP($B11, IMPORTRANGE('Prelim Rankings Unsorted'!$B$42, CONCAT(VLOOKUP($C11, 'Match Names'!$A$1:$D$22, 4, FALSE), ""!C3:R29"")), {7;13;19;24}, FALSE)), 'Player Overall Stats Unsorted'!$AA$9:$AA$12), ""=X"")) + (4 - COUNTIF(IFERROR(A"&amp;"RRAYFORMULA(HLOOKUP($B11, IMPORTRANGE('Match Names'!$E$23, CONCAT(VLOOKUP($C11, 'Match Names'!$1:$22, 5, FALSE), ""!C3:R29"")), {2;8;12;22}, FALSE)), 'Player Overall Stats Unsorted'!$AA$9:$AA$12), ""=X"")) + (4 - COUNTIF(IFERROR(ARRAYFORMULA(HLOOKUP($B11,"&amp;" IMPORTRANGE('Match Names'!$F$23, CONCAT(VLOOKUP($C11, 'Match Names'!$1:$22, 6, FALSE), ""!C3:R29"")), {3;9;15;21}, FALSE)), 'Player Overall Stats Unsorted'!$AA$9:$AA$12), ""=X"")) + (4 - COUNTIF(IFERROR(ARRAYFORMULA(HLOOKUP($B11, IMPORTRANGE('Match Names"&amp;"'!$G$23, CONCAT(VLOOKUP($C11, 'Match Names'!$1:$22, 7, FALSE), ""!C3:R29"")), {3;8;12;18}, FALSE)), 'Player Overall Stats Unsorted'!$AA$9:$AA$12), ""=X"")) + (4 - COUNTIF(IFERROR(ARRAYFORMULA(HLOOKUP($B11, IMPORTRANGE('Match Names'!$H$23, CONCAT(VLOOKUP($"&amp;"C11, 'Match Names'!$1:$22, 8, FALSE), ""!C3:R29"")), {7;13;19;24}, FALSE)), 'Player Overall Stats Unsorted'!$AA$9:$AA$12), ""=X""))"),0.0)</f>
        <v>0</v>
      </c>
      <c r="E11" s="32">
        <f>IFERROR(__xludf.DUMMYFUNCTION("COUNTIF(ARRAYFORMULA(HLOOKUP($B11, IMPORTRANGE('Prelim Rankings Unsorted'!$B$40, CONCAT(VLOOKUP($C11, 'Match Names'!$A$1:$D$22, 2, FALSE), ""!C3:R29"")), {4;9;15;21}, FALSE)), ""=4"") + COUNTIF(ARRAYFORMULA(HLOOKUP($B11, IMPORTRANGE('Prelim Rankings Unsor"&amp;"ted'!$B$41, CONCAT(VLOOKUP($C11, 'Match Names'!$A$1:$D$22, 3, FALSE), ""!C3:R29"")), {7;13;19;24}, FALSE)), ""=4"") + COUNTIF(ARRAYFORMULA(HLOOKUP($B11, IMPORTRANGE('Prelim Rankings Unsorted'!$B$42, CONCAT(VLOOKUP($C11, 'Match Names'!$A$1:$D$22, 4, FALSE)"&amp;", ""!C3:R29"")), {7;13;19;24}, FALSE)), ""=4"") + COUNTIF(ARRAYFORMULA(HLOOKUP($B11, IMPORTRANGE('Match Names'!$E$23, CONCAT(VLOOKUP($C11, 'Match Names'!$1:$22, 5, FALSE), ""!C3:R29"")), {2;8;12;22}, FALSE)), ""=4"") + COUNTIF(ARRAYFORMULA(HLOOKUP($B11, I"&amp;"MPORTRANGE('Match Names'!$F$23, CONCAT(VLOOKUP($C11, 'Match Names'!$1:$22, 6, FALSE), ""!C3:R29"")), {3;9;15;21}, FALSE)), ""=4"") + COUNTIF(ARRAYFORMULA(HLOOKUP($B11, IMPORTRANGE('Match Names'!$G$23, CONCAT(VLOOKUP($C11, 'Match Names'!$1:$22, 7, FALSE), "&amp;"""!C3:R29"")), {3;8;12;18}, FALSE)), ""=4"") + COUNTIF(ARRAYFORMULA(HLOOKUP($B11, IMPORTRANGE('Match Names'!$H$23, CONCAT(VLOOKUP($C11, 'Match Names'!$1:$22, 8, FALSE), ""!C3:R29"")), {7;13;19;24}, FALSE)), ""=4"")"),0.0)</f>
        <v>0</v>
      </c>
      <c r="F11" s="32">
        <f>IFERROR(__xludf.DUMMYFUNCTION("COUNTIF(ARRAYFORMULA(HLOOKUP($B11, IMPORTRANGE('Prelim Rankings Unsorted'!$B$40, CONCAT(VLOOKUP($C11, 'Match Names'!$A$1:$D$22, 2, FALSE), ""!C3:R29"")), {4;9;15;21}, FALSE)), ""=0"") + COUNTIF(ARRAYFORMULA(HLOOKUP($B11, IMPORTRANGE('Prelim Rankings Unsor"&amp;"ted'!$B$41, CONCAT(VLOOKUP($C11, 'Match Names'!$A$1:$D$22, 3, FALSE), ""!C3:R29"")), {7;13;19;24}, FALSE)), ""=0"") + COUNTIF(ARRAYFORMULA(HLOOKUP($B11, IMPORTRANGE('Prelim Rankings Unsorted'!$B$42, CONCAT(VLOOKUP($C11, 'Match Names'!$A$1:$D$22, 4, FALSE)"&amp;", ""!C3:R29"")), {7;13;19;24}, FALSE)), ""=0"") + COUNTIF(ARRAYFORMULA(HLOOKUP($B11, IMPORTRANGE('Match Names'!$E$23, CONCAT(VLOOKUP($C11, 'Match Names'!$1:$22, 5, FALSE), ""!C3:R29"")), {2;8;12;22}, FALSE)), ""=0"") + COUNTIF(ARRAYFORMULA(HLOOKUP($B11, I"&amp;"MPORTRANGE('Match Names'!$F$23, CONCAT(VLOOKUP($C11, 'Match Names'!$1:$22, 6, FALSE), ""!C3:R29"")), {3;9;15;21}, FALSE)), ""=0"") + COUNTIF(ARRAYFORMULA(HLOOKUP($B11, IMPORTRANGE('Match Names'!$G$23, CONCAT(VLOOKUP($C11, 'Match Names'!$1:$22, 7, FALSE), "&amp;"""!C3:R29"")), {3;8;12;18}, FALSE)), ""=0"") + COUNTIF(ARRAYFORMULA(HLOOKUP($B11, IMPORTRANGE('Match Names'!$H$23, CONCAT(VLOOKUP($C11, 'Match Names'!$1:$22, 8, FALSE), ""!C3:R29"")), {7;13;19;24}, FALSE)), ""=0"")"),0.0)</f>
        <v>0</v>
      </c>
      <c r="G11" s="32">
        <f>IFERROR(__xludf.DUMMYFUNCTION("COUNTIF(ARRAYFORMULA(HLOOKUP($B11, IMPORTRANGE('Prelim Rankings Unsorted'!$B$40, CONCAT(VLOOKUP($C11, 'Match Names'!$A$1:$D$22, 2, FALSE), ""!C3:R29"")), {4;9;15;21}, FALSE)), ""=-4"") + COUNTIF(ARRAYFORMULA(HLOOKUP($B11, IMPORTRANGE('Prelim Rankings Unso"&amp;"rted'!$B$41, CONCAT(VLOOKUP($C11, 'Match Names'!$A$1:$D$22, 3, FALSE), ""!C3:R29"")), {7;13;19;24}, FALSE)), ""=-4"") + COUNTIF(ARRAYFORMULA(HLOOKUP($B11, IMPORTRANGE('Prelim Rankings Unsorted'!$B$42, CONCAT(VLOOKUP($C11, 'Match Names'!$A$1:$D$22, 4, FALS"&amp;"E), ""!C3:R29"")), {7;13;19;24}, FALSE)), ""=-4"") + COUNTIF(ARRAYFORMULA(HLOOKUP($B11, IMPORTRANGE('Match Names'!$E$23, CONCAT(VLOOKUP($C11, 'Match Names'!$1:$22, 5, FALSE), ""!C3:R29"")), {2;8;12;22}, FALSE)), ""=-4"") + COUNTIF(ARRAYFORMULA(HLOOKUP($B1"&amp;"1, IMPORTRANGE('Match Names'!$F$23, CONCAT(VLOOKUP($C11, 'Match Names'!$1:$22, 6, FALSE), ""!C3:R29"")), {3;9;15;21}, FALSE)), ""=-4"") + COUNTIF(ARRAYFORMULA(HLOOKUP($B11, IMPORTRANGE('Match Names'!$G$23, CONCAT(VLOOKUP($C11, 'Match Names'!$1:$22, 7, FAL"&amp;"SE), ""!C3:R29"")), {3;8;12;18}, FALSE)), ""=-4"") + COUNTIF(ARRAYFORMULA(HLOOKUP($B11, IMPORTRANGE('Match Names'!$H$23, CONCAT(VLOOKUP($C11, 'Match Names'!$1:$22, 8, FALSE), ""!C3:R29"")), {7;13;19;24}, FALSE)), ""=-4"")"),0.0)</f>
        <v>0</v>
      </c>
      <c r="H11" s="33">
        <f t="shared" si="1"/>
        <v>0</v>
      </c>
    </row>
    <row r="12">
      <c r="A12" s="7" t="s">
        <v>35</v>
      </c>
      <c r="B12" s="7" t="str">
        <f>VLOOKUP(CONCAT(A12, C12), 'Discord Username to Real Name'!C:D, 2, FALSE)</f>
        <v>borb#6872</v>
      </c>
      <c r="C12" s="21" t="s">
        <v>17</v>
      </c>
      <c r="D12" s="32">
        <f>IFERROR(__xludf.DUMMYFUNCTION("(4 - COUNTIF(IFERROR(ARRAYFORMULA(HLOOKUP($B12, IMPORTRANGE('Prelim Rankings Unsorted'!$B$40, CONCAT(VLOOKUP($C12, 'Match Names'!$A$1:$D$22, 2, FALSE), ""!C3:R29"")), {4;9;15;21}, FALSE)), 'Player Overall Stats Unsorted'!$AA$9:$AA$12), ""=X"")) + (4 - COU"&amp;"NTIF(IFERROR(ARRAYFORMULA(HLOOKUP($B12, IMPORTRANGE('Prelim Rankings Unsorted'!$B$41, CONCAT(VLOOKUP($C12, 'Match Names'!$A$1:$D$22, 3, FALSE), ""!C3:R29"")), {7;13;19;24}, FALSE)), 'Player Overall Stats Unsorted'!$AA$9:$AA$12), ""=X"")) + (4 - COUNTIF(IF"&amp;"ERROR(ARRAYFORMULA(HLOOKUP($B12, IMPORTRANGE('Prelim Rankings Unsorted'!$B$42, CONCAT(VLOOKUP($C12, 'Match Names'!$A$1:$D$22, 4, FALSE), ""!C3:R29"")), {7;13;19;24}, FALSE)), 'Player Overall Stats Unsorted'!$AA$9:$AA$12), ""=X"")) + (4 - COUNTIF(IFERROR(A"&amp;"RRAYFORMULA(HLOOKUP($B12, IMPORTRANGE('Match Names'!$E$23, CONCAT(VLOOKUP($C12, 'Match Names'!$1:$22, 5, FALSE), ""!C3:R29"")), {2;8;12;22}, FALSE)), 'Player Overall Stats Unsorted'!$AA$9:$AA$12), ""=X"")) + (4 - COUNTIF(IFERROR(ARRAYFORMULA(HLOOKUP($B12,"&amp;" IMPORTRANGE('Match Names'!$F$23, CONCAT(VLOOKUP($C12, 'Match Names'!$1:$22, 6, FALSE), ""!C3:R29"")), {3;9;15;21}, FALSE)), 'Player Overall Stats Unsorted'!$AA$9:$AA$12), ""=X"")) + (4 - COUNTIF(IFERROR(ARRAYFORMULA(HLOOKUP($B12, IMPORTRANGE('Match Names"&amp;"'!$G$23, CONCAT(VLOOKUP($C12, 'Match Names'!$1:$22, 7, FALSE), ""!C3:R29"")), {3;8;12;18}, FALSE)), 'Player Overall Stats Unsorted'!$AA$9:$AA$12), ""=X"")) + (4 - COUNTIF(IFERROR(ARRAYFORMULA(HLOOKUP($B12, IMPORTRANGE('Match Names'!$H$23, CONCAT(VLOOKUP($"&amp;"C12, 'Match Names'!$1:$22, 8, FALSE), ""!C3:R29"")), {7;13;19;24}, FALSE)), 'Player Overall Stats Unsorted'!$AA$9:$AA$12), ""=X""))"),16.0)</f>
        <v>16</v>
      </c>
      <c r="E12" s="32">
        <f>IFERROR(__xludf.DUMMYFUNCTION("COUNTIF(ARRAYFORMULA(HLOOKUP($B12, IMPORTRANGE('Prelim Rankings Unsorted'!$B$40, CONCAT(VLOOKUP($C12, 'Match Names'!$A$1:$D$22, 2, FALSE), ""!C3:R29"")), {4;9;15;21}, FALSE)), ""=4"") + COUNTIF(ARRAYFORMULA(HLOOKUP($B12, IMPORTRANGE('Prelim Rankings Unsor"&amp;"ted'!$B$41, CONCAT(VLOOKUP($C12, 'Match Names'!$A$1:$D$22, 3, FALSE), ""!C3:R29"")), {7;13;19;24}, FALSE)), ""=4"") + COUNTIF(ARRAYFORMULA(HLOOKUP($B12, IMPORTRANGE('Prelim Rankings Unsorted'!$B$42, CONCAT(VLOOKUP($C12, 'Match Names'!$A$1:$D$22, 4, FALSE)"&amp;", ""!C3:R29"")), {7;13;19;24}, FALSE)), ""=4"") + COUNTIF(ARRAYFORMULA(HLOOKUP($B12, IMPORTRANGE('Match Names'!$E$23, CONCAT(VLOOKUP($C12, 'Match Names'!$1:$22, 5, FALSE), ""!C3:R29"")), {2;8;12;22}, FALSE)), ""=4"") + COUNTIF(ARRAYFORMULA(HLOOKUP($B12, I"&amp;"MPORTRANGE('Match Names'!$F$23, CONCAT(VLOOKUP($C12, 'Match Names'!$1:$22, 6, FALSE), ""!C3:R29"")), {3;9;15;21}, FALSE)), ""=4"") + COUNTIF(ARRAYFORMULA(HLOOKUP($B12, IMPORTRANGE('Match Names'!$G$23, CONCAT(VLOOKUP($C12, 'Match Names'!$1:$22, 7, FALSE), "&amp;"""!C3:R29"")), {3;8;12;18}, FALSE)), ""=4"") + COUNTIF(ARRAYFORMULA(HLOOKUP($B12, IMPORTRANGE('Match Names'!$H$23, CONCAT(VLOOKUP($C12, 'Match Names'!$1:$22, 8, FALSE), ""!C3:R29"")), {7;13;19;24}, FALSE)), ""=4"")"),7.0)</f>
        <v>7</v>
      </c>
      <c r="F12" s="32">
        <f>IFERROR(__xludf.DUMMYFUNCTION("COUNTIF(ARRAYFORMULA(HLOOKUP($B12, IMPORTRANGE('Prelim Rankings Unsorted'!$B$40, CONCAT(VLOOKUP($C12, 'Match Names'!$A$1:$D$22, 2, FALSE), ""!C3:R29"")), {4;9;15;21}, FALSE)), ""=0"") + COUNTIF(ARRAYFORMULA(HLOOKUP($B12, IMPORTRANGE('Prelim Rankings Unsor"&amp;"ted'!$B$41, CONCAT(VLOOKUP($C12, 'Match Names'!$A$1:$D$22, 3, FALSE), ""!C3:R29"")), {7;13;19;24}, FALSE)), ""=0"") + COUNTIF(ARRAYFORMULA(HLOOKUP($B12, IMPORTRANGE('Prelim Rankings Unsorted'!$B$42, CONCAT(VLOOKUP($C12, 'Match Names'!$A$1:$D$22, 4, FALSE)"&amp;", ""!C3:R29"")), {7;13;19;24}, FALSE)), ""=0"") + COUNTIF(ARRAYFORMULA(HLOOKUP($B12, IMPORTRANGE('Match Names'!$E$23, CONCAT(VLOOKUP($C12, 'Match Names'!$1:$22, 5, FALSE), ""!C3:R29"")), {2;8;12;22}, FALSE)), ""=0"") + COUNTIF(ARRAYFORMULA(HLOOKUP($B12, I"&amp;"MPORTRANGE('Match Names'!$F$23, CONCAT(VLOOKUP($C12, 'Match Names'!$1:$22, 6, FALSE), ""!C3:R29"")), {3;9;15;21}, FALSE)), ""=0"") + COUNTIF(ARRAYFORMULA(HLOOKUP($B12, IMPORTRANGE('Match Names'!$G$23, CONCAT(VLOOKUP($C12, 'Match Names'!$1:$22, 7, FALSE), "&amp;"""!C3:R29"")), {3;8;12;18}, FALSE)), ""=0"") + COUNTIF(ARRAYFORMULA(HLOOKUP($B12, IMPORTRANGE('Match Names'!$H$23, CONCAT(VLOOKUP($C12, 'Match Names'!$1:$22, 8, FALSE), ""!C3:R29"")), {7;13;19;24}, FALSE)), ""=0"")"),5.0)</f>
        <v>5</v>
      </c>
      <c r="G12" s="32">
        <f>IFERROR(__xludf.DUMMYFUNCTION("COUNTIF(ARRAYFORMULA(HLOOKUP($B12, IMPORTRANGE('Prelim Rankings Unsorted'!$B$40, CONCAT(VLOOKUP($C12, 'Match Names'!$A$1:$D$22, 2, FALSE), ""!C3:R29"")), {4;9;15;21}, FALSE)), ""=-4"") + COUNTIF(ARRAYFORMULA(HLOOKUP($B12, IMPORTRANGE('Prelim Rankings Unso"&amp;"rted'!$B$41, CONCAT(VLOOKUP($C12, 'Match Names'!$A$1:$D$22, 3, FALSE), ""!C3:R29"")), {7;13;19;24}, FALSE)), ""=-4"") + COUNTIF(ARRAYFORMULA(HLOOKUP($B12, IMPORTRANGE('Prelim Rankings Unsorted'!$B$42, CONCAT(VLOOKUP($C12, 'Match Names'!$A$1:$D$22, 4, FALS"&amp;"E), ""!C3:R29"")), {7;13;19;24}, FALSE)), ""=-4"") + COUNTIF(ARRAYFORMULA(HLOOKUP($B12, IMPORTRANGE('Match Names'!$E$23, CONCAT(VLOOKUP($C12, 'Match Names'!$1:$22, 5, FALSE), ""!C3:R29"")), {2;8;12;22}, FALSE)), ""=-4"") + COUNTIF(ARRAYFORMULA(HLOOKUP($B1"&amp;"2, IMPORTRANGE('Match Names'!$F$23, CONCAT(VLOOKUP($C12, 'Match Names'!$1:$22, 6, FALSE), ""!C3:R29"")), {3;9;15;21}, FALSE)), ""=-4"") + COUNTIF(ARRAYFORMULA(HLOOKUP($B12, IMPORTRANGE('Match Names'!$G$23, CONCAT(VLOOKUP($C12, 'Match Names'!$1:$22, 7, FAL"&amp;"SE), ""!C3:R29"")), {3;8;12;18}, FALSE)), ""=-4"") + COUNTIF(ARRAYFORMULA(HLOOKUP($B12, IMPORTRANGE('Match Names'!$H$23, CONCAT(VLOOKUP($C12, 'Match Names'!$1:$22, 8, FALSE), ""!C3:R29"")), {7;13;19;24}, FALSE)), ""=-4"")"),1.0)</f>
        <v>1</v>
      </c>
      <c r="H12" s="33">
        <f t="shared" si="1"/>
        <v>6</v>
      </c>
    </row>
    <row r="13">
      <c r="A13" s="7" t="s">
        <v>158</v>
      </c>
      <c r="B13" s="7" t="str">
        <f>VLOOKUP(CONCAT(A13, C13), 'Discord Username to Real Name'!C:D, 2, FALSE)</f>
        <v>TreefallGap#0407</v>
      </c>
      <c r="C13" s="21" t="s">
        <v>17</v>
      </c>
      <c r="D13" s="32">
        <f>IFERROR(__xludf.DUMMYFUNCTION("(4 - COUNTIF(IFERROR(ARRAYFORMULA(HLOOKUP($B13, IMPORTRANGE('Prelim Rankings Unsorted'!$B$40, CONCAT(VLOOKUP($C13, 'Match Names'!$A$1:$D$22, 2, FALSE), ""!C3:R29"")), {4;9;15;21}, FALSE)), 'Player Overall Stats Unsorted'!$AA$9:$AA$12), ""=X"")) + (4 - COU"&amp;"NTIF(IFERROR(ARRAYFORMULA(HLOOKUP($B13, IMPORTRANGE('Prelim Rankings Unsorted'!$B$41, CONCAT(VLOOKUP($C13, 'Match Names'!$A$1:$D$22, 3, FALSE), ""!C3:R29"")), {7;13;19;24}, FALSE)), 'Player Overall Stats Unsorted'!$AA$9:$AA$12), ""=X"")) + (4 - COUNTIF(IF"&amp;"ERROR(ARRAYFORMULA(HLOOKUP($B13, IMPORTRANGE('Prelim Rankings Unsorted'!$B$42, CONCAT(VLOOKUP($C13, 'Match Names'!$A$1:$D$22, 4, FALSE), ""!C3:R29"")), {7;13;19;24}, FALSE)), 'Player Overall Stats Unsorted'!$AA$9:$AA$12), ""=X"")) + (4 - COUNTIF(IFERROR(A"&amp;"RRAYFORMULA(HLOOKUP($B13, IMPORTRANGE('Match Names'!$E$23, CONCAT(VLOOKUP($C13, 'Match Names'!$1:$22, 5, FALSE), ""!C3:R29"")), {2;8;12;22}, FALSE)), 'Player Overall Stats Unsorted'!$AA$9:$AA$12), ""=X"")) + (4 - COUNTIF(IFERROR(ARRAYFORMULA(HLOOKUP($B13,"&amp;" IMPORTRANGE('Match Names'!$F$23, CONCAT(VLOOKUP($C13, 'Match Names'!$1:$22, 6, FALSE), ""!C3:R29"")), {3;9;15;21}, FALSE)), 'Player Overall Stats Unsorted'!$AA$9:$AA$12), ""=X"")) + (4 - COUNTIF(IFERROR(ARRAYFORMULA(HLOOKUP($B13, IMPORTRANGE('Match Names"&amp;"'!$G$23, CONCAT(VLOOKUP($C13, 'Match Names'!$1:$22, 7, FALSE), ""!C3:R29"")), {3;8;12;18}, FALSE)), 'Player Overall Stats Unsorted'!$AA$9:$AA$12), ""=X"")) + (4 - COUNTIF(IFERROR(ARRAYFORMULA(HLOOKUP($B13, IMPORTRANGE('Match Names'!$H$23, CONCAT(VLOOKUP($"&amp;"C13, 'Match Names'!$1:$22, 8, FALSE), ""!C3:R29"")), {7;13;19;24}, FALSE)), 'Player Overall Stats Unsorted'!$AA$9:$AA$12), ""=X""))"),16.0)</f>
        <v>16</v>
      </c>
      <c r="E13" s="32">
        <f>IFERROR(__xludf.DUMMYFUNCTION("COUNTIF(ARRAYFORMULA(HLOOKUP($B13, IMPORTRANGE('Prelim Rankings Unsorted'!$B$40, CONCAT(VLOOKUP($C13, 'Match Names'!$A$1:$D$22, 2, FALSE), ""!C3:R29"")), {4;9;15;21}, FALSE)), ""=4"") + COUNTIF(ARRAYFORMULA(HLOOKUP($B13, IMPORTRANGE('Prelim Rankings Unsor"&amp;"ted'!$B$41, CONCAT(VLOOKUP($C13, 'Match Names'!$A$1:$D$22, 3, FALSE), ""!C3:R29"")), {7;13;19;24}, FALSE)), ""=4"") + COUNTIF(ARRAYFORMULA(HLOOKUP($B13, IMPORTRANGE('Prelim Rankings Unsorted'!$B$42, CONCAT(VLOOKUP($C13, 'Match Names'!$A$1:$D$22, 4, FALSE)"&amp;", ""!C3:R29"")), {7;13;19;24}, FALSE)), ""=4"") + COUNTIF(ARRAYFORMULA(HLOOKUP($B13, IMPORTRANGE('Match Names'!$E$23, CONCAT(VLOOKUP($C13, 'Match Names'!$1:$22, 5, FALSE), ""!C3:R29"")), {2;8;12;22}, FALSE)), ""=4"") + COUNTIF(ARRAYFORMULA(HLOOKUP($B13, I"&amp;"MPORTRANGE('Match Names'!$F$23, CONCAT(VLOOKUP($C13, 'Match Names'!$1:$22, 6, FALSE), ""!C3:R29"")), {3;9;15;21}, FALSE)), ""=4"") + COUNTIF(ARRAYFORMULA(HLOOKUP($B13, IMPORTRANGE('Match Names'!$G$23, CONCAT(VLOOKUP($C13, 'Match Names'!$1:$22, 7, FALSE), "&amp;"""!C3:R29"")), {3;8;12;18}, FALSE)), ""=4"") + COUNTIF(ARRAYFORMULA(HLOOKUP($B13, IMPORTRANGE('Match Names'!$H$23, CONCAT(VLOOKUP($C13, 'Match Names'!$1:$22, 8, FALSE), ""!C3:R29"")), {7;13;19;24}, FALSE)), ""=4"")"),0.0)</f>
        <v>0</v>
      </c>
      <c r="F13" s="32">
        <f>IFERROR(__xludf.DUMMYFUNCTION("COUNTIF(ARRAYFORMULA(HLOOKUP($B13, IMPORTRANGE('Prelim Rankings Unsorted'!$B$40, CONCAT(VLOOKUP($C13, 'Match Names'!$A$1:$D$22, 2, FALSE), ""!C3:R29"")), {4;9;15;21}, FALSE)), ""=0"") + COUNTIF(ARRAYFORMULA(HLOOKUP($B13, IMPORTRANGE('Prelim Rankings Unsor"&amp;"ted'!$B$41, CONCAT(VLOOKUP($C13, 'Match Names'!$A$1:$D$22, 3, FALSE), ""!C3:R29"")), {7;13;19;24}, FALSE)), ""=0"") + COUNTIF(ARRAYFORMULA(HLOOKUP($B13, IMPORTRANGE('Prelim Rankings Unsorted'!$B$42, CONCAT(VLOOKUP($C13, 'Match Names'!$A$1:$D$22, 4, FALSE)"&amp;", ""!C3:R29"")), {7;13;19;24}, FALSE)), ""=0"") + COUNTIF(ARRAYFORMULA(HLOOKUP($B13, IMPORTRANGE('Match Names'!$E$23, CONCAT(VLOOKUP($C13, 'Match Names'!$1:$22, 5, FALSE), ""!C3:R29"")), {2;8;12;22}, FALSE)), ""=0"") + COUNTIF(ARRAYFORMULA(HLOOKUP($B13, I"&amp;"MPORTRANGE('Match Names'!$F$23, CONCAT(VLOOKUP($C13, 'Match Names'!$1:$22, 6, FALSE), ""!C3:R29"")), {3;9;15;21}, FALSE)), ""=0"") + COUNTIF(ARRAYFORMULA(HLOOKUP($B13, IMPORTRANGE('Match Names'!$G$23, CONCAT(VLOOKUP($C13, 'Match Names'!$1:$22, 7, FALSE), "&amp;"""!C3:R29"")), {3;8;12;18}, FALSE)), ""=0"") + COUNTIF(ARRAYFORMULA(HLOOKUP($B13, IMPORTRANGE('Match Names'!$H$23, CONCAT(VLOOKUP($C13, 'Match Names'!$1:$22, 8, FALSE), ""!C3:R29"")), {7;13;19;24}, FALSE)), ""=0"")"),0.0)</f>
        <v>0</v>
      </c>
      <c r="G13" s="32">
        <f>IFERROR(__xludf.DUMMYFUNCTION("COUNTIF(ARRAYFORMULA(HLOOKUP($B13, IMPORTRANGE('Prelim Rankings Unsorted'!$B$40, CONCAT(VLOOKUP($C13, 'Match Names'!$A$1:$D$22, 2, FALSE), ""!C3:R29"")), {4;9;15;21}, FALSE)), ""=-4"") + COUNTIF(ARRAYFORMULA(HLOOKUP($B13, IMPORTRANGE('Prelim Rankings Unso"&amp;"rted'!$B$41, CONCAT(VLOOKUP($C13, 'Match Names'!$A$1:$D$22, 3, FALSE), ""!C3:R29"")), {7;13;19;24}, FALSE)), ""=-4"") + COUNTIF(ARRAYFORMULA(HLOOKUP($B13, IMPORTRANGE('Prelim Rankings Unsorted'!$B$42, CONCAT(VLOOKUP($C13, 'Match Names'!$A$1:$D$22, 4, FALS"&amp;"E), ""!C3:R29"")), {7;13;19;24}, FALSE)), ""=-4"") + COUNTIF(ARRAYFORMULA(HLOOKUP($B13, IMPORTRANGE('Match Names'!$E$23, CONCAT(VLOOKUP($C13, 'Match Names'!$1:$22, 5, FALSE), ""!C3:R29"")), {2;8;12;22}, FALSE)), ""=-4"") + COUNTIF(ARRAYFORMULA(HLOOKUP($B1"&amp;"3, IMPORTRANGE('Match Names'!$F$23, CONCAT(VLOOKUP($C13, 'Match Names'!$1:$22, 6, FALSE), ""!C3:R29"")), {3;9;15;21}, FALSE)), ""=-4"") + COUNTIF(ARRAYFORMULA(HLOOKUP($B13, IMPORTRANGE('Match Names'!$G$23, CONCAT(VLOOKUP($C13, 'Match Names'!$1:$22, 7, FAL"&amp;"SE), ""!C3:R29"")), {3;8;12;18}, FALSE)), ""=-4"") + COUNTIF(ARRAYFORMULA(HLOOKUP($B13, IMPORTRANGE('Match Names'!$H$23, CONCAT(VLOOKUP($C13, 'Match Names'!$1:$22, 8, FALSE), ""!C3:R29"")), {7;13;19;24}, FALSE)), ""=-4"")"),0.0)</f>
        <v>0</v>
      </c>
      <c r="H13" s="33">
        <f t="shared" si="1"/>
        <v>0</v>
      </c>
    </row>
    <row r="14">
      <c r="A14" s="7" t="s">
        <v>39</v>
      </c>
      <c r="B14" s="7" t="str">
        <f>VLOOKUP(CONCAT(A14, C14), 'Discord Username to Real Name'!C:D, 2, FALSE)</f>
        <v>ThisIsDenry#0446</v>
      </c>
      <c r="C14" s="7" t="s">
        <v>21</v>
      </c>
      <c r="D14" s="32">
        <f>IFERROR(__xludf.DUMMYFUNCTION("(4 - COUNTIF(IFERROR(ARRAYFORMULA(HLOOKUP($B14, IMPORTRANGE('Prelim Rankings Unsorted'!$B$40, CONCAT(VLOOKUP($C14, 'Match Names'!$A$1:$D$22, 2, FALSE), ""!C3:R29"")), {4;9;15;21}, FALSE)), 'Player Overall Stats Unsorted'!$AA$9:$AA$12), ""=X"")) + (4 - COU"&amp;"NTIF(IFERROR(ARRAYFORMULA(HLOOKUP($B14, IMPORTRANGE('Prelim Rankings Unsorted'!$B$41, CONCAT(VLOOKUP($C14, 'Match Names'!$A$1:$D$22, 3, FALSE), ""!C3:R29"")), {7;13;19;24}, FALSE)), 'Player Overall Stats Unsorted'!$AA$9:$AA$12), ""=X"")) + (4 - COUNTIF(IF"&amp;"ERROR(ARRAYFORMULA(HLOOKUP($B14, IMPORTRANGE('Prelim Rankings Unsorted'!$B$42, CONCAT(VLOOKUP($C14, 'Match Names'!$A$1:$D$22, 4, FALSE), ""!C3:R29"")), {7;13;19;24}, FALSE)), 'Player Overall Stats Unsorted'!$AA$9:$AA$12), ""=X"")) + (4 - COUNTIF(IFERROR(A"&amp;"RRAYFORMULA(HLOOKUP($B14, IMPORTRANGE('Match Names'!$E$23, CONCAT(VLOOKUP($C14, 'Match Names'!$1:$22, 5, FALSE), ""!C3:R29"")), {2;8;12;22}, FALSE)), 'Player Overall Stats Unsorted'!$AA$9:$AA$12), ""=X"")) + (4 - COUNTIF(IFERROR(ARRAYFORMULA(HLOOKUP($B14,"&amp;" IMPORTRANGE('Match Names'!$F$23, CONCAT(VLOOKUP($C14, 'Match Names'!$1:$22, 6, FALSE), ""!C3:R29"")), {3;9;15;21}, FALSE)), 'Player Overall Stats Unsorted'!$AA$9:$AA$12), ""=X"")) + (4 - COUNTIF(IFERROR(ARRAYFORMULA(HLOOKUP($B14, IMPORTRANGE('Match Names"&amp;"'!$G$23, CONCAT(VLOOKUP($C14, 'Match Names'!$1:$22, 7, FALSE), ""!C3:R29"")), {3;8;12;18}, FALSE)), 'Player Overall Stats Unsorted'!$AA$9:$AA$12), ""=X"")) + (4 - COUNTIF(IFERROR(ARRAYFORMULA(HLOOKUP($B14, IMPORTRANGE('Match Names'!$H$23, CONCAT(VLOOKUP($"&amp;"C14, 'Match Names'!$1:$22, 8, FALSE), ""!C3:R29"")), {7;13;19;24}, FALSE)), 'Player Overall Stats Unsorted'!$AA$9:$AA$12), ""=X""))"),20.0)</f>
        <v>20</v>
      </c>
      <c r="E14" s="32">
        <f>IFERROR(__xludf.DUMMYFUNCTION("COUNTIF(ARRAYFORMULA(HLOOKUP($B14, IMPORTRANGE('Prelim Rankings Unsorted'!$B$40, CONCAT(VLOOKUP($C14, 'Match Names'!$A$1:$D$22, 2, FALSE), ""!C3:R29"")), {4;9;15;21}, FALSE)), ""=4"") + COUNTIF(ARRAYFORMULA(HLOOKUP($B14, IMPORTRANGE('Prelim Rankings Unsor"&amp;"ted'!$B$41, CONCAT(VLOOKUP($C14, 'Match Names'!$A$1:$D$22, 3, FALSE), ""!C3:R29"")), {7;13;19;24}, FALSE)), ""=4"") + COUNTIF(ARRAYFORMULA(HLOOKUP($B14, IMPORTRANGE('Prelim Rankings Unsorted'!$B$42, CONCAT(VLOOKUP($C14, 'Match Names'!$A$1:$D$22, 4, FALSE)"&amp;", ""!C3:R29"")), {7;13;19;24}, FALSE)), ""=4"") + COUNTIF(ARRAYFORMULA(HLOOKUP($B14, IMPORTRANGE('Match Names'!$E$23, CONCAT(VLOOKUP($C14, 'Match Names'!$1:$22, 5, FALSE), ""!C3:R29"")), {2;8;12;22}, FALSE)), ""=4"") + COUNTIF(ARRAYFORMULA(HLOOKUP($B14, I"&amp;"MPORTRANGE('Match Names'!$F$23, CONCAT(VLOOKUP($C14, 'Match Names'!$1:$22, 6, FALSE), ""!C3:R29"")), {3;9;15;21}, FALSE)), ""=4"") + COUNTIF(ARRAYFORMULA(HLOOKUP($B14, IMPORTRANGE('Match Names'!$G$23, CONCAT(VLOOKUP($C14, 'Match Names'!$1:$22, 7, FALSE), "&amp;"""!C3:R29"")), {3;8;12;18}, FALSE)), ""=4"") + COUNTIF(ARRAYFORMULA(HLOOKUP($B14, IMPORTRANGE('Match Names'!$H$23, CONCAT(VLOOKUP($C14, 'Match Names'!$1:$22, 8, FALSE), ""!C3:R29"")), {7;13;19;24}, FALSE)), ""=4"")"),9.0)</f>
        <v>9</v>
      </c>
      <c r="F14" s="32">
        <f>IFERROR(__xludf.DUMMYFUNCTION("COUNTIF(ARRAYFORMULA(HLOOKUP($B14, IMPORTRANGE('Prelim Rankings Unsorted'!$B$40, CONCAT(VLOOKUP($C14, 'Match Names'!$A$1:$D$22, 2, FALSE), ""!C3:R29"")), {4;9;15;21}, FALSE)), ""=0"") + COUNTIF(ARRAYFORMULA(HLOOKUP($B14, IMPORTRANGE('Prelim Rankings Unsor"&amp;"ted'!$B$41, CONCAT(VLOOKUP($C14, 'Match Names'!$A$1:$D$22, 3, FALSE), ""!C3:R29"")), {7;13;19;24}, FALSE)), ""=0"") + COUNTIF(ARRAYFORMULA(HLOOKUP($B14, IMPORTRANGE('Prelim Rankings Unsorted'!$B$42, CONCAT(VLOOKUP($C14, 'Match Names'!$A$1:$D$22, 4, FALSE)"&amp;", ""!C3:R29"")), {7;13;19;24}, FALSE)), ""=0"") + COUNTIF(ARRAYFORMULA(HLOOKUP($B14, IMPORTRANGE('Match Names'!$E$23, CONCAT(VLOOKUP($C14, 'Match Names'!$1:$22, 5, FALSE), ""!C3:R29"")), {2;8;12;22}, FALSE)), ""=0"") + COUNTIF(ARRAYFORMULA(HLOOKUP($B14, I"&amp;"MPORTRANGE('Match Names'!$F$23, CONCAT(VLOOKUP($C14, 'Match Names'!$1:$22, 6, FALSE), ""!C3:R29"")), {3;9;15;21}, FALSE)), ""=0"") + COUNTIF(ARRAYFORMULA(HLOOKUP($B14, IMPORTRANGE('Match Names'!$G$23, CONCAT(VLOOKUP($C14, 'Match Names'!$1:$22, 7, FALSE), "&amp;"""!C3:R29"")), {3;8;12;18}, FALSE)), ""=0"") + COUNTIF(ARRAYFORMULA(HLOOKUP($B14, IMPORTRANGE('Match Names'!$H$23, CONCAT(VLOOKUP($C14, 'Match Names'!$1:$22, 8, FALSE), ""!C3:R29"")), {7;13;19;24}, FALSE)), ""=0"")"),4.0)</f>
        <v>4</v>
      </c>
      <c r="G14" s="32">
        <f>IFERROR(__xludf.DUMMYFUNCTION("COUNTIF(ARRAYFORMULA(HLOOKUP($B14, IMPORTRANGE('Prelim Rankings Unsorted'!$B$40, CONCAT(VLOOKUP($C14, 'Match Names'!$A$1:$D$22, 2, FALSE), ""!C3:R29"")), {4;9;15;21}, FALSE)), ""=-4"") + COUNTIF(ARRAYFORMULA(HLOOKUP($B14, IMPORTRANGE('Prelim Rankings Unso"&amp;"rted'!$B$41, CONCAT(VLOOKUP($C14, 'Match Names'!$A$1:$D$22, 3, FALSE), ""!C3:R29"")), {7;13;19;24}, FALSE)), ""=-4"") + COUNTIF(ARRAYFORMULA(HLOOKUP($B14, IMPORTRANGE('Prelim Rankings Unsorted'!$B$42, CONCAT(VLOOKUP($C14, 'Match Names'!$A$1:$D$22, 4, FALS"&amp;"E), ""!C3:R29"")), {7;13;19;24}, FALSE)), ""=-4"") + COUNTIF(ARRAYFORMULA(HLOOKUP($B14, IMPORTRANGE('Match Names'!$E$23, CONCAT(VLOOKUP($C14, 'Match Names'!$1:$22, 5, FALSE), ""!C3:R29"")), {2;8;12;22}, FALSE)), ""=-4"") + COUNTIF(ARRAYFORMULA(HLOOKUP($B1"&amp;"4, IMPORTRANGE('Match Names'!$F$23, CONCAT(VLOOKUP($C14, 'Match Names'!$1:$22, 6, FALSE), ""!C3:R29"")), {3;9;15;21}, FALSE)), ""=-4"") + COUNTIF(ARRAYFORMULA(HLOOKUP($B14, IMPORTRANGE('Match Names'!$G$23, CONCAT(VLOOKUP($C14, 'Match Names'!$1:$22, 7, FAL"&amp;"SE), ""!C3:R29"")), {3;8;12;18}, FALSE)), ""=-4"") + COUNTIF(ARRAYFORMULA(HLOOKUP($B14, IMPORTRANGE('Match Names'!$H$23, CONCAT(VLOOKUP($C14, 'Match Names'!$1:$22, 8, FALSE), ""!C3:R29"")), {7;13;19;24}, FALSE)), ""=-4"")"),2.0)</f>
        <v>2</v>
      </c>
      <c r="H14" s="33">
        <f t="shared" si="1"/>
        <v>5.6</v>
      </c>
    </row>
    <row r="15">
      <c r="A15" s="7" t="s">
        <v>152</v>
      </c>
      <c r="B15" s="7" t="str">
        <f>VLOOKUP(CONCAT(A15, C15), 'Discord Username to Real Name'!C:D, 2, FALSE)</f>
        <v>hsuehpooy#7813</v>
      </c>
      <c r="C15" s="7" t="s">
        <v>21</v>
      </c>
      <c r="D15" s="32">
        <f>IFERROR(__xludf.DUMMYFUNCTION("(4 - COUNTIF(IFERROR(ARRAYFORMULA(HLOOKUP($B15, IMPORTRANGE('Prelim Rankings Unsorted'!$B$40, CONCAT(VLOOKUP($C15, 'Match Names'!$A$1:$D$22, 2, FALSE), ""!C3:R29"")), {4;9;15;21}, FALSE)), 'Player Overall Stats Unsorted'!$AA$9:$AA$12), ""=X"")) + (4 - COU"&amp;"NTIF(IFERROR(ARRAYFORMULA(HLOOKUP($B15, IMPORTRANGE('Prelim Rankings Unsorted'!$B$41, CONCAT(VLOOKUP($C15, 'Match Names'!$A$1:$D$22, 3, FALSE), ""!C3:R29"")), {7;13;19;24}, FALSE)), 'Player Overall Stats Unsorted'!$AA$9:$AA$12), ""=X"")) + (4 - COUNTIF(IF"&amp;"ERROR(ARRAYFORMULA(HLOOKUP($B15, IMPORTRANGE('Prelim Rankings Unsorted'!$B$42, CONCAT(VLOOKUP($C15, 'Match Names'!$A$1:$D$22, 4, FALSE), ""!C3:R29"")), {7;13;19;24}, FALSE)), 'Player Overall Stats Unsorted'!$AA$9:$AA$12), ""=X"")) + (4 - COUNTIF(IFERROR(A"&amp;"RRAYFORMULA(HLOOKUP($B15, IMPORTRANGE('Match Names'!$E$23, CONCAT(VLOOKUP($C15, 'Match Names'!$1:$22, 5, FALSE), ""!C3:R29"")), {2;8;12;22}, FALSE)), 'Player Overall Stats Unsorted'!$AA$9:$AA$12), ""=X"")) + (4 - COUNTIF(IFERROR(ARRAYFORMULA(HLOOKUP($B15,"&amp;" IMPORTRANGE('Match Names'!$F$23, CONCAT(VLOOKUP($C15, 'Match Names'!$1:$22, 6, FALSE), ""!C3:R29"")), {3;9;15;21}, FALSE)), 'Player Overall Stats Unsorted'!$AA$9:$AA$12), ""=X"")) + (4 - COUNTIF(IFERROR(ARRAYFORMULA(HLOOKUP($B15, IMPORTRANGE('Match Names"&amp;"'!$G$23, CONCAT(VLOOKUP($C15, 'Match Names'!$1:$22, 7, FALSE), ""!C3:R29"")), {3;8;12;18}, FALSE)), 'Player Overall Stats Unsorted'!$AA$9:$AA$12), ""=X"")) + (4 - COUNTIF(IFERROR(ARRAYFORMULA(HLOOKUP($B15, IMPORTRANGE('Match Names'!$H$23, CONCAT(VLOOKUP($"&amp;"C15, 'Match Names'!$1:$22, 8, FALSE), ""!C3:R29"")), {7;13;19;24}, FALSE)), 'Player Overall Stats Unsorted'!$AA$9:$AA$12), ""=X""))"),18.0)</f>
        <v>18</v>
      </c>
      <c r="E15" s="32">
        <f>IFERROR(__xludf.DUMMYFUNCTION("COUNTIF(ARRAYFORMULA(HLOOKUP($B15, IMPORTRANGE('Prelim Rankings Unsorted'!$B$40, CONCAT(VLOOKUP($C15, 'Match Names'!$A$1:$D$22, 2, FALSE), ""!C3:R29"")), {4;9;15;21}, FALSE)), ""=4"") + COUNTIF(ARRAYFORMULA(HLOOKUP($B15, IMPORTRANGE('Prelim Rankings Unsor"&amp;"ted'!$B$41, CONCAT(VLOOKUP($C15, 'Match Names'!$A$1:$D$22, 3, FALSE), ""!C3:R29"")), {7;13;19;24}, FALSE)), ""=4"") + COUNTIF(ARRAYFORMULA(HLOOKUP($B15, IMPORTRANGE('Prelim Rankings Unsorted'!$B$42, CONCAT(VLOOKUP($C15, 'Match Names'!$A$1:$D$22, 4, FALSE)"&amp;", ""!C3:R29"")), {7;13;19;24}, FALSE)), ""=4"") + COUNTIF(ARRAYFORMULA(HLOOKUP($B15, IMPORTRANGE('Match Names'!$E$23, CONCAT(VLOOKUP($C15, 'Match Names'!$1:$22, 5, FALSE), ""!C3:R29"")), {2;8;12;22}, FALSE)), ""=4"") + COUNTIF(ARRAYFORMULA(HLOOKUP($B15, I"&amp;"MPORTRANGE('Match Names'!$F$23, CONCAT(VLOOKUP($C15, 'Match Names'!$1:$22, 6, FALSE), ""!C3:R29"")), {3;9;15;21}, FALSE)), ""=4"") + COUNTIF(ARRAYFORMULA(HLOOKUP($B15, IMPORTRANGE('Match Names'!$G$23, CONCAT(VLOOKUP($C15, 'Match Names'!$1:$22, 7, FALSE), "&amp;"""!C3:R29"")), {3;8;12;18}, FALSE)), ""=4"") + COUNTIF(ARRAYFORMULA(HLOOKUP($B15, IMPORTRANGE('Match Names'!$H$23, CONCAT(VLOOKUP($C15, 'Match Names'!$1:$22, 8, FALSE), ""!C3:R29"")), {7;13;19;24}, FALSE)), ""=4"")"),0.0)</f>
        <v>0</v>
      </c>
      <c r="F15" s="32">
        <f>IFERROR(__xludf.DUMMYFUNCTION("COUNTIF(ARRAYFORMULA(HLOOKUP($B15, IMPORTRANGE('Prelim Rankings Unsorted'!$B$40, CONCAT(VLOOKUP($C15, 'Match Names'!$A$1:$D$22, 2, FALSE), ""!C3:R29"")), {4;9;15;21}, FALSE)), ""=0"") + COUNTIF(ARRAYFORMULA(HLOOKUP($B15, IMPORTRANGE('Prelim Rankings Unsor"&amp;"ted'!$B$41, CONCAT(VLOOKUP($C15, 'Match Names'!$A$1:$D$22, 3, FALSE), ""!C3:R29"")), {7;13;19;24}, FALSE)), ""=0"") + COUNTIF(ARRAYFORMULA(HLOOKUP($B15, IMPORTRANGE('Prelim Rankings Unsorted'!$B$42, CONCAT(VLOOKUP($C15, 'Match Names'!$A$1:$D$22, 4, FALSE)"&amp;", ""!C3:R29"")), {7;13;19;24}, FALSE)), ""=0"") + COUNTIF(ARRAYFORMULA(HLOOKUP($B15, IMPORTRANGE('Match Names'!$E$23, CONCAT(VLOOKUP($C15, 'Match Names'!$1:$22, 5, FALSE), ""!C3:R29"")), {2;8;12;22}, FALSE)), ""=0"") + COUNTIF(ARRAYFORMULA(HLOOKUP($B15, I"&amp;"MPORTRANGE('Match Names'!$F$23, CONCAT(VLOOKUP($C15, 'Match Names'!$1:$22, 6, FALSE), ""!C3:R29"")), {3;9;15;21}, FALSE)), ""=0"") + COUNTIF(ARRAYFORMULA(HLOOKUP($B15, IMPORTRANGE('Match Names'!$G$23, CONCAT(VLOOKUP($C15, 'Match Names'!$1:$22, 7, FALSE), "&amp;"""!C3:R29"")), {3;8;12;18}, FALSE)), ""=0"") + COUNTIF(ARRAYFORMULA(HLOOKUP($B15, IMPORTRANGE('Match Names'!$H$23, CONCAT(VLOOKUP($C15, 'Match Names'!$1:$22, 8, FALSE), ""!C3:R29"")), {7;13;19;24}, FALSE)), ""=0"")"),0.0)</f>
        <v>0</v>
      </c>
      <c r="G15" s="32">
        <f>IFERROR(__xludf.DUMMYFUNCTION("COUNTIF(ARRAYFORMULA(HLOOKUP($B15, IMPORTRANGE('Prelim Rankings Unsorted'!$B$40, CONCAT(VLOOKUP($C15, 'Match Names'!$A$1:$D$22, 2, FALSE), ""!C3:R29"")), {4;9;15;21}, FALSE)), ""=-4"") + COUNTIF(ARRAYFORMULA(HLOOKUP($B15, IMPORTRANGE('Prelim Rankings Unso"&amp;"rted'!$B$41, CONCAT(VLOOKUP($C15, 'Match Names'!$A$1:$D$22, 3, FALSE), ""!C3:R29"")), {7;13;19;24}, FALSE)), ""=-4"") + COUNTIF(ARRAYFORMULA(HLOOKUP($B15, IMPORTRANGE('Prelim Rankings Unsorted'!$B$42, CONCAT(VLOOKUP($C15, 'Match Names'!$A$1:$D$22, 4, FALS"&amp;"E), ""!C3:R29"")), {7;13;19;24}, FALSE)), ""=-4"") + COUNTIF(ARRAYFORMULA(HLOOKUP($B15, IMPORTRANGE('Match Names'!$E$23, CONCAT(VLOOKUP($C15, 'Match Names'!$1:$22, 5, FALSE), ""!C3:R29"")), {2;8;12;22}, FALSE)), ""=-4"") + COUNTIF(ARRAYFORMULA(HLOOKUP($B1"&amp;"5, IMPORTRANGE('Match Names'!$F$23, CONCAT(VLOOKUP($C15, 'Match Names'!$1:$22, 6, FALSE), ""!C3:R29"")), {3;9;15;21}, FALSE)), ""=-4"") + COUNTIF(ARRAYFORMULA(HLOOKUP($B15, IMPORTRANGE('Match Names'!$G$23, CONCAT(VLOOKUP($C15, 'Match Names'!$1:$22, 7, FAL"&amp;"SE), ""!C3:R29"")), {3;8;12;18}, FALSE)), ""=-4"") + COUNTIF(ARRAYFORMULA(HLOOKUP($B15, IMPORTRANGE('Match Names'!$H$23, CONCAT(VLOOKUP($C15, 'Match Names'!$1:$22, 8, FALSE), ""!C3:R29"")), {7;13;19;24}, FALSE)), ""=-4"")"),0.0)</f>
        <v>0</v>
      </c>
      <c r="H15" s="33">
        <f t="shared" si="1"/>
        <v>0</v>
      </c>
    </row>
    <row r="16">
      <c r="A16" s="7" t="s">
        <v>143</v>
      </c>
      <c r="B16" s="7" t="str">
        <f>VLOOKUP(CONCAT(A16, C16), 'Discord Username to Real Name'!C:D, 2, FALSE)</f>
        <v>CheeseGr8ter#2134</v>
      </c>
      <c r="C16" s="7" t="s">
        <v>21</v>
      </c>
      <c r="D16" s="32">
        <f>IFERROR(__xludf.DUMMYFUNCTION("(4 - COUNTIF(IFERROR(ARRAYFORMULA(HLOOKUP($B16, IMPORTRANGE('Prelim Rankings Unsorted'!$B$40, CONCAT(VLOOKUP($C16, 'Match Names'!$A$1:$D$22, 2, FALSE), ""!C3:R29"")), {4;9;15;21}, FALSE)), 'Player Overall Stats Unsorted'!$AA$9:$AA$12), ""=X"")) + (4 - COU"&amp;"NTIF(IFERROR(ARRAYFORMULA(HLOOKUP($B16, IMPORTRANGE('Prelim Rankings Unsorted'!$B$41, CONCAT(VLOOKUP($C16, 'Match Names'!$A$1:$D$22, 3, FALSE), ""!C3:R29"")), {7;13;19;24}, FALSE)), 'Player Overall Stats Unsorted'!$AA$9:$AA$12), ""=X"")) + (4 - COUNTIF(IF"&amp;"ERROR(ARRAYFORMULA(HLOOKUP($B16, IMPORTRANGE('Prelim Rankings Unsorted'!$B$42, CONCAT(VLOOKUP($C16, 'Match Names'!$A$1:$D$22, 4, FALSE), ""!C3:R29"")), {7;13;19;24}, FALSE)), 'Player Overall Stats Unsorted'!$AA$9:$AA$12), ""=X"")) + (4 - COUNTIF(IFERROR(A"&amp;"RRAYFORMULA(HLOOKUP($B16, IMPORTRANGE('Match Names'!$E$23, CONCAT(VLOOKUP($C16, 'Match Names'!$1:$22, 5, FALSE), ""!C3:R29"")), {2;8;12;22}, FALSE)), 'Player Overall Stats Unsorted'!$AA$9:$AA$12), ""=X"")) + (4 - COUNTIF(IFERROR(ARRAYFORMULA(HLOOKUP($B16,"&amp;" IMPORTRANGE('Match Names'!$F$23, CONCAT(VLOOKUP($C16, 'Match Names'!$1:$22, 6, FALSE), ""!C3:R29"")), {3;9;15;21}, FALSE)), 'Player Overall Stats Unsorted'!$AA$9:$AA$12), ""=X"")) + (4 - COUNTIF(IFERROR(ARRAYFORMULA(HLOOKUP($B16, IMPORTRANGE('Match Names"&amp;"'!$G$23, CONCAT(VLOOKUP($C16, 'Match Names'!$1:$22, 7, FALSE), ""!C3:R29"")), {3;8;12;18}, FALSE)), 'Player Overall Stats Unsorted'!$AA$9:$AA$12), ""=X"")) + (4 - COUNTIF(IFERROR(ARRAYFORMULA(HLOOKUP($B16, IMPORTRANGE('Match Names'!$H$23, CONCAT(VLOOKUP($"&amp;"C16, 'Match Names'!$1:$22, 8, FALSE), ""!C3:R29"")), {7;13;19;24}, FALSE)), 'Player Overall Stats Unsorted'!$AA$9:$AA$12), ""=X""))"),20.0)</f>
        <v>20</v>
      </c>
      <c r="E16" s="32">
        <f>IFERROR(__xludf.DUMMYFUNCTION("COUNTIF(ARRAYFORMULA(HLOOKUP($B16, IMPORTRANGE('Prelim Rankings Unsorted'!$B$40, CONCAT(VLOOKUP($C16, 'Match Names'!$A$1:$D$22, 2, FALSE), ""!C3:R29"")), {4;9;15;21}, FALSE)), ""=4"") + COUNTIF(ARRAYFORMULA(HLOOKUP($B16, IMPORTRANGE('Prelim Rankings Unsor"&amp;"ted'!$B$41, CONCAT(VLOOKUP($C16, 'Match Names'!$A$1:$D$22, 3, FALSE), ""!C3:R29"")), {7;13;19;24}, FALSE)), ""=4"") + COUNTIF(ARRAYFORMULA(HLOOKUP($B16, IMPORTRANGE('Prelim Rankings Unsorted'!$B$42, CONCAT(VLOOKUP($C16, 'Match Names'!$A$1:$D$22, 4, FALSE)"&amp;", ""!C3:R29"")), {7;13;19;24}, FALSE)), ""=4"") + COUNTIF(ARRAYFORMULA(HLOOKUP($B16, IMPORTRANGE('Match Names'!$E$23, CONCAT(VLOOKUP($C16, 'Match Names'!$1:$22, 5, FALSE), ""!C3:R29"")), {2;8;12;22}, FALSE)), ""=4"") + COUNTIF(ARRAYFORMULA(HLOOKUP($B16, I"&amp;"MPORTRANGE('Match Names'!$F$23, CONCAT(VLOOKUP($C16, 'Match Names'!$1:$22, 6, FALSE), ""!C3:R29"")), {3;9;15;21}, FALSE)), ""=4"") + COUNTIF(ARRAYFORMULA(HLOOKUP($B16, IMPORTRANGE('Match Names'!$G$23, CONCAT(VLOOKUP($C16, 'Match Names'!$1:$22, 7, FALSE), "&amp;"""!C3:R29"")), {3;8;12;18}, FALSE)), ""=4"") + COUNTIF(ARRAYFORMULA(HLOOKUP($B16, IMPORTRANGE('Match Names'!$H$23, CONCAT(VLOOKUP($C16, 'Match Names'!$1:$22, 8, FALSE), ""!C3:R29"")), {7;13;19;24}, FALSE)), ""=4"")"),0.0)</f>
        <v>0</v>
      </c>
      <c r="F16" s="32">
        <f>IFERROR(__xludf.DUMMYFUNCTION("COUNTIF(ARRAYFORMULA(HLOOKUP($B16, IMPORTRANGE('Prelim Rankings Unsorted'!$B$40, CONCAT(VLOOKUP($C16, 'Match Names'!$A$1:$D$22, 2, FALSE), ""!C3:R29"")), {4;9;15;21}, FALSE)), ""=0"") + COUNTIF(ARRAYFORMULA(HLOOKUP($B16, IMPORTRANGE('Prelim Rankings Unsor"&amp;"ted'!$B$41, CONCAT(VLOOKUP($C16, 'Match Names'!$A$1:$D$22, 3, FALSE), ""!C3:R29"")), {7;13;19;24}, FALSE)), ""=0"") + COUNTIF(ARRAYFORMULA(HLOOKUP($B16, IMPORTRANGE('Prelim Rankings Unsorted'!$B$42, CONCAT(VLOOKUP($C16, 'Match Names'!$A$1:$D$22, 4, FALSE)"&amp;", ""!C3:R29"")), {7;13;19;24}, FALSE)), ""=0"") + COUNTIF(ARRAYFORMULA(HLOOKUP($B16, IMPORTRANGE('Match Names'!$E$23, CONCAT(VLOOKUP($C16, 'Match Names'!$1:$22, 5, FALSE), ""!C3:R29"")), {2;8;12;22}, FALSE)), ""=0"") + COUNTIF(ARRAYFORMULA(HLOOKUP($B16, I"&amp;"MPORTRANGE('Match Names'!$F$23, CONCAT(VLOOKUP($C16, 'Match Names'!$1:$22, 6, FALSE), ""!C3:R29"")), {3;9;15;21}, FALSE)), ""=0"") + COUNTIF(ARRAYFORMULA(HLOOKUP($B16, IMPORTRANGE('Match Names'!$G$23, CONCAT(VLOOKUP($C16, 'Match Names'!$1:$22, 7, FALSE), "&amp;"""!C3:R29"")), {3;8;12;18}, FALSE)), ""=0"") + COUNTIF(ARRAYFORMULA(HLOOKUP($B16, IMPORTRANGE('Match Names'!$H$23, CONCAT(VLOOKUP($C16, 'Match Names'!$1:$22, 8, FALSE), ""!C3:R29"")), {7;13;19;24}, FALSE)), ""=0"")"),0.0)</f>
        <v>0</v>
      </c>
      <c r="G16" s="32">
        <f>IFERROR(__xludf.DUMMYFUNCTION("COUNTIF(ARRAYFORMULA(HLOOKUP($B16, IMPORTRANGE('Prelim Rankings Unsorted'!$B$40, CONCAT(VLOOKUP($C16, 'Match Names'!$A$1:$D$22, 2, FALSE), ""!C3:R29"")), {4;9;15;21}, FALSE)), ""=-4"") + COUNTIF(ARRAYFORMULA(HLOOKUP($B16, IMPORTRANGE('Prelim Rankings Unso"&amp;"rted'!$B$41, CONCAT(VLOOKUP($C16, 'Match Names'!$A$1:$D$22, 3, FALSE), ""!C3:R29"")), {7;13;19;24}, FALSE)), ""=-4"") + COUNTIF(ARRAYFORMULA(HLOOKUP($B16, IMPORTRANGE('Prelim Rankings Unsorted'!$B$42, CONCAT(VLOOKUP($C16, 'Match Names'!$A$1:$D$22, 4, FALS"&amp;"E), ""!C3:R29"")), {7;13;19;24}, FALSE)), ""=-4"") + COUNTIF(ARRAYFORMULA(HLOOKUP($B16, IMPORTRANGE('Match Names'!$E$23, CONCAT(VLOOKUP($C16, 'Match Names'!$1:$22, 5, FALSE), ""!C3:R29"")), {2;8;12;22}, FALSE)), ""=-4"") + COUNTIF(ARRAYFORMULA(HLOOKUP($B1"&amp;"6, IMPORTRANGE('Match Names'!$F$23, CONCAT(VLOOKUP($C16, 'Match Names'!$1:$22, 6, FALSE), ""!C3:R29"")), {3;9;15;21}, FALSE)), ""=-4"") + COUNTIF(ARRAYFORMULA(HLOOKUP($B16, IMPORTRANGE('Match Names'!$G$23, CONCAT(VLOOKUP($C16, 'Match Names'!$1:$22, 7, FAL"&amp;"SE), ""!C3:R29"")), {3;8;12;18}, FALSE)), ""=-4"") + COUNTIF(ARRAYFORMULA(HLOOKUP($B16, IMPORTRANGE('Match Names'!$H$23, CONCAT(VLOOKUP($C16, 'Match Names'!$1:$22, 8, FALSE), ""!C3:R29"")), {7;13;19;24}, FALSE)), ""=-4"")"),0.0)</f>
        <v>0</v>
      </c>
      <c r="H16" s="33">
        <f t="shared" si="1"/>
        <v>0</v>
      </c>
    </row>
    <row r="17">
      <c r="A17" s="4" t="s">
        <v>88</v>
      </c>
      <c r="B17" s="7" t="str">
        <f>VLOOKUP(CONCAT(A17, C17), 'Discord Username to Real Name'!C:D, 2, FALSE)</f>
        <v>s0arbeacon#9262</v>
      </c>
      <c r="C17" s="7" t="s">
        <v>31</v>
      </c>
      <c r="D17" s="32">
        <f>IFERROR(__xludf.DUMMYFUNCTION("(4 - COUNTIF(IFERROR(ARRAYFORMULA(HLOOKUP($B17, IMPORTRANGE('Prelim Rankings Unsorted'!$B$40, CONCAT(VLOOKUP($C17, 'Match Names'!$A$1:$D$22, 2, FALSE), ""!C3:R29"")), {4;9;15;21}, FALSE)), 'Player Overall Stats Unsorted'!$AA$9:$AA$12), ""=X"")) + (4 - COU"&amp;"NTIF(IFERROR(ARRAYFORMULA(HLOOKUP($B17, IMPORTRANGE('Prelim Rankings Unsorted'!$B$41, CONCAT(VLOOKUP($C17, 'Match Names'!$A$1:$D$22, 3, FALSE), ""!C3:R29"")), {7;13;19;24}, FALSE)), 'Player Overall Stats Unsorted'!$AA$9:$AA$12), ""=X"")) + (4 - COUNTIF(IF"&amp;"ERROR(ARRAYFORMULA(HLOOKUP($B17, IMPORTRANGE('Prelim Rankings Unsorted'!$B$42, CONCAT(VLOOKUP($C17, 'Match Names'!$A$1:$D$22, 4, FALSE), ""!C3:R29"")), {7;13;19;24}, FALSE)), 'Player Overall Stats Unsorted'!$AA$9:$AA$12), ""=X"")) + (4 - COUNTIF(IFERROR(A"&amp;"RRAYFORMULA(HLOOKUP($B17, IMPORTRANGE('Match Names'!$E$23, CONCAT(VLOOKUP($C17, 'Match Names'!$1:$22, 5, FALSE), ""!C3:R29"")), {2;8;12;22}, FALSE)), 'Player Overall Stats Unsorted'!$AA$9:$AA$12), ""=X"")) + (4 - COUNTIF(IFERROR(ARRAYFORMULA(HLOOKUP($B17,"&amp;" IMPORTRANGE('Match Names'!$F$23, CONCAT(VLOOKUP($C17, 'Match Names'!$1:$22, 6, FALSE), ""!C3:R29"")), {3;9;15;21}, FALSE)), 'Player Overall Stats Unsorted'!$AA$9:$AA$12), ""=X"")) + (4 - COUNTIF(IFERROR(ARRAYFORMULA(HLOOKUP($B17, IMPORTRANGE('Match Names"&amp;"'!$G$23, CONCAT(VLOOKUP($C17, 'Match Names'!$1:$22, 7, FALSE), ""!C3:R29"")), {3;8;12;18}, FALSE)), 'Player Overall Stats Unsorted'!$AA$9:$AA$12), ""=X"")) + (4 - COUNTIF(IFERROR(ARRAYFORMULA(HLOOKUP($B17, IMPORTRANGE('Match Names'!$H$23, CONCAT(VLOOKUP($"&amp;"C17, 'Match Names'!$1:$22, 8, FALSE), ""!C3:R29"")), {7;13;19;24}, FALSE)), 'Player Overall Stats Unsorted'!$AA$9:$AA$12), ""=X""))"),16.0)</f>
        <v>16</v>
      </c>
      <c r="E17" s="32">
        <f>IFERROR(__xludf.DUMMYFUNCTION("COUNTIF(ARRAYFORMULA(HLOOKUP($B17, IMPORTRANGE('Prelim Rankings Unsorted'!$B$40, CONCAT(VLOOKUP($C17, 'Match Names'!$A$1:$D$22, 2, FALSE), ""!C3:R29"")), {4;9;15;21}, FALSE)), ""=4"") + COUNTIF(ARRAYFORMULA(HLOOKUP($B17, IMPORTRANGE('Prelim Rankings Unsor"&amp;"ted'!$B$41, CONCAT(VLOOKUP($C17, 'Match Names'!$A$1:$D$22, 3, FALSE), ""!C3:R29"")), {7;13;19;24}, FALSE)), ""=4"") + COUNTIF(ARRAYFORMULA(HLOOKUP($B17, IMPORTRANGE('Prelim Rankings Unsorted'!$B$42, CONCAT(VLOOKUP($C17, 'Match Names'!$A$1:$D$22, 4, FALSE)"&amp;", ""!C3:R29"")), {7;13;19;24}, FALSE)), ""=4"") + COUNTIF(ARRAYFORMULA(HLOOKUP($B17, IMPORTRANGE('Match Names'!$E$23, CONCAT(VLOOKUP($C17, 'Match Names'!$1:$22, 5, FALSE), ""!C3:R29"")), {2;8;12;22}, FALSE)), ""=4"") + COUNTIF(ARRAYFORMULA(HLOOKUP($B17, I"&amp;"MPORTRANGE('Match Names'!$F$23, CONCAT(VLOOKUP($C17, 'Match Names'!$1:$22, 6, FALSE), ""!C3:R29"")), {3;9;15;21}, FALSE)), ""=4"") + COUNTIF(ARRAYFORMULA(HLOOKUP($B17, IMPORTRANGE('Match Names'!$G$23, CONCAT(VLOOKUP($C17, 'Match Names'!$1:$22, 7, FALSE), "&amp;"""!C3:R29"")), {3;8;12;18}, FALSE)), ""=4"") + COUNTIF(ARRAYFORMULA(HLOOKUP($B17, IMPORTRANGE('Match Names'!$H$23, CONCAT(VLOOKUP($C17, 'Match Names'!$1:$22, 8, FALSE), ""!C3:R29"")), {7;13;19;24}, FALSE)), ""=4"")"),3.0)</f>
        <v>3</v>
      </c>
      <c r="F17" s="32">
        <f>IFERROR(__xludf.DUMMYFUNCTION("COUNTIF(ARRAYFORMULA(HLOOKUP($B17, IMPORTRANGE('Prelim Rankings Unsorted'!$B$40, CONCAT(VLOOKUP($C17, 'Match Names'!$A$1:$D$22, 2, FALSE), ""!C3:R29"")), {4;9;15;21}, FALSE)), ""=0"") + COUNTIF(ARRAYFORMULA(HLOOKUP($B17, IMPORTRANGE('Prelim Rankings Unsor"&amp;"ted'!$B$41, CONCAT(VLOOKUP($C17, 'Match Names'!$A$1:$D$22, 3, FALSE), ""!C3:R29"")), {7;13;19;24}, FALSE)), ""=0"") + COUNTIF(ARRAYFORMULA(HLOOKUP($B17, IMPORTRANGE('Prelim Rankings Unsorted'!$B$42, CONCAT(VLOOKUP($C17, 'Match Names'!$A$1:$D$22, 4, FALSE)"&amp;", ""!C3:R29"")), {7;13;19;24}, FALSE)), ""=0"") + COUNTIF(ARRAYFORMULA(HLOOKUP($B17, IMPORTRANGE('Match Names'!$E$23, CONCAT(VLOOKUP($C17, 'Match Names'!$1:$22, 5, FALSE), ""!C3:R29"")), {2;8;12;22}, FALSE)), ""=0"") + COUNTIF(ARRAYFORMULA(HLOOKUP($B17, I"&amp;"MPORTRANGE('Match Names'!$F$23, CONCAT(VLOOKUP($C17, 'Match Names'!$1:$22, 6, FALSE), ""!C3:R29"")), {3;9;15;21}, FALSE)), ""=0"") + COUNTIF(ARRAYFORMULA(HLOOKUP($B17, IMPORTRANGE('Match Names'!$G$23, CONCAT(VLOOKUP($C17, 'Match Names'!$1:$22, 7, FALSE), "&amp;"""!C3:R29"")), {3;8;12;18}, FALSE)), ""=0"") + COUNTIF(ARRAYFORMULA(HLOOKUP($B17, IMPORTRANGE('Match Names'!$H$23, CONCAT(VLOOKUP($C17, 'Match Names'!$1:$22, 8, FALSE), ""!C3:R29"")), {7;13;19;24}, FALSE)), ""=0"")"),2.0)</f>
        <v>2</v>
      </c>
      <c r="G17" s="32">
        <f>IFERROR(__xludf.DUMMYFUNCTION("COUNTIF(ARRAYFORMULA(HLOOKUP($B17, IMPORTRANGE('Prelim Rankings Unsorted'!$B$40, CONCAT(VLOOKUP($C17, 'Match Names'!$A$1:$D$22, 2, FALSE), ""!C3:R29"")), {4;9;15;21}, FALSE)), ""=-4"") + COUNTIF(ARRAYFORMULA(HLOOKUP($B17, IMPORTRANGE('Prelim Rankings Unso"&amp;"rted'!$B$41, CONCAT(VLOOKUP($C17, 'Match Names'!$A$1:$D$22, 3, FALSE), ""!C3:R29"")), {7;13;19;24}, FALSE)), ""=-4"") + COUNTIF(ARRAYFORMULA(HLOOKUP($B17, IMPORTRANGE('Prelim Rankings Unsorted'!$B$42, CONCAT(VLOOKUP($C17, 'Match Names'!$A$1:$D$22, 4, FALS"&amp;"E), ""!C3:R29"")), {7;13;19;24}, FALSE)), ""=-4"") + COUNTIF(ARRAYFORMULA(HLOOKUP($B17, IMPORTRANGE('Match Names'!$E$23, CONCAT(VLOOKUP($C17, 'Match Names'!$1:$22, 5, FALSE), ""!C3:R29"")), {2;8;12;22}, FALSE)), ""=-4"") + COUNTIF(ARRAYFORMULA(HLOOKUP($B1"&amp;"7, IMPORTRANGE('Match Names'!$F$23, CONCAT(VLOOKUP($C17, 'Match Names'!$1:$22, 6, FALSE), ""!C3:R29"")), {3;9;15;21}, FALSE)), ""=-4"") + COUNTIF(ARRAYFORMULA(HLOOKUP($B17, IMPORTRANGE('Match Names'!$G$23, CONCAT(VLOOKUP($C17, 'Match Names'!$1:$22, 7, FAL"&amp;"SE), ""!C3:R29"")), {3;8;12;18}, FALSE)), ""=-4"") + COUNTIF(ARRAYFORMULA(HLOOKUP($B17, IMPORTRANGE('Match Names'!$H$23, CONCAT(VLOOKUP($C17, 'Match Names'!$1:$22, 8, FALSE), ""!C3:R29"")), {7;13;19;24}, FALSE)), ""=-4"")"),0.0)</f>
        <v>0</v>
      </c>
      <c r="H17" s="33">
        <f t="shared" si="1"/>
        <v>3</v>
      </c>
    </row>
    <row r="18">
      <c r="A18" s="17" t="s">
        <v>206</v>
      </c>
      <c r="B18" s="7" t="str">
        <f>VLOOKUP(CONCAT(A18, C18), 'Discord Username to Real Name'!C:D, 2, FALSE)</f>
        <v>.penguin#3809</v>
      </c>
      <c r="C18" s="19" t="s">
        <v>31</v>
      </c>
      <c r="D18" s="32">
        <f>IFERROR(__xludf.DUMMYFUNCTION("(4 - COUNTIF(IFERROR(ARRAYFORMULA(HLOOKUP($B18, IMPORTRANGE('Prelim Rankings Unsorted'!$B$40, CONCAT(VLOOKUP($C18, 'Match Names'!$A$1:$D$22, 2, FALSE), ""!C3:R29"")), {4;9;15;21}, FALSE)), 'Player Overall Stats Unsorted'!$AA$9:$AA$12), ""=X"")) + (4 - COU"&amp;"NTIF(IFERROR(ARRAYFORMULA(HLOOKUP($B18, IMPORTRANGE('Prelim Rankings Unsorted'!$B$41, CONCAT(VLOOKUP($C18, 'Match Names'!$A$1:$D$22, 3, FALSE), ""!C3:R29"")), {7;13;19;24}, FALSE)), 'Player Overall Stats Unsorted'!$AA$9:$AA$12), ""=X"")) + (4 - COUNTIF(IF"&amp;"ERROR(ARRAYFORMULA(HLOOKUP($B18, IMPORTRANGE('Prelim Rankings Unsorted'!$B$42, CONCAT(VLOOKUP($C18, 'Match Names'!$A$1:$D$22, 4, FALSE), ""!C3:R29"")), {7;13;19;24}, FALSE)), 'Player Overall Stats Unsorted'!$AA$9:$AA$12), ""=X"")) + (4 - COUNTIF(IFERROR(A"&amp;"RRAYFORMULA(HLOOKUP($B18, IMPORTRANGE('Match Names'!$E$23, CONCAT(VLOOKUP($C18, 'Match Names'!$1:$22, 5, FALSE), ""!C3:R29"")), {2;8;12;22}, FALSE)), 'Player Overall Stats Unsorted'!$AA$9:$AA$12), ""=X"")) + (4 - COUNTIF(IFERROR(ARRAYFORMULA(HLOOKUP($B18,"&amp;" IMPORTRANGE('Match Names'!$F$23, CONCAT(VLOOKUP($C18, 'Match Names'!$1:$22, 6, FALSE), ""!C3:R29"")), {3;9;15;21}, FALSE)), 'Player Overall Stats Unsorted'!$AA$9:$AA$12), ""=X"")) + (4 - COUNTIF(IFERROR(ARRAYFORMULA(HLOOKUP($B18, IMPORTRANGE('Match Names"&amp;"'!$G$23, CONCAT(VLOOKUP($C18, 'Match Names'!$1:$22, 7, FALSE), ""!C3:R29"")), {3;8;12;18}, FALSE)), 'Player Overall Stats Unsorted'!$AA$9:$AA$12), ""=X"")) + (4 - COUNTIF(IFERROR(ARRAYFORMULA(HLOOKUP($B18, IMPORTRANGE('Match Names'!$H$23, CONCAT(VLOOKUP($"&amp;"C18, 'Match Names'!$1:$22, 8, FALSE), ""!C3:R29"")), {7;13;19;24}, FALSE)), 'Player Overall Stats Unsorted'!$AA$9:$AA$12), ""=X""))"),0.0)</f>
        <v>0</v>
      </c>
      <c r="E18" s="32">
        <f>IFERROR(__xludf.DUMMYFUNCTION("COUNTIF(ARRAYFORMULA(HLOOKUP($B18, IMPORTRANGE('Prelim Rankings Unsorted'!$B$40, CONCAT(VLOOKUP($C18, 'Match Names'!$A$1:$D$22, 2, FALSE), ""!C3:R29"")), {4;9;15;21}, FALSE)), ""=4"") + COUNTIF(ARRAYFORMULA(HLOOKUP($B18, IMPORTRANGE('Prelim Rankings Unsor"&amp;"ted'!$B$41, CONCAT(VLOOKUP($C18, 'Match Names'!$A$1:$D$22, 3, FALSE), ""!C3:R29"")), {7;13;19;24}, FALSE)), ""=4"") + COUNTIF(ARRAYFORMULA(HLOOKUP($B18, IMPORTRANGE('Prelim Rankings Unsorted'!$B$42, CONCAT(VLOOKUP($C18, 'Match Names'!$A$1:$D$22, 4, FALSE)"&amp;", ""!C3:R29"")), {7;13;19;24}, FALSE)), ""=4"") + COUNTIF(ARRAYFORMULA(HLOOKUP($B18, IMPORTRANGE('Match Names'!$E$23, CONCAT(VLOOKUP($C18, 'Match Names'!$1:$22, 5, FALSE), ""!C3:R29"")), {2;8;12;22}, FALSE)), ""=4"") + COUNTIF(ARRAYFORMULA(HLOOKUP($B18, I"&amp;"MPORTRANGE('Match Names'!$F$23, CONCAT(VLOOKUP($C18, 'Match Names'!$1:$22, 6, FALSE), ""!C3:R29"")), {3;9;15;21}, FALSE)), ""=4"") + COUNTIF(ARRAYFORMULA(HLOOKUP($B18, IMPORTRANGE('Match Names'!$G$23, CONCAT(VLOOKUP($C18, 'Match Names'!$1:$22, 7, FALSE), "&amp;"""!C3:R29"")), {3;8;12;18}, FALSE)), ""=4"") + COUNTIF(ARRAYFORMULA(HLOOKUP($B18, IMPORTRANGE('Match Names'!$H$23, CONCAT(VLOOKUP($C18, 'Match Names'!$1:$22, 8, FALSE), ""!C3:R29"")), {7;13;19;24}, FALSE)), ""=4"")"),0.0)</f>
        <v>0</v>
      </c>
      <c r="F18" s="32">
        <f>IFERROR(__xludf.DUMMYFUNCTION("COUNTIF(ARRAYFORMULA(HLOOKUP($B18, IMPORTRANGE('Prelim Rankings Unsorted'!$B$40, CONCAT(VLOOKUP($C18, 'Match Names'!$A$1:$D$22, 2, FALSE), ""!C3:R29"")), {4;9;15;21}, FALSE)), ""=0"") + COUNTIF(ARRAYFORMULA(HLOOKUP($B18, IMPORTRANGE('Prelim Rankings Unsor"&amp;"ted'!$B$41, CONCAT(VLOOKUP($C18, 'Match Names'!$A$1:$D$22, 3, FALSE), ""!C3:R29"")), {7;13;19;24}, FALSE)), ""=0"") + COUNTIF(ARRAYFORMULA(HLOOKUP($B18, IMPORTRANGE('Prelim Rankings Unsorted'!$B$42, CONCAT(VLOOKUP($C18, 'Match Names'!$A$1:$D$22, 4, FALSE)"&amp;", ""!C3:R29"")), {7;13;19;24}, FALSE)), ""=0"") + COUNTIF(ARRAYFORMULA(HLOOKUP($B18, IMPORTRANGE('Match Names'!$E$23, CONCAT(VLOOKUP($C18, 'Match Names'!$1:$22, 5, FALSE), ""!C3:R29"")), {2;8;12;22}, FALSE)), ""=0"") + COUNTIF(ARRAYFORMULA(HLOOKUP($B18, I"&amp;"MPORTRANGE('Match Names'!$F$23, CONCAT(VLOOKUP($C18, 'Match Names'!$1:$22, 6, FALSE), ""!C3:R29"")), {3;9;15;21}, FALSE)), ""=0"") + COUNTIF(ARRAYFORMULA(HLOOKUP($B18, IMPORTRANGE('Match Names'!$G$23, CONCAT(VLOOKUP($C18, 'Match Names'!$1:$22, 7, FALSE), "&amp;"""!C3:R29"")), {3;8;12;18}, FALSE)), ""=0"") + COUNTIF(ARRAYFORMULA(HLOOKUP($B18, IMPORTRANGE('Match Names'!$H$23, CONCAT(VLOOKUP($C18, 'Match Names'!$1:$22, 8, FALSE), ""!C3:R29"")), {7;13;19;24}, FALSE)), ""=0"")"),0.0)</f>
        <v>0</v>
      </c>
      <c r="G18" s="32">
        <f>IFERROR(__xludf.DUMMYFUNCTION("COUNTIF(ARRAYFORMULA(HLOOKUP($B18, IMPORTRANGE('Prelim Rankings Unsorted'!$B$40, CONCAT(VLOOKUP($C18, 'Match Names'!$A$1:$D$22, 2, FALSE), ""!C3:R29"")), {4;9;15;21}, FALSE)), ""=-4"") + COUNTIF(ARRAYFORMULA(HLOOKUP($B18, IMPORTRANGE('Prelim Rankings Unso"&amp;"rted'!$B$41, CONCAT(VLOOKUP($C18, 'Match Names'!$A$1:$D$22, 3, FALSE), ""!C3:R29"")), {7;13;19;24}, FALSE)), ""=-4"") + COUNTIF(ARRAYFORMULA(HLOOKUP($B18, IMPORTRANGE('Prelim Rankings Unsorted'!$B$42, CONCAT(VLOOKUP($C18, 'Match Names'!$A$1:$D$22, 4, FALS"&amp;"E), ""!C3:R29"")), {7;13;19;24}, FALSE)), ""=-4"") + COUNTIF(ARRAYFORMULA(HLOOKUP($B18, IMPORTRANGE('Match Names'!$E$23, CONCAT(VLOOKUP($C18, 'Match Names'!$1:$22, 5, FALSE), ""!C3:R29"")), {2;8;12;22}, FALSE)), ""=-4"") + COUNTIF(ARRAYFORMULA(HLOOKUP($B1"&amp;"8, IMPORTRANGE('Match Names'!$F$23, CONCAT(VLOOKUP($C18, 'Match Names'!$1:$22, 6, FALSE), ""!C3:R29"")), {3;9;15;21}, FALSE)), ""=-4"") + COUNTIF(ARRAYFORMULA(HLOOKUP($B18, IMPORTRANGE('Match Names'!$G$23, CONCAT(VLOOKUP($C18, 'Match Names'!$1:$22, 7, FAL"&amp;"SE), ""!C3:R29"")), {3;8;12;18}, FALSE)), ""=-4"") + COUNTIF(ARRAYFORMULA(HLOOKUP($B18, IMPORTRANGE('Match Names'!$H$23, CONCAT(VLOOKUP($C18, 'Match Names'!$1:$22, 8, FALSE), ""!C3:R29"")), {7;13;19;24}, FALSE)), ""=-4"")"),0.0)</f>
        <v>0</v>
      </c>
      <c r="H18" s="33">
        <f t="shared" si="1"/>
        <v>0</v>
      </c>
    </row>
    <row r="19">
      <c r="A19" s="4" t="s">
        <v>84</v>
      </c>
      <c r="B19" s="7" t="str">
        <f>VLOOKUP(CONCAT(A19, C19), 'Discord Username to Real Name'!C:D, 2, FALSE)</f>
        <v>spongebob#0577</v>
      </c>
      <c r="C19" s="7" t="s">
        <v>31</v>
      </c>
      <c r="D19" s="32">
        <f>IFERROR(__xludf.DUMMYFUNCTION("(4 - COUNTIF(IFERROR(ARRAYFORMULA(HLOOKUP($B19, IMPORTRANGE('Prelim Rankings Unsorted'!$B$40, CONCAT(VLOOKUP($C19, 'Match Names'!$A$1:$D$22, 2, FALSE), ""!C3:R29"")), {4;9;15;21}, FALSE)), 'Player Overall Stats Unsorted'!$AA$9:$AA$12), ""=X"")) + (4 - COU"&amp;"NTIF(IFERROR(ARRAYFORMULA(HLOOKUP($B19, IMPORTRANGE('Prelim Rankings Unsorted'!$B$41, CONCAT(VLOOKUP($C19, 'Match Names'!$A$1:$D$22, 3, FALSE), ""!C3:R29"")), {7;13;19;24}, FALSE)), 'Player Overall Stats Unsorted'!$AA$9:$AA$12), ""=X"")) + (4 - COUNTIF(IF"&amp;"ERROR(ARRAYFORMULA(HLOOKUP($B19, IMPORTRANGE('Prelim Rankings Unsorted'!$B$42, CONCAT(VLOOKUP($C19, 'Match Names'!$A$1:$D$22, 4, FALSE), ""!C3:R29"")), {7;13;19;24}, FALSE)), 'Player Overall Stats Unsorted'!$AA$9:$AA$12), ""=X"")) + (4 - COUNTIF(IFERROR(A"&amp;"RRAYFORMULA(HLOOKUP($B19, IMPORTRANGE('Match Names'!$E$23, CONCAT(VLOOKUP($C19, 'Match Names'!$1:$22, 5, FALSE), ""!C3:R29"")), {2;8;12;22}, FALSE)), 'Player Overall Stats Unsorted'!$AA$9:$AA$12), ""=X"")) + (4 - COUNTIF(IFERROR(ARRAYFORMULA(HLOOKUP($B19,"&amp;" IMPORTRANGE('Match Names'!$F$23, CONCAT(VLOOKUP($C19, 'Match Names'!$1:$22, 6, FALSE), ""!C3:R29"")), {3;9;15;21}, FALSE)), 'Player Overall Stats Unsorted'!$AA$9:$AA$12), ""=X"")) + (4 - COUNTIF(IFERROR(ARRAYFORMULA(HLOOKUP($B19, IMPORTRANGE('Match Names"&amp;"'!$G$23, CONCAT(VLOOKUP($C19, 'Match Names'!$1:$22, 7, FALSE), ""!C3:R29"")), {3;8;12;18}, FALSE)), 'Player Overall Stats Unsorted'!$AA$9:$AA$12), ""=X"")) + (4 - COUNTIF(IFERROR(ARRAYFORMULA(HLOOKUP($B19, IMPORTRANGE('Match Names'!$H$23, CONCAT(VLOOKUP($"&amp;"C19, 'Match Names'!$1:$22, 8, FALSE), ""!C3:R29"")), {7;13;19;24}, FALSE)), 'Player Overall Stats Unsorted'!$AA$9:$AA$12), ""=X""))"),12.0)</f>
        <v>12</v>
      </c>
      <c r="E19" s="32">
        <f>IFERROR(__xludf.DUMMYFUNCTION("COUNTIF(ARRAYFORMULA(HLOOKUP($B19, IMPORTRANGE('Prelim Rankings Unsorted'!$B$40, CONCAT(VLOOKUP($C19, 'Match Names'!$A$1:$D$22, 2, FALSE), ""!C3:R29"")), {4;9;15;21}, FALSE)), ""=4"") + COUNTIF(ARRAYFORMULA(HLOOKUP($B19, IMPORTRANGE('Prelim Rankings Unsor"&amp;"ted'!$B$41, CONCAT(VLOOKUP($C19, 'Match Names'!$A$1:$D$22, 3, FALSE), ""!C3:R29"")), {7;13;19;24}, FALSE)), ""=4"") + COUNTIF(ARRAYFORMULA(HLOOKUP($B19, IMPORTRANGE('Prelim Rankings Unsorted'!$B$42, CONCAT(VLOOKUP($C19, 'Match Names'!$A$1:$D$22, 4, FALSE)"&amp;", ""!C3:R29"")), {7;13;19;24}, FALSE)), ""=4"") + COUNTIF(ARRAYFORMULA(HLOOKUP($B19, IMPORTRANGE('Match Names'!$E$23, CONCAT(VLOOKUP($C19, 'Match Names'!$1:$22, 5, FALSE), ""!C3:R29"")), {2;8;12;22}, FALSE)), ""=4"") + COUNTIF(ARRAYFORMULA(HLOOKUP($B19, I"&amp;"MPORTRANGE('Match Names'!$F$23, CONCAT(VLOOKUP($C19, 'Match Names'!$1:$22, 6, FALSE), ""!C3:R29"")), {3;9;15;21}, FALSE)), ""=4"") + COUNTIF(ARRAYFORMULA(HLOOKUP($B19, IMPORTRANGE('Match Names'!$G$23, CONCAT(VLOOKUP($C19, 'Match Names'!$1:$22, 7, FALSE), "&amp;"""!C3:R29"")), {3;8;12;18}, FALSE)), ""=4"") + COUNTIF(ARRAYFORMULA(HLOOKUP($B19, IMPORTRANGE('Match Names'!$H$23, CONCAT(VLOOKUP($C19, 'Match Names'!$1:$22, 8, FALSE), ""!C3:R29"")), {7;13;19;24}, FALSE)), ""=4"")"),1.0)</f>
        <v>1</v>
      </c>
      <c r="F19" s="32">
        <f>IFERROR(__xludf.DUMMYFUNCTION("COUNTIF(ARRAYFORMULA(HLOOKUP($B19, IMPORTRANGE('Prelim Rankings Unsorted'!$B$40, CONCAT(VLOOKUP($C19, 'Match Names'!$A$1:$D$22, 2, FALSE), ""!C3:R29"")), {4;9;15;21}, FALSE)), ""=0"") + COUNTIF(ARRAYFORMULA(HLOOKUP($B19, IMPORTRANGE('Prelim Rankings Unsor"&amp;"ted'!$B$41, CONCAT(VLOOKUP($C19, 'Match Names'!$A$1:$D$22, 3, FALSE), ""!C3:R29"")), {7;13;19;24}, FALSE)), ""=0"") + COUNTIF(ARRAYFORMULA(HLOOKUP($B19, IMPORTRANGE('Prelim Rankings Unsorted'!$B$42, CONCAT(VLOOKUP($C19, 'Match Names'!$A$1:$D$22, 4, FALSE)"&amp;", ""!C3:R29"")), {7;13;19;24}, FALSE)), ""=0"") + COUNTIF(ARRAYFORMULA(HLOOKUP($B19, IMPORTRANGE('Match Names'!$E$23, CONCAT(VLOOKUP($C19, 'Match Names'!$1:$22, 5, FALSE), ""!C3:R29"")), {2;8;12;22}, FALSE)), ""=0"") + COUNTIF(ARRAYFORMULA(HLOOKUP($B19, I"&amp;"MPORTRANGE('Match Names'!$F$23, CONCAT(VLOOKUP($C19, 'Match Names'!$1:$22, 6, FALSE), ""!C3:R29"")), {3;9;15;21}, FALSE)), ""=0"") + COUNTIF(ARRAYFORMULA(HLOOKUP($B19, IMPORTRANGE('Match Names'!$G$23, CONCAT(VLOOKUP($C19, 'Match Names'!$1:$22, 7, FALSE), "&amp;"""!C3:R29"")), {3;8;12;18}, FALSE)), ""=0"") + COUNTIF(ARRAYFORMULA(HLOOKUP($B19, IMPORTRANGE('Match Names'!$H$23, CONCAT(VLOOKUP($C19, 'Match Names'!$1:$22, 8, FALSE), ""!C3:R29"")), {7;13;19;24}, FALSE)), ""=0"")"),0.0)</f>
        <v>0</v>
      </c>
      <c r="G19" s="32">
        <f>IFERROR(__xludf.DUMMYFUNCTION("COUNTIF(ARRAYFORMULA(HLOOKUP($B19, IMPORTRANGE('Prelim Rankings Unsorted'!$B$40, CONCAT(VLOOKUP($C19, 'Match Names'!$A$1:$D$22, 2, FALSE), ""!C3:R29"")), {4;9;15;21}, FALSE)), ""=-4"") + COUNTIF(ARRAYFORMULA(HLOOKUP($B19, IMPORTRANGE('Prelim Rankings Unso"&amp;"rted'!$B$41, CONCAT(VLOOKUP($C19, 'Match Names'!$A$1:$D$22, 3, FALSE), ""!C3:R29"")), {7;13;19;24}, FALSE)), ""=-4"") + COUNTIF(ARRAYFORMULA(HLOOKUP($B19, IMPORTRANGE('Prelim Rankings Unsorted'!$B$42, CONCAT(VLOOKUP($C19, 'Match Names'!$A$1:$D$22, 4, FALS"&amp;"E), ""!C3:R29"")), {7;13;19;24}, FALSE)), ""=-4"") + COUNTIF(ARRAYFORMULA(HLOOKUP($B19, IMPORTRANGE('Match Names'!$E$23, CONCAT(VLOOKUP($C19, 'Match Names'!$1:$22, 5, FALSE), ""!C3:R29"")), {2;8;12;22}, FALSE)), ""=-4"") + COUNTIF(ARRAYFORMULA(HLOOKUP($B1"&amp;"9, IMPORTRANGE('Match Names'!$F$23, CONCAT(VLOOKUP($C19, 'Match Names'!$1:$22, 6, FALSE), ""!C3:R29"")), {3;9;15;21}, FALSE)), ""=-4"") + COUNTIF(ARRAYFORMULA(HLOOKUP($B19, IMPORTRANGE('Match Names'!$G$23, CONCAT(VLOOKUP($C19, 'Match Names'!$1:$22, 7, FAL"&amp;"SE), ""!C3:R29"")), {3;8;12;18}, FALSE)), ""=-4"") + COUNTIF(ARRAYFORMULA(HLOOKUP($B19, IMPORTRANGE('Match Names'!$H$23, CONCAT(VLOOKUP($C19, 'Match Names'!$1:$22, 8, FALSE), ""!C3:R29"")), {7;13;19;24}, FALSE)), ""=-4"")"),0.0)</f>
        <v>0</v>
      </c>
      <c r="H19" s="33">
        <f t="shared" si="1"/>
        <v>1.33</v>
      </c>
    </row>
    <row r="20">
      <c r="A20" s="17" t="s">
        <v>100</v>
      </c>
      <c r="B20" s="7" t="str">
        <f>VLOOKUP(CONCAT(A20, C20), 'Discord Username to Real Name'!C:D, 2, FALSE)</f>
        <v>Izwerzx#2598</v>
      </c>
      <c r="C20" s="19" t="s">
        <v>31</v>
      </c>
      <c r="D20" s="32">
        <f>IFERROR(__xludf.DUMMYFUNCTION("(4 - COUNTIF(IFERROR(ARRAYFORMULA(HLOOKUP($B20, IMPORTRANGE('Prelim Rankings Unsorted'!$B$40, CONCAT(VLOOKUP($C20, 'Match Names'!$A$1:$D$22, 2, FALSE), ""!C3:R29"")), {4;9;15;21}, FALSE)), 'Player Overall Stats Unsorted'!$AA$9:$AA$12), ""=X"")) + (4 - COU"&amp;"NTIF(IFERROR(ARRAYFORMULA(HLOOKUP($B20, IMPORTRANGE('Prelim Rankings Unsorted'!$B$41, CONCAT(VLOOKUP($C20, 'Match Names'!$A$1:$D$22, 3, FALSE), ""!C3:R29"")), {7;13;19;24}, FALSE)), 'Player Overall Stats Unsorted'!$AA$9:$AA$12), ""=X"")) + (4 - COUNTIF(IF"&amp;"ERROR(ARRAYFORMULA(HLOOKUP($B20, IMPORTRANGE('Prelim Rankings Unsorted'!$B$42, CONCAT(VLOOKUP($C20, 'Match Names'!$A$1:$D$22, 4, FALSE), ""!C3:R29"")), {7;13;19;24}, FALSE)), 'Player Overall Stats Unsorted'!$AA$9:$AA$12), ""=X"")) + (4 - COUNTIF(IFERROR(A"&amp;"RRAYFORMULA(HLOOKUP($B20, IMPORTRANGE('Match Names'!$E$23, CONCAT(VLOOKUP($C20, 'Match Names'!$1:$22, 5, FALSE), ""!C3:R29"")), {2;8;12;22}, FALSE)), 'Player Overall Stats Unsorted'!$AA$9:$AA$12), ""=X"")) + (4 - COUNTIF(IFERROR(ARRAYFORMULA(HLOOKUP($B20,"&amp;" IMPORTRANGE('Match Names'!$F$23, CONCAT(VLOOKUP($C20, 'Match Names'!$1:$22, 6, FALSE), ""!C3:R29"")), {3;9;15;21}, FALSE)), 'Player Overall Stats Unsorted'!$AA$9:$AA$12), ""=X"")) + (4 - COUNTIF(IFERROR(ARRAYFORMULA(HLOOKUP($B20, IMPORTRANGE('Match Names"&amp;"'!$G$23, CONCAT(VLOOKUP($C20, 'Match Names'!$1:$22, 7, FALSE), ""!C3:R29"")), {3;8;12;18}, FALSE)), 'Player Overall Stats Unsorted'!$AA$9:$AA$12), ""=X"")) + (4 - COUNTIF(IFERROR(ARRAYFORMULA(HLOOKUP($B20, IMPORTRANGE('Match Names'!$H$23, CONCAT(VLOOKUP($"&amp;"C20, 'Match Names'!$1:$22, 8, FALSE), ""!C3:R29"")), {7;13;19;24}, FALSE)), 'Player Overall Stats Unsorted'!$AA$9:$AA$12), ""=X""))"),8.0)</f>
        <v>8</v>
      </c>
      <c r="E20" s="32">
        <f>IFERROR(__xludf.DUMMYFUNCTION("COUNTIF(ARRAYFORMULA(HLOOKUP($B20, IMPORTRANGE('Prelim Rankings Unsorted'!$B$40, CONCAT(VLOOKUP($C20, 'Match Names'!$A$1:$D$22, 2, FALSE), ""!C3:R29"")), {4;9;15;21}, FALSE)), ""=4"") + COUNTIF(ARRAYFORMULA(HLOOKUP($B20, IMPORTRANGE('Prelim Rankings Unsor"&amp;"ted'!$B$41, CONCAT(VLOOKUP($C20, 'Match Names'!$A$1:$D$22, 3, FALSE), ""!C3:R29"")), {7;13;19;24}, FALSE)), ""=4"") + COUNTIF(ARRAYFORMULA(HLOOKUP($B20, IMPORTRANGE('Prelim Rankings Unsorted'!$B$42, CONCAT(VLOOKUP($C20, 'Match Names'!$A$1:$D$22, 4, FALSE)"&amp;", ""!C3:R29"")), {7;13;19;24}, FALSE)), ""=4"") + COUNTIF(ARRAYFORMULA(HLOOKUP($B20, IMPORTRANGE('Match Names'!$E$23, CONCAT(VLOOKUP($C20, 'Match Names'!$1:$22, 5, FALSE), ""!C3:R29"")), {2;8;12;22}, FALSE)), ""=4"") + COUNTIF(ARRAYFORMULA(HLOOKUP($B20, I"&amp;"MPORTRANGE('Match Names'!$F$23, CONCAT(VLOOKUP($C20, 'Match Names'!$1:$22, 6, FALSE), ""!C3:R29"")), {3;9;15;21}, FALSE)), ""=4"") + COUNTIF(ARRAYFORMULA(HLOOKUP($B20, IMPORTRANGE('Match Names'!$G$23, CONCAT(VLOOKUP($C20, 'Match Names'!$1:$22, 7, FALSE), "&amp;"""!C3:R29"")), {3;8;12;18}, FALSE)), ""=4"") + COUNTIF(ARRAYFORMULA(HLOOKUP($B20, IMPORTRANGE('Match Names'!$H$23, CONCAT(VLOOKUP($C20, 'Match Names'!$1:$22, 8, FALSE), ""!C3:R29"")), {7;13;19;24}, FALSE)), ""=4"")"),0.0)</f>
        <v>0</v>
      </c>
      <c r="F20" s="32">
        <f>IFERROR(__xludf.DUMMYFUNCTION("COUNTIF(ARRAYFORMULA(HLOOKUP($B20, IMPORTRANGE('Prelim Rankings Unsorted'!$B$40, CONCAT(VLOOKUP($C20, 'Match Names'!$A$1:$D$22, 2, FALSE), ""!C3:R29"")), {4;9;15;21}, FALSE)), ""=0"") + COUNTIF(ARRAYFORMULA(HLOOKUP($B20, IMPORTRANGE('Prelim Rankings Unsor"&amp;"ted'!$B$41, CONCAT(VLOOKUP($C20, 'Match Names'!$A$1:$D$22, 3, FALSE), ""!C3:R29"")), {7;13;19;24}, FALSE)), ""=0"") + COUNTIF(ARRAYFORMULA(HLOOKUP($B20, IMPORTRANGE('Prelim Rankings Unsorted'!$B$42, CONCAT(VLOOKUP($C20, 'Match Names'!$A$1:$D$22, 4, FALSE)"&amp;", ""!C3:R29"")), {7;13;19;24}, FALSE)), ""=0"") + COUNTIF(ARRAYFORMULA(HLOOKUP($B20, IMPORTRANGE('Match Names'!$E$23, CONCAT(VLOOKUP($C20, 'Match Names'!$1:$22, 5, FALSE), ""!C3:R29"")), {2;8;12;22}, FALSE)), ""=0"") + COUNTIF(ARRAYFORMULA(HLOOKUP($B20, I"&amp;"MPORTRANGE('Match Names'!$F$23, CONCAT(VLOOKUP($C20, 'Match Names'!$1:$22, 6, FALSE), ""!C3:R29"")), {3;9;15;21}, FALSE)), ""=0"") + COUNTIF(ARRAYFORMULA(HLOOKUP($B20, IMPORTRANGE('Match Names'!$G$23, CONCAT(VLOOKUP($C20, 'Match Names'!$1:$22, 7, FALSE), "&amp;"""!C3:R29"")), {3;8;12;18}, FALSE)), ""=0"") + COUNTIF(ARRAYFORMULA(HLOOKUP($B20, IMPORTRANGE('Match Names'!$H$23, CONCAT(VLOOKUP($C20, 'Match Names'!$1:$22, 8, FALSE), ""!C3:R29"")), {7;13;19;24}, FALSE)), ""=0"")"),0.0)</f>
        <v>0</v>
      </c>
      <c r="G20" s="32">
        <f>IFERROR(__xludf.DUMMYFUNCTION("COUNTIF(ARRAYFORMULA(HLOOKUP($B20, IMPORTRANGE('Prelim Rankings Unsorted'!$B$40, CONCAT(VLOOKUP($C20, 'Match Names'!$A$1:$D$22, 2, FALSE), ""!C3:R29"")), {4;9;15;21}, FALSE)), ""=-4"") + COUNTIF(ARRAYFORMULA(HLOOKUP($B20, IMPORTRANGE('Prelim Rankings Unso"&amp;"rted'!$B$41, CONCAT(VLOOKUP($C20, 'Match Names'!$A$1:$D$22, 3, FALSE), ""!C3:R29"")), {7;13;19;24}, FALSE)), ""=-4"") + COUNTIF(ARRAYFORMULA(HLOOKUP($B20, IMPORTRANGE('Prelim Rankings Unsorted'!$B$42, CONCAT(VLOOKUP($C20, 'Match Names'!$A$1:$D$22, 4, FALS"&amp;"E), ""!C3:R29"")), {7;13;19;24}, FALSE)), ""=-4"") + COUNTIF(ARRAYFORMULA(HLOOKUP($B20, IMPORTRANGE('Match Names'!$E$23, CONCAT(VLOOKUP($C20, 'Match Names'!$1:$22, 5, FALSE), ""!C3:R29"")), {2;8;12;22}, FALSE)), ""=-4"") + COUNTIF(ARRAYFORMULA(HLOOKUP($B2"&amp;"0, IMPORTRANGE('Match Names'!$F$23, CONCAT(VLOOKUP($C20, 'Match Names'!$1:$22, 6, FALSE), ""!C3:R29"")), {3;9;15;21}, FALSE)), ""=-4"") + COUNTIF(ARRAYFORMULA(HLOOKUP($B20, IMPORTRANGE('Match Names'!$G$23, CONCAT(VLOOKUP($C20, 'Match Names'!$1:$22, 7, FAL"&amp;"SE), ""!C3:R29"")), {3;8;12;18}, FALSE)), ""=-4"") + COUNTIF(ARRAYFORMULA(HLOOKUP($B20, IMPORTRANGE('Match Names'!$H$23, CONCAT(VLOOKUP($C20, 'Match Names'!$1:$22, 8, FALSE), ""!C3:R29"")), {7;13;19;24}, FALSE)), ""=-4"")"),0.0)</f>
        <v>0</v>
      </c>
      <c r="H20" s="33">
        <f t="shared" si="1"/>
        <v>0</v>
      </c>
    </row>
    <row r="21">
      <c r="A21" s="7" t="s">
        <v>205</v>
      </c>
      <c r="B21" s="7" t="str">
        <f>VLOOKUP(CONCAT(A21, C21), 'Discord Username to Real Name'!C:D, 2, FALSE)</f>
        <v>Einglass#1845</v>
      </c>
      <c r="C21" s="7" t="s">
        <v>31</v>
      </c>
      <c r="D21" s="32">
        <f>IFERROR(__xludf.DUMMYFUNCTION("(4 - COUNTIF(IFERROR(ARRAYFORMULA(HLOOKUP($B21, IMPORTRANGE('Prelim Rankings Unsorted'!$B$40, CONCAT(VLOOKUP($C21, 'Match Names'!$A$1:$D$22, 2, FALSE), ""!C3:R29"")), {4;9;15;21}, FALSE)), 'Player Overall Stats Unsorted'!$AA$9:$AA$12), ""=X"")) + (4 - COU"&amp;"NTIF(IFERROR(ARRAYFORMULA(HLOOKUP($B21, IMPORTRANGE('Prelim Rankings Unsorted'!$B$41, CONCAT(VLOOKUP($C21, 'Match Names'!$A$1:$D$22, 3, FALSE), ""!C3:R29"")), {7;13;19;24}, FALSE)), 'Player Overall Stats Unsorted'!$AA$9:$AA$12), ""=X"")) + (4 - COUNTIF(IF"&amp;"ERROR(ARRAYFORMULA(HLOOKUP($B21, IMPORTRANGE('Prelim Rankings Unsorted'!$B$42, CONCAT(VLOOKUP($C21, 'Match Names'!$A$1:$D$22, 4, FALSE), ""!C3:R29"")), {7;13;19;24}, FALSE)), 'Player Overall Stats Unsorted'!$AA$9:$AA$12), ""=X"")) + (4 - COUNTIF(IFERROR(A"&amp;"RRAYFORMULA(HLOOKUP($B21, IMPORTRANGE('Match Names'!$E$23, CONCAT(VLOOKUP($C21, 'Match Names'!$1:$22, 5, FALSE), ""!C3:R29"")), {2;8;12;22}, FALSE)), 'Player Overall Stats Unsorted'!$AA$9:$AA$12), ""=X"")) + (4 - COUNTIF(IFERROR(ARRAYFORMULA(HLOOKUP($B21,"&amp;" IMPORTRANGE('Match Names'!$F$23, CONCAT(VLOOKUP($C21, 'Match Names'!$1:$22, 6, FALSE), ""!C3:R29"")), {3;9;15;21}, FALSE)), 'Player Overall Stats Unsorted'!$AA$9:$AA$12), ""=X"")) + (4 - COUNTIF(IFERROR(ARRAYFORMULA(HLOOKUP($B21, IMPORTRANGE('Match Names"&amp;"'!$G$23, CONCAT(VLOOKUP($C21, 'Match Names'!$1:$22, 7, FALSE), ""!C3:R29"")), {3;8;12;18}, FALSE)), 'Player Overall Stats Unsorted'!$AA$9:$AA$12), ""=X"")) + (4 - COUNTIF(IFERROR(ARRAYFORMULA(HLOOKUP($B21, IMPORTRANGE('Match Names'!$H$23, CONCAT(VLOOKUP($"&amp;"C21, 'Match Names'!$1:$22, 8, FALSE), ""!C3:R29"")), {7;13;19;24}, FALSE)), 'Player Overall Stats Unsorted'!$AA$9:$AA$12), ""=X""))"),0.0)</f>
        <v>0</v>
      </c>
      <c r="E21" s="32">
        <f>IFERROR(__xludf.DUMMYFUNCTION("COUNTIF(ARRAYFORMULA(HLOOKUP($B21, IMPORTRANGE('Prelim Rankings Unsorted'!$B$40, CONCAT(VLOOKUP($C21, 'Match Names'!$A$1:$D$22, 2, FALSE), ""!C3:R29"")), {4;9;15;21}, FALSE)), ""=4"") + COUNTIF(ARRAYFORMULA(HLOOKUP($B21, IMPORTRANGE('Prelim Rankings Unsor"&amp;"ted'!$B$41, CONCAT(VLOOKUP($C21, 'Match Names'!$A$1:$D$22, 3, FALSE), ""!C3:R29"")), {7;13;19;24}, FALSE)), ""=4"") + COUNTIF(ARRAYFORMULA(HLOOKUP($B21, IMPORTRANGE('Prelim Rankings Unsorted'!$B$42, CONCAT(VLOOKUP($C21, 'Match Names'!$A$1:$D$22, 4, FALSE)"&amp;", ""!C3:R29"")), {7;13;19;24}, FALSE)), ""=4"") + COUNTIF(ARRAYFORMULA(HLOOKUP($B21, IMPORTRANGE('Match Names'!$E$23, CONCAT(VLOOKUP($C21, 'Match Names'!$1:$22, 5, FALSE), ""!C3:R29"")), {2;8;12;22}, FALSE)), ""=4"") + COUNTIF(ARRAYFORMULA(HLOOKUP($B21, I"&amp;"MPORTRANGE('Match Names'!$F$23, CONCAT(VLOOKUP($C21, 'Match Names'!$1:$22, 6, FALSE), ""!C3:R29"")), {3;9;15;21}, FALSE)), ""=4"") + COUNTIF(ARRAYFORMULA(HLOOKUP($B21, IMPORTRANGE('Match Names'!$G$23, CONCAT(VLOOKUP($C21, 'Match Names'!$1:$22, 7, FALSE), "&amp;"""!C3:R29"")), {3;8;12;18}, FALSE)), ""=4"") + COUNTIF(ARRAYFORMULA(HLOOKUP($B21, IMPORTRANGE('Match Names'!$H$23, CONCAT(VLOOKUP($C21, 'Match Names'!$1:$22, 8, FALSE), ""!C3:R29"")), {7;13;19;24}, FALSE)), ""=4"")"),0.0)</f>
        <v>0</v>
      </c>
      <c r="F21" s="32">
        <f>IFERROR(__xludf.DUMMYFUNCTION("COUNTIF(ARRAYFORMULA(HLOOKUP($B21, IMPORTRANGE('Prelim Rankings Unsorted'!$B$40, CONCAT(VLOOKUP($C21, 'Match Names'!$A$1:$D$22, 2, FALSE), ""!C3:R29"")), {4;9;15;21}, FALSE)), ""=0"") + COUNTIF(ARRAYFORMULA(HLOOKUP($B21, IMPORTRANGE('Prelim Rankings Unsor"&amp;"ted'!$B$41, CONCAT(VLOOKUP($C21, 'Match Names'!$A$1:$D$22, 3, FALSE), ""!C3:R29"")), {7;13;19;24}, FALSE)), ""=0"") + COUNTIF(ARRAYFORMULA(HLOOKUP($B21, IMPORTRANGE('Prelim Rankings Unsorted'!$B$42, CONCAT(VLOOKUP($C21, 'Match Names'!$A$1:$D$22, 4, FALSE)"&amp;", ""!C3:R29"")), {7;13;19;24}, FALSE)), ""=0"") + COUNTIF(ARRAYFORMULA(HLOOKUP($B21, IMPORTRANGE('Match Names'!$E$23, CONCAT(VLOOKUP($C21, 'Match Names'!$1:$22, 5, FALSE), ""!C3:R29"")), {2;8;12;22}, FALSE)), ""=0"") + COUNTIF(ARRAYFORMULA(HLOOKUP($B21, I"&amp;"MPORTRANGE('Match Names'!$F$23, CONCAT(VLOOKUP($C21, 'Match Names'!$1:$22, 6, FALSE), ""!C3:R29"")), {3;9;15;21}, FALSE)), ""=0"") + COUNTIF(ARRAYFORMULA(HLOOKUP($B21, IMPORTRANGE('Match Names'!$G$23, CONCAT(VLOOKUP($C21, 'Match Names'!$1:$22, 7, FALSE), "&amp;"""!C3:R29"")), {3;8;12;18}, FALSE)), ""=0"") + COUNTIF(ARRAYFORMULA(HLOOKUP($B21, IMPORTRANGE('Match Names'!$H$23, CONCAT(VLOOKUP($C21, 'Match Names'!$1:$22, 8, FALSE), ""!C3:R29"")), {7;13;19;24}, FALSE)), ""=0"")"),0.0)</f>
        <v>0</v>
      </c>
      <c r="G21" s="32">
        <f>IFERROR(__xludf.DUMMYFUNCTION("COUNTIF(ARRAYFORMULA(HLOOKUP($B21, IMPORTRANGE('Prelim Rankings Unsorted'!$B$40, CONCAT(VLOOKUP($C21, 'Match Names'!$A$1:$D$22, 2, FALSE), ""!C3:R29"")), {4;9;15;21}, FALSE)), ""=-4"") + COUNTIF(ARRAYFORMULA(HLOOKUP($B21, IMPORTRANGE('Prelim Rankings Unso"&amp;"rted'!$B$41, CONCAT(VLOOKUP($C21, 'Match Names'!$A$1:$D$22, 3, FALSE), ""!C3:R29"")), {7;13;19;24}, FALSE)), ""=-4"") + COUNTIF(ARRAYFORMULA(HLOOKUP($B21, IMPORTRANGE('Prelim Rankings Unsorted'!$B$42, CONCAT(VLOOKUP($C21, 'Match Names'!$A$1:$D$22, 4, FALS"&amp;"E), ""!C3:R29"")), {7;13;19;24}, FALSE)), ""=-4"") + COUNTIF(ARRAYFORMULA(HLOOKUP($B21, IMPORTRANGE('Match Names'!$E$23, CONCAT(VLOOKUP($C21, 'Match Names'!$1:$22, 5, FALSE), ""!C3:R29"")), {2;8;12;22}, FALSE)), ""=-4"") + COUNTIF(ARRAYFORMULA(HLOOKUP($B2"&amp;"1, IMPORTRANGE('Match Names'!$F$23, CONCAT(VLOOKUP($C21, 'Match Names'!$1:$22, 6, FALSE), ""!C3:R29"")), {3;9;15;21}, FALSE)), ""=-4"") + COUNTIF(ARRAYFORMULA(HLOOKUP($B21, IMPORTRANGE('Match Names'!$G$23, CONCAT(VLOOKUP($C21, 'Match Names'!$1:$22, 7, FAL"&amp;"SE), ""!C3:R29"")), {3;8;12;18}, FALSE)), ""=-4"") + COUNTIF(ARRAYFORMULA(HLOOKUP($B21, IMPORTRANGE('Match Names'!$H$23, CONCAT(VLOOKUP($C21, 'Match Names'!$1:$22, 8, FALSE), ""!C3:R29"")), {7;13;19;24}, FALSE)), ""=-4"")"),0.0)</f>
        <v>0</v>
      </c>
      <c r="H21" s="33">
        <f t="shared" si="1"/>
        <v>0</v>
      </c>
    </row>
    <row r="22">
      <c r="A22" s="7" t="s">
        <v>167</v>
      </c>
      <c r="B22" s="7" t="str">
        <f>VLOOKUP(CONCAT(A22, C22), 'Discord Username to Real Name'!C:D, 2, FALSE)</f>
        <v>KOZlegend#1745</v>
      </c>
      <c r="C22" s="7" t="s">
        <v>31</v>
      </c>
      <c r="D22" s="32">
        <f>IFERROR(__xludf.DUMMYFUNCTION("(4 - COUNTIF(IFERROR(ARRAYFORMULA(HLOOKUP($B22, IMPORTRANGE('Prelim Rankings Unsorted'!$B$40, CONCAT(VLOOKUP($C22, 'Match Names'!$A$1:$D$22, 2, FALSE), ""!C3:R29"")), {4;9;15;21}, FALSE)), 'Player Overall Stats Unsorted'!$AA$9:$AA$12), ""=X"")) + (4 - COU"&amp;"NTIF(IFERROR(ARRAYFORMULA(HLOOKUP($B22, IMPORTRANGE('Prelim Rankings Unsorted'!$B$41, CONCAT(VLOOKUP($C22, 'Match Names'!$A$1:$D$22, 3, FALSE), ""!C3:R29"")), {7;13;19;24}, FALSE)), 'Player Overall Stats Unsorted'!$AA$9:$AA$12), ""=X"")) + (4 - COUNTIF(IF"&amp;"ERROR(ARRAYFORMULA(HLOOKUP($B22, IMPORTRANGE('Prelim Rankings Unsorted'!$B$42, CONCAT(VLOOKUP($C22, 'Match Names'!$A$1:$D$22, 4, FALSE), ""!C3:R29"")), {7;13;19;24}, FALSE)), 'Player Overall Stats Unsorted'!$AA$9:$AA$12), ""=X"")) + (4 - COUNTIF(IFERROR(A"&amp;"RRAYFORMULA(HLOOKUP($B22, IMPORTRANGE('Match Names'!$E$23, CONCAT(VLOOKUP($C22, 'Match Names'!$1:$22, 5, FALSE), ""!C3:R29"")), {2;8;12;22}, FALSE)), 'Player Overall Stats Unsorted'!$AA$9:$AA$12), ""=X"")) + (4 - COUNTIF(IFERROR(ARRAYFORMULA(HLOOKUP($B22,"&amp;" IMPORTRANGE('Match Names'!$F$23, CONCAT(VLOOKUP($C22, 'Match Names'!$1:$22, 6, FALSE), ""!C3:R29"")), {3;9;15;21}, FALSE)), 'Player Overall Stats Unsorted'!$AA$9:$AA$12), ""=X"")) + (4 - COUNTIF(IFERROR(ARRAYFORMULA(HLOOKUP($B22, IMPORTRANGE('Match Names"&amp;"'!$G$23, CONCAT(VLOOKUP($C22, 'Match Names'!$1:$22, 7, FALSE), ""!C3:R29"")), {3;8;12;18}, FALSE)), 'Player Overall Stats Unsorted'!$AA$9:$AA$12), ""=X"")) + (4 - COUNTIF(IFERROR(ARRAYFORMULA(HLOOKUP($B22, IMPORTRANGE('Match Names'!$H$23, CONCAT(VLOOKUP($"&amp;"C22, 'Match Names'!$1:$22, 8, FALSE), ""!C3:R29"")), {7;13;19;24}, FALSE)), 'Player Overall Stats Unsorted'!$AA$9:$AA$12), ""=X""))"),16.0)</f>
        <v>16</v>
      </c>
      <c r="E22" s="32">
        <f>IFERROR(__xludf.DUMMYFUNCTION("COUNTIF(ARRAYFORMULA(HLOOKUP($B22, IMPORTRANGE('Prelim Rankings Unsorted'!$B$40, CONCAT(VLOOKUP($C22, 'Match Names'!$A$1:$D$22, 2, FALSE), ""!C3:R29"")), {4;9;15;21}, FALSE)), ""=4"") + COUNTIF(ARRAYFORMULA(HLOOKUP($B22, IMPORTRANGE('Prelim Rankings Unsor"&amp;"ted'!$B$41, CONCAT(VLOOKUP($C22, 'Match Names'!$A$1:$D$22, 3, FALSE), ""!C3:R29"")), {7;13;19;24}, FALSE)), ""=4"") + COUNTIF(ARRAYFORMULA(HLOOKUP($B22, IMPORTRANGE('Prelim Rankings Unsorted'!$B$42, CONCAT(VLOOKUP($C22, 'Match Names'!$A$1:$D$22, 4, FALSE)"&amp;", ""!C3:R29"")), {7;13;19;24}, FALSE)), ""=4"") + COUNTIF(ARRAYFORMULA(HLOOKUP($B22, IMPORTRANGE('Match Names'!$E$23, CONCAT(VLOOKUP($C22, 'Match Names'!$1:$22, 5, FALSE), ""!C3:R29"")), {2;8;12;22}, FALSE)), ""=4"") + COUNTIF(ARRAYFORMULA(HLOOKUP($B22, I"&amp;"MPORTRANGE('Match Names'!$F$23, CONCAT(VLOOKUP($C22, 'Match Names'!$1:$22, 6, FALSE), ""!C3:R29"")), {3;9;15;21}, FALSE)), ""=4"") + COUNTIF(ARRAYFORMULA(HLOOKUP($B22, IMPORTRANGE('Match Names'!$G$23, CONCAT(VLOOKUP($C22, 'Match Names'!$1:$22, 7, FALSE), "&amp;"""!C3:R29"")), {3;8;12;18}, FALSE)), ""=4"") + COUNTIF(ARRAYFORMULA(HLOOKUP($B22, IMPORTRANGE('Match Names'!$H$23, CONCAT(VLOOKUP($C22, 'Match Names'!$1:$22, 8, FALSE), ""!C3:R29"")), {7;13;19;24}, FALSE)), ""=4"")"),0.0)</f>
        <v>0</v>
      </c>
      <c r="F22" s="32">
        <f>IFERROR(__xludf.DUMMYFUNCTION("COUNTIF(ARRAYFORMULA(HLOOKUP($B22, IMPORTRANGE('Prelim Rankings Unsorted'!$B$40, CONCAT(VLOOKUP($C22, 'Match Names'!$A$1:$D$22, 2, FALSE), ""!C3:R29"")), {4;9;15;21}, FALSE)), ""=0"") + COUNTIF(ARRAYFORMULA(HLOOKUP($B22, IMPORTRANGE('Prelim Rankings Unsor"&amp;"ted'!$B$41, CONCAT(VLOOKUP($C22, 'Match Names'!$A$1:$D$22, 3, FALSE), ""!C3:R29"")), {7;13;19;24}, FALSE)), ""=0"") + COUNTIF(ARRAYFORMULA(HLOOKUP($B22, IMPORTRANGE('Prelim Rankings Unsorted'!$B$42, CONCAT(VLOOKUP($C22, 'Match Names'!$A$1:$D$22, 4, FALSE)"&amp;", ""!C3:R29"")), {7;13;19;24}, FALSE)), ""=0"") + COUNTIF(ARRAYFORMULA(HLOOKUP($B22, IMPORTRANGE('Match Names'!$E$23, CONCAT(VLOOKUP($C22, 'Match Names'!$1:$22, 5, FALSE), ""!C3:R29"")), {2;8;12;22}, FALSE)), ""=0"") + COUNTIF(ARRAYFORMULA(HLOOKUP($B22, I"&amp;"MPORTRANGE('Match Names'!$F$23, CONCAT(VLOOKUP($C22, 'Match Names'!$1:$22, 6, FALSE), ""!C3:R29"")), {3;9;15;21}, FALSE)), ""=0"") + COUNTIF(ARRAYFORMULA(HLOOKUP($B22, IMPORTRANGE('Match Names'!$G$23, CONCAT(VLOOKUP($C22, 'Match Names'!$1:$22, 7, FALSE), "&amp;"""!C3:R29"")), {3;8;12;18}, FALSE)), ""=0"") + COUNTIF(ARRAYFORMULA(HLOOKUP($B22, IMPORTRANGE('Match Names'!$H$23, CONCAT(VLOOKUP($C22, 'Match Names'!$1:$22, 8, FALSE), ""!C3:R29"")), {7;13;19;24}, FALSE)), ""=0"")"),0.0)</f>
        <v>0</v>
      </c>
      <c r="G22" s="32">
        <f>IFERROR(__xludf.DUMMYFUNCTION("COUNTIF(ARRAYFORMULA(HLOOKUP($B22, IMPORTRANGE('Prelim Rankings Unsorted'!$B$40, CONCAT(VLOOKUP($C22, 'Match Names'!$A$1:$D$22, 2, FALSE), ""!C3:R29"")), {4;9;15;21}, FALSE)), ""=-4"") + COUNTIF(ARRAYFORMULA(HLOOKUP($B22, IMPORTRANGE('Prelim Rankings Unso"&amp;"rted'!$B$41, CONCAT(VLOOKUP($C22, 'Match Names'!$A$1:$D$22, 3, FALSE), ""!C3:R29"")), {7;13;19;24}, FALSE)), ""=-4"") + COUNTIF(ARRAYFORMULA(HLOOKUP($B22, IMPORTRANGE('Prelim Rankings Unsorted'!$B$42, CONCAT(VLOOKUP($C22, 'Match Names'!$A$1:$D$22, 4, FALS"&amp;"E), ""!C3:R29"")), {7;13;19;24}, FALSE)), ""=-4"") + COUNTIF(ARRAYFORMULA(HLOOKUP($B22, IMPORTRANGE('Match Names'!$E$23, CONCAT(VLOOKUP($C22, 'Match Names'!$1:$22, 5, FALSE), ""!C3:R29"")), {2;8;12;22}, FALSE)), ""=-4"") + COUNTIF(ARRAYFORMULA(HLOOKUP($B2"&amp;"2, IMPORTRANGE('Match Names'!$F$23, CONCAT(VLOOKUP($C22, 'Match Names'!$1:$22, 6, FALSE), ""!C3:R29"")), {3;9;15;21}, FALSE)), ""=-4"") + COUNTIF(ARRAYFORMULA(HLOOKUP($B22, IMPORTRANGE('Match Names'!$G$23, CONCAT(VLOOKUP($C22, 'Match Names'!$1:$22, 7, FAL"&amp;"SE), ""!C3:R29"")), {3;8;12;18}, FALSE)), ""=-4"") + COUNTIF(ARRAYFORMULA(HLOOKUP($B22, IMPORTRANGE('Match Names'!$H$23, CONCAT(VLOOKUP($C22, 'Match Names'!$1:$22, 8, FALSE), ""!C3:R29"")), {7;13;19;24}, FALSE)), ""=-4"")"),0.0)</f>
        <v>0</v>
      </c>
      <c r="H22" s="33">
        <f t="shared" si="1"/>
        <v>0</v>
      </c>
    </row>
    <row r="23">
      <c r="A23" s="7" t="s">
        <v>90</v>
      </c>
      <c r="B23" s="7" t="str">
        <f>VLOOKUP(CONCAT(A23, C23), 'Discord Username to Real Name'!C:D, 2, FALSE)</f>
        <v>hriday#5979</v>
      </c>
      <c r="C23" s="7" t="s">
        <v>25</v>
      </c>
      <c r="D23" s="32">
        <f>IFERROR(__xludf.DUMMYFUNCTION("(4 - COUNTIF(IFERROR(ARRAYFORMULA(HLOOKUP($B23, IMPORTRANGE('Prelim Rankings Unsorted'!$B$40, CONCAT(VLOOKUP($C23, 'Match Names'!$A$1:$D$22, 2, FALSE), ""!C3:R29"")), {4;9;15;21}, FALSE)), 'Player Overall Stats Unsorted'!$AA$9:$AA$12), ""=X"")) + (4 - COU"&amp;"NTIF(IFERROR(ARRAYFORMULA(HLOOKUP($B23, IMPORTRANGE('Prelim Rankings Unsorted'!$B$41, CONCAT(VLOOKUP($C23, 'Match Names'!$A$1:$D$22, 3, FALSE), ""!C3:R29"")), {7;13;19;24}, FALSE)), 'Player Overall Stats Unsorted'!$AA$9:$AA$12), ""=X"")) + (4 - COUNTIF(IF"&amp;"ERROR(ARRAYFORMULA(HLOOKUP($B23, IMPORTRANGE('Prelim Rankings Unsorted'!$B$42, CONCAT(VLOOKUP($C23, 'Match Names'!$A$1:$D$22, 4, FALSE), ""!C3:R29"")), {7;13;19;24}, FALSE)), 'Player Overall Stats Unsorted'!$AA$9:$AA$12), ""=X"")) + (4 - COUNTIF(IFERROR(A"&amp;"RRAYFORMULA(HLOOKUP($B23, IMPORTRANGE('Match Names'!$E$23, CONCAT(VLOOKUP($C23, 'Match Names'!$1:$22, 5, FALSE), ""!C3:R29"")), {2;8;12;22}, FALSE)), 'Player Overall Stats Unsorted'!$AA$9:$AA$12), ""=X"")) + (4 - COUNTIF(IFERROR(ARRAYFORMULA(HLOOKUP($B23,"&amp;" IMPORTRANGE('Match Names'!$F$23, CONCAT(VLOOKUP($C23, 'Match Names'!$1:$22, 6, FALSE), ""!C3:R29"")), {3;9;15;21}, FALSE)), 'Player Overall Stats Unsorted'!$AA$9:$AA$12), ""=X"")) + (4 - COUNTIF(IFERROR(ARRAYFORMULA(HLOOKUP($B23, IMPORTRANGE('Match Names"&amp;"'!$G$23, CONCAT(VLOOKUP($C23, 'Match Names'!$1:$22, 7, FALSE), ""!C3:R29"")), {3;8;12;18}, FALSE)), 'Player Overall Stats Unsorted'!$AA$9:$AA$12), ""=X"")) + (4 - COUNTIF(IFERROR(ARRAYFORMULA(HLOOKUP($B23, IMPORTRANGE('Match Names'!$H$23, CONCAT(VLOOKUP($"&amp;"C23, 'Match Names'!$1:$22, 8, FALSE), ""!C3:R29"")), {7;13;19;24}, FALSE)), 'Player Overall Stats Unsorted'!$AA$9:$AA$12), ""=X""))"),14.0)</f>
        <v>14</v>
      </c>
      <c r="E23" s="32">
        <f>IFERROR(__xludf.DUMMYFUNCTION("COUNTIF(ARRAYFORMULA(HLOOKUP($B23, IMPORTRANGE('Prelim Rankings Unsorted'!$B$40, CONCAT(VLOOKUP($C23, 'Match Names'!$A$1:$D$22, 2, FALSE), ""!C3:R29"")), {4;9;15;21}, FALSE)), ""=4"") + COUNTIF(ARRAYFORMULA(HLOOKUP($B23, IMPORTRANGE('Prelim Rankings Unsor"&amp;"ted'!$B$41, CONCAT(VLOOKUP($C23, 'Match Names'!$A$1:$D$22, 3, FALSE), ""!C3:R29"")), {7;13;19;24}, FALSE)), ""=4"") + COUNTIF(ARRAYFORMULA(HLOOKUP($B23, IMPORTRANGE('Prelim Rankings Unsorted'!$B$42, CONCAT(VLOOKUP($C23, 'Match Names'!$A$1:$D$22, 4, FALSE)"&amp;", ""!C3:R29"")), {7;13;19;24}, FALSE)), ""=4"") + COUNTIF(ARRAYFORMULA(HLOOKUP($B23, IMPORTRANGE('Match Names'!$E$23, CONCAT(VLOOKUP($C23, 'Match Names'!$1:$22, 5, FALSE), ""!C3:R29"")), {2;8;12;22}, FALSE)), ""=4"") + COUNTIF(ARRAYFORMULA(HLOOKUP($B23, I"&amp;"MPORTRANGE('Match Names'!$F$23, CONCAT(VLOOKUP($C23, 'Match Names'!$1:$22, 6, FALSE), ""!C3:R29"")), {3;9;15;21}, FALSE)), ""=4"") + COUNTIF(ARRAYFORMULA(HLOOKUP($B23, IMPORTRANGE('Match Names'!$G$23, CONCAT(VLOOKUP($C23, 'Match Names'!$1:$22, 7, FALSE), "&amp;"""!C3:R29"")), {3;8;12;18}, FALSE)), ""=4"") + COUNTIF(ARRAYFORMULA(HLOOKUP($B23, IMPORTRANGE('Match Names'!$H$23, CONCAT(VLOOKUP($C23, 'Match Names'!$1:$22, 8, FALSE), ""!C3:R29"")), {7;13;19;24}, FALSE)), ""=4"")"),0.0)</f>
        <v>0</v>
      </c>
      <c r="F23" s="32">
        <f>IFERROR(__xludf.DUMMYFUNCTION("COUNTIF(ARRAYFORMULA(HLOOKUP($B23, IMPORTRANGE('Prelim Rankings Unsorted'!$B$40, CONCAT(VLOOKUP($C23, 'Match Names'!$A$1:$D$22, 2, FALSE), ""!C3:R29"")), {4;9;15;21}, FALSE)), ""=0"") + COUNTIF(ARRAYFORMULA(HLOOKUP($B23, IMPORTRANGE('Prelim Rankings Unsor"&amp;"ted'!$B$41, CONCAT(VLOOKUP($C23, 'Match Names'!$A$1:$D$22, 3, FALSE), ""!C3:R29"")), {7;13;19;24}, FALSE)), ""=0"") + COUNTIF(ARRAYFORMULA(HLOOKUP($B23, IMPORTRANGE('Prelim Rankings Unsorted'!$B$42, CONCAT(VLOOKUP($C23, 'Match Names'!$A$1:$D$22, 4, FALSE)"&amp;", ""!C3:R29"")), {7;13;19;24}, FALSE)), ""=0"") + COUNTIF(ARRAYFORMULA(HLOOKUP($B23, IMPORTRANGE('Match Names'!$E$23, CONCAT(VLOOKUP($C23, 'Match Names'!$1:$22, 5, FALSE), ""!C3:R29"")), {2;8;12;22}, FALSE)), ""=0"") + COUNTIF(ARRAYFORMULA(HLOOKUP($B23, I"&amp;"MPORTRANGE('Match Names'!$F$23, CONCAT(VLOOKUP($C23, 'Match Names'!$1:$22, 6, FALSE), ""!C3:R29"")), {3;9;15;21}, FALSE)), ""=0"") + COUNTIF(ARRAYFORMULA(HLOOKUP($B23, IMPORTRANGE('Match Names'!$G$23, CONCAT(VLOOKUP($C23, 'Match Names'!$1:$22, 7, FALSE), "&amp;"""!C3:R29"")), {3;8;12;18}, FALSE)), ""=0"") + COUNTIF(ARRAYFORMULA(HLOOKUP($B23, IMPORTRANGE('Match Names'!$H$23, CONCAT(VLOOKUP($C23, 'Match Names'!$1:$22, 8, FALSE), ""!C3:R29"")), {7;13;19;24}, FALSE)), ""=0"")"),0.0)</f>
        <v>0</v>
      </c>
      <c r="G23" s="32">
        <f>IFERROR(__xludf.DUMMYFUNCTION("COUNTIF(ARRAYFORMULA(HLOOKUP($B23, IMPORTRANGE('Prelim Rankings Unsorted'!$B$40, CONCAT(VLOOKUP($C23, 'Match Names'!$A$1:$D$22, 2, FALSE), ""!C3:R29"")), {4;9;15;21}, FALSE)), ""=-4"") + COUNTIF(ARRAYFORMULA(HLOOKUP($B23, IMPORTRANGE('Prelim Rankings Unso"&amp;"rted'!$B$41, CONCAT(VLOOKUP($C23, 'Match Names'!$A$1:$D$22, 3, FALSE), ""!C3:R29"")), {7;13;19;24}, FALSE)), ""=-4"") + COUNTIF(ARRAYFORMULA(HLOOKUP($B23, IMPORTRANGE('Prelim Rankings Unsorted'!$B$42, CONCAT(VLOOKUP($C23, 'Match Names'!$A$1:$D$22, 4, FALS"&amp;"E), ""!C3:R29"")), {7;13;19;24}, FALSE)), ""=-4"") + COUNTIF(ARRAYFORMULA(HLOOKUP($B23, IMPORTRANGE('Match Names'!$E$23, CONCAT(VLOOKUP($C23, 'Match Names'!$1:$22, 5, FALSE), ""!C3:R29"")), {2;8;12;22}, FALSE)), ""=-4"") + COUNTIF(ARRAYFORMULA(HLOOKUP($B2"&amp;"3, IMPORTRANGE('Match Names'!$F$23, CONCAT(VLOOKUP($C23, 'Match Names'!$1:$22, 6, FALSE), ""!C3:R29"")), {3;9;15;21}, FALSE)), ""=-4"") + COUNTIF(ARRAYFORMULA(HLOOKUP($B23, IMPORTRANGE('Match Names'!$G$23, CONCAT(VLOOKUP($C23, 'Match Names'!$1:$22, 7, FAL"&amp;"SE), ""!C3:R29"")), {3;8;12;18}, FALSE)), ""=-4"") + COUNTIF(ARRAYFORMULA(HLOOKUP($B23, IMPORTRANGE('Match Names'!$H$23, CONCAT(VLOOKUP($C23, 'Match Names'!$1:$22, 8, FALSE), ""!C3:R29"")), {7;13;19;24}, FALSE)), ""=-4"")"),0.0)</f>
        <v>0</v>
      </c>
      <c r="H23" s="33">
        <f t="shared" si="1"/>
        <v>0</v>
      </c>
    </row>
    <row r="24">
      <c r="A24" s="7" t="s">
        <v>95</v>
      </c>
      <c r="B24" s="7" t="str">
        <f>VLOOKUP(CONCAT(A24, C24), 'Discord Username to Real Name'!C:D, 2, FALSE)</f>
        <v>ashrug0002#8740</v>
      </c>
      <c r="C24" s="7" t="s">
        <v>25</v>
      </c>
      <c r="D24" s="32">
        <f>IFERROR(__xludf.DUMMYFUNCTION("(4 - COUNTIF(IFERROR(ARRAYFORMULA(HLOOKUP($B24, IMPORTRANGE('Prelim Rankings Unsorted'!$B$40, CONCAT(VLOOKUP($C24, 'Match Names'!$A$1:$D$22, 2, FALSE), ""!C3:R29"")), {4;9;15;21}, FALSE)), 'Player Overall Stats Unsorted'!$AA$9:$AA$12), ""=X"")) + (4 - COU"&amp;"NTIF(IFERROR(ARRAYFORMULA(HLOOKUP($B24, IMPORTRANGE('Prelim Rankings Unsorted'!$B$41, CONCAT(VLOOKUP($C24, 'Match Names'!$A$1:$D$22, 3, FALSE), ""!C3:R29"")), {7;13;19;24}, FALSE)), 'Player Overall Stats Unsorted'!$AA$9:$AA$12), ""=X"")) + (4 - COUNTIF(IF"&amp;"ERROR(ARRAYFORMULA(HLOOKUP($B24, IMPORTRANGE('Prelim Rankings Unsorted'!$B$42, CONCAT(VLOOKUP($C24, 'Match Names'!$A$1:$D$22, 4, FALSE), ""!C3:R29"")), {7;13;19;24}, FALSE)), 'Player Overall Stats Unsorted'!$AA$9:$AA$12), ""=X"")) + (4 - COUNTIF(IFERROR(A"&amp;"RRAYFORMULA(HLOOKUP($B24, IMPORTRANGE('Match Names'!$E$23, CONCAT(VLOOKUP($C24, 'Match Names'!$1:$22, 5, FALSE), ""!C3:R29"")), {2;8;12;22}, FALSE)), 'Player Overall Stats Unsorted'!$AA$9:$AA$12), ""=X"")) + (4 - COUNTIF(IFERROR(ARRAYFORMULA(HLOOKUP($B24,"&amp;" IMPORTRANGE('Match Names'!$F$23, CONCAT(VLOOKUP($C24, 'Match Names'!$1:$22, 6, FALSE), ""!C3:R29"")), {3;9;15;21}, FALSE)), 'Player Overall Stats Unsorted'!$AA$9:$AA$12), ""=X"")) + (4 - COUNTIF(IFERROR(ARRAYFORMULA(HLOOKUP($B24, IMPORTRANGE('Match Names"&amp;"'!$G$23, CONCAT(VLOOKUP($C24, 'Match Names'!$1:$22, 7, FALSE), ""!C3:R29"")), {3;8;12;18}, FALSE)), 'Player Overall Stats Unsorted'!$AA$9:$AA$12), ""=X"")) + (4 - COUNTIF(IFERROR(ARRAYFORMULA(HLOOKUP($B24, IMPORTRANGE('Match Names'!$H$23, CONCAT(VLOOKUP($"&amp;"C24, 'Match Names'!$1:$22, 8, FALSE), ""!C3:R29"")), {7;13;19;24}, FALSE)), 'Player Overall Stats Unsorted'!$AA$9:$AA$12), ""=X""))"),24.0)</f>
        <v>24</v>
      </c>
      <c r="E24" s="32">
        <f>IFERROR(__xludf.DUMMYFUNCTION("COUNTIF(ARRAYFORMULA(HLOOKUP($B24, IMPORTRANGE('Prelim Rankings Unsorted'!$B$40, CONCAT(VLOOKUP($C24, 'Match Names'!$A$1:$D$22, 2, FALSE), ""!C3:R29"")), {4;9;15;21}, FALSE)), ""=4"") + COUNTIF(ARRAYFORMULA(HLOOKUP($B24, IMPORTRANGE('Prelim Rankings Unsor"&amp;"ted'!$B$41, CONCAT(VLOOKUP($C24, 'Match Names'!$A$1:$D$22, 3, FALSE), ""!C3:R29"")), {7;13;19;24}, FALSE)), ""=4"") + COUNTIF(ARRAYFORMULA(HLOOKUP($B24, IMPORTRANGE('Prelim Rankings Unsorted'!$B$42, CONCAT(VLOOKUP($C24, 'Match Names'!$A$1:$D$22, 4, FALSE)"&amp;", ""!C3:R29"")), {7;13;19;24}, FALSE)), ""=4"") + COUNTIF(ARRAYFORMULA(HLOOKUP($B24, IMPORTRANGE('Match Names'!$E$23, CONCAT(VLOOKUP($C24, 'Match Names'!$1:$22, 5, FALSE), ""!C3:R29"")), {2;8;12;22}, FALSE)), ""=4"") + COUNTIF(ARRAYFORMULA(HLOOKUP($B24, I"&amp;"MPORTRANGE('Match Names'!$F$23, CONCAT(VLOOKUP($C24, 'Match Names'!$1:$22, 6, FALSE), ""!C3:R29"")), {3;9;15;21}, FALSE)), ""=4"") + COUNTIF(ARRAYFORMULA(HLOOKUP($B24, IMPORTRANGE('Match Names'!$G$23, CONCAT(VLOOKUP($C24, 'Match Names'!$1:$22, 7, FALSE), "&amp;"""!C3:R29"")), {3;8;12;18}, FALSE)), ""=4"") + COUNTIF(ARRAYFORMULA(HLOOKUP($B24, IMPORTRANGE('Match Names'!$H$23, CONCAT(VLOOKUP($C24, 'Match Names'!$1:$22, 8, FALSE), ""!C3:R29"")), {7;13;19;24}, FALSE)), ""=4"")"),5.0)</f>
        <v>5</v>
      </c>
      <c r="F24" s="32">
        <f>IFERROR(__xludf.DUMMYFUNCTION("COUNTIF(ARRAYFORMULA(HLOOKUP($B24, IMPORTRANGE('Prelim Rankings Unsorted'!$B$40, CONCAT(VLOOKUP($C24, 'Match Names'!$A$1:$D$22, 2, FALSE), ""!C3:R29"")), {4;9;15;21}, FALSE)), ""=0"") + COUNTIF(ARRAYFORMULA(HLOOKUP($B24, IMPORTRANGE('Prelim Rankings Unsor"&amp;"ted'!$B$41, CONCAT(VLOOKUP($C24, 'Match Names'!$A$1:$D$22, 3, FALSE), ""!C3:R29"")), {7;13;19;24}, FALSE)), ""=0"") + COUNTIF(ARRAYFORMULA(HLOOKUP($B24, IMPORTRANGE('Prelim Rankings Unsorted'!$B$42, CONCAT(VLOOKUP($C24, 'Match Names'!$A$1:$D$22, 4, FALSE)"&amp;", ""!C3:R29"")), {7;13;19;24}, FALSE)), ""=0"") + COUNTIF(ARRAYFORMULA(HLOOKUP($B24, IMPORTRANGE('Match Names'!$E$23, CONCAT(VLOOKUP($C24, 'Match Names'!$1:$22, 5, FALSE), ""!C3:R29"")), {2;8;12;22}, FALSE)), ""=0"") + COUNTIF(ARRAYFORMULA(HLOOKUP($B24, I"&amp;"MPORTRANGE('Match Names'!$F$23, CONCAT(VLOOKUP($C24, 'Match Names'!$1:$22, 6, FALSE), ""!C3:R29"")), {3;9;15;21}, FALSE)), ""=0"") + COUNTIF(ARRAYFORMULA(HLOOKUP($B24, IMPORTRANGE('Match Names'!$G$23, CONCAT(VLOOKUP($C24, 'Match Names'!$1:$22, 7, FALSE), "&amp;"""!C3:R29"")), {3;8;12;18}, FALSE)), ""=0"") + COUNTIF(ARRAYFORMULA(HLOOKUP($B24, IMPORTRANGE('Match Names'!$H$23, CONCAT(VLOOKUP($C24, 'Match Names'!$1:$22, 8, FALSE), ""!C3:R29"")), {7;13;19;24}, FALSE)), ""=0"")"),2.0)</f>
        <v>2</v>
      </c>
      <c r="G24" s="32">
        <f>IFERROR(__xludf.DUMMYFUNCTION("COUNTIF(ARRAYFORMULA(HLOOKUP($B24, IMPORTRANGE('Prelim Rankings Unsorted'!$B$40, CONCAT(VLOOKUP($C24, 'Match Names'!$A$1:$D$22, 2, FALSE), ""!C3:R29"")), {4;9;15;21}, FALSE)), ""=-4"") + COUNTIF(ARRAYFORMULA(HLOOKUP($B24, IMPORTRANGE('Prelim Rankings Unso"&amp;"rted'!$B$41, CONCAT(VLOOKUP($C24, 'Match Names'!$A$1:$D$22, 3, FALSE), ""!C3:R29"")), {7;13;19;24}, FALSE)), ""=-4"") + COUNTIF(ARRAYFORMULA(HLOOKUP($B24, IMPORTRANGE('Prelim Rankings Unsorted'!$B$42, CONCAT(VLOOKUP($C24, 'Match Names'!$A$1:$D$22, 4, FALS"&amp;"E), ""!C3:R29"")), {7;13;19;24}, FALSE)), ""=-4"") + COUNTIF(ARRAYFORMULA(HLOOKUP($B24, IMPORTRANGE('Match Names'!$E$23, CONCAT(VLOOKUP($C24, 'Match Names'!$1:$22, 5, FALSE), ""!C3:R29"")), {2;8;12;22}, FALSE)), ""=-4"") + COUNTIF(ARRAYFORMULA(HLOOKUP($B2"&amp;"4, IMPORTRANGE('Match Names'!$F$23, CONCAT(VLOOKUP($C24, 'Match Names'!$1:$22, 6, FALSE), ""!C3:R29"")), {3;9;15;21}, FALSE)), ""=-4"") + COUNTIF(ARRAYFORMULA(HLOOKUP($B24, IMPORTRANGE('Match Names'!$G$23, CONCAT(VLOOKUP($C24, 'Match Names'!$1:$22, 7, FAL"&amp;"SE), ""!C3:R29"")), {3;8;12;18}, FALSE)), ""=-4"") + COUNTIF(ARRAYFORMULA(HLOOKUP($B24, IMPORTRANGE('Match Names'!$H$23, CONCAT(VLOOKUP($C24, 'Match Names'!$1:$22, 8, FALSE), ""!C3:R29"")), {7;13;19;24}, FALSE)), ""=-4"")"),0.0)</f>
        <v>0</v>
      </c>
      <c r="H24" s="33">
        <f t="shared" si="1"/>
        <v>3.33</v>
      </c>
    </row>
    <row r="25">
      <c r="A25" s="7" t="s">
        <v>124</v>
      </c>
      <c r="B25" s="7" t="str">
        <f>VLOOKUP(CONCAT(A25, C25), 'Discord Username to Real Name'!C:D, 2, FALSE)</f>
        <v>Connor Zhao#9139</v>
      </c>
      <c r="C25" s="7" t="s">
        <v>25</v>
      </c>
      <c r="D25" s="32">
        <f>IFERROR(__xludf.DUMMYFUNCTION("(4 - COUNTIF(IFERROR(ARRAYFORMULA(HLOOKUP($B25, IMPORTRANGE('Prelim Rankings Unsorted'!$B$40, CONCAT(VLOOKUP($C25, 'Match Names'!$A$1:$D$22, 2, FALSE), ""!C3:R29"")), {4;9;15;21}, FALSE)), 'Player Overall Stats Unsorted'!$AA$9:$AA$12), ""=X"")) + (4 - COU"&amp;"NTIF(IFERROR(ARRAYFORMULA(HLOOKUP($B25, IMPORTRANGE('Prelim Rankings Unsorted'!$B$41, CONCAT(VLOOKUP($C25, 'Match Names'!$A$1:$D$22, 3, FALSE), ""!C3:R29"")), {7;13;19;24}, FALSE)), 'Player Overall Stats Unsorted'!$AA$9:$AA$12), ""=X"")) + (4 - COUNTIF(IF"&amp;"ERROR(ARRAYFORMULA(HLOOKUP($B25, IMPORTRANGE('Prelim Rankings Unsorted'!$B$42, CONCAT(VLOOKUP($C25, 'Match Names'!$A$1:$D$22, 4, FALSE), ""!C3:R29"")), {7;13;19;24}, FALSE)), 'Player Overall Stats Unsorted'!$AA$9:$AA$12), ""=X"")) + (4 - COUNTIF(IFERROR(A"&amp;"RRAYFORMULA(HLOOKUP($B25, IMPORTRANGE('Match Names'!$E$23, CONCAT(VLOOKUP($C25, 'Match Names'!$1:$22, 5, FALSE), ""!C3:R29"")), {2;8;12;22}, FALSE)), 'Player Overall Stats Unsorted'!$AA$9:$AA$12), ""=X"")) + (4 - COUNTIF(IFERROR(ARRAYFORMULA(HLOOKUP($B25,"&amp;" IMPORTRANGE('Match Names'!$F$23, CONCAT(VLOOKUP($C25, 'Match Names'!$1:$22, 6, FALSE), ""!C3:R29"")), {3;9;15;21}, FALSE)), 'Player Overall Stats Unsorted'!$AA$9:$AA$12), ""=X"")) + (4 - COUNTIF(IFERROR(ARRAYFORMULA(HLOOKUP($B25, IMPORTRANGE('Match Names"&amp;"'!$G$23, CONCAT(VLOOKUP($C25, 'Match Names'!$1:$22, 7, FALSE), ""!C3:R29"")), {3;8;12;18}, FALSE)), 'Player Overall Stats Unsorted'!$AA$9:$AA$12), ""=X"")) + (4 - COUNTIF(IFERROR(ARRAYFORMULA(HLOOKUP($B25, IMPORTRANGE('Match Names'!$H$23, CONCAT(VLOOKUP($"&amp;"C25, 'Match Names'!$1:$22, 8, FALSE), ""!C3:R29"")), {7;13;19;24}, FALSE)), 'Player Overall Stats Unsorted'!$AA$9:$AA$12), ""=X""))"),22.0)</f>
        <v>22</v>
      </c>
      <c r="E25" s="32">
        <f>IFERROR(__xludf.DUMMYFUNCTION("COUNTIF(ARRAYFORMULA(HLOOKUP($B25, IMPORTRANGE('Prelim Rankings Unsorted'!$B$40, CONCAT(VLOOKUP($C25, 'Match Names'!$A$1:$D$22, 2, FALSE), ""!C3:R29"")), {4;9;15;21}, FALSE)), ""=4"") + COUNTIF(ARRAYFORMULA(HLOOKUP($B25, IMPORTRANGE('Prelim Rankings Unsor"&amp;"ted'!$B$41, CONCAT(VLOOKUP($C25, 'Match Names'!$A$1:$D$22, 3, FALSE), ""!C3:R29"")), {7;13;19;24}, FALSE)), ""=4"") + COUNTIF(ARRAYFORMULA(HLOOKUP($B25, IMPORTRANGE('Prelim Rankings Unsorted'!$B$42, CONCAT(VLOOKUP($C25, 'Match Names'!$A$1:$D$22, 4, FALSE)"&amp;", ""!C3:R29"")), {7;13;19;24}, FALSE)), ""=4"") + COUNTIF(ARRAYFORMULA(HLOOKUP($B25, IMPORTRANGE('Match Names'!$E$23, CONCAT(VLOOKUP($C25, 'Match Names'!$1:$22, 5, FALSE), ""!C3:R29"")), {2;8;12;22}, FALSE)), ""=4"") + COUNTIF(ARRAYFORMULA(HLOOKUP($B25, I"&amp;"MPORTRANGE('Match Names'!$F$23, CONCAT(VLOOKUP($C25, 'Match Names'!$1:$22, 6, FALSE), ""!C3:R29"")), {3;9;15;21}, FALSE)), ""=4"") + COUNTIF(ARRAYFORMULA(HLOOKUP($B25, IMPORTRANGE('Match Names'!$G$23, CONCAT(VLOOKUP($C25, 'Match Names'!$1:$22, 7, FALSE), "&amp;"""!C3:R29"")), {3;8;12;18}, FALSE)), ""=4"") + COUNTIF(ARRAYFORMULA(HLOOKUP($B25, IMPORTRANGE('Match Names'!$H$23, CONCAT(VLOOKUP($C25, 'Match Names'!$1:$22, 8, FALSE), ""!C3:R29"")), {7;13;19;24}, FALSE)), ""=4"")"),2.0)</f>
        <v>2</v>
      </c>
      <c r="F25" s="32">
        <f>IFERROR(__xludf.DUMMYFUNCTION("COUNTIF(ARRAYFORMULA(HLOOKUP($B25, IMPORTRANGE('Prelim Rankings Unsorted'!$B$40, CONCAT(VLOOKUP($C25, 'Match Names'!$A$1:$D$22, 2, FALSE), ""!C3:R29"")), {4;9;15;21}, FALSE)), ""=0"") + COUNTIF(ARRAYFORMULA(HLOOKUP($B25, IMPORTRANGE('Prelim Rankings Unsor"&amp;"ted'!$B$41, CONCAT(VLOOKUP($C25, 'Match Names'!$A$1:$D$22, 3, FALSE), ""!C3:R29"")), {7;13;19;24}, FALSE)), ""=0"") + COUNTIF(ARRAYFORMULA(HLOOKUP($B25, IMPORTRANGE('Prelim Rankings Unsorted'!$B$42, CONCAT(VLOOKUP($C25, 'Match Names'!$A$1:$D$22, 4, FALSE)"&amp;", ""!C3:R29"")), {7;13;19;24}, FALSE)), ""=0"") + COUNTIF(ARRAYFORMULA(HLOOKUP($B25, IMPORTRANGE('Match Names'!$E$23, CONCAT(VLOOKUP($C25, 'Match Names'!$1:$22, 5, FALSE), ""!C3:R29"")), {2;8;12;22}, FALSE)), ""=0"") + COUNTIF(ARRAYFORMULA(HLOOKUP($B25, I"&amp;"MPORTRANGE('Match Names'!$F$23, CONCAT(VLOOKUP($C25, 'Match Names'!$1:$22, 6, FALSE), ""!C3:R29"")), {3;9;15;21}, FALSE)), ""=0"") + COUNTIF(ARRAYFORMULA(HLOOKUP($B25, IMPORTRANGE('Match Names'!$G$23, CONCAT(VLOOKUP($C25, 'Match Names'!$1:$22, 7, FALSE), "&amp;"""!C3:R29"")), {3;8;12;18}, FALSE)), ""=0"") + COUNTIF(ARRAYFORMULA(HLOOKUP($B25, IMPORTRANGE('Match Names'!$H$23, CONCAT(VLOOKUP($C25, 'Match Names'!$1:$22, 8, FALSE), ""!C3:R29"")), {7;13;19;24}, FALSE)), ""=0"")"),0.0)</f>
        <v>0</v>
      </c>
      <c r="G25" s="32">
        <f>IFERROR(__xludf.DUMMYFUNCTION("COUNTIF(ARRAYFORMULA(HLOOKUP($B25, IMPORTRANGE('Prelim Rankings Unsorted'!$B$40, CONCAT(VLOOKUP($C25, 'Match Names'!$A$1:$D$22, 2, FALSE), ""!C3:R29"")), {4;9;15;21}, FALSE)), ""=-4"") + COUNTIF(ARRAYFORMULA(HLOOKUP($B25, IMPORTRANGE('Prelim Rankings Unso"&amp;"rted'!$B$41, CONCAT(VLOOKUP($C25, 'Match Names'!$A$1:$D$22, 3, FALSE), ""!C3:R29"")), {7;13;19;24}, FALSE)), ""=-4"") + COUNTIF(ARRAYFORMULA(HLOOKUP($B25, IMPORTRANGE('Prelim Rankings Unsorted'!$B$42, CONCAT(VLOOKUP($C25, 'Match Names'!$A$1:$D$22, 4, FALS"&amp;"E), ""!C3:R29"")), {7;13;19;24}, FALSE)), ""=-4"") + COUNTIF(ARRAYFORMULA(HLOOKUP($B25, IMPORTRANGE('Match Names'!$E$23, CONCAT(VLOOKUP($C25, 'Match Names'!$1:$22, 5, FALSE), ""!C3:R29"")), {2;8;12;22}, FALSE)), ""=-4"") + COUNTIF(ARRAYFORMULA(HLOOKUP($B2"&amp;"5, IMPORTRANGE('Match Names'!$F$23, CONCAT(VLOOKUP($C25, 'Match Names'!$1:$22, 6, FALSE), ""!C3:R29"")), {3;9;15;21}, FALSE)), ""=-4"") + COUNTIF(ARRAYFORMULA(HLOOKUP($B25, IMPORTRANGE('Match Names'!$G$23, CONCAT(VLOOKUP($C25, 'Match Names'!$1:$22, 7, FAL"&amp;"SE), ""!C3:R29"")), {3;8;12;18}, FALSE)), ""=-4"") + COUNTIF(ARRAYFORMULA(HLOOKUP($B25, IMPORTRANGE('Match Names'!$H$23, CONCAT(VLOOKUP($C25, 'Match Names'!$1:$22, 8, FALSE), ""!C3:R29"")), {7;13;19;24}, FALSE)), ""=-4"")"),0.0)</f>
        <v>0</v>
      </c>
      <c r="H25" s="33">
        <f t="shared" si="1"/>
        <v>1.45</v>
      </c>
    </row>
    <row r="26">
      <c r="A26" s="7" t="s">
        <v>13</v>
      </c>
      <c r="B26" s="7" t="str">
        <f>VLOOKUP(CONCAT(A26, C26), 'Discord Username to Real Name'!C:D, 2, FALSE)</f>
        <v>asiangold#6836</v>
      </c>
      <c r="C26" s="7" t="s">
        <v>25</v>
      </c>
      <c r="D26" s="32">
        <f>IFERROR(__xludf.DUMMYFUNCTION("(4 - COUNTIF(IFERROR(ARRAYFORMULA(HLOOKUP($B26, IMPORTRANGE('Prelim Rankings Unsorted'!$B$40, CONCAT(VLOOKUP($C26, 'Match Names'!$A$1:$D$22, 2, FALSE), ""!C3:R29"")), {4;9;15;21}, FALSE)), 'Player Overall Stats Unsorted'!$AA$9:$AA$12), ""=X"")) + (4 - COU"&amp;"NTIF(IFERROR(ARRAYFORMULA(HLOOKUP($B26, IMPORTRANGE('Prelim Rankings Unsorted'!$B$41, CONCAT(VLOOKUP($C26, 'Match Names'!$A$1:$D$22, 3, FALSE), ""!C3:R29"")), {7;13;19;24}, FALSE)), 'Player Overall Stats Unsorted'!$AA$9:$AA$12), ""=X"")) + (4 - COUNTIF(IF"&amp;"ERROR(ARRAYFORMULA(HLOOKUP($B26, IMPORTRANGE('Prelim Rankings Unsorted'!$B$42, CONCAT(VLOOKUP($C26, 'Match Names'!$A$1:$D$22, 4, FALSE), ""!C3:R29"")), {7;13;19;24}, FALSE)), 'Player Overall Stats Unsorted'!$AA$9:$AA$12), ""=X"")) + (4 - COUNTIF(IFERROR(A"&amp;"RRAYFORMULA(HLOOKUP($B26, IMPORTRANGE('Match Names'!$E$23, CONCAT(VLOOKUP($C26, 'Match Names'!$1:$22, 5, FALSE), ""!C3:R29"")), {2;8;12;22}, FALSE)), 'Player Overall Stats Unsorted'!$AA$9:$AA$12), ""=X"")) + (4 - COUNTIF(IFERROR(ARRAYFORMULA(HLOOKUP($B26,"&amp;" IMPORTRANGE('Match Names'!$F$23, CONCAT(VLOOKUP($C26, 'Match Names'!$1:$22, 6, FALSE), ""!C3:R29"")), {3;9;15;21}, FALSE)), 'Player Overall Stats Unsorted'!$AA$9:$AA$12), ""=X"")) + (4 - COUNTIF(IFERROR(ARRAYFORMULA(HLOOKUP($B26, IMPORTRANGE('Match Names"&amp;"'!$G$23, CONCAT(VLOOKUP($C26, 'Match Names'!$1:$22, 7, FALSE), ""!C3:R29"")), {3;8;12;18}, FALSE)), 'Player Overall Stats Unsorted'!$AA$9:$AA$12), ""=X"")) + (4 - COUNTIF(IFERROR(ARRAYFORMULA(HLOOKUP($B26, IMPORTRANGE('Match Names'!$H$23, CONCAT(VLOOKUP($"&amp;"C26, 'Match Names'!$1:$22, 8, FALSE), ""!C3:R29"")), {7;13;19;24}, FALSE)), 'Player Overall Stats Unsorted'!$AA$9:$AA$12), ""=X""))"),24.0)</f>
        <v>24</v>
      </c>
      <c r="E26" s="32">
        <f>IFERROR(__xludf.DUMMYFUNCTION("COUNTIF(ARRAYFORMULA(HLOOKUP($B26, IMPORTRANGE('Prelim Rankings Unsorted'!$B$40, CONCAT(VLOOKUP($C26, 'Match Names'!$A$1:$D$22, 2, FALSE), ""!C3:R29"")), {4;9;15;21}, FALSE)), ""=4"") + COUNTIF(ARRAYFORMULA(HLOOKUP($B26, IMPORTRANGE('Prelim Rankings Unsor"&amp;"ted'!$B$41, CONCAT(VLOOKUP($C26, 'Match Names'!$A$1:$D$22, 3, FALSE), ""!C3:R29"")), {7;13;19;24}, FALSE)), ""=4"") + COUNTIF(ARRAYFORMULA(HLOOKUP($B26, IMPORTRANGE('Prelim Rankings Unsorted'!$B$42, CONCAT(VLOOKUP($C26, 'Match Names'!$A$1:$D$22, 4, FALSE)"&amp;", ""!C3:R29"")), {7;13;19;24}, FALSE)), ""=4"") + COUNTIF(ARRAYFORMULA(HLOOKUP($B26, IMPORTRANGE('Match Names'!$E$23, CONCAT(VLOOKUP($C26, 'Match Names'!$1:$22, 5, FALSE), ""!C3:R29"")), {2;8;12;22}, FALSE)), ""=4"") + COUNTIF(ARRAYFORMULA(HLOOKUP($B26, I"&amp;"MPORTRANGE('Match Names'!$F$23, CONCAT(VLOOKUP($C26, 'Match Names'!$1:$22, 6, FALSE), ""!C3:R29"")), {3;9;15;21}, FALSE)), ""=4"") + COUNTIF(ARRAYFORMULA(HLOOKUP($B26, IMPORTRANGE('Match Names'!$G$23, CONCAT(VLOOKUP($C26, 'Match Names'!$1:$22, 7, FALSE), "&amp;"""!C3:R29"")), {3;8;12;18}, FALSE)), ""=4"") + COUNTIF(ARRAYFORMULA(HLOOKUP($B26, IMPORTRANGE('Match Names'!$H$23, CONCAT(VLOOKUP($C26, 'Match Names'!$1:$22, 8, FALSE), ""!C3:R29"")), {7;13;19;24}, FALSE)), ""=4"")"),4.0)</f>
        <v>4</v>
      </c>
      <c r="F26" s="32">
        <f>IFERROR(__xludf.DUMMYFUNCTION("COUNTIF(ARRAYFORMULA(HLOOKUP($B26, IMPORTRANGE('Prelim Rankings Unsorted'!$B$40, CONCAT(VLOOKUP($C26, 'Match Names'!$A$1:$D$22, 2, FALSE), ""!C3:R29"")), {4;9;15;21}, FALSE)), ""=0"") + COUNTIF(ARRAYFORMULA(HLOOKUP($B26, IMPORTRANGE('Prelim Rankings Unsor"&amp;"ted'!$B$41, CONCAT(VLOOKUP($C26, 'Match Names'!$A$1:$D$22, 3, FALSE), ""!C3:R29"")), {7;13;19;24}, FALSE)), ""=0"") + COUNTIF(ARRAYFORMULA(HLOOKUP($B26, IMPORTRANGE('Prelim Rankings Unsorted'!$B$42, CONCAT(VLOOKUP($C26, 'Match Names'!$A$1:$D$22, 4, FALSE)"&amp;", ""!C3:R29"")), {7;13;19;24}, FALSE)), ""=0"") + COUNTIF(ARRAYFORMULA(HLOOKUP($B26, IMPORTRANGE('Match Names'!$E$23, CONCAT(VLOOKUP($C26, 'Match Names'!$1:$22, 5, FALSE), ""!C3:R29"")), {2;8;12;22}, FALSE)), ""=0"") + COUNTIF(ARRAYFORMULA(HLOOKUP($B26, I"&amp;"MPORTRANGE('Match Names'!$F$23, CONCAT(VLOOKUP($C26, 'Match Names'!$1:$22, 6, FALSE), ""!C3:R29"")), {3;9;15;21}, FALSE)), ""=0"") + COUNTIF(ARRAYFORMULA(HLOOKUP($B26, IMPORTRANGE('Match Names'!$G$23, CONCAT(VLOOKUP($C26, 'Match Names'!$1:$22, 7, FALSE), "&amp;"""!C3:R29"")), {3;8;12;18}, FALSE)), ""=0"") + COUNTIF(ARRAYFORMULA(HLOOKUP($B26, IMPORTRANGE('Match Names'!$H$23, CONCAT(VLOOKUP($C26, 'Match Names'!$1:$22, 8, FALSE), ""!C3:R29"")), {7;13;19;24}, FALSE)), ""=0"")"),3.0)</f>
        <v>3</v>
      </c>
      <c r="G26" s="32">
        <f>IFERROR(__xludf.DUMMYFUNCTION("COUNTIF(ARRAYFORMULA(HLOOKUP($B26, IMPORTRANGE('Prelim Rankings Unsorted'!$B$40, CONCAT(VLOOKUP($C26, 'Match Names'!$A$1:$D$22, 2, FALSE), ""!C3:R29"")), {4;9;15;21}, FALSE)), ""=-4"") + COUNTIF(ARRAYFORMULA(HLOOKUP($B26, IMPORTRANGE('Prelim Rankings Unso"&amp;"rted'!$B$41, CONCAT(VLOOKUP($C26, 'Match Names'!$A$1:$D$22, 3, FALSE), ""!C3:R29"")), {7;13;19;24}, FALSE)), ""=-4"") + COUNTIF(ARRAYFORMULA(HLOOKUP($B26, IMPORTRANGE('Prelim Rankings Unsorted'!$B$42, CONCAT(VLOOKUP($C26, 'Match Names'!$A$1:$D$22, 4, FALS"&amp;"E), ""!C3:R29"")), {7;13;19;24}, FALSE)), ""=-4"") + COUNTIF(ARRAYFORMULA(HLOOKUP($B26, IMPORTRANGE('Match Names'!$E$23, CONCAT(VLOOKUP($C26, 'Match Names'!$1:$22, 5, FALSE), ""!C3:R29"")), {2;8;12;22}, FALSE)), ""=-4"") + COUNTIF(ARRAYFORMULA(HLOOKUP($B2"&amp;"6, IMPORTRANGE('Match Names'!$F$23, CONCAT(VLOOKUP($C26, 'Match Names'!$1:$22, 6, FALSE), ""!C3:R29"")), {3;9;15;21}, FALSE)), ""=-4"") + COUNTIF(ARRAYFORMULA(HLOOKUP($B26, IMPORTRANGE('Match Names'!$G$23, CONCAT(VLOOKUP($C26, 'Match Names'!$1:$22, 7, FAL"&amp;"SE), ""!C3:R29"")), {3;8;12;18}, FALSE)), ""=-4"") + COUNTIF(ARRAYFORMULA(HLOOKUP($B26, IMPORTRANGE('Match Names'!$H$23, CONCAT(VLOOKUP($C26, 'Match Names'!$1:$22, 8, FALSE), ""!C3:R29"")), {7;13;19;24}, FALSE)), ""=-4"")"),2.0)</f>
        <v>2</v>
      </c>
      <c r="H26" s="33">
        <f t="shared" si="1"/>
        <v>1.33</v>
      </c>
    </row>
    <row r="27">
      <c r="A27" s="7" t="s">
        <v>179</v>
      </c>
      <c r="B27" s="7" t="str">
        <f>VLOOKUP(CONCAT(A27, C27), 'Discord Username to Real Name'!C:D, 2, FALSE)</f>
        <v>Nutritious Soup#4238</v>
      </c>
      <c r="C27" s="7" t="s">
        <v>25</v>
      </c>
      <c r="D27" s="32">
        <f>IFERROR(__xludf.DUMMYFUNCTION("(4 - COUNTIF(IFERROR(ARRAYFORMULA(HLOOKUP($B27, IMPORTRANGE('Prelim Rankings Unsorted'!$B$40, CONCAT(VLOOKUP($C27, 'Match Names'!$A$1:$D$22, 2, FALSE), ""!C3:R29"")), {4;9;15;21}, FALSE)), 'Player Overall Stats Unsorted'!$AA$9:$AA$12), ""=X"")) + (4 - COU"&amp;"NTIF(IFERROR(ARRAYFORMULA(HLOOKUP($B27, IMPORTRANGE('Prelim Rankings Unsorted'!$B$41, CONCAT(VLOOKUP($C27, 'Match Names'!$A$1:$D$22, 3, FALSE), ""!C3:R29"")), {7;13;19;24}, FALSE)), 'Player Overall Stats Unsorted'!$AA$9:$AA$12), ""=X"")) + (4 - COUNTIF(IF"&amp;"ERROR(ARRAYFORMULA(HLOOKUP($B27, IMPORTRANGE('Prelim Rankings Unsorted'!$B$42, CONCAT(VLOOKUP($C27, 'Match Names'!$A$1:$D$22, 4, FALSE), ""!C3:R29"")), {7;13;19;24}, FALSE)), 'Player Overall Stats Unsorted'!$AA$9:$AA$12), ""=X"")) + (4 - COUNTIF(IFERROR(A"&amp;"RRAYFORMULA(HLOOKUP($B27, IMPORTRANGE('Match Names'!$E$23, CONCAT(VLOOKUP($C27, 'Match Names'!$1:$22, 5, FALSE), ""!C3:R29"")), {2;8;12;22}, FALSE)), 'Player Overall Stats Unsorted'!$AA$9:$AA$12), ""=X"")) + (4 - COUNTIF(IFERROR(ARRAYFORMULA(HLOOKUP($B27,"&amp;" IMPORTRANGE('Match Names'!$F$23, CONCAT(VLOOKUP($C27, 'Match Names'!$1:$22, 6, FALSE), ""!C3:R29"")), {3;9;15;21}, FALSE)), 'Player Overall Stats Unsorted'!$AA$9:$AA$12), ""=X"")) + (4 - COUNTIF(IFERROR(ARRAYFORMULA(HLOOKUP($B27, IMPORTRANGE('Match Names"&amp;"'!$G$23, CONCAT(VLOOKUP($C27, 'Match Names'!$1:$22, 7, FALSE), ""!C3:R29"")), {3;8;12;18}, FALSE)), 'Player Overall Stats Unsorted'!$AA$9:$AA$12), ""=X"")) + (4 - COUNTIF(IFERROR(ARRAYFORMULA(HLOOKUP($B27, IMPORTRANGE('Match Names'!$H$23, CONCAT(VLOOKUP($"&amp;"C27, 'Match Names'!$1:$22, 8, FALSE), ""!C3:R29"")), {7;13;19;24}, FALSE)), 'Player Overall Stats Unsorted'!$AA$9:$AA$12), ""=X""))"),12.0)</f>
        <v>12</v>
      </c>
      <c r="E27" s="32">
        <f>IFERROR(__xludf.DUMMYFUNCTION("COUNTIF(ARRAYFORMULA(HLOOKUP($B27, IMPORTRANGE('Prelim Rankings Unsorted'!$B$40, CONCAT(VLOOKUP($C27, 'Match Names'!$A$1:$D$22, 2, FALSE), ""!C3:R29"")), {4;9;15;21}, FALSE)), ""=4"") + COUNTIF(ARRAYFORMULA(HLOOKUP($B27, IMPORTRANGE('Prelim Rankings Unsor"&amp;"ted'!$B$41, CONCAT(VLOOKUP($C27, 'Match Names'!$A$1:$D$22, 3, FALSE), ""!C3:R29"")), {7;13;19;24}, FALSE)), ""=4"") + COUNTIF(ARRAYFORMULA(HLOOKUP($B27, IMPORTRANGE('Prelim Rankings Unsorted'!$B$42, CONCAT(VLOOKUP($C27, 'Match Names'!$A$1:$D$22, 4, FALSE)"&amp;", ""!C3:R29"")), {7;13;19;24}, FALSE)), ""=4"") + COUNTIF(ARRAYFORMULA(HLOOKUP($B27, IMPORTRANGE('Match Names'!$E$23, CONCAT(VLOOKUP($C27, 'Match Names'!$1:$22, 5, FALSE), ""!C3:R29"")), {2;8;12;22}, FALSE)), ""=4"") + COUNTIF(ARRAYFORMULA(HLOOKUP($B27, I"&amp;"MPORTRANGE('Match Names'!$F$23, CONCAT(VLOOKUP($C27, 'Match Names'!$1:$22, 6, FALSE), ""!C3:R29"")), {3;9;15;21}, FALSE)), ""=4"") + COUNTIF(ARRAYFORMULA(HLOOKUP($B27, IMPORTRANGE('Match Names'!$G$23, CONCAT(VLOOKUP($C27, 'Match Names'!$1:$22, 7, FALSE), "&amp;"""!C3:R29"")), {3;8;12;18}, FALSE)), ""=4"") + COUNTIF(ARRAYFORMULA(HLOOKUP($B27, IMPORTRANGE('Match Names'!$H$23, CONCAT(VLOOKUP($C27, 'Match Names'!$1:$22, 8, FALSE), ""!C3:R29"")), {7;13;19;24}, FALSE)), ""=4"")"),0.0)</f>
        <v>0</v>
      </c>
      <c r="F27" s="32">
        <f>IFERROR(__xludf.DUMMYFUNCTION("COUNTIF(ARRAYFORMULA(HLOOKUP($B27, IMPORTRANGE('Prelim Rankings Unsorted'!$B$40, CONCAT(VLOOKUP($C27, 'Match Names'!$A$1:$D$22, 2, FALSE), ""!C3:R29"")), {4;9;15;21}, FALSE)), ""=0"") + COUNTIF(ARRAYFORMULA(HLOOKUP($B27, IMPORTRANGE('Prelim Rankings Unsor"&amp;"ted'!$B$41, CONCAT(VLOOKUP($C27, 'Match Names'!$A$1:$D$22, 3, FALSE), ""!C3:R29"")), {7;13;19;24}, FALSE)), ""=0"") + COUNTIF(ARRAYFORMULA(HLOOKUP($B27, IMPORTRANGE('Prelim Rankings Unsorted'!$B$42, CONCAT(VLOOKUP($C27, 'Match Names'!$A$1:$D$22, 4, FALSE)"&amp;", ""!C3:R29"")), {7;13;19;24}, FALSE)), ""=0"") + COUNTIF(ARRAYFORMULA(HLOOKUP($B27, IMPORTRANGE('Match Names'!$E$23, CONCAT(VLOOKUP($C27, 'Match Names'!$1:$22, 5, FALSE), ""!C3:R29"")), {2;8;12;22}, FALSE)), ""=0"") + COUNTIF(ARRAYFORMULA(HLOOKUP($B27, I"&amp;"MPORTRANGE('Match Names'!$F$23, CONCAT(VLOOKUP($C27, 'Match Names'!$1:$22, 6, FALSE), ""!C3:R29"")), {3;9;15;21}, FALSE)), ""=0"") + COUNTIF(ARRAYFORMULA(HLOOKUP($B27, IMPORTRANGE('Match Names'!$G$23, CONCAT(VLOOKUP($C27, 'Match Names'!$1:$22, 7, FALSE), "&amp;"""!C3:R29"")), {3;8;12;18}, FALSE)), ""=0"") + COUNTIF(ARRAYFORMULA(HLOOKUP($B27, IMPORTRANGE('Match Names'!$H$23, CONCAT(VLOOKUP($C27, 'Match Names'!$1:$22, 8, FALSE), ""!C3:R29"")), {7;13;19;24}, FALSE)), ""=0"")"),0.0)</f>
        <v>0</v>
      </c>
      <c r="G27" s="32">
        <f>IFERROR(__xludf.DUMMYFUNCTION("COUNTIF(ARRAYFORMULA(HLOOKUP($B27, IMPORTRANGE('Prelim Rankings Unsorted'!$B$40, CONCAT(VLOOKUP($C27, 'Match Names'!$A$1:$D$22, 2, FALSE), ""!C3:R29"")), {4;9;15;21}, FALSE)), ""=-4"") + COUNTIF(ARRAYFORMULA(HLOOKUP($B27, IMPORTRANGE('Prelim Rankings Unso"&amp;"rted'!$B$41, CONCAT(VLOOKUP($C27, 'Match Names'!$A$1:$D$22, 3, FALSE), ""!C3:R29"")), {7;13;19;24}, FALSE)), ""=-4"") + COUNTIF(ARRAYFORMULA(HLOOKUP($B27, IMPORTRANGE('Prelim Rankings Unsorted'!$B$42, CONCAT(VLOOKUP($C27, 'Match Names'!$A$1:$D$22, 4, FALS"&amp;"E), ""!C3:R29"")), {7;13;19;24}, FALSE)), ""=-4"") + COUNTIF(ARRAYFORMULA(HLOOKUP($B27, IMPORTRANGE('Match Names'!$E$23, CONCAT(VLOOKUP($C27, 'Match Names'!$1:$22, 5, FALSE), ""!C3:R29"")), {2;8;12;22}, FALSE)), ""=-4"") + COUNTIF(ARRAYFORMULA(HLOOKUP($B2"&amp;"7, IMPORTRANGE('Match Names'!$F$23, CONCAT(VLOOKUP($C27, 'Match Names'!$1:$22, 6, FALSE), ""!C3:R29"")), {3;9;15;21}, FALSE)), ""=-4"") + COUNTIF(ARRAYFORMULA(HLOOKUP($B27, IMPORTRANGE('Match Names'!$G$23, CONCAT(VLOOKUP($C27, 'Match Names'!$1:$22, 7, FAL"&amp;"SE), ""!C3:R29"")), {3;8;12;18}, FALSE)), ""=-4"") + COUNTIF(ARRAYFORMULA(HLOOKUP($B27, IMPORTRANGE('Match Names'!$H$23, CONCAT(VLOOKUP($C27, 'Match Names'!$1:$22, 8, FALSE), ""!C3:R29"")), {7;13;19;24}, FALSE)), ""=-4"")"),0.0)</f>
        <v>0</v>
      </c>
      <c r="H27" s="33">
        <f t="shared" si="1"/>
        <v>0</v>
      </c>
    </row>
    <row r="28">
      <c r="A28" s="7" t="s">
        <v>48</v>
      </c>
      <c r="B28" s="7" t="str">
        <f>VLOOKUP(CONCAT(A28, C28), 'Discord Username to Real Name'!C:D, 2, FALSE)</f>
        <v>a Aquilae#6100</v>
      </c>
      <c r="C28" s="21" t="s">
        <v>27</v>
      </c>
      <c r="D28" s="32">
        <f>IFERROR(__xludf.DUMMYFUNCTION("(4 - COUNTIF(IFERROR(ARRAYFORMULA(HLOOKUP($B28, IMPORTRANGE('Prelim Rankings Unsorted'!$B$40, CONCAT(VLOOKUP($C28, 'Match Names'!$A$1:$D$22, 2, FALSE), ""!C3:R29"")), {4;9;15;21}, FALSE)), 'Player Overall Stats Unsorted'!$AA$9:$AA$12), ""=X"")) + (4 - COU"&amp;"NTIF(IFERROR(ARRAYFORMULA(HLOOKUP($B28, IMPORTRANGE('Prelim Rankings Unsorted'!$B$41, CONCAT(VLOOKUP($C28, 'Match Names'!$A$1:$D$22, 3, FALSE), ""!C3:R29"")), {7;13;19;24}, FALSE)), 'Player Overall Stats Unsorted'!$AA$9:$AA$12), ""=X"")) + (4 - COUNTIF(IF"&amp;"ERROR(ARRAYFORMULA(HLOOKUP($B28, IMPORTRANGE('Prelim Rankings Unsorted'!$B$42, CONCAT(VLOOKUP($C28, 'Match Names'!$A$1:$D$22, 4, FALSE), ""!C3:R29"")), {7;13;19;24}, FALSE)), 'Player Overall Stats Unsorted'!$AA$9:$AA$12), ""=X"")) + (4 - COUNTIF(IFERROR(A"&amp;"RRAYFORMULA(HLOOKUP($B28, IMPORTRANGE('Match Names'!$E$23, CONCAT(VLOOKUP($C28, 'Match Names'!$1:$22, 5, FALSE), ""!C3:R29"")), {2;8;12;22}, FALSE)), 'Player Overall Stats Unsorted'!$AA$9:$AA$12), ""=X"")) + (4 - COUNTIF(IFERROR(ARRAYFORMULA(HLOOKUP($B28,"&amp;" IMPORTRANGE('Match Names'!$F$23, CONCAT(VLOOKUP($C28, 'Match Names'!$1:$22, 6, FALSE), ""!C3:R29"")), {3;9;15;21}, FALSE)), 'Player Overall Stats Unsorted'!$AA$9:$AA$12), ""=X"")) + (4 - COUNTIF(IFERROR(ARRAYFORMULA(HLOOKUP($B28, IMPORTRANGE('Match Names"&amp;"'!$G$23, CONCAT(VLOOKUP($C28, 'Match Names'!$1:$22, 7, FALSE), ""!C3:R29"")), {3;8;12;18}, FALSE)), 'Player Overall Stats Unsorted'!$AA$9:$AA$12), ""=X"")) + (4 - COUNTIF(IFERROR(ARRAYFORMULA(HLOOKUP($B28, IMPORTRANGE('Match Names'!$H$23, CONCAT(VLOOKUP($"&amp;"C28, 'Match Names'!$1:$22, 8, FALSE), ""!C3:R29"")), {7;13;19;24}, FALSE)), 'Player Overall Stats Unsorted'!$AA$9:$AA$12), ""=X""))"),24.0)</f>
        <v>24</v>
      </c>
      <c r="E28" s="32">
        <f>IFERROR(__xludf.DUMMYFUNCTION("COUNTIF(ARRAYFORMULA(HLOOKUP($B28, IMPORTRANGE('Prelim Rankings Unsorted'!$B$40, CONCAT(VLOOKUP($C28, 'Match Names'!$A$1:$D$22, 2, FALSE), ""!C3:R29"")), {4;9;15;21}, FALSE)), ""=4"") + COUNTIF(ARRAYFORMULA(HLOOKUP($B28, IMPORTRANGE('Prelim Rankings Unsor"&amp;"ted'!$B$41, CONCAT(VLOOKUP($C28, 'Match Names'!$A$1:$D$22, 3, FALSE), ""!C3:R29"")), {7;13;19;24}, FALSE)), ""=4"") + COUNTIF(ARRAYFORMULA(HLOOKUP($B28, IMPORTRANGE('Prelim Rankings Unsorted'!$B$42, CONCAT(VLOOKUP($C28, 'Match Names'!$A$1:$D$22, 4, FALSE)"&amp;", ""!C3:R29"")), {7;13;19;24}, FALSE)), ""=4"") + COUNTIF(ARRAYFORMULA(HLOOKUP($B28, IMPORTRANGE('Match Names'!$E$23, CONCAT(VLOOKUP($C28, 'Match Names'!$1:$22, 5, FALSE), ""!C3:R29"")), {2;8;12;22}, FALSE)), ""=4"") + COUNTIF(ARRAYFORMULA(HLOOKUP($B28, I"&amp;"MPORTRANGE('Match Names'!$F$23, CONCAT(VLOOKUP($C28, 'Match Names'!$1:$22, 6, FALSE), ""!C3:R29"")), {3;9;15;21}, FALSE)), ""=4"") + COUNTIF(ARRAYFORMULA(HLOOKUP($B28, IMPORTRANGE('Match Names'!$G$23, CONCAT(VLOOKUP($C28, 'Match Names'!$1:$22, 7, FALSE), "&amp;"""!C3:R29"")), {3;8;12;18}, FALSE)), ""=4"") + COUNTIF(ARRAYFORMULA(HLOOKUP($B28, IMPORTRANGE('Match Names'!$H$23, CONCAT(VLOOKUP($C28, 'Match Names'!$1:$22, 8, FALSE), ""!C3:R29"")), {7;13;19;24}, FALSE)), ""=4"")"),9.0)</f>
        <v>9</v>
      </c>
      <c r="F28" s="32">
        <f>IFERROR(__xludf.DUMMYFUNCTION("COUNTIF(ARRAYFORMULA(HLOOKUP($B28, IMPORTRANGE('Prelim Rankings Unsorted'!$B$40, CONCAT(VLOOKUP($C28, 'Match Names'!$A$1:$D$22, 2, FALSE), ""!C3:R29"")), {4;9;15;21}, FALSE)), ""=0"") + COUNTIF(ARRAYFORMULA(HLOOKUP($B28, IMPORTRANGE('Prelim Rankings Unsor"&amp;"ted'!$B$41, CONCAT(VLOOKUP($C28, 'Match Names'!$A$1:$D$22, 3, FALSE), ""!C3:R29"")), {7;13;19;24}, FALSE)), ""=0"") + COUNTIF(ARRAYFORMULA(HLOOKUP($B28, IMPORTRANGE('Prelim Rankings Unsorted'!$B$42, CONCAT(VLOOKUP($C28, 'Match Names'!$A$1:$D$22, 4, FALSE)"&amp;", ""!C3:R29"")), {7;13;19;24}, FALSE)), ""=0"") + COUNTIF(ARRAYFORMULA(HLOOKUP($B28, IMPORTRANGE('Match Names'!$E$23, CONCAT(VLOOKUP($C28, 'Match Names'!$1:$22, 5, FALSE), ""!C3:R29"")), {2;8;12;22}, FALSE)), ""=0"") + COUNTIF(ARRAYFORMULA(HLOOKUP($B28, I"&amp;"MPORTRANGE('Match Names'!$F$23, CONCAT(VLOOKUP($C28, 'Match Names'!$1:$22, 6, FALSE), ""!C3:R29"")), {3;9;15;21}, FALSE)), ""=0"") + COUNTIF(ARRAYFORMULA(HLOOKUP($B28, IMPORTRANGE('Match Names'!$G$23, CONCAT(VLOOKUP($C28, 'Match Names'!$1:$22, 7, FALSE), "&amp;"""!C3:R29"")), {3;8;12;18}, FALSE)), ""=0"") + COUNTIF(ARRAYFORMULA(HLOOKUP($B28, IMPORTRANGE('Match Names'!$H$23, CONCAT(VLOOKUP($C28, 'Match Names'!$1:$22, 8, FALSE), ""!C3:R29"")), {7;13;19;24}, FALSE)), ""=0"")"),3.0)</f>
        <v>3</v>
      </c>
      <c r="G28" s="32">
        <f>IFERROR(__xludf.DUMMYFUNCTION("COUNTIF(ARRAYFORMULA(HLOOKUP($B28, IMPORTRANGE('Prelim Rankings Unsorted'!$B$40, CONCAT(VLOOKUP($C28, 'Match Names'!$A$1:$D$22, 2, FALSE), ""!C3:R29"")), {4;9;15;21}, FALSE)), ""=-4"") + COUNTIF(ARRAYFORMULA(HLOOKUP($B28, IMPORTRANGE('Prelim Rankings Unso"&amp;"rted'!$B$41, CONCAT(VLOOKUP($C28, 'Match Names'!$A$1:$D$22, 3, FALSE), ""!C3:R29"")), {7;13;19;24}, FALSE)), ""=-4"") + COUNTIF(ARRAYFORMULA(HLOOKUP($B28, IMPORTRANGE('Prelim Rankings Unsorted'!$B$42, CONCAT(VLOOKUP($C28, 'Match Names'!$A$1:$D$22, 4, FALS"&amp;"E), ""!C3:R29"")), {7;13;19;24}, FALSE)), ""=-4"") + COUNTIF(ARRAYFORMULA(HLOOKUP($B28, IMPORTRANGE('Match Names'!$E$23, CONCAT(VLOOKUP($C28, 'Match Names'!$1:$22, 5, FALSE), ""!C3:R29"")), {2;8;12;22}, FALSE)), ""=-4"") + COUNTIF(ARRAYFORMULA(HLOOKUP($B2"&amp;"8, IMPORTRANGE('Match Names'!$F$23, CONCAT(VLOOKUP($C28, 'Match Names'!$1:$22, 6, FALSE), ""!C3:R29"")), {3;9;15;21}, FALSE)), ""=-4"") + COUNTIF(ARRAYFORMULA(HLOOKUP($B28, IMPORTRANGE('Match Names'!$G$23, CONCAT(VLOOKUP($C28, 'Match Names'!$1:$22, 7, FAL"&amp;"SE), ""!C3:R29"")), {3;8;12;18}, FALSE)), ""=-4"") + COUNTIF(ARRAYFORMULA(HLOOKUP($B28, IMPORTRANGE('Match Names'!$H$23, CONCAT(VLOOKUP($C28, 'Match Names'!$1:$22, 8, FALSE), ""!C3:R29"")), {7;13;19;24}, FALSE)), ""=-4"")"),0.0)</f>
        <v>0</v>
      </c>
      <c r="H28" s="33">
        <f t="shared" si="1"/>
        <v>6</v>
      </c>
    </row>
    <row r="29">
      <c r="A29" s="7" t="s">
        <v>122</v>
      </c>
      <c r="B29" s="7" t="str">
        <f>VLOOKUP(CONCAT(A29, C29), 'Discord Username to Real Name'!C:D, 2, FALSE)</f>
        <v>emu#0818</v>
      </c>
      <c r="C29" s="21" t="s">
        <v>27</v>
      </c>
      <c r="D29" s="32">
        <f>IFERROR(__xludf.DUMMYFUNCTION("(4 - COUNTIF(IFERROR(ARRAYFORMULA(HLOOKUP($B29, IMPORTRANGE('Prelim Rankings Unsorted'!$B$40, CONCAT(VLOOKUP($C29, 'Match Names'!$A$1:$D$22, 2, FALSE), ""!C3:R29"")), {4;9;15;21}, FALSE)), 'Player Overall Stats Unsorted'!$AA$9:$AA$12), ""=X"")) + (4 - COU"&amp;"NTIF(IFERROR(ARRAYFORMULA(HLOOKUP($B29, IMPORTRANGE('Prelim Rankings Unsorted'!$B$41, CONCAT(VLOOKUP($C29, 'Match Names'!$A$1:$D$22, 3, FALSE), ""!C3:R29"")), {7;13;19;24}, FALSE)), 'Player Overall Stats Unsorted'!$AA$9:$AA$12), ""=X"")) + (4 - COUNTIF(IF"&amp;"ERROR(ARRAYFORMULA(HLOOKUP($B29, IMPORTRANGE('Prelim Rankings Unsorted'!$B$42, CONCAT(VLOOKUP($C29, 'Match Names'!$A$1:$D$22, 4, FALSE), ""!C3:R29"")), {7;13;19;24}, FALSE)), 'Player Overall Stats Unsorted'!$AA$9:$AA$12), ""=X"")) + (4 - COUNTIF(IFERROR(A"&amp;"RRAYFORMULA(HLOOKUP($B29, IMPORTRANGE('Match Names'!$E$23, CONCAT(VLOOKUP($C29, 'Match Names'!$1:$22, 5, FALSE), ""!C3:R29"")), {2;8;12;22}, FALSE)), 'Player Overall Stats Unsorted'!$AA$9:$AA$12), ""=X"")) + (4 - COUNTIF(IFERROR(ARRAYFORMULA(HLOOKUP($B29,"&amp;" IMPORTRANGE('Match Names'!$F$23, CONCAT(VLOOKUP($C29, 'Match Names'!$1:$22, 6, FALSE), ""!C3:R29"")), {3;9;15;21}, FALSE)), 'Player Overall Stats Unsorted'!$AA$9:$AA$12), ""=X"")) + (4 - COUNTIF(IFERROR(ARRAYFORMULA(HLOOKUP($B29, IMPORTRANGE('Match Names"&amp;"'!$G$23, CONCAT(VLOOKUP($C29, 'Match Names'!$1:$22, 7, FALSE), ""!C3:R29"")), {3;8;12;18}, FALSE)), 'Player Overall Stats Unsorted'!$AA$9:$AA$12), ""=X"")) + (4 - COUNTIF(IFERROR(ARRAYFORMULA(HLOOKUP($B29, IMPORTRANGE('Match Names'!$H$23, CONCAT(VLOOKUP($"&amp;"C29, 'Match Names'!$1:$22, 8, FALSE), ""!C3:R29"")), {7;13;19;24}, FALSE)), 'Player Overall Stats Unsorted'!$AA$9:$AA$12), ""=X""))"),20.0)</f>
        <v>20</v>
      </c>
      <c r="E29" s="32">
        <f>IFERROR(__xludf.DUMMYFUNCTION("COUNTIF(ARRAYFORMULA(HLOOKUP($B29, IMPORTRANGE('Prelim Rankings Unsorted'!$B$40, CONCAT(VLOOKUP($C29, 'Match Names'!$A$1:$D$22, 2, FALSE), ""!C3:R29"")), {4;9;15;21}, FALSE)), ""=4"") + COUNTIF(ARRAYFORMULA(HLOOKUP($B29, IMPORTRANGE('Prelim Rankings Unsor"&amp;"ted'!$B$41, CONCAT(VLOOKUP($C29, 'Match Names'!$A$1:$D$22, 3, FALSE), ""!C3:R29"")), {7;13;19;24}, FALSE)), ""=4"") + COUNTIF(ARRAYFORMULA(HLOOKUP($B29, IMPORTRANGE('Prelim Rankings Unsorted'!$B$42, CONCAT(VLOOKUP($C29, 'Match Names'!$A$1:$D$22, 4, FALSE)"&amp;", ""!C3:R29"")), {7;13;19;24}, FALSE)), ""=4"") + COUNTIF(ARRAYFORMULA(HLOOKUP($B29, IMPORTRANGE('Match Names'!$E$23, CONCAT(VLOOKUP($C29, 'Match Names'!$1:$22, 5, FALSE), ""!C3:R29"")), {2;8;12;22}, FALSE)), ""=4"") + COUNTIF(ARRAYFORMULA(HLOOKUP($B29, I"&amp;"MPORTRANGE('Match Names'!$F$23, CONCAT(VLOOKUP($C29, 'Match Names'!$1:$22, 6, FALSE), ""!C3:R29"")), {3;9;15;21}, FALSE)), ""=4"") + COUNTIF(ARRAYFORMULA(HLOOKUP($B29, IMPORTRANGE('Match Names'!$G$23, CONCAT(VLOOKUP($C29, 'Match Names'!$1:$22, 7, FALSE), "&amp;"""!C3:R29"")), {3;8;12;18}, FALSE)), ""=4"") + COUNTIF(ARRAYFORMULA(HLOOKUP($B29, IMPORTRANGE('Match Names'!$H$23, CONCAT(VLOOKUP($C29, 'Match Names'!$1:$22, 8, FALSE), ""!C3:R29"")), {7;13;19;24}, FALSE)), ""=4"")"),0.0)</f>
        <v>0</v>
      </c>
      <c r="F29" s="32">
        <f>IFERROR(__xludf.DUMMYFUNCTION("COUNTIF(ARRAYFORMULA(HLOOKUP($B29, IMPORTRANGE('Prelim Rankings Unsorted'!$B$40, CONCAT(VLOOKUP($C29, 'Match Names'!$A$1:$D$22, 2, FALSE), ""!C3:R29"")), {4;9;15;21}, FALSE)), ""=0"") + COUNTIF(ARRAYFORMULA(HLOOKUP($B29, IMPORTRANGE('Prelim Rankings Unsor"&amp;"ted'!$B$41, CONCAT(VLOOKUP($C29, 'Match Names'!$A$1:$D$22, 3, FALSE), ""!C3:R29"")), {7;13;19;24}, FALSE)), ""=0"") + COUNTIF(ARRAYFORMULA(HLOOKUP($B29, IMPORTRANGE('Prelim Rankings Unsorted'!$B$42, CONCAT(VLOOKUP($C29, 'Match Names'!$A$1:$D$22, 4, FALSE)"&amp;", ""!C3:R29"")), {7;13;19;24}, FALSE)), ""=0"") + COUNTIF(ARRAYFORMULA(HLOOKUP($B29, IMPORTRANGE('Match Names'!$E$23, CONCAT(VLOOKUP($C29, 'Match Names'!$1:$22, 5, FALSE), ""!C3:R29"")), {2;8;12;22}, FALSE)), ""=0"") + COUNTIF(ARRAYFORMULA(HLOOKUP($B29, I"&amp;"MPORTRANGE('Match Names'!$F$23, CONCAT(VLOOKUP($C29, 'Match Names'!$1:$22, 6, FALSE), ""!C3:R29"")), {3;9;15;21}, FALSE)), ""=0"") + COUNTIF(ARRAYFORMULA(HLOOKUP($B29, IMPORTRANGE('Match Names'!$G$23, CONCAT(VLOOKUP($C29, 'Match Names'!$1:$22, 7, FALSE), "&amp;"""!C3:R29"")), {3;8;12;18}, FALSE)), ""=0"") + COUNTIF(ARRAYFORMULA(HLOOKUP($B29, IMPORTRANGE('Match Names'!$H$23, CONCAT(VLOOKUP($C29, 'Match Names'!$1:$22, 8, FALSE), ""!C3:R29"")), {7;13;19;24}, FALSE)), ""=0"")"),0.0)</f>
        <v>0</v>
      </c>
      <c r="G29" s="32">
        <f>IFERROR(__xludf.DUMMYFUNCTION("COUNTIF(ARRAYFORMULA(HLOOKUP($B29, IMPORTRANGE('Prelim Rankings Unsorted'!$B$40, CONCAT(VLOOKUP($C29, 'Match Names'!$A$1:$D$22, 2, FALSE), ""!C3:R29"")), {4;9;15;21}, FALSE)), ""=-4"") + COUNTIF(ARRAYFORMULA(HLOOKUP($B29, IMPORTRANGE('Prelim Rankings Unso"&amp;"rted'!$B$41, CONCAT(VLOOKUP($C29, 'Match Names'!$A$1:$D$22, 3, FALSE), ""!C3:R29"")), {7;13;19;24}, FALSE)), ""=-4"") + COUNTIF(ARRAYFORMULA(HLOOKUP($B29, IMPORTRANGE('Prelim Rankings Unsorted'!$B$42, CONCAT(VLOOKUP($C29, 'Match Names'!$A$1:$D$22, 4, FALS"&amp;"E), ""!C3:R29"")), {7;13;19;24}, FALSE)), ""=-4"") + COUNTIF(ARRAYFORMULA(HLOOKUP($B29, IMPORTRANGE('Match Names'!$E$23, CONCAT(VLOOKUP($C29, 'Match Names'!$1:$22, 5, FALSE), ""!C3:R29"")), {2;8;12;22}, FALSE)), ""=-4"") + COUNTIF(ARRAYFORMULA(HLOOKUP($B2"&amp;"9, IMPORTRANGE('Match Names'!$F$23, CONCAT(VLOOKUP($C29, 'Match Names'!$1:$22, 6, FALSE), ""!C3:R29"")), {3;9;15;21}, FALSE)), ""=-4"") + COUNTIF(ARRAYFORMULA(HLOOKUP($B29, IMPORTRANGE('Match Names'!$G$23, CONCAT(VLOOKUP($C29, 'Match Names'!$1:$22, 7, FAL"&amp;"SE), ""!C3:R29"")), {3;8;12;18}, FALSE)), ""=-4"") + COUNTIF(ARRAYFORMULA(HLOOKUP($B29, IMPORTRANGE('Match Names'!$H$23, CONCAT(VLOOKUP($C29, 'Match Names'!$1:$22, 8, FALSE), ""!C3:R29"")), {7;13;19;24}, FALSE)), ""=-4"")"),0.0)</f>
        <v>0</v>
      </c>
      <c r="H29" s="33">
        <f t="shared" si="1"/>
        <v>0</v>
      </c>
    </row>
    <row r="30">
      <c r="A30" s="7" t="s">
        <v>138</v>
      </c>
      <c r="B30" s="7" t="str">
        <f>VLOOKUP(CONCAT(A30, C30), 'Discord Username to Real Name'!C:D, 2, FALSE)</f>
        <v>sachiko#9539</v>
      </c>
      <c r="C30" s="21" t="s">
        <v>27</v>
      </c>
      <c r="D30" s="32">
        <f>IFERROR(__xludf.DUMMYFUNCTION("(4 - COUNTIF(IFERROR(ARRAYFORMULA(HLOOKUP($B30, IMPORTRANGE('Prelim Rankings Unsorted'!$B$40, CONCAT(VLOOKUP($C30, 'Match Names'!$A$1:$D$22, 2, FALSE), ""!C3:R29"")), {4;9;15;21}, FALSE)), 'Player Overall Stats Unsorted'!$AA$9:$AA$12), ""=X"")) + (4 - COU"&amp;"NTIF(IFERROR(ARRAYFORMULA(HLOOKUP($B30, IMPORTRANGE('Prelim Rankings Unsorted'!$B$41, CONCAT(VLOOKUP($C30, 'Match Names'!$A$1:$D$22, 3, FALSE), ""!C3:R29"")), {7;13;19;24}, FALSE)), 'Player Overall Stats Unsorted'!$AA$9:$AA$12), ""=X"")) + (4 - COUNTIF(IF"&amp;"ERROR(ARRAYFORMULA(HLOOKUP($B30, IMPORTRANGE('Prelim Rankings Unsorted'!$B$42, CONCAT(VLOOKUP($C30, 'Match Names'!$A$1:$D$22, 4, FALSE), ""!C3:R29"")), {7;13;19;24}, FALSE)), 'Player Overall Stats Unsorted'!$AA$9:$AA$12), ""=X"")) + (4 - COUNTIF(IFERROR(A"&amp;"RRAYFORMULA(HLOOKUP($B30, IMPORTRANGE('Match Names'!$E$23, CONCAT(VLOOKUP($C30, 'Match Names'!$1:$22, 5, FALSE), ""!C3:R29"")), {2;8;12;22}, FALSE)), 'Player Overall Stats Unsorted'!$AA$9:$AA$12), ""=X"")) + (4 - COUNTIF(IFERROR(ARRAYFORMULA(HLOOKUP($B30,"&amp;" IMPORTRANGE('Match Names'!$F$23, CONCAT(VLOOKUP($C30, 'Match Names'!$1:$22, 6, FALSE), ""!C3:R29"")), {3;9;15;21}, FALSE)), 'Player Overall Stats Unsorted'!$AA$9:$AA$12), ""=X"")) + (4 - COUNTIF(IFERROR(ARRAYFORMULA(HLOOKUP($B30, IMPORTRANGE('Match Names"&amp;"'!$G$23, CONCAT(VLOOKUP($C30, 'Match Names'!$1:$22, 7, FALSE), ""!C3:R29"")), {3;8;12;18}, FALSE)), 'Player Overall Stats Unsorted'!$AA$9:$AA$12), ""=X"")) + (4 - COUNTIF(IFERROR(ARRAYFORMULA(HLOOKUP($B30, IMPORTRANGE('Match Names'!$H$23, CONCAT(VLOOKUP($"&amp;"C30, 'Match Names'!$1:$22, 8, FALSE), ""!C3:R29"")), {7;13;19;24}, FALSE)), 'Player Overall Stats Unsorted'!$AA$9:$AA$12), ""=X""))"),22.0)</f>
        <v>22</v>
      </c>
      <c r="E30" s="32">
        <f>IFERROR(__xludf.DUMMYFUNCTION("COUNTIF(ARRAYFORMULA(HLOOKUP($B30, IMPORTRANGE('Prelim Rankings Unsorted'!$B$40, CONCAT(VLOOKUP($C30, 'Match Names'!$A$1:$D$22, 2, FALSE), ""!C3:R29"")), {4;9;15;21}, FALSE)), ""=4"") + COUNTIF(ARRAYFORMULA(HLOOKUP($B30, IMPORTRANGE('Prelim Rankings Unsor"&amp;"ted'!$B$41, CONCAT(VLOOKUP($C30, 'Match Names'!$A$1:$D$22, 3, FALSE), ""!C3:R29"")), {7;13;19;24}, FALSE)), ""=4"") + COUNTIF(ARRAYFORMULA(HLOOKUP($B30, IMPORTRANGE('Prelim Rankings Unsorted'!$B$42, CONCAT(VLOOKUP($C30, 'Match Names'!$A$1:$D$22, 4, FALSE)"&amp;", ""!C3:R29"")), {7;13;19;24}, FALSE)), ""=4"") + COUNTIF(ARRAYFORMULA(HLOOKUP($B30, IMPORTRANGE('Match Names'!$E$23, CONCAT(VLOOKUP($C30, 'Match Names'!$1:$22, 5, FALSE), ""!C3:R29"")), {2;8;12;22}, FALSE)), ""=4"") + COUNTIF(ARRAYFORMULA(HLOOKUP($B30, I"&amp;"MPORTRANGE('Match Names'!$F$23, CONCAT(VLOOKUP($C30, 'Match Names'!$1:$22, 6, FALSE), ""!C3:R29"")), {3;9;15;21}, FALSE)), ""=4"") + COUNTIF(ARRAYFORMULA(HLOOKUP($B30, IMPORTRANGE('Match Names'!$G$23, CONCAT(VLOOKUP($C30, 'Match Names'!$1:$22, 7, FALSE), "&amp;"""!C3:R29"")), {3;8;12;18}, FALSE)), ""=4"") + COUNTIF(ARRAYFORMULA(HLOOKUP($B30, IMPORTRANGE('Match Names'!$H$23, CONCAT(VLOOKUP($C30, 'Match Names'!$1:$22, 8, FALSE), ""!C3:R29"")), {7;13;19;24}, FALSE)), ""=4"")"),0.0)</f>
        <v>0</v>
      </c>
      <c r="F30" s="32">
        <f>IFERROR(__xludf.DUMMYFUNCTION("COUNTIF(ARRAYFORMULA(HLOOKUP($B30, IMPORTRANGE('Prelim Rankings Unsorted'!$B$40, CONCAT(VLOOKUP($C30, 'Match Names'!$A$1:$D$22, 2, FALSE), ""!C3:R29"")), {4;9;15;21}, FALSE)), ""=0"") + COUNTIF(ARRAYFORMULA(HLOOKUP($B30, IMPORTRANGE('Prelim Rankings Unsor"&amp;"ted'!$B$41, CONCAT(VLOOKUP($C30, 'Match Names'!$A$1:$D$22, 3, FALSE), ""!C3:R29"")), {7;13;19;24}, FALSE)), ""=0"") + COUNTIF(ARRAYFORMULA(HLOOKUP($B30, IMPORTRANGE('Prelim Rankings Unsorted'!$B$42, CONCAT(VLOOKUP($C30, 'Match Names'!$A$1:$D$22, 4, FALSE)"&amp;", ""!C3:R29"")), {7;13;19;24}, FALSE)), ""=0"") + COUNTIF(ARRAYFORMULA(HLOOKUP($B30, IMPORTRANGE('Match Names'!$E$23, CONCAT(VLOOKUP($C30, 'Match Names'!$1:$22, 5, FALSE), ""!C3:R29"")), {2;8;12;22}, FALSE)), ""=0"") + COUNTIF(ARRAYFORMULA(HLOOKUP($B30, I"&amp;"MPORTRANGE('Match Names'!$F$23, CONCAT(VLOOKUP($C30, 'Match Names'!$1:$22, 6, FALSE), ""!C3:R29"")), {3;9;15;21}, FALSE)), ""=0"") + COUNTIF(ARRAYFORMULA(HLOOKUP($B30, IMPORTRANGE('Match Names'!$G$23, CONCAT(VLOOKUP($C30, 'Match Names'!$1:$22, 7, FALSE), "&amp;"""!C3:R29"")), {3;8;12;18}, FALSE)), ""=0"") + COUNTIF(ARRAYFORMULA(HLOOKUP($B30, IMPORTRANGE('Match Names'!$H$23, CONCAT(VLOOKUP($C30, 'Match Names'!$1:$22, 8, FALSE), ""!C3:R29"")), {7;13;19;24}, FALSE)), ""=0"")"),0.0)</f>
        <v>0</v>
      </c>
      <c r="G30" s="32">
        <f>IFERROR(__xludf.DUMMYFUNCTION("COUNTIF(ARRAYFORMULA(HLOOKUP($B30, IMPORTRANGE('Prelim Rankings Unsorted'!$B$40, CONCAT(VLOOKUP($C30, 'Match Names'!$A$1:$D$22, 2, FALSE), ""!C3:R29"")), {4;9;15;21}, FALSE)), ""=-4"") + COUNTIF(ARRAYFORMULA(HLOOKUP($B30, IMPORTRANGE('Prelim Rankings Unso"&amp;"rted'!$B$41, CONCAT(VLOOKUP($C30, 'Match Names'!$A$1:$D$22, 3, FALSE), ""!C3:R29"")), {7;13;19;24}, FALSE)), ""=-4"") + COUNTIF(ARRAYFORMULA(HLOOKUP($B30, IMPORTRANGE('Prelim Rankings Unsorted'!$B$42, CONCAT(VLOOKUP($C30, 'Match Names'!$A$1:$D$22, 4, FALS"&amp;"E), ""!C3:R29"")), {7;13;19;24}, FALSE)), ""=-4"") + COUNTIF(ARRAYFORMULA(HLOOKUP($B30, IMPORTRANGE('Match Names'!$E$23, CONCAT(VLOOKUP($C30, 'Match Names'!$1:$22, 5, FALSE), ""!C3:R29"")), {2;8;12;22}, FALSE)), ""=-4"") + COUNTIF(ARRAYFORMULA(HLOOKUP($B3"&amp;"0, IMPORTRANGE('Match Names'!$F$23, CONCAT(VLOOKUP($C30, 'Match Names'!$1:$22, 6, FALSE), ""!C3:R29"")), {3;9;15;21}, FALSE)), ""=-4"") + COUNTIF(ARRAYFORMULA(HLOOKUP($B30, IMPORTRANGE('Match Names'!$G$23, CONCAT(VLOOKUP($C30, 'Match Names'!$1:$22, 7, FAL"&amp;"SE), ""!C3:R29"")), {3;8;12;18}, FALSE)), ""=-4"") + COUNTIF(ARRAYFORMULA(HLOOKUP($B30, IMPORTRANGE('Match Names'!$H$23, CONCAT(VLOOKUP($C30, 'Match Names'!$1:$22, 8, FALSE), ""!C3:R29"")), {7;13;19;24}, FALSE)), ""=-4"")"),0.0)</f>
        <v>0</v>
      </c>
      <c r="H30" s="33">
        <f t="shared" si="1"/>
        <v>0</v>
      </c>
    </row>
    <row r="31">
      <c r="A31" s="7" t="s">
        <v>186</v>
      </c>
      <c r="B31" s="7" t="str">
        <f>VLOOKUP(CONCAT(A31, C31), 'Discord Username to Real Name'!C:D, 2, FALSE)</f>
        <v>audrey#4828</v>
      </c>
      <c r="C31" s="21" t="s">
        <v>27</v>
      </c>
      <c r="D31" s="32">
        <f>IFERROR(__xludf.DUMMYFUNCTION("(4 - COUNTIF(IFERROR(ARRAYFORMULA(HLOOKUP($B31, IMPORTRANGE('Prelim Rankings Unsorted'!$B$40, CONCAT(VLOOKUP($C31, 'Match Names'!$A$1:$D$22, 2, FALSE), ""!C3:R29"")), {4;9;15;21}, FALSE)), 'Player Overall Stats Unsorted'!$AA$9:$AA$12), ""=X"")) + (4 - COU"&amp;"NTIF(IFERROR(ARRAYFORMULA(HLOOKUP($B31, IMPORTRANGE('Prelim Rankings Unsorted'!$B$41, CONCAT(VLOOKUP($C31, 'Match Names'!$A$1:$D$22, 3, FALSE), ""!C3:R29"")), {7;13;19;24}, FALSE)), 'Player Overall Stats Unsorted'!$AA$9:$AA$12), ""=X"")) + (4 - COUNTIF(IF"&amp;"ERROR(ARRAYFORMULA(HLOOKUP($B31, IMPORTRANGE('Prelim Rankings Unsorted'!$B$42, CONCAT(VLOOKUP($C31, 'Match Names'!$A$1:$D$22, 4, FALSE), ""!C3:R29"")), {7;13;19;24}, FALSE)), 'Player Overall Stats Unsorted'!$AA$9:$AA$12), ""=X"")) + (4 - COUNTIF(IFERROR(A"&amp;"RRAYFORMULA(HLOOKUP($B31, IMPORTRANGE('Match Names'!$E$23, CONCAT(VLOOKUP($C31, 'Match Names'!$1:$22, 5, FALSE), ""!C3:R29"")), {2;8;12;22}, FALSE)), 'Player Overall Stats Unsorted'!$AA$9:$AA$12), ""=X"")) + (4 - COUNTIF(IFERROR(ARRAYFORMULA(HLOOKUP($B31,"&amp;" IMPORTRANGE('Match Names'!$F$23, CONCAT(VLOOKUP($C31, 'Match Names'!$1:$22, 6, FALSE), ""!C3:R29"")), {3;9;15;21}, FALSE)), 'Player Overall Stats Unsorted'!$AA$9:$AA$12), ""=X"")) + (4 - COUNTIF(IFERROR(ARRAYFORMULA(HLOOKUP($B31, IMPORTRANGE('Match Names"&amp;"'!$G$23, CONCAT(VLOOKUP($C31, 'Match Names'!$1:$22, 7, FALSE), ""!C3:R29"")), {3;8;12;18}, FALSE)), 'Player Overall Stats Unsorted'!$AA$9:$AA$12), ""=X"")) + (4 - COUNTIF(IFERROR(ARRAYFORMULA(HLOOKUP($B31, IMPORTRANGE('Match Names'!$H$23, CONCAT(VLOOKUP($"&amp;"C31, 'Match Names'!$1:$22, 8, FALSE), ""!C3:R29"")), {7;13;19;24}, FALSE)), 'Player Overall Stats Unsorted'!$AA$9:$AA$12), ""=X""))"),6.0)</f>
        <v>6</v>
      </c>
      <c r="E31" s="32">
        <f>IFERROR(__xludf.DUMMYFUNCTION("COUNTIF(ARRAYFORMULA(HLOOKUP($B31, IMPORTRANGE('Prelim Rankings Unsorted'!$B$40, CONCAT(VLOOKUP($C31, 'Match Names'!$A$1:$D$22, 2, FALSE), ""!C3:R29"")), {4;9;15;21}, FALSE)), ""=4"") + COUNTIF(ARRAYFORMULA(HLOOKUP($B31, IMPORTRANGE('Prelim Rankings Unsor"&amp;"ted'!$B$41, CONCAT(VLOOKUP($C31, 'Match Names'!$A$1:$D$22, 3, FALSE), ""!C3:R29"")), {7;13;19;24}, FALSE)), ""=4"") + COUNTIF(ARRAYFORMULA(HLOOKUP($B31, IMPORTRANGE('Prelim Rankings Unsorted'!$B$42, CONCAT(VLOOKUP($C31, 'Match Names'!$A$1:$D$22, 4, FALSE)"&amp;", ""!C3:R29"")), {7;13;19;24}, FALSE)), ""=4"") + COUNTIF(ARRAYFORMULA(HLOOKUP($B31, IMPORTRANGE('Match Names'!$E$23, CONCAT(VLOOKUP($C31, 'Match Names'!$1:$22, 5, FALSE), ""!C3:R29"")), {2;8;12;22}, FALSE)), ""=4"") + COUNTIF(ARRAYFORMULA(HLOOKUP($B31, I"&amp;"MPORTRANGE('Match Names'!$F$23, CONCAT(VLOOKUP($C31, 'Match Names'!$1:$22, 6, FALSE), ""!C3:R29"")), {3;9;15;21}, FALSE)), ""=4"") + COUNTIF(ARRAYFORMULA(HLOOKUP($B31, IMPORTRANGE('Match Names'!$G$23, CONCAT(VLOOKUP($C31, 'Match Names'!$1:$22, 7, FALSE), "&amp;"""!C3:R29"")), {3;8;12;18}, FALSE)), ""=4"") + COUNTIF(ARRAYFORMULA(HLOOKUP($B31, IMPORTRANGE('Match Names'!$H$23, CONCAT(VLOOKUP($C31, 'Match Names'!$1:$22, 8, FALSE), ""!C3:R29"")), {7;13;19;24}, FALSE)), ""=4"")"),0.0)</f>
        <v>0</v>
      </c>
      <c r="F31" s="32">
        <f>IFERROR(__xludf.DUMMYFUNCTION("COUNTIF(ARRAYFORMULA(HLOOKUP($B31, IMPORTRANGE('Prelim Rankings Unsorted'!$B$40, CONCAT(VLOOKUP($C31, 'Match Names'!$A$1:$D$22, 2, FALSE), ""!C3:R29"")), {4;9;15;21}, FALSE)), ""=0"") + COUNTIF(ARRAYFORMULA(HLOOKUP($B31, IMPORTRANGE('Prelim Rankings Unsor"&amp;"ted'!$B$41, CONCAT(VLOOKUP($C31, 'Match Names'!$A$1:$D$22, 3, FALSE), ""!C3:R29"")), {7;13;19;24}, FALSE)), ""=0"") + COUNTIF(ARRAYFORMULA(HLOOKUP($B31, IMPORTRANGE('Prelim Rankings Unsorted'!$B$42, CONCAT(VLOOKUP($C31, 'Match Names'!$A$1:$D$22, 4, FALSE)"&amp;", ""!C3:R29"")), {7;13;19;24}, FALSE)), ""=0"") + COUNTIF(ARRAYFORMULA(HLOOKUP($B31, IMPORTRANGE('Match Names'!$E$23, CONCAT(VLOOKUP($C31, 'Match Names'!$1:$22, 5, FALSE), ""!C3:R29"")), {2;8;12;22}, FALSE)), ""=0"") + COUNTIF(ARRAYFORMULA(HLOOKUP($B31, I"&amp;"MPORTRANGE('Match Names'!$F$23, CONCAT(VLOOKUP($C31, 'Match Names'!$1:$22, 6, FALSE), ""!C3:R29"")), {3;9;15;21}, FALSE)), ""=0"") + COUNTIF(ARRAYFORMULA(HLOOKUP($B31, IMPORTRANGE('Match Names'!$G$23, CONCAT(VLOOKUP($C31, 'Match Names'!$1:$22, 7, FALSE), "&amp;"""!C3:R29"")), {3;8;12;18}, FALSE)), ""=0"") + COUNTIF(ARRAYFORMULA(HLOOKUP($B31, IMPORTRANGE('Match Names'!$H$23, CONCAT(VLOOKUP($C31, 'Match Names'!$1:$22, 8, FALSE), ""!C3:R29"")), {7;13;19;24}, FALSE)), ""=0"")"),0.0)</f>
        <v>0</v>
      </c>
      <c r="G31" s="32">
        <f>IFERROR(__xludf.DUMMYFUNCTION("COUNTIF(ARRAYFORMULA(HLOOKUP($B31, IMPORTRANGE('Prelim Rankings Unsorted'!$B$40, CONCAT(VLOOKUP($C31, 'Match Names'!$A$1:$D$22, 2, FALSE), ""!C3:R29"")), {4;9;15;21}, FALSE)), ""=-4"") + COUNTIF(ARRAYFORMULA(HLOOKUP($B31, IMPORTRANGE('Prelim Rankings Unso"&amp;"rted'!$B$41, CONCAT(VLOOKUP($C31, 'Match Names'!$A$1:$D$22, 3, FALSE), ""!C3:R29"")), {7;13;19;24}, FALSE)), ""=-4"") + COUNTIF(ARRAYFORMULA(HLOOKUP($B31, IMPORTRANGE('Prelim Rankings Unsorted'!$B$42, CONCAT(VLOOKUP($C31, 'Match Names'!$A$1:$D$22, 4, FALS"&amp;"E), ""!C3:R29"")), {7;13;19;24}, FALSE)), ""=-4"") + COUNTIF(ARRAYFORMULA(HLOOKUP($B31, IMPORTRANGE('Match Names'!$E$23, CONCAT(VLOOKUP($C31, 'Match Names'!$1:$22, 5, FALSE), ""!C3:R29"")), {2;8;12;22}, FALSE)), ""=-4"") + COUNTIF(ARRAYFORMULA(HLOOKUP($B3"&amp;"1, IMPORTRANGE('Match Names'!$F$23, CONCAT(VLOOKUP($C31, 'Match Names'!$1:$22, 6, FALSE), ""!C3:R29"")), {3;9;15;21}, FALSE)), ""=-4"") + COUNTIF(ARRAYFORMULA(HLOOKUP($B31, IMPORTRANGE('Match Names'!$G$23, CONCAT(VLOOKUP($C31, 'Match Names'!$1:$22, 7, FAL"&amp;"SE), ""!C3:R29"")), {3;8;12;18}, FALSE)), ""=-4"") + COUNTIF(ARRAYFORMULA(HLOOKUP($B31, IMPORTRANGE('Match Names'!$H$23, CONCAT(VLOOKUP($C31, 'Match Names'!$1:$22, 8, FALSE), ""!C3:R29"")), {7;13;19;24}, FALSE)), ""=-4"")"),0.0)</f>
        <v>0</v>
      </c>
      <c r="H31" s="33">
        <f t="shared" si="1"/>
        <v>0</v>
      </c>
    </row>
    <row r="32">
      <c r="A32" s="7" t="s">
        <v>104</v>
      </c>
      <c r="B32" s="7" t="str">
        <f>VLOOKUP(CONCAT(A32, C32), 'Discord Username to Real Name'!C:D, 2, FALSE)</f>
        <v>Logan L.#8589</v>
      </c>
      <c r="C32" s="21" t="s">
        <v>27</v>
      </c>
      <c r="D32" s="32">
        <f>IFERROR(__xludf.DUMMYFUNCTION("(4 - COUNTIF(IFERROR(ARRAYFORMULA(HLOOKUP($B32, IMPORTRANGE('Prelim Rankings Unsorted'!$B$40, CONCAT(VLOOKUP($C32, 'Match Names'!$A$1:$D$22, 2, FALSE), ""!C3:R29"")), {4;9;15;21}, FALSE)), 'Player Overall Stats Unsorted'!$AA$9:$AA$12), ""=X"")) + (4 - COU"&amp;"NTIF(IFERROR(ARRAYFORMULA(HLOOKUP($B32, IMPORTRANGE('Prelim Rankings Unsorted'!$B$41, CONCAT(VLOOKUP($C32, 'Match Names'!$A$1:$D$22, 3, FALSE), ""!C3:R29"")), {7;13;19;24}, FALSE)), 'Player Overall Stats Unsorted'!$AA$9:$AA$12), ""=X"")) + (4 - COUNTIF(IF"&amp;"ERROR(ARRAYFORMULA(HLOOKUP($B32, IMPORTRANGE('Prelim Rankings Unsorted'!$B$42, CONCAT(VLOOKUP($C32, 'Match Names'!$A$1:$D$22, 4, FALSE), ""!C3:R29"")), {7;13;19;24}, FALSE)), 'Player Overall Stats Unsorted'!$AA$9:$AA$12), ""=X"")) + (4 - COUNTIF(IFERROR(A"&amp;"RRAYFORMULA(HLOOKUP($B32, IMPORTRANGE('Match Names'!$E$23, CONCAT(VLOOKUP($C32, 'Match Names'!$1:$22, 5, FALSE), ""!C3:R29"")), {2;8;12;22}, FALSE)), 'Player Overall Stats Unsorted'!$AA$9:$AA$12), ""=X"")) + (4 - COUNTIF(IFERROR(ARRAYFORMULA(HLOOKUP($B32,"&amp;" IMPORTRANGE('Match Names'!$F$23, CONCAT(VLOOKUP($C32, 'Match Names'!$1:$22, 6, FALSE), ""!C3:R29"")), {3;9;15;21}, FALSE)), 'Player Overall Stats Unsorted'!$AA$9:$AA$12), ""=X"")) + (4 - COUNTIF(IFERROR(ARRAYFORMULA(HLOOKUP($B32, IMPORTRANGE('Match Names"&amp;"'!$G$23, CONCAT(VLOOKUP($C32, 'Match Names'!$1:$22, 7, FALSE), ""!C3:R29"")), {3;8;12;18}, FALSE)), 'Player Overall Stats Unsorted'!$AA$9:$AA$12), ""=X"")) + (4 - COUNTIF(IFERROR(ARRAYFORMULA(HLOOKUP($B32, IMPORTRANGE('Match Names'!$H$23, CONCAT(VLOOKUP($"&amp;"C32, 'Match Names'!$1:$22, 8, FALSE), ""!C3:R29"")), {7;13;19;24}, FALSE)), 'Player Overall Stats Unsorted'!$AA$9:$AA$12), ""=X""))"),22.0)</f>
        <v>22</v>
      </c>
      <c r="E32" s="32">
        <f>IFERROR(__xludf.DUMMYFUNCTION("COUNTIF(ARRAYFORMULA(HLOOKUP($B32, IMPORTRANGE('Prelim Rankings Unsorted'!$B$40, CONCAT(VLOOKUP($C32, 'Match Names'!$A$1:$D$22, 2, FALSE), ""!C3:R29"")), {4;9;15;21}, FALSE)), ""=4"") + COUNTIF(ARRAYFORMULA(HLOOKUP($B32, IMPORTRANGE('Prelim Rankings Unsor"&amp;"ted'!$B$41, CONCAT(VLOOKUP($C32, 'Match Names'!$A$1:$D$22, 3, FALSE), ""!C3:R29"")), {7;13;19;24}, FALSE)), ""=4"") + COUNTIF(ARRAYFORMULA(HLOOKUP($B32, IMPORTRANGE('Prelim Rankings Unsorted'!$B$42, CONCAT(VLOOKUP($C32, 'Match Names'!$A$1:$D$22, 4, FALSE)"&amp;", ""!C3:R29"")), {7;13;19;24}, FALSE)), ""=4"") + COUNTIF(ARRAYFORMULA(HLOOKUP($B32, IMPORTRANGE('Match Names'!$E$23, CONCAT(VLOOKUP($C32, 'Match Names'!$1:$22, 5, FALSE), ""!C3:R29"")), {2;8;12;22}, FALSE)), ""=4"") + COUNTIF(ARRAYFORMULA(HLOOKUP($B32, I"&amp;"MPORTRANGE('Match Names'!$F$23, CONCAT(VLOOKUP($C32, 'Match Names'!$1:$22, 6, FALSE), ""!C3:R29"")), {3;9;15;21}, FALSE)), ""=4"") + COUNTIF(ARRAYFORMULA(HLOOKUP($B32, IMPORTRANGE('Match Names'!$G$23, CONCAT(VLOOKUP($C32, 'Match Names'!$1:$22, 7, FALSE), "&amp;"""!C3:R29"")), {3;8;12;18}, FALSE)), ""=4"") + COUNTIF(ARRAYFORMULA(HLOOKUP($B32, IMPORTRANGE('Match Names'!$H$23, CONCAT(VLOOKUP($C32, 'Match Names'!$1:$22, 8, FALSE), ""!C3:R29"")), {7;13;19;24}, FALSE)), ""=4"")"),1.0)</f>
        <v>1</v>
      </c>
      <c r="F32" s="32">
        <f>IFERROR(__xludf.DUMMYFUNCTION("COUNTIF(ARRAYFORMULA(HLOOKUP($B32, IMPORTRANGE('Prelim Rankings Unsorted'!$B$40, CONCAT(VLOOKUP($C32, 'Match Names'!$A$1:$D$22, 2, FALSE), ""!C3:R29"")), {4;9;15;21}, FALSE)), ""=0"") + COUNTIF(ARRAYFORMULA(HLOOKUP($B32, IMPORTRANGE('Prelim Rankings Unsor"&amp;"ted'!$B$41, CONCAT(VLOOKUP($C32, 'Match Names'!$A$1:$D$22, 3, FALSE), ""!C3:R29"")), {7;13;19;24}, FALSE)), ""=0"") + COUNTIF(ARRAYFORMULA(HLOOKUP($B32, IMPORTRANGE('Prelim Rankings Unsorted'!$B$42, CONCAT(VLOOKUP($C32, 'Match Names'!$A$1:$D$22, 4, FALSE)"&amp;", ""!C3:R29"")), {7;13;19;24}, FALSE)), ""=0"") + COUNTIF(ARRAYFORMULA(HLOOKUP($B32, IMPORTRANGE('Match Names'!$E$23, CONCAT(VLOOKUP($C32, 'Match Names'!$1:$22, 5, FALSE), ""!C3:R29"")), {2;8;12;22}, FALSE)), ""=0"") + COUNTIF(ARRAYFORMULA(HLOOKUP($B32, I"&amp;"MPORTRANGE('Match Names'!$F$23, CONCAT(VLOOKUP($C32, 'Match Names'!$1:$22, 6, FALSE), ""!C3:R29"")), {3;9;15;21}, FALSE)), ""=0"") + COUNTIF(ARRAYFORMULA(HLOOKUP($B32, IMPORTRANGE('Match Names'!$G$23, CONCAT(VLOOKUP($C32, 'Match Names'!$1:$22, 7, FALSE), "&amp;"""!C3:R29"")), {3;8;12;18}, FALSE)), ""=0"") + COUNTIF(ARRAYFORMULA(HLOOKUP($B32, IMPORTRANGE('Match Names'!$H$23, CONCAT(VLOOKUP($C32, 'Match Names'!$1:$22, 8, FALSE), ""!C3:R29"")), {7;13;19;24}, FALSE)), ""=0"")"),0.0)</f>
        <v>0</v>
      </c>
      <c r="G32" s="32">
        <f>IFERROR(__xludf.DUMMYFUNCTION("COUNTIF(ARRAYFORMULA(HLOOKUP($B32, IMPORTRANGE('Prelim Rankings Unsorted'!$B$40, CONCAT(VLOOKUP($C32, 'Match Names'!$A$1:$D$22, 2, FALSE), ""!C3:R29"")), {4;9;15;21}, FALSE)), ""=-4"") + COUNTIF(ARRAYFORMULA(HLOOKUP($B32, IMPORTRANGE('Prelim Rankings Unso"&amp;"rted'!$B$41, CONCAT(VLOOKUP($C32, 'Match Names'!$A$1:$D$22, 3, FALSE), ""!C3:R29"")), {7;13;19;24}, FALSE)), ""=-4"") + COUNTIF(ARRAYFORMULA(HLOOKUP($B32, IMPORTRANGE('Prelim Rankings Unsorted'!$B$42, CONCAT(VLOOKUP($C32, 'Match Names'!$A$1:$D$22, 4, FALS"&amp;"E), ""!C3:R29"")), {7;13;19;24}, FALSE)), ""=-4"") + COUNTIF(ARRAYFORMULA(HLOOKUP($B32, IMPORTRANGE('Match Names'!$E$23, CONCAT(VLOOKUP($C32, 'Match Names'!$1:$22, 5, FALSE), ""!C3:R29"")), {2;8;12;22}, FALSE)), ""=-4"") + COUNTIF(ARRAYFORMULA(HLOOKUP($B3"&amp;"2, IMPORTRANGE('Match Names'!$F$23, CONCAT(VLOOKUP($C32, 'Match Names'!$1:$22, 6, FALSE), ""!C3:R29"")), {3;9;15;21}, FALSE)), ""=-4"") + COUNTIF(ARRAYFORMULA(HLOOKUP($B32, IMPORTRANGE('Match Names'!$G$23, CONCAT(VLOOKUP($C32, 'Match Names'!$1:$22, 7, FAL"&amp;"SE), ""!C3:R29"")), {3;8;12;18}, FALSE)), ""=-4"") + COUNTIF(ARRAYFORMULA(HLOOKUP($B32, IMPORTRANGE('Match Names'!$H$23, CONCAT(VLOOKUP($C32, 'Match Names'!$1:$22, 8, FALSE), ""!C3:R29"")), {7;13;19;24}, FALSE)), ""=-4"")"),0.0)</f>
        <v>0</v>
      </c>
      <c r="H32" s="33">
        <f t="shared" si="1"/>
        <v>0.73</v>
      </c>
    </row>
    <row r="33">
      <c r="A33" s="7" t="s">
        <v>45</v>
      </c>
      <c r="B33" s="7" t="str">
        <f>VLOOKUP(CONCAT(A33, C33), 'Discord Username to Real Name'!C:D, 2, FALSE)</f>
        <v>(Stitch)^2#3169</v>
      </c>
      <c r="C33" s="7" t="s">
        <v>20</v>
      </c>
      <c r="D33" s="32">
        <f>IFERROR(__xludf.DUMMYFUNCTION("(4 - COUNTIF(IFERROR(ARRAYFORMULA(HLOOKUP($B33, IMPORTRANGE('Prelim Rankings Unsorted'!$B$40, CONCAT(VLOOKUP($C33, 'Match Names'!$A$1:$D$22, 2, FALSE), ""!C3:R29"")), {4;9;15;21}, FALSE)), 'Player Overall Stats Unsorted'!$AA$9:$AA$12), ""=X"")) + (4 - COU"&amp;"NTIF(IFERROR(ARRAYFORMULA(HLOOKUP($B33, IMPORTRANGE('Prelim Rankings Unsorted'!$B$41, CONCAT(VLOOKUP($C33, 'Match Names'!$A$1:$D$22, 3, FALSE), ""!C3:R29"")), {7;13;19;24}, FALSE)), 'Player Overall Stats Unsorted'!$AA$9:$AA$12), ""=X"")) + (4 - COUNTIF(IF"&amp;"ERROR(ARRAYFORMULA(HLOOKUP($B33, IMPORTRANGE('Prelim Rankings Unsorted'!$B$42, CONCAT(VLOOKUP($C33, 'Match Names'!$A$1:$D$22, 4, FALSE), ""!C3:R29"")), {7;13;19;24}, FALSE)), 'Player Overall Stats Unsorted'!$AA$9:$AA$12), ""=X"")) + (4 - COUNTIF(IFERROR(A"&amp;"RRAYFORMULA(HLOOKUP($B33, IMPORTRANGE('Match Names'!$E$23, CONCAT(VLOOKUP($C33, 'Match Names'!$1:$22, 5, FALSE), ""!C3:R29"")), {2;8;12;22}, FALSE)), 'Player Overall Stats Unsorted'!$AA$9:$AA$12), ""=X"")) + (4 - COUNTIF(IFERROR(ARRAYFORMULA(HLOOKUP($B33,"&amp;" IMPORTRANGE('Match Names'!$F$23, CONCAT(VLOOKUP($C33, 'Match Names'!$1:$22, 6, FALSE), ""!C3:R29"")), {3;9;15;21}, FALSE)), 'Player Overall Stats Unsorted'!$AA$9:$AA$12), ""=X"")) + (4 - COUNTIF(IFERROR(ARRAYFORMULA(HLOOKUP($B33, IMPORTRANGE('Match Names"&amp;"'!$G$23, CONCAT(VLOOKUP($C33, 'Match Names'!$1:$22, 7, FALSE), ""!C3:R29"")), {3;8;12;18}, FALSE)), 'Player Overall Stats Unsorted'!$AA$9:$AA$12), ""=X"")) + (4 - COUNTIF(IFERROR(ARRAYFORMULA(HLOOKUP($B33, IMPORTRANGE('Match Names'!$H$23, CONCAT(VLOOKUP($"&amp;"C33, 'Match Names'!$1:$22, 8, FALSE), ""!C3:R29"")), {7;13;19;24}, FALSE)), 'Player Overall Stats Unsorted'!$AA$9:$AA$12), ""=X""))"),24.0)</f>
        <v>24</v>
      </c>
      <c r="E33" s="32">
        <f>IFERROR(__xludf.DUMMYFUNCTION("COUNTIF(ARRAYFORMULA(HLOOKUP($B33, IMPORTRANGE('Prelim Rankings Unsorted'!$B$40, CONCAT(VLOOKUP($C33, 'Match Names'!$A$1:$D$22, 2, FALSE), ""!C3:R29"")), {4;9;15;21}, FALSE)), ""=4"") + COUNTIF(ARRAYFORMULA(HLOOKUP($B33, IMPORTRANGE('Prelim Rankings Unsor"&amp;"ted'!$B$41, CONCAT(VLOOKUP($C33, 'Match Names'!$A$1:$D$22, 3, FALSE), ""!C3:R29"")), {7;13;19;24}, FALSE)), ""=4"") + COUNTIF(ARRAYFORMULA(HLOOKUP($B33, IMPORTRANGE('Prelim Rankings Unsorted'!$B$42, CONCAT(VLOOKUP($C33, 'Match Names'!$A$1:$D$22, 4, FALSE)"&amp;", ""!C3:R29"")), {7;13;19;24}, FALSE)), ""=4"") + COUNTIF(ARRAYFORMULA(HLOOKUP($B33, IMPORTRANGE('Match Names'!$E$23, CONCAT(VLOOKUP($C33, 'Match Names'!$1:$22, 5, FALSE), ""!C3:R29"")), {2;8;12;22}, FALSE)), ""=4"") + COUNTIF(ARRAYFORMULA(HLOOKUP($B33, I"&amp;"MPORTRANGE('Match Names'!$F$23, CONCAT(VLOOKUP($C33, 'Match Names'!$1:$22, 6, FALSE), ""!C3:R29"")), {3;9;15;21}, FALSE)), ""=4"") + COUNTIF(ARRAYFORMULA(HLOOKUP($B33, IMPORTRANGE('Match Names'!$G$23, CONCAT(VLOOKUP($C33, 'Match Names'!$1:$22, 7, FALSE), "&amp;"""!C3:R29"")), {3;8;12;18}, FALSE)), ""=4"") + COUNTIF(ARRAYFORMULA(HLOOKUP($B33, IMPORTRANGE('Match Names'!$H$23, CONCAT(VLOOKUP($C33, 'Match Names'!$1:$22, 8, FALSE), ""!C3:R29"")), {7;13;19;24}, FALSE)), ""=4"")"),2.0)</f>
        <v>2</v>
      </c>
      <c r="F33" s="32">
        <f>IFERROR(__xludf.DUMMYFUNCTION("COUNTIF(ARRAYFORMULA(HLOOKUP($B33, IMPORTRANGE('Prelim Rankings Unsorted'!$B$40, CONCAT(VLOOKUP($C33, 'Match Names'!$A$1:$D$22, 2, FALSE), ""!C3:R29"")), {4;9;15;21}, FALSE)), ""=0"") + COUNTIF(ARRAYFORMULA(HLOOKUP($B33, IMPORTRANGE('Prelim Rankings Unsor"&amp;"ted'!$B$41, CONCAT(VLOOKUP($C33, 'Match Names'!$A$1:$D$22, 3, FALSE), ""!C3:R29"")), {7;13;19;24}, FALSE)), ""=0"") + COUNTIF(ARRAYFORMULA(HLOOKUP($B33, IMPORTRANGE('Prelim Rankings Unsorted'!$B$42, CONCAT(VLOOKUP($C33, 'Match Names'!$A$1:$D$22, 4, FALSE)"&amp;", ""!C3:R29"")), {7;13;19;24}, FALSE)), ""=0"") + COUNTIF(ARRAYFORMULA(HLOOKUP($B33, IMPORTRANGE('Match Names'!$E$23, CONCAT(VLOOKUP($C33, 'Match Names'!$1:$22, 5, FALSE), ""!C3:R29"")), {2;8;12;22}, FALSE)), ""=0"") + COUNTIF(ARRAYFORMULA(HLOOKUP($B33, I"&amp;"MPORTRANGE('Match Names'!$F$23, CONCAT(VLOOKUP($C33, 'Match Names'!$1:$22, 6, FALSE), ""!C3:R29"")), {3;9;15;21}, FALSE)), ""=0"") + COUNTIF(ARRAYFORMULA(HLOOKUP($B33, IMPORTRANGE('Match Names'!$G$23, CONCAT(VLOOKUP($C33, 'Match Names'!$1:$22, 7, FALSE), "&amp;"""!C3:R29"")), {3;8;12;18}, FALSE)), ""=0"") + COUNTIF(ARRAYFORMULA(HLOOKUP($B33, IMPORTRANGE('Match Names'!$H$23, CONCAT(VLOOKUP($C33, 'Match Names'!$1:$22, 8, FALSE), ""!C3:R29"")), {7;13;19;24}, FALSE)), ""=0"")"),10.0)</f>
        <v>10</v>
      </c>
      <c r="G33" s="32">
        <f>IFERROR(__xludf.DUMMYFUNCTION("COUNTIF(ARRAYFORMULA(HLOOKUP($B33, IMPORTRANGE('Prelim Rankings Unsorted'!$B$40, CONCAT(VLOOKUP($C33, 'Match Names'!$A$1:$D$22, 2, FALSE), ""!C3:R29"")), {4;9;15;21}, FALSE)), ""=-4"") + COUNTIF(ARRAYFORMULA(HLOOKUP($B33, IMPORTRANGE('Prelim Rankings Unso"&amp;"rted'!$B$41, CONCAT(VLOOKUP($C33, 'Match Names'!$A$1:$D$22, 3, FALSE), ""!C3:R29"")), {7;13;19;24}, FALSE)), ""=-4"") + COUNTIF(ARRAYFORMULA(HLOOKUP($B33, IMPORTRANGE('Prelim Rankings Unsorted'!$B$42, CONCAT(VLOOKUP($C33, 'Match Names'!$A$1:$D$22, 4, FALS"&amp;"E), ""!C3:R29"")), {7;13;19;24}, FALSE)), ""=-4"") + COUNTIF(ARRAYFORMULA(HLOOKUP($B33, IMPORTRANGE('Match Names'!$E$23, CONCAT(VLOOKUP($C33, 'Match Names'!$1:$22, 5, FALSE), ""!C3:R29"")), {2;8;12;22}, FALSE)), ""=-4"") + COUNTIF(ARRAYFORMULA(HLOOKUP($B3"&amp;"3, IMPORTRANGE('Match Names'!$F$23, CONCAT(VLOOKUP($C33, 'Match Names'!$1:$22, 6, FALSE), ""!C3:R29"")), {3;9;15;21}, FALSE)), ""=-4"") + COUNTIF(ARRAYFORMULA(HLOOKUP($B33, IMPORTRANGE('Match Names'!$G$23, CONCAT(VLOOKUP($C33, 'Match Names'!$1:$22, 7, FAL"&amp;"SE), ""!C3:R29"")), {3;8;12;18}, FALSE)), ""=-4"") + COUNTIF(ARRAYFORMULA(HLOOKUP($B33, IMPORTRANGE('Match Names'!$H$23, CONCAT(VLOOKUP($C33, 'Match Names'!$1:$22, 8, FALSE), ""!C3:R29"")), {7;13;19;24}, FALSE)), ""=-4"")"),0.0)</f>
        <v>0</v>
      </c>
      <c r="H33" s="33">
        <f t="shared" si="1"/>
        <v>1.33</v>
      </c>
    </row>
    <row r="34">
      <c r="A34" s="7" t="s">
        <v>108</v>
      </c>
      <c r="B34" s="7" t="str">
        <f>VLOOKUP(CONCAT(A34, C34), 'Discord Username to Real Name'!C:D, 2, FALSE)</f>
        <v>Oshimimers#4758</v>
      </c>
      <c r="C34" s="7" t="s">
        <v>20</v>
      </c>
      <c r="D34" s="32">
        <f>IFERROR(__xludf.DUMMYFUNCTION("(4 - COUNTIF(IFERROR(ARRAYFORMULA(HLOOKUP($B34, IMPORTRANGE('Prelim Rankings Unsorted'!$B$40, CONCAT(VLOOKUP($C34, 'Match Names'!$A$1:$D$22, 2, FALSE), ""!C3:R29"")), {4;9;15;21}, FALSE)), 'Player Overall Stats Unsorted'!$AA$9:$AA$12), ""=X"")) + (4 - COU"&amp;"NTIF(IFERROR(ARRAYFORMULA(HLOOKUP($B34, IMPORTRANGE('Prelim Rankings Unsorted'!$B$41, CONCAT(VLOOKUP($C34, 'Match Names'!$A$1:$D$22, 3, FALSE), ""!C3:R29"")), {7;13;19;24}, FALSE)), 'Player Overall Stats Unsorted'!$AA$9:$AA$12), ""=X"")) + (4 - COUNTIF(IF"&amp;"ERROR(ARRAYFORMULA(HLOOKUP($B34, IMPORTRANGE('Prelim Rankings Unsorted'!$B$42, CONCAT(VLOOKUP($C34, 'Match Names'!$A$1:$D$22, 4, FALSE), ""!C3:R29"")), {7;13;19;24}, FALSE)), 'Player Overall Stats Unsorted'!$AA$9:$AA$12), ""=X"")) + (4 - COUNTIF(IFERROR(A"&amp;"RRAYFORMULA(HLOOKUP($B34, IMPORTRANGE('Match Names'!$E$23, CONCAT(VLOOKUP($C34, 'Match Names'!$1:$22, 5, FALSE), ""!C3:R29"")), {2;8;12;22}, FALSE)), 'Player Overall Stats Unsorted'!$AA$9:$AA$12), ""=X"")) + (4 - COUNTIF(IFERROR(ARRAYFORMULA(HLOOKUP($B34,"&amp;" IMPORTRANGE('Match Names'!$F$23, CONCAT(VLOOKUP($C34, 'Match Names'!$1:$22, 6, FALSE), ""!C3:R29"")), {3;9;15;21}, FALSE)), 'Player Overall Stats Unsorted'!$AA$9:$AA$12), ""=X"")) + (4 - COUNTIF(IFERROR(ARRAYFORMULA(HLOOKUP($B34, IMPORTRANGE('Match Names"&amp;"'!$G$23, CONCAT(VLOOKUP($C34, 'Match Names'!$1:$22, 7, FALSE), ""!C3:R29"")), {3;8;12;18}, FALSE)), 'Player Overall Stats Unsorted'!$AA$9:$AA$12), ""=X"")) + (4 - COUNTIF(IFERROR(ARRAYFORMULA(HLOOKUP($B34, IMPORTRANGE('Match Names'!$H$23, CONCAT(VLOOKUP($"&amp;"C34, 'Match Names'!$1:$22, 8, FALSE), ""!C3:R29"")), {7;13;19;24}, FALSE)), 'Player Overall Stats Unsorted'!$AA$9:$AA$12), ""=X""))"),24.0)</f>
        <v>24</v>
      </c>
      <c r="E34" s="32">
        <f>IFERROR(__xludf.DUMMYFUNCTION("COUNTIF(ARRAYFORMULA(HLOOKUP($B34, IMPORTRANGE('Prelim Rankings Unsorted'!$B$40, CONCAT(VLOOKUP($C34, 'Match Names'!$A$1:$D$22, 2, FALSE), ""!C3:R29"")), {4;9;15;21}, FALSE)), ""=4"") + COUNTIF(ARRAYFORMULA(HLOOKUP($B34, IMPORTRANGE('Prelim Rankings Unsor"&amp;"ted'!$B$41, CONCAT(VLOOKUP($C34, 'Match Names'!$A$1:$D$22, 3, FALSE), ""!C3:R29"")), {7;13;19;24}, FALSE)), ""=4"") + COUNTIF(ARRAYFORMULA(HLOOKUP($B34, IMPORTRANGE('Prelim Rankings Unsorted'!$B$42, CONCAT(VLOOKUP($C34, 'Match Names'!$A$1:$D$22, 4, FALSE)"&amp;", ""!C3:R29"")), {7;13;19;24}, FALSE)), ""=4"") + COUNTIF(ARRAYFORMULA(HLOOKUP($B34, IMPORTRANGE('Match Names'!$E$23, CONCAT(VLOOKUP($C34, 'Match Names'!$1:$22, 5, FALSE), ""!C3:R29"")), {2;8;12;22}, FALSE)), ""=4"") + COUNTIF(ARRAYFORMULA(HLOOKUP($B34, I"&amp;"MPORTRANGE('Match Names'!$F$23, CONCAT(VLOOKUP($C34, 'Match Names'!$1:$22, 6, FALSE), ""!C3:R29"")), {3;9;15;21}, FALSE)), ""=4"") + COUNTIF(ARRAYFORMULA(HLOOKUP($B34, IMPORTRANGE('Match Names'!$G$23, CONCAT(VLOOKUP($C34, 'Match Names'!$1:$22, 7, FALSE), "&amp;"""!C3:R29"")), {3;8;12;18}, FALSE)), ""=4"") + COUNTIF(ARRAYFORMULA(HLOOKUP($B34, IMPORTRANGE('Match Names'!$H$23, CONCAT(VLOOKUP($C34, 'Match Names'!$1:$22, 8, FALSE), ""!C3:R29"")), {7;13;19;24}, FALSE)), ""=4"")"),4.0)</f>
        <v>4</v>
      </c>
      <c r="F34" s="32">
        <f>IFERROR(__xludf.DUMMYFUNCTION("COUNTIF(ARRAYFORMULA(HLOOKUP($B34, IMPORTRANGE('Prelim Rankings Unsorted'!$B$40, CONCAT(VLOOKUP($C34, 'Match Names'!$A$1:$D$22, 2, FALSE), ""!C3:R29"")), {4;9;15;21}, FALSE)), ""=0"") + COUNTIF(ARRAYFORMULA(HLOOKUP($B34, IMPORTRANGE('Prelim Rankings Unsor"&amp;"ted'!$B$41, CONCAT(VLOOKUP($C34, 'Match Names'!$A$1:$D$22, 3, FALSE), ""!C3:R29"")), {7;13;19;24}, FALSE)), ""=0"") + COUNTIF(ARRAYFORMULA(HLOOKUP($B34, IMPORTRANGE('Prelim Rankings Unsorted'!$B$42, CONCAT(VLOOKUP($C34, 'Match Names'!$A$1:$D$22, 4, FALSE)"&amp;", ""!C3:R29"")), {7;13;19;24}, FALSE)), ""=0"") + COUNTIF(ARRAYFORMULA(HLOOKUP($B34, IMPORTRANGE('Match Names'!$E$23, CONCAT(VLOOKUP($C34, 'Match Names'!$1:$22, 5, FALSE), ""!C3:R29"")), {2;8;12;22}, FALSE)), ""=0"") + COUNTIF(ARRAYFORMULA(HLOOKUP($B34, I"&amp;"MPORTRANGE('Match Names'!$F$23, CONCAT(VLOOKUP($C34, 'Match Names'!$1:$22, 6, FALSE), ""!C3:R29"")), {3;9;15;21}, FALSE)), ""=0"") + COUNTIF(ARRAYFORMULA(HLOOKUP($B34, IMPORTRANGE('Match Names'!$G$23, CONCAT(VLOOKUP($C34, 'Match Names'!$1:$22, 7, FALSE), "&amp;"""!C3:R29"")), {3;8;12;18}, FALSE)), ""=0"") + COUNTIF(ARRAYFORMULA(HLOOKUP($B34, IMPORTRANGE('Match Names'!$H$23, CONCAT(VLOOKUP($C34, 'Match Names'!$1:$22, 8, FALSE), ""!C3:R29"")), {7;13;19;24}, FALSE)), ""=0"")"),0.0)</f>
        <v>0</v>
      </c>
      <c r="G34" s="32">
        <f>IFERROR(__xludf.DUMMYFUNCTION("COUNTIF(ARRAYFORMULA(HLOOKUP($B34, IMPORTRANGE('Prelim Rankings Unsorted'!$B$40, CONCAT(VLOOKUP($C34, 'Match Names'!$A$1:$D$22, 2, FALSE), ""!C3:R29"")), {4;9;15;21}, FALSE)), ""=-4"") + COUNTIF(ARRAYFORMULA(HLOOKUP($B34, IMPORTRANGE('Prelim Rankings Unso"&amp;"rted'!$B$41, CONCAT(VLOOKUP($C34, 'Match Names'!$A$1:$D$22, 3, FALSE), ""!C3:R29"")), {7;13;19;24}, FALSE)), ""=-4"") + COUNTIF(ARRAYFORMULA(HLOOKUP($B34, IMPORTRANGE('Prelim Rankings Unsorted'!$B$42, CONCAT(VLOOKUP($C34, 'Match Names'!$A$1:$D$22, 4, FALS"&amp;"E), ""!C3:R29"")), {7;13;19;24}, FALSE)), ""=-4"") + COUNTIF(ARRAYFORMULA(HLOOKUP($B34, IMPORTRANGE('Match Names'!$E$23, CONCAT(VLOOKUP($C34, 'Match Names'!$1:$22, 5, FALSE), ""!C3:R29"")), {2;8;12;22}, FALSE)), ""=-4"") + COUNTIF(ARRAYFORMULA(HLOOKUP($B3"&amp;"4, IMPORTRANGE('Match Names'!$F$23, CONCAT(VLOOKUP($C34, 'Match Names'!$1:$22, 6, FALSE), ""!C3:R29"")), {3;9;15;21}, FALSE)), ""=-4"") + COUNTIF(ARRAYFORMULA(HLOOKUP($B34, IMPORTRANGE('Match Names'!$G$23, CONCAT(VLOOKUP($C34, 'Match Names'!$1:$22, 7, FAL"&amp;"SE), ""!C3:R29"")), {3;8;12;18}, FALSE)), ""=-4"") + COUNTIF(ARRAYFORMULA(HLOOKUP($B34, IMPORTRANGE('Match Names'!$H$23, CONCAT(VLOOKUP($C34, 'Match Names'!$1:$22, 8, FALSE), ""!C3:R29"")), {7;13;19;24}, FALSE)), ""=-4"")"),0.0)</f>
        <v>0</v>
      </c>
      <c r="H34" s="33">
        <f t="shared" si="1"/>
        <v>2.67</v>
      </c>
    </row>
    <row r="35">
      <c r="A35" s="7" t="s">
        <v>183</v>
      </c>
      <c r="B35" s="7" t="str">
        <f>VLOOKUP(CONCAT(A35, C35), 'Discord Username to Real Name'!C:D, 2, FALSE)</f>
        <v>Paradoxygen#5753</v>
      </c>
      <c r="C35" s="7" t="s">
        <v>20</v>
      </c>
      <c r="D35" s="32">
        <f>IFERROR(__xludf.DUMMYFUNCTION("(4 - COUNTIF(IFERROR(ARRAYFORMULA(HLOOKUP($B35, IMPORTRANGE('Prelim Rankings Unsorted'!$B$40, CONCAT(VLOOKUP($C35, 'Match Names'!$A$1:$D$22, 2, FALSE), ""!C3:R29"")), {4;9;15;21}, FALSE)), 'Player Overall Stats Unsorted'!$AA$9:$AA$12), ""=X"")) + (4 - COU"&amp;"NTIF(IFERROR(ARRAYFORMULA(HLOOKUP($B35, IMPORTRANGE('Prelim Rankings Unsorted'!$B$41, CONCAT(VLOOKUP($C35, 'Match Names'!$A$1:$D$22, 3, FALSE), ""!C3:R29"")), {7;13;19;24}, FALSE)), 'Player Overall Stats Unsorted'!$AA$9:$AA$12), ""=X"")) + (4 - COUNTIF(IF"&amp;"ERROR(ARRAYFORMULA(HLOOKUP($B35, IMPORTRANGE('Prelim Rankings Unsorted'!$B$42, CONCAT(VLOOKUP($C35, 'Match Names'!$A$1:$D$22, 4, FALSE), ""!C3:R29"")), {7;13;19;24}, FALSE)), 'Player Overall Stats Unsorted'!$AA$9:$AA$12), ""=X"")) + (4 - COUNTIF(IFERROR(A"&amp;"RRAYFORMULA(HLOOKUP($B35, IMPORTRANGE('Match Names'!$E$23, CONCAT(VLOOKUP($C35, 'Match Names'!$1:$22, 5, FALSE), ""!C3:R29"")), {2;8;12;22}, FALSE)), 'Player Overall Stats Unsorted'!$AA$9:$AA$12), ""=X"")) + (4 - COUNTIF(IFERROR(ARRAYFORMULA(HLOOKUP($B35,"&amp;" IMPORTRANGE('Match Names'!$F$23, CONCAT(VLOOKUP($C35, 'Match Names'!$1:$22, 6, FALSE), ""!C3:R29"")), {3;9;15;21}, FALSE)), 'Player Overall Stats Unsorted'!$AA$9:$AA$12), ""=X"")) + (4 - COUNTIF(IFERROR(ARRAYFORMULA(HLOOKUP($B35, IMPORTRANGE('Match Names"&amp;"'!$G$23, CONCAT(VLOOKUP($C35, 'Match Names'!$1:$22, 7, FALSE), ""!C3:R29"")), {3;8;12;18}, FALSE)), 'Player Overall Stats Unsorted'!$AA$9:$AA$12), ""=X"")) + (4 - COUNTIF(IFERROR(ARRAYFORMULA(HLOOKUP($B35, IMPORTRANGE('Match Names'!$H$23, CONCAT(VLOOKUP($"&amp;"C35, 'Match Names'!$1:$22, 8, FALSE), ""!C3:R29"")), {7;13;19;24}, FALSE)), 'Player Overall Stats Unsorted'!$AA$9:$AA$12), ""=X""))"),8.0)</f>
        <v>8</v>
      </c>
      <c r="E35" s="32">
        <f>IFERROR(__xludf.DUMMYFUNCTION("COUNTIF(ARRAYFORMULA(HLOOKUP($B35, IMPORTRANGE('Prelim Rankings Unsorted'!$B$40, CONCAT(VLOOKUP($C35, 'Match Names'!$A$1:$D$22, 2, FALSE), ""!C3:R29"")), {4;9;15;21}, FALSE)), ""=4"") + COUNTIF(ARRAYFORMULA(HLOOKUP($B35, IMPORTRANGE('Prelim Rankings Unsor"&amp;"ted'!$B$41, CONCAT(VLOOKUP($C35, 'Match Names'!$A$1:$D$22, 3, FALSE), ""!C3:R29"")), {7;13;19;24}, FALSE)), ""=4"") + COUNTIF(ARRAYFORMULA(HLOOKUP($B35, IMPORTRANGE('Prelim Rankings Unsorted'!$B$42, CONCAT(VLOOKUP($C35, 'Match Names'!$A$1:$D$22, 4, FALSE)"&amp;", ""!C3:R29"")), {7;13;19;24}, FALSE)), ""=4"") + COUNTIF(ARRAYFORMULA(HLOOKUP($B35, IMPORTRANGE('Match Names'!$E$23, CONCAT(VLOOKUP($C35, 'Match Names'!$1:$22, 5, FALSE), ""!C3:R29"")), {2;8;12;22}, FALSE)), ""=4"") + COUNTIF(ARRAYFORMULA(HLOOKUP($B35, I"&amp;"MPORTRANGE('Match Names'!$F$23, CONCAT(VLOOKUP($C35, 'Match Names'!$1:$22, 6, FALSE), ""!C3:R29"")), {3;9;15;21}, FALSE)), ""=4"") + COUNTIF(ARRAYFORMULA(HLOOKUP($B35, IMPORTRANGE('Match Names'!$G$23, CONCAT(VLOOKUP($C35, 'Match Names'!$1:$22, 7, FALSE), "&amp;"""!C3:R29"")), {3;8;12;18}, FALSE)), ""=4"") + COUNTIF(ARRAYFORMULA(HLOOKUP($B35, IMPORTRANGE('Match Names'!$H$23, CONCAT(VLOOKUP($C35, 'Match Names'!$1:$22, 8, FALSE), ""!C3:R29"")), {7;13;19;24}, FALSE)), ""=4"")"),0.0)</f>
        <v>0</v>
      </c>
      <c r="F35" s="32">
        <f>IFERROR(__xludf.DUMMYFUNCTION("COUNTIF(ARRAYFORMULA(HLOOKUP($B35, IMPORTRANGE('Prelim Rankings Unsorted'!$B$40, CONCAT(VLOOKUP($C35, 'Match Names'!$A$1:$D$22, 2, FALSE), ""!C3:R29"")), {4;9;15;21}, FALSE)), ""=0"") + COUNTIF(ARRAYFORMULA(HLOOKUP($B35, IMPORTRANGE('Prelim Rankings Unsor"&amp;"ted'!$B$41, CONCAT(VLOOKUP($C35, 'Match Names'!$A$1:$D$22, 3, FALSE), ""!C3:R29"")), {7;13;19;24}, FALSE)), ""=0"") + COUNTIF(ARRAYFORMULA(HLOOKUP($B35, IMPORTRANGE('Prelim Rankings Unsorted'!$B$42, CONCAT(VLOOKUP($C35, 'Match Names'!$A$1:$D$22, 4, FALSE)"&amp;", ""!C3:R29"")), {7;13;19;24}, FALSE)), ""=0"") + COUNTIF(ARRAYFORMULA(HLOOKUP($B35, IMPORTRANGE('Match Names'!$E$23, CONCAT(VLOOKUP($C35, 'Match Names'!$1:$22, 5, FALSE), ""!C3:R29"")), {2;8;12;22}, FALSE)), ""=0"") + COUNTIF(ARRAYFORMULA(HLOOKUP($B35, I"&amp;"MPORTRANGE('Match Names'!$F$23, CONCAT(VLOOKUP($C35, 'Match Names'!$1:$22, 6, FALSE), ""!C3:R29"")), {3;9;15;21}, FALSE)), ""=0"") + COUNTIF(ARRAYFORMULA(HLOOKUP($B35, IMPORTRANGE('Match Names'!$G$23, CONCAT(VLOOKUP($C35, 'Match Names'!$1:$22, 7, FALSE), "&amp;"""!C3:R29"")), {3;8;12;18}, FALSE)), ""=0"") + COUNTIF(ARRAYFORMULA(HLOOKUP($B35, IMPORTRANGE('Match Names'!$H$23, CONCAT(VLOOKUP($C35, 'Match Names'!$1:$22, 8, FALSE), ""!C3:R29"")), {7;13;19;24}, FALSE)), ""=0"")"),0.0)</f>
        <v>0</v>
      </c>
      <c r="G35" s="32">
        <f>IFERROR(__xludf.DUMMYFUNCTION("COUNTIF(ARRAYFORMULA(HLOOKUP($B35, IMPORTRANGE('Prelim Rankings Unsorted'!$B$40, CONCAT(VLOOKUP($C35, 'Match Names'!$A$1:$D$22, 2, FALSE), ""!C3:R29"")), {4;9;15;21}, FALSE)), ""=-4"") + COUNTIF(ARRAYFORMULA(HLOOKUP($B35, IMPORTRANGE('Prelim Rankings Unso"&amp;"rted'!$B$41, CONCAT(VLOOKUP($C35, 'Match Names'!$A$1:$D$22, 3, FALSE), ""!C3:R29"")), {7;13;19;24}, FALSE)), ""=-4"") + COUNTIF(ARRAYFORMULA(HLOOKUP($B35, IMPORTRANGE('Prelim Rankings Unsorted'!$B$42, CONCAT(VLOOKUP($C35, 'Match Names'!$A$1:$D$22, 4, FALS"&amp;"E), ""!C3:R29"")), {7;13;19;24}, FALSE)), ""=-4"") + COUNTIF(ARRAYFORMULA(HLOOKUP($B35, IMPORTRANGE('Match Names'!$E$23, CONCAT(VLOOKUP($C35, 'Match Names'!$1:$22, 5, FALSE), ""!C3:R29"")), {2;8;12;22}, FALSE)), ""=-4"") + COUNTIF(ARRAYFORMULA(HLOOKUP($B3"&amp;"5, IMPORTRANGE('Match Names'!$F$23, CONCAT(VLOOKUP($C35, 'Match Names'!$1:$22, 6, FALSE), ""!C3:R29"")), {3;9;15;21}, FALSE)), ""=-4"") + COUNTIF(ARRAYFORMULA(HLOOKUP($B35, IMPORTRANGE('Match Names'!$G$23, CONCAT(VLOOKUP($C35, 'Match Names'!$1:$22, 7, FAL"&amp;"SE), ""!C3:R29"")), {3;8;12;18}, FALSE)), ""=-4"") + COUNTIF(ARRAYFORMULA(HLOOKUP($B35, IMPORTRANGE('Match Names'!$H$23, CONCAT(VLOOKUP($C35, 'Match Names'!$1:$22, 8, FALSE), ""!C3:R29"")), {7;13;19;24}, FALSE)), ""=-4"")"),0.0)</f>
        <v>0</v>
      </c>
      <c r="H35" s="33">
        <f t="shared" si="1"/>
        <v>0</v>
      </c>
    </row>
    <row r="36">
      <c r="A36" s="7" t="s">
        <v>126</v>
      </c>
      <c r="B36" s="7" t="str">
        <f>VLOOKUP(CONCAT(A36, C36), 'Discord Username to Real Name'!C:D, 2, FALSE)</f>
        <v>MR_67#1546</v>
      </c>
      <c r="C36" s="7" t="s">
        <v>20</v>
      </c>
      <c r="D36" s="32">
        <f>IFERROR(__xludf.DUMMYFUNCTION("(4 - COUNTIF(IFERROR(ARRAYFORMULA(HLOOKUP($B36, IMPORTRANGE('Prelim Rankings Unsorted'!$B$40, CONCAT(VLOOKUP($C36, 'Match Names'!$A$1:$D$22, 2, FALSE), ""!C3:R29"")), {4;9;15;21}, FALSE)), 'Player Overall Stats Unsorted'!$AA$9:$AA$12), ""=X"")) + (4 - COU"&amp;"NTIF(IFERROR(ARRAYFORMULA(HLOOKUP($B36, IMPORTRANGE('Prelim Rankings Unsorted'!$B$41, CONCAT(VLOOKUP($C36, 'Match Names'!$A$1:$D$22, 3, FALSE), ""!C3:R29"")), {7;13;19;24}, FALSE)), 'Player Overall Stats Unsorted'!$AA$9:$AA$12), ""=X"")) + (4 - COUNTIF(IF"&amp;"ERROR(ARRAYFORMULA(HLOOKUP($B36, IMPORTRANGE('Prelim Rankings Unsorted'!$B$42, CONCAT(VLOOKUP($C36, 'Match Names'!$A$1:$D$22, 4, FALSE), ""!C3:R29"")), {7;13;19;24}, FALSE)), 'Player Overall Stats Unsorted'!$AA$9:$AA$12), ""=X"")) + (4 - COUNTIF(IFERROR(A"&amp;"RRAYFORMULA(HLOOKUP($B36, IMPORTRANGE('Match Names'!$E$23, CONCAT(VLOOKUP($C36, 'Match Names'!$1:$22, 5, FALSE), ""!C3:R29"")), {2;8;12;22}, FALSE)), 'Player Overall Stats Unsorted'!$AA$9:$AA$12), ""=X"")) + (4 - COUNTIF(IFERROR(ARRAYFORMULA(HLOOKUP($B36,"&amp;" IMPORTRANGE('Match Names'!$F$23, CONCAT(VLOOKUP($C36, 'Match Names'!$1:$22, 6, FALSE), ""!C3:R29"")), {3;9;15;21}, FALSE)), 'Player Overall Stats Unsorted'!$AA$9:$AA$12), ""=X"")) + (4 - COUNTIF(IFERROR(ARRAYFORMULA(HLOOKUP($B36, IMPORTRANGE('Match Names"&amp;"'!$G$23, CONCAT(VLOOKUP($C36, 'Match Names'!$1:$22, 7, FALSE), ""!C3:R29"")), {3;8;12;18}, FALSE)), 'Player Overall Stats Unsorted'!$AA$9:$AA$12), ""=X"")) + (4 - COUNTIF(IFERROR(ARRAYFORMULA(HLOOKUP($B36, IMPORTRANGE('Match Names'!$H$23, CONCAT(VLOOKUP($"&amp;"C36, 'Match Names'!$1:$22, 8, FALSE), ""!C3:R29"")), {7;13;19;24}, FALSE)), 'Player Overall Stats Unsorted'!$AA$9:$AA$12), ""=X""))"),20.0)</f>
        <v>20</v>
      </c>
      <c r="E36" s="32">
        <f>IFERROR(__xludf.DUMMYFUNCTION("COUNTIF(ARRAYFORMULA(HLOOKUP($B36, IMPORTRANGE('Prelim Rankings Unsorted'!$B$40, CONCAT(VLOOKUP($C36, 'Match Names'!$A$1:$D$22, 2, FALSE), ""!C3:R29"")), {4;9;15;21}, FALSE)), ""=4"") + COUNTIF(ARRAYFORMULA(HLOOKUP($B36, IMPORTRANGE('Prelim Rankings Unsor"&amp;"ted'!$B$41, CONCAT(VLOOKUP($C36, 'Match Names'!$A$1:$D$22, 3, FALSE), ""!C3:R29"")), {7;13;19;24}, FALSE)), ""=4"") + COUNTIF(ARRAYFORMULA(HLOOKUP($B36, IMPORTRANGE('Prelim Rankings Unsorted'!$B$42, CONCAT(VLOOKUP($C36, 'Match Names'!$A$1:$D$22, 4, FALSE)"&amp;", ""!C3:R29"")), {7;13;19;24}, FALSE)), ""=4"") + COUNTIF(ARRAYFORMULA(HLOOKUP($B36, IMPORTRANGE('Match Names'!$E$23, CONCAT(VLOOKUP($C36, 'Match Names'!$1:$22, 5, FALSE), ""!C3:R29"")), {2;8;12;22}, FALSE)), ""=4"") + COUNTIF(ARRAYFORMULA(HLOOKUP($B36, I"&amp;"MPORTRANGE('Match Names'!$F$23, CONCAT(VLOOKUP($C36, 'Match Names'!$1:$22, 6, FALSE), ""!C3:R29"")), {3;9;15;21}, FALSE)), ""=4"") + COUNTIF(ARRAYFORMULA(HLOOKUP($B36, IMPORTRANGE('Match Names'!$G$23, CONCAT(VLOOKUP($C36, 'Match Names'!$1:$22, 7, FALSE), "&amp;"""!C3:R29"")), {3;8;12;18}, FALSE)), ""=4"") + COUNTIF(ARRAYFORMULA(HLOOKUP($B36, IMPORTRANGE('Match Names'!$H$23, CONCAT(VLOOKUP($C36, 'Match Names'!$1:$22, 8, FALSE), ""!C3:R29"")), {7;13;19;24}, FALSE)), ""=4"")"),0.0)</f>
        <v>0</v>
      </c>
      <c r="F36" s="32">
        <f>IFERROR(__xludf.DUMMYFUNCTION("COUNTIF(ARRAYFORMULA(HLOOKUP($B36, IMPORTRANGE('Prelim Rankings Unsorted'!$B$40, CONCAT(VLOOKUP($C36, 'Match Names'!$A$1:$D$22, 2, FALSE), ""!C3:R29"")), {4;9;15;21}, FALSE)), ""=0"") + COUNTIF(ARRAYFORMULA(HLOOKUP($B36, IMPORTRANGE('Prelim Rankings Unsor"&amp;"ted'!$B$41, CONCAT(VLOOKUP($C36, 'Match Names'!$A$1:$D$22, 3, FALSE), ""!C3:R29"")), {7;13;19;24}, FALSE)), ""=0"") + COUNTIF(ARRAYFORMULA(HLOOKUP($B36, IMPORTRANGE('Prelim Rankings Unsorted'!$B$42, CONCAT(VLOOKUP($C36, 'Match Names'!$A$1:$D$22, 4, FALSE)"&amp;", ""!C3:R29"")), {7;13;19;24}, FALSE)), ""=0"") + COUNTIF(ARRAYFORMULA(HLOOKUP($B36, IMPORTRANGE('Match Names'!$E$23, CONCAT(VLOOKUP($C36, 'Match Names'!$1:$22, 5, FALSE), ""!C3:R29"")), {2;8;12;22}, FALSE)), ""=0"") + COUNTIF(ARRAYFORMULA(HLOOKUP($B36, I"&amp;"MPORTRANGE('Match Names'!$F$23, CONCAT(VLOOKUP($C36, 'Match Names'!$1:$22, 6, FALSE), ""!C3:R29"")), {3;9;15;21}, FALSE)), ""=0"") + COUNTIF(ARRAYFORMULA(HLOOKUP($B36, IMPORTRANGE('Match Names'!$G$23, CONCAT(VLOOKUP($C36, 'Match Names'!$1:$22, 7, FALSE), "&amp;"""!C3:R29"")), {3;8;12;18}, FALSE)), ""=0"") + COUNTIF(ARRAYFORMULA(HLOOKUP($B36, IMPORTRANGE('Match Names'!$H$23, CONCAT(VLOOKUP($C36, 'Match Names'!$1:$22, 8, FALSE), ""!C3:R29"")), {7;13;19;24}, FALSE)), ""=0"")"),0.0)</f>
        <v>0</v>
      </c>
      <c r="G36" s="32">
        <f>IFERROR(__xludf.DUMMYFUNCTION("COUNTIF(ARRAYFORMULA(HLOOKUP($B36, IMPORTRANGE('Prelim Rankings Unsorted'!$B$40, CONCAT(VLOOKUP($C36, 'Match Names'!$A$1:$D$22, 2, FALSE), ""!C3:R29"")), {4;9;15;21}, FALSE)), ""=-4"") + COUNTIF(ARRAYFORMULA(HLOOKUP($B36, IMPORTRANGE('Prelim Rankings Unso"&amp;"rted'!$B$41, CONCAT(VLOOKUP($C36, 'Match Names'!$A$1:$D$22, 3, FALSE), ""!C3:R29"")), {7;13;19;24}, FALSE)), ""=-4"") + COUNTIF(ARRAYFORMULA(HLOOKUP($B36, IMPORTRANGE('Prelim Rankings Unsorted'!$B$42, CONCAT(VLOOKUP($C36, 'Match Names'!$A$1:$D$22, 4, FALS"&amp;"E), ""!C3:R29"")), {7;13;19;24}, FALSE)), ""=-4"") + COUNTIF(ARRAYFORMULA(HLOOKUP($B36, IMPORTRANGE('Match Names'!$E$23, CONCAT(VLOOKUP($C36, 'Match Names'!$1:$22, 5, FALSE), ""!C3:R29"")), {2;8;12;22}, FALSE)), ""=-4"") + COUNTIF(ARRAYFORMULA(HLOOKUP($B3"&amp;"6, IMPORTRANGE('Match Names'!$F$23, CONCAT(VLOOKUP($C36, 'Match Names'!$1:$22, 6, FALSE), ""!C3:R29"")), {3;9;15;21}, FALSE)), ""=-4"") + COUNTIF(ARRAYFORMULA(HLOOKUP($B36, IMPORTRANGE('Match Names'!$G$23, CONCAT(VLOOKUP($C36, 'Match Names'!$1:$22, 7, FAL"&amp;"SE), ""!C3:R29"")), {3;8;12;18}, FALSE)), ""=-4"") + COUNTIF(ARRAYFORMULA(HLOOKUP($B36, IMPORTRANGE('Match Names'!$H$23, CONCAT(VLOOKUP($C36, 'Match Names'!$1:$22, 8, FALSE), ""!C3:R29"")), {7;13;19;24}, FALSE)), ""=-4"")"),0.0)</f>
        <v>0</v>
      </c>
      <c r="H36" s="33">
        <f t="shared" si="1"/>
        <v>0</v>
      </c>
    </row>
    <row r="37">
      <c r="A37" s="7" t="s">
        <v>115</v>
      </c>
      <c r="B37" s="7" t="str">
        <f>VLOOKUP(CONCAT(A37, C37), 'Discord Username to Real Name'!C:D, 2, FALSE)</f>
        <v>choiboi#3455</v>
      </c>
      <c r="C37" s="7" t="s">
        <v>20</v>
      </c>
      <c r="D37" s="32">
        <f>IFERROR(__xludf.DUMMYFUNCTION("(4 - COUNTIF(IFERROR(ARRAYFORMULA(HLOOKUP($B37, IMPORTRANGE('Prelim Rankings Unsorted'!$B$40, CONCAT(VLOOKUP($C37, 'Match Names'!$A$1:$D$22, 2, FALSE), ""!C3:R29"")), {4;9;15;21}, FALSE)), 'Player Overall Stats Unsorted'!$AA$9:$AA$12), ""=X"")) + (4 - COU"&amp;"NTIF(IFERROR(ARRAYFORMULA(HLOOKUP($B37, IMPORTRANGE('Prelim Rankings Unsorted'!$B$41, CONCAT(VLOOKUP($C37, 'Match Names'!$A$1:$D$22, 3, FALSE), ""!C3:R29"")), {7;13;19;24}, FALSE)), 'Player Overall Stats Unsorted'!$AA$9:$AA$12), ""=X"")) + (4 - COUNTIF(IF"&amp;"ERROR(ARRAYFORMULA(HLOOKUP($B37, IMPORTRANGE('Prelim Rankings Unsorted'!$B$42, CONCAT(VLOOKUP($C37, 'Match Names'!$A$1:$D$22, 4, FALSE), ""!C3:R29"")), {7;13;19;24}, FALSE)), 'Player Overall Stats Unsorted'!$AA$9:$AA$12), ""=X"")) + (4 - COUNTIF(IFERROR(A"&amp;"RRAYFORMULA(HLOOKUP($B37, IMPORTRANGE('Match Names'!$E$23, CONCAT(VLOOKUP($C37, 'Match Names'!$1:$22, 5, FALSE), ""!C3:R29"")), {2;8;12;22}, FALSE)), 'Player Overall Stats Unsorted'!$AA$9:$AA$12), ""=X"")) + (4 - COUNTIF(IFERROR(ARRAYFORMULA(HLOOKUP($B37,"&amp;" IMPORTRANGE('Match Names'!$F$23, CONCAT(VLOOKUP($C37, 'Match Names'!$1:$22, 6, FALSE), ""!C3:R29"")), {3;9;15;21}, FALSE)), 'Player Overall Stats Unsorted'!$AA$9:$AA$12), ""=X"")) + (4 - COUNTIF(IFERROR(ARRAYFORMULA(HLOOKUP($B37, IMPORTRANGE('Match Names"&amp;"'!$G$23, CONCAT(VLOOKUP($C37, 'Match Names'!$1:$22, 7, FALSE), ""!C3:R29"")), {3;8;12;18}, FALSE)), 'Player Overall Stats Unsorted'!$AA$9:$AA$12), ""=X"")) + (4 - COUNTIF(IFERROR(ARRAYFORMULA(HLOOKUP($B37, IMPORTRANGE('Match Names'!$H$23, CONCAT(VLOOKUP($"&amp;"C37, 'Match Names'!$1:$22, 8, FALSE), ""!C3:R29"")), {7;13;19;24}, FALSE)), 'Player Overall Stats Unsorted'!$AA$9:$AA$12), ""=X""))"),16.0)</f>
        <v>16</v>
      </c>
      <c r="E37" s="32">
        <f>IFERROR(__xludf.DUMMYFUNCTION("COUNTIF(ARRAYFORMULA(HLOOKUP($B37, IMPORTRANGE('Prelim Rankings Unsorted'!$B$40, CONCAT(VLOOKUP($C37, 'Match Names'!$A$1:$D$22, 2, FALSE), ""!C3:R29"")), {4;9;15;21}, FALSE)), ""=4"") + COUNTIF(ARRAYFORMULA(HLOOKUP($B37, IMPORTRANGE('Prelim Rankings Unsor"&amp;"ted'!$B$41, CONCAT(VLOOKUP($C37, 'Match Names'!$A$1:$D$22, 3, FALSE), ""!C3:R29"")), {7;13;19;24}, FALSE)), ""=4"") + COUNTIF(ARRAYFORMULA(HLOOKUP($B37, IMPORTRANGE('Prelim Rankings Unsorted'!$B$42, CONCAT(VLOOKUP($C37, 'Match Names'!$A$1:$D$22, 4, FALSE)"&amp;", ""!C3:R29"")), {7;13;19;24}, FALSE)), ""=4"") + COUNTIF(ARRAYFORMULA(HLOOKUP($B37, IMPORTRANGE('Match Names'!$E$23, CONCAT(VLOOKUP($C37, 'Match Names'!$1:$22, 5, FALSE), ""!C3:R29"")), {2;8;12;22}, FALSE)), ""=4"") + COUNTIF(ARRAYFORMULA(HLOOKUP($B37, I"&amp;"MPORTRANGE('Match Names'!$F$23, CONCAT(VLOOKUP($C37, 'Match Names'!$1:$22, 6, FALSE), ""!C3:R29"")), {3;9;15;21}, FALSE)), ""=4"") + COUNTIF(ARRAYFORMULA(HLOOKUP($B37, IMPORTRANGE('Match Names'!$G$23, CONCAT(VLOOKUP($C37, 'Match Names'!$1:$22, 7, FALSE), "&amp;"""!C3:R29"")), {3;8;12;18}, FALSE)), ""=4"") + COUNTIF(ARRAYFORMULA(HLOOKUP($B37, IMPORTRANGE('Match Names'!$H$23, CONCAT(VLOOKUP($C37, 'Match Names'!$1:$22, 8, FALSE), ""!C3:R29"")), {7;13;19;24}, FALSE)), ""=4"")"),0.0)</f>
        <v>0</v>
      </c>
      <c r="F37" s="32">
        <f>IFERROR(__xludf.DUMMYFUNCTION("COUNTIF(ARRAYFORMULA(HLOOKUP($B37, IMPORTRANGE('Prelim Rankings Unsorted'!$B$40, CONCAT(VLOOKUP($C37, 'Match Names'!$A$1:$D$22, 2, FALSE), ""!C3:R29"")), {4;9;15;21}, FALSE)), ""=0"") + COUNTIF(ARRAYFORMULA(HLOOKUP($B37, IMPORTRANGE('Prelim Rankings Unsor"&amp;"ted'!$B$41, CONCAT(VLOOKUP($C37, 'Match Names'!$A$1:$D$22, 3, FALSE), ""!C3:R29"")), {7;13;19;24}, FALSE)), ""=0"") + COUNTIF(ARRAYFORMULA(HLOOKUP($B37, IMPORTRANGE('Prelim Rankings Unsorted'!$B$42, CONCAT(VLOOKUP($C37, 'Match Names'!$A$1:$D$22, 4, FALSE)"&amp;", ""!C3:R29"")), {7;13;19;24}, FALSE)), ""=0"") + COUNTIF(ARRAYFORMULA(HLOOKUP($B37, IMPORTRANGE('Match Names'!$E$23, CONCAT(VLOOKUP($C37, 'Match Names'!$1:$22, 5, FALSE), ""!C3:R29"")), {2;8;12;22}, FALSE)), ""=0"") + COUNTIF(ARRAYFORMULA(HLOOKUP($B37, I"&amp;"MPORTRANGE('Match Names'!$F$23, CONCAT(VLOOKUP($C37, 'Match Names'!$1:$22, 6, FALSE), ""!C3:R29"")), {3;9;15;21}, FALSE)), ""=0"") + COUNTIF(ARRAYFORMULA(HLOOKUP($B37, IMPORTRANGE('Match Names'!$G$23, CONCAT(VLOOKUP($C37, 'Match Names'!$1:$22, 7, FALSE), "&amp;"""!C3:R29"")), {3;8;12;18}, FALSE)), ""=0"") + COUNTIF(ARRAYFORMULA(HLOOKUP($B37, IMPORTRANGE('Match Names'!$H$23, CONCAT(VLOOKUP($C37, 'Match Names'!$1:$22, 8, FALSE), ""!C3:R29"")), {7;13;19;24}, FALSE)), ""=0"")"),0.0)</f>
        <v>0</v>
      </c>
      <c r="G37" s="32">
        <f>IFERROR(__xludf.DUMMYFUNCTION("COUNTIF(ARRAYFORMULA(HLOOKUP($B37, IMPORTRANGE('Prelim Rankings Unsorted'!$B$40, CONCAT(VLOOKUP($C37, 'Match Names'!$A$1:$D$22, 2, FALSE), ""!C3:R29"")), {4;9;15;21}, FALSE)), ""=-4"") + COUNTIF(ARRAYFORMULA(HLOOKUP($B37, IMPORTRANGE('Prelim Rankings Unso"&amp;"rted'!$B$41, CONCAT(VLOOKUP($C37, 'Match Names'!$A$1:$D$22, 3, FALSE), ""!C3:R29"")), {7;13;19;24}, FALSE)), ""=-4"") + COUNTIF(ARRAYFORMULA(HLOOKUP($B37, IMPORTRANGE('Prelim Rankings Unsorted'!$B$42, CONCAT(VLOOKUP($C37, 'Match Names'!$A$1:$D$22, 4, FALS"&amp;"E), ""!C3:R29"")), {7;13;19;24}, FALSE)), ""=-4"") + COUNTIF(ARRAYFORMULA(HLOOKUP($B37, IMPORTRANGE('Match Names'!$E$23, CONCAT(VLOOKUP($C37, 'Match Names'!$1:$22, 5, FALSE), ""!C3:R29"")), {2;8;12;22}, FALSE)), ""=-4"") + COUNTIF(ARRAYFORMULA(HLOOKUP($B3"&amp;"7, IMPORTRANGE('Match Names'!$F$23, CONCAT(VLOOKUP($C37, 'Match Names'!$1:$22, 6, FALSE), ""!C3:R29"")), {3;9;15;21}, FALSE)), ""=-4"") + COUNTIF(ARRAYFORMULA(HLOOKUP($B37, IMPORTRANGE('Match Names'!$G$23, CONCAT(VLOOKUP($C37, 'Match Names'!$1:$22, 7, FAL"&amp;"SE), ""!C3:R29"")), {3;8;12;18}, FALSE)), ""=-4"") + COUNTIF(ARRAYFORMULA(HLOOKUP($B37, IMPORTRANGE('Match Names'!$H$23, CONCAT(VLOOKUP($C37, 'Match Names'!$1:$22, 8, FALSE), ""!C3:R29"")), {7;13;19;24}, FALSE)), ""=-4"")"),0.0)</f>
        <v>0</v>
      </c>
      <c r="H37" s="33">
        <f t="shared" si="1"/>
        <v>0</v>
      </c>
    </row>
    <row r="38">
      <c r="A38" s="7" t="s">
        <v>58</v>
      </c>
      <c r="B38" s="7" t="str">
        <f>VLOOKUP(CONCAT(A38, C38), 'Discord Username to Real Name'!C:D, 2, FALSE)</f>
        <v>nshapiro#4660</v>
      </c>
      <c r="C38" s="7" t="s">
        <v>16</v>
      </c>
      <c r="D38" s="32">
        <f>IFERROR(__xludf.DUMMYFUNCTION("(4 - COUNTIF(IFERROR(ARRAYFORMULA(HLOOKUP($B38, IMPORTRANGE('Prelim Rankings Unsorted'!$B$40, CONCAT(VLOOKUP($C38, 'Match Names'!$A$1:$D$22, 2, FALSE), ""!C3:R29"")), {4;9;15;21}, FALSE)), 'Player Overall Stats Unsorted'!$AA$9:$AA$12), ""=X"")) + (4 - COU"&amp;"NTIF(IFERROR(ARRAYFORMULA(HLOOKUP($B38, IMPORTRANGE('Prelim Rankings Unsorted'!$B$41, CONCAT(VLOOKUP($C38, 'Match Names'!$A$1:$D$22, 3, FALSE), ""!C3:R29"")), {7;13;19;24}, FALSE)), 'Player Overall Stats Unsorted'!$AA$9:$AA$12), ""=X"")) + (4 - COUNTIF(IF"&amp;"ERROR(ARRAYFORMULA(HLOOKUP($B38, IMPORTRANGE('Prelim Rankings Unsorted'!$B$42, CONCAT(VLOOKUP($C38, 'Match Names'!$A$1:$D$22, 4, FALSE), ""!C3:R29"")), {7;13;19;24}, FALSE)), 'Player Overall Stats Unsorted'!$AA$9:$AA$12), ""=X"")) + (4 - COUNTIF(IFERROR(A"&amp;"RRAYFORMULA(HLOOKUP($B38, IMPORTRANGE('Match Names'!$E$23, CONCAT(VLOOKUP($C38, 'Match Names'!$1:$22, 5, FALSE), ""!C3:R29"")), {2;8;12;22}, FALSE)), 'Player Overall Stats Unsorted'!$AA$9:$AA$12), ""=X"")) + (4 - COUNTIF(IFERROR(ARRAYFORMULA(HLOOKUP($B38,"&amp;" IMPORTRANGE('Match Names'!$F$23, CONCAT(VLOOKUP($C38, 'Match Names'!$1:$22, 6, FALSE), ""!C3:R29"")), {3;9;15;21}, FALSE)), 'Player Overall Stats Unsorted'!$AA$9:$AA$12), ""=X"")) + (4 - COUNTIF(IFERROR(ARRAYFORMULA(HLOOKUP($B38, IMPORTRANGE('Match Names"&amp;"'!$G$23, CONCAT(VLOOKUP($C38, 'Match Names'!$1:$22, 7, FALSE), ""!C3:R29"")), {3;8;12;18}, FALSE)), 'Player Overall Stats Unsorted'!$AA$9:$AA$12), ""=X"")) + (4 - COUNTIF(IFERROR(ARRAYFORMULA(HLOOKUP($B38, IMPORTRANGE('Match Names'!$H$23, CONCAT(VLOOKUP($"&amp;"C38, 'Match Names'!$1:$22, 8, FALSE), ""!C3:R29"")), {7;13;19;24}, FALSE)), 'Player Overall Stats Unsorted'!$AA$9:$AA$12), ""=X""))"),16.0)</f>
        <v>16</v>
      </c>
      <c r="E38" s="32">
        <f>IFERROR(__xludf.DUMMYFUNCTION("COUNTIF(ARRAYFORMULA(HLOOKUP($B38, IMPORTRANGE('Prelim Rankings Unsorted'!$B$40, CONCAT(VLOOKUP($C38, 'Match Names'!$A$1:$D$22, 2, FALSE), ""!C3:R29"")), {4;9;15;21}, FALSE)), ""=4"") + COUNTIF(ARRAYFORMULA(HLOOKUP($B38, IMPORTRANGE('Prelim Rankings Unsor"&amp;"ted'!$B$41, CONCAT(VLOOKUP($C38, 'Match Names'!$A$1:$D$22, 3, FALSE), ""!C3:R29"")), {7;13;19;24}, FALSE)), ""=4"") + COUNTIF(ARRAYFORMULA(HLOOKUP($B38, IMPORTRANGE('Prelim Rankings Unsorted'!$B$42, CONCAT(VLOOKUP($C38, 'Match Names'!$A$1:$D$22, 4, FALSE)"&amp;", ""!C3:R29"")), {7;13;19;24}, FALSE)), ""=4"") + COUNTIF(ARRAYFORMULA(HLOOKUP($B38, IMPORTRANGE('Match Names'!$E$23, CONCAT(VLOOKUP($C38, 'Match Names'!$1:$22, 5, FALSE), ""!C3:R29"")), {2;8;12;22}, FALSE)), ""=4"") + COUNTIF(ARRAYFORMULA(HLOOKUP($B38, I"&amp;"MPORTRANGE('Match Names'!$F$23, CONCAT(VLOOKUP($C38, 'Match Names'!$1:$22, 6, FALSE), ""!C3:R29"")), {3;9;15;21}, FALSE)), ""=4"") + COUNTIF(ARRAYFORMULA(HLOOKUP($B38, IMPORTRANGE('Match Names'!$G$23, CONCAT(VLOOKUP($C38, 'Match Names'!$1:$22, 7, FALSE), "&amp;"""!C3:R29"")), {3;8;12;18}, FALSE)), ""=4"") + COUNTIF(ARRAYFORMULA(HLOOKUP($B38, IMPORTRANGE('Match Names'!$H$23, CONCAT(VLOOKUP($C38, 'Match Names'!$1:$22, 8, FALSE), ""!C3:R29"")), {7;13;19;24}, FALSE)), ""=4"")"),5.0)</f>
        <v>5</v>
      </c>
      <c r="F38" s="32">
        <f>IFERROR(__xludf.DUMMYFUNCTION("COUNTIF(ARRAYFORMULA(HLOOKUP($B38, IMPORTRANGE('Prelim Rankings Unsorted'!$B$40, CONCAT(VLOOKUP($C38, 'Match Names'!$A$1:$D$22, 2, FALSE), ""!C3:R29"")), {4;9;15;21}, FALSE)), ""=0"") + COUNTIF(ARRAYFORMULA(HLOOKUP($B38, IMPORTRANGE('Prelim Rankings Unsor"&amp;"ted'!$B$41, CONCAT(VLOOKUP($C38, 'Match Names'!$A$1:$D$22, 3, FALSE), ""!C3:R29"")), {7;13;19;24}, FALSE)), ""=0"") + COUNTIF(ARRAYFORMULA(HLOOKUP($B38, IMPORTRANGE('Prelim Rankings Unsorted'!$B$42, CONCAT(VLOOKUP($C38, 'Match Names'!$A$1:$D$22, 4, FALSE)"&amp;", ""!C3:R29"")), {7;13;19;24}, FALSE)), ""=0"") + COUNTIF(ARRAYFORMULA(HLOOKUP($B38, IMPORTRANGE('Match Names'!$E$23, CONCAT(VLOOKUP($C38, 'Match Names'!$1:$22, 5, FALSE), ""!C3:R29"")), {2;8;12;22}, FALSE)), ""=0"") + COUNTIF(ARRAYFORMULA(HLOOKUP($B38, I"&amp;"MPORTRANGE('Match Names'!$F$23, CONCAT(VLOOKUP($C38, 'Match Names'!$1:$22, 6, FALSE), ""!C3:R29"")), {3;9;15;21}, FALSE)), ""=0"") + COUNTIF(ARRAYFORMULA(HLOOKUP($B38, IMPORTRANGE('Match Names'!$G$23, CONCAT(VLOOKUP($C38, 'Match Names'!$1:$22, 7, FALSE), "&amp;"""!C3:R29"")), {3;8;12;18}, FALSE)), ""=0"") + COUNTIF(ARRAYFORMULA(HLOOKUP($B38, IMPORTRANGE('Match Names'!$H$23, CONCAT(VLOOKUP($C38, 'Match Names'!$1:$22, 8, FALSE), ""!C3:R29"")), {7;13;19;24}, FALSE)), ""=0"")"),2.0)</f>
        <v>2</v>
      </c>
      <c r="G38" s="32">
        <f>IFERROR(__xludf.DUMMYFUNCTION("COUNTIF(ARRAYFORMULA(HLOOKUP($B38, IMPORTRANGE('Prelim Rankings Unsorted'!$B$40, CONCAT(VLOOKUP($C38, 'Match Names'!$A$1:$D$22, 2, FALSE), ""!C3:R29"")), {4;9;15;21}, FALSE)), ""=-4"") + COUNTIF(ARRAYFORMULA(HLOOKUP($B38, IMPORTRANGE('Prelim Rankings Unso"&amp;"rted'!$B$41, CONCAT(VLOOKUP($C38, 'Match Names'!$A$1:$D$22, 3, FALSE), ""!C3:R29"")), {7;13;19;24}, FALSE)), ""=-4"") + COUNTIF(ARRAYFORMULA(HLOOKUP($B38, IMPORTRANGE('Prelim Rankings Unsorted'!$B$42, CONCAT(VLOOKUP($C38, 'Match Names'!$A$1:$D$22, 4, FALS"&amp;"E), ""!C3:R29"")), {7;13;19;24}, FALSE)), ""=-4"") + COUNTIF(ARRAYFORMULA(HLOOKUP($B38, IMPORTRANGE('Match Names'!$E$23, CONCAT(VLOOKUP($C38, 'Match Names'!$1:$22, 5, FALSE), ""!C3:R29"")), {2;8;12;22}, FALSE)), ""=-4"") + COUNTIF(ARRAYFORMULA(HLOOKUP($B3"&amp;"8, IMPORTRANGE('Match Names'!$F$23, CONCAT(VLOOKUP($C38, 'Match Names'!$1:$22, 6, FALSE), ""!C3:R29"")), {3;9;15;21}, FALSE)), ""=-4"") + COUNTIF(ARRAYFORMULA(HLOOKUP($B38, IMPORTRANGE('Match Names'!$G$23, CONCAT(VLOOKUP($C38, 'Match Names'!$1:$22, 7, FAL"&amp;"SE), ""!C3:R29"")), {3;8;12;18}, FALSE)), ""=-4"") + COUNTIF(ARRAYFORMULA(HLOOKUP($B38, IMPORTRANGE('Match Names'!$H$23, CONCAT(VLOOKUP($C38, 'Match Names'!$1:$22, 8, FALSE), ""!C3:R29"")), {7;13;19;24}, FALSE)), ""=-4"")"),1.0)</f>
        <v>1</v>
      </c>
      <c r="H38" s="33">
        <f t="shared" si="1"/>
        <v>4</v>
      </c>
    </row>
    <row r="39">
      <c r="A39" s="7" t="s">
        <v>86</v>
      </c>
      <c r="B39" s="7" t="str">
        <f>VLOOKUP(CONCAT(A39, C39), 'Discord Username to Real Name'!C:D, 2, FALSE)</f>
        <v>Henryb#9686</v>
      </c>
      <c r="C39" s="7" t="s">
        <v>16</v>
      </c>
      <c r="D39" s="32">
        <f>IFERROR(__xludf.DUMMYFUNCTION("(4 - COUNTIF(IFERROR(ARRAYFORMULA(HLOOKUP($B39, IMPORTRANGE('Prelim Rankings Unsorted'!$B$40, CONCAT(VLOOKUP($C39, 'Match Names'!$A$1:$D$22, 2, FALSE), ""!C3:R29"")), {4;9;15;21}, FALSE)), 'Player Overall Stats Unsorted'!$AA$9:$AA$12), ""=X"")) + (4 - COU"&amp;"NTIF(IFERROR(ARRAYFORMULA(HLOOKUP($B39, IMPORTRANGE('Prelim Rankings Unsorted'!$B$41, CONCAT(VLOOKUP($C39, 'Match Names'!$A$1:$D$22, 3, FALSE), ""!C3:R29"")), {7;13;19;24}, FALSE)), 'Player Overall Stats Unsorted'!$AA$9:$AA$12), ""=X"")) + (4 - COUNTIF(IF"&amp;"ERROR(ARRAYFORMULA(HLOOKUP($B39, IMPORTRANGE('Prelim Rankings Unsorted'!$B$42, CONCAT(VLOOKUP($C39, 'Match Names'!$A$1:$D$22, 4, FALSE), ""!C3:R29"")), {7;13;19;24}, FALSE)), 'Player Overall Stats Unsorted'!$AA$9:$AA$12), ""=X"")) + (4 - COUNTIF(IFERROR(A"&amp;"RRAYFORMULA(HLOOKUP($B39, IMPORTRANGE('Match Names'!$E$23, CONCAT(VLOOKUP($C39, 'Match Names'!$1:$22, 5, FALSE), ""!C3:R29"")), {2;8;12;22}, FALSE)), 'Player Overall Stats Unsorted'!$AA$9:$AA$12), ""=X"")) + (4 - COUNTIF(IFERROR(ARRAYFORMULA(HLOOKUP($B39,"&amp;" IMPORTRANGE('Match Names'!$F$23, CONCAT(VLOOKUP($C39, 'Match Names'!$1:$22, 6, FALSE), ""!C3:R29"")), {3;9;15;21}, FALSE)), 'Player Overall Stats Unsorted'!$AA$9:$AA$12), ""=X"")) + (4 - COUNTIF(IFERROR(ARRAYFORMULA(HLOOKUP($B39, IMPORTRANGE('Match Names"&amp;"'!$G$23, CONCAT(VLOOKUP($C39, 'Match Names'!$1:$22, 7, FALSE), ""!C3:R29"")), {3;8;12;18}, FALSE)), 'Player Overall Stats Unsorted'!$AA$9:$AA$12), ""=X"")) + (4 - COUNTIF(IFERROR(ARRAYFORMULA(HLOOKUP($B39, IMPORTRANGE('Match Names'!$H$23, CONCAT(VLOOKUP($"&amp;"C39, 'Match Names'!$1:$22, 8, FALSE), ""!C3:R29"")), {7;13;19;24}, FALSE)), 'Player Overall Stats Unsorted'!$AA$9:$AA$12), ""=X""))"),20.0)</f>
        <v>20</v>
      </c>
      <c r="E39" s="32">
        <f>IFERROR(__xludf.DUMMYFUNCTION("COUNTIF(ARRAYFORMULA(HLOOKUP($B39, IMPORTRANGE('Prelim Rankings Unsorted'!$B$40, CONCAT(VLOOKUP($C39, 'Match Names'!$A$1:$D$22, 2, FALSE), ""!C3:R29"")), {4;9;15;21}, FALSE)), ""=4"") + COUNTIF(ARRAYFORMULA(HLOOKUP($B39, IMPORTRANGE('Prelim Rankings Unsor"&amp;"ted'!$B$41, CONCAT(VLOOKUP($C39, 'Match Names'!$A$1:$D$22, 3, FALSE), ""!C3:R29"")), {7;13;19;24}, FALSE)), ""=4"") + COUNTIF(ARRAYFORMULA(HLOOKUP($B39, IMPORTRANGE('Prelim Rankings Unsorted'!$B$42, CONCAT(VLOOKUP($C39, 'Match Names'!$A$1:$D$22, 4, FALSE)"&amp;", ""!C3:R29"")), {7;13;19;24}, FALSE)), ""=4"") + COUNTIF(ARRAYFORMULA(HLOOKUP($B39, IMPORTRANGE('Match Names'!$E$23, CONCAT(VLOOKUP($C39, 'Match Names'!$1:$22, 5, FALSE), ""!C3:R29"")), {2;8;12;22}, FALSE)), ""=4"") + COUNTIF(ARRAYFORMULA(HLOOKUP($B39, I"&amp;"MPORTRANGE('Match Names'!$F$23, CONCAT(VLOOKUP($C39, 'Match Names'!$1:$22, 6, FALSE), ""!C3:R29"")), {3;9;15;21}, FALSE)), ""=4"") + COUNTIF(ARRAYFORMULA(HLOOKUP($B39, IMPORTRANGE('Match Names'!$G$23, CONCAT(VLOOKUP($C39, 'Match Names'!$1:$22, 7, FALSE), "&amp;"""!C3:R29"")), {3;8;12;18}, FALSE)), ""=4"") + COUNTIF(ARRAYFORMULA(HLOOKUP($B39, IMPORTRANGE('Match Names'!$H$23, CONCAT(VLOOKUP($C39, 'Match Names'!$1:$22, 8, FALSE), ""!C3:R29"")), {7;13;19;24}, FALSE)), ""=4"")"),1.0)</f>
        <v>1</v>
      </c>
      <c r="F39" s="32">
        <f>IFERROR(__xludf.DUMMYFUNCTION("COUNTIF(ARRAYFORMULA(HLOOKUP($B39, IMPORTRANGE('Prelim Rankings Unsorted'!$B$40, CONCAT(VLOOKUP($C39, 'Match Names'!$A$1:$D$22, 2, FALSE), ""!C3:R29"")), {4;9;15;21}, FALSE)), ""=0"") + COUNTIF(ARRAYFORMULA(HLOOKUP($B39, IMPORTRANGE('Prelim Rankings Unsor"&amp;"ted'!$B$41, CONCAT(VLOOKUP($C39, 'Match Names'!$A$1:$D$22, 3, FALSE), ""!C3:R29"")), {7;13;19;24}, FALSE)), ""=0"") + COUNTIF(ARRAYFORMULA(HLOOKUP($B39, IMPORTRANGE('Prelim Rankings Unsorted'!$B$42, CONCAT(VLOOKUP($C39, 'Match Names'!$A$1:$D$22, 4, FALSE)"&amp;", ""!C3:R29"")), {7;13;19;24}, FALSE)), ""=0"") + COUNTIF(ARRAYFORMULA(HLOOKUP($B39, IMPORTRANGE('Match Names'!$E$23, CONCAT(VLOOKUP($C39, 'Match Names'!$1:$22, 5, FALSE), ""!C3:R29"")), {2;8;12;22}, FALSE)), ""=0"") + COUNTIF(ARRAYFORMULA(HLOOKUP($B39, I"&amp;"MPORTRANGE('Match Names'!$F$23, CONCAT(VLOOKUP($C39, 'Match Names'!$1:$22, 6, FALSE), ""!C3:R29"")), {3;9;15;21}, FALSE)), ""=0"") + COUNTIF(ARRAYFORMULA(HLOOKUP($B39, IMPORTRANGE('Match Names'!$G$23, CONCAT(VLOOKUP($C39, 'Match Names'!$1:$22, 7, FALSE), "&amp;"""!C3:R29"")), {3;8;12;18}, FALSE)), ""=0"") + COUNTIF(ARRAYFORMULA(HLOOKUP($B39, IMPORTRANGE('Match Names'!$H$23, CONCAT(VLOOKUP($C39, 'Match Names'!$1:$22, 8, FALSE), ""!C3:R29"")), {7;13;19;24}, FALSE)), ""=0"")"),1.0)</f>
        <v>1</v>
      </c>
      <c r="G39" s="32">
        <f>IFERROR(__xludf.DUMMYFUNCTION("COUNTIF(ARRAYFORMULA(HLOOKUP($B39, IMPORTRANGE('Prelim Rankings Unsorted'!$B$40, CONCAT(VLOOKUP($C39, 'Match Names'!$A$1:$D$22, 2, FALSE), ""!C3:R29"")), {4;9;15;21}, FALSE)), ""=-4"") + COUNTIF(ARRAYFORMULA(HLOOKUP($B39, IMPORTRANGE('Prelim Rankings Unso"&amp;"rted'!$B$41, CONCAT(VLOOKUP($C39, 'Match Names'!$A$1:$D$22, 3, FALSE), ""!C3:R29"")), {7;13;19;24}, FALSE)), ""=-4"") + COUNTIF(ARRAYFORMULA(HLOOKUP($B39, IMPORTRANGE('Prelim Rankings Unsorted'!$B$42, CONCAT(VLOOKUP($C39, 'Match Names'!$A$1:$D$22, 4, FALS"&amp;"E), ""!C3:R29"")), {7;13;19;24}, FALSE)), ""=-4"") + COUNTIF(ARRAYFORMULA(HLOOKUP($B39, IMPORTRANGE('Match Names'!$E$23, CONCAT(VLOOKUP($C39, 'Match Names'!$1:$22, 5, FALSE), ""!C3:R29"")), {2;8;12;22}, FALSE)), ""=-4"") + COUNTIF(ARRAYFORMULA(HLOOKUP($B3"&amp;"9, IMPORTRANGE('Match Names'!$F$23, CONCAT(VLOOKUP($C39, 'Match Names'!$1:$22, 6, FALSE), ""!C3:R29"")), {3;9;15;21}, FALSE)), ""=-4"") + COUNTIF(ARRAYFORMULA(HLOOKUP($B39, IMPORTRANGE('Match Names'!$G$23, CONCAT(VLOOKUP($C39, 'Match Names'!$1:$22, 7, FAL"&amp;"SE), ""!C3:R29"")), {3;8;12;18}, FALSE)), ""=-4"") + COUNTIF(ARRAYFORMULA(HLOOKUP($B39, IMPORTRANGE('Match Names'!$H$23, CONCAT(VLOOKUP($C39, 'Match Names'!$1:$22, 8, FALSE), ""!C3:R29"")), {7;13;19;24}, FALSE)), ""=-4"")"),0.0)</f>
        <v>0</v>
      </c>
      <c r="H39" s="33">
        <f t="shared" si="1"/>
        <v>0.8</v>
      </c>
    </row>
    <row r="40">
      <c r="A40" s="7" t="s">
        <v>164</v>
      </c>
      <c r="B40" s="7" t="str">
        <f>VLOOKUP(CONCAT(A40, C40), 'Discord Username to Real Name'!C:D, 2, FALSE)</f>
        <v>Teji11#5265</v>
      </c>
      <c r="C40" s="7" t="s">
        <v>16</v>
      </c>
      <c r="D40" s="32">
        <f>IFERROR(__xludf.DUMMYFUNCTION("(4 - COUNTIF(IFERROR(ARRAYFORMULA(HLOOKUP($B40, IMPORTRANGE('Prelim Rankings Unsorted'!$B$40, CONCAT(VLOOKUP($C40, 'Match Names'!$A$1:$D$22, 2, FALSE), ""!C3:R29"")), {4;9;15;21}, FALSE)), 'Player Overall Stats Unsorted'!$AA$9:$AA$12), ""=X"")) + (4 - COU"&amp;"NTIF(IFERROR(ARRAYFORMULA(HLOOKUP($B40, IMPORTRANGE('Prelim Rankings Unsorted'!$B$41, CONCAT(VLOOKUP($C40, 'Match Names'!$A$1:$D$22, 3, FALSE), ""!C3:R29"")), {7;13;19;24}, FALSE)), 'Player Overall Stats Unsorted'!$AA$9:$AA$12), ""=X"")) + (4 - COUNTIF(IF"&amp;"ERROR(ARRAYFORMULA(HLOOKUP($B40, IMPORTRANGE('Prelim Rankings Unsorted'!$B$42, CONCAT(VLOOKUP($C40, 'Match Names'!$A$1:$D$22, 4, FALSE), ""!C3:R29"")), {7;13;19;24}, FALSE)), 'Player Overall Stats Unsorted'!$AA$9:$AA$12), ""=X"")) + (4 - COUNTIF(IFERROR(A"&amp;"RRAYFORMULA(HLOOKUP($B40, IMPORTRANGE('Match Names'!$E$23, CONCAT(VLOOKUP($C40, 'Match Names'!$1:$22, 5, FALSE), ""!C3:R29"")), {2;8;12;22}, FALSE)), 'Player Overall Stats Unsorted'!$AA$9:$AA$12), ""=X"")) + (4 - COUNTIF(IFERROR(ARRAYFORMULA(HLOOKUP($B40,"&amp;" IMPORTRANGE('Match Names'!$F$23, CONCAT(VLOOKUP($C40, 'Match Names'!$1:$22, 6, FALSE), ""!C3:R29"")), {3;9;15;21}, FALSE)), 'Player Overall Stats Unsorted'!$AA$9:$AA$12), ""=X"")) + (4 - COUNTIF(IFERROR(ARRAYFORMULA(HLOOKUP($B40, IMPORTRANGE('Match Names"&amp;"'!$G$23, CONCAT(VLOOKUP($C40, 'Match Names'!$1:$22, 7, FALSE), ""!C3:R29"")), {3;8;12;18}, FALSE)), 'Player Overall Stats Unsorted'!$AA$9:$AA$12), ""=X"")) + (4 - COUNTIF(IFERROR(ARRAYFORMULA(HLOOKUP($B40, IMPORTRANGE('Match Names'!$H$23, CONCAT(VLOOKUP($"&amp;"C40, 'Match Names'!$1:$22, 8, FALSE), ""!C3:R29"")), {7;13;19;24}, FALSE)), 'Player Overall Stats Unsorted'!$AA$9:$AA$12), ""=X""))"),16.0)</f>
        <v>16</v>
      </c>
      <c r="E40" s="32">
        <f>IFERROR(__xludf.DUMMYFUNCTION("COUNTIF(ARRAYFORMULA(HLOOKUP($B40, IMPORTRANGE('Prelim Rankings Unsorted'!$B$40, CONCAT(VLOOKUP($C40, 'Match Names'!$A$1:$D$22, 2, FALSE), ""!C3:R29"")), {4;9;15;21}, FALSE)), ""=4"") + COUNTIF(ARRAYFORMULA(HLOOKUP($B40, IMPORTRANGE('Prelim Rankings Unsor"&amp;"ted'!$B$41, CONCAT(VLOOKUP($C40, 'Match Names'!$A$1:$D$22, 3, FALSE), ""!C3:R29"")), {7;13;19;24}, FALSE)), ""=4"") + COUNTIF(ARRAYFORMULA(HLOOKUP($B40, IMPORTRANGE('Prelim Rankings Unsorted'!$B$42, CONCAT(VLOOKUP($C40, 'Match Names'!$A$1:$D$22, 4, FALSE)"&amp;", ""!C3:R29"")), {7;13;19;24}, FALSE)), ""=4"") + COUNTIF(ARRAYFORMULA(HLOOKUP($B40, IMPORTRANGE('Match Names'!$E$23, CONCAT(VLOOKUP($C40, 'Match Names'!$1:$22, 5, FALSE), ""!C3:R29"")), {2;8;12;22}, FALSE)), ""=4"") + COUNTIF(ARRAYFORMULA(HLOOKUP($B40, I"&amp;"MPORTRANGE('Match Names'!$F$23, CONCAT(VLOOKUP($C40, 'Match Names'!$1:$22, 6, FALSE), ""!C3:R29"")), {3;9;15;21}, FALSE)), ""=4"") + COUNTIF(ARRAYFORMULA(HLOOKUP($B40, IMPORTRANGE('Match Names'!$G$23, CONCAT(VLOOKUP($C40, 'Match Names'!$1:$22, 7, FALSE), "&amp;"""!C3:R29"")), {3;8;12;18}, FALSE)), ""=4"") + COUNTIF(ARRAYFORMULA(HLOOKUP($B40, IMPORTRANGE('Match Names'!$H$23, CONCAT(VLOOKUP($C40, 'Match Names'!$1:$22, 8, FALSE), ""!C3:R29"")), {7;13;19;24}, FALSE)), ""=4"")"),0.0)</f>
        <v>0</v>
      </c>
      <c r="F40" s="32">
        <f>IFERROR(__xludf.DUMMYFUNCTION("COUNTIF(ARRAYFORMULA(HLOOKUP($B40, IMPORTRANGE('Prelim Rankings Unsorted'!$B$40, CONCAT(VLOOKUP($C40, 'Match Names'!$A$1:$D$22, 2, FALSE), ""!C3:R29"")), {4;9;15;21}, FALSE)), ""=0"") + COUNTIF(ARRAYFORMULA(HLOOKUP($B40, IMPORTRANGE('Prelim Rankings Unsor"&amp;"ted'!$B$41, CONCAT(VLOOKUP($C40, 'Match Names'!$A$1:$D$22, 3, FALSE), ""!C3:R29"")), {7;13;19;24}, FALSE)), ""=0"") + COUNTIF(ARRAYFORMULA(HLOOKUP($B40, IMPORTRANGE('Prelim Rankings Unsorted'!$B$42, CONCAT(VLOOKUP($C40, 'Match Names'!$A$1:$D$22, 4, FALSE)"&amp;", ""!C3:R29"")), {7;13;19;24}, FALSE)), ""=0"") + COUNTIF(ARRAYFORMULA(HLOOKUP($B40, IMPORTRANGE('Match Names'!$E$23, CONCAT(VLOOKUP($C40, 'Match Names'!$1:$22, 5, FALSE), ""!C3:R29"")), {2;8;12;22}, FALSE)), ""=0"") + COUNTIF(ARRAYFORMULA(HLOOKUP($B40, I"&amp;"MPORTRANGE('Match Names'!$F$23, CONCAT(VLOOKUP($C40, 'Match Names'!$1:$22, 6, FALSE), ""!C3:R29"")), {3;9;15;21}, FALSE)), ""=0"") + COUNTIF(ARRAYFORMULA(HLOOKUP($B40, IMPORTRANGE('Match Names'!$G$23, CONCAT(VLOOKUP($C40, 'Match Names'!$1:$22, 7, FALSE), "&amp;"""!C3:R29"")), {3;8;12;18}, FALSE)), ""=0"") + COUNTIF(ARRAYFORMULA(HLOOKUP($B40, IMPORTRANGE('Match Names'!$H$23, CONCAT(VLOOKUP($C40, 'Match Names'!$1:$22, 8, FALSE), ""!C3:R29"")), {7;13;19;24}, FALSE)), ""=0"")"),0.0)</f>
        <v>0</v>
      </c>
      <c r="G40" s="32">
        <f>IFERROR(__xludf.DUMMYFUNCTION("COUNTIF(ARRAYFORMULA(HLOOKUP($B40, IMPORTRANGE('Prelim Rankings Unsorted'!$B$40, CONCAT(VLOOKUP($C40, 'Match Names'!$A$1:$D$22, 2, FALSE), ""!C3:R29"")), {4;9;15;21}, FALSE)), ""=-4"") + COUNTIF(ARRAYFORMULA(HLOOKUP($B40, IMPORTRANGE('Prelim Rankings Unso"&amp;"rted'!$B$41, CONCAT(VLOOKUP($C40, 'Match Names'!$A$1:$D$22, 3, FALSE), ""!C3:R29"")), {7;13;19;24}, FALSE)), ""=-4"") + COUNTIF(ARRAYFORMULA(HLOOKUP($B40, IMPORTRANGE('Prelim Rankings Unsorted'!$B$42, CONCAT(VLOOKUP($C40, 'Match Names'!$A$1:$D$22, 4, FALS"&amp;"E), ""!C3:R29"")), {7;13;19;24}, FALSE)), ""=-4"") + COUNTIF(ARRAYFORMULA(HLOOKUP($B40, IMPORTRANGE('Match Names'!$E$23, CONCAT(VLOOKUP($C40, 'Match Names'!$1:$22, 5, FALSE), ""!C3:R29"")), {2;8;12;22}, FALSE)), ""=-4"") + COUNTIF(ARRAYFORMULA(HLOOKUP($B4"&amp;"0, IMPORTRANGE('Match Names'!$F$23, CONCAT(VLOOKUP($C40, 'Match Names'!$1:$22, 6, FALSE), ""!C3:R29"")), {3;9;15;21}, FALSE)), ""=-4"") + COUNTIF(ARRAYFORMULA(HLOOKUP($B40, IMPORTRANGE('Match Names'!$G$23, CONCAT(VLOOKUP($C40, 'Match Names'!$1:$22, 7, FAL"&amp;"SE), ""!C3:R29"")), {3;8;12;18}, FALSE)), ""=-4"") + COUNTIF(ARRAYFORMULA(HLOOKUP($B40, IMPORTRANGE('Match Names'!$H$23, CONCAT(VLOOKUP($C40, 'Match Names'!$1:$22, 8, FALSE), ""!C3:R29"")), {7;13;19;24}, FALSE)), ""=-4"")"),0.0)</f>
        <v>0</v>
      </c>
      <c r="H40" s="33">
        <f t="shared" si="1"/>
        <v>0</v>
      </c>
    </row>
    <row r="41">
      <c r="A41" s="7" t="s">
        <v>162</v>
      </c>
      <c r="B41" s="7" t="str">
        <f>VLOOKUP(CONCAT(A41, C41), 'Discord Username to Real Name'!C:D, 2, FALSE)</f>
        <v>Ajay G.#0147</v>
      </c>
      <c r="C41" s="7" t="s">
        <v>16</v>
      </c>
      <c r="D41" s="32">
        <f>IFERROR(__xludf.DUMMYFUNCTION("(4 - COUNTIF(IFERROR(ARRAYFORMULA(HLOOKUP($B41, IMPORTRANGE('Prelim Rankings Unsorted'!$B$40, CONCAT(VLOOKUP($C41, 'Match Names'!$A$1:$D$22, 2, FALSE), ""!C3:R29"")), {4;9;15;21}, FALSE)), 'Player Overall Stats Unsorted'!$AA$9:$AA$12), ""=X"")) + (4 - COU"&amp;"NTIF(IFERROR(ARRAYFORMULA(HLOOKUP($B41, IMPORTRANGE('Prelim Rankings Unsorted'!$B$41, CONCAT(VLOOKUP($C41, 'Match Names'!$A$1:$D$22, 3, FALSE), ""!C3:R29"")), {7;13;19;24}, FALSE)), 'Player Overall Stats Unsorted'!$AA$9:$AA$12), ""=X"")) + (4 - COUNTIF(IF"&amp;"ERROR(ARRAYFORMULA(HLOOKUP($B41, IMPORTRANGE('Prelim Rankings Unsorted'!$B$42, CONCAT(VLOOKUP($C41, 'Match Names'!$A$1:$D$22, 4, FALSE), ""!C3:R29"")), {7;13;19;24}, FALSE)), 'Player Overall Stats Unsorted'!$AA$9:$AA$12), ""=X"")) + (4 - COUNTIF(IFERROR(A"&amp;"RRAYFORMULA(HLOOKUP($B41, IMPORTRANGE('Match Names'!$E$23, CONCAT(VLOOKUP($C41, 'Match Names'!$1:$22, 5, FALSE), ""!C3:R29"")), {2;8;12;22}, FALSE)), 'Player Overall Stats Unsorted'!$AA$9:$AA$12), ""=X"")) + (4 - COUNTIF(IFERROR(ARRAYFORMULA(HLOOKUP($B41,"&amp;" IMPORTRANGE('Match Names'!$F$23, CONCAT(VLOOKUP($C41, 'Match Names'!$1:$22, 6, FALSE), ""!C3:R29"")), {3;9;15;21}, FALSE)), 'Player Overall Stats Unsorted'!$AA$9:$AA$12), ""=X"")) + (4 - COUNTIF(IFERROR(ARRAYFORMULA(HLOOKUP($B41, IMPORTRANGE('Match Names"&amp;"'!$G$23, CONCAT(VLOOKUP($C41, 'Match Names'!$1:$22, 7, FALSE), ""!C3:R29"")), {3;8;12;18}, FALSE)), 'Player Overall Stats Unsorted'!$AA$9:$AA$12), ""=X"")) + (4 - COUNTIF(IFERROR(ARRAYFORMULA(HLOOKUP($B41, IMPORTRANGE('Match Names'!$H$23, CONCAT(VLOOKUP($"&amp;"C41, 'Match Names'!$1:$22, 8, FALSE), ""!C3:R29"")), {7;13;19;24}, FALSE)), 'Player Overall Stats Unsorted'!$AA$9:$AA$12), ""=X""))"),16.0)</f>
        <v>16</v>
      </c>
      <c r="E41" s="32">
        <f>IFERROR(__xludf.DUMMYFUNCTION("COUNTIF(ARRAYFORMULA(HLOOKUP($B41, IMPORTRANGE('Prelim Rankings Unsorted'!$B$40, CONCAT(VLOOKUP($C41, 'Match Names'!$A$1:$D$22, 2, FALSE), ""!C3:R29"")), {4;9;15;21}, FALSE)), ""=4"") + COUNTIF(ARRAYFORMULA(HLOOKUP($B41, IMPORTRANGE('Prelim Rankings Unsor"&amp;"ted'!$B$41, CONCAT(VLOOKUP($C41, 'Match Names'!$A$1:$D$22, 3, FALSE), ""!C3:R29"")), {7;13;19;24}, FALSE)), ""=4"") + COUNTIF(ARRAYFORMULA(HLOOKUP($B41, IMPORTRANGE('Prelim Rankings Unsorted'!$B$42, CONCAT(VLOOKUP($C41, 'Match Names'!$A$1:$D$22, 4, FALSE)"&amp;", ""!C3:R29"")), {7;13;19;24}, FALSE)), ""=4"") + COUNTIF(ARRAYFORMULA(HLOOKUP($B41, IMPORTRANGE('Match Names'!$E$23, CONCAT(VLOOKUP($C41, 'Match Names'!$1:$22, 5, FALSE), ""!C3:R29"")), {2;8;12;22}, FALSE)), ""=4"") + COUNTIF(ARRAYFORMULA(HLOOKUP($B41, I"&amp;"MPORTRANGE('Match Names'!$F$23, CONCAT(VLOOKUP($C41, 'Match Names'!$1:$22, 6, FALSE), ""!C3:R29"")), {3;9;15;21}, FALSE)), ""=4"") + COUNTIF(ARRAYFORMULA(HLOOKUP($B41, IMPORTRANGE('Match Names'!$G$23, CONCAT(VLOOKUP($C41, 'Match Names'!$1:$22, 7, FALSE), "&amp;"""!C3:R29"")), {3;8;12;18}, FALSE)), ""=4"") + COUNTIF(ARRAYFORMULA(HLOOKUP($B41, IMPORTRANGE('Match Names'!$H$23, CONCAT(VLOOKUP($C41, 'Match Names'!$1:$22, 8, FALSE), ""!C3:R29"")), {7;13;19;24}, FALSE)), ""=4"")"),0.0)</f>
        <v>0</v>
      </c>
      <c r="F41" s="32">
        <f>IFERROR(__xludf.DUMMYFUNCTION("COUNTIF(ARRAYFORMULA(HLOOKUP($B41, IMPORTRANGE('Prelim Rankings Unsorted'!$B$40, CONCAT(VLOOKUP($C41, 'Match Names'!$A$1:$D$22, 2, FALSE), ""!C3:R29"")), {4;9;15;21}, FALSE)), ""=0"") + COUNTIF(ARRAYFORMULA(HLOOKUP($B41, IMPORTRANGE('Prelim Rankings Unsor"&amp;"ted'!$B$41, CONCAT(VLOOKUP($C41, 'Match Names'!$A$1:$D$22, 3, FALSE), ""!C3:R29"")), {7;13;19;24}, FALSE)), ""=0"") + COUNTIF(ARRAYFORMULA(HLOOKUP($B41, IMPORTRANGE('Prelim Rankings Unsorted'!$B$42, CONCAT(VLOOKUP($C41, 'Match Names'!$A$1:$D$22, 4, FALSE)"&amp;", ""!C3:R29"")), {7;13;19;24}, FALSE)), ""=0"") + COUNTIF(ARRAYFORMULA(HLOOKUP($B41, IMPORTRANGE('Match Names'!$E$23, CONCAT(VLOOKUP($C41, 'Match Names'!$1:$22, 5, FALSE), ""!C3:R29"")), {2;8;12;22}, FALSE)), ""=0"") + COUNTIF(ARRAYFORMULA(HLOOKUP($B41, I"&amp;"MPORTRANGE('Match Names'!$F$23, CONCAT(VLOOKUP($C41, 'Match Names'!$1:$22, 6, FALSE), ""!C3:R29"")), {3;9;15;21}, FALSE)), ""=0"") + COUNTIF(ARRAYFORMULA(HLOOKUP($B41, IMPORTRANGE('Match Names'!$G$23, CONCAT(VLOOKUP($C41, 'Match Names'!$1:$22, 7, FALSE), "&amp;"""!C3:R29"")), {3;8;12;18}, FALSE)), ""=0"") + COUNTIF(ARRAYFORMULA(HLOOKUP($B41, IMPORTRANGE('Match Names'!$H$23, CONCAT(VLOOKUP($C41, 'Match Names'!$1:$22, 8, FALSE), ""!C3:R29"")), {7;13;19;24}, FALSE)), ""=0"")"),0.0)</f>
        <v>0</v>
      </c>
      <c r="G41" s="32">
        <f>IFERROR(__xludf.DUMMYFUNCTION("COUNTIF(ARRAYFORMULA(HLOOKUP($B41, IMPORTRANGE('Prelim Rankings Unsorted'!$B$40, CONCAT(VLOOKUP($C41, 'Match Names'!$A$1:$D$22, 2, FALSE), ""!C3:R29"")), {4;9;15;21}, FALSE)), ""=-4"") + COUNTIF(ARRAYFORMULA(HLOOKUP($B41, IMPORTRANGE('Prelim Rankings Unso"&amp;"rted'!$B$41, CONCAT(VLOOKUP($C41, 'Match Names'!$A$1:$D$22, 3, FALSE), ""!C3:R29"")), {7;13;19;24}, FALSE)), ""=-4"") + COUNTIF(ARRAYFORMULA(HLOOKUP($B41, IMPORTRANGE('Prelim Rankings Unsorted'!$B$42, CONCAT(VLOOKUP($C41, 'Match Names'!$A$1:$D$22, 4, FALS"&amp;"E), ""!C3:R29"")), {7;13;19;24}, FALSE)), ""=-4"") + COUNTIF(ARRAYFORMULA(HLOOKUP($B41, IMPORTRANGE('Match Names'!$E$23, CONCAT(VLOOKUP($C41, 'Match Names'!$1:$22, 5, FALSE), ""!C3:R29"")), {2;8;12;22}, FALSE)), ""=-4"") + COUNTIF(ARRAYFORMULA(HLOOKUP($B4"&amp;"1, IMPORTRANGE('Match Names'!$F$23, CONCAT(VLOOKUP($C41, 'Match Names'!$1:$22, 6, FALSE), ""!C3:R29"")), {3;9;15;21}, FALSE)), ""=-4"") + COUNTIF(ARRAYFORMULA(HLOOKUP($B41, IMPORTRANGE('Match Names'!$G$23, CONCAT(VLOOKUP($C41, 'Match Names'!$1:$22, 7, FAL"&amp;"SE), ""!C3:R29"")), {3;8;12;18}, FALSE)), ""=-4"") + COUNTIF(ARRAYFORMULA(HLOOKUP($B41, IMPORTRANGE('Match Names'!$H$23, CONCAT(VLOOKUP($C41, 'Match Names'!$1:$22, 8, FALSE), ""!C3:R29"")), {7;13;19;24}, FALSE)), ""=-4"")"),0.0)</f>
        <v>0</v>
      </c>
      <c r="H41" s="33">
        <f t="shared" si="1"/>
        <v>0</v>
      </c>
    </row>
    <row r="42">
      <c r="A42" s="7" t="s">
        <v>171</v>
      </c>
      <c r="B42" s="7" t="str">
        <f>VLOOKUP(CONCAT(A42, C42), 'Discord Username to Real Name'!C:D, 2, FALSE)</f>
        <v>Tencor7144#2297</v>
      </c>
      <c r="C42" s="7" t="s">
        <v>16</v>
      </c>
      <c r="D42" s="32">
        <f>IFERROR(__xludf.DUMMYFUNCTION("(4 - COUNTIF(IFERROR(ARRAYFORMULA(HLOOKUP($B42, IMPORTRANGE('Prelim Rankings Unsorted'!$B$40, CONCAT(VLOOKUP($C42, 'Match Names'!$A$1:$D$22, 2, FALSE), ""!C3:R29"")), {4;9;15;21}, FALSE)), 'Player Overall Stats Unsorted'!$AA$9:$AA$12), ""=X"")) + (4 - COU"&amp;"NTIF(IFERROR(ARRAYFORMULA(HLOOKUP($B42, IMPORTRANGE('Prelim Rankings Unsorted'!$B$41, CONCAT(VLOOKUP($C42, 'Match Names'!$A$1:$D$22, 3, FALSE), ""!C3:R29"")), {7;13;19;24}, FALSE)), 'Player Overall Stats Unsorted'!$AA$9:$AA$12), ""=X"")) + (4 - COUNTIF(IF"&amp;"ERROR(ARRAYFORMULA(HLOOKUP($B42, IMPORTRANGE('Prelim Rankings Unsorted'!$B$42, CONCAT(VLOOKUP($C42, 'Match Names'!$A$1:$D$22, 4, FALSE), ""!C3:R29"")), {7;13;19;24}, FALSE)), 'Player Overall Stats Unsorted'!$AA$9:$AA$12), ""=X"")) + (4 - COUNTIF(IFERROR(A"&amp;"RRAYFORMULA(HLOOKUP($B42, IMPORTRANGE('Match Names'!$E$23, CONCAT(VLOOKUP($C42, 'Match Names'!$1:$22, 5, FALSE), ""!C3:R29"")), {2;8;12;22}, FALSE)), 'Player Overall Stats Unsorted'!$AA$9:$AA$12), ""=X"")) + (4 - COUNTIF(IFERROR(ARRAYFORMULA(HLOOKUP($B42,"&amp;" IMPORTRANGE('Match Names'!$F$23, CONCAT(VLOOKUP($C42, 'Match Names'!$1:$22, 6, FALSE), ""!C3:R29"")), {3;9;15;21}, FALSE)), 'Player Overall Stats Unsorted'!$AA$9:$AA$12), ""=X"")) + (4 - COUNTIF(IFERROR(ARRAYFORMULA(HLOOKUP($B42, IMPORTRANGE('Match Names"&amp;"'!$G$23, CONCAT(VLOOKUP($C42, 'Match Names'!$1:$22, 7, FALSE), ""!C3:R29"")), {3;8;12;18}, FALSE)), 'Player Overall Stats Unsorted'!$AA$9:$AA$12), ""=X"")) + (4 - COUNTIF(IFERROR(ARRAYFORMULA(HLOOKUP($B42, IMPORTRANGE('Match Names'!$H$23, CONCAT(VLOOKUP($"&amp;"C42, 'Match Names'!$1:$22, 8, FALSE), ""!C3:R29"")), {7;13;19;24}, FALSE)), 'Player Overall Stats Unsorted'!$AA$9:$AA$12), ""=X""))"),8.0)</f>
        <v>8</v>
      </c>
      <c r="E42" s="32">
        <f>IFERROR(__xludf.DUMMYFUNCTION("COUNTIF(ARRAYFORMULA(HLOOKUP($B42, IMPORTRANGE('Prelim Rankings Unsorted'!$B$40, CONCAT(VLOOKUP($C42, 'Match Names'!$A$1:$D$22, 2, FALSE), ""!C3:R29"")), {4;9;15;21}, FALSE)), ""=4"") + COUNTIF(ARRAYFORMULA(HLOOKUP($B42, IMPORTRANGE('Prelim Rankings Unsor"&amp;"ted'!$B$41, CONCAT(VLOOKUP($C42, 'Match Names'!$A$1:$D$22, 3, FALSE), ""!C3:R29"")), {7;13;19;24}, FALSE)), ""=4"") + COUNTIF(ARRAYFORMULA(HLOOKUP($B42, IMPORTRANGE('Prelim Rankings Unsorted'!$B$42, CONCAT(VLOOKUP($C42, 'Match Names'!$A$1:$D$22, 4, FALSE)"&amp;", ""!C3:R29"")), {7;13;19;24}, FALSE)), ""=4"") + COUNTIF(ARRAYFORMULA(HLOOKUP($B42, IMPORTRANGE('Match Names'!$E$23, CONCAT(VLOOKUP($C42, 'Match Names'!$1:$22, 5, FALSE), ""!C3:R29"")), {2;8;12;22}, FALSE)), ""=4"") + COUNTIF(ARRAYFORMULA(HLOOKUP($B42, I"&amp;"MPORTRANGE('Match Names'!$F$23, CONCAT(VLOOKUP($C42, 'Match Names'!$1:$22, 6, FALSE), ""!C3:R29"")), {3;9;15;21}, FALSE)), ""=4"") + COUNTIF(ARRAYFORMULA(HLOOKUP($B42, IMPORTRANGE('Match Names'!$G$23, CONCAT(VLOOKUP($C42, 'Match Names'!$1:$22, 7, FALSE), "&amp;"""!C3:R29"")), {3;8;12;18}, FALSE)), ""=4"") + COUNTIF(ARRAYFORMULA(HLOOKUP($B42, IMPORTRANGE('Match Names'!$H$23, CONCAT(VLOOKUP($C42, 'Match Names'!$1:$22, 8, FALSE), ""!C3:R29"")), {7;13;19;24}, FALSE)), ""=4"")"),0.0)</f>
        <v>0</v>
      </c>
      <c r="F42" s="32">
        <f>IFERROR(__xludf.DUMMYFUNCTION("COUNTIF(ARRAYFORMULA(HLOOKUP($B42, IMPORTRANGE('Prelim Rankings Unsorted'!$B$40, CONCAT(VLOOKUP($C42, 'Match Names'!$A$1:$D$22, 2, FALSE), ""!C3:R29"")), {4;9;15;21}, FALSE)), ""=0"") + COUNTIF(ARRAYFORMULA(HLOOKUP($B42, IMPORTRANGE('Prelim Rankings Unsor"&amp;"ted'!$B$41, CONCAT(VLOOKUP($C42, 'Match Names'!$A$1:$D$22, 3, FALSE), ""!C3:R29"")), {7;13;19;24}, FALSE)), ""=0"") + COUNTIF(ARRAYFORMULA(HLOOKUP($B42, IMPORTRANGE('Prelim Rankings Unsorted'!$B$42, CONCAT(VLOOKUP($C42, 'Match Names'!$A$1:$D$22, 4, FALSE)"&amp;", ""!C3:R29"")), {7;13;19;24}, FALSE)), ""=0"") + COUNTIF(ARRAYFORMULA(HLOOKUP($B42, IMPORTRANGE('Match Names'!$E$23, CONCAT(VLOOKUP($C42, 'Match Names'!$1:$22, 5, FALSE), ""!C3:R29"")), {2;8;12;22}, FALSE)), ""=0"") + COUNTIF(ARRAYFORMULA(HLOOKUP($B42, I"&amp;"MPORTRANGE('Match Names'!$F$23, CONCAT(VLOOKUP($C42, 'Match Names'!$1:$22, 6, FALSE), ""!C3:R29"")), {3;9;15;21}, FALSE)), ""=0"") + COUNTIF(ARRAYFORMULA(HLOOKUP($B42, IMPORTRANGE('Match Names'!$G$23, CONCAT(VLOOKUP($C42, 'Match Names'!$1:$22, 7, FALSE), "&amp;"""!C3:R29"")), {3;8;12;18}, FALSE)), ""=0"") + COUNTIF(ARRAYFORMULA(HLOOKUP($B42, IMPORTRANGE('Match Names'!$H$23, CONCAT(VLOOKUP($C42, 'Match Names'!$1:$22, 8, FALSE), ""!C3:R29"")), {7;13;19;24}, FALSE)), ""=0"")"),0.0)</f>
        <v>0</v>
      </c>
      <c r="G42" s="32">
        <f>IFERROR(__xludf.DUMMYFUNCTION("COUNTIF(ARRAYFORMULA(HLOOKUP($B42, IMPORTRANGE('Prelim Rankings Unsorted'!$B$40, CONCAT(VLOOKUP($C42, 'Match Names'!$A$1:$D$22, 2, FALSE), ""!C3:R29"")), {4;9;15;21}, FALSE)), ""=-4"") + COUNTIF(ARRAYFORMULA(HLOOKUP($B42, IMPORTRANGE('Prelim Rankings Unso"&amp;"rted'!$B$41, CONCAT(VLOOKUP($C42, 'Match Names'!$A$1:$D$22, 3, FALSE), ""!C3:R29"")), {7;13;19;24}, FALSE)), ""=-4"") + COUNTIF(ARRAYFORMULA(HLOOKUP($B42, IMPORTRANGE('Prelim Rankings Unsorted'!$B$42, CONCAT(VLOOKUP($C42, 'Match Names'!$A$1:$D$22, 4, FALS"&amp;"E), ""!C3:R29"")), {7;13;19;24}, FALSE)), ""=-4"") + COUNTIF(ARRAYFORMULA(HLOOKUP($B42, IMPORTRANGE('Match Names'!$E$23, CONCAT(VLOOKUP($C42, 'Match Names'!$1:$22, 5, FALSE), ""!C3:R29"")), {2;8;12;22}, FALSE)), ""=-4"") + COUNTIF(ARRAYFORMULA(HLOOKUP($B4"&amp;"2, IMPORTRANGE('Match Names'!$F$23, CONCAT(VLOOKUP($C42, 'Match Names'!$1:$22, 6, FALSE), ""!C3:R29"")), {3;9;15;21}, FALSE)), ""=-4"") + COUNTIF(ARRAYFORMULA(HLOOKUP($B42, IMPORTRANGE('Match Names'!$G$23, CONCAT(VLOOKUP($C42, 'Match Names'!$1:$22, 7, FAL"&amp;"SE), ""!C3:R29"")), {3;8;12;18}, FALSE)), ""=-4"") + COUNTIF(ARRAYFORMULA(HLOOKUP($B42, IMPORTRANGE('Match Names'!$H$23, CONCAT(VLOOKUP($C42, 'Match Names'!$1:$22, 8, FALSE), ""!C3:R29"")), {7;13;19;24}, FALSE)), ""=-4"")"),0.0)</f>
        <v>0</v>
      </c>
      <c r="H42" s="33">
        <f t="shared" si="1"/>
        <v>0</v>
      </c>
    </row>
    <row r="43">
      <c r="A43" s="7" t="s">
        <v>73</v>
      </c>
      <c r="B43" s="7" t="str">
        <f>VLOOKUP(CONCAT(A43, C43), 'Discord Username to Real Name'!C:D, 2, FALSE)</f>
        <v>oof7373#7373</v>
      </c>
      <c r="C43" s="7" t="s">
        <v>15</v>
      </c>
      <c r="D43" s="32">
        <f>IFERROR(__xludf.DUMMYFUNCTION("(4 - COUNTIF(IFERROR(ARRAYFORMULA(HLOOKUP($B43, IMPORTRANGE('Prelim Rankings Unsorted'!$B$40, CONCAT(VLOOKUP($C43, 'Match Names'!$A$1:$D$22, 2, FALSE), ""!C3:R29"")), {4;9;15;21}, FALSE)), 'Player Overall Stats Unsorted'!$AA$9:$AA$12), ""=X"")) + (4 - COU"&amp;"NTIF(IFERROR(ARRAYFORMULA(HLOOKUP($B43, IMPORTRANGE('Prelim Rankings Unsorted'!$B$41, CONCAT(VLOOKUP($C43, 'Match Names'!$A$1:$D$22, 3, FALSE), ""!C3:R29"")), {7;13;19;24}, FALSE)), 'Player Overall Stats Unsorted'!$AA$9:$AA$12), ""=X"")) + (4 - COUNTIF(IF"&amp;"ERROR(ARRAYFORMULA(HLOOKUP($B43, IMPORTRANGE('Prelim Rankings Unsorted'!$B$42, CONCAT(VLOOKUP($C43, 'Match Names'!$A$1:$D$22, 4, FALSE), ""!C3:R29"")), {7;13;19;24}, FALSE)), 'Player Overall Stats Unsorted'!$AA$9:$AA$12), ""=X"")) + (4 - COUNTIF(IFERROR(A"&amp;"RRAYFORMULA(HLOOKUP($B43, IMPORTRANGE('Match Names'!$E$23, CONCAT(VLOOKUP($C43, 'Match Names'!$1:$22, 5, FALSE), ""!C3:R29"")), {2;8;12;22}, FALSE)), 'Player Overall Stats Unsorted'!$AA$9:$AA$12), ""=X"")) + (4 - COUNTIF(IFERROR(ARRAYFORMULA(HLOOKUP($B43,"&amp;" IMPORTRANGE('Match Names'!$F$23, CONCAT(VLOOKUP($C43, 'Match Names'!$1:$22, 6, FALSE), ""!C3:R29"")), {3;9;15;21}, FALSE)), 'Player Overall Stats Unsorted'!$AA$9:$AA$12), ""=X"")) + (4 - COUNTIF(IFERROR(ARRAYFORMULA(HLOOKUP($B43, IMPORTRANGE('Match Names"&amp;"'!$G$23, CONCAT(VLOOKUP($C43, 'Match Names'!$1:$22, 7, FALSE), ""!C3:R29"")), {3;8;12;18}, FALSE)), 'Player Overall Stats Unsorted'!$AA$9:$AA$12), ""=X"")) + (4 - COUNTIF(IFERROR(ARRAYFORMULA(HLOOKUP($B43, IMPORTRANGE('Match Names'!$H$23, CONCAT(VLOOKUP($"&amp;"C43, 'Match Names'!$1:$22, 8, FALSE), ""!C3:R29"")), {7;13;19;24}, FALSE)), 'Player Overall Stats Unsorted'!$AA$9:$AA$12), ""=X""))"),24.0)</f>
        <v>24</v>
      </c>
      <c r="E43" s="32">
        <f>IFERROR(__xludf.DUMMYFUNCTION("COUNTIF(ARRAYFORMULA(HLOOKUP($B43, IMPORTRANGE('Prelim Rankings Unsorted'!$B$40, CONCAT(VLOOKUP($C43, 'Match Names'!$A$1:$D$22, 2, FALSE), ""!C3:R29"")), {4;9;15;21}, FALSE)), ""=4"") + COUNTIF(ARRAYFORMULA(HLOOKUP($B43, IMPORTRANGE('Prelim Rankings Unsor"&amp;"ted'!$B$41, CONCAT(VLOOKUP($C43, 'Match Names'!$A$1:$D$22, 3, FALSE), ""!C3:R29"")), {7;13;19;24}, FALSE)), ""=4"") + COUNTIF(ARRAYFORMULA(HLOOKUP($B43, IMPORTRANGE('Prelim Rankings Unsorted'!$B$42, CONCAT(VLOOKUP($C43, 'Match Names'!$A$1:$D$22, 4, FALSE)"&amp;", ""!C3:R29"")), {7;13;19;24}, FALSE)), ""=4"") + COUNTIF(ARRAYFORMULA(HLOOKUP($B43, IMPORTRANGE('Match Names'!$E$23, CONCAT(VLOOKUP($C43, 'Match Names'!$1:$22, 5, FALSE), ""!C3:R29"")), {2;8;12;22}, FALSE)), ""=4"") + COUNTIF(ARRAYFORMULA(HLOOKUP($B43, I"&amp;"MPORTRANGE('Match Names'!$F$23, CONCAT(VLOOKUP($C43, 'Match Names'!$1:$22, 6, FALSE), ""!C3:R29"")), {3;9;15;21}, FALSE)), ""=4"") + COUNTIF(ARRAYFORMULA(HLOOKUP($B43, IMPORTRANGE('Match Names'!$G$23, CONCAT(VLOOKUP($C43, 'Match Names'!$1:$22, 7, FALSE), "&amp;"""!C3:R29"")), {3;8;12;18}, FALSE)), ""=4"") + COUNTIF(ARRAYFORMULA(HLOOKUP($B43, IMPORTRANGE('Match Names'!$H$23, CONCAT(VLOOKUP($C43, 'Match Names'!$1:$22, 8, FALSE), ""!C3:R29"")), {7;13;19;24}, FALSE)), ""=4"")"),10.0)</f>
        <v>10</v>
      </c>
      <c r="F43" s="32">
        <f>IFERROR(__xludf.DUMMYFUNCTION("COUNTIF(ARRAYFORMULA(HLOOKUP($B43, IMPORTRANGE('Prelim Rankings Unsorted'!$B$40, CONCAT(VLOOKUP($C43, 'Match Names'!$A$1:$D$22, 2, FALSE), ""!C3:R29"")), {4;9;15;21}, FALSE)), ""=0"") + COUNTIF(ARRAYFORMULA(HLOOKUP($B43, IMPORTRANGE('Prelim Rankings Unsor"&amp;"ted'!$B$41, CONCAT(VLOOKUP($C43, 'Match Names'!$A$1:$D$22, 3, FALSE), ""!C3:R29"")), {7;13;19;24}, FALSE)), ""=0"") + COUNTIF(ARRAYFORMULA(HLOOKUP($B43, IMPORTRANGE('Prelim Rankings Unsorted'!$B$42, CONCAT(VLOOKUP($C43, 'Match Names'!$A$1:$D$22, 4, FALSE)"&amp;", ""!C3:R29"")), {7;13;19;24}, FALSE)), ""=0"") + COUNTIF(ARRAYFORMULA(HLOOKUP($B43, IMPORTRANGE('Match Names'!$E$23, CONCAT(VLOOKUP($C43, 'Match Names'!$1:$22, 5, FALSE), ""!C3:R29"")), {2;8;12;22}, FALSE)), ""=0"") + COUNTIF(ARRAYFORMULA(HLOOKUP($B43, I"&amp;"MPORTRANGE('Match Names'!$F$23, CONCAT(VLOOKUP($C43, 'Match Names'!$1:$22, 6, FALSE), ""!C3:R29"")), {3;9;15;21}, FALSE)), ""=0"") + COUNTIF(ARRAYFORMULA(HLOOKUP($B43, IMPORTRANGE('Match Names'!$G$23, CONCAT(VLOOKUP($C43, 'Match Names'!$1:$22, 7, FALSE), "&amp;"""!C3:R29"")), {3;8;12;18}, FALSE)), ""=0"") + COUNTIF(ARRAYFORMULA(HLOOKUP($B43, IMPORTRANGE('Match Names'!$H$23, CONCAT(VLOOKUP($C43, 'Match Names'!$1:$22, 8, FALSE), ""!C3:R29"")), {7;13;19;24}, FALSE)), ""=0"")"),7.0)</f>
        <v>7</v>
      </c>
      <c r="G43" s="32">
        <f>IFERROR(__xludf.DUMMYFUNCTION("COUNTIF(ARRAYFORMULA(HLOOKUP($B43, IMPORTRANGE('Prelim Rankings Unsorted'!$B$40, CONCAT(VLOOKUP($C43, 'Match Names'!$A$1:$D$22, 2, FALSE), ""!C3:R29"")), {4;9;15;21}, FALSE)), ""=-4"") + COUNTIF(ARRAYFORMULA(HLOOKUP($B43, IMPORTRANGE('Prelim Rankings Unso"&amp;"rted'!$B$41, CONCAT(VLOOKUP($C43, 'Match Names'!$A$1:$D$22, 3, FALSE), ""!C3:R29"")), {7;13;19;24}, FALSE)), ""=-4"") + COUNTIF(ARRAYFORMULA(HLOOKUP($B43, IMPORTRANGE('Prelim Rankings Unsorted'!$B$42, CONCAT(VLOOKUP($C43, 'Match Names'!$A$1:$D$22, 4, FALS"&amp;"E), ""!C3:R29"")), {7;13;19;24}, FALSE)), ""=-4"") + COUNTIF(ARRAYFORMULA(HLOOKUP($B43, IMPORTRANGE('Match Names'!$E$23, CONCAT(VLOOKUP($C43, 'Match Names'!$1:$22, 5, FALSE), ""!C3:R29"")), {2;8;12;22}, FALSE)), ""=-4"") + COUNTIF(ARRAYFORMULA(HLOOKUP($B4"&amp;"3, IMPORTRANGE('Match Names'!$F$23, CONCAT(VLOOKUP($C43, 'Match Names'!$1:$22, 6, FALSE), ""!C3:R29"")), {3;9;15;21}, FALSE)), ""=-4"") + COUNTIF(ARRAYFORMULA(HLOOKUP($B43, IMPORTRANGE('Match Names'!$G$23, CONCAT(VLOOKUP($C43, 'Match Names'!$1:$22, 7, FAL"&amp;"SE), ""!C3:R29"")), {3;8;12;18}, FALSE)), ""=-4"") + COUNTIF(ARRAYFORMULA(HLOOKUP($B43, IMPORTRANGE('Match Names'!$H$23, CONCAT(VLOOKUP($C43, 'Match Names'!$1:$22, 8, FALSE), ""!C3:R29"")), {7;13;19;24}, FALSE)), ""=-4"")"),0.0)</f>
        <v>0</v>
      </c>
      <c r="H43" s="33">
        <f t="shared" si="1"/>
        <v>6.67</v>
      </c>
    </row>
    <row r="44">
      <c r="A44" s="7" t="s">
        <v>63</v>
      </c>
      <c r="B44" s="7" t="str">
        <f>VLOOKUP(CONCAT(A44, C44), 'Discord Username to Real Name'!C:D, 2, FALSE)</f>
        <v>effervescence#3904</v>
      </c>
      <c r="C44" s="7" t="s">
        <v>15</v>
      </c>
      <c r="D44" s="32">
        <f>IFERROR(__xludf.DUMMYFUNCTION("(4 - COUNTIF(IFERROR(ARRAYFORMULA(HLOOKUP($B44, IMPORTRANGE('Prelim Rankings Unsorted'!$B$40, CONCAT(VLOOKUP($C44, 'Match Names'!$A$1:$D$22, 2, FALSE), ""!C3:R29"")), {4;9;15;21}, FALSE)), 'Player Overall Stats Unsorted'!$AA$9:$AA$12), ""=X"")) + (4 - COU"&amp;"NTIF(IFERROR(ARRAYFORMULA(HLOOKUP($B44, IMPORTRANGE('Prelim Rankings Unsorted'!$B$41, CONCAT(VLOOKUP($C44, 'Match Names'!$A$1:$D$22, 3, FALSE), ""!C3:R29"")), {7;13;19;24}, FALSE)), 'Player Overall Stats Unsorted'!$AA$9:$AA$12), ""=X"")) + (4 - COUNTIF(IF"&amp;"ERROR(ARRAYFORMULA(HLOOKUP($B44, IMPORTRANGE('Prelim Rankings Unsorted'!$B$42, CONCAT(VLOOKUP($C44, 'Match Names'!$A$1:$D$22, 4, FALSE), ""!C3:R29"")), {7;13;19;24}, FALSE)), 'Player Overall Stats Unsorted'!$AA$9:$AA$12), ""=X"")) + (4 - COUNTIF(IFERROR(A"&amp;"RRAYFORMULA(HLOOKUP($B44, IMPORTRANGE('Match Names'!$E$23, CONCAT(VLOOKUP($C44, 'Match Names'!$1:$22, 5, FALSE), ""!C3:R29"")), {2;8;12;22}, FALSE)), 'Player Overall Stats Unsorted'!$AA$9:$AA$12), ""=X"")) + (4 - COUNTIF(IFERROR(ARRAYFORMULA(HLOOKUP($B44,"&amp;" IMPORTRANGE('Match Names'!$F$23, CONCAT(VLOOKUP($C44, 'Match Names'!$1:$22, 6, FALSE), ""!C3:R29"")), {3;9;15;21}, FALSE)), 'Player Overall Stats Unsorted'!$AA$9:$AA$12), ""=X"")) + (4 - COUNTIF(IFERROR(ARRAYFORMULA(HLOOKUP($B44, IMPORTRANGE('Match Names"&amp;"'!$G$23, CONCAT(VLOOKUP($C44, 'Match Names'!$1:$22, 7, FALSE), ""!C3:R29"")), {3;8;12;18}, FALSE)), 'Player Overall Stats Unsorted'!$AA$9:$AA$12), ""=X"")) + (4 - COUNTIF(IFERROR(ARRAYFORMULA(HLOOKUP($B44, IMPORTRANGE('Match Names'!$H$23, CONCAT(VLOOKUP($"&amp;"C44, 'Match Names'!$1:$22, 8, FALSE), ""!C3:R29"")), {7;13;19;24}, FALSE)), 'Player Overall Stats Unsorted'!$AA$9:$AA$12), ""=X""))"),20.0)</f>
        <v>20</v>
      </c>
      <c r="E44" s="32">
        <f>IFERROR(__xludf.DUMMYFUNCTION("COUNTIF(ARRAYFORMULA(HLOOKUP($B44, IMPORTRANGE('Prelim Rankings Unsorted'!$B$40, CONCAT(VLOOKUP($C44, 'Match Names'!$A$1:$D$22, 2, FALSE), ""!C3:R29"")), {4;9;15;21}, FALSE)), ""=4"") + COUNTIF(ARRAYFORMULA(HLOOKUP($B44, IMPORTRANGE('Prelim Rankings Unsor"&amp;"ted'!$B$41, CONCAT(VLOOKUP($C44, 'Match Names'!$A$1:$D$22, 3, FALSE), ""!C3:R29"")), {7;13;19;24}, FALSE)), ""=4"") + COUNTIF(ARRAYFORMULA(HLOOKUP($B44, IMPORTRANGE('Prelim Rankings Unsorted'!$B$42, CONCAT(VLOOKUP($C44, 'Match Names'!$A$1:$D$22, 4, FALSE)"&amp;", ""!C3:R29"")), {7;13;19;24}, FALSE)), ""=4"") + COUNTIF(ARRAYFORMULA(HLOOKUP($B44, IMPORTRANGE('Match Names'!$E$23, CONCAT(VLOOKUP($C44, 'Match Names'!$1:$22, 5, FALSE), ""!C3:R29"")), {2;8;12;22}, FALSE)), ""=4"") + COUNTIF(ARRAYFORMULA(HLOOKUP($B44, I"&amp;"MPORTRANGE('Match Names'!$F$23, CONCAT(VLOOKUP($C44, 'Match Names'!$1:$22, 6, FALSE), ""!C3:R29"")), {3;9;15;21}, FALSE)), ""=4"") + COUNTIF(ARRAYFORMULA(HLOOKUP($B44, IMPORTRANGE('Match Names'!$G$23, CONCAT(VLOOKUP($C44, 'Match Names'!$1:$22, 7, FALSE), "&amp;"""!C3:R29"")), {3;8;12;18}, FALSE)), ""=4"") + COUNTIF(ARRAYFORMULA(HLOOKUP($B44, IMPORTRANGE('Match Names'!$H$23, CONCAT(VLOOKUP($C44, 'Match Names'!$1:$22, 8, FALSE), ""!C3:R29"")), {7;13;19;24}, FALSE)), ""=4"")"),2.0)</f>
        <v>2</v>
      </c>
      <c r="F44" s="32">
        <f>IFERROR(__xludf.DUMMYFUNCTION("COUNTIF(ARRAYFORMULA(HLOOKUP($B44, IMPORTRANGE('Prelim Rankings Unsorted'!$B$40, CONCAT(VLOOKUP($C44, 'Match Names'!$A$1:$D$22, 2, FALSE), ""!C3:R29"")), {4;9;15;21}, FALSE)), ""=0"") + COUNTIF(ARRAYFORMULA(HLOOKUP($B44, IMPORTRANGE('Prelim Rankings Unsor"&amp;"ted'!$B$41, CONCAT(VLOOKUP($C44, 'Match Names'!$A$1:$D$22, 3, FALSE), ""!C3:R29"")), {7;13;19;24}, FALSE)), ""=0"") + COUNTIF(ARRAYFORMULA(HLOOKUP($B44, IMPORTRANGE('Prelim Rankings Unsorted'!$B$42, CONCAT(VLOOKUP($C44, 'Match Names'!$A$1:$D$22, 4, FALSE)"&amp;", ""!C3:R29"")), {7;13;19;24}, FALSE)), ""=0"") + COUNTIF(ARRAYFORMULA(HLOOKUP($B44, IMPORTRANGE('Match Names'!$E$23, CONCAT(VLOOKUP($C44, 'Match Names'!$1:$22, 5, FALSE), ""!C3:R29"")), {2;8;12;22}, FALSE)), ""=0"") + COUNTIF(ARRAYFORMULA(HLOOKUP($B44, I"&amp;"MPORTRANGE('Match Names'!$F$23, CONCAT(VLOOKUP($C44, 'Match Names'!$1:$22, 6, FALSE), ""!C3:R29"")), {3;9;15;21}, FALSE)), ""=0"") + COUNTIF(ARRAYFORMULA(HLOOKUP($B44, IMPORTRANGE('Match Names'!$G$23, CONCAT(VLOOKUP($C44, 'Match Names'!$1:$22, 7, FALSE), "&amp;"""!C3:R29"")), {3;8;12;18}, FALSE)), ""=0"") + COUNTIF(ARRAYFORMULA(HLOOKUP($B44, IMPORTRANGE('Match Names'!$H$23, CONCAT(VLOOKUP($C44, 'Match Names'!$1:$22, 8, FALSE), ""!C3:R29"")), {7;13;19;24}, FALSE)), ""=0"")"),1.0)</f>
        <v>1</v>
      </c>
      <c r="G44" s="32">
        <f>IFERROR(__xludf.DUMMYFUNCTION("COUNTIF(ARRAYFORMULA(HLOOKUP($B44, IMPORTRANGE('Prelim Rankings Unsorted'!$B$40, CONCAT(VLOOKUP($C44, 'Match Names'!$A$1:$D$22, 2, FALSE), ""!C3:R29"")), {4;9;15;21}, FALSE)), ""=-4"") + COUNTIF(ARRAYFORMULA(HLOOKUP($B44, IMPORTRANGE('Prelim Rankings Unso"&amp;"rted'!$B$41, CONCAT(VLOOKUP($C44, 'Match Names'!$A$1:$D$22, 3, FALSE), ""!C3:R29"")), {7;13;19;24}, FALSE)), ""=-4"") + COUNTIF(ARRAYFORMULA(HLOOKUP($B44, IMPORTRANGE('Prelim Rankings Unsorted'!$B$42, CONCAT(VLOOKUP($C44, 'Match Names'!$A$1:$D$22, 4, FALS"&amp;"E), ""!C3:R29"")), {7;13;19;24}, FALSE)), ""=-4"") + COUNTIF(ARRAYFORMULA(HLOOKUP($B44, IMPORTRANGE('Match Names'!$E$23, CONCAT(VLOOKUP($C44, 'Match Names'!$1:$22, 5, FALSE), ""!C3:R29"")), {2;8;12;22}, FALSE)), ""=-4"") + COUNTIF(ARRAYFORMULA(HLOOKUP($B4"&amp;"4, IMPORTRANGE('Match Names'!$F$23, CONCAT(VLOOKUP($C44, 'Match Names'!$1:$22, 6, FALSE), ""!C3:R29"")), {3;9;15;21}, FALSE)), ""=-4"") + COUNTIF(ARRAYFORMULA(HLOOKUP($B44, IMPORTRANGE('Match Names'!$G$23, CONCAT(VLOOKUP($C44, 'Match Names'!$1:$22, 7, FAL"&amp;"SE), ""!C3:R29"")), {3;8;12;18}, FALSE)), ""=-4"") + COUNTIF(ARRAYFORMULA(HLOOKUP($B44, IMPORTRANGE('Match Names'!$H$23, CONCAT(VLOOKUP($C44, 'Match Names'!$1:$22, 8, FALSE), ""!C3:R29"")), {7;13;19;24}, FALSE)), ""=-4"")"),0.0)</f>
        <v>0</v>
      </c>
      <c r="H44" s="33">
        <f t="shared" si="1"/>
        <v>1.6</v>
      </c>
    </row>
    <row r="45">
      <c r="A45" s="7" t="s">
        <v>113</v>
      </c>
      <c r="B45" s="7" t="str">
        <f>VLOOKUP(CONCAT(A45, C45), 'Discord Username to Real Name'!C:D, 2, FALSE)</f>
        <v>a5a7#2184</v>
      </c>
      <c r="C45" s="7" t="s">
        <v>15</v>
      </c>
      <c r="D45" s="32">
        <f>IFERROR(__xludf.DUMMYFUNCTION("(4 - COUNTIF(IFERROR(ARRAYFORMULA(HLOOKUP($B45, IMPORTRANGE('Prelim Rankings Unsorted'!$B$40, CONCAT(VLOOKUP($C45, 'Match Names'!$A$1:$D$22, 2, FALSE), ""!C3:R29"")), {4;9;15;21}, FALSE)), 'Player Overall Stats Unsorted'!$AA$9:$AA$12), ""=X"")) + (4 - COU"&amp;"NTIF(IFERROR(ARRAYFORMULA(HLOOKUP($B45, IMPORTRANGE('Prelim Rankings Unsorted'!$B$41, CONCAT(VLOOKUP($C45, 'Match Names'!$A$1:$D$22, 3, FALSE), ""!C3:R29"")), {7;13;19;24}, FALSE)), 'Player Overall Stats Unsorted'!$AA$9:$AA$12), ""=X"")) + (4 - COUNTIF(IF"&amp;"ERROR(ARRAYFORMULA(HLOOKUP($B45, IMPORTRANGE('Prelim Rankings Unsorted'!$B$42, CONCAT(VLOOKUP($C45, 'Match Names'!$A$1:$D$22, 4, FALSE), ""!C3:R29"")), {7;13;19;24}, FALSE)), 'Player Overall Stats Unsorted'!$AA$9:$AA$12), ""=X"")) + (4 - COUNTIF(IFERROR(A"&amp;"RRAYFORMULA(HLOOKUP($B45, IMPORTRANGE('Match Names'!$E$23, CONCAT(VLOOKUP($C45, 'Match Names'!$1:$22, 5, FALSE), ""!C3:R29"")), {2;8;12;22}, FALSE)), 'Player Overall Stats Unsorted'!$AA$9:$AA$12), ""=X"")) + (4 - COUNTIF(IFERROR(ARRAYFORMULA(HLOOKUP($B45,"&amp;" IMPORTRANGE('Match Names'!$F$23, CONCAT(VLOOKUP($C45, 'Match Names'!$1:$22, 6, FALSE), ""!C3:R29"")), {3;9;15;21}, FALSE)), 'Player Overall Stats Unsorted'!$AA$9:$AA$12), ""=X"")) + (4 - COUNTIF(IFERROR(ARRAYFORMULA(HLOOKUP($B45, IMPORTRANGE('Match Names"&amp;"'!$G$23, CONCAT(VLOOKUP($C45, 'Match Names'!$1:$22, 7, FALSE), ""!C3:R29"")), {3;8;12;18}, FALSE)), 'Player Overall Stats Unsorted'!$AA$9:$AA$12), ""=X"")) + (4 - COUNTIF(IFERROR(ARRAYFORMULA(HLOOKUP($B45, IMPORTRANGE('Match Names'!$H$23, CONCAT(VLOOKUP($"&amp;"C45, 'Match Names'!$1:$22, 8, FALSE), ""!C3:R29"")), {7;13;19;24}, FALSE)), 'Player Overall Stats Unsorted'!$AA$9:$AA$12), ""=X""))"),16.0)</f>
        <v>16</v>
      </c>
      <c r="E45" s="32">
        <f>IFERROR(__xludf.DUMMYFUNCTION("COUNTIF(ARRAYFORMULA(HLOOKUP($B45, IMPORTRANGE('Prelim Rankings Unsorted'!$B$40, CONCAT(VLOOKUP($C45, 'Match Names'!$A$1:$D$22, 2, FALSE), ""!C3:R29"")), {4;9;15;21}, FALSE)), ""=4"") + COUNTIF(ARRAYFORMULA(HLOOKUP($B45, IMPORTRANGE('Prelim Rankings Unsor"&amp;"ted'!$B$41, CONCAT(VLOOKUP($C45, 'Match Names'!$A$1:$D$22, 3, FALSE), ""!C3:R29"")), {7;13;19;24}, FALSE)), ""=4"") + COUNTIF(ARRAYFORMULA(HLOOKUP($B45, IMPORTRANGE('Prelim Rankings Unsorted'!$B$42, CONCAT(VLOOKUP($C45, 'Match Names'!$A$1:$D$22, 4, FALSE)"&amp;", ""!C3:R29"")), {7;13;19;24}, FALSE)), ""=4"") + COUNTIF(ARRAYFORMULA(HLOOKUP($B45, IMPORTRANGE('Match Names'!$E$23, CONCAT(VLOOKUP($C45, 'Match Names'!$1:$22, 5, FALSE), ""!C3:R29"")), {2;8;12;22}, FALSE)), ""=4"") + COUNTIF(ARRAYFORMULA(HLOOKUP($B45, I"&amp;"MPORTRANGE('Match Names'!$F$23, CONCAT(VLOOKUP($C45, 'Match Names'!$1:$22, 6, FALSE), ""!C3:R29"")), {3;9;15;21}, FALSE)), ""=4"") + COUNTIF(ARRAYFORMULA(HLOOKUP($B45, IMPORTRANGE('Match Names'!$G$23, CONCAT(VLOOKUP($C45, 'Match Names'!$1:$22, 7, FALSE), "&amp;"""!C3:R29"")), {3;8;12;18}, FALSE)), ""=4"") + COUNTIF(ARRAYFORMULA(HLOOKUP($B45, IMPORTRANGE('Match Names'!$H$23, CONCAT(VLOOKUP($C45, 'Match Names'!$1:$22, 8, FALSE), ""!C3:R29"")), {7;13;19;24}, FALSE)), ""=4"")"),0.0)</f>
        <v>0</v>
      </c>
      <c r="F45" s="32">
        <f>IFERROR(__xludf.DUMMYFUNCTION("COUNTIF(ARRAYFORMULA(HLOOKUP($B45, IMPORTRANGE('Prelim Rankings Unsorted'!$B$40, CONCAT(VLOOKUP($C45, 'Match Names'!$A$1:$D$22, 2, FALSE), ""!C3:R29"")), {4;9;15;21}, FALSE)), ""=0"") + COUNTIF(ARRAYFORMULA(HLOOKUP($B45, IMPORTRANGE('Prelim Rankings Unsor"&amp;"ted'!$B$41, CONCAT(VLOOKUP($C45, 'Match Names'!$A$1:$D$22, 3, FALSE), ""!C3:R29"")), {7;13;19;24}, FALSE)), ""=0"") + COUNTIF(ARRAYFORMULA(HLOOKUP($B45, IMPORTRANGE('Prelim Rankings Unsorted'!$B$42, CONCAT(VLOOKUP($C45, 'Match Names'!$A$1:$D$22, 4, FALSE)"&amp;", ""!C3:R29"")), {7;13;19;24}, FALSE)), ""=0"") + COUNTIF(ARRAYFORMULA(HLOOKUP($B45, IMPORTRANGE('Match Names'!$E$23, CONCAT(VLOOKUP($C45, 'Match Names'!$1:$22, 5, FALSE), ""!C3:R29"")), {2;8;12;22}, FALSE)), ""=0"") + COUNTIF(ARRAYFORMULA(HLOOKUP($B45, I"&amp;"MPORTRANGE('Match Names'!$F$23, CONCAT(VLOOKUP($C45, 'Match Names'!$1:$22, 6, FALSE), ""!C3:R29"")), {3;9;15;21}, FALSE)), ""=0"") + COUNTIF(ARRAYFORMULA(HLOOKUP($B45, IMPORTRANGE('Match Names'!$G$23, CONCAT(VLOOKUP($C45, 'Match Names'!$1:$22, 7, FALSE), "&amp;"""!C3:R29"")), {3;8;12;18}, FALSE)), ""=0"") + COUNTIF(ARRAYFORMULA(HLOOKUP($B45, IMPORTRANGE('Match Names'!$H$23, CONCAT(VLOOKUP($C45, 'Match Names'!$1:$22, 8, FALSE), ""!C3:R29"")), {7;13;19;24}, FALSE)), ""=0"")"),0.0)</f>
        <v>0</v>
      </c>
      <c r="G45" s="32">
        <f>IFERROR(__xludf.DUMMYFUNCTION("COUNTIF(ARRAYFORMULA(HLOOKUP($B45, IMPORTRANGE('Prelim Rankings Unsorted'!$B$40, CONCAT(VLOOKUP($C45, 'Match Names'!$A$1:$D$22, 2, FALSE), ""!C3:R29"")), {4;9;15;21}, FALSE)), ""=-4"") + COUNTIF(ARRAYFORMULA(HLOOKUP($B45, IMPORTRANGE('Prelim Rankings Unso"&amp;"rted'!$B$41, CONCAT(VLOOKUP($C45, 'Match Names'!$A$1:$D$22, 3, FALSE), ""!C3:R29"")), {7;13;19;24}, FALSE)), ""=-4"") + COUNTIF(ARRAYFORMULA(HLOOKUP($B45, IMPORTRANGE('Prelim Rankings Unsorted'!$B$42, CONCAT(VLOOKUP($C45, 'Match Names'!$A$1:$D$22, 4, FALS"&amp;"E), ""!C3:R29"")), {7;13;19;24}, FALSE)), ""=-4"") + COUNTIF(ARRAYFORMULA(HLOOKUP($B45, IMPORTRANGE('Match Names'!$E$23, CONCAT(VLOOKUP($C45, 'Match Names'!$1:$22, 5, FALSE), ""!C3:R29"")), {2;8;12;22}, FALSE)), ""=-4"") + COUNTIF(ARRAYFORMULA(HLOOKUP($B4"&amp;"5, IMPORTRANGE('Match Names'!$F$23, CONCAT(VLOOKUP($C45, 'Match Names'!$1:$22, 6, FALSE), ""!C3:R29"")), {3;9;15;21}, FALSE)), ""=-4"") + COUNTIF(ARRAYFORMULA(HLOOKUP($B45, IMPORTRANGE('Match Names'!$G$23, CONCAT(VLOOKUP($C45, 'Match Names'!$1:$22, 7, FAL"&amp;"SE), ""!C3:R29"")), {3;8;12;18}, FALSE)), ""=-4"") + COUNTIF(ARRAYFORMULA(HLOOKUP($B45, IMPORTRANGE('Match Names'!$H$23, CONCAT(VLOOKUP($C45, 'Match Names'!$1:$22, 8, FALSE), ""!C3:R29"")), {7;13;19;24}, FALSE)), ""=-4"")"),0.0)</f>
        <v>0</v>
      </c>
      <c r="H45" s="33">
        <f t="shared" si="1"/>
        <v>0</v>
      </c>
    </row>
    <row r="46">
      <c r="A46" s="7" t="s">
        <v>169</v>
      </c>
      <c r="B46" s="7" t="str">
        <f>VLOOKUP(CONCAT(A46, C46), 'Discord Username to Real Name'!C:D, 2, FALSE)</f>
        <v>Verisimilitude#2169</v>
      </c>
      <c r="C46" s="7" t="s">
        <v>15</v>
      </c>
      <c r="D46" s="32">
        <f>IFERROR(__xludf.DUMMYFUNCTION("(4 - COUNTIF(IFERROR(ARRAYFORMULA(HLOOKUP($B46, IMPORTRANGE('Prelim Rankings Unsorted'!$B$40, CONCAT(VLOOKUP($C46, 'Match Names'!$A$1:$D$22, 2, FALSE), ""!C3:R29"")), {4;9;15;21}, FALSE)), 'Player Overall Stats Unsorted'!$AA$9:$AA$12), ""=X"")) + (4 - COU"&amp;"NTIF(IFERROR(ARRAYFORMULA(HLOOKUP($B46, IMPORTRANGE('Prelim Rankings Unsorted'!$B$41, CONCAT(VLOOKUP($C46, 'Match Names'!$A$1:$D$22, 3, FALSE), ""!C3:R29"")), {7;13;19;24}, FALSE)), 'Player Overall Stats Unsorted'!$AA$9:$AA$12), ""=X"")) + (4 - COUNTIF(IF"&amp;"ERROR(ARRAYFORMULA(HLOOKUP($B46, IMPORTRANGE('Prelim Rankings Unsorted'!$B$42, CONCAT(VLOOKUP($C46, 'Match Names'!$A$1:$D$22, 4, FALSE), ""!C3:R29"")), {7;13;19;24}, FALSE)), 'Player Overall Stats Unsorted'!$AA$9:$AA$12), ""=X"")) + (4 - COUNTIF(IFERROR(A"&amp;"RRAYFORMULA(HLOOKUP($B46, IMPORTRANGE('Match Names'!$E$23, CONCAT(VLOOKUP($C46, 'Match Names'!$1:$22, 5, FALSE), ""!C3:R29"")), {2;8;12;22}, FALSE)), 'Player Overall Stats Unsorted'!$AA$9:$AA$12), ""=X"")) + (4 - COUNTIF(IFERROR(ARRAYFORMULA(HLOOKUP($B46,"&amp;" IMPORTRANGE('Match Names'!$F$23, CONCAT(VLOOKUP($C46, 'Match Names'!$1:$22, 6, FALSE), ""!C3:R29"")), {3;9;15;21}, FALSE)), 'Player Overall Stats Unsorted'!$AA$9:$AA$12), ""=X"")) + (4 - COUNTIF(IFERROR(ARRAYFORMULA(HLOOKUP($B46, IMPORTRANGE('Match Names"&amp;"'!$G$23, CONCAT(VLOOKUP($C46, 'Match Names'!$1:$22, 7, FALSE), ""!C3:R29"")), {3;8;12;18}, FALSE)), 'Player Overall Stats Unsorted'!$AA$9:$AA$12), ""=X"")) + (4 - COUNTIF(IFERROR(ARRAYFORMULA(HLOOKUP($B46, IMPORTRANGE('Match Names'!$H$23, CONCAT(VLOOKUP($"&amp;"C46, 'Match Names'!$1:$22, 8, FALSE), ""!C3:R29"")), {7;13;19;24}, FALSE)), 'Player Overall Stats Unsorted'!$AA$9:$AA$12), ""=X""))"),12.0)</f>
        <v>12</v>
      </c>
      <c r="E46" s="32">
        <f>IFERROR(__xludf.DUMMYFUNCTION("COUNTIF(ARRAYFORMULA(HLOOKUP($B46, IMPORTRANGE('Prelim Rankings Unsorted'!$B$40, CONCAT(VLOOKUP($C46, 'Match Names'!$A$1:$D$22, 2, FALSE), ""!C3:R29"")), {4;9;15;21}, FALSE)), ""=4"") + COUNTIF(ARRAYFORMULA(HLOOKUP($B46, IMPORTRANGE('Prelim Rankings Unsor"&amp;"ted'!$B$41, CONCAT(VLOOKUP($C46, 'Match Names'!$A$1:$D$22, 3, FALSE), ""!C3:R29"")), {7;13;19;24}, FALSE)), ""=4"") + COUNTIF(ARRAYFORMULA(HLOOKUP($B46, IMPORTRANGE('Prelim Rankings Unsorted'!$B$42, CONCAT(VLOOKUP($C46, 'Match Names'!$A$1:$D$22, 4, FALSE)"&amp;", ""!C3:R29"")), {7;13;19;24}, FALSE)), ""=4"") + COUNTIF(ARRAYFORMULA(HLOOKUP($B46, IMPORTRANGE('Match Names'!$E$23, CONCAT(VLOOKUP($C46, 'Match Names'!$1:$22, 5, FALSE), ""!C3:R29"")), {2;8;12;22}, FALSE)), ""=4"") + COUNTIF(ARRAYFORMULA(HLOOKUP($B46, I"&amp;"MPORTRANGE('Match Names'!$F$23, CONCAT(VLOOKUP($C46, 'Match Names'!$1:$22, 6, FALSE), ""!C3:R29"")), {3;9;15;21}, FALSE)), ""=4"") + COUNTIF(ARRAYFORMULA(HLOOKUP($B46, IMPORTRANGE('Match Names'!$G$23, CONCAT(VLOOKUP($C46, 'Match Names'!$1:$22, 7, FALSE), "&amp;"""!C3:R29"")), {3;8;12;18}, FALSE)), ""=4"") + COUNTIF(ARRAYFORMULA(HLOOKUP($B46, IMPORTRANGE('Match Names'!$H$23, CONCAT(VLOOKUP($C46, 'Match Names'!$1:$22, 8, FALSE), ""!C3:R29"")), {7;13;19;24}, FALSE)), ""=4"")"),0.0)</f>
        <v>0</v>
      </c>
      <c r="F46" s="32">
        <f>IFERROR(__xludf.DUMMYFUNCTION("COUNTIF(ARRAYFORMULA(HLOOKUP($B46, IMPORTRANGE('Prelim Rankings Unsorted'!$B$40, CONCAT(VLOOKUP($C46, 'Match Names'!$A$1:$D$22, 2, FALSE), ""!C3:R29"")), {4;9;15;21}, FALSE)), ""=0"") + COUNTIF(ARRAYFORMULA(HLOOKUP($B46, IMPORTRANGE('Prelim Rankings Unsor"&amp;"ted'!$B$41, CONCAT(VLOOKUP($C46, 'Match Names'!$A$1:$D$22, 3, FALSE), ""!C3:R29"")), {7;13;19;24}, FALSE)), ""=0"") + COUNTIF(ARRAYFORMULA(HLOOKUP($B46, IMPORTRANGE('Prelim Rankings Unsorted'!$B$42, CONCAT(VLOOKUP($C46, 'Match Names'!$A$1:$D$22, 4, FALSE)"&amp;", ""!C3:R29"")), {7;13;19;24}, FALSE)), ""=0"") + COUNTIF(ARRAYFORMULA(HLOOKUP($B46, IMPORTRANGE('Match Names'!$E$23, CONCAT(VLOOKUP($C46, 'Match Names'!$1:$22, 5, FALSE), ""!C3:R29"")), {2;8;12;22}, FALSE)), ""=0"") + COUNTIF(ARRAYFORMULA(HLOOKUP($B46, I"&amp;"MPORTRANGE('Match Names'!$F$23, CONCAT(VLOOKUP($C46, 'Match Names'!$1:$22, 6, FALSE), ""!C3:R29"")), {3;9;15;21}, FALSE)), ""=0"") + COUNTIF(ARRAYFORMULA(HLOOKUP($B46, IMPORTRANGE('Match Names'!$G$23, CONCAT(VLOOKUP($C46, 'Match Names'!$1:$22, 7, FALSE), "&amp;"""!C3:R29"")), {3;8;12;18}, FALSE)), ""=0"") + COUNTIF(ARRAYFORMULA(HLOOKUP($B46, IMPORTRANGE('Match Names'!$H$23, CONCAT(VLOOKUP($C46, 'Match Names'!$1:$22, 8, FALSE), ""!C3:R29"")), {7;13;19;24}, FALSE)), ""=0"")"),0.0)</f>
        <v>0</v>
      </c>
      <c r="G46" s="32">
        <f>IFERROR(__xludf.DUMMYFUNCTION("COUNTIF(ARRAYFORMULA(HLOOKUP($B46, IMPORTRANGE('Prelim Rankings Unsorted'!$B$40, CONCAT(VLOOKUP($C46, 'Match Names'!$A$1:$D$22, 2, FALSE), ""!C3:R29"")), {4;9;15;21}, FALSE)), ""=-4"") + COUNTIF(ARRAYFORMULA(HLOOKUP($B46, IMPORTRANGE('Prelim Rankings Unso"&amp;"rted'!$B$41, CONCAT(VLOOKUP($C46, 'Match Names'!$A$1:$D$22, 3, FALSE), ""!C3:R29"")), {7;13;19;24}, FALSE)), ""=-4"") + COUNTIF(ARRAYFORMULA(HLOOKUP($B46, IMPORTRANGE('Prelim Rankings Unsorted'!$B$42, CONCAT(VLOOKUP($C46, 'Match Names'!$A$1:$D$22, 4, FALS"&amp;"E), ""!C3:R29"")), {7;13;19;24}, FALSE)), ""=-4"") + COUNTIF(ARRAYFORMULA(HLOOKUP($B46, IMPORTRANGE('Match Names'!$E$23, CONCAT(VLOOKUP($C46, 'Match Names'!$1:$22, 5, FALSE), ""!C3:R29"")), {2;8;12;22}, FALSE)), ""=-4"") + COUNTIF(ARRAYFORMULA(HLOOKUP($B4"&amp;"6, IMPORTRANGE('Match Names'!$F$23, CONCAT(VLOOKUP($C46, 'Match Names'!$1:$22, 6, FALSE), ""!C3:R29"")), {3;9;15;21}, FALSE)), ""=-4"") + COUNTIF(ARRAYFORMULA(HLOOKUP($B46, IMPORTRANGE('Match Names'!$G$23, CONCAT(VLOOKUP($C46, 'Match Names'!$1:$22, 7, FAL"&amp;"SE), ""!C3:R29"")), {3;8;12;18}, FALSE)), ""=-4"") + COUNTIF(ARRAYFORMULA(HLOOKUP($B46, IMPORTRANGE('Match Names'!$H$23, CONCAT(VLOOKUP($C46, 'Match Names'!$1:$22, 8, FALSE), ""!C3:R29"")), {7;13;19;24}, FALSE)), ""=-4"")"),0.0)</f>
        <v>0</v>
      </c>
      <c r="H46" s="33">
        <f t="shared" si="1"/>
        <v>0</v>
      </c>
    </row>
    <row r="47">
      <c r="A47" s="7" t="s">
        <v>127</v>
      </c>
      <c r="B47" s="7" t="str">
        <f>VLOOKUP(CONCAT(A47, C47), 'Discord Username to Real Name'!C:D, 2, FALSE)</f>
        <v>PerfectPenguin#3133</v>
      </c>
      <c r="C47" s="7" t="s">
        <v>15</v>
      </c>
      <c r="D47" s="32">
        <f>IFERROR(__xludf.DUMMYFUNCTION("(4 - COUNTIF(IFERROR(ARRAYFORMULA(HLOOKUP($B47, IMPORTRANGE('Prelim Rankings Unsorted'!$B$40, CONCAT(VLOOKUP($C47, 'Match Names'!$A$1:$D$22, 2, FALSE), ""!C3:R29"")), {4;9;15;21}, FALSE)), 'Player Overall Stats Unsorted'!$AA$9:$AA$12), ""=X"")) + (4 - COU"&amp;"NTIF(IFERROR(ARRAYFORMULA(HLOOKUP($B47, IMPORTRANGE('Prelim Rankings Unsorted'!$B$41, CONCAT(VLOOKUP($C47, 'Match Names'!$A$1:$D$22, 3, FALSE), ""!C3:R29"")), {7;13;19;24}, FALSE)), 'Player Overall Stats Unsorted'!$AA$9:$AA$12), ""=X"")) + (4 - COUNTIF(IF"&amp;"ERROR(ARRAYFORMULA(HLOOKUP($B47, IMPORTRANGE('Prelim Rankings Unsorted'!$B$42, CONCAT(VLOOKUP($C47, 'Match Names'!$A$1:$D$22, 4, FALSE), ""!C3:R29"")), {7;13;19;24}, FALSE)), 'Player Overall Stats Unsorted'!$AA$9:$AA$12), ""=X"")) + (4 - COUNTIF(IFERROR(A"&amp;"RRAYFORMULA(HLOOKUP($B47, IMPORTRANGE('Match Names'!$E$23, CONCAT(VLOOKUP($C47, 'Match Names'!$1:$22, 5, FALSE), ""!C3:R29"")), {2;8;12;22}, FALSE)), 'Player Overall Stats Unsorted'!$AA$9:$AA$12), ""=X"")) + (4 - COUNTIF(IFERROR(ARRAYFORMULA(HLOOKUP($B47,"&amp;" IMPORTRANGE('Match Names'!$F$23, CONCAT(VLOOKUP($C47, 'Match Names'!$1:$22, 6, FALSE), ""!C3:R29"")), {3;9;15;21}, FALSE)), 'Player Overall Stats Unsorted'!$AA$9:$AA$12), ""=X"")) + (4 - COUNTIF(IFERROR(ARRAYFORMULA(HLOOKUP($B47, IMPORTRANGE('Match Names"&amp;"'!$G$23, CONCAT(VLOOKUP($C47, 'Match Names'!$1:$22, 7, FALSE), ""!C3:R29"")), {3;8;12;18}, FALSE)), 'Player Overall Stats Unsorted'!$AA$9:$AA$12), ""=X"")) + (4 - COUNTIF(IFERROR(ARRAYFORMULA(HLOOKUP($B47, IMPORTRANGE('Match Names'!$H$23, CONCAT(VLOOKUP($"&amp;"C47, 'Match Names'!$1:$22, 8, FALSE), ""!C3:R29"")), {7;13;19;24}, FALSE)), 'Player Overall Stats Unsorted'!$AA$9:$AA$12), ""=X""))"),24.0)</f>
        <v>24</v>
      </c>
      <c r="E47" s="32">
        <f>IFERROR(__xludf.DUMMYFUNCTION("COUNTIF(ARRAYFORMULA(HLOOKUP($B47, IMPORTRANGE('Prelim Rankings Unsorted'!$B$40, CONCAT(VLOOKUP($C47, 'Match Names'!$A$1:$D$22, 2, FALSE), ""!C3:R29"")), {4;9;15;21}, FALSE)), ""=4"") + COUNTIF(ARRAYFORMULA(HLOOKUP($B47, IMPORTRANGE('Prelim Rankings Unsor"&amp;"ted'!$B$41, CONCAT(VLOOKUP($C47, 'Match Names'!$A$1:$D$22, 3, FALSE), ""!C3:R29"")), {7;13;19;24}, FALSE)), ""=4"") + COUNTIF(ARRAYFORMULA(HLOOKUP($B47, IMPORTRANGE('Prelim Rankings Unsorted'!$B$42, CONCAT(VLOOKUP($C47, 'Match Names'!$A$1:$D$22, 4, FALSE)"&amp;", ""!C3:R29"")), {7;13;19;24}, FALSE)), ""=4"") + COUNTIF(ARRAYFORMULA(HLOOKUP($B47, IMPORTRANGE('Match Names'!$E$23, CONCAT(VLOOKUP($C47, 'Match Names'!$1:$22, 5, FALSE), ""!C3:R29"")), {2;8;12;22}, FALSE)), ""=4"") + COUNTIF(ARRAYFORMULA(HLOOKUP($B47, I"&amp;"MPORTRANGE('Match Names'!$F$23, CONCAT(VLOOKUP($C47, 'Match Names'!$1:$22, 6, FALSE), ""!C3:R29"")), {3;9;15;21}, FALSE)), ""=4"") + COUNTIF(ARRAYFORMULA(HLOOKUP($B47, IMPORTRANGE('Match Names'!$G$23, CONCAT(VLOOKUP($C47, 'Match Names'!$1:$22, 7, FALSE), "&amp;"""!C3:R29"")), {3;8;12;18}, FALSE)), ""=4"") + COUNTIF(ARRAYFORMULA(HLOOKUP($B47, IMPORTRANGE('Match Names'!$H$23, CONCAT(VLOOKUP($C47, 'Match Names'!$1:$22, 8, FALSE), ""!C3:R29"")), {7;13;19;24}, FALSE)), ""=4"")"),0.0)</f>
        <v>0</v>
      </c>
      <c r="F47" s="32">
        <f>IFERROR(__xludf.DUMMYFUNCTION("COUNTIF(ARRAYFORMULA(HLOOKUP($B47, IMPORTRANGE('Prelim Rankings Unsorted'!$B$40, CONCAT(VLOOKUP($C47, 'Match Names'!$A$1:$D$22, 2, FALSE), ""!C3:R29"")), {4;9;15;21}, FALSE)), ""=0"") + COUNTIF(ARRAYFORMULA(HLOOKUP($B47, IMPORTRANGE('Prelim Rankings Unsor"&amp;"ted'!$B$41, CONCAT(VLOOKUP($C47, 'Match Names'!$A$1:$D$22, 3, FALSE), ""!C3:R29"")), {7;13;19;24}, FALSE)), ""=0"") + COUNTIF(ARRAYFORMULA(HLOOKUP($B47, IMPORTRANGE('Prelim Rankings Unsorted'!$B$42, CONCAT(VLOOKUP($C47, 'Match Names'!$A$1:$D$22, 4, FALSE)"&amp;", ""!C3:R29"")), {7;13;19;24}, FALSE)), ""=0"") + COUNTIF(ARRAYFORMULA(HLOOKUP($B47, IMPORTRANGE('Match Names'!$E$23, CONCAT(VLOOKUP($C47, 'Match Names'!$1:$22, 5, FALSE), ""!C3:R29"")), {2;8;12;22}, FALSE)), ""=0"") + COUNTIF(ARRAYFORMULA(HLOOKUP($B47, I"&amp;"MPORTRANGE('Match Names'!$F$23, CONCAT(VLOOKUP($C47, 'Match Names'!$1:$22, 6, FALSE), ""!C3:R29"")), {3;9;15;21}, FALSE)), ""=0"") + COUNTIF(ARRAYFORMULA(HLOOKUP($B47, IMPORTRANGE('Match Names'!$G$23, CONCAT(VLOOKUP($C47, 'Match Names'!$1:$22, 7, FALSE), "&amp;"""!C3:R29"")), {3;8;12;18}, FALSE)), ""=0"") + COUNTIF(ARRAYFORMULA(HLOOKUP($B47, IMPORTRANGE('Match Names'!$H$23, CONCAT(VLOOKUP($C47, 'Match Names'!$1:$22, 8, FALSE), ""!C3:R29"")), {7;13;19;24}, FALSE)), ""=0"")"),0.0)</f>
        <v>0</v>
      </c>
      <c r="G47" s="32">
        <f>IFERROR(__xludf.DUMMYFUNCTION("COUNTIF(ARRAYFORMULA(HLOOKUP($B47, IMPORTRANGE('Prelim Rankings Unsorted'!$B$40, CONCAT(VLOOKUP($C47, 'Match Names'!$A$1:$D$22, 2, FALSE), ""!C3:R29"")), {4;9;15;21}, FALSE)), ""=-4"") + COUNTIF(ARRAYFORMULA(HLOOKUP($B47, IMPORTRANGE('Prelim Rankings Unso"&amp;"rted'!$B$41, CONCAT(VLOOKUP($C47, 'Match Names'!$A$1:$D$22, 3, FALSE), ""!C3:R29"")), {7;13;19;24}, FALSE)), ""=-4"") + COUNTIF(ARRAYFORMULA(HLOOKUP($B47, IMPORTRANGE('Prelim Rankings Unsorted'!$B$42, CONCAT(VLOOKUP($C47, 'Match Names'!$A$1:$D$22, 4, FALS"&amp;"E), ""!C3:R29"")), {7;13;19;24}, FALSE)), ""=-4"") + COUNTIF(ARRAYFORMULA(HLOOKUP($B47, IMPORTRANGE('Match Names'!$E$23, CONCAT(VLOOKUP($C47, 'Match Names'!$1:$22, 5, FALSE), ""!C3:R29"")), {2;8;12;22}, FALSE)), ""=-4"") + COUNTIF(ARRAYFORMULA(HLOOKUP($B4"&amp;"7, IMPORTRANGE('Match Names'!$F$23, CONCAT(VLOOKUP($C47, 'Match Names'!$1:$22, 6, FALSE), ""!C3:R29"")), {3;9;15;21}, FALSE)), ""=-4"") + COUNTIF(ARRAYFORMULA(HLOOKUP($B47, IMPORTRANGE('Match Names'!$G$23, CONCAT(VLOOKUP($C47, 'Match Names'!$1:$22, 7, FAL"&amp;"SE), ""!C3:R29"")), {3;8;12;18}, FALSE)), ""=-4"") + COUNTIF(ARRAYFORMULA(HLOOKUP($B47, IMPORTRANGE('Match Names'!$H$23, CONCAT(VLOOKUP($C47, 'Match Names'!$1:$22, 8, FALSE), ""!C3:R29"")), {7;13;19;24}, FALSE)), ""=-4"")"),0.0)</f>
        <v>0</v>
      </c>
      <c r="H47" s="33">
        <f t="shared" si="1"/>
        <v>0</v>
      </c>
    </row>
    <row r="48">
      <c r="A48" s="21" t="s">
        <v>41</v>
      </c>
      <c r="B48" s="7" t="str">
        <f>VLOOKUP(CONCAT(A48, C48), 'Discord Username to Real Name'!C:D, 2, FALSE)</f>
        <v>ClownFrogg𓆏#3571</v>
      </c>
      <c r="C48" s="21" t="s">
        <v>14</v>
      </c>
      <c r="D48" s="32">
        <f>IFERROR(__xludf.DUMMYFUNCTION("(4 - COUNTIF(IFERROR(ARRAYFORMULA(HLOOKUP($B48, IMPORTRANGE('Prelim Rankings Unsorted'!$B$40, CONCAT(VLOOKUP($C48, 'Match Names'!$A$1:$D$22, 2, FALSE), ""!C3:R29"")), {4;9;15;21}, FALSE)), 'Player Overall Stats Unsorted'!$AA$9:$AA$12), ""=X"")) + (4 - COU"&amp;"NTIF(IFERROR(ARRAYFORMULA(HLOOKUP($B48, IMPORTRANGE('Prelim Rankings Unsorted'!$B$41, CONCAT(VLOOKUP($C48, 'Match Names'!$A$1:$D$22, 3, FALSE), ""!C3:R29"")), {7;13;19;24}, FALSE)), 'Player Overall Stats Unsorted'!$AA$9:$AA$12), ""=X"")) + (4 - COUNTIF(IF"&amp;"ERROR(ARRAYFORMULA(HLOOKUP($B48, IMPORTRANGE('Prelim Rankings Unsorted'!$B$42, CONCAT(VLOOKUP($C48, 'Match Names'!$A$1:$D$22, 4, FALSE), ""!C3:R29"")), {7;13;19;24}, FALSE)), 'Player Overall Stats Unsorted'!$AA$9:$AA$12), ""=X"")) + (4 - COUNTIF(IFERROR(A"&amp;"RRAYFORMULA(HLOOKUP($B48, IMPORTRANGE('Match Names'!$E$23, CONCAT(VLOOKUP($C48, 'Match Names'!$1:$22, 5, FALSE), ""!C3:R29"")), {2;8;12;22}, FALSE)), 'Player Overall Stats Unsorted'!$AA$9:$AA$12), ""=X"")) + (4 - COUNTIF(IFERROR(ARRAYFORMULA(HLOOKUP($B48,"&amp;" IMPORTRANGE('Match Names'!$F$23, CONCAT(VLOOKUP($C48, 'Match Names'!$1:$22, 6, FALSE), ""!C3:R29"")), {3;9;15;21}, FALSE)), 'Player Overall Stats Unsorted'!$AA$9:$AA$12), ""=X"")) + (4 - COUNTIF(IFERROR(ARRAYFORMULA(HLOOKUP($B48, IMPORTRANGE('Match Names"&amp;"'!$G$23, CONCAT(VLOOKUP($C48, 'Match Names'!$1:$22, 7, FALSE), ""!C3:R29"")), {3;8;12;18}, FALSE)), 'Player Overall Stats Unsorted'!$AA$9:$AA$12), ""=X"")) + (4 - COUNTIF(IFERROR(ARRAYFORMULA(HLOOKUP($B48, IMPORTRANGE('Match Names'!$H$23, CONCAT(VLOOKUP($"&amp;"C48, 'Match Names'!$1:$22, 8, FALSE), ""!C3:R29"")), {7;13;19;24}, FALSE)), 'Player Overall Stats Unsorted'!$AA$9:$AA$12), ""=X""))"),24.0)</f>
        <v>24</v>
      </c>
      <c r="E48" s="32">
        <f>IFERROR(__xludf.DUMMYFUNCTION("COUNTIF(ARRAYFORMULA(HLOOKUP($B48, IMPORTRANGE('Prelim Rankings Unsorted'!$B$40, CONCAT(VLOOKUP($C48, 'Match Names'!$A$1:$D$22, 2, FALSE), ""!C3:R29"")), {4;9;15;21}, FALSE)), ""=4"") + COUNTIF(ARRAYFORMULA(HLOOKUP($B48, IMPORTRANGE('Prelim Rankings Unsor"&amp;"ted'!$B$41, CONCAT(VLOOKUP($C48, 'Match Names'!$A$1:$D$22, 3, FALSE), ""!C3:R29"")), {7;13;19;24}, FALSE)), ""=4"") + COUNTIF(ARRAYFORMULA(HLOOKUP($B48, IMPORTRANGE('Prelim Rankings Unsorted'!$B$42, CONCAT(VLOOKUP($C48, 'Match Names'!$A$1:$D$22, 4, FALSE)"&amp;", ""!C3:R29"")), {7;13;19;24}, FALSE)), ""=4"") + COUNTIF(ARRAYFORMULA(HLOOKUP($B48, IMPORTRANGE('Match Names'!$E$23, CONCAT(VLOOKUP($C48, 'Match Names'!$1:$22, 5, FALSE), ""!C3:R29"")), {2;8;12;22}, FALSE)), ""=4"") + COUNTIF(ARRAYFORMULA(HLOOKUP($B48, I"&amp;"MPORTRANGE('Match Names'!$F$23, CONCAT(VLOOKUP($C48, 'Match Names'!$1:$22, 6, FALSE), ""!C3:R29"")), {3;9;15;21}, FALSE)), ""=4"") + COUNTIF(ARRAYFORMULA(HLOOKUP($B48, IMPORTRANGE('Match Names'!$G$23, CONCAT(VLOOKUP($C48, 'Match Names'!$1:$22, 7, FALSE), "&amp;"""!C3:R29"")), {3;8;12;18}, FALSE)), ""=4"") + COUNTIF(ARRAYFORMULA(HLOOKUP($B48, IMPORTRANGE('Match Names'!$H$23, CONCAT(VLOOKUP($C48, 'Match Names'!$1:$22, 8, FALSE), ""!C3:R29"")), {7;13;19;24}, FALSE)), ""=4"")"),0.0)</f>
        <v>0</v>
      </c>
      <c r="F48" s="32">
        <f>IFERROR(__xludf.DUMMYFUNCTION("COUNTIF(ARRAYFORMULA(HLOOKUP($B48, IMPORTRANGE('Prelim Rankings Unsorted'!$B$40, CONCAT(VLOOKUP($C48, 'Match Names'!$A$1:$D$22, 2, FALSE), ""!C3:R29"")), {4;9;15;21}, FALSE)), ""=0"") + COUNTIF(ARRAYFORMULA(HLOOKUP($B48, IMPORTRANGE('Prelim Rankings Unsor"&amp;"ted'!$B$41, CONCAT(VLOOKUP($C48, 'Match Names'!$A$1:$D$22, 3, FALSE), ""!C3:R29"")), {7;13;19;24}, FALSE)), ""=0"") + COUNTIF(ARRAYFORMULA(HLOOKUP($B48, IMPORTRANGE('Prelim Rankings Unsorted'!$B$42, CONCAT(VLOOKUP($C48, 'Match Names'!$A$1:$D$22, 4, FALSE)"&amp;", ""!C3:R29"")), {7;13;19;24}, FALSE)), ""=0"") + COUNTIF(ARRAYFORMULA(HLOOKUP($B48, IMPORTRANGE('Match Names'!$E$23, CONCAT(VLOOKUP($C48, 'Match Names'!$1:$22, 5, FALSE), ""!C3:R29"")), {2;8;12;22}, FALSE)), ""=0"") + COUNTIF(ARRAYFORMULA(HLOOKUP($B48, I"&amp;"MPORTRANGE('Match Names'!$F$23, CONCAT(VLOOKUP($C48, 'Match Names'!$1:$22, 6, FALSE), ""!C3:R29"")), {3;9;15;21}, FALSE)), ""=0"") + COUNTIF(ARRAYFORMULA(HLOOKUP($B48, IMPORTRANGE('Match Names'!$G$23, CONCAT(VLOOKUP($C48, 'Match Names'!$1:$22, 7, FALSE), "&amp;"""!C3:R29"")), {3;8;12;18}, FALSE)), ""=0"") + COUNTIF(ARRAYFORMULA(HLOOKUP($B48, IMPORTRANGE('Match Names'!$H$23, CONCAT(VLOOKUP($C48, 'Match Names'!$1:$22, 8, FALSE), ""!C3:R29"")), {7;13;19;24}, FALSE)), ""=0"")"),0.0)</f>
        <v>0</v>
      </c>
      <c r="G48" s="32">
        <f>IFERROR(__xludf.DUMMYFUNCTION("COUNTIF(ARRAYFORMULA(HLOOKUP($B48, IMPORTRANGE('Prelim Rankings Unsorted'!$B$40, CONCAT(VLOOKUP($C48, 'Match Names'!$A$1:$D$22, 2, FALSE), ""!C3:R29"")), {4;9;15;21}, FALSE)), ""=-4"") + COUNTIF(ARRAYFORMULA(HLOOKUP($B48, IMPORTRANGE('Prelim Rankings Unso"&amp;"rted'!$B$41, CONCAT(VLOOKUP($C48, 'Match Names'!$A$1:$D$22, 3, FALSE), ""!C3:R29"")), {7;13;19;24}, FALSE)), ""=-4"") + COUNTIF(ARRAYFORMULA(HLOOKUP($B48, IMPORTRANGE('Prelim Rankings Unsorted'!$B$42, CONCAT(VLOOKUP($C48, 'Match Names'!$A$1:$D$22, 4, FALS"&amp;"E), ""!C3:R29"")), {7;13;19;24}, FALSE)), ""=-4"") + COUNTIF(ARRAYFORMULA(HLOOKUP($B48, IMPORTRANGE('Match Names'!$E$23, CONCAT(VLOOKUP($C48, 'Match Names'!$1:$22, 5, FALSE), ""!C3:R29"")), {2;8;12;22}, FALSE)), ""=-4"") + COUNTIF(ARRAYFORMULA(HLOOKUP($B4"&amp;"8, IMPORTRANGE('Match Names'!$F$23, CONCAT(VLOOKUP($C48, 'Match Names'!$1:$22, 6, FALSE), ""!C3:R29"")), {3;9;15;21}, FALSE)), ""=-4"") + COUNTIF(ARRAYFORMULA(HLOOKUP($B48, IMPORTRANGE('Match Names'!$G$23, CONCAT(VLOOKUP($C48, 'Match Names'!$1:$22, 7, FAL"&amp;"SE), ""!C3:R29"")), {3;8;12;18}, FALSE)), ""=-4"") + COUNTIF(ARRAYFORMULA(HLOOKUP($B48, IMPORTRANGE('Match Names'!$H$23, CONCAT(VLOOKUP($C48, 'Match Names'!$1:$22, 8, FALSE), ""!C3:R29"")), {7;13;19;24}, FALSE)), ""=-4"")"),0.0)</f>
        <v>0</v>
      </c>
      <c r="H48" s="33">
        <f t="shared" si="1"/>
        <v>0</v>
      </c>
    </row>
    <row r="49">
      <c r="A49" s="21" t="s">
        <v>56</v>
      </c>
      <c r="B49" s="7" t="str">
        <f>VLOOKUP(CONCAT(A49, C49), 'Discord Username to Real Name'!C:D, 2, FALSE)</f>
        <v>WeisPickle#1350</v>
      </c>
      <c r="C49" s="21" t="s">
        <v>14</v>
      </c>
      <c r="D49" s="32">
        <f>IFERROR(__xludf.DUMMYFUNCTION("(4 - COUNTIF(IFERROR(ARRAYFORMULA(HLOOKUP($B49, IMPORTRANGE('Prelim Rankings Unsorted'!$B$40, CONCAT(VLOOKUP($C49, 'Match Names'!$A$1:$D$22, 2, FALSE), ""!C3:R29"")), {4;9;15;21}, FALSE)), 'Player Overall Stats Unsorted'!$AA$9:$AA$12), ""=X"")) + (4 - COU"&amp;"NTIF(IFERROR(ARRAYFORMULA(HLOOKUP($B49, IMPORTRANGE('Prelim Rankings Unsorted'!$B$41, CONCAT(VLOOKUP($C49, 'Match Names'!$A$1:$D$22, 3, FALSE), ""!C3:R29"")), {7;13;19;24}, FALSE)), 'Player Overall Stats Unsorted'!$AA$9:$AA$12), ""=X"")) + (4 - COUNTIF(IF"&amp;"ERROR(ARRAYFORMULA(HLOOKUP($B49, IMPORTRANGE('Prelim Rankings Unsorted'!$B$42, CONCAT(VLOOKUP($C49, 'Match Names'!$A$1:$D$22, 4, FALSE), ""!C3:R29"")), {7;13;19;24}, FALSE)), 'Player Overall Stats Unsorted'!$AA$9:$AA$12), ""=X"")) + (4 - COUNTIF(IFERROR(A"&amp;"RRAYFORMULA(HLOOKUP($B49, IMPORTRANGE('Match Names'!$E$23, CONCAT(VLOOKUP($C49, 'Match Names'!$1:$22, 5, FALSE), ""!C3:R29"")), {2;8;12;22}, FALSE)), 'Player Overall Stats Unsorted'!$AA$9:$AA$12), ""=X"")) + (4 - COUNTIF(IFERROR(ARRAYFORMULA(HLOOKUP($B49,"&amp;" IMPORTRANGE('Match Names'!$F$23, CONCAT(VLOOKUP($C49, 'Match Names'!$1:$22, 6, FALSE), ""!C3:R29"")), {3;9;15;21}, FALSE)), 'Player Overall Stats Unsorted'!$AA$9:$AA$12), ""=X"")) + (4 - COUNTIF(IFERROR(ARRAYFORMULA(HLOOKUP($B49, IMPORTRANGE('Match Names"&amp;"'!$G$23, CONCAT(VLOOKUP($C49, 'Match Names'!$1:$22, 7, FALSE), ""!C3:R29"")), {3;8;12;18}, FALSE)), 'Player Overall Stats Unsorted'!$AA$9:$AA$12), ""=X"")) + (4 - COUNTIF(IFERROR(ARRAYFORMULA(HLOOKUP($B49, IMPORTRANGE('Match Names'!$H$23, CONCAT(VLOOKUP($"&amp;"C49, 'Match Names'!$1:$22, 8, FALSE), ""!C3:R29"")), {7;13;19;24}, FALSE)), 'Player Overall Stats Unsorted'!$AA$9:$AA$12), ""=X""))"),24.0)</f>
        <v>24</v>
      </c>
      <c r="E49" s="32">
        <f>IFERROR(__xludf.DUMMYFUNCTION("COUNTIF(ARRAYFORMULA(HLOOKUP($B49, IMPORTRANGE('Prelim Rankings Unsorted'!$B$40, CONCAT(VLOOKUP($C49, 'Match Names'!$A$1:$D$22, 2, FALSE), ""!C3:R29"")), {4;9;15;21}, FALSE)), ""=4"") + COUNTIF(ARRAYFORMULA(HLOOKUP($B49, IMPORTRANGE('Prelim Rankings Unsor"&amp;"ted'!$B$41, CONCAT(VLOOKUP($C49, 'Match Names'!$A$1:$D$22, 3, FALSE), ""!C3:R29"")), {7;13;19;24}, FALSE)), ""=4"") + COUNTIF(ARRAYFORMULA(HLOOKUP($B49, IMPORTRANGE('Prelim Rankings Unsorted'!$B$42, CONCAT(VLOOKUP($C49, 'Match Names'!$A$1:$D$22, 4, FALSE)"&amp;", ""!C3:R29"")), {7;13;19;24}, FALSE)), ""=4"") + COUNTIF(ARRAYFORMULA(HLOOKUP($B49, IMPORTRANGE('Match Names'!$E$23, CONCAT(VLOOKUP($C49, 'Match Names'!$1:$22, 5, FALSE), ""!C3:R29"")), {2;8;12;22}, FALSE)), ""=4"") + COUNTIF(ARRAYFORMULA(HLOOKUP($B49, I"&amp;"MPORTRANGE('Match Names'!$F$23, CONCAT(VLOOKUP($C49, 'Match Names'!$1:$22, 6, FALSE), ""!C3:R29"")), {3;9;15;21}, FALSE)), ""=4"") + COUNTIF(ARRAYFORMULA(HLOOKUP($B49, IMPORTRANGE('Match Names'!$G$23, CONCAT(VLOOKUP($C49, 'Match Names'!$1:$22, 7, FALSE), "&amp;"""!C3:R29"")), {3;8;12;18}, FALSE)), ""=4"") + COUNTIF(ARRAYFORMULA(HLOOKUP($B49, IMPORTRANGE('Match Names'!$H$23, CONCAT(VLOOKUP($C49, 'Match Names'!$1:$22, 8, FALSE), ""!C3:R29"")), {7;13;19;24}, FALSE)), ""=4"")"),7.0)</f>
        <v>7</v>
      </c>
      <c r="F49" s="32">
        <f>IFERROR(__xludf.DUMMYFUNCTION("COUNTIF(ARRAYFORMULA(HLOOKUP($B49, IMPORTRANGE('Prelim Rankings Unsorted'!$B$40, CONCAT(VLOOKUP($C49, 'Match Names'!$A$1:$D$22, 2, FALSE), ""!C3:R29"")), {4;9;15;21}, FALSE)), ""=0"") + COUNTIF(ARRAYFORMULA(HLOOKUP($B49, IMPORTRANGE('Prelim Rankings Unsor"&amp;"ted'!$B$41, CONCAT(VLOOKUP($C49, 'Match Names'!$A$1:$D$22, 3, FALSE), ""!C3:R29"")), {7;13;19;24}, FALSE)), ""=0"") + COUNTIF(ARRAYFORMULA(HLOOKUP($B49, IMPORTRANGE('Prelim Rankings Unsorted'!$B$42, CONCAT(VLOOKUP($C49, 'Match Names'!$A$1:$D$22, 4, FALSE)"&amp;", ""!C3:R29"")), {7;13;19;24}, FALSE)), ""=0"") + COUNTIF(ARRAYFORMULA(HLOOKUP($B49, IMPORTRANGE('Match Names'!$E$23, CONCAT(VLOOKUP($C49, 'Match Names'!$1:$22, 5, FALSE), ""!C3:R29"")), {2;8;12;22}, FALSE)), ""=0"") + COUNTIF(ARRAYFORMULA(HLOOKUP($B49, I"&amp;"MPORTRANGE('Match Names'!$F$23, CONCAT(VLOOKUP($C49, 'Match Names'!$1:$22, 6, FALSE), ""!C3:R29"")), {3;9;15;21}, FALSE)), ""=0"") + COUNTIF(ARRAYFORMULA(HLOOKUP($B49, IMPORTRANGE('Match Names'!$G$23, CONCAT(VLOOKUP($C49, 'Match Names'!$1:$22, 7, FALSE), "&amp;"""!C3:R29"")), {3;8;12;18}, FALSE)), ""=0"") + COUNTIF(ARRAYFORMULA(HLOOKUP($B49, IMPORTRANGE('Match Names'!$H$23, CONCAT(VLOOKUP($C49, 'Match Names'!$1:$22, 8, FALSE), ""!C3:R29"")), {7;13;19;24}, FALSE)), ""=0"")"),7.0)</f>
        <v>7</v>
      </c>
      <c r="G49" s="32">
        <f>IFERROR(__xludf.DUMMYFUNCTION("COUNTIF(ARRAYFORMULA(HLOOKUP($B49, IMPORTRANGE('Prelim Rankings Unsorted'!$B$40, CONCAT(VLOOKUP($C49, 'Match Names'!$A$1:$D$22, 2, FALSE), ""!C3:R29"")), {4;9;15;21}, FALSE)), ""=-4"") + COUNTIF(ARRAYFORMULA(HLOOKUP($B49, IMPORTRANGE('Prelim Rankings Unso"&amp;"rted'!$B$41, CONCAT(VLOOKUP($C49, 'Match Names'!$A$1:$D$22, 3, FALSE), ""!C3:R29"")), {7;13;19;24}, FALSE)), ""=-4"") + COUNTIF(ARRAYFORMULA(HLOOKUP($B49, IMPORTRANGE('Prelim Rankings Unsorted'!$B$42, CONCAT(VLOOKUP($C49, 'Match Names'!$A$1:$D$22, 4, FALS"&amp;"E), ""!C3:R29"")), {7;13;19;24}, FALSE)), ""=-4"") + COUNTIF(ARRAYFORMULA(HLOOKUP($B49, IMPORTRANGE('Match Names'!$E$23, CONCAT(VLOOKUP($C49, 'Match Names'!$1:$22, 5, FALSE), ""!C3:R29"")), {2;8;12;22}, FALSE)), ""=-4"") + COUNTIF(ARRAYFORMULA(HLOOKUP($B4"&amp;"9, IMPORTRANGE('Match Names'!$F$23, CONCAT(VLOOKUP($C49, 'Match Names'!$1:$22, 6, FALSE), ""!C3:R29"")), {3;9;15;21}, FALSE)), ""=-4"") + COUNTIF(ARRAYFORMULA(HLOOKUP($B49, IMPORTRANGE('Match Names'!$G$23, CONCAT(VLOOKUP($C49, 'Match Names'!$1:$22, 7, FAL"&amp;"SE), ""!C3:R29"")), {3;8;12;18}, FALSE)), ""=-4"") + COUNTIF(ARRAYFORMULA(HLOOKUP($B49, IMPORTRANGE('Match Names'!$H$23, CONCAT(VLOOKUP($C49, 'Match Names'!$1:$22, 8, FALSE), ""!C3:R29"")), {7;13;19;24}, FALSE)), ""=-4"")"),1.0)</f>
        <v>1</v>
      </c>
      <c r="H49" s="33">
        <f t="shared" si="1"/>
        <v>4</v>
      </c>
    </row>
    <row r="50">
      <c r="A50" s="21" t="s">
        <v>132</v>
      </c>
      <c r="B50" s="7" t="str">
        <f>VLOOKUP(CONCAT(A50, C50), 'Discord Username to Real Name'!C:D, 2, FALSE)</f>
        <v>Endoplasmic Rayticulum#6706</v>
      </c>
      <c r="C50" s="21" t="s">
        <v>14</v>
      </c>
      <c r="D50" s="32">
        <f>IFERROR(__xludf.DUMMYFUNCTION("(4 - COUNTIF(IFERROR(ARRAYFORMULA(HLOOKUP($B50, IMPORTRANGE('Prelim Rankings Unsorted'!$B$40, CONCAT(VLOOKUP($C50, 'Match Names'!$A$1:$D$22, 2, FALSE), ""!C3:R29"")), {4;9;15;21}, FALSE)), 'Player Overall Stats Unsorted'!$AA$9:$AA$12), ""=X"")) + (4 - COU"&amp;"NTIF(IFERROR(ARRAYFORMULA(HLOOKUP($B50, IMPORTRANGE('Prelim Rankings Unsorted'!$B$41, CONCAT(VLOOKUP($C50, 'Match Names'!$A$1:$D$22, 3, FALSE), ""!C3:R29"")), {7;13;19;24}, FALSE)), 'Player Overall Stats Unsorted'!$AA$9:$AA$12), ""=X"")) + (4 - COUNTIF(IF"&amp;"ERROR(ARRAYFORMULA(HLOOKUP($B50, IMPORTRANGE('Prelim Rankings Unsorted'!$B$42, CONCAT(VLOOKUP($C50, 'Match Names'!$A$1:$D$22, 4, FALSE), ""!C3:R29"")), {7;13;19;24}, FALSE)), 'Player Overall Stats Unsorted'!$AA$9:$AA$12), ""=X"")) + (4 - COUNTIF(IFERROR(A"&amp;"RRAYFORMULA(HLOOKUP($B50, IMPORTRANGE('Match Names'!$E$23, CONCAT(VLOOKUP($C50, 'Match Names'!$1:$22, 5, FALSE), ""!C3:R29"")), {2;8;12;22}, FALSE)), 'Player Overall Stats Unsorted'!$AA$9:$AA$12), ""=X"")) + (4 - COUNTIF(IFERROR(ARRAYFORMULA(HLOOKUP($B50,"&amp;" IMPORTRANGE('Match Names'!$F$23, CONCAT(VLOOKUP($C50, 'Match Names'!$1:$22, 6, FALSE), ""!C3:R29"")), {3;9;15;21}, FALSE)), 'Player Overall Stats Unsorted'!$AA$9:$AA$12), ""=X"")) + (4 - COUNTIF(IFERROR(ARRAYFORMULA(HLOOKUP($B50, IMPORTRANGE('Match Names"&amp;"'!$G$23, CONCAT(VLOOKUP($C50, 'Match Names'!$1:$22, 7, FALSE), ""!C3:R29"")), {3;8;12;18}, FALSE)), 'Player Overall Stats Unsorted'!$AA$9:$AA$12), ""=X"")) + (4 - COUNTIF(IFERROR(ARRAYFORMULA(HLOOKUP($B50, IMPORTRANGE('Match Names'!$H$23, CONCAT(VLOOKUP($"&amp;"C50, 'Match Names'!$1:$22, 8, FALSE), ""!C3:R29"")), {7;13;19;24}, FALSE)), 'Player Overall Stats Unsorted'!$AA$9:$AA$12), ""=X""))"),24.0)</f>
        <v>24</v>
      </c>
      <c r="E50" s="32">
        <f>IFERROR(__xludf.DUMMYFUNCTION("COUNTIF(ARRAYFORMULA(HLOOKUP($B50, IMPORTRANGE('Prelim Rankings Unsorted'!$B$40, CONCAT(VLOOKUP($C50, 'Match Names'!$A$1:$D$22, 2, FALSE), ""!C3:R29"")), {4;9;15;21}, FALSE)), ""=4"") + COUNTIF(ARRAYFORMULA(HLOOKUP($B50, IMPORTRANGE('Prelim Rankings Unsor"&amp;"ted'!$B$41, CONCAT(VLOOKUP($C50, 'Match Names'!$A$1:$D$22, 3, FALSE), ""!C3:R29"")), {7;13;19;24}, FALSE)), ""=4"") + COUNTIF(ARRAYFORMULA(HLOOKUP($B50, IMPORTRANGE('Prelim Rankings Unsorted'!$B$42, CONCAT(VLOOKUP($C50, 'Match Names'!$A$1:$D$22, 4, FALSE)"&amp;", ""!C3:R29"")), {7;13;19;24}, FALSE)), ""=4"") + COUNTIF(ARRAYFORMULA(HLOOKUP($B50, IMPORTRANGE('Match Names'!$E$23, CONCAT(VLOOKUP($C50, 'Match Names'!$1:$22, 5, FALSE), ""!C3:R29"")), {2;8;12;22}, FALSE)), ""=4"") + COUNTIF(ARRAYFORMULA(HLOOKUP($B50, I"&amp;"MPORTRANGE('Match Names'!$F$23, CONCAT(VLOOKUP($C50, 'Match Names'!$1:$22, 6, FALSE), ""!C3:R29"")), {3;9;15;21}, FALSE)), ""=4"") + COUNTIF(ARRAYFORMULA(HLOOKUP($B50, IMPORTRANGE('Match Names'!$G$23, CONCAT(VLOOKUP($C50, 'Match Names'!$1:$22, 7, FALSE), "&amp;"""!C3:R29"")), {3;8;12;18}, FALSE)), ""=4"") + COUNTIF(ARRAYFORMULA(HLOOKUP($B50, IMPORTRANGE('Match Names'!$H$23, CONCAT(VLOOKUP($C50, 'Match Names'!$1:$22, 8, FALSE), ""!C3:R29"")), {7;13;19;24}, FALSE)), ""=4"")"),1.0)</f>
        <v>1</v>
      </c>
      <c r="F50" s="32">
        <f>IFERROR(__xludf.DUMMYFUNCTION("COUNTIF(ARRAYFORMULA(HLOOKUP($B50, IMPORTRANGE('Prelim Rankings Unsorted'!$B$40, CONCAT(VLOOKUP($C50, 'Match Names'!$A$1:$D$22, 2, FALSE), ""!C3:R29"")), {4;9;15;21}, FALSE)), ""=0"") + COUNTIF(ARRAYFORMULA(HLOOKUP($B50, IMPORTRANGE('Prelim Rankings Unsor"&amp;"ted'!$B$41, CONCAT(VLOOKUP($C50, 'Match Names'!$A$1:$D$22, 3, FALSE), ""!C3:R29"")), {7;13;19;24}, FALSE)), ""=0"") + COUNTIF(ARRAYFORMULA(HLOOKUP($B50, IMPORTRANGE('Prelim Rankings Unsorted'!$B$42, CONCAT(VLOOKUP($C50, 'Match Names'!$A$1:$D$22, 4, FALSE)"&amp;", ""!C3:R29"")), {7;13;19;24}, FALSE)), ""=0"") + COUNTIF(ARRAYFORMULA(HLOOKUP($B50, IMPORTRANGE('Match Names'!$E$23, CONCAT(VLOOKUP($C50, 'Match Names'!$1:$22, 5, FALSE), ""!C3:R29"")), {2;8;12;22}, FALSE)), ""=0"") + COUNTIF(ARRAYFORMULA(HLOOKUP($B50, I"&amp;"MPORTRANGE('Match Names'!$F$23, CONCAT(VLOOKUP($C50, 'Match Names'!$1:$22, 6, FALSE), ""!C3:R29"")), {3;9;15;21}, FALSE)), ""=0"") + COUNTIF(ARRAYFORMULA(HLOOKUP($B50, IMPORTRANGE('Match Names'!$G$23, CONCAT(VLOOKUP($C50, 'Match Names'!$1:$22, 7, FALSE), "&amp;"""!C3:R29"")), {3;8;12;18}, FALSE)), ""=0"") + COUNTIF(ARRAYFORMULA(HLOOKUP($B50, IMPORTRANGE('Match Names'!$H$23, CONCAT(VLOOKUP($C50, 'Match Names'!$1:$22, 8, FALSE), ""!C3:R29"")), {7;13;19;24}, FALSE)), ""=0"")"),0.0)</f>
        <v>0</v>
      </c>
      <c r="G50" s="32">
        <f>IFERROR(__xludf.DUMMYFUNCTION("COUNTIF(ARRAYFORMULA(HLOOKUP($B50, IMPORTRANGE('Prelim Rankings Unsorted'!$B$40, CONCAT(VLOOKUP($C50, 'Match Names'!$A$1:$D$22, 2, FALSE), ""!C3:R29"")), {4;9;15;21}, FALSE)), ""=-4"") + COUNTIF(ARRAYFORMULA(HLOOKUP($B50, IMPORTRANGE('Prelim Rankings Unso"&amp;"rted'!$B$41, CONCAT(VLOOKUP($C50, 'Match Names'!$A$1:$D$22, 3, FALSE), ""!C3:R29"")), {7;13;19;24}, FALSE)), ""=-4"") + COUNTIF(ARRAYFORMULA(HLOOKUP($B50, IMPORTRANGE('Prelim Rankings Unsorted'!$B$42, CONCAT(VLOOKUP($C50, 'Match Names'!$A$1:$D$22, 4, FALS"&amp;"E), ""!C3:R29"")), {7;13;19;24}, FALSE)), ""=-4"") + COUNTIF(ARRAYFORMULA(HLOOKUP($B50, IMPORTRANGE('Match Names'!$E$23, CONCAT(VLOOKUP($C50, 'Match Names'!$1:$22, 5, FALSE), ""!C3:R29"")), {2;8;12;22}, FALSE)), ""=-4"") + COUNTIF(ARRAYFORMULA(HLOOKUP($B5"&amp;"0, IMPORTRANGE('Match Names'!$F$23, CONCAT(VLOOKUP($C50, 'Match Names'!$1:$22, 6, FALSE), ""!C3:R29"")), {3;9;15;21}, FALSE)), ""=-4"") + COUNTIF(ARRAYFORMULA(HLOOKUP($B50, IMPORTRANGE('Match Names'!$G$23, CONCAT(VLOOKUP($C50, 'Match Names'!$1:$22, 7, FAL"&amp;"SE), ""!C3:R29"")), {3;8;12;18}, FALSE)), ""=-4"") + COUNTIF(ARRAYFORMULA(HLOOKUP($B50, IMPORTRANGE('Match Names'!$H$23, CONCAT(VLOOKUP($C50, 'Match Names'!$1:$22, 8, FALSE), ""!C3:R29"")), {7;13;19;24}, FALSE)), ""=-4"")"),1.0)</f>
        <v>1</v>
      </c>
      <c r="H50" s="33">
        <f t="shared" si="1"/>
        <v>0</v>
      </c>
    </row>
    <row r="51">
      <c r="A51" s="21" t="s">
        <v>119</v>
      </c>
      <c r="B51" s="7" t="str">
        <f>VLOOKUP(CONCAT(A51, C51), 'Discord Username to Real Name'!C:D, 2, FALSE)</f>
        <v>saltwater#3722</v>
      </c>
      <c r="C51" s="21" t="s">
        <v>14</v>
      </c>
      <c r="D51" s="32">
        <f>IFERROR(__xludf.DUMMYFUNCTION("(4 - COUNTIF(IFERROR(ARRAYFORMULA(HLOOKUP($B51, IMPORTRANGE('Prelim Rankings Unsorted'!$B$40, CONCAT(VLOOKUP($C51, 'Match Names'!$A$1:$D$22, 2, FALSE), ""!C3:R29"")), {4;9;15;21}, FALSE)), 'Player Overall Stats Unsorted'!$AA$9:$AA$12), ""=X"")) + (4 - COU"&amp;"NTIF(IFERROR(ARRAYFORMULA(HLOOKUP($B51, IMPORTRANGE('Prelim Rankings Unsorted'!$B$41, CONCAT(VLOOKUP($C51, 'Match Names'!$A$1:$D$22, 3, FALSE), ""!C3:R29"")), {7;13;19;24}, FALSE)), 'Player Overall Stats Unsorted'!$AA$9:$AA$12), ""=X"")) + (4 - COUNTIF(IF"&amp;"ERROR(ARRAYFORMULA(HLOOKUP($B51, IMPORTRANGE('Prelim Rankings Unsorted'!$B$42, CONCAT(VLOOKUP($C51, 'Match Names'!$A$1:$D$22, 4, FALSE), ""!C3:R29"")), {7;13;19;24}, FALSE)), 'Player Overall Stats Unsorted'!$AA$9:$AA$12), ""=X"")) + (4 - COUNTIF(IFERROR(A"&amp;"RRAYFORMULA(HLOOKUP($B51, IMPORTRANGE('Match Names'!$E$23, CONCAT(VLOOKUP($C51, 'Match Names'!$1:$22, 5, FALSE), ""!C3:R29"")), {2;8;12;22}, FALSE)), 'Player Overall Stats Unsorted'!$AA$9:$AA$12), ""=X"")) + (4 - COUNTIF(IFERROR(ARRAYFORMULA(HLOOKUP($B51,"&amp;" IMPORTRANGE('Match Names'!$F$23, CONCAT(VLOOKUP($C51, 'Match Names'!$1:$22, 6, FALSE), ""!C3:R29"")), {3;9;15;21}, FALSE)), 'Player Overall Stats Unsorted'!$AA$9:$AA$12), ""=X"")) + (4 - COUNTIF(IFERROR(ARRAYFORMULA(HLOOKUP($B51, IMPORTRANGE('Match Names"&amp;"'!$G$23, CONCAT(VLOOKUP($C51, 'Match Names'!$1:$22, 7, FALSE), ""!C3:R29"")), {3;8;12;18}, FALSE)), 'Player Overall Stats Unsorted'!$AA$9:$AA$12), ""=X"")) + (4 - COUNTIF(IFERROR(ARRAYFORMULA(HLOOKUP($B51, IMPORTRANGE('Match Names'!$H$23, CONCAT(VLOOKUP($"&amp;"C51, 'Match Names'!$1:$22, 8, FALSE), ""!C3:R29"")), {7;13;19;24}, FALSE)), 'Player Overall Stats Unsorted'!$AA$9:$AA$12), ""=X""))"),9.0)</f>
        <v>9</v>
      </c>
      <c r="E51" s="32">
        <f>IFERROR(__xludf.DUMMYFUNCTION("COUNTIF(ARRAYFORMULA(HLOOKUP($B51, IMPORTRANGE('Prelim Rankings Unsorted'!$B$40, CONCAT(VLOOKUP($C51, 'Match Names'!$A$1:$D$22, 2, FALSE), ""!C3:R29"")), {4;9;15;21}, FALSE)), ""=4"") + COUNTIF(ARRAYFORMULA(HLOOKUP($B51, IMPORTRANGE('Prelim Rankings Unsor"&amp;"ted'!$B$41, CONCAT(VLOOKUP($C51, 'Match Names'!$A$1:$D$22, 3, FALSE), ""!C3:R29"")), {7;13;19;24}, FALSE)), ""=4"") + COUNTIF(ARRAYFORMULA(HLOOKUP($B51, IMPORTRANGE('Prelim Rankings Unsorted'!$B$42, CONCAT(VLOOKUP($C51, 'Match Names'!$A$1:$D$22, 4, FALSE)"&amp;", ""!C3:R29"")), {7;13;19;24}, FALSE)), ""=4"") + COUNTIF(ARRAYFORMULA(HLOOKUP($B51, IMPORTRANGE('Match Names'!$E$23, CONCAT(VLOOKUP($C51, 'Match Names'!$1:$22, 5, FALSE), ""!C3:R29"")), {2;8;12;22}, FALSE)), ""=4"") + COUNTIF(ARRAYFORMULA(HLOOKUP($B51, I"&amp;"MPORTRANGE('Match Names'!$F$23, CONCAT(VLOOKUP($C51, 'Match Names'!$1:$22, 6, FALSE), ""!C3:R29"")), {3;9;15;21}, FALSE)), ""=4"") + COUNTIF(ARRAYFORMULA(HLOOKUP($B51, IMPORTRANGE('Match Names'!$G$23, CONCAT(VLOOKUP($C51, 'Match Names'!$1:$22, 7, FALSE), "&amp;"""!C3:R29"")), {3;8;12;18}, FALSE)), ""=4"") + COUNTIF(ARRAYFORMULA(HLOOKUP($B51, IMPORTRANGE('Match Names'!$H$23, CONCAT(VLOOKUP($C51, 'Match Names'!$1:$22, 8, FALSE), ""!C3:R29"")), {7;13;19;24}, FALSE)), ""=4"")"),2.0)</f>
        <v>2</v>
      </c>
      <c r="F51" s="32">
        <f>IFERROR(__xludf.DUMMYFUNCTION("COUNTIF(ARRAYFORMULA(HLOOKUP($B51, IMPORTRANGE('Prelim Rankings Unsorted'!$B$40, CONCAT(VLOOKUP($C51, 'Match Names'!$A$1:$D$22, 2, FALSE), ""!C3:R29"")), {4;9;15;21}, FALSE)), ""=0"") + COUNTIF(ARRAYFORMULA(HLOOKUP($B51, IMPORTRANGE('Prelim Rankings Unsor"&amp;"ted'!$B$41, CONCAT(VLOOKUP($C51, 'Match Names'!$A$1:$D$22, 3, FALSE), ""!C3:R29"")), {7;13;19;24}, FALSE)), ""=0"") + COUNTIF(ARRAYFORMULA(HLOOKUP($B51, IMPORTRANGE('Prelim Rankings Unsorted'!$B$42, CONCAT(VLOOKUP($C51, 'Match Names'!$A$1:$D$22, 4, FALSE)"&amp;", ""!C3:R29"")), {7;13;19;24}, FALSE)), ""=0"") + COUNTIF(ARRAYFORMULA(HLOOKUP($B51, IMPORTRANGE('Match Names'!$E$23, CONCAT(VLOOKUP($C51, 'Match Names'!$1:$22, 5, FALSE), ""!C3:R29"")), {2;8;12;22}, FALSE)), ""=0"") + COUNTIF(ARRAYFORMULA(HLOOKUP($B51, I"&amp;"MPORTRANGE('Match Names'!$F$23, CONCAT(VLOOKUP($C51, 'Match Names'!$1:$22, 6, FALSE), ""!C3:R29"")), {3;9;15;21}, FALSE)), ""=0"") + COUNTIF(ARRAYFORMULA(HLOOKUP($B51, IMPORTRANGE('Match Names'!$G$23, CONCAT(VLOOKUP($C51, 'Match Names'!$1:$22, 7, FALSE), "&amp;"""!C3:R29"")), {3;8;12;18}, FALSE)), ""=0"") + COUNTIF(ARRAYFORMULA(HLOOKUP($B51, IMPORTRANGE('Match Names'!$H$23, CONCAT(VLOOKUP($C51, 'Match Names'!$1:$22, 8, FALSE), ""!C3:R29"")), {7;13;19;24}, FALSE)), ""=0"")"),0.0)</f>
        <v>0</v>
      </c>
      <c r="G51" s="32">
        <f>IFERROR(__xludf.DUMMYFUNCTION("COUNTIF(ARRAYFORMULA(HLOOKUP($B51, IMPORTRANGE('Prelim Rankings Unsorted'!$B$40, CONCAT(VLOOKUP($C51, 'Match Names'!$A$1:$D$22, 2, FALSE), ""!C3:R29"")), {4;9;15;21}, FALSE)), ""=-4"") + COUNTIF(ARRAYFORMULA(HLOOKUP($B51, IMPORTRANGE('Prelim Rankings Unso"&amp;"rted'!$B$41, CONCAT(VLOOKUP($C51, 'Match Names'!$A$1:$D$22, 3, FALSE), ""!C3:R29"")), {7;13;19;24}, FALSE)), ""=-4"") + COUNTIF(ARRAYFORMULA(HLOOKUP($B51, IMPORTRANGE('Prelim Rankings Unsorted'!$B$42, CONCAT(VLOOKUP($C51, 'Match Names'!$A$1:$D$22, 4, FALS"&amp;"E), ""!C3:R29"")), {7;13;19;24}, FALSE)), ""=-4"") + COUNTIF(ARRAYFORMULA(HLOOKUP($B51, IMPORTRANGE('Match Names'!$E$23, CONCAT(VLOOKUP($C51, 'Match Names'!$1:$22, 5, FALSE), ""!C3:R29"")), {2;8;12;22}, FALSE)), ""=-4"") + COUNTIF(ARRAYFORMULA(HLOOKUP($B5"&amp;"1, IMPORTRANGE('Match Names'!$F$23, CONCAT(VLOOKUP($C51, 'Match Names'!$1:$22, 6, FALSE), ""!C3:R29"")), {3;9;15;21}, FALSE)), ""=-4"") + COUNTIF(ARRAYFORMULA(HLOOKUP($B51, IMPORTRANGE('Match Names'!$G$23, CONCAT(VLOOKUP($C51, 'Match Names'!$1:$22, 7, FAL"&amp;"SE), ""!C3:R29"")), {3;8;12;18}, FALSE)), ""=-4"") + COUNTIF(ARRAYFORMULA(HLOOKUP($B51, IMPORTRANGE('Match Names'!$H$23, CONCAT(VLOOKUP($C51, 'Match Names'!$1:$22, 8, FALSE), ""!C3:R29"")), {7;13;19;24}, FALSE)), ""=-4"")"),0.0)</f>
        <v>0</v>
      </c>
      <c r="H51" s="33">
        <f t="shared" si="1"/>
        <v>3.56</v>
      </c>
    </row>
    <row r="52">
      <c r="A52" s="21" t="s">
        <v>67</v>
      </c>
      <c r="B52" s="7" t="str">
        <f>VLOOKUP(CONCAT(A52, C52), 'Discord Username to Real Name'!C:D, 2, FALSE)</f>
        <v>dannyridel#2256</v>
      </c>
      <c r="C52" s="21" t="s">
        <v>29</v>
      </c>
      <c r="D52" s="32">
        <f>IFERROR(__xludf.DUMMYFUNCTION("(4 - COUNTIF(IFERROR(ARRAYFORMULA(HLOOKUP($B52, IMPORTRANGE('Prelim Rankings Unsorted'!$B$40, CONCAT(VLOOKUP($C52, 'Match Names'!$A$1:$D$22, 2, FALSE), ""!C3:R29"")), {4;9;15;21}, FALSE)), 'Player Overall Stats Unsorted'!$AA$9:$AA$12), ""=X"")) + (4 - COU"&amp;"NTIF(IFERROR(ARRAYFORMULA(HLOOKUP($B52, IMPORTRANGE('Prelim Rankings Unsorted'!$B$41, CONCAT(VLOOKUP($C52, 'Match Names'!$A$1:$D$22, 3, FALSE), ""!C3:R29"")), {7;13;19;24}, FALSE)), 'Player Overall Stats Unsorted'!$AA$9:$AA$12), ""=X"")) + (4 - COUNTIF(IF"&amp;"ERROR(ARRAYFORMULA(HLOOKUP($B52, IMPORTRANGE('Prelim Rankings Unsorted'!$B$42, CONCAT(VLOOKUP($C52, 'Match Names'!$A$1:$D$22, 4, FALSE), ""!C3:R29"")), {7;13;19;24}, FALSE)), 'Player Overall Stats Unsorted'!$AA$9:$AA$12), ""=X"")) + (4 - COUNTIF(IFERROR(A"&amp;"RRAYFORMULA(HLOOKUP($B52, IMPORTRANGE('Match Names'!$E$23, CONCAT(VLOOKUP($C52, 'Match Names'!$1:$22, 5, FALSE), ""!C3:R29"")), {2;8;12;22}, FALSE)), 'Player Overall Stats Unsorted'!$AA$9:$AA$12), ""=X"")) + (4 - COUNTIF(IFERROR(ARRAYFORMULA(HLOOKUP($B52,"&amp;" IMPORTRANGE('Match Names'!$F$23, CONCAT(VLOOKUP($C52, 'Match Names'!$1:$22, 6, FALSE), ""!C3:R29"")), {3;9;15;21}, FALSE)), 'Player Overall Stats Unsorted'!$AA$9:$AA$12), ""=X"")) + (4 - COUNTIF(IFERROR(ARRAYFORMULA(HLOOKUP($B52, IMPORTRANGE('Match Names"&amp;"'!$G$23, CONCAT(VLOOKUP($C52, 'Match Names'!$1:$22, 7, FALSE), ""!C3:R29"")), {3;8;12;18}, FALSE)), 'Player Overall Stats Unsorted'!$AA$9:$AA$12), ""=X"")) + (4 - COUNTIF(IFERROR(ARRAYFORMULA(HLOOKUP($B52, IMPORTRANGE('Match Names'!$H$23, CONCAT(VLOOKUP($"&amp;"C52, 'Match Names'!$1:$22, 8, FALSE), ""!C3:R29"")), {7;13;19;24}, FALSE)), 'Player Overall Stats Unsorted'!$AA$9:$AA$12), ""=X""))"),20.0)</f>
        <v>20</v>
      </c>
      <c r="E52" s="32">
        <f>IFERROR(__xludf.DUMMYFUNCTION("COUNTIF(ARRAYFORMULA(HLOOKUP($B52, IMPORTRANGE('Prelim Rankings Unsorted'!$B$40, CONCAT(VLOOKUP($C52, 'Match Names'!$A$1:$D$22, 2, FALSE), ""!C3:R29"")), {4;9;15;21}, FALSE)), ""=4"") + COUNTIF(ARRAYFORMULA(HLOOKUP($B52, IMPORTRANGE('Prelim Rankings Unsor"&amp;"ted'!$B$41, CONCAT(VLOOKUP($C52, 'Match Names'!$A$1:$D$22, 3, FALSE), ""!C3:R29"")), {7;13;19;24}, FALSE)), ""=4"") + COUNTIF(ARRAYFORMULA(HLOOKUP($B52, IMPORTRANGE('Prelim Rankings Unsorted'!$B$42, CONCAT(VLOOKUP($C52, 'Match Names'!$A$1:$D$22, 4, FALSE)"&amp;", ""!C3:R29"")), {7;13;19;24}, FALSE)), ""=4"") + COUNTIF(ARRAYFORMULA(HLOOKUP($B52, IMPORTRANGE('Match Names'!$E$23, CONCAT(VLOOKUP($C52, 'Match Names'!$1:$22, 5, FALSE), ""!C3:R29"")), {2;8;12;22}, FALSE)), ""=4"") + COUNTIF(ARRAYFORMULA(HLOOKUP($B52, I"&amp;"MPORTRANGE('Match Names'!$F$23, CONCAT(VLOOKUP($C52, 'Match Names'!$1:$22, 6, FALSE), ""!C3:R29"")), {3;9;15;21}, FALSE)), ""=4"") + COUNTIF(ARRAYFORMULA(HLOOKUP($B52, IMPORTRANGE('Match Names'!$G$23, CONCAT(VLOOKUP($C52, 'Match Names'!$1:$22, 7, FALSE), "&amp;"""!C3:R29"")), {3;8;12;18}, FALSE)), ""=4"") + COUNTIF(ARRAYFORMULA(HLOOKUP($B52, IMPORTRANGE('Match Names'!$H$23, CONCAT(VLOOKUP($C52, 'Match Names'!$1:$22, 8, FALSE), ""!C3:R29"")), {7;13;19;24}, FALSE)), ""=4"")"),4.0)</f>
        <v>4</v>
      </c>
      <c r="F52" s="32">
        <f>IFERROR(__xludf.DUMMYFUNCTION("COUNTIF(ARRAYFORMULA(HLOOKUP($B52, IMPORTRANGE('Prelim Rankings Unsorted'!$B$40, CONCAT(VLOOKUP($C52, 'Match Names'!$A$1:$D$22, 2, FALSE), ""!C3:R29"")), {4;9;15;21}, FALSE)), ""=0"") + COUNTIF(ARRAYFORMULA(HLOOKUP($B52, IMPORTRANGE('Prelim Rankings Unsor"&amp;"ted'!$B$41, CONCAT(VLOOKUP($C52, 'Match Names'!$A$1:$D$22, 3, FALSE), ""!C3:R29"")), {7;13;19;24}, FALSE)), ""=0"") + COUNTIF(ARRAYFORMULA(HLOOKUP($B52, IMPORTRANGE('Prelim Rankings Unsorted'!$B$42, CONCAT(VLOOKUP($C52, 'Match Names'!$A$1:$D$22, 4, FALSE)"&amp;", ""!C3:R29"")), {7;13;19;24}, FALSE)), ""=0"") + COUNTIF(ARRAYFORMULA(HLOOKUP($B52, IMPORTRANGE('Match Names'!$E$23, CONCAT(VLOOKUP($C52, 'Match Names'!$1:$22, 5, FALSE), ""!C3:R29"")), {2;8;12;22}, FALSE)), ""=0"") + COUNTIF(ARRAYFORMULA(HLOOKUP($B52, I"&amp;"MPORTRANGE('Match Names'!$F$23, CONCAT(VLOOKUP($C52, 'Match Names'!$1:$22, 6, FALSE), ""!C3:R29"")), {3;9;15;21}, FALSE)), ""=0"") + COUNTIF(ARRAYFORMULA(HLOOKUP($B52, IMPORTRANGE('Match Names'!$G$23, CONCAT(VLOOKUP($C52, 'Match Names'!$1:$22, 7, FALSE), "&amp;"""!C3:R29"")), {3;8;12;18}, FALSE)), ""=0"") + COUNTIF(ARRAYFORMULA(HLOOKUP($B52, IMPORTRANGE('Match Names'!$H$23, CONCAT(VLOOKUP($C52, 'Match Names'!$1:$22, 8, FALSE), ""!C3:R29"")), {7;13;19;24}, FALSE)), ""=0"")"),1.0)</f>
        <v>1</v>
      </c>
      <c r="G52" s="32">
        <f>IFERROR(__xludf.DUMMYFUNCTION("COUNTIF(ARRAYFORMULA(HLOOKUP($B52, IMPORTRANGE('Prelim Rankings Unsorted'!$B$40, CONCAT(VLOOKUP($C52, 'Match Names'!$A$1:$D$22, 2, FALSE), ""!C3:R29"")), {4;9;15;21}, FALSE)), ""=-4"") + COUNTIF(ARRAYFORMULA(HLOOKUP($B52, IMPORTRANGE('Prelim Rankings Unso"&amp;"rted'!$B$41, CONCAT(VLOOKUP($C52, 'Match Names'!$A$1:$D$22, 3, FALSE), ""!C3:R29"")), {7;13;19;24}, FALSE)), ""=-4"") + COUNTIF(ARRAYFORMULA(HLOOKUP($B52, IMPORTRANGE('Prelim Rankings Unsorted'!$B$42, CONCAT(VLOOKUP($C52, 'Match Names'!$A$1:$D$22, 4, FALS"&amp;"E), ""!C3:R29"")), {7;13;19;24}, FALSE)), ""=-4"") + COUNTIF(ARRAYFORMULA(HLOOKUP($B52, IMPORTRANGE('Match Names'!$E$23, CONCAT(VLOOKUP($C52, 'Match Names'!$1:$22, 5, FALSE), ""!C3:R29"")), {2;8;12;22}, FALSE)), ""=-4"") + COUNTIF(ARRAYFORMULA(HLOOKUP($B5"&amp;"2, IMPORTRANGE('Match Names'!$F$23, CONCAT(VLOOKUP($C52, 'Match Names'!$1:$22, 6, FALSE), ""!C3:R29"")), {3;9;15;21}, FALSE)), ""=-4"") + COUNTIF(ARRAYFORMULA(HLOOKUP($B52, IMPORTRANGE('Match Names'!$G$23, CONCAT(VLOOKUP($C52, 'Match Names'!$1:$22, 7, FAL"&amp;"SE), ""!C3:R29"")), {3;8;12;18}, FALSE)), ""=-4"") + COUNTIF(ARRAYFORMULA(HLOOKUP($B52, IMPORTRANGE('Match Names'!$H$23, CONCAT(VLOOKUP($C52, 'Match Names'!$1:$22, 8, FALSE), ""!C3:R29"")), {7;13;19;24}, FALSE)), ""=-4"")"),0.0)</f>
        <v>0</v>
      </c>
      <c r="H52" s="33">
        <f t="shared" si="1"/>
        <v>3.2</v>
      </c>
    </row>
    <row r="53">
      <c r="A53" s="21" t="s">
        <v>188</v>
      </c>
      <c r="B53" s="7" t="str">
        <f>VLOOKUP(CONCAT(A53, C53), 'Discord Username to Real Name'!C:D, 2, FALSE)</f>
        <v>Allusion#0092</v>
      </c>
      <c r="C53" s="21" t="s">
        <v>29</v>
      </c>
      <c r="D53" s="32">
        <f>IFERROR(__xludf.DUMMYFUNCTION("(4 - COUNTIF(IFERROR(ARRAYFORMULA(HLOOKUP($B53, IMPORTRANGE('Prelim Rankings Unsorted'!$B$40, CONCAT(VLOOKUP($C53, 'Match Names'!$A$1:$D$22, 2, FALSE), ""!C3:R29"")), {4;9;15;21}, FALSE)), 'Player Overall Stats Unsorted'!$AA$9:$AA$12), ""=X"")) + (4 - COU"&amp;"NTIF(IFERROR(ARRAYFORMULA(HLOOKUP($B53, IMPORTRANGE('Prelim Rankings Unsorted'!$B$41, CONCAT(VLOOKUP($C53, 'Match Names'!$A$1:$D$22, 3, FALSE), ""!C3:R29"")), {7;13;19;24}, FALSE)), 'Player Overall Stats Unsorted'!$AA$9:$AA$12), ""=X"")) + (4 - COUNTIF(IF"&amp;"ERROR(ARRAYFORMULA(HLOOKUP($B53, IMPORTRANGE('Prelim Rankings Unsorted'!$B$42, CONCAT(VLOOKUP($C53, 'Match Names'!$A$1:$D$22, 4, FALSE), ""!C3:R29"")), {7;13;19;24}, FALSE)), 'Player Overall Stats Unsorted'!$AA$9:$AA$12), ""=X"")) + (4 - COUNTIF(IFERROR(A"&amp;"RRAYFORMULA(HLOOKUP($B53, IMPORTRANGE('Match Names'!$E$23, CONCAT(VLOOKUP($C53, 'Match Names'!$1:$22, 5, FALSE), ""!C3:R29"")), {2;8;12;22}, FALSE)), 'Player Overall Stats Unsorted'!$AA$9:$AA$12), ""=X"")) + (4 - COUNTIF(IFERROR(ARRAYFORMULA(HLOOKUP($B53,"&amp;" IMPORTRANGE('Match Names'!$F$23, CONCAT(VLOOKUP($C53, 'Match Names'!$1:$22, 6, FALSE), ""!C3:R29"")), {3;9;15;21}, FALSE)), 'Player Overall Stats Unsorted'!$AA$9:$AA$12), ""=X"")) + (4 - COUNTIF(IFERROR(ARRAYFORMULA(HLOOKUP($B53, IMPORTRANGE('Match Names"&amp;"'!$G$23, CONCAT(VLOOKUP($C53, 'Match Names'!$1:$22, 7, FALSE), ""!C3:R29"")), {3;8;12;18}, FALSE)), 'Player Overall Stats Unsorted'!$AA$9:$AA$12), ""=X"")) + (4 - COUNTIF(IFERROR(ARRAYFORMULA(HLOOKUP($B53, IMPORTRANGE('Match Names'!$H$23, CONCAT(VLOOKUP($"&amp;"C53, 'Match Names'!$1:$22, 8, FALSE), ""!C3:R29"")), {7;13;19;24}, FALSE)), 'Player Overall Stats Unsorted'!$AA$9:$AA$12), ""=X""))"),4.0)</f>
        <v>4</v>
      </c>
      <c r="E53" s="32">
        <f>IFERROR(__xludf.DUMMYFUNCTION("COUNTIF(ARRAYFORMULA(HLOOKUP($B53, IMPORTRANGE('Prelim Rankings Unsorted'!$B$40, CONCAT(VLOOKUP($C53, 'Match Names'!$A$1:$D$22, 2, FALSE), ""!C3:R29"")), {4;9;15;21}, FALSE)), ""=4"") + COUNTIF(ARRAYFORMULA(HLOOKUP($B53, IMPORTRANGE('Prelim Rankings Unsor"&amp;"ted'!$B$41, CONCAT(VLOOKUP($C53, 'Match Names'!$A$1:$D$22, 3, FALSE), ""!C3:R29"")), {7;13;19;24}, FALSE)), ""=4"") + COUNTIF(ARRAYFORMULA(HLOOKUP($B53, IMPORTRANGE('Prelim Rankings Unsorted'!$B$42, CONCAT(VLOOKUP($C53, 'Match Names'!$A$1:$D$22, 4, FALSE)"&amp;", ""!C3:R29"")), {7;13;19;24}, FALSE)), ""=4"") + COUNTIF(ARRAYFORMULA(HLOOKUP($B53, IMPORTRANGE('Match Names'!$E$23, CONCAT(VLOOKUP($C53, 'Match Names'!$1:$22, 5, FALSE), ""!C3:R29"")), {2;8;12;22}, FALSE)), ""=4"") + COUNTIF(ARRAYFORMULA(HLOOKUP($B53, I"&amp;"MPORTRANGE('Match Names'!$F$23, CONCAT(VLOOKUP($C53, 'Match Names'!$1:$22, 6, FALSE), ""!C3:R29"")), {3;9;15;21}, FALSE)), ""=4"") + COUNTIF(ARRAYFORMULA(HLOOKUP($B53, IMPORTRANGE('Match Names'!$G$23, CONCAT(VLOOKUP($C53, 'Match Names'!$1:$22, 7, FALSE), "&amp;"""!C3:R29"")), {3;8;12;18}, FALSE)), ""=4"") + COUNTIF(ARRAYFORMULA(HLOOKUP($B53, IMPORTRANGE('Match Names'!$H$23, CONCAT(VLOOKUP($C53, 'Match Names'!$1:$22, 8, FALSE), ""!C3:R29"")), {7;13;19;24}, FALSE)), ""=4"")"),0.0)</f>
        <v>0</v>
      </c>
      <c r="F53" s="32">
        <f>IFERROR(__xludf.DUMMYFUNCTION("COUNTIF(ARRAYFORMULA(HLOOKUP($B53, IMPORTRANGE('Prelim Rankings Unsorted'!$B$40, CONCAT(VLOOKUP($C53, 'Match Names'!$A$1:$D$22, 2, FALSE), ""!C3:R29"")), {4;9;15;21}, FALSE)), ""=0"") + COUNTIF(ARRAYFORMULA(HLOOKUP($B53, IMPORTRANGE('Prelim Rankings Unsor"&amp;"ted'!$B$41, CONCAT(VLOOKUP($C53, 'Match Names'!$A$1:$D$22, 3, FALSE), ""!C3:R29"")), {7;13;19;24}, FALSE)), ""=0"") + COUNTIF(ARRAYFORMULA(HLOOKUP($B53, IMPORTRANGE('Prelim Rankings Unsorted'!$B$42, CONCAT(VLOOKUP($C53, 'Match Names'!$A$1:$D$22, 4, FALSE)"&amp;", ""!C3:R29"")), {7;13;19;24}, FALSE)), ""=0"") + COUNTIF(ARRAYFORMULA(HLOOKUP($B53, IMPORTRANGE('Match Names'!$E$23, CONCAT(VLOOKUP($C53, 'Match Names'!$1:$22, 5, FALSE), ""!C3:R29"")), {2;8;12;22}, FALSE)), ""=0"") + COUNTIF(ARRAYFORMULA(HLOOKUP($B53, I"&amp;"MPORTRANGE('Match Names'!$F$23, CONCAT(VLOOKUP($C53, 'Match Names'!$1:$22, 6, FALSE), ""!C3:R29"")), {3;9;15;21}, FALSE)), ""=0"") + COUNTIF(ARRAYFORMULA(HLOOKUP($B53, IMPORTRANGE('Match Names'!$G$23, CONCAT(VLOOKUP($C53, 'Match Names'!$1:$22, 7, FALSE), "&amp;"""!C3:R29"")), {3;8;12;18}, FALSE)), ""=0"") + COUNTIF(ARRAYFORMULA(HLOOKUP($B53, IMPORTRANGE('Match Names'!$H$23, CONCAT(VLOOKUP($C53, 'Match Names'!$1:$22, 8, FALSE), ""!C3:R29"")), {7;13;19;24}, FALSE)), ""=0"")"),0.0)</f>
        <v>0</v>
      </c>
      <c r="G53" s="32">
        <f>IFERROR(__xludf.DUMMYFUNCTION("COUNTIF(ARRAYFORMULA(HLOOKUP($B53, IMPORTRANGE('Prelim Rankings Unsorted'!$B$40, CONCAT(VLOOKUP($C53, 'Match Names'!$A$1:$D$22, 2, FALSE), ""!C3:R29"")), {4;9;15;21}, FALSE)), ""=-4"") + COUNTIF(ARRAYFORMULA(HLOOKUP($B53, IMPORTRANGE('Prelim Rankings Unso"&amp;"rted'!$B$41, CONCAT(VLOOKUP($C53, 'Match Names'!$A$1:$D$22, 3, FALSE), ""!C3:R29"")), {7;13;19;24}, FALSE)), ""=-4"") + COUNTIF(ARRAYFORMULA(HLOOKUP($B53, IMPORTRANGE('Prelim Rankings Unsorted'!$B$42, CONCAT(VLOOKUP($C53, 'Match Names'!$A$1:$D$22, 4, FALS"&amp;"E), ""!C3:R29"")), {7;13;19;24}, FALSE)), ""=-4"") + COUNTIF(ARRAYFORMULA(HLOOKUP($B53, IMPORTRANGE('Match Names'!$E$23, CONCAT(VLOOKUP($C53, 'Match Names'!$1:$22, 5, FALSE), ""!C3:R29"")), {2;8;12;22}, FALSE)), ""=-4"") + COUNTIF(ARRAYFORMULA(HLOOKUP($B5"&amp;"3, IMPORTRANGE('Match Names'!$F$23, CONCAT(VLOOKUP($C53, 'Match Names'!$1:$22, 6, FALSE), ""!C3:R29"")), {3;9;15;21}, FALSE)), ""=-4"") + COUNTIF(ARRAYFORMULA(HLOOKUP($B53, IMPORTRANGE('Match Names'!$G$23, CONCAT(VLOOKUP($C53, 'Match Names'!$1:$22, 7, FAL"&amp;"SE), ""!C3:R29"")), {3;8;12;18}, FALSE)), ""=-4"") + COUNTIF(ARRAYFORMULA(HLOOKUP($B53, IMPORTRANGE('Match Names'!$H$23, CONCAT(VLOOKUP($C53, 'Match Names'!$1:$22, 8, FALSE), ""!C3:R29"")), {7;13;19;24}, FALSE)), ""=-4"")"),0.0)</f>
        <v>0</v>
      </c>
      <c r="H53" s="33">
        <f t="shared" si="1"/>
        <v>0</v>
      </c>
    </row>
    <row r="54">
      <c r="A54" s="21" t="s">
        <v>81</v>
      </c>
      <c r="B54" s="7" t="str">
        <f>VLOOKUP(CONCAT(A54, C54), 'Discord Username to Real Name'!C:D, 2, FALSE)</f>
        <v>grassisgood#9863</v>
      </c>
      <c r="C54" s="21" t="s">
        <v>29</v>
      </c>
      <c r="D54" s="32">
        <f>IFERROR(__xludf.DUMMYFUNCTION("(4 - COUNTIF(IFERROR(ARRAYFORMULA(HLOOKUP($B54, IMPORTRANGE('Prelim Rankings Unsorted'!$B$40, CONCAT(VLOOKUP($C54, 'Match Names'!$A$1:$D$22, 2, FALSE), ""!C3:R29"")), {4;9;15;21}, FALSE)), 'Player Overall Stats Unsorted'!$AA$9:$AA$12), ""=X"")) + (4 - COU"&amp;"NTIF(IFERROR(ARRAYFORMULA(HLOOKUP($B54, IMPORTRANGE('Prelim Rankings Unsorted'!$B$41, CONCAT(VLOOKUP($C54, 'Match Names'!$A$1:$D$22, 3, FALSE), ""!C3:R29"")), {7;13;19;24}, FALSE)), 'Player Overall Stats Unsorted'!$AA$9:$AA$12), ""=X"")) + (4 - COUNTIF(IF"&amp;"ERROR(ARRAYFORMULA(HLOOKUP($B54, IMPORTRANGE('Prelim Rankings Unsorted'!$B$42, CONCAT(VLOOKUP($C54, 'Match Names'!$A$1:$D$22, 4, FALSE), ""!C3:R29"")), {7;13;19;24}, FALSE)), 'Player Overall Stats Unsorted'!$AA$9:$AA$12), ""=X"")) + (4 - COUNTIF(IFERROR(A"&amp;"RRAYFORMULA(HLOOKUP($B54, IMPORTRANGE('Match Names'!$E$23, CONCAT(VLOOKUP($C54, 'Match Names'!$1:$22, 5, FALSE), ""!C3:R29"")), {2;8;12;22}, FALSE)), 'Player Overall Stats Unsorted'!$AA$9:$AA$12), ""=X"")) + (4 - COUNTIF(IFERROR(ARRAYFORMULA(HLOOKUP($B54,"&amp;" IMPORTRANGE('Match Names'!$F$23, CONCAT(VLOOKUP($C54, 'Match Names'!$1:$22, 6, FALSE), ""!C3:R29"")), {3;9;15;21}, FALSE)), 'Player Overall Stats Unsorted'!$AA$9:$AA$12), ""=X"")) + (4 - COUNTIF(IFERROR(ARRAYFORMULA(HLOOKUP($B54, IMPORTRANGE('Match Names"&amp;"'!$G$23, CONCAT(VLOOKUP($C54, 'Match Names'!$1:$22, 7, FALSE), ""!C3:R29"")), {3;8;12;18}, FALSE)), 'Player Overall Stats Unsorted'!$AA$9:$AA$12), ""=X"")) + (4 - COUNTIF(IFERROR(ARRAYFORMULA(HLOOKUP($B54, IMPORTRANGE('Match Names'!$H$23, CONCAT(VLOOKUP($"&amp;"C54, 'Match Names'!$1:$22, 8, FALSE), ""!C3:R29"")), {7;13;19;24}, FALSE)), 'Player Overall Stats Unsorted'!$AA$9:$AA$12), ""=X""))"),20.0)</f>
        <v>20</v>
      </c>
      <c r="E54" s="32">
        <f>IFERROR(__xludf.DUMMYFUNCTION("COUNTIF(ARRAYFORMULA(HLOOKUP($B54, IMPORTRANGE('Prelim Rankings Unsorted'!$B$40, CONCAT(VLOOKUP($C54, 'Match Names'!$A$1:$D$22, 2, FALSE), ""!C3:R29"")), {4;9;15;21}, FALSE)), ""=4"") + COUNTIF(ARRAYFORMULA(HLOOKUP($B54, IMPORTRANGE('Prelim Rankings Unsor"&amp;"ted'!$B$41, CONCAT(VLOOKUP($C54, 'Match Names'!$A$1:$D$22, 3, FALSE), ""!C3:R29"")), {7;13;19;24}, FALSE)), ""=4"") + COUNTIF(ARRAYFORMULA(HLOOKUP($B54, IMPORTRANGE('Prelim Rankings Unsorted'!$B$42, CONCAT(VLOOKUP($C54, 'Match Names'!$A$1:$D$22, 4, FALSE)"&amp;", ""!C3:R29"")), {7;13;19;24}, FALSE)), ""=4"") + COUNTIF(ARRAYFORMULA(HLOOKUP($B54, IMPORTRANGE('Match Names'!$E$23, CONCAT(VLOOKUP($C54, 'Match Names'!$1:$22, 5, FALSE), ""!C3:R29"")), {2;8;12;22}, FALSE)), ""=4"") + COUNTIF(ARRAYFORMULA(HLOOKUP($B54, I"&amp;"MPORTRANGE('Match Names'!$F$23, CONCAT(VLOOKUP($C54, 'Match Names'!$1:$22, 6, FALSE), ""!C3:R29"")), {3;9;15;21}, FALSE)), ""=4"") + COUNTIF(ARRAYFORMULA(HLOOKUP($B54, IMPORTRANGE('Match Names'!$G$23, CONCAT(VLOOKUP($C54, 'Match Names'!$1:$22, 7, FALSE), "&amp;"""!C3:R29"")), {3;8;12;18}, FALSE)), ""=4"") + COUNTIF(ARRAYFORMULA(HLOOKUP($B54, IMPORTRANGE('Match Names'!$H$23, CONCAT(VLOOKUP($C54, 'Match Names'!$1:$22, 8, FALSE), ""!C3:R29"")), {7;13;19;24}, FALSE)), ""=4"")"),0.0)</f>
        <v>0</v>
      </c>
      <c r="F54" s="32">
        <f>IFERROR(__xludf.DUMMYFUNCTION("COUNTIF(ARRAYFORMULA(HLOOKUP($B54, IMPORTRANGE('Prelim Rankings Unsorted'!$B$40, CONCAT(VLOOKUP($C54, 'Match Names'!$A$1:$D$22, 2, FALSE), ""!C3:R29"")), {4;9;15;21}, FALSE)), ""=0"") + COUNTIF(ARRAYFORMULA(HLOOKUP($B54, IMPORTRANGE('Prelim Rankings Unsor"&amp;"ted'!$B$41, CONCAT(VLOOKUP($C54, 'Match Names'!$A$1:$D$22, 3, FALSE), ""!C3:R29"")), {7;13;19;24}, FALSE)), ""=0"") + COUNTIF(ARRAYFORMULA(HLOOKUP($B54, IMPORTRANGE('Prelim Rankings Unsorted'!$B$42, CONCAT(VLOOKUP($C54, 'Match Names'!$A$1:$D$22, 4, FALSE)"&amp;", ""!C3:R29"")), {7;13;19;24}, FALSE)), ""=0"") + COUNTIF(ARRAYFORMULA(HLOOKUP($B54, IMPORTRANGE('Match Names'!$E$23, CONCAT(VLOOKUP($C54, 'Match Names'!$1:$22, 5, FALSE), ""!C3:R29"")), {2;8;12;22}, FALSE)), ""=0"") + COUNTIF(ARRAYFORMULA(HLOOKUP($B54, I"&amp;"MPORTRANGE('Match Names'!$F$23, CONCAT(VLOOKUP($C54, 'Match Names'!$1:$22, 6, FALSE), ""!C3:R29"")), {3;9;15;21}, FALSE)), ""=0"") + COUNTIF(ARRAYFORMULA(HLOOKUP($B54, IMPORTRANGE('Match Names'!$G$23, CONCAT(VLOOKUP($C54, 'Match Names'!$1:$22, 7, FALSE), "&amp;"""!C3:R29"")), {3;8;12;18}, FALSE)), ""=0"") + COUNTIF(ARRAYFORMULA(HLOOKUP($B54, IMPORTRANGE('Match Names'!$H$23, CONCAT(VLOOKUP($C54, 'Match Names'!$1:$22, 8, FALSE), ""!C3:R29"")), {7;13;19;24}, FALSE)), ""=0"")"),0.0)</f>
        <v>0</v>
      </c>
      <c r="G54" s="32">
        <f>IFERROR(__xludf.DUMMYFUNCTION("COUNTIF(ARRAYFORMULA(HLOOKUP($B54, IMPORTRANGE('Prelim Rankings Unsorted'!$B$40, CONCAT(VLOOKUP($C54, 'Match Names'!$A$1:$D$22, 2, FALSE), ""!C3:R29"")), {4;9;15;21}, FALSE)), ""=-4"") + COUNTIF(ARRAYFORMULA(HLOOKUP($B54, IMPORTRANGE('Prelim Rankings Unso"&amp;"rted'!$B$41, CONCAT(VLOOKUP($C54, 'Match Names'!$A$1:$D$22, 3, FALSE), ""!C3:R29"")), {7;13;19;24}, FALSE)), ""=-4"") + COUNTIF(ARRAYFORMULA(HLOOKUP($B54, IMPORTRANGE('Prelim Rankings Unsorted'!$B$42, CONCAT(VLOOKUP($C54, 'Match Names'!$A$1:$D$22, 4, FALS"&amp;"E), ""!C3:R29"")), {7;13;19;24}, FALSE)), ""=-4"") + COUNTIF(ARRAYFORMULA(HLOOKUP($B54, IMPORTRANGE('Match Names'!$E$23, CONCAT(VLOOKUP($C54, 'Match Names'!$1:$22, 5, FALSE), ""!C3:R29"")), {2;8;12;22}, FALSE)), ""=-4"") + COUNTIF(ARRAYFORMULA(HLOOKUP($B5"&amp;"4, IMPORTRANGE('Match Names'!$F$23, CONCAT(VLOOKUP($C54, 'Match Names'!$1:$22, 6, FALSE), ""!C3:R29"")), {3;9;15;21}, FALSE)), ""=-4"") + COUNTIF(ARRAYFORMULA(HLOOKUP($B54, IMPORTRANGE('Match Names'!$G$23, CONCAT(VLOOKUP($C54, 'Match Names'!$1:$22, 7, FAL"&amp;"SE), ""!C3:R29"")), {3;8;12;18}, FALSE)), ""=-4"") + COUNTIF(ARRAYFORMULA(HLOOKUP($B54, IMPORTRANGE('Match Names'!$H$23, CONCAT(VLOOKUP($C54, 'Match Names'!$1:$22, 8, FALSE), ""!C3:R29"")), {7;13;19;24}, FALSE)), ""=-4"")"),0.0)</f>
        <v>0</v>
      </c>
      <c r="H54" s="33">
        <f t="shared" si="1"/>
        <v>0</v>
      </c>
    </row>
    <row r="55">
      <c r="A55" s="21" t="s">
        <v>190</v>
      </c>
      <c r="B55" s="7" t="str">
        <f>VLOOKUP(CONCAT(A55, C55), 'Discord Username to Real Name'!C:D, 2, FALSE)</f>
        <v>bread#1582</v>
      </c>
      <c r="C55" s="21" t="s">
        <v>29</v>
      </c>
      <c r="D55" s="32">
        <f>IFERROR(__xludf.DUMMYFUNCTION("(4 - COUNTIF(IFERROR(ARRAYFORMULA(HLOOKUP($B55, IMPORTRANGE('Prelim Rankings Unsorted'!$B$40, CONCAT(VLOOKUP($C55, 'Match Names'!$A$1:$D$22, 2, FALSE), ""!C3:R29"")), {4;9;15;21}, FALSE)), 'Player Overall Stats Unsorted'!$AA$9:$AA$12), ""=X"")) + (4 - COU"&amp;"NTIF(IFERROR(ARRAYFORMULA(HLOOKUP($B55, IMPORTRANGE('Prelim Rankings Unsorted'!$B$41, CONCAT(VLOOKUP($C55, 'Match Names'!$A$1:$D$22, 3, FALSE), ""!C3:R29"")), {7;13;19;24}, FALSE)), 'Player Overall Stats Unsorted'!$AA$9:$AA$12), ""=X"")) + (4 - COUNTIF(IF"&amp;"ERROR(ARRAYFORMULA(HLOOKUP($B55, IMPORTRANGE('Prelim Rankings Unsorted'!$B$42, CONCAT(VLOOKUP($C55, 'Match Names'!$A$1:$D$22, 4, FALSE), ""!C3:R29"")), {7;13;19;24}, FALSE)), 'Player Overall Stats Unsorted'!$AA$9:$AA$12), ""=X"")) + (4 - COUNTIF(IFERROR(A"&amp;"RRAYFORMULA(HLOOKUP($B55, IMPORTRANGE('Match Names'!$E$23, CONCAT(VLOOKUP($C55, 'Match Names'!$1:$22, 5, FALSE), ""!C3:R29"")), {2;8;12;22}, FALSE)), 'Player Overall Stats Unsorted'!$AA$9:$AA$12), ""=X"")) + (4 - COUNTIF(IFERROR(ARRAYFORMULA(HLOOKUP($B55,"&amp;" IMPORTRANGE('Match Names'!$F$23, CONCAT(VLOOKUP($C55, 'Match Names'!$1:$22, 6, FALSE), ""!C3:R29"")), {3;9;15;21}, FALSE)), 'Player Overall Stats Unsorted'!$AA$9:$AA$12), ""=X"")) + (4 - COUNTIF(IFERROR(ARRAYFORMULA(HLOOKUP($B55, IMPORTRANGE('Match Names"&amp;"'!$G$23, CONCAT(VLOOKUP($C55, 'Match Names'!$1:$22, 7, FALSE), ""!C3:R29"")), {3;8;12;18}, FALSE)), 'Player Overall Stats Unsorted'!$AA$9:$AA$12), ""=X"")) + (4 - COUNTIF(IFERROR(ARRAYFORMULA(HLOOKUP($B55, IMPORTRANGE('Match Names'!$H$23, CONCAT(VLOOKUP($"&amp;"C55, 'Match Names'!$1:$22, 8, FALSE), ""!C3:R29"")), {7;13;19;24}, FALSE)), 'Player Overall Stats Unsorted'!$AA$9:$AA$12), ""=X""))"),4.0)</f>
        <v>4</v>
      </c>
      <c r="E55" s="32">
        <f>IFERROR(__xludf.DUMMYFUNCTION("COUNTIF(ARRAYFORMULA(HLOOKUP($B55, IMPORTRANGE('Prelim Rankings Unsorted'!$B$40, CONCAT(VLOOKUP($C55, 'Match Names'!$A$1:$D$22, 2, FALSE), ""!C3:R29"")), {4;9;15;21}, FALSE)), ""=4"") + COUNTIF(ARRAYFORMULA(HLOOKUP($B55, IMPORTRANGE('Prelim Rankings Unsor"&amp;"ted'!$B$41, CONCAT(VLOOKUP($C55, 'Match Names'!$A$1:$D$22, 3, FALSE), ""!C3:R29"")), {7;13;19;24}, FALSE)), ""=4"") + COUNTIF(ARRAYFORMULA(HLOOKUP($B55, IMPORTRANGE('Prelim Rankings Unsorted'!$B$42, CONCAT(VLOOKUP($C55, 'Match Names'!$A$1:$D$22, 4, FALSE)"&amp;", ""!C3:R29"")), {7;13;19;24}, FALSE)), ""=4"") + COUNTIF(ARRAYFORMULA(HLOOKUP($B55, IMPORTRANGE('Match Names'!$E$23, CONCAT(VLOOKUP($C55, 'Match Names'!$1:$22, 5, FALSE), ""!C3:R29"")), {2;8;12;22}, FALSE)), ""=4"") + COUNTIF(ARRAYFORMULA(HLOOKUP($B55, I"&amp;"MPORTRANGE('Match Names'!$F$23, CONCAT(VLOOKUP($C55, 'Match Names'!$1:$22, 6, FALSE), ""!C3:R29"")), {3;9;15;21}, FALSE)), ""=4"") + COUNTIF(ARRAYFORMULA(HLOOKUP($B55, IMPORTRANGE('Match Names'!$G$23, CONCAT(VLOOKUP($C55, 'Match Names'!$1:$22, 7, FALSE), "&amp;"""!C3:R29"")), {3;8;12;18}, FALSE)), ""=4"") + COUNTIF(ARRAYFORMULA(HLOOKUP($B55, IMPORTRANGE('Match Names'!$H$23, CONCAT(VLOOKUP($C55, 'Match Names'!$1:$22, 8, FALSE), ""!C3:R29"")), {7;13;19;24}, FALSE)), ""=4"")"),0.0)</f>
        <v>0</v>
      </c>
      <c r="F55" s="32">
        <f>IFERROR(__xludf.DUMMYFUNCTION("COUNTIF(ARRAYFORMULA(HLOOKUP($B55, IMPORTRANGE('Prelim Rankings Unsorted'!$B$40, CONCAT(VLOOKUP($C55, 'Match Names'!$A$1:$D$22, 2, FALSE), ""!C3:R29"")), {4;9;15;21}, FALSE)), ""=0"") + COUNTIF(ARRAYFORMULA(HLOOKUP($B55, IMPORTRANGE('Prelim Rankings Unsor"&amp;"ted'!$B$41, CONCAT(VLOOKUP($C55, 'Match Names'!$A$1:$D$22, 3, FALSE), ""!C3:R29"")), {7;13;19;24}, FALSE)), ""=0"") + COUNTIF(ARRAYFORMULA(HLOOKUP($B55, IMPORTRANGE('Prelim Rankings Unsorted'!$B$42, CONCAT(VLOOKUP($C55, 'Match Names'!$A$1:$D$22, 4, FALSE)"&amp;", ""!C3:R29"")), {7;13;19;24}, FALSE)), ""=0"") + COUNTIF(ARRAYFORMULA(HLOOKUP($B55, IMPORTRANGE('Match Names'!$E$23, CONCAT(VLOOKUP($C55, 'Match Names'!$1:$22, 5, FALSE), ""!C3:R29"")), {2;8;12;22}, FALSE)), ""=0"") + COUNTIF(ARRAYFORMULA(HLOOKUP($B55, I"&amp;"MPORTRANGE('Match Names'!$F$23, CONCAT(VLOOKUP($C55, 'Match Names'!$1:$22, 6, FALSE), ""!C3:R29"")), {3;9;15;21}, FALSE)), ""=0"") + COUNTIF(ARRAYFORMULA(HLOOKUP($B55, IMPORTRANGE('Match Names'!$G$23, CONCAT(VLOOKUP($C55, 'Match Names'!$1:$22, 7, FALSE), "&amp;"""!C3:R29"")), {3;8;12;18}, FALSE)), ""=0"") + COUNTIF(ARRAYFORMULA(HLOOKUP($B55, IMPORTRANGE('Match Names'!$H$23, CONCAT(VLOOKUP($C55, 'Match Names'!$1:$22, 8, FALSE), ""!C3:R29"")), {7;13;19;24}, FALSE)), ""=0"")"),0.0)</f>
        <v>0</v>
      </c>
      <c r="G55" s="32">
        <f>IFERROR(__xludf.DUMMYFUNCTION("COUNTIF(ARRAYFORMULA(HLOOKUP($B55, IMPORTRANGE('Prelim Rankings Unsorted'!$B$40, CONCAT(VLOOKUP($C55, 'Match Names'!$A$1:$D$22, 2, FALSE), ""!C3:R29"")), {4;9;15;21}, FALSE)), ""=-4"") + COUNTIF(ARRAYFORMULA(HLOOKUP($B55, IMPORTRANGE('Prelim Rankings Unso"&amp;"rted'!$B$41, CONCAT(VLOOKUP($C55, 'Match Names'!$A$1:$D$22, 3, FALSE), ""!C3:R29"")), {7;13;19;24}, FALSE)), ""=-4"") + COUNTIF(ARRAYFORMULA(HLOOKUP($B55, IMPORTRANGE('Prelim Rankings Unsorted'!$B$42, CONCAT(VLOOKUP($C55, 'Match Names'!$A$1:$D$22, 4, FALS"&amp;"E), ""!C3:R29"")), {7;13;19;24}, FALSE)), ""=-4"") + COUNTIF(ARRAYFORMULA(HLOOKUP($B55, IMPORTRANGE('Match Names'!$E$23, CONCAT(VLOOKUP($C55, 'Match Names'!$1:$22, 5, FALSE), ""!C3:R29"")), {2;8;12;22}, FALSE)), ""=-4"") + COUNTIF(ARRAYFORMULA(HLOOKUP($B5"&amp;"5, IMPORTRANGE('Match Names'!$F$23, CONCAT(VLOOKUP($C55, 'Match Names'!$1:$22, 6, FALSE), ""!C3:R29"")), {3;9;15;21}, FALSE)), ""=-4"") + COUNTIF(ARRAYFORMULA(HLOOKUP($B55, IMPORTRANGE('Match Names'!$G$23, CONCAT(VLOOKUP($C55, 'Match Names'!$1:$22, 7, FAL"&amp;"SE), ""!C3:R29"")), {3;8;12;18}, FALSE)), ""=-4"") + COUNTIF(ARRAYFORMULA(HLOOKUP($B55, IMPORTRANGE('Match Names'!$H$23, CONCAT(VLOOKUP($C55, 'Match Names'!$1:$22, 8, FALSE), ""!C3:R29"")), {7;13;19;24}, FALSE)), ""=-4"")"),0.0)</f>
        <v>0</v>
      </c>
      <c r="H55" s="33">
        <f t="shared" si="1"/>
        <v>0</v>
      </c>
    </row>
    <row r="56">
      <c r="A56" s="21" t="s">
        <v>140</v>
      </c>
      <c r="B56" s="7" t="str">
        <f>VLOOKUP(CONCAT(A56, C56), 'Discord Username to Real Name'!C:D, 2, FALSE)</f>
        <v>Jonathan Hu#9386</v>
      </c>
      <c r="C56" s="21" t="s">
        <v>29</v>
      </c>
      <c r="D56" s="32">
        <f>IFERROR(__xludf.DUMMYFUNCTION("(4 - COUNTIF(IFERROR(ARRAYFORMULA(HLOOKUP($B56, IMPORTRANGE('Prelim Rankings Unsorted'!$B$40, CONCAT(VLOOKUP($C56, 'Match Names'!$A$1:$D$22, 2, FALSE), ""!C3:R29"")), {4;9;15;21}, FALSE)), 'Player Overall Stats Unsorted'!$AA$9:$AA$12), ""=X"")) + (4 - COU"&amp;"NTIF(IFERROR(ARRAYFORMULA(HLOOKUP($B56, IMPORTRANGE('Prelim Rankings Unsorted'!$B$41, CONCAT(VLOOKUP($C56, 'Match Names'!$A$1:$D$22, 3, FALSE), ""!C3:R29"")), {7;13;19;24}, FALSE)), 'Player Overall Stats Unsorted'!$AA$9:$AA$12), ""=X"")) + (4 - COUNTIF(IF"&amp;"ERROR(ARRAYFORMULA(HLOOKUP($B56, IMPORTRANGE('Prelim Rankings Unsorted'!$B$42, CONCAT(VLOOKUP($C56, 'Match Names'!$A$1:$D$22, 4, FALSE), ""!C3:R29"")), {7;13;19;24}, FALSE)), 'Player Overall Stats Unsorted'!$AA$9:$AA$12), ""=X"")) + (4 - COUNTIF(IFERROR(A"&amp;"RRAYFORMULA(HLOOKUP($B56, IMPORTRANGE('Match Names'!$E$23, CONCAT(VLOOKUP($C56, 'Match Names'!$1:$22, 5, FALSE), ""!C3:R29"")), {2;8;12;22}, FALSE)), 'Player Overall Stats Unsorted'!$AA$9:$AA$12), ""=X"")) + (4 - COUNTIF(IFERROR(ARRAYFORMULA(HLOOKUP($B56,"&amp;" IMPORTRANGE('Match Names'!$F$23, CONCAT(VLOOKUP($C56, 'Match Names'!$1:$22, 6, FALSE), ""!C3:R29"")), {3;9;15;21}, FALSE)), 'Player Overall Stats Unsorted'!$AA$9:$AA$12), ""=X"")) + (4 - COUNTIF(IFERROR(ARRAYFORMULA(HLOOKUP($B56, IMPORTRANGE('Match Names"&amp;"'!$G$23, CONCAT(VLOOKUP($C56, 'Match Names'!$1:$22, 7, FALSE), ""!C3:R29"")), {3;8;12;18}, FALSE)), 'Player Overall Stats Unsorted'!$AA$9:$AA$12), ""=X"")) + (4 - COUNTIF(IFERROR(ARRAYFORMULA(HLOOKUP($B56, IMPORTRANGE('Match Names'!$H$23, CONCAT(VLOOKUP($"&amp;"C56, 'Match Names'!$1:$22, 8, FALSE), ""!C3:R29"")), {7;13;19;24}, FALSE)), 'Player Overall Stats Unsorted'!$AA$9:$AA$12), ""=X""))"),16.0)</f>
        <v>16</v>
      </c>
      <c r="E56" s="32">
        <f>IFERROR(__xludf.DUMMYFUNCTION("COUNTIF(ARRAYFORMULA(HLOOKUP($B56, IMPORTRANGE('Prelim Rankings Unsorted'!$B$40, CONCAT(VLOOKUP($C56, 'Match Names'!$A$1:$D$22, 2, FALSE), ""!C3:R29"")), {4;9;15;21}, FALSE)), ""=4"") + COUNTIF(ARRAYFORMULA(HLOOKUP($B56, IMPORTRANGE('Prelim Rankings Unsor"&amp;"ted'!$B$41, CONCAT(VLOOKUP($C56, 'Match Names'!$A$1:$D$22, 3, FALSE), ""!C3:R29"")), {7;13;19;24}, FALSE)), ""=4"") + COUNTIF(ARRAYFORMULA(HLOOKUP($B56, IMPORTRANGE('Prelim Rankings Unsorted'!$B$42, CONCAT(VLOOKUP($C56, 'Match Names'!$A$1:$D$22, 4, FALSE)"&amp;", ""!C3:R29"")), {7;13;19;24}, FALSE)), ""=4"") + COUNTIF(ARRAYFORMULA(HLOOKUP($B56, IMPORTRANGE('Match Names'!$E$23, CONCAT(VLOOKUP($C56, 'Match Names'!$1:$22, 5, FALSE), ""!C3:R29"")), {2;8;12;22}, FALSE)), ""=4"") + COUNTIF(ARRAYFORMULA(HLOOKUP($B56, I"&amp;"MPORTRANGE('Match Names'!$F$23, CONCAT(VLOOKUP($C56, 'Match Names'!$1:$22, 6, FALSE), ""!C3:R29"")), {3;9;15;21}, FALSE)), ""=4"") + COUNTIF(ARRAYFORMULA(HLOOKUP($B56, IMPORTRANGE('Match Names'!$G$23, CONCAT(VLOOKUP($C56, 'Match Names'!$1:$22, 7, FALSE), "&amp;"""!C3:R29"")), {3;8;12;18}, FALSE)), ""=4"") + COUNTIF(ARRAYFORMULA(HLOOKUP($B56, IMPORTRANGE('Match Names'!$H$23, CONCAT(VLOOKUP($C56, 'Match Names'!$1:$22, 8, FALSE), ""!C3:R29"")), {7;13;19;24}, FALSE)), ""=4"")"),2.0)</f>
        <v>2</v>
      </c>
      <c r="F56" s="32">
        <f>IFERROR(__xludf.DUMMYFUNCTION("COUNTIF(ARRAYFORMULA(HLOOKUP($B56, IMPORTRANGE('Prelim Rankings Unsorted'!$B$40, CONCAT(VLOOKUP($C56, 'Match Names'!$A$1:$D$22, 2, FALSE), ""!C3:R29"")), {4;9;15;21}, FALSE)), ""=0"") + COUNTIF(ARRAYFORMULA(HLOOKUP($B56, IMPORTRANGE('Prelim Rankings Unsor"&amp;"ted'!$B$41, CONCAT(VLOOKUP($C56, 'Match Names'!$A$1:$D$22, 3, FALSE), ""!C3:R29"")), {7;13;19;24}, FALSE)), ""=0"") + COUNTIF(ARRAYFORMULA(HLOOKUP($B56, IMPORTRANGE('Prelim Rankings Unsorted'!$B$42, CONCAT(VLOOKUP($C56, 'Match Names'!$A$1:$D$22, 4, FALSE)"&amp;", ""!C3:R29"")), {7;13;19;24}, FALSE)), ""=0"") + COUNTIF(ARRAYFORMULA(HLOOKUP($B56, IMPORTRANGE('Match Names'!$E$23, CONCAT(VLOOKUP($C56, 'Match Names'!$1:$22, 5, FALSE), ""!C3:R29"")), {2;8;12;22}, FALSE)), ""=0"") + COUNTIF(ARRAYFORMULA(HLOOKUP($B56, I"&amp;"MPORTRANGE('Match Names'!$F$23, CONCAT(VLOOKUP($C56, 'Match Names'!$1:$22, 6, FALSE), ""!C3:R29"")), {3;9;15;21}, FALSE)), ""=0"") + COUNTIF(ARRAYFORMULA(HLOOKUP($B56, IMPORTRANGE('Match Names'!$G$23, CONCAT(VLOOKUP($C56, 'Match Names'!$1:$22, 7, FALSE), "&amp;"""!C3:R29"")), {3;8;12;18}, FALSE)), ""=0"") + COUNTIF(ARRAYFORMULA(HLOOKUP($B56, IMPORTRANGE('Match Names'!$H$23, CONCAT(VLOOKUP($C56, 'Match Names'!$1:$22, 8, FALSE), ""!C3:R29"")), {7;13;19;24}, FALSE)), ""=0"")"),2.0)</f>
        <v>2</v>
      </c>
      <c r="G56" s="32">
        <f>IFERROR(__xludf.DUMMYFUNCTION("COUNTIF(ARRAYFORMULA(HLOOKUP($B56, IMPORTRANGE('Prelim Rankings Unsorted'!$B$40, CONCAT(VLOOKUP($C56, 'Match Names'!$A$1:$D$22, 2, FALSE), ""!C3:R29"")), {4;9;15;21}, FALSE)), ""=-4"") + COUNTIF(ARRAYFORMULA(HLOOKUP($B56, IMPORTRANGE('Prelim Rankings Unso"&amp;"rted'!$B$41, CONCAT(VLOOKUP($C56, 'Match Names'!$A$1:$D$22, 3, FALSE), ""!C3:R29"")), {7;13;19;24}, FALSE)), ""=-4"") + COUNTIF(ARRAYFORMULA(HLOOKUP($B56, IMPORTRANGE('Prelim Rankings Unsorted'!$B$42, CONCAT(VLOOKUP($C56, 'Match Names'!$A$1:$D$22, 4, FALS"&amp;"E), ""!C3:R29"")), {7;13;19;24}, FALSE)), ""=-4"") + COUNTIF(ARRAYFORMULA(HLOOKUP($B56, IMPORTRANGE('Match Names'!$E$23, CONCAT(VLOOKUP($C56, 'Match Names'!$1:$22, 5, FALSE), ""!C3:R29"")), {2;8;12;22}, FALSE)), ""=-4"") + COUNTIF(ARRAYFORMULA(HLOOKUP($B5"&amp;"6, IMPORTRANGE('Match Names'!$F$23, CONCAT(VLOOKUP($C56, 'Match Names'!$1:$22, 6, FALSE), ""!C3:R29"")), {3;9;15;21}, FALSE)), ""=-4"") + COUNTIF(ARRAYFORMULA(HLOOKUP($B56, IMPORTRANGE('Match Names'!$G$23, CONCAT(VLOOKUP($C56, 'Match Names'!$1:$22, 7, FAL"&amp;"SE), ""!C3:R29"")), {3;8;12;18}, FALSE)), ""=-4"") + COUNTIF(ARRAYFORMULA(HLOOKUP($B56, IMPORTRANGE('Match Names'!$H$23, CONCAT(VLOOKUP($C56, 'Match Names'!$1:$22, 8, FALSE), ""!C3:R29"")), {7;13;19;24}, FALSE)), ""=-4"")"),0.0)</f>
        <v>0</v>
      </c>
      <c r="H56" s="33">
        <f t="shared" si="1"/>
        <v>2</v>
      </c>
    </row>
    <row r="57">
      <c r="A57" s="21" t="s">
        <v>154</v>
      </c>
      <c r="B57" s="7" t="str">
        <f>VLOOKUP(CONCAT(A57, C57), 'Discord Username to Real Name'!C:D, 2, FALSE)</f>
        <v>Shinybro64#1122</v>
      </c>
      <c r="C57" s="21" t="s">
        <v>29</v>
      </c>
      <c r="D57" s="32">
        <f>IFERROR(__xludf.DUMMYFUNCTION("(4 - COUNTIF(IFERROR(ARRAYFORMULA(HLOOKUP($B57, IMPORTRANGE('Prelim Rankings Unsorted'!$B$40, CONCAT(VLOOKUP($C57, 'Match Names'!$A$1:$D$22, 2, FALSE), ""!C3:R29"")), {4;9;15;21}, FALSE)), 'Player Overall Stats Unsorted'!$AA$9:$AA$12), ""=X"")) + (4 - COU"&amp;"NTIF(IFERROR(ARRAYFORMULA(HLOOKUP($B57, IMPORTRANGE('Prelim Rankings Unsorted'!$B$41, CONCAT(VLOOKUP($C57, 'Match Names'!$A$1:$D$22, 3, FALSE), ""!C3:R29"")), {7;13;19;24}, FALSE)), 'Player Overall Stats Unsorted'!$AA$9:$AA$12), ""=X"")) + (4 - COUNTIF(IF"&amp;"ERROR(ARRAYFORMULA(HLOOKUP($B57, IMPORTRANGE('Prelim Rankings Unsorted'!$B$42, CONCAT(VLOOKUP($C57, 'Match Names'!$A$1:$D$22, 4, FALSE), ""!C3:R29"")), {7;13;19;24}, FALSE)), 'Player Overall Stats Unsorted'!$AA$9:$AA$12), ""=X"")) + (4 - COUNTIF(IFERROR(A"&amp;"RRAYFORMULA(HLOOKUP($B57, IMPORTRANGE('Match Names'!$E$23, CONCAT(VLOOKUP($C57, 'Match Names'!$1:$22, 5, FALSE), ""!C3:R29"")), {2;8;12;22}, FALSE)), 'Player Overall Stats Unsorted'!$AA$9:$AA$12), ""=X"")) + (4 - COUNTIF(IFERROR(ARRAYFORMULA(HLOOKUP($B57,"&amp;" IMPORTRANGE('Match Names'!$F$23, CONCAT(VLOOKUP($C57, 'Match Names'!$1:$22, 6, FALSE), ""!C3:R29"")), {3;9;15;21}, FALSE)), 'Player Overall Stats Unsorted'!$AA$9:$AA$12), ""=X"")) + (4 - COUNTIF(IFERROR(ARRAYFORMULA(HLOOKUP($B57, IMPORTRANGE('Match Names"&amp;"'!$G$23, CONCAT(VLOOKUP($C57, 'Match Names'!$1:$22, 7, FALSE), ""!C3:R29"")), {3;8;12;18}, FALSE)), 'Player Overall Stats Unsorted'!$AA$9:$AA$12), ""=X"")) + (4 - COUNTIF(IFERROR(ARRAYFORMULA(HLOOKUP($B57, IMPORTRANGE('Match Names'!$H$23, CONCAT(VLOOKUP($"&amp;"C57, 'Match Names'!$1:$22, 8, FALSE), ""!C3:R29"")), {7;13;19;24}, FALSE)), 'Player Overall Stats Unsorted'!$AA$9:$AA$12), ""=X""))"),16.0)</f>
        <v>16</v>
      </c>
      <c r="E57" s="32">
        <f>IFERROR(__xludf.DUMMYFUNCTION("COUNTIF(ARRAYFORMULA(HLOOKUP($B57, IMPORTRANGE('Prelim Rankings Unsorted'!$B$40, CONCAT(VLOOKUP($C57, 'Match Names'!$A$1:$D$22, 2, FALSE), ""!C3:R29"")), {4;9;15;21}, FALSE)), ""=4"") + COUNTIF(ARRAYFORMULA(HLOOKUP($B57, IMPORTRANGE('Prelim Rankings Unsor"&amp;"ted'!$B$41, CONCAT(VLOOKUP($C57, 'Match Names'!$A$1:$D$22, 3, FALSE), ""!C3:R29"")), {7;13;19;24}, FALSE)), ""=4"") + COUNTIF(ARRAYFORMULA(HLOOKUP($B57, IMPORTRANGE('Prelim Rankings Unsorted'!$B$42, CONCAT(VLOOKUP($C57, 'Match Names'!$A$1:$D$22, 4, FALSE)"&amp;", ""!C3:R29"")), {7;13;19;24}, FALSE)), ""=4"") + COUNTIF(ARRAYFORMULA(HLOOKUP($B57, IMPORTRANGE('Match Names'!$E$23, CONCAT(VLOOKUP($C57, 'Match Names'!$1:$22, 5, FALSE), ""!C3:R29"")), {2;8;12;22}, FALSE)), ""=4"") + COUNTIF(ARRAYFORMULA(HLOOKUP($B57, I"&amp;"MPORTRANGE('Match Names'!$F$23, CONCAT(VLOOKUP($C57, 'Match Names'!$1:$22, 6, FALSE), ""!C3:R29"")), {3;9;15;21}, FALSE)), ""=4"") + COUNTIF(ARRAYFORMULA(HLOOKUP($B57, IMPORTRANGE('Match Names'!$G$23, CONCAT(VLOOKUP($C57, 'Match Names'!$1:$22, 7, FALSE), "&amp;"""!C3:R29"")), {3;8;12;18}, FALSE)), ""=4"") + COUNTIF(ARRAYFORMULA(HLOOKUP($B57, IMPORTRANGE('Match Names'!$H$23, CONCAT(VLOOKUP($C57, 'Match Names'!$1:$22, 8, FALSE), ""!C3:R29"")), {7;13;19;24}, FALSE)), ""=4"")"),2.0)</f>
        <v>2</v>
      </c>
      <c r="F57" s="32">
        <f>IFERROR(__xludf.DUMMYFUNCTION("COUNTIF(ARRAYFORMULA(HLOOKUP($B57, IMPORTRANGE('Prelim Rankings Unsorted'!$B$40, CONCAT(VLOOKUP($C57, 'Match Names'!$A$1:$D$22, 2, FALSE), ""!C3:R29"")), {4;9;15;21}, FALSE)), ""=0"") + COUNTIF(ARRAYFORMULA(HLOOKUP($B57, IMPORTRANGE('Prelim Rankings Unsor"&amp;"ted'!$B$41, CONCAT(VLOOKUP($C57, 'Match Names'!$A$1:$D$22, 3, FALSE), ""!C3:R29"")), {7;13;19;24}, FALSE)), ""=0"") + COUNTIF(ARRAYFORMULA(HLOOKUP($B57, IMPORTRANGE('Prelim Rankings Unsorted'!$B$42, CONCAT(VLOOKUP($C57, 'Match Names'!$A$1:$D$22, 4, FALSE)"&amp;", ""!C3:R29"")), {7;13;19;24}, FALSE)), ""=0"") + COUNTIF(ARRAYFORMULA(HLOOKUP($B57, IMPORTRANGE('Match Names'!$E$23, CONCAT(VLOOKUP($C57, 'Match Names'!$1:$22, 5, FALSE), ""!C3:R29"")), {2;8;12;22}, FALSE)), ""=0"") + COUNTIF(ARRAYFORMULA(HLOOKUP($B57, I"&amp;"MPORTRANGE('Match Names'!$F$23, CONCAT(VLOOKUP($C57, 'Match Names'!$1:$22, 6, FALSE), ""!C3:R29"")), {3;9;15;21}, FALSE)), ""=0"") + COUNTIF(ARRAYFORMULA(HLOOKUP($B57, IMPORTRANGE('Match Names'!$G$23, CONCAT(VLOOKUP($C57, 'Match Names'!$1:$22, 7, FALSE), "&amp;"""!C3:R29"")), {3;8;12;18}, FALSE)), ""=0"") + COUNTIF(ARRAYFORMULA(HLOOKUP($B57, IMPORTRANGE('Match Names'!$H$23, CONCAT(VLOOKUP($C57, 'Match Names'!$1:$22, 8, FALSE), ""!C3:R29"")), {7;13;19;24}, FALSE)), ""=0"")"),1.0)</f>
        <v>1</v>
      </c>
      <c r="G57" s="32">
        <f>IFERROR(__xludf.DUMMYFUNCTION("COUNTIF(ARRAYFORMULA(HLOOKUP($B57, IMPORTRANGE('Prelim Rankings Unsorted'!$B$40, CONCAT(VLOOKUP($C57, 'Match Names'!$A$1:$D$22, 2, FALSE), ""!C3:R29"")), {4;9;15;21}, FALSE)), ""=-4"") + COUNTIF(ARRAYFORMULA(HLOOKUP($B57, IMPORTRANGE('Prelim Rankings Unso"&amp;"rted'!$B$41, CONCAT(VLOOKUP($C57, 'Match Names'!$A$1:$D$22, 3, FALSE), ""!C3:R29"")), {7;13;19;24}, FALSE)), ""=-4"") + COUNTIF(ARRAYFORMULA(HLOOKUP($B57, IMPORTRANGE('Prelim Rankings Unsorted'!$B$42, CONCAT(VLOOKUP($C57, 'Match Names'!$A$1:$D$22, 4, FALS"&amp;"E), ""!C3:R29"")), {7;13;19;24}, FALSE)), ""=-4"") + COUNTIF(ARRAYFORMULA(HLOOKUP($B57, IMPORTRANGE('Match Names'!$E$23, CONCAT(VLOOKUP($C57, 'Match Names'!$1:$22, 5, FALSE), ""!C3:R29"")), {2;8;12;22}, FALSE)), ""=-4"") + COUNTIF(ARRAYFORMULA(HLOOKUP($B5"&amp;"7, IMPORTRANGE('Match Names'!$F$23, CONCAT(VLOOKUP($C57, 'Match Names'!$1:$22, 6, FALSE), ""!C3:R29"")), {3;9;15;21}, FALSE)), ""=-4"") + COUNTIF(ARRAYFORMULA(HLOOKUP($B57, IMPORTRANGE('Match Names'!$G$23, CONCAT(VLOOKUP($C57, 'Match Names'!$1:$22, 7, FAL"&amp;"SE), ""!C3:R29"")), {3;8;12;18}, FALSE)), ""=-4"") + COUNTIF(ARRAYFORMULA(HLOOKUP($B57, IMPORTRANGE('Match Names'!$H$23, CONCAT(VLOOKUP($C57, 'Match Names'!$1:$22, 8, FALSE), ""!C3:R29"")), {7;13;19;24}, FALSE)), ""=-4"")"),0.0)</f>
        <v>0</v>
      </c>
      <c r="H57" s="33">
        <f t="shared" si="1"/>
        <v>2</v>
      </c>
    </row>
    <row r="58">
      <c r="A58" s="21" t="s">
        <v>82</v>
      </c>
      <c r="B58" s="7" t="str">
        <f>VLOOKUP(CONCAT(A58, C58), 'Discord Username to Real Name'!C:D, 2, FALSE)</f>
        <v>Cemo475#3867</v>
      </c>
      <c r="C58" s="21" t="s">
        <v>19</v>
      </c>
      <c r="D58" s="32">
        <f>IFERROR(__xludf.DUMMYFUNCTION("(4 - COUNTIF(IFERROR(ARRAYFORMULA(HLOOKUP($B58, IMPORTRANGE('Prelim Rankings Unsorted'!$B$40, CONCAT(VLOOKUP($C58, 'Match Names'!$A$1:$D$22, 2, FALSE), ""!C3:R29"")), {4;9;15;21}, FALSE)), 'Player Overall Stats Unsorted'!$AA$9:$AA$12), ""=X"")) + (4 - COU"&amp;"NTIF(IFERROR(ARRAYFORMULA(HLOOKUP($B58, IMPORTRANGE('Prelim Rankings Unsorted'!$B$41, CONCAT(VLOOKUP($C58, 'Match Names'!$A$1:$D$22, 3, FALSE), ""!C3:R29"")), {7;13;19;24}, FALSE)), 'Player Overall Stats Unsorted'!$AA$9:$AA$12), ""=X"")) + (4 - COUNTIF(IF"&amp;"ERROR(ARRAYFORMULA(HLOOKUP($B58, IMPORTRANGE('Prelim Rankings Unsorted'!$B$42, CONCAT(VLOOKUP($C58, 'Match Names'!$A$1:$D$22, 4, FALSE), ""!C3:R29"")), {7;13;19;24}, FALSE)), 'Player Overall Stats Unsorted'!$AA$9:$AA$12), ""=X"")) + (4 - COUNTIF(IFERROR(A"&amp;"RRAYFORMULA(HLOOKUP($B58, IMPORTRANGE('Match Names'!$E$23, CONCAT(VLOOKUP($C58, 'Match Names'!$1:$22, 5, FALSE), ""!C3:R29"")), {2;8;12;22}, FALSE)), 'Player Overall Stats Unsorted'!$AA$9:$AA$12), ""=X"")) + (4 - COUNTIF(IFERROR(ARRAYFORMULA(HLOOKUP($B58,"&amp;" IMPORTRANGE('Match Names'!$F$23, CONCAT(VLOOKUP($C58, 'Match Names'!$1:$22, 6, FALSE), ""!C3:R29"")), {3;9;15;21}, FALSE)), 'Player Overall Stats Unsorted'!$AA$9:$AA$12), ""=X"")) + (4 - COUNTIF(IFERROR(ARRAYFORMULA(HLOOKUP($B58, IMPORTRANGE('Match Names"&amp;"'!$G$23, CONCAT(VLOOKUP($C58, 'Match Names'!$1:$22, 7, FALSE), ""!C3:R29"")), {3;8;12;18}, FALSE)), 'Player Overall Stats Unsorted'!$AA$9:$AA$12), ""=X"")) + (4 - COUNTIF(IFERROR(ARRAYFORMULA(HLOOKUP($B58, IMPORTRANGE('Match Names'!$H$23, CONCAT(VLOOKUP($"&amp;"C58, 'Match Names'!$1:$22, 8, FALSE), ""!C3:R29"")), {7;13;19;24}, FALSE)), 'Player Overall Stats Unsorted'!$AA$9:$AA$12), ""=X""))"),12.0)</f>
        <v>12</v>
      </c>
      <c r="E58" s="32">
        <f>IFERROR(__xludf.DUMMYFUNCTION("COUNTIF(ARRAYFORMULA(HLOOKUP($B58, IMPORTRANGE('Prelim Rankings Unsorted'!$B$40, CONCAT(VLOOKUP($C58, 'Match Names'!$A$1:$D$22, 2, FALSE), ""!C3:R29"")), {4;9;15;21}, FALSE)), ""=4"") + COUNTIF(ARRAYFORMULA(HLOOKUP($B58, IMPORTRANGE('Prelim Rankings Unsor"&amp;"ted'!$B$41, CONCAT(VLOOKUP($C58, 'Match Names'!$A$1:$D$22, 3, FALSE), ""!C3:R29"")), {7;13;19;24}, FALSE)), ""=4"") + COUNTIF(ARRAYFORMULA(HLOOKUP($B58, IMPORTRANGE('Prelim Rankings Unsorted'!$B$42, CONCAT(VLOOKUP($C58, 'Match Names'!$A$1:$D$22, 4, FALSE)"&amp;", ""!C3:R29"")), {7;13;19;24}, FALSE)), ""=4"") + COUNTIF(ARRAYFORMULA(HLOOKUP($B58, IMPORTRANGE('Match Names'!$E$23, CONCAT(VLOOKUP($C58, 'Match Names'!$1:$22, 5, FALSE), ""!C3:R29"")), {2;8;12;22}, FALSE)), ""=4"") + COUNTIF(ARRAYFORMULA(HLOOKUP($B58, I"&amp;"MPORTRANGE('Match Names'!$F$23, CONCAT(VLOOKUP($C58, 'Match Names'!$1:$22, 6, FALSE), ""!C3:R29"")), {3;9;15;21}, FALSE)), ""=4"") + COUNTIF(ARRAYFORMULA(HLOOKUP($B58, IMPORTRANGE('Match Names'!$G$23, CONCAT(VLOOKUP($C58, 'Match Names'!$1:$22, 7, FALSE), "&amp;"""!C3:R29"")), {3;8;12;18}, FALSE)), ""=4"") + COUNTIF(ARRAYFORMULA(HLOOKUP($B58, IMPORTRANGE('Match Names'!$H$23, CONCAT(VLOOKUP($C58, 'Match Names'!$1:$22, 8, FALSE), ""!C3:R29"")), {7;13;19;24}, FALSE)), ""=4"")"),2.0)</f>
        <v>2</v>
      </c>
      <c r="F58" s="32">
        <f>IFERROR(__xludf.DUMMYFUNCTION("COUNTIF(ARRAYFORMULA(HLOOKUP($B58, IMPORTRANGE('Prelim Rankings Unsorted'!$B$40, CONCAT(VLOOKUP($C58, 'Match Names'!$A$1:$D$22, 2, FALSE), ""!C3:R29"")), {4;9;15;21}, FALSE)), ""=0"") + COUNTIF(ARRAYFORMULA(HLOOKUP($B58, IMPORTRANGE('Prelim Rankings Unsor"&amp;"ted'!$B$41, CONCAT(VLOOKUP($C58, 'Match Names'!$A$1:$D$22, 3, FALSE), ""!C3:R29"")), {7;13;19;24}, FALSE)), ""=0"") + COUNTIF(ARRAYFORMULA(HLOOKUP($B58, IMPORTRANGE('Prelim Rankings Unsorted'!$B$42, CONCAT(VLOOKUP($C58, 'Match Names'!$A$1:$D$22, 4, FALSE)"&amp;", ""!C3:R29"")), {7;13;19;24}, FALSE)), ""=0"") + COUNTIF(ARRAYFORMULA(HLOOKUP($B58, IMPORTRANGE('Match Names'!$E$23, CONCAT(VLOOKUP($C58, 'Match Names'!$1:$22, 5, FALSE), ""!C3:R29"")), {2;8;12;22}, FALSE)), ""=0"") + COUNTIF(ARRAYFORMULA(HLOOKUP($B58, I"&amp;"MPORTRANGE('Match Names'!$F$23, CONCAT(VLOOKUP($C58, 'Match Names'!$1:$22, 6, FALSE), ""!C3:R29"")), {3;9;15;21}, FALSE)), ""=0"") + COUNTIF(ARRAYFORMULA(HLOOKUP($B58, IMPORTRANGE('Match Names'!$G$23, CONCAT(VLOOKUP($C58, 'Match Names'!$1:$22, 7, FALSE), "&amp;"""!C3:R29"")), {3;8;12;18}, FALSE)), ""=0"") + COUNTIF(ARRAYFORMULA(HLOOKUP($B58, IMPORTRANGE('Match Names'!$H$23, CONCAT(VLOOKUP($C58, 'Match Names'!$1:$22, 8, FALSE), ""!C3:R29"")), {7;13;19;24}, FALSE)), ""=0"")"),1.0)</f>
        <v>1</v>
      </c>
      <c r="G58" s="32">
        <f>IFERROR(__xludf.DUMMYFUNCTION("COUNTIF(ARRAYFORMULA(HLOOKUP($B58, IMPORTRANGE('Prelim Rankings Unsorted'!$B$40, CONCAT(VLOOKUP($C58, 'Match Names'!$A$1:$D$22, 2, FALSE), ""!C3:R29"")), {4;9;15;21}, FALSE)), ""=-4"") + COUNTIF(ARRAYFORMULA(HLOOKUP($B58, IMPORTRANGE('Prelim Rankings Unso"&amp;"rted'!$B$41, CONCAT(VLOOKUP($C58, 'Match Names'!$A$1:$D$22, 3, FALSE), ""!C3:R29"")), {7;13;19;24}, FALSE)), ""=-4"") + COUNTIF(ARRAYFORMULA(HLOOKUP($B58, IMPORTRANGE('Prelim Rankings Unsorted'!$B$42, CONCAT(VLOOKUP($C58, 'Match Names'!$A$1:$D$22, 4, FALS"&amp;"E), ""!C3:R29"")), {7;13;19;24}, FALSE)), ""=-4"") + COUNTIF(ARRAYFORMULA(HLOOKUP($B58, IMPORTRANGE('Match Names'!$E$23, CONCAT(VLOOKUP($C58, 'Match Names'!$1:$22, 5, FALSE), ""!C3:R29"")), {2;8;12;22}, FALSE)), ""=-4"") + COUNTIF(ARRAYFORMULA(HLOOKUP($B5"&amp;"8, IMPORTRANGE('Match Names'!$F$23, CONCAT(VLOOKUP($C58, 'Match Names'!$1:$22, 6, FALSE), ""!C3:R29"")), {3;9;15;21}, FALSE)), ""=-4"") + COUNTIF(ARRAYFORMULA(HLOOKUP($B58, IMPORTRANGE('Match Names'!$G$23, CONCAT(VLOOKUP($C58, 'Match Names'!$1:$22, 7, FAL"&amp;"SE), ""!C3:R29"")), {3;8;12;18}, FALSE)), ""=-4"") + COUNTIF(ARRAYFORMULA(HLOOKUP($B58, IMPORTRANGE('Match Names'!$H$23, CONCAT(VLOOKUP($C58, 'Match Names'!$1:$22, 8, FALSE), ""!C3:R29"")), {7;13;19;24}, FALSE)), ""=-4"")"),0.0)</f>
        <v>0</v>
      </c>
      <c r="H58" s="33">
        <f t="shared" si="1"/>
        <v>2.67</v>
      </c>
    </row>
    <row r="59">
      <c r="A59" s="21" t="s">
        <v>74</v>
      </c>
      <c r="B59" s="7" t="str">
        <f>VLOOKUP(CONCAT(A59, C59), 'Discord Username to Real Name'!C:D, 2, FALSE)</f>
        <v>Chris Ge#6364</v>
      </c>
      <c r="C59" s="21" t="s">
        <v>19</v>
      </c>
      <c r="D59" s="32">
        <f>IFERROR(__xludf.DUMMYFUNCTION("(4 - COUNTIF(IFERROR(ARRAYFORMULA(HLOOKUP($B59, IMPORTRANGE('Prelim Rankings Unsorted'!$B$40, CONCAT(VLOOKUP($C59, 'Match Names'!$A$1:$D$22, 2, FALSE), ""!C3:R29"")), {4;9;15;21}, FALSE)), 'Player Overall Stats Unsorted'!$AA$9:$AA$12), ""=X"")) + (4 - COU"&amp;"NTIF(IFERROR(ARRAYFORMULA(HLOOKUP($B59, IMPORTRANGE('Prelim Rankings Unsorted'!$B$41, CONCAT(VLOOKUP($C59, 'Match Names'!$A$1:$D$22, 3, FALSE), ""!C3:R29"")), {7;13;19;24}, FALSE)), 'Player Overall Stats Unsorted'!$AA$9:$AA$12), ""=X"")) + (4 - COUNTIF(IF"&amp;"ERROR(ARRAYFORMULA(HLOOKUP($B59, IMPORTRANGE('Prelim Rankings Unsorted'!$B$42, CONCAT(VLOOKUP($C59, 'Match Names'!$A$1:$D$22, 4, FALSE), ""!C3:R29"")), {7;13;19;24}, FALSE)), 'Player Overall Stats Unsorted'!$AA$9:$AA$12), ""=X"")) + (4 - COUNTIF(IFERROR(A"&amp;"RRAYFORMULA(HLOOKUP($B59, IMPORTRANGE('Match Names'!$E$23, CONCAT(VLOOKUP($C59, 'Match Names'!$1:$22, 5, FALSE), ""!C3:R29"")), {2;8;12;22}, FALSE)), 'Player Overall Stats Unsorted'!$AA$9:$AA$12), ""=X"")) + (4 - COUNTIF(IFERROR(ARRAYFORMULA(HLOOKUP($B59,"&amp;" IMPORTRANGE('Match Names'!$F$23, CONCAT(VLOOKUP($C59, 'Match Names'!$1:$22, 6, FALSE), ""!C3:R29"")), {3;9;15;21}, FALSE)), 'Player Overall Stats Unsorted'!$AA$9:$AA$12), ""=X"")) + (4 - COUNTIF(IFERROR(ARRAYFORMULA(HLOOKUP($B59, IMPORTRANGE('Match Names"&amp;"'!$G$23, CONCAT(VLOOKUP($C59, 'Match Names'!$1:$22, 7, FALSE), ""!C3:R29"")), {3;8;12;18}, FALSE)), 'Player Overall Stats Unsorted'!$AA$9:$AA$12), ""=X"")) + (4 - COUNTIF(IFERROR(ARRAYFORMULA(HLOOKUP($B59, IMPORTRANGE('Match Names'!$H$23, CONCAT(VLOOKUP($"&amp;"C59, 'Match Names'!$1:$22, 8, FALSE), ""!C3:R29"")), {7;13;19;24}, FALSE)), 'Player Overall Stats Unsorted'!$AA$9:$AA$12), ""=X""))"),16.0)</f>
        <v>16</v>
      </c>
      <c r="E59" s="32">
        <f>IFERROR(__xludf.DUMMYFUNCTION("COUNTIF(ARRAYFORMULA(HLOOKUP($B59, IMPORTRANGE('Prelim Rankings Unsorted'!$B$40, CONCAT(VLOOKUP($C59, 'Match Names'!$A$1:$D$22, 2, FALSE), ""!C3:R29"")), {4;9;15;21}, FALSE)), ""=4"") + COUNTIF(ARRAYFORMULA(HLOOKUP($B59, IMPORTRANGE('Prelim Rankings Unsor"&amp;"ted'!$B$41, CONCAT(VLOOKUP($C59, 'Match Names'!$A$1:$D$22, 3, FALSE), ""!C3:R29"")), {7;13;19;24}, FALSE)), ""=4"") + COUNTIF(ARRAYFORMULA(HLOOKUP($B59, IMPORTRANGE('Prelim Rankings Unsorted'!$B$42, CONCAT(VLOOKUP($C59, 'Match Names'!$A$1:$D$22, 4, FALSE)"&amp;", ""!C3:R29"")), {7;13;19;24}, FALSE)), ""=4"") + COUNTIF(ARRAYFORMULA(HLOOKUP($B59, IMPORTRANGE('Match Names'!$E$23, CONCAT(VLOOKUP($C59, 'Match Names'!$1:$22, 5, FALSE), ""!C3:R29"")), {2;8;12;22}, FALSE)), ""=4"") + COUNTIF(ARRAYFORMULA(HLOOKUP($B59, I"&amp;"MPORTRANGE('Match Names'!$F$23, CONCAT(VLOOKUP($C59, 'Match Names'!$1:$22, 6, FALSE), ""!C3:R29"")), {3;9;15;21}, FALSE)), ""=4"") + COUNTIF(ARRAYFORMULA(HLOOKUP($B59, IMPORTRANGE('Match Names'!$G$23, CONCAT(VLOOKUP($C59, 'Match Names'!$1:$22, 7, FALSE), "&amp;"""!C3:R29"")), {3;8;12;18}, FALSE)), ""=4"") + COUNTIF(ARRAYFORMULA(HLOOKUP($B59, IMPORTRANGE('Match Names'!$H$23, CONCAT(VLOOKUP($C59, 'Match Names'!$1:$22, 8, FALSE), ""!C3:R29"")), {7;13;19;24}, FALSE)), ""=4"")"),5.0)</f>
        <v>5</v>
      </c>
      <c r="F59" s="32">
        <f>IFERROR(__xludf.DUMMYFUNCTION("COUNTIF(ARRAYFORMULA(HLOOKUP($B59, IMPORTRANGE('Prelim Rankings Unsorted'!$B$40, CONCAT(VLOOKUP($C59, 'Match Names'!$A$1:$D$22, 2, FALSE), ""!C3:R29"")), {4;9;15;21}, FALSE)), ""=0"") + COUNTIF(ARRAYFORMULA(HLOOKUP($B59, IMPORTRANGE('Prelim Rankings Unsor"&amp;"ted'!$B$41, CONCAT(VLOOKUP($C59, 'Match Names'!$A$1:$D$22, 3, FALSE), ""!C3:R29"")), {7;13;19;24}, FALSE)), ""=0"") + COUNTIF(ARRAYFORMULA(HLOOKUP($B59, IMPORTRANGE('Prelim Rankings Unsorted'!$B$42, CONCAT(VLOOKUP($C59, 'Match Names'!$A$1:$D$22, 4, FALSE)"&amp;", ""!C3:R29"")), {7;13;19;24}, FALSE)), ""=0"") + COUNTIF(ARRAYFORMULA(HLOOKUP($B59, IMPORTRANGE('Match Names'!$E$23, CONCAT(VLOOKUP($C59, 'Match Names'!$1:$22, 5, FALSE), ""!C3:R29"")), {2;8;12;22}, FALSE)), ""=0"") + COUNTIF(ARRAYFORMULA(HLOOKUP($B59, I"&amp;"MPORTRANGE('Match Names'!$F$23, CONCAT(VLOOKUP($C59, 'Match Names'!$1:$22, 6, FALSE), ""!C3:R29"")), {3;9;15;21}, FALSE)), ""=0"") + COUNTIF(ARRAYFORMULA(HLOOKUP($B59, IMPORTRANGE('Match Names'!$G$23, CONCAT(VLOOKUP($C59, 'Match Names'!$1:$22, 7, FALSE), "&amp;"""!C3:R29"")), {3;8;12;18}, FALSE)), ""=0"") + COUNTIF(ARRAYFORMULA(HLOOKUP($B59, IMPORTRANGE('Match Names'!$H$23, CONCAT(VLOOKUP($C59, 'Match Names'!$1:$22, 8, FALSE), ""!C3:R29"")), {7;13;19;24}, FALSE)), ""=0"")"),1.0)</f>
        <v>1</v>
      </c>
      <c r="G59" s="32">
        <f>IFERROR(__xludf.DUMMYFUNCTION("COUNTIF(ARRAYFORMULA(HLOOKUP($B59, IMPORTRANGE('Prelim Rankings Unsorted'!$B$40, CONCAT(VLOOKUP($C59, 'Match Names'!$A$1:$D$22, 2, FALSE), ""!C3:R29"")), {4;9;15;21}, FALSE)), ""=-4"") + COUNTIF(ARRAYFORMULA(HLOOKUP($B59, IMPORTRANGE('Prelim Rankings Unso"&amp;"rted'!$B$41, CONCAT(VLOOKUP($C59, 'Match Names'!$A$1:$D$22, 3, FALSE), ""!C3:R29"")), {7;13;19;24}, FALSE)), ""=-4"") + COUNTIF(ARRAYFORMULA(HLOOKUP($B59, IMPORTRANGE('Prelim Rankings Unsorted'!$B$42, CONCAT(VLOOKUP($C59, 'Match Names'!$A$1:$D$22, 4, FALS"&amp;"E), ""!C3:R29"")), {7;13;19;24}, FALSE)), ""=-4"") + COUNTIF(ARRAYFORMULA(HLOOKUP($B59, IMPORTRANGE('Match Names'!$E$23, CONCAT(VLOOKUP($C59, 'Match Names'!$1:$22, 5, FALSE), ""!C3:R29"")), {2;8;12;22}, FALSE)), ""=-4"") + COUNTIF(ARRAYFORMULA(HLOOKUP($B5"&amp;"9, IMPORTRANGE('Match Names'!$F$23, CONCAT(VLOOKUP($C59, 'Match Names'!$1:$22, 6, FALSE), ""!C3:R29"")), {3;9;15;21}, FALSE)), ""=-4"") + COUNTIF(ARRAYFORMULA(HLOOKUP($B59, IMPORTRANGE('Match Names'!$G$23, CONCAT(VLOOKUP($C59, 'Match Names'!$1:$22, 7, FAL"&amp;"SE), ""!C3:R29"")), {3;8;12;18}, FALSE)), ""=-4"") + COUNTIF(ARRAYFORMULA(HLOOKUP($B59, IMPORTRANGE('Match Names'!$H$23, CONCAT(VLOOKUP($C59, 'Match Names'!$1:$22, 8, FALSE), ""!C3:R29"")), {7;13;19;24}, FALSE)), ""=-4"")"),0.0)</f>
        <v>0</v>
      </c>
      <c r="H59" s="33">
        <f t="shared" si="1"/>
        <v>5</v>
      </c>
    </row>
    <row r="60">
      <c r="A60" s="21" t="s">
        <v>61</v>
      </c>
      <c r="B60" s="7" t="str">
        <f>VLOOKUP(CONCAT(A60, C60), 'Discord Username to Real Name'!C:D, 2, FALSE)</f>
        <v>chalk#0845</v>
      </c>
      <c r="C60" s="21" t="s">
        <v>19</v>
      </c>
      <c r="D60" s="32">
        <f>IFERROR(__xludf.DUMMYFUNCTION("(4 - COUNTIF(IFERROR(ARRAYFORMULA(HLOOKUP($B60, IMPORTRANGE('Prelim Rankings Unsorted'!$B$40, CONCAT(VLOOKUP($C60, 'Match Names'!$A$1:$D$22, 2, FALSE), ""!C3:R29"")), {4;9;15;21}, FALSE)), 'Player Overall Stats Unsorted'!$AA$9:$AA$12), ""=X"")) + (4 - COU"&amp;"NTIF(IFERROR(ARRAYFORMULA(HLOOKUP($B60, IMPORTRANGE('Prelim Rankings Unsorted'!$B$41, CONCAT(VLOOKUP($C60, 'Match Names'!$A$1:$D$22, 3, FALSE), ""!C3:R29"")), {7;13;19;24}, FALSE)), 'Player Overall Stats Unsorted'!$AA$9:$AA$12), ""=X"")) + (4 - COUNTIF(IF"&amp;"ERROR(ARRAYFORMULA(HLOOKUP($B60, IMPORTRANGE('Prelim Rankings Unsorted'!$B$42, CONCAT(VLOOKUP($C60, 'Match Names'!$A$1:$D$22, 4, FALSE), ""!C3:R29"")), {7;13;19;24}, FALSE)), 'Player Overall Stats Unsorted'!$AA$9:$AA$12), ""=X"")) + (4 - COUNTIF(IFERROR(A"&amp;"RRAYFORMULA(HLOOKUP($B60, IMPORTRANGE('Match Names'!$E$23, CONCAT(VLOOKUP($C60, 'Match Names'!$1:$22, 5, FALSE), ""!C3:R29"")), {2;8;12;22}, FALSE)), 'Player Overall Stats Unsorted'!$AA$9:$AA$12), ""=X"")) + (4 - COUNTIF(IFERROR(ARRAYFORMULA(HLOOKUP($B60,"&amp;" IMPORTRANGE('Match Names'!$F$23, CONCAT(VLOOKUP($C60, 'Match Names'!$1:$22, 6, FALSE), ""!C3:R29"")), {3;9;15;21}, FALSE)), 'Player Overall Stats Unsorted'!$AA$9:$AA$12), ""=X"")) + (4 - COUNTIF(IFERROR(ARRAYFORMULA(HLOOKUP($B60, IMPORTRANGE('Match Names"&amp;"'!$G$23, CONCAT(VLOOKUP($C60, 'Match Names'!$1:$22, 7, FALSE), ""!C3:R29"")), {3;8;12;18}, FALSE)), 'Player Overall Stats Unsorted'!$AA$9:$AA$12), ""=X"")) + (4 - COUNTIF(IFERROR(ARRAYFORMULA(HLOOKUP($B60, IMPORTRANGE('Match Names'!$H$23, CONCAT(VLOOKUP($"&amp;"C60, 'Match Names'!$1:$22, 8, FALSE), ""!C3:R29"")), {7;13;19;24}, FALSE)), 'Player Overall Stats Unsorted'!$AA$9:$AA$12), ""=X""))"),12.0)</f>
        <v>12</v>
      </c>
      <c r="E60" s="32">
        <f>IFERROR(__xludf.DUMMYFUNCTION("COUNTIF(ARRAYFORMULA(HLOOKUP($B60, IMPORTRANGE('Prelim Rankings Unsorted'!$B$40, CONCAT(VLOOKUP($C60, 'Match Names'!$A$1:$D$22, 2, FALSE), ""!C3:R29"")), {4;9;15;21}, FALSE)), ""=4"") + COUNTIF(ARRAYFORMULA(HLOOKUP($B60, IMPORTRANGE('Prelim Rankings Unsor"&amp;"ted'!$B$41, CONCAT(VLOOKUP($C60, 'Match Names'!$A$1:$D$22, 3, FALSE), ""!C3:R29"")), {7;13;19;24}, FALSE)), ""=4"") + COUNTIF(ARRAYFORMULA(HLOOKUP($B60, IMPORTRANGE('Prelim Rankings Unsorted'!$B$42, CONCAT(VLOOKUP($C60, 'Match Names'!$A$1:$D$22, 4, FALSE)"&amp;", ""!C3:R29"")), {7;13;19;24}, FALSE)), ""=4"") + COUNTIF(ARRAYFORMULA(HLOOKUP($B60, IMPORTRANGE('Match Names'!$E$23, CONCAT(VLOOKUP($C60, 'Match Names'!$1:$22, 5, FALSE), ""!C3:R29"")), {2;8;12;22}, FALSE)), ""=4"") + COUNTIF(ARRAYFORMULA(HLOOKUP($B60, I"&amp;"MPORTRANGE('Match Names'!$F$23, CONCAT(VLOOKUP($C60, 'Match Names'!$1:$22, 6, FALSE), ""!C3:R29"")), {3;9;15;21}, FALSE)), ""=4"") + COUNTIF(ARRAYFORMULA(HLOOKUP($B60, IMPORTRANGE('Match Names'!$G$23, CONCAT(VLOOKUP($C60, 'Match Names'!$1:$22, 7, FALSE), "&amp;"""!C3:R29"")), {3;8;12;18}, FALSE)), ""=4"") + COUNTIF(ARRAYFORMULA(HLOOKUP($B60, IMPORTRANGE('Match Names'!$H$23, CONCAT(VLOOKUP($C60, 'Match Names'!$1:$22, 8, FALSE), ""!C3:R29"")), {7;13;19;24}, FALSE)), ""=4"")"),0.0)</f>
        <v>0</v>
      </c>
      <c r="F60" s="32">
        <f>IFERROR(__xludf.DUMMYFUNCTION("COUNTIF(ARRAYFORMULA(HLOOKUP($B60, IMPORTRANGE('Prelim Rankings Unsorted'!$B$40, CONCAT(VLOOKUP($C60, 'Match Names'!$A$1:$D$22, 2, FALSE), ""!C3:R29"")), {4;9;15;21}, FALSE)), ""=0"") + COUNTIF(ARRAYFORMULA(HLOOKUP($B60, IMPORTRANGE('Prelim Rankings Unsor"&amp;"ted'!$B$41, CONCAT(VLOOKUP($C60, 'Match Names'!$A$1:$D$22, 3, FALSE), ""!C3:R29"")), {7;13;19;24}, FALSE)), ""=0"") + COUNTIF(ARRAYFORMULA(HLOOKUP($B60, IMPORTRANGE('Prelim Rankings Unsorted'!$B$42, CONCAT(VLOOKUP($C60, 'Match Names'!$A$1:$D$22, 4, FALSE)"&amp;", ""!C3:R29"")), {7;13;19;24}, FALSE)), ""=0"") + COUNTIF(ARRAYFORMULA(HLOOKUP($B60, IMPORTRANGE('Match Names'!$E$23, CONCAT(VLOOKUP($C60, 'Match Names'!$1:$22, 5, FALSE), ""!C3:R29"")), {2;8;12;22}, FALSE)), ""=0"") + COUNTIF(ARRAYFORMULA(HLOOKUP($B60, I"&amp;"MPORTRANGE('Match Names'!$F$23, CONCAT(VLOOKUP($C60, 'Match Names'!$1:$22, 6, FALSE), ""!C3:R29"")), {3;9;15;21}, FALSE)), ""=0"") + COUNTIF(ARRAYFORMULA(HLOOKUP($B60, IMPORTRANGE('Match Names'!$G$23, CONCAT(VLOOKUP($C60, 'Match Names'!$1:$22, 7, FALSE), "&amp;"""!C3:R29"")), {3;8;12;18}, FALSE)), ""=0"") + COUNTIF(ARRAYFORMULA(HLOOKUP($B60, IMPORTRANGE('Match Names'!$H$23, CONCAT(VLOOKUP($C60, 'Match Names'!$1:$22, 8, FALSE), ""!C3:R29"")), {7;13;19;24}, FALSE)), ""=0"")"),0.0)</f>
        <v>0</v>
      </c>
      <c r="G60" s="32">
        <f>IFERROR(__xludf.DUMMYFUNCTION("COUNTIF(ARRAYFORMULA(HLOOKUP($B60, IMPORTRANGE('Prelim Rankings Unsorted'!$B$40, CONCAT(VLOOKUP($C60, 'Match Names'!$A$1:$D$22, 2, FALSE), ""!C3:R29"")), {4;9;15;21}, FALSE)), ""=-4"") + COUNTIF(ARRAYFORMULA(HLOOKUP($B60, IMPORTRANGE('Prelim Rankings Unso"&amp;"rted'!$B$41, CONCAT(VLOOKUP($C60, 'Match Names'!$A$1:$D$22, 3, FALSE), ""!C3:R29"")), {7;13;19;24}, FALSE)), ""=-4"") + COUNTIF(ARRAYFORMULA(HLOOKUP($B60, IMPORTRANGE('Prelim Rankings Unsorted'!$B$42, CONCAT(VLOOKUP($C60, 'Match Names'!$A$1:$D$22, 4, FALS"&amp;"E), ""!C3:R29"")), {7;13;19;24}, FALSE)), ""=-4"") + COUNTIF(ARRAYFORMULA(HLOOKUP($B60, IMPORTRANGE('Match Names'!$E$23, CONCAT(VLOOKUP($C60, 'Match Names'!$1:$22, 5, FALSE), ""!C3:R29"")), {2;8;12;22}, FALSE)), ""=-4"") + COUNTIF(ARRAYFORMULA(HLOOKUP($B6"&amp;"0, IMPORTRANGE('Match Names'!$F$23, CONCAT(VLOOKUP($C60, 'Match Names'!$1:$22, 6, FALSE), ""!C3:R29"")), {3;9;15;21}, FALSE)), ""=-4"") + COUNTIF(ARRAYFORMULA(HLOOKUP($B60, IMPORTRANGE('Match Names'!$G$23, CONCAT(VLOOKUP($C60, 'Match Names'!$1:$22, 7, FAL"&amp;"SE), ""!C3:R29"")), {3;8;12;18}, FALSE)), ""=-4"") + COUNTIF(ARRAYFORMULA(HLOOKUP($B60, IMPORTRANGE('Match Names'!$H$23, CONCAT(VLOOKUP($C60, 'Match Names'!$1:$22, 8, FALSE), ""!C3:R29"")), {7;13;19;24}, FALSE)), ""=-4"")"),0.0)</f>
        <v>0</v>
      </c>
      <c r="H60" s="33">
        <f t="shared" si="1"/>
        <v>0</v>
      </c>
    </row>
    <row r="61">
      <c r="A61" s="21" t="s">
        <v>106</v>
      </c>
      <c r="B61" s="7" t="str">
        <f>VLOOKUP(CONCAT(A61, C61), 'Discord Username to Real Name'!C:D, 2, FALSE)</f>
        <v>banane#7103</v>
      </c>
      <c r="C61" s="21" t="s">
        <v>19</v>
      </c>
      <c r="D61" s="32">
        <f>IFERROR(__xludf.DUMMYFUNCTION("(4 - COUNTIF(IFERROR(ARRAYFORMULA(HLOOKUP($B61, IMPORTRANGE('Prelim Rankings Unsorted'!$B$40, CONCAT(VLOOKUP($C61, 'Match Names'!$A$1:$D$22, 2, FALSE), ""!C3:R29"")), {4;9;15;21}, FALSE)), 'Player Overall Stats Unsorted'!$AA$9:$AA$12), ""=X"")) + (4 - COU"&amp;"NTIF(IFERROR(ARRAYFORMULA(HLOOKUP($B61, IMPORTRANGE('Prelim Rankings Unsorted'!$B$41, CONCAT(VLOOKUP($C61, 'Match Names'!$A$1:$D$22, 3, FALSE), ""!C3:R29"")), {7;13;19;24}, FALSE)), 'Player Overall Stats Unsorted'!$AA$9:$AA$12), ""=X"")) + (4 - COUNTIF(IF"&amp;"ERROR(ARRAYFORMULA(HLOOKUP($B61, IMPORTRANGE('Prelim Rankings Unsorted'!$B$42, CONCAT(VLOOKUP($C61, 'Match Names'!$A$1:$D$22, 4, FALSE), ""!C3:R29"")), {7;13;19;24}, FALSE)), 'Player Overall Stats Unsorted'!$AA$9:$AA$12), ""=X"")) + (4 - COUNTIF(IFERROR(A"&amp;"RRAYFORMULA(HLOOKUP($B61, IMPORTRANGE('Match Names'!$E$23, CONCAT(VLOOKUP($C61, 'Match Names'!$1:$22, 5, FALSE), ""!C3:R29"")), {2;8;12;22}, FALSE)), 'Player Overall Stats Unsorted'!$AA$9:$AA$12), ""=X"")) + (4 - COUNTIF(IFERROR(ARRAYFORMULA(HLOOKUP($B61,"&amp;" IMPORTRANGE('Match Names'!$F$23, CONCAT(VLOOKUP($C61, 'Match Names'!$1:$22, 6, FALSE), ""!C3:R29"")), {3;9;15;21}, FALSE)), 'Player Overall Stats Unsorted'!$AA$9:$AA$12), ""=X"")) + (4 - COUNTIF(IFERROR(ARRAYFORMULA(HLOOKUP($B61, IMPORTRANGE('Match Names"&amp;"'!$G$23, CONCAT(VLOOKUP($C61, 'Match Names'!$1:$22, 7, FALSE), ""!C3:R29"")), {3;8;12;18}, FALSE)), 'Player Overall Stats Unsorted'!$AA$9:$AA$12), ""=X"")) + (4 - COUNTIF(IFERROR(ARRAYFORMULA(HLOOKUP($B61, IMPORTRANGE('Match Names'!$H$23, CONCAT(VLOOKUP($"&amp;"C61, 'Match Names'!$1:$22, 8, FALSE), ""!C3:R29"")), {7;13;19;24}, FALSE)), 'Player Overall Stats Unsorted'!$AA$9:$AA$12), ""=X""))"),14.0)</f>
        <v>14</v>
      </c>
      <c r="E61" s="32">
        <f>IFERROR(__xludf.DUMMYFUNCTION("COUNTIF(ARRAYFORMULA(HLOOKUP($B61, IMPORTRANGE('Prelim Rankings Unsorted'!$B$40, CONCAT(VLOOKUP($C61, 'Match Names'!$A$1:$D$22, 2, FALSE), ""!C3:R29"")), {4;9;15;21}, FALSE)), ""=4"") + COUNTIF(ARRAYFORMULA(HLOOKUP($B61, IMPORTRANGE('Prelim Rankings Unsor"&amp;"ted'!$B$41, CONCAT(VLOOKUP($C61, 'Match Names'!$A$1:$D$22, 3, FALSE), ""!C3:R29"")), {7;13;19;24}, FALSE)), ""=4"") + COUNTIF(ARRAYFORMULA(HLOOKUP($B61, IMPORTRANGE('Prelim Rankings Unsorted'!$B$42, CONCAT(VLOOKUP($C61, 'Match Names'!$A$1:$D$22, 4, FALSE)"&amp;", ""!C3:R29"")), {7;13;19;24}, FALSE)), ""=4"") + COUNTIF(ARRAYFORMULA(HLOOKUP($B61, IMPORTRANGE('Match Names'!$E$23, CONCAT(VLOOKUP($C61, 'Match Names'!$1:$22, 5, FALSE), ""!C3:R29"")), {2;8;12;22}, FALSE)), ""=4"") + COUNTIF(ARRAYFORMULA(HLOOKUP($B61, I"&amp;"MPORTRANGE('Match Names'!$F$23, CONCAT(VLOOKUP($C61, 'Match Names'!$1:$22, 6, FALSE), ""!C3:R29"")), {3;9;15;21}, FALSE)), ""=4"") + COUNTIF(ARRAYFORMULA(HLOOKUP($B61, IMPORTRANGE('Match Names'!$G$23, CONCAT(VLOOKUP($C61, 'Match Names'!$1:$22, 7, FALSE), "&amp;"""!C3:R29"")), {3;8;12;18}, FALSE)), ""=4"") + COUNTIF(ARRAYFORMULA(HLOOKUP($B61, IMPORTRANGE('Match Names'!$H$23, CONCAT(VLOOKUP($C61, 'Match Names'!$1:$22, 8, FALSE), ""!C3:R29"")), {7;13;19;24}, FALSE)), ""=4"")"),0.0)</f>
        <v>0</v>
      </c>
      <c r="F61" s="32">
        <f>IFERROR(__xludf.DUMMYFUNCTION("COUNTIF(ARRAYFORMULA(HLOOKUP($B61, IMPORTRANGE('Prelim Rankings Unsorted'!$B$40, CONCAT(VLOOKUP($C61, 'Match Names'!$A$1:$D$22, 2, FALSE), ""!C3:R29"")), {4;9;15;21}, FALSE)), ""=0"") + COUNTIF(ARRAYFORMULA(HLOOKUP($B61, IMPORTRANGE('Prelim Rankings Unsor"&amp;"ted'!$B$41, CONCAT(VLOOKUP($C61, 'Match Names'!$A$1:$D$22, 3, FALSE), ""!C3:R29"")), {7;13;19;24}, FALSE)), ""=0"") + COUNTIF(ARRAYFORMULA(HLOOKUP($B61, IMPORTRANGE('Prelim Rankings Unsorted'!$B$42, CONCAT(VLOOKUP($C61, 'Match Names'!$A$1:$D$22, 4, FALSE)"&amp;", ""!C3:R29"")), {7;13;19;24}, FALSE)), ""=0"") + COUNTIF(ARRAYFORMULA(HLOOKUP($B61, IMPORTRANGE('Match Names'!$E$23, CONCAT(VLOOKUP($C61, 'Match Names'!$1:$22, 5, FALSE), ""!C3:R29"")), {2;8;12;22}, FALSE)), ""=0"") + COUNTIF(ARRAYFORMULA(HLOOKUP($B61, I"&amp;"MPORTRANGE('Match Names'!$F$23, CONCAT(VLOOKUP($C61, 'Match Names'!$1:$22, 6, FALSE), ""!C3:R29"")), {3;9;15;21}, FALSE)), ""=0"") + COUNTIF(ARRAYFORMULA(HLOOKUP($B61, IMPORTRANGE('Match Names'!$G$23, CONCAT(VLOOKUP($C61, 'Match Names'!$1:$22, 7, FALSE), "&amp;"""!C3:R29"")), {3;8;12;18}, FALSE)), ""=0"") + COUNTIF(ARRAYFORMULA(HLOOKUP($B61, IMPORTRANGE('Match Names'!$H$23, CONCAT(VLOOKUP($C61, 'Match Names'!$1:$22, 8, FALSE), ""!C3:R29"")), {7;13;19;24}, FALSE)), ""=0"")"),0.0)</f>
        <v>0</v>
      </c>
      <c r="G61" s="32">
        <f>IFERROR(__xludf.DUMMYFUNCTION("COUNTIF(ARRAYFORMULA(HLOOKUP($B61, IMPORTRANGE('Prelim Rankings Unsorted'!$B$40, CONCAT(VLOOKUP($C61, 'Match Names'!$A$1:$D$22, 2, FALSE), ""!C3:R29"")), {4;9;15;21}, FALSE)), ""=-4"") + COUNTIF(ARRAYFORMULA(HLOOKUP($B61, IMPORTRANGE('Prelim Rankings Unso"&amp;"rted'!$B$41, CONCAT(VLOOKUP($C61, 'Match Names'!$A$1:$D$22, 3, FALSE), ""!C3:R29"")), {7;13;19;24}, FALSE)), ""=-4"") + COUNTIF(ARRAYFORMULA(HLOOKUP($B61, IMPORTRANGE('Prelim Rankings Unsorted'!$B$42, CONCAT(VLOOKUP($C61, 'Match Names'!$A$1:$D$22, 4, FALS"&amp;"E), ""!C3:R29"")), {7;13;19;24}, FALSE)), ""=-4"") + COUNTIF(ARRAYFORMULA(HLOOKUP($B61, IMPORTRANGE('Match Names'!$E$23, CONCAT(VLOOKUP($C61, 'Match Names'!$1:$22, 5, FALSE), ""!C3:R29"")), {2;8;12;22}, FALSE)), ""=-4"") + COUNTIF(ARRAYFORMULA(HLOOKUP($B6"&amp;"1, IMPORTRANGE('Match Names'!$F$23, CONCAT(VLOOKUP($C61, 'Match Names'!$1:$22, 6, FALSE), ""!C3:R29"")), {3;9;15;21}, FALSE)), ""=-4"") + COUNTIF(ARRAYFORMULA(HLOOKUP($B61, IMPORTRANGE('Match Names'!$G$23, CONCAT(VLOOKUP($C61, 'Match Names'!$1:$22, 7, FAL"&amp;"SE), ""!C3:R29"")), {3;8;12;18}, FALSE)), ""=-4"") + COUNTIF(ARRAYFORMULA(HLOOKUP($B61, IMPORTRANGE('Match Names'!$H$23, CONCAT(VLOOKUP($C61, 'Match Names'!$1:$22, 8, FALSE), ""!C3:R29"")), {7;13;19;24}, FALSE)), ""=-4"")"),0.0)</f>
        <v>0</v>
      </c>
      <c r="H61" s="33">
        <f t="shared" si="1"/>
        <v>0</v>
      </c>
    </row>
    <row r="62">
      <c r="A62" s="21" t="s">
        <v>65</v>
      </c>
      <c r="B62" s="7" t="str">
        <f>VLOOKUP(CONCAT(A62, C62), 'Discord Username to Real Name'!C:D, 2, FALSE)</f>
        <v>Sahas#5704</v>
      </c>
      <c r="C62" s="21" t="s">
        <v>19</v>
      </c>
      <c r="D62" s="32">
        <f>IFERROR(__xludf.DUMMYFUNCTION("(4 - COUNTIF(IFERROR(ARRAYFORMULA(HLOOKUP($B62, IMPORTRANGE('Prelim Rankings Unsorted'!$B$40, CONCAT(VLOOKUP($C62, 'Match Names'!$A$1:$D$22, 2, FALSE), ""!C3:R29"")), {4;9;15;21}, FALSE)), 'Player Overall Stats Unsorted'!$AA$9:$AA$12), ""=X"")) + (4 - COU"&amp;"NTIF(IFERROR(ARRAYFORMULA(HLOOKUP($B62, IMPORTRANGE('Prelim Rankings Unsorted'!$B$41, CONCAT(VLOOKUP($C62, 'Match Names'!$A$1:$D$22, 3, FALSE), ""!C3:R29"")), {7;13;19;24}, FALSE)), 'Player Overall Stats Unsorted'!$AA$9:$AA$12), ""=X"")) + (4 - COUNTIF(IF"&amp;"ERROR(ARRAYFORMULA(HLOOKUP($B62, IMPORTRANGE('Prelim Rankings Unsorted'!$B$42, CONCAT(VLOOKUP($C62, 'Match Names'!$A$1:$D$22, 4, FALSE), ""!C3:R29"")), {7;13;19;24}, FALSE)), 'Player Overall Stats Unsorted'!$AA$9:$AA$12), ""=X"")) + (4 - COUNTIF(IFERROR(A"&amp;"RRAYFORMULA(HLOOKUP($B62, IMPORTRANGE('Match Names'!$E$23, CONCAT(VLOOKUP($C62, 'Match Names'!$1:$22, 5, FALSE), ""!C3:R29"")), {2;8;12;22}, FALSE)), 'Player Overall Stats Unsorted'!$AA$9:$AA$12), ""=X"")) + (4 - COUNTIF(IFERROR(ARRAYFORMULA(HLOOKUP($B62,"&amp;" IMPORTRANGE('Match Names'!$F$23, CONCAT(VLOOKUP($C62, 'Match Names'!$1:$22, 6, FALSE), ""!C3:R29"")), {3;9;15;21}, FALSE)), 'Player Overall Stats Unsorted'!$AA$9:$AA$12), ""=X"")) + (4 - COUNTIF(IFERROR(ARRAYFORMULA(HLOOKUP($B62, IMPORTRANGE('Match Names"&amp;"'!$G$23, CONCAT(VLOOKUP($C62, 'Match Names'!$1:$22, 7, FALSE), ""!C3:R29"")), {3;8;12;18}, FALSE)), 'Player Overall Stats Unsorted'!$AA$9:$AA$12), ""=X"")) + (4 - COUNTIF(IFERROR(ARRAYFORMULA(HLOOKUP($B62, IMPORTRANGE('Match Names'!$H$23, CONCAT(VLOOKUP($"&amp;"C62, 'Match Names'!$1:$22, 8, FALSE), ""!C3:R29"")), {7;13;19;24}, FALSE)), 'Player Overall Stats Unsorted'!$AA$9:$AA$12), ""=X""))"),16.0)</f>
        <v>16</v>
      </c>
      <c r="E62" s="32">
        <f>IFERROR(__xludf.DUMMYFUNCTION("COUNTIF(ARRAYFORMULA(HLOOKUP($B62, IMPORTRANGE('Prelim Rankings Unsorted'!$B$40, CONCAT(VLOOKUP($C62, 'Match Names'!$A$1:$D$22, 2, FALSE), ""!C3:R29"")), {4;9;15;21}, FALSE)), ""=4"") + COUNTIF(ARRAYFORMULA(HLOOKUP($B62, IMPORTRANGE('Prelim Rankings Unsor"&amp;"ted'!$B$41, CONCAT(VLOOKUP($C62, 'Match Names'!$A$1:$D$22, 3, FALSE), ""!C3:R29"")), {7;13;19;24}, FALSE)), ""=4"") + COUNTIF(ARRAYFORMULA(HLOOKUP($B62, IMPORTRANGE('Prelim Rankings Unsorted'!$B$42, CONCAT(VLOOKUP($C62, 'Match Names'!$A$1:$D$22, 4, FALSE)"&amp;", ""!C3:R29"")), {7;13;19;24}, FALSE)), ""=4"") + COUNTIF(ARRAYFORMULA(HLOOKUP($B62, IMPORTRANGE('Match Names'!$E$23, CONCAT(VLOOKUP($C62, 'Match Names'!$1:$22, 5, FALSE), ""!C3:R29"")), {2;8;12;22}, FALSE)), ""=4"") + COUNTIF(ARRAYFORMULA(HLOOKUP($B62, I"&amp;"MPORTRANGE('Match Names'!$F$23, CONCAT(VLOOKUP($C62, 'Match Names'!$1:$22, 6, FALSE), ""!C3:R29"")), {3;9;15;21}, FALSE)), ""=4"") + COUNTIF(ARRAYFORMULA(HLOOKUP($B62, IMPORTRANGE('Match Names'!$G$23, CONCAT(VLOOKUP($C62, 'Match Names'!$1:$22, 7, FALSE), "&amp;"""!C3:R29"")), {3;8;12;18}, FALSE)), ""=4"") + COUNTIF(ARRAYFORMULA(HLOOKUP($B62, IMPORTRANGE('Match Names'!$H$23, CONCAT(VLOOKUP($C62, 'Match Names'!$1:$22, 8, FALSE), ""!C3:R29"")), {7;13;19;24}, FALSE)), ""=4"")"),2.0)</f>
        <v>2</v>
      </c>
      <c r="F62" s="32">
        <f>IFERROR(__xludf.DUMMYFUNCTION("COUNTIF(ARRAYFORMULA(HLOOKUP($B62, IMPORTRANGE('Prelim Rankings Unsorted'!$B$40, CONCAT(VLOOKUP($C62, 'Match Names'!$A$1:$D$22, 2, FALSE), ""!C3:R29"")), {4;9;15;21}, FALSE)), ""=0"") + COUNTIF(ARRAYFORMULA(HLOOKUP($B62, IMPORTRANGE('Prelim Rankings Unsor"&amp;"ted'!$B$41, CONCAT(VLOOKUP($C62, 'Match Names'!$A$1:$D$22, 3, FALSE), ""!C3:R29"")), {7;13;19;24}, FALSE)), ""=0"") + COUNTIF(ARRAYFORMULA(HLOOKUP($B62, IMPORTRANGE('Prelim Rankings Unsorted'!$B$42, CONCAT(VLOOKUP($C62, 'Match Names'!$A$1:$D$22, 4, FALSE)"&amp;", ""!C3:R29"")), {7;13;19;24}, FALSE)), ""=0"") + COUNTIF(ARRAYFORMULA(HLOOKUP($B62, IMPORTRANGE('Match Names'!$E$23, CONCAT(VLOOKUP($C62, 'Match Names'!$1:$22, 5, FALSE), ""!C3:R29"")), {2;8;12;22}, FALSE)), ""=0"") + COUNTIF(ARRAYFORMULA(HLOOKUP($B62, I"&amp;"MPORTRANGE('Match Names'!$F$23, CONCAT(VLOOKUP($C62, 'Match Names'!$1:$22, 6, FALSE), ""!C3:R29"")), {3;9;15;21}, FALSE)), ""=0"") + COUNTIF(ARRAYFORMULA(HLOOKUP($B62, IMPORTRANGE('Match Names'!$G$23, CONCAT(VLOOKUP($C62, 'Match Names'!$1:$22, 7, FALSE), "&amp;"""!C3:R29"")), {3;8;12;18}, FALSE)), ""=0"") + COUNTIF(ARRAYFORMULA(HLOOKUP($B62, IMPORTRANGE('Match Names'!$H$23, CONCAT(VLOOKUP($C62, 'Match Names'!$1:$22, 8, FALSE), ""!C3:R29"")), {7;13;19;24}, FALSE)), ""=0"")"),0.0)</f>
        <v>0</v>
      </c>
      <c r="G62" s="32">
        <f>IFERROR(__xludf.DUMMYFUNCTION("COUNTIF(ARRAYFORMULA(HLOOKUP($B62, IMPORTRANGE('Prelim Rankings Unsorted'!$B$40, CONCAT(VLOOKUP($C62, 'Match Names'!$A$1:$D$22, 2, FALSE), ""!C3:R29"")), {4;9;15;21}, FALSE)), ""=-4"") + COUNTIF(ARRAYFORMULA(HLOOKUP($B62, IMPORTRANGE('Prelim Rankings Unso"&amp;"rted'!$B$41, CONCAT(VLOOKUP($C62, 'Match Names'!$A$1:$D$22, 3, FALSE), ""!C3:R29"")), {7;13;19;24}, FALSE)), ""=-4"") + COUNTIF(ARRAYFORMULA(HLOOKUP($B62, IMPORTRANGE('Prelim Rankings Unsorted'!$B$42, CONCAT(VLOOKUP($C62, 'Match Names'!$A$1:$D$22, 4, FALS"&amp;"E), ""!C3:R29"")), {7;13;19;24}, FALSE)), ""=-4"") + COUNTIF(ARRAYFORMULA(HLOOKUP($B62, IMPORTRANGE('Match Names'!$E$23, CONCAT(VLOOKUP($C62, 'Match Names'!$1:$22, 5, FALSE), ""!C3:R29"")), {2;8;12;22}, FALSE)), ""=-4"") + COUNTIF(ARRAYFORMULA(HLOOKUP($B6"&amp;"2, IMPORTRANGE('Match Names'!$F$23, CONCAT(VLOOKUP($C62, 'Match Names'!$1:$22, 6, FALSE), ""!C3:R29"")), {3;9;15;21}, FALSE)), ""=-4"") + COUNTIF(ARRAYFORMULA(HLOOKUP($B62, IMPORTRANGE('Match Names'!$G$23, CONCAT(VLOOKUP($C62, 'Match Names'!$1:$22, 7, FAL"&amp;"SE), ""!C3:R29"")), {3;8;12;18}, FALSE)), ""=-4"") + COUNTIF(ARRAYFORMULA(HLOOKUP($B62, IMPORTRANGE('Match Names'!$H$23, CONCAT(VLOOKUP($C62, 'Match Names'!$1:$22, 8, FALSE), ""!C3:R29"")), {7;13;19;24}, FALSE)), ""=-4"")"),1.0)</f>
        <v>1</v>
      </c>
      <c r="H62" s="33">
        <f t="shared" si="1"/>
        <v>1</v>
      </c>
    </row>
    <row r="63">
      <c r="A63" s="21" t="s">
        <v>134</v>
      </c>
      <c r="B63" s="7" t="str">
        <f>VLOOKUP(CONCAT(A63, C63), 'Discord Username to Real Name'!C:D, 2, FALSE)</f>
        <v>Jeffrey Li#1694</v>
      </c>
      <c r="C63" s="21" t="s">
        <v>22</v>
      </c>
      <c r="D63" s="32">
        <f>IFERROR(__xludf.DUMMYFUNCTION("(4 - COUNTIF(IFERROR(ARRAYFORMULA(HLOOKUP($B63, IMPORTRANGE('Prelim Rankings Unsorted'!$B$40, CONCAT(VLOOKUP($C63, 'Match Names'!$A$1:$D$22, 2, FALSE), ""!C3:R29"")), {4;9;15;21}, FALSE)), 'Player Overall Stats Unsorted'!$AA$9:$AA$12), ""=X"")) + (4 - COU"&amp;"NTIF(IFERROR(ARRAYFORMULA(HLOOKUP($B63, IMPORTRANGE('Prelim Rankings Unsorted'!$B$41, CONCAT(VLOOKUP($C63, 'Match Names'!$A$1:$D$22, 3, FALSE), ""!C3:R29"")), {7;13;19;24}, FALSE)), 'Player Overall Stats Unsorted'!$AA$9:$AA$12), ""=X"")) + (4 - COUNTIF(IF"&amp;"ERROR(ARRAYFORMULA(HLOOKUP($B63, IMPORTRANGE('Prelim Rankings Unsorted'!$B$42, CONCAT(VLOOKUP($C63, 'Match Names'!$A$1:$D$22, 4, FALSE), ""!C3:R29"")), {7;13;19;24}, FALSE)), 'Player Overall Stats Unsorted'!$AA$9:$AA$12), ""=X"")) + (4 - COUNTIF(IFERROR(A"&amp;"RRAYFORMULA(HLOOKUP($B63, IMPORTRANGE('Match Names'!$E$23, CONCAT(VLOOKUP($C63, 'Match Names'!$1:$22, 5, FALSE), ""!C3:R29"")), {2;8;12;22}, FALSE)), 'Player Overall Stats Unsorted'!$AA$9:$AA$12), ""=X"")) + (4 - COUNTIF(IFERROR(ARRAYFORMULA(HLOOKUP($B63,"&amp;" IMPORTRANGE('Match Names'!$F$23, CONCAT(VLOOKUP($C63, 'Match Names'!$1:$22, 6, FALSE), ""!C3:R29"")), {3;9;15;21}, FALSE)), 'Player Overall Stats Unsorted'!$AA$9:$AA$12), ""=X"")) + (4 - COUNTIF(IFERROR(ARRAYFORMULA(HLOOKUP($B63, IMPORTRANGE('Match Names"&amp;"'!$G$23, CONCAT(VLOOKUP($C63, 'Match Names'!$1:$22, 7, FALSE), ""!C3:R29"")), {3;8;12;18}, FALSE)), 'Player Overall Stats Unsorted'!$AA$9:$AA$12), ""=X"")) + (4 - COUNTIF(IFERROR(ARRAYFORMULA(HLOOKUP($B63, IMPORTRANGE('Match Names'!$H$23, CONCAT(VLOOKUP($"&amp;"C63, 'Match Names'!$1:$22, 8, FALSE), ""!C3:R29"")), {7;13;19;24}, FALSE)), 'Player Overall Stats Unsorted'!$AA$9:$AA$12), ""=X""))"),22.0)</f>
        <v>22</v>
      </c>
      <c r="E63" s="32">
        <f>IFERROR(__xludf.DUMMYFUNCTION("COUNTIF(ARRAYFORMULA(HLOOKUP($B63, IMPORTRANGE('Prelim Rankings Unsorted'!$B$40, CONCAT(VLOOKUP($C63, 'Match Names'!$A$1:$D$22, 2, FALSE), ""!C3:R29"")), {4;9;15;21}, FALSE)), ""=4"") + COUNTIF(ARRAYFORMULA(HLOOKUP($B63, IMPORTRANGE('Prelim Rankings Unsor"&amp;"ted'!$B$41, CONCAT(VLOOKUP($C63, 'Match Names'!$A$1:$D$22, 3, FALSE), ""!C3:R29"")), {7;13;19;24}, FALSE)), ""=4"") + COUNTIF(ARRAYFORMULA(HLOOKUP($B63, IMPORTRANGE('Prelim Rankings Unsorted'!$B$42, CONCAT(VLOOKUP($C63, 'Match Names'!$A$1:$D$22, 4, FALSE)"&amp;", ""!C3:R29"")), {7;13;19;24}, FALSE)), ""=4"") + COUNTIF(ARRAYFORMULA(HLOOKUP($B63, IMPORTRANGE('Match Names'!$E$23, CONCAT(VLOOKUP($C63, 'Match Names'!$1:$22, 5, FALSE), ""!C3:R29"")), {2;8;12;22}, FALSE)), ""=4"") + COUNTIF(ARRAYFORMULA(HLOOKUP($B63, I"&amp;"MPORTRANGE('Match Names'!$F$23, CONCAT(VLOOKUP($C63, 'Match Names'!$1:$22, 6, FALSE), ""!C3:R29"")), {3;9;15;21}, FALSE)), ""=4"") + COUNTIF(ARRAYFORMULA(HLOOKUP($B63, IMPORTRANGE('Match Names'!$G$23, CONCAT(VLOOKUP($C63, 'Match Names'!$1:$22, 7, FALSE), "&amp;"""!C3:R29"")), {3;8;12;18}, FALSE)), ""=4"") + COUNTIF(ARRAYFORMULA(HLOOKUP($B63, IMPORTRANGE('Match Names'!$H$23, CONCAT(VLOOKUP($C63, 'Match Names'!$1:$22, 8, FALSE), ""!C3:R29"")), {7;13;19;24}, FALSE)), ""=4"")"),0.0)</f>
        <v>0</v>
      </c>
      <c r="F63" s="32">
        <f>IFERROR(__xludf.DUMMYFUNCTION("COUNTIF(ARRAYFORMULA(HLOOKUP($B63, IMPORTRANGE('Prelim Rankings Unsorted'!$B$40, CONCAT(VLOOKUP($C63, 'Match Names'!$A$1:$D$22, 2, FALSE), ""!C3:R29"")), {4;9;15;21}, FALSE)), ""=0"") + COUNTIF(ARRAYFORMULA(HLOOKUP($B63, IMPORTRANGE('Prelim Rankings Unsor"&amp;"ted'!$B$41, CONCAT(VLOOKUP($C63, 'Match Names'!$A$1:$D$22, 3, FALSE), ""!C3:R29"")), {7;13;19;24}, FALSE)), ""=0"") + COUNTIF(ARRAYFORMULA(HLOOKUP($B63, IMPORTRANGE('Prelim Rankings Unsorted'!$B$42, CONCAT(VLOOKUP($C63, 'Match Names'!$A$1:$D$22, 4, FALSE)"&amp;", ""!C3:R29"")), {7;13;19;24}, FALSE)), ""=0"") + COUNTIF(ARRAYFORMULA(HLOOKUP($B63, IMPORTRANGE('Match Names'!$E$23, CONCAT(VLOOKUP($C63, 'Match Names'!$1:$22, 5, FALSE), ""!C3:R29"")), {2;8;12;22}, FALSE)), ""=0"") + COUNTIF(ARRAYFORMULA(HLOOKUP($B63, I"&amp;"MPORTRANGE('Match Names'!$F$23, CONCAT(VLOOKUP($C63, 'Match Names'!$1:$22, 6, FALSE), ""!C3:R29"")), {3;9;15;21}, FALSE)), ""=0"") + COUNTIF(ARRAYFORMULA(HLOOKUP($B63, IMPORTRANGE('Match Names'!$G$23, CONCAT(VLOOKUP($C63, 'Match Names'!$1:$22, 7, FALSE), "&amp;"""!C3:R29"")), {3;8;12;18}, FALSE)), ""=0"") + COUNTIF(ARRAYFORMULA(HLOOKUP($B63, IMPORTRANGE('Match Names'!$H$23, CONCAT(VLOOKUP($C63, 'Match Names'!$1:$22, 8, FALSE), ""!C3:R29"")), {7;13;19;24}, FALSE)), ""=0"")"),3.0)</f>
        <v>3</v>
      </c>
      <c r="G63" s="32">
        <f>IFERROR(__xludf.DUMMYFUNCTION("COUNTIF(ARRAYFORMULA(HLOOKUP($B63, IMPORTRANGE('Prelim Rankings Unsorted'!$B$40, CONCAT(VLOOKUP($C63, 'Match Names'!$A$1:$D$22, 2, FALSE), ""!C3:R29"")), {4;9;15;21}, FALSE)), ""=-4"") + COUNTIF(ARRAYFORMULA(HLOOKUP($B63, IMPORTRANGE('Prelim Rankings Unso"&amp;"rted'!$B$41, CONCAT(VLOOKUP($C63, 'Match Names'!$A$1:$D$22, 3, FALSE), ""!C3:R29"")), {7;13;19;24}, FALSE)), ""=-4"") + COUNTIF(ARRAYFORMULA(HLOOKUP($B63, IMPORTRANGE('Prelim Rankings Unsorted'!$B$42, CONCAT(VLOOKUP($C63, 'Match Names'!$A$1:$D$22, 4, FALS"&amp;"E), ""!C3:R29"")), {7;13;19;24}, FALSE)), ""=-4"") + COUNTIF(ARRAYFORMULA(HLOOKUP($B63, IMPORTRANGE('Match Names'!$E$23, CONCAT(VLOOKUP($C63, 'Match Names'!$1:$22, 5, FALSE), ""!C3:R29"")), {2;8;12;22}, FALSE)), ""=-4"") + COUNTIF(ARRAYFORMULA(HLOOKUP($B6"&amp;"3, IMPORTRANGE('Match Names'!$F$23, CONCAT(VLOOKUP($C63, 'Match Names'!$1:$22, 6, FALSE), ""!C3:R29"")), {3;9;15;21}, FALSE)), ""=-4"") + COUNTIF(ARRAYFORMULA(HLOOKUP($B63, IMPORTRANGE('Match Names'!$G$23, CONCAT(VLOOKUP($C63, 'Match Names'!$1:$22, 7, FAL"&amp;"SE), ""!C3:R29"")), {3;8;12;18}, FALSE)), ""=-4"") + COUNTIF(ARRAYFORMULA(HLOOKUP($B63, IMPORTRANGE('Match Names'!$H$23, CONCAT(VLOOKUP($C63, 'Match Names'!$1:$22, 8, FALSE), ""!C3:R29"")), {7;13;19;24}, FALSE)), ""=-4"")"),0.0)</f>
        <v>0</v>
      </c>
      <c r="H63" s="33">
        <f t="shared" si="1"/>
        <v>0</v>
      </c>
    </row>
    <row r="64">
      <c r="A64" s="21" t="s">
        <v>13</v>
      </c>
      <c r="B64" s="7" t="str">
        <f>VLOOKUP(CONCAT(A64, C64), 'Discord Username to Real Name'!C:D, 2, FALSE)</f>
        <v>danliu488#6963</v>
      </c>
      <c r="C64" s="21" t="s">
        <v>22</v>
      </c>
      <c r="D64" s="32">
        <f>IFERROR(__xludf.DUMMYFUNCTION("(4 - COUNTIF(IFERROR(ARRAYFORMULA(HLOOKUP($B64, IMPORTRANGE('Prelim Rankings Unsorted'!$B$40, CONCAT(VLOOKUP($C64, 'Match Names'!$A$1:$D$22, 2, FALSE), ""!C3:R29"")), {4;9;15;21}, FALSE)), 'Player Overall Stats Unsorted'!$AA$9:$AA$12), ""=X"")) + (4 - COU"&amp;"NTIF(IFERROR(ARRAYFORMULA(HLOOKUP($B64, IMPORTRANGE('Prelim Rankings Unsorted'!$B$41, CONCAT(VLOOKUP($C64, 'Match Names'!$A$1:$D$22, 3, FALSE), ""!C3:R29"")), {7;13;19;24}, FALSE)), 'Player Overall Stats Unsorted'!$AA$9:$AA$12), ""=X"")) + (4 - COUNTIF(IF"&amp;"ERROR(ARRAYFORMULA(HLOOKUP($B64, IMPORTRANGE('Prelim Rankings Unsorted'!$B$42, CONCAT(VLOOKUP($C64, 'Match Names'!$A$1:$D$22, 4, FALSE), ""!C3:R29"")), {7;13;19;24}, FALSE)), 'Player Overall Stats Unsorted'!$AA$9:$AA$12), ""=X"")) + (4 - COUNTIF(IFERROR(A"&amp;"RRAYFORMULA(HLOOKUP($B64, IMPORTRANGE('Match Names'!$E$23, CONCAT(VLOOKUP($C64, 'Match Names'!$1:$22, 5, FALSE), ""!C3:R29"")), {2;8;12;22}, FALSE)), 'Player Overall Stats Unsorted'!$AA$9:$AA$12), ""=X"")) + (4 - COUNTIF(IFERROR(ARRAYFORMULA(HLOOKUP($B64,"&amp;" IMPORTRANGE('Match Names'!$F$23, CONCAT(VLOOKUP($C64, 'Match Names'!$1:$22, 6, FALSE), ""!C3:R29"")), {3;9;15;21}, FALSE)), 'Player Overall Stats Unsorted'!$AA$9:$AA$12), ""=X"")) + (4 - COUNTIF(IFERROR(ARRAYFORMULA(HLOOKUP($B64, IMPORTRANGE('Match Names"&amp;"'!$G$23, CONCAT(VLOOKUP($C64, 'Match Names'!$1:$22, 7, FALSE), ""!C3:R29"")), {3;8;12;18}, FALSE)), 'Player Overall Stats Unsorted'!$AA$9:$AA$12), ""=X"")) + (4 - COUNTIF(IFERROR(ARRAYFORMULA(HLOOKUP($B64, IMPORTRANGE('Match Names'!$H$23, CONCAT(VLOOKUP($"&amp;"C64, 'Match Names'!$1:$22, 8, FALSE), ""!C3:R29"")), {7;13;19;24}, FALSE)), 'Player Overall Stats Unsorted'!$AA$9:$AA$12), ""=X""))"),24.0)</f>
        <v>24</v>
      </c>
      <c r="E64" s="32">
        <f>IFERROR(__xludf.DUMMYFUNCTION("COUNTIF(ARRAYFORMULA(HLOOKUP($B64, IMPORTRANGE('Prelim Rankings Unsorted'!$B$40, CONCAT(VLOOKUP($C64, 'Match Names'!$A$1:$D$22, 2, FALSE), ""!C3:R29"")), {4;9;15;21}, FALSE)), ""=4"") + COUNTIF(ARRAYFORMULA(HLOOKUP($B64, IMPORTRANGE('Prelim Rankings Unsor"&amp;"ted'!$B$41, CONCAT(VLOOKUP($C64, 'Match Names'!$A$1:$D$22, 3, FALSE), ""!C3:R29"")), {7;13;19;24}, FALSE)), ""=4"") + COUNTIF(ARRAYFORMULA(HLOOKUP($B64, IMPORTRANGE('Prelim Rankings Unsorted'!$B$42, CONCAT(VLOOKUP($C64, 'Match Names'!$A$1:$D$22, 4, FALSE)"&amp;", ""!C3:R29"")), {7;13;19;24}, FALSE)), ""=4"") + COUNTIF(ARRAYFORMULA(HLOOKUP($B64, IMPORTRANGE('Match Names'!$E$23, CONCAT(VLOOKUP($C64, 'Match Names'!$1:$22, 5, FALSE), ""!C3:R29"")), {2;8;12;22}, FALSE)), ""=4"") + COUNTIF(ARRAYFORMULA(HLOOKUP($B64, I"&amp;"MPORTRANGE('Match Names'!$F$23, CONCAT(VLOOKUP($C64, 'Match Names'!$1:$22, 6, FALSE), ""!C3:R29"")), {3;9;15;21}, FALSE)), ""=4"") + COUNTIF(ARRAYFORMULA(HLOOKUP($B64, IMPORTRANGE('Match Names'!$G$23, CONCAT(VLOOKUP($C64, 'Match Names'!$1:$22, 7, FALSE), "&amp;"""!C3:R29"")), {3;8;12;18}, FALSE)), ""=4"") + COUNTIF(ARRAYFORMULA(HLOOKUP($B64, IMPORTRANGE('Match Names'!$H$23, CONCAT(VLOOKUP($C64, 'Match Names'!$1:$22, 8, FALSE), ""!C3:R29"")), {7;13;19;24}, FALSE)), ""=4"")"),1.0)</f>
        <v>1</v>
      </c>
      <c r="F64" s="32">
        <f>IFERROR(__xludf.DUMMYFUNCTION("COUNTIF(ARRAYFORMULA(HLOOKUP($B64, IMPORTRANGE('Prelim Rankings Unsorted'!$B$40, CONCAT(VLOOKUP($C64, 'Match Names'!$A$1:$D$22, 2, FALSE), ""!C3:R29"")), {4;9;15;21}, FALSE)), ""=0"") + COUNTIF(ARRAYFORMULA(HLOOKUP($B64, IMPORTRANGE('Prelim Rankings Unsor"&amp;"ted'!$B$41, CONCAT(VLOOKUP($C64, 'Match Names'!$A$1:$D$22, 3, FALSE), ""!C3:R29"")), {7;13;19;24}, FALSE)), ""=0"") + COUNTIF(ARRAYFORMULA(HLOOKUP($B64, IMPORTRANGE('Prelim Rankings Unsorted'!$B$42, CONCAT(VLOOKUP($C64, 'Match Names'!$A$1:$D$22, 4, FALSE)"&amp;", ""!C3:R29"")), {7;13;19;24}, FALSE)), ""=0"") + COUNTIF(ARRAYFORMULA(HLOOKUP($B64, IMPORTRANGE('Match Names'!$E$23, CONCAT(VLOOKUP($C64, 'Match Names'!$1:$22, 5, FALSE), ""!C3:R29"")), {2;8;12;22}, FALSE)), ""=0"") + COUNTIF(ARRAYFORMULA(HLOOKUP($B64, I"&amp;"MPORTRANGE('Match Names'!$F$23, CONCAT(VLOOKUP($C64, 'Match Names'!$1:$22, 6, FALSE), ""!C3:R29"")), {3;9;15;21}, FALSE)), ""=0"") + COUNTIF(ARRAYFORMULA(HLOOKUP($B64, IMPORTRANGE('Match Names'!$G$23, CONCAT(VLOOKUP($C64, 'Match Names'!$1:$22, 7, FALSE), "&amp;"""!C3:R29"")), {3;8;12;18}, FALSE)), ""=0"") + COUNTIF(ARRAYFORMULA(HLOOKUP($B64, IMPORTRANGE('Match Names'!$H$23, CONCAT(VLOOKUP($C64, 'Match Names'!$1:$22, 8, FALSE), ""!C3:R29"")), {7;13;19;24}, FALSE)), ""=0"")"),0.0)</f>
        <v>0</v>
      </c>
      <c r="G64" s="32">
        <f>IFERROR(__xludf.DUMMYFUNCTION("COUNTIF(ARRAYFORMULA(HLOOKUP($B64, IMPORTRANGE('Prelim Rankings Unsorted'!$B$40, CONCAT(VLOOKUP($C64, 'Match Names'!$A$1:$D$22, 2, FALSE), ""!C3:R29"")), {4;9;15;21}, FALSE)), ""=-4"") + COUNTIF(ARRAYFORMULA(HLOOKUP($B64, IMPORTRANGE('Prelim Rankings Unso"&amp;"rted'!$B$41, CONCAT(VLOOKUP($C64, 'Match Names'!$A$1:$D$22, 3, FALSE), ""!C3:R29"")), {7;13;19;24}, FALSE)), ""=-4"") + COUNTIF(ARRAYFORMULA(HLOOKUP($B64, IMPORTRANGE('Prelim Rankings Unsorted'!$B$42, CONCAT(VLOOKUP($C64, 'Match Names'!$A$1:$D$22, 4, FALS"&amp;"E), ""!C3:R29"")), {7;13;19;24}, FALSE)), ""=-4"") + COUNTIF(ARRAYFORMULA(HLOOKUP($B64, IMPORTRANGE('Match Names'!$E$23, CONCAT(VLOOKUP($C64, 'Match Names'!$1:$22, 5, FALSE), ""!C3:R29"")), {2;8;12;22}, FALSE)), ""=-4"") + COUNTIF(ARRAYFORMULA(HLOOKUP($B6"&amp;"4, IMPORTRANGE('Match Names'!$F$23, CONCAT(VLOOKUP($C64, 'Match Names'!$1:$22, 6, FALSE), ""!C3:R29"")), {3;9;15;21}, FALSE)), ""=-4"") + COUNTIF(ARRAYFORMULA(HLOOKUP($B64, IMPORTRANGE('Match Names'!$G$23, CONCAT(VLOOKUP($C64, 'Match Names'!$1:$22, 7, FAL"&amp;"SE), ""!C3:R29"")), {3;8;12;18}, FALSE)), ""=-4"") + COUNTIF(ARRAYFORMULA(HLOOKUP($B64, IMPORTRANGE('Match Names'!$H$23, CONCAT(VLOOKUP($C64, 'Match Names'!$1:$22, 8, FALSE), ""!C3:R29"")), {7;13;19;24}, FALSE)), ""=-4"")"),0.0)</f>
        <v>0</v>
      </c>
      <c r="H64" s="33">
        <f t="shared" si="1"/>
        <v>0.67</v>
      </c>
    </row>
    <row r="65">
      <c r="A65" s="21" t="s">
        <v>99</v>
      </c>
      <c r="B65" s="7" t="str">
        <f>VLOOKUP(CONCAT(A65, C65), 'Discord Username to Real Name'!C:D, 2, FALSE)</f>
        <v>prr#4609</v>
      </c>
      <c r="C65" s="21" t="s">
        <v>22</v>
      </c>
      <c r="D65" s="32">
        <f>IFERROR(__xludf.DUMMYFUNCTION("(4 - COUNTIF(IFERROR(ARRAYFORMULA(HLOOKUP($B65, IMPORTRANGE('Prelim Rankings Unsorted'!$B$40, CONCAT(VLOOKUP($C65, 'Match Names'!$A$1:$D$22, 2, FALSE), ""!C3:R29"")), {4;9;15;21}, FALSE)), 'Player Overall Stats Unsorted'!$AA$9:$AA$12), ""=X"")) + (4 - COU"&amp;"NTIF(IFERROR(ARRAYFORMULA(HLOOKUP($B65, IMPORTRANGE('Prelim Rankings Unsorted'!$B$41, CONCAT(VLOOKUP($C65, 'Match Names'!$A$1:$D$22, 3, FALSE), ""!C3:R29"")), {7;13;19;24}, FALSE)), 'Player Overall Stats Unsorted'!$AA$9:$AA$12), ""=X"")) + (4 - COUNTIF(IF"&amp;"ERROR(ARRAYFORMULA(HLOOKUP($B65, IMPORTRANGE('Prelim Rankings Unsorted'!$B$42, CONCAT(VLOOKUP($C65, 'Match Names'!$A$1:$D$22, 4, FALSE), ""!C3:R29"")), {7;13;19;24}, FALSE)), 'Player Overall Stats Unsorted'!$AA$9:$AA$12), ""=X"")) + (4 - COUNTIF(IFERROR(A"&amp;"RRAYFORMULA(HLOOKUP($B65, IMPORTRANGE('Match Names'!$E$23, CONCAT(VLOOKUP($C65, 'Match Names'!$1:$22, 5, FALSE), ""!C3:R29"")), {2;8;12;22}, FALSE)), 'Player Overall Stats Unsorted'!$AA$9:$AA$12), ""=X"")) + (4 - COUNTIF(IFERROR(ARRAYFORMULA(HLOOKUP($B65,"&amp;" IMPORTRANGE('Match Names'!$F$23, CONCAT(VLOOKUP($C65, 'Match Names'!$1:$22, 6, FALSE), ""!C3:R29"")), {3;9;15;21}, FALSE)), 'Player Overall Stats Unsorted'!$AA$9:$AA$12), ""=X"")) + (4 - COUNTIF(IFERROR(ARRAYFORMULA(HLOOKUP($B65, IMPORTRANGE('Match Names"&amp;"'!$G$23, CONCAT(VLOOKUP($C65, 'Match Names'!$1:$22, 7, FALSE), ""!C3:R29"")), {3;8;12;18}, FALSE)), 'Player Overall Stats Unsorted'!$AA$9:$AA$12), ""=X"")) + (4 - COUNTIF(IFERROR(ARRAYFORMULA(HLOOKUP($B65, IMPORTRANGE('Match Names'!$H$23, CONCAT(VLOOKUP($"&amp;"C65, 'Match Names'!$1:$22, 8, FALSE), ""!C3:R29"")), {7;13;19;24}, FALSE)), 'Player Overall Stats Unsorted'!$AA$9:$AA$12), ""=X""))"),19.0)</f>
        <v>19</v>
      </c>
      <c r="E65" s="32">
        <f>IFERROR(__xludf.DUMMYFUNCTION("COUNTIF(ARRAYFORMULA(HLOOKUP($B65, IMPORTRANGE('Prelim Rankings Unsorted'!$B$40, CONCAT(VLOOKUP($C65, 'Match Names'!$A$1:$D$22, 2, FALSE), ""!C3:R29"")), {4;9;15;21}, FALSE)), ""=4"") + COUNTIF(ARRAYFORMULA(HLOOKUP($B65, IMPORTRANGE('Prelim Rankings Unsor"&amp;"ted'!$B$41, CONCAT(VLOOKUP($C65, 'Match Names'!$A$1:$D$22, 3, FALSE), ""!C3:R29"")), {7;13;19;24}, FALSE)), ""=4"") + COUNTIF(ARRAYFORMULA(HLOOKUP($B65, IMPORTRANGE('Prelim Rankings Unsorted'!$B$42, CONCAT(VLOOKUP($C65, 'Match Names'!$A$1:$D$22, 4, FALSE)"&amp;", ""!C3:R29"")), {7;13;19;24}, FALSE)), ""=4"") + COUNTIF(ARRAYFORMULA(HLOOKUP($B65, IMPORTRANGE('Match Names'!$E$23, CONCAT(VLOOKUP($C65, 'Match Names'!$1:$22, 5, FALSE), ""!C3:R29"")), {2;8;12;22}, FALSE)), ""=4"") + COUNTIF(ARRAYFORMULA(HLOOKUP($B65, I"&amp;"MPORTRANGE('Match Names'!$F$23, CONCAT(VLOOKUP($C65, 'Match Names'!$1:$22, 6, FALSE), ""!C3:R29"")), {3;9;15;21}, FALSE)), ""=4"") + COUNTIF(ARRAYFORMULA(HLOOKUP($B65, IMPORTRANGE('Match Names'!$G$23, CONCAT(VLOOKUP($C65, 'Match Names'!$1:$22, 7, FALSE), "&amp;"""!C3:R29"")), {3;8;12;18}, FALSE)), ""=4"") + COUNTIF(ARRAYFORMULA(HLOOKUP($B65, IMPORTRANGE('Match Names'!$H$23, CONCAT(VLOOKUP($C65, 'Match Names'!$1:$22, 8, FALSE), ""!C3:R29"")), {7;13;19;24}, FALSE)), ""=4"")"),1.0)</f>
        <v>1</v>
      </c>
      <c r="F65" s="32">
        <f>IFERROR(__xludf.DUMMYFUNCTION("COUNTIF(ARRAYFORMULA(HLOOKUP($B65, IMPORTRANGE('Prelim Rankings Unsorted'!$B$40, CONCAT(VLOOKUP($C65, 'Match Names'!$A$1:$D$22, 2, FALSE), ""!C3:R29"")), {4;9;15;21}, FALSE)), ""=0"") + COUNTIF(ARRAYFORMULA(HLOOKUP($B65, IMPORTRANGE('Prelim Rankings Unsor"&amp;"ted'!$B$41, CONCAT(VLOOKUP($C65, 'Match Names'!$A$1:$D$22, 3, FALSE), ""!C3:R29"")), {7;13;19;24}, FALSE)), ""=0"") + COUNTIF(ARRAYFORMULA(HLOOKUP($B65, IMPORTRANGE('Prelim Rankings Unsorted'!$B$42, CONCAT(VLOOKUP($C65, 'Match Names'!$A$1:$D$22, 4, FALSE)"&amp;", ""!C3:R29"")), {7;13;19;24}, FALSE)), ""=0"") + COUNTIF(ARRAYFORMULA(HLOOKUP($B65, IMPORTRANGE('Match Names'!$E$23, CONCAT(VLOOKUP($C65, 'Match Names'!$1:$22, 5, FALSE), ""!C3:R29"")), {2;8;12;22}, FALSE)), ""=0"") + COUNTIF(ARRAYFORMULA(HLOOKUP($B65, I"&amp;"MPORTRANGE('Match Names'!$F$23, CONCAT(VLOOKUP($C65, 'Match Names'!$1:$22, 6, FALSE), ""!C3:R29"")), {3;9;15;21}, FALSE)), ""=0"") + COUNTIF(ARRAYFORMULA(HLOOKUP($B65, IMPORTRANGE('Match Names'!$G$23, CONCAT(VLOOKUP($C65, 'Match Names'!$1:$22, 7, FALSE), "&amp;"""!C3:R29"")), {3;8;12;18}, FALSE)), ""=0"") + COUNTIF(ARRAYFORMULA(HLOOKUP($B65, IMPORTRANGE('Match Names'!$H$23, CONCAT(VLOOKUP($C65, 'Match Names'!$1:$22, 8, FALSE), ""!C3:R29"")), {7;13;19;24}, FALSE)), ""=0"")"),2.0)</f>
        <v>2</v>
      </c>
      <c r="G65" s="32">
        <f>IFERROR(__xludf.DUMMYFUNCTION("COUNTIF(ARRAYFORMULA(HLOOKUP($B65, IMPORTRANGE('Prelim Rankings Unsorted'!$B$40, CONCAT(VLOOKUP($C65, 'Match Names'!$A$1:$D$22, 2, FALSE), ""!C3:R29"")), {4;9;15;21}, FALSE)), ""=-4"") + COUNTIF(ARRAYFORMULA(HLOOKUP($B65, IMPORTRANGE('Prelim Rankings Unso"&amp;"rted'!$B$41, CONCAT(VLOOKUP($C65, 'Match Names'!$A$1:$D$22, 3, FALSE), ""!C3:R29"")), {7;13;19;24}, FALSE)), ""=-4"") + COUNTIF(ARRAYFORMULA(HLOOKUP($B65, IMPORTRANGE('Prelim Rankings Unsorted'!$B$42, CONCAT(VLOOKUP($C65, 'Match Names'!$A$1:$D$22, 4, FALS"&amp;"E), ""!C3:R29"")), {7;13;19;24}, FALSE)), ""=-4"") + COUNTIF(ARRAYFORMULA(HLOOKUP($B65, IMPORTRANGE('Match Names'!$E$23, CONCAT(VLOOKUP($C65, 'Match Names'!$1:$22, 5, FALSE), ""!C3:R29"")), {2;8;12;22}, FALSE)), ""=-4"") + COUNTIF(ARRAYFORMULA(HLOOKUP($B6"&amp;"5, IMPORTRANGE('Match Names'!$F$23, CONCAT(VLOOKUP($C65, 'Match Names'!$1:$22, 6, FALSE), ""!C3:R29"")), {3;9;15;21}, FALSE)), ""=-4"") + COUNTIF(ARRAYFORMULA(HLOOKUP($B65, IMPORTRANGE('Match Names'!$G$23, CONCAT(VLOOKUP($C65, 'Match Names'!$1:$22, 7, FAL"&amp;"SE), ""!C3:R29"")), {3;8;12;18}, FALSE)), ""=-4"") + COUNTIF(ARRAYFORMULA(HLOOKUP($B65, IMPORTRANGE('Match Names'!$H$23, CONCAT(VLOOKUP($C65, 'Match Names'!$1:$22, 8, FALSE), ""!C3:R29"")), {7;13;19;24}, FALSE)), ""=-4"")"),0.0)</f>
        <v>0</v>
      </c>
      <c r="H65" s="33">
        <f t="shared" si="1"/>
        <v>0.84</v>
      </c>
    </row>
    <row r="66">
      <c r="A66" s="21" t="s">
        <v>174</v>
      </c>
      <c r="B66" s="7" t="str">
        <f>VLOOKUP(CONCAT(A66, C66), 'Discord Username to Real Name'!C:D, 2, FALSE)</f>
        <v>Static#2349</v>
      </c>
      <c r="C66" s="21" t="s">
        <v>22</v>
      </c>
      <c r="D66" s="32">
        <f>IFERROR(__xludf.DUMMYFUNCTION("(4 - COUNTIF(IFERROR(ARRAYFORMULA(HLOOKUP($B66, IMPORTRANGE('Prelim Rankings Unsorted'!$B$40, CONCAT(VLOOKUP($C66, 'Match Names'!$A$1:$D$22, 2, FALSE), ""!C3:R29"")), {4;9;15;21}, FALSE)), 'Player Overall Stats Unsorted'!$AA$9:$AA$12), ""=X"")) + (4 - COU"&amp;"NTIF(IFERROR(ARRAYFORMULA(HLOOKUP($B66, IMPORTRANGE('Prelim Rankings Unsorted'!$B$41, CONCAT(VLOOKUP($C66, 'Match Names'!$A$1:$D$22, 3, FALSE), ""!C3:R29"")), {7;13;19;24}, FALSE)), 'Player Overall Stats Unsorted'!$AA$9:$AA$12), ""=X"")) + (4 - COUNTIF(IF"&amp;"ERROR(ARRAYFORMULA(HLOOKUP($B66, IMPORTRANGE('Prelim Rankings Unsorted'!$B$42, CONCAT(VLOOKUP($C66, 'Match Names'!$A$1:$D$22, 4, FALSE), ""!C3:R29"")), {7;13;19;24}, FALSE)), 'Player Overall Stats Unsorted'!$AA$9:$AA$12), ""=X"")) + (4 - COUNTIF(IFERROR(A"&amp;"RRAYFORMULA(HLOOKUP($B66, IMPORTRANGE('Match Names'!$E$23, CONCAT(VLOOKUP($C66, 'Match Names'!$1:$22, 5, FALSE), ""!C3:R29"")), {2;8;12;22}, FALSE)), 'Player Overall Stats Unsorted'!$AA$9:$AA$12), ""=X"")) + (4 - COUNTIF(IFERROR(ARRAYFORMULA(HLOOKUP($B66,"&amp;" IMPORTRANGE('Match Names'!$F$23, CONCAT(VLOOKUP($C66, 'Match Names'!$1:$22, 6, FALSE), ""!C3:R29"")), {3;9;15;21}, FALSE)), 'Player Overall Stats Unsorted'!$AA$9:$AA$12), ""=X"")) + (4 - COUNTIF(IFERROR(ARRAYFORMULA(HLOOKUP($B66, IMPORTRANGE('Match Names"&amp;"'!$G$23, CONCAT(VLOOKUP($C66, 'Match Names'!$1:$22, 7, FALSE), ""!C3:R29"")), {3;8;12;18}, FALSE)), 'Player Overall Stats Unsorted'!$AA$9:$AA$12), ""=X"")) + (4 - COUNTIF(IFERROR(ARRAYFORMULA(HLOOKUP($B66, IMPORTRANGE('Match Names'!$H$23, CONCAT(VLOOKUP($"&amp;"C66, 'Match Names'!$1:$22, 8, FALSE), ""!C3:R29"")), {7;13;19;24}, FALSE)), 'Player Overall Stats Unsorted'!$AA$9:$AA$12), ""=X""))"),15.0)</f>
        <v>15</v>
      </c>
      <c r="E66" s="32">
        <f>IFERROR(__xludf.DUMMYFUNCTION("COUNTIF(ARRAYFORMULA(HLOOKUP($B66, IMPORTRANGE('Prelim Rankings Unsorted'!$B$40, CONCAT(VLOOKUP($C66, 'Match Names'!$A$1:$D$22, 2, FALSE), ""!C3:R29"")), {4;9;15;21}, FALSE)), ""=4"") + COUNTIF(ARRAYFORMULA(HLOOKUP($B66, IMPORTRANGE('Prelim Rankings Unsor"&amp;"ted'!$B$41, CONCAT(VLOOKUP($C66, 'Match Names'!$A$1:$D$22, 3, FALSE), ""!C3:R29"")), {7;13;19;24}, FALSE)), ""=4"") + COUNTIF(ARRAYFORMULA(HLOOKUP($B66, IMPORTRANGE('Prelim Rankings Unsorted'!$B$42, CONCAT(VLOOKUP($C66, 'Match Names'!$A$1:$D$22, 4, FALSE)"&amp;", ""!C3:R29"")), {7;13;19;24}, FALSE)), ""=4"") + COUNTIF(ARRAYFORMULA(HLOOKUP($B66, IMPORTRANGE('Match Names'!$E$23, CONCAT(VLOOKUP($C66, 'Match Names'!$1:$22, 5, FALSE), ""!C3:R29"")), {2;8;12;22}, FALSE)), ""=4"") + COUNTIF(ARRAYFORMULA(HLOOKUP($B66, I"&amp;"MPORTRANGE('Match Names'!$F$23, CONCAT(VLOOKUP($C66, 'Match Names'!$1:$22, 6, FALSE), ""!C3:R29"")), {3;9;15;21}, FALSE)), ""=4"") + COUNTIF(ARRAYFORMULA(HLOOKUP($B66, IMPORTRANGE('Match Names'!$G$23, CONCAT(VLOOKUP($C66, 'Match Names'!$1:$22, 7, FALSE), "&amp;"""!C3:R29"")), {3;8;12;18}, FALSE)), ""=4"") + COUNTIF(ARRAYFORMULA(HLOOKUP($B66, IMPORTRANGE('Match Names'!$H$23, CONCAT(VLOOKUP($C66, 'Match Names'!$1:$22, 8, FALSE), ""!C3:R29"")), {7;13;19;24}, FALSE)), ""=4"")"),0.0)</f>
        <v>0</v>
      </c>
      <c r="F66" s="32">
        <f>IFERROR(__xludf.DUMMYFUNCTION("COUNTIF(ARRAYFORMULA(HLOOKUP($B66, IMPORTRANGE('Prelim Rankings Unsorted'!$B$40, CONCAT(VLOOKUP($C66, 'Match Names'!$A$1:$D$22, 2, FALSE), ""!C3:R29"")), {4;9;15;21}, FALSE)), ""=0"") + COUNTIF(ARRAYFORMULA(HLOOKUP($B66, IMPORTRANGE('Prelim Rankings Unsor"&amp;"ted'!$B$41, CONCAT(VLOOKUP($C66, 'Match Names'!$A$1:$D$22, 3, FALSE), ""!C3:R29"")), {7;13;19;24}, FALSE)), ""=0"") + COUNTIF(ARRAYFORMULA(HLOOKUP($B66, IMPORTRANGE('Prelim Rankings Unsorted'!$B$42, CONCAT(VLOOKUP($C66, 'Match Names'!$A$1:$D$22, 4, FALSE)"&amp;", ""!C3:R29"")), {7;13;19;24}, FALSE)), ""=0"") + COUNTIF(ARRAYFORMULA(HLOOKUP($B66, IMPORTRANGE('Match Names'!$E$23, CONCAT(VLOOKUP($C66, 'Match Names'!$1:$22, 5, FALSE), ""!C3:R29"")), {2;8;12;22}, FALSE)), ""=0"") + COUNTIF(ARRAYFORMULA(HLOOKUP($B66, I"&amp;"MPORTRANGE('Match Names'!$F$23, CONCAT(VLOOKUP($C66, 'Match Names'!$1:$22, 6, FALSE), ""!C3:R29"")), {3;9;15;21}, FALSE)), ""=0"") + COUNTIF(ARRAYFORMULA(HLOOKUP($B66, IMPORTRANGE('Match Names'!$G$23, CONCAT(VLOOKUP($C66, 'Match Names'!$1:$22, 7, FALSE), "&amp;"""!C3:R29"")), {3;8;12;18}, FALSE)), ""=0"") + COUNTIF(ARRAYFORMULA(HLOOKUP($B66, IMPORTRANGE('Match Names'!$H$23, CONCAT(VLOOKUP($C66, 'Match Names'!$1:$22, 8, FALSE), ""!C3:R29"")), {7;13;19;24}, FALSE)), ""=0"")"),0.0)</f>
        <v>0</v>
      </c>
      <c r="G66" s="32">
        <f>IFERROR(__xludf.DUMMYFUNCTION("COUNTIF(ARRAYFORMULA(HLOOKUP($B66, IMPORTRANGE('Prelim Rankings Unsorted'!$B$40, CONCAT(VLOOKUP($C66, 'Match Names'!$A$1:$D$22, 2, FALSE), ""!C3:R29"")), {4;9;15;21}, FALSE)), ""=-4"") + COUNTIF(ARRAYFORMULA(HLOOKUP($B66, IMPORTRANGE('Prelim Rankings Unso"&amp;"rted'!$B$41, CONCAT(VLOOKUP($C66, 'Match Names'!$A$1:$D$22, 3, FALSE), ""!C3:R29"")), {7;13;19;24}, FALSE)), ""=-4"") + COUNTIF(ARRAYFORMULA(HLOOKUP($B66, IMPORTRANGE('Prelim Rankings Unsorted'!$B$42, CONCAT(VLOOKUP($C66, 'Match Names'!$A$1:$D$22, 4, FALS"&amp;"E), ""!C3:R29"")), {7;13;19;24}, FALSE)), ""=-4"") + COUNTIF(ARRAYFORMULA(HLOOKUP($B66, IMPORTRANGE('Match Names'!$E$23, CONCAT(VLOOKUP($C66, 'Match Names'!$1:$22, 5, FALSE), ""!C3:R29"")), {2;8;12;22}, FALSE)), ""=-4"") + COUNTIF(ARRAYFORMULA(HLOOKUP($B6"&amp;"6, IMPORTRANGE('Match Names'!$F$23, CONCAT(VLOOKUP($C66, 'Match Names'!$1:$22, 6, FALSE), ""!C3:R29"")), {3;9;15;21}, FALSE)), ""=-4"") + COUNTIF(ARRAYFORMULA(HLOOKUP($B66, IMPORTRANGE('Match Names'!$G$23, CONCAT(VLOOKUP($C66, 'Match Names'!$1:$22, 7, FAL"&amp;"SE), ""!C3:R29"")), {3;8;12;18}, FALSE)), ""=-4"") + COUNTIF(ARRAYFORMULA(HLOOKUP($B66, IMPORTRANGE('Match Names'!$H$23, CONCAT(VLOOKUP($C66, 'Match Names'!$1:$22, 8, FALSE), ""!C3:R29"")), {7;13;19;24}, FALSE)), ""=-4"")"),0.0)</f>
        <v>0</v>
      </c>
      <c r="H66" s="33">
        <f t="shared" si="1"/>
        <v>0</v>
      </c>
    </row>
    <row r="67">
      <c r="A67" s="21" t="s">
        <v>79</v>
      </c>
      <c r="B67" s="7" t="str">
        <f>VLOOKUP(CONCAT(A67, C67), 'Discord Username to Real Name'!C:D, 2, FALSE)</f>
        <v>Serferducter#1979</v>
      </c>
      <c r="C67" s="21" t="s">
        <v>22</v>
      </c>
      <c r="D67" s="32">
        <f>IFERROR(__xludf.DUMMYFUNCTION("(4 - COUNTIF(IFERROR(ARRAYFORMULA(HLOOKUP($B67, IMPORTRANGE('Prelim Rankings Unsorted'!$B$40, CONCAT(VLOOKUP($C67, 'Match Names'!$A$1:$D$22, 2, FALSE), ""!C3:R29"")), {4;9;15;21}, FALSE)), 'Player Overall Stats Unsorted'!$AA$9:$AA$12), ""=X"")) + (4 - COU"&amp;"NTIF(IFERROR(ARRAYFORMULA(HLOOKUP($B67, IMPORTRANGE('Prelim Rankings Unsorted'!$B$41, CONCAT(VLOOKUP($C67, 'Match Names'!$A$1:$D$22, 3, FALSE), ""!C3:R29"")), {7;13;19;24}, FALSE)), 'Player Overall Stats Unsorted'!$AA$9:$AA$12), ""=X"")) + (4 - COUNTIF(IF"&amp;"ERROR(ARRAYFORMULA(HLOOKUP($B67, IMPORTRANGE('Prelim Rankings Unsorted'!$B$42, CONCAT(VLOOKUP($C67, 'Match Names'!$A$1:$D$22, 4, FALSE), ""!C3:R29"")), {7;13;19;24}, FALSE)), 'Player Overall Stats Unsorted'!$AA$9:$AA$12), ""=X"")) + (4 - COUNTIF(IFERROR(A"&amp;"RRAYFORMULA(HLOOKUP($B67, IMPORTRANGE('Match Names'!$E$23, CONCAT(VLOOKUP($C67, 'Match Names'!$1:$22, 5, FALSE), ""!C3:R29"")), {2;8;12;22}, FALSE)), 'Player Overall Stats Unsorted'!$AA$9:$AA$12), ""=X"")) + (4 - COUNTIF(IFERROR(ARRAYFORMULA(HLOOKUP($B67,"&amp;" IMPORTRANGE('Match Names'!$F$23, CONCAT(VLOOKUP($C67, 'Match Names'!$1:$22, 6, FALSE), ""!C3:R29"")), {3;9;15;21}, FALSE)), 'Player Overall Stats Unsorted'!$AA$9:$AA$12), ""=X"")) + (4 - COUNTIF(IFERROR(ARRAYFORMULA(HLOOKUP($B67, IMPORTRANGE('Match Names"&amp;"'!$G$23, CONCAT(VLOOKUP($C67, 'Match Names'!$1:$22, 7, FALSE), ""!C3:R29"")), {3;8;12;18}, FALSE)), 'Player Overall Stats Unsorted'!$AA$9:$AA$12), ""=X"")) + (4 - COUNTIF(IFERROR(ARRAYFORMULA(HLOOKUP($B67, IMPORTRANGE('Match Names'!$H$23, CONCAT(VLOOKUP($"&amp;"C67, 'Match Names'!$1:$22, 8, FALSE), ""!C3:R29"")), {7;13;19;24}, FALSE)), 'Player Overall Stats Unsorted'!$AA$9:$AA$12), ""=X""))"),22.0)</f>
        <v>22</v>
      </c>
      <c r="E67" s="32">
        <f>IFERROR(__xludf.DUMMYFUNCTION("COUNTIF(ARRAYFORMULA(HLOOKUP($B67, IMPORTRANGE('Prelim Rankings Unsorted'!$B$40, CONCAT(VLOOKUP($C67, 'Match Names'!$A$1:$D$22, 2, FALSE), ""!C3:R29"")), {4;9;15;21}, FALSE)), ""=4"") + COUNTIF(ARRAYFORMULA(HLOOKUP($B67, IMPORTRANGE('Prelim Rankings Unsor"&amp;"ted'!$B$41, CONCAT(VLOOKUP($C67, 'Match Names'!$A$1:$D$22, 3, FALSE), ""!C3:R29"")), {7;13;19;24}, FALSE)), ""=4"") + COUNTIF(ARRAYFORMULA(HLOOKUP($B67, IMPORTRANGE('Prelim Rankings Unsorted'!$B$42, CONCAT(VLOOKUP($C67, 'Match Names'!$A$1:$D$22, 4, FALSE)"&amp;", ""!C3:R29"")), {7;13;19;24}, FALSE)), ""=4"") + COUNTIF(ARRAYFORMULA(HLOOKUP($B67, IMPORTRANGE('Match Names'!$E$23, CONCAT(VLOOKUP($C67, 'Match Names'!$1:$22, 5, FALSE), ""!C3:R29"")), {2;8;12;22}, FALSE)), ""=4"") + COUNTIF(ARRAYFORMULA(HLOOKUP($B67, I"&amp;"MPORTRANGE('Match Names'!$F$23, CONCAT(VLOOKUP($C67, 'Match Names'!$1:$22, 6, FALSE), ""!C3:R29"")), {3;9;15;21}, FALSE)), ""=4"") + COUNTIF(ARRAYFORMULA(HLOOKUP($B67, IMPORTRANGE('Match Names'!$G$23, CONCAT(VLOOKUP($C67, 'Match Names'!$1:$22, 7, FALSE), "&amp;"""!C3:R29"")), {3;8;12;18}, FALSE)), ""=4"") + COUNTIF(ARRAYFORMULA(HLOOKUP($B67, IMPORTRANGE('Match Names'!$H$23, CONCAT(VLOOKUP($C67, 'Match Names'!$1:$22, 8, FALSE), ""!C3:R29"")), {7;13;19;24}, FALSE)), ""=4"")"),3.0)</f>
        <v>3</v>
      </c>
      <c r="F67" s="32">
        <f>IFERROR(__xludf.DUMMYFUNCTION("COUNTIF(ARRAYFORMULA(HLOOKUP($B67, IMPORTRANGE('Prelim Rankings Unsorted'!$B$40, CONCAT(VLOOKUP($C67, 'Match Names'!$A$1:$D$22, 2, FALSE), ""!C3:R29"")), {4;9;15;21}, FALSE)), ""=0"") + COUNTIF(ARRAYFORMULA(HLOOKUP($B67, IMPORTRANGE('Prelim Rankings Unsor"&amp;"ted'!$B$41, CONCAT(VLOOKUP($C67, 'Match Names'!$A$1:$D$22, 3, FALSE), ""!C3:R29"")), {7;13;19;24}, FALSE)), ""=0"") + COUNTIF(ARRAYFORMULA(HLOOKUP($B67, IMPORTRANGE('Prelim Rankings Unsorted'!$B$42, CONCAT(VLOOKUP($C67, 'Match Names'!$A$1:$D$22, 4, FALSE)"&amp;", ""!C3:R29"")), {7;13;19;24}, FALSE)), ""=0"") + COUNTIF(ARRAYFORMULA(HLOOKUP($B67, IMPORTRANGE('Match Names'!$E$23, CONCAT(VLOOKUP($C67, 'Match Names'!$1:$22, 5, FALSE), ""!C3:R29"")), {2;8;12;22}, FALSE)), ""=0"") + COUNTIF(ARRAYFORMULA(HLOOKUP($B67, I"&amp;"MPORTRANGE('Match Names'!$F$23, CONCAT(VLOOKUP($C67, 'Match Names'!$1:$22, 6, FALSE), ""!C3:R29"")), {3;9;15;21}, FALSE)), ""=0"") + COUNTIF(ARRAYFORMULA(HLOOKUP($B67, IMPORTRANGE('Match Names'!$G$23, CONCAT(VLOOKUP($C67, 'Match Names'!$1:$22, 7, FALSE), "&amp;"""!C3:R29"")), {3;8;12;18}, FALSE)), ""=0"") + COUNTIF(ARRAYFORMULA(HLOOKUP($B67, IMPORTRANGE('Match Names'!$H$23, CONCAT(VLOOKUP($C67, 'Match Names'!$1:$22, 8, FALSE), ""!C3:R29"")), {7;13;19;24}, FALSE)), ""=0"")"),7.0)</f>
        <v>7</v>
      </c>
      <c r="G67" s="32">
        <f>IFERROR(__xludf.DUMMYFUNCTION("COUNTIF(ARRAYFORMULA(HLOOKUP($B67, IMPORTRANGE('Prelim Rankings Unsorted'!$B$40, CONCAT(VLOOKUP($C67, 'Match Names'!$A$1:$D$22, 2, FALSE), ""!C3:R29"")), {4;9;15;21}, FALSE)), ""=-4"") + COUNTIF(ARRAYFORMULA(HLOOKUP($B67, IMPORTRANGE('Prelim Rankings Unso"&amp;"rted'!$B$41, CONCAT(VLOOKUP($C67, 'Match Names'!$A$1:$D$22, 3, FALSE), ""!C3:R29"")), {7;13;19;24}, FALSE)), ""=-4"") + COUNTIF(ARRAYFORMULA(HLOOKUP($B67, IMPORTRANGE('Prelim Rankings Unsorted'!$B$42, CONCAT(VLOOKUP($C67, 'Match Names'!$A$1:$D$22, 4, FALS"&amp;"E), ""!C3:R29"")), {7;13;19;24}, FALSE)), ""=-4"") + COUNTIF(ARRAYFORMULA(HLOOKUP($B67, IMPORTRANGE('Match Names'!$E$23, CONCAT(VLOOKUP($C67, 'Match Names'!$1:$22, 5, FALSE), ""!C3:R29"")), {2;8;12;22}, FALSE)), ""=-4"") + COUNTIF(ARRAYFORMULA(HLOOKUP($B6"&amp;"7, IMPORTRANGE('Match Names'!$F$23, CONCAT(VLOOKUP($C67, 'Match Names'!$1:$22, 6, FALSE), ""!C3:R29"")), {3;9;15;21}, FALSE)), ""=-4"") + COUNTIF(ARRAYFORMULA(HLOOKUP($B67, IMPORTRANGE('Match Names'!$G$23, CONCAT(VLOOKUP($C67, 'Match Names'!$1:$22, 7, FAL"&amp;"SE), ""!C3:R29"")), {3;8;12;18}, FALSE)), ""=-4"") + COUNTIF(ARRAYFORMULA(HLOOKUP($B67, IMPORTRANGE('Match Names'!$H$23, CONCAT(VLOOKUP($C67, 'Match Names'!$1:$22, 8, FALSE), ""!C3:R29"")), {7;13;19;24}, FALSE)), ""=-4"")"),1.0)</f>
        <v>1</v>
      </c>
      <c r="H67" s="33">
        <f t="shared" si="1"/>
        <v>1.45</v>
      </c>
    </row>
    <row r="68">
      <c r="A68" s="21" t="s">
        <v>93</v>
      </c>
      <c r="B68" s="7" t="str">
        <f>VLOOKUP(CONCAT(A68, C68), 'Discord Username to Real Name'!C:D, 2, FALSE)</f>
        <v>Hyperion#5422</v>
      </c>
      <c r="C68" s="21" t="s">
        <v>30</v>
      </c>
      <c r="D68" s="32">
        <f>IFERROR(__xludf.DUMMYFUNCTION("(4 - COUNTIF(IFERROR(ARRAYFORMULA(HLOOKUP($B68, IMPORTRANGE('Prelim Rankings Unsorted'!$B$40, CONCAT(VLOOKUP($C68, 'Match Names'!$A$1:$D$22, 2, FALSE), ""!C3:R29"")), {4;9;15;21}, FALSE)), 'Player Overall Stats Unsorted'!$AA$9:$AA$12), ""=X"")) + (4 - COU"&amp;"NTIF(IFERROR(ARRAYFORMULA(HLOOKUP($B68, IMPORTRANGE('Prelim Rankings Unsorted'!$B$41, CONCAT(VLOOKUP($C68, 'Match Names'!$A$1:$D$22, 3, FALSE), ""!C3:R29"")), {7;13;19;24}, FALSE)), 'Player Overall Stats Unsorted'!$AA$9:$AA$12), ""=X"")) + (4 - COUNTIF(IF"&amp;"ERROR(ARRAYFORMULA(HLOOKUP($B68, IMPORTRANGE('Prelim Rankings Unsorted'!$B$42, CONCAT(VLOOKUP($C68, 'Match Names'!$A$1:$D$22, 4, FALSE), ""!C3:R29"")), {7;13;19;24}, FALSE)), 'Player Overall Stats Unsorted'!$AA$9:$AA$12), ""=X"")) + (4 - COUNTIF(IFERROR(A"&amp;"RRAYFORMULA(HLOOKUP($B68, IMPORTRANGE('Match Names'!$E$23, CONCAT(VLOOKUP($C68, 'Match Names'!$1:$22, 5, FALSE), ""!C3:R29"")), {2;8;12;22}, FALSE)), 'Player Overall Stats Unsorted'!$AA$9:$AA$12), ""=X"")) + (4 - COUNTIF(IFERROR(ARRAYFORMULA(HLOOKUP($B68,"&amp;" IMPORTRANGE('Match Names'!$F$23, CONCAT(VLOOKUP($C68, 'Match Names'!$1:$22, 6, FALSE), ""!C3:R29"")), {3;9;15;21}, FALSE)), 'Player Overall Stats Unsorted'!$AA$9:$AA$12), ""=X"")) + (4 - COUNTIF(IFERROR(ARRAYFORMULA(HLOOKUP($B68, IMPORTRANGE('Match Names"&amp;"'!$G$23, CONCAT(VLOOKUP($C68, 'Match Names'!$1:$22, 7, FALSE), ""!C3:R29"")), {3;8;12;18}, FALSE)), 'Player Overall Stats Unsorted'!$AA$9:$AA$12), ""=X"")) + (4 - COUNTIF(IFERROR(ARRAYFORMULA(HLOOKUP($B68, IMPORTRANGE('Match Names'!$H$23, CONCAT(VLOOKUP($"&amp;"C68, 'Match Names'!$1:$22, 8, FALSE), ""!C3:R29"")), {7;13;19;24}, FALSE)), 'Player Overall Stats Unsorted'!$AA$9:$AA$12), ""=X""))"),16.0)</f>
        <v>16</v>
      </c>
      <c r="E68" s="32">
        <f>IFERROR(__xludf.DUMMYFUNCTION("COUNTIF(ARRAYFORMULA(HLOOKUP($B68, IMPORTRANGE('Prelim Rankings Unsorted'!$B$40, CONCAT(VLOOKUP($C68, 'Match Names'!$A$1:$D$22, 2, FALSE), ""!C3:R29"")), {4;9;15;21}, FALSE)), ""=4"") + COUNTIF(ARRAYFORMULA(HLOOKUP($B68, IMPORTRANGE('Prelim Rankings Unsor"&amp;"ted'!$B$41, CONCAT(VLOOKUP($C68, 'Match Names'!$A$1:$D$22, 3, FALSE), ""!C3:R29"")), {7;13;19;24}, FALSE)), ""=4"") + COUNTIF(ARRAYFORMULA(HLOOKUP($B68, IMPORTRANGE('Prelim Rankings Unsorted'!$B$42, CONCAT(VLOOKUP($C68, 'Match Names'!$A$1:$D$22, 4, FALSE)"&amp;", ""!C3:R29"")), {7;13;19;24}, FALSE)), ""=4"") + COUNTIF(ARRAYFORMULA(HLOOKUP($B68, IMPORTRANGE('Match Names'!$E$23, CONCAT(VLOOKUP($C68, 'Match Names'!$1:$22, 5, FALSE), ""!C3:R29"")), {2;8;12;22}, FALSE)), ""=4"") + COUNTIF(ARRAYFORMULA(HLOOKUP($B68, I"&amp;"MPORTRANGE('Match Names'!$F$23, CONCAT(VLOOKUP($C68, 'Match Names'!$1:$22, 6, FALSE), ""!C3:R29"")), {3;9;15;21}, FALSE)), ""=4"") + COUNTIF(ARRAYFORMULA(HLOOKUP($B68, IMPORTRANGE('Match Names'!$G$23, CONCAT(VLOOKUP($C68, 'Match Names'!$1:$22, 7, FALSE), "&amp;"""!C3:R29"")), {3;8;12;18}, FALSE)), ""=4"") + COUNTIF(ARRAYFORMULA(HLOOKUP($B68, IMPORTRANGE('Match Names'!$H$23, CONCAT(VLOOKUP($C68, 'Match Names'!$1:$22, 8, FALSE), ""!C3:R29"")), {7;13;19;24}, FALSE)), ""=4"")"),0.0)</f>
        <v>0</v>
      </c>
      <c r="F68" s="32">
        <f>IFERROR(__xludf.DUMMYFUNCTION("COUNTIF(ARRAYFORMULA(HLOOKUP($B68, IMPORTRANGE('Prelim Rankings Unsorted'!$B$40, CONCAT(VLOOKUP($C68, 'Match Names'!$A$1:$D$22, 2, FALSE), ""!C3:R29"")), {4;9;15;21}, FALSE)), ""=0"") + COUNTIF(ARRAYFORMULA(HLOOKUP($B68, IMPORTRANGE('Prelim Rankings Unsor"&amp;"ted'!$B$41, CONCAT(VLOOKUP($C68, 'Match Names'!$A$1:$D$22, 3, FALSE), ""!C3:R29"")), {7;13;19;24}, FALSE)), ""=0"") + COUNTIF(ARRAYFORMULA(HLOOKUP($B68, IMPORTRANGE('Prelim Rankings Unsorted'!$B$42, CONCAT(VLOOKUP($C68, 'Match Names'!$A$1:$D$22, 4, FALSE)"&amp;", ""!C3:R29"")), {7;13;19;24}, FALSE)), ""=0"") + COUNTIF(ARRAYFORMULA(HLOOKUP($B68, IMPORTRANGE('Match Names'!$E$23, CONCAT(VLOOKUP($C68, 'Match Names'!$1:$22, 5, FALSE), ""!C3:R29"")), {2;8;12;22}, FALSE)), ""=0"") + COUNTIF(ARRAYFORMULA(HLOOKUP($B68, I"&amp;"MPORTRANGE('Match Names'!$F$23, CONCAT(VLOOKUP($C68, 'Match Names'!$1:$22, 6, FALSE), ""!C3:R29"")), {3;9;15;21}, FALSE)), ""=0"") + COUNTIF(ARRAYFORMULA(HLOOKUP($B68, IMPORTRANGE('Match Names'!$G$23, CONCAT(VLOOKUP($C68, 'Match Names'!$1:$22, 7, FALSE), "&amp;"""!C3:R29"")), {3;8;12;18}, FALSE)), ""=0"") + COUNTIF(ARRAYFORMULA(HLOOKUP($B68, IMPORTRANGE('Match Names'!$H$23, CONCAT(VLOOKUP($C68, 'Match Names'!$1:$22, 8, FALSE), ""!C3:R29"")), {7;13;19;24}, FALSE)), ""=0"")"),2.0)</f>
        <v>2</v>
      </c>
      <c r="G68" s="32">
        <f>IFERROR(__xludf.DUMMYFUNCTION("COUNTIF(ARRAYFORMULA(HLOOKUP($B68, IMPORTRANGE('Prelim Rankings Unsorted'!$B$40, CONCAT(VLOOKUP($C68, 'Match Names'!$A$1:$D$22, 2, FALSE), ""!C3:R29"")), {4;9;15;21}, FALSE)), ""=-4"") + COUNTIF(ARRAYFORMULA(HLOOKUP($B68, IMPORTRANGE('Prelim Rankings Unso"&amp;"rted'!$B$41, CONCAT(VLOOKUP($C68, 'Match Names'!$A$1:$D$22, 3, FALSE), ""!C3:R29"")), {7;13;19;24}, FALSE)), ""=-4"") + COUNTIF(ARRAYFORMULA(HLOOKUP($B68, IMPORTRANGE('Prelim Rankings Unsorted'!$B$42, CONCAT(VLOOKUP($C68, 'Match Names'!$A$1:$D$22, 4, FALS"&amp;"E), ""!C3:R29"")), {7;13;19;24}, FALSE)), ""=-4"") + COUNTIF(ARRAYFORMULA(HLOOKUP($B68, IMPORTRANGE('Match Names'!$E$23, CONCAT(VLOOKUP($C68, 'Match Names'!$1:$22, 5, FALSE), ""!C3:R29"")), {2;8;12;22}, FALSE)), ""=-4"") + COUNTIF(ARRAYFORMULA(HLOOKUP($B6"&amp;"8, IMPORTRANGE('Match Names'!$F$23, CONCAT(VLOOKUP($C68, 'Match Names'!$1:$22, 6, FALSE), ""!C3:R29"")), {3;9;15;21}, FALSE)), ""=-4"") + COUNTIF(ARRAYFORMULA(HLOOKUP($B68, IMPORTRANGE('Match Names'!$G$23, CONCAT(VLOOKUP($C68, 'Match Names'!$1:$22, 7, FAL"&amp;"SE), ""!C3:R29"")), {3;8;12;18}, FALSE)), ""=-4"") + COUNTIF(ARRAYFORMULA(HLOOKUP($B68, IMPORTRANGE('Match Names'!$H$23, CONCAT(VLOOKUP($C68, 'Match Names'!$1:$22, 8, FALSE), ""!C3:R29"")), {7;13;19;24}, FALSE)), ""=-4"")"),2.0)</f>
        <v>2</v>
      </c>
      <c r="H68" s="33">
        <f t="shared" si="1"/>
        <v>-2</v>
      </c>
    </row>
    <row r="69">
      <c r="A69" s="21" t="s">
        <v>160</v>
      </c>
      <c r="B69" s="7" t="str">
        <f>VLOOKUP(CONCAT(A69, C69), 'Discord Username to Real Name'!C:D, 2, FALSE)</f>
        <v>luczha003#3376</v>
      </c>
      <c r="C69" s="21" t="s">
        <v>30</v>
      </c>
      <c r="D69" s="32">
        <f>IFERROR(__xludf.DUMMYFUNCTION("(4 - COUNTIF(IFERROR(ARRAYFORMULA(HLOOKUP($B69, IMPORTRANGE('Prelim Rankings Unsorted'!$B$40, CONCAT(VLOOKUP($C69, 'Match Names'!$A$1:$D$22, 2, FALSE), ""!C3:R29"")), {4;9;15;21}, FALSE)), 'Player Overall Stats Unsorted'!$AA$9:$AA$12), ""=X"")) + (4 - COU"&amp;"NTIF(IFERROR(ARRAYFORMULA(HLOOKUP($B69, IMPORTRANGE('Prelim Rankings Unsorted'!$B$41, CONCAT(VLOOKUP($C69, 'Match Names'!$A$1:$D$22, 3, FALSE), ""!C3:R29"")), {7;13;19;24}, FALSE)), 'Player Overall Stats Unsorted'!$AA$9:$AA$12), ""=X"")) + (4 - COUNTIF(IF"&amp;"ERROR(ARRAYFORMULA(HLOOKUP($B69, IMPORTRANGE('Prelim Rankings Unsorted'!$B$42, CONCAT(VLOOKUP($C69, 'Match Names'!$A$1:$D$22, 4, FALSE), ""!C3:R29"")), {7;13;19;24}, FALSE)), 'Player Overall Stats Unsorted'!$AA$9:$AA$12), ""=X"")) + (4 - COUNTIF(IFERROR(A"&amp;"RRAYFORMULA(HLOOKUP($B69, IMPORTRANGE('Match Names'!$E$23, CONCAT(VLOOKUP($C69, 'Match Names'!$1:$22, 5, FALSE), ""!C3:R29"")), {2;8;12;22}, FALSE)), 'Player Overall Stats Unsorted'!$AA$9:$AA$12), ""=X"")) + (4 - COUNTIF(IFERROR(ARRAYFORMULA(HLOOKUP($B69,"&amp;" IMPORTRANGE('Match Names'!$F$23, CONCAT(VLOOKUP($C69, 'Match Names'!$1:$22, 6, FALSE), ""!C3:R29"")), {3;9;15;21}, FALSE)), 'Player Overall Stats Unsorted'!$AA$9:$AA$12), ""=X"")) + (4 - COUNTIF(IFERROR(ARRAYFORMULA(HLOOKUP($B69, IMPORTRANGE('Match Names"&amp;"'!$G$23, CONCAT(VLOOKUP($C69, 'Match Names'!$1:$22, 7, FALSE), ""!C3:R29"")), {3;8;12;18}, FALSE)), 'Player Overall Stats Unsorted'!$AA$9:$AA$12), ""=X"")) + (4 - COUNTIF(IFERROR(ARRAYFORMULA(HLOOKUP($B69, IMPORTRANGE('Match Names'!$H$23, CONCAT(VLOOKUP($"&amp;"C69, 'Match Names'!$1:$22, 8, FALSE), ""!C3:R29"")), {7;13;19;24}, FALSE)), 'Player Overall Stats Unsorted'!$AA$9:$AA$12), ""=X""))"),12.0)</f>
        <v>12</v>
      </c>
      <c r="E69" s="32">
        <f>IFERROR(__xludf.DUMMYFUNCTION("COUNTIF(ARRAYFORMULA(HLOOKUP($B69, IMPORTRANGE('Prelim Rankings Unsorted'!$B$40, CONCAT(VLOOKUP($C69, 'Match Names'!$A$1:$D$22, 2, FALSE), ""!C3:R29"")), {4;9;15;21}, FALSE)), ""=4"") + COUNTIF(ARRAYFORMULA(HLOOKUP($B69, IMPORTRANGE('Prelim Rankings Unsor"&amp;"ted'!$B$41, CONCAT(VLOOKUP($C69, 'Match Names'!$A$1:$D$22, 3, FALSE), ""!C3:R29"")), {7;13;19;24}, FALSE)), ""=4"") + COUNTIF(ARRAYFORMULA(HLOOKUP($B69, IMPORTRANGE('Prelim Rankings Unsorted'!$B$42, CONCAT(VLOOKUP($C69, 'Match Names'!$A$1:$D$22, 4, FALSE)"&amp;", ""!C3:R29"")), {7;13;19;24}, FALSE)), ""=4"") + COUNTIF(ARRAYFORMULA(HLOOKUP($B69, IMPORTRANGE('Match Names'!$E$23, CONCAT(VLOOKUP($C69, 'Match Names'!$1:$22, 5, FALSE), ""!C3:R29"")), {2;8;12;22}, FALSE)), ""=4"") + COUNTIF(ARRAYFORMULA(HLOOKUP($B69, I"&amp;"MPORTRANGE('Match Names'!$F$23, CONCAT(VLOOKUP($C69, 'Match Names'!$1:$22, 6, FALSE), ""!C3:R29"")), {3;9;15;21}, FALSE)), ""=4"") + COUNTIF(ARRAYFORMULA(HLOOKUP($B69, IMPORTRANGE('Match Names'!$G$23, CONCAT(VLOOKUP($C69, 'Match Names'!$1:$22, 7, FALSE), "&amp;"""!C3:R29"")), {3;8;12;18}, FALSE)), ""=4"") + COUNTIF(ARRAYFORMULA(HLOOKUP($B69, IMPORTRANGE('Match Names'!$H$23, CONCAT(VLOOKUP($C69, 'Match Names'!$1:$22, 8, FALSE), ""!C3:R29"")), {7;13;19;24}, FALSE)), ""=4"")"),1.0)</f>
        <v>1</v>
      </c>
      <c r="F69" s="32">
        <f>IFERROR(__xludf.DUMMYFUNCTION("COUNTIF(ARRAYFORMULA(HLOOKUP($B69, IMPORTRANGE('Prelim Rankings Unsorted'!$B$40, CONCAT(VLOOKUP($C69, 'Match Names'!$A$1:$D$22, 2, FALSE), ""!C3:R29"")), {4;9;15;21}, FALSE)), ""=0"") + COUNTIF(ARRAYFORMULA(HLOOKUP($B69, IMPORTRANGE('Prelim Rankings Unsor"&amp;"ted'!$B$41, CONCAT(VLOOKUP($C69, 'Match Names'!$A$1:$D$22, 3, FALSE), ""!C3:R29"")), {7;13;19;24}, FALSE)), ""=0"") + COUNTIF(ARRAYFORMULA(HLOOKUP($B69, IMPORTRANGE('Prelim Rankings Unsorted'!$B$42, CONCAT(VLOOKUP($C69, 'Match Names'!$A$1:$D$22, 4, FALSE)"&amp;", ""!C3:R29"")), {7;13;19;24}, FALSE)), ""=0"") + COUNTIF(ARRAYFORMULA(HLOOKUP($B69, IMPORTRANGE('Match Names'!$E$23, CONCAT(VLOOKUP($C69, 'Match Names'!$1:$22, 5, FALSE), ""!C3:R29"")), {2;8;12;22}, FALSE)), ""=0"") + COUNTIF(ARRAYFORMULA(HLOOKUP($B69, I"&amp;"MPORTRANGE('Match Names'!$F$23, CONCAT(VLOOKUP($C69, 'Match Names'!$1:$22, 6, FALSE), ""!C3:R29"")), {3;9;15;21}, FALSE)), ""=0"") + COUNTIF(ARRAYFORMULA(HLOOKUP($B69, IMPORTRANGE('Match Names'!$G$23, CONCAT(VLOOKUP($C69, 'Match Names'!$1:$22, 7, FALSE), "&amp;"""!C3:R29"")), {3;8;12;18}, FALSE)), ""=0"") + COUNTIF(ARRAYFORMULA(HLOOKUP($B69, IMPORTRANGE('Match Names'!$H$23, CONCAT(VLOOKUP($C69, 'Match Names'!$1:$22, 8, FALSE), ""!C3:R29"")), {7;13;19;24}, FALSE)), ""=0"")"),1.0)</f>
        <v>1</v>
      </c>
      <c r="G69" s="32">
        <f>IFERROR(__xludf.DUMMYFUNCTION("COUNTIF(ARRAYFORMULA(HLOOKUP($B69, IMPORTRANGE('Prelim Rankings Unsorted'!$B$40, CONCAT(VLOOKUP($C69, 'Match Names'!$A$1:$D$22, 2, FALSE), ""!C3:R29"")), {4;9;15;21}, FALSE)), ""=-4"") + COUNTIF(ARRAYFORMULA(HLOOKUP($B69, IMPORTRANGE('Prelim Rankings Unso"&amp;"rted'!$B$41, CONCAT(VLOOKUP($C69, 'Match Names'!$A$1:$D$22, 3, FALSE), ""!C3:R29"")), {7;13;19;24}, FALSE)), ""=-4"") + COUNTIF(ARRAYFORMULA(HLOOKUP($B69, IMPORTRANGE('Prelim Rankings Unsorted'!$B$42, CONCAT(VLOOKUP($C69, 'Match Names'!$A$1:$D$22, 4, FALS"&amp;"E), ""!C3:R29"")), {7;13;19;24}, FALSE)), ""=-4"") + COUNTIF(ARRAYFORMULA(HLOOKUP($B69, IMPORTRANGE('Match Names'!$E$23, CONCAT(VLOOKUP($C69, 'Match Names'!$1:$22, 5, FALSE), ""!C3:R29"")), {2;8;12;22}, FALSE)), ""=-4"") + COUNTIF(ARRAYFORMULA(HLOOKUP($B6"&amp;"9, IMPORTRANGE('Match Names'!$F$23, CONCAT(VLOOKUP($C69, 'Match Names'!$1:$22, 6, FALSE), ""!C3:R29"")), {3;9;15;21}, FALSE)), ""=-4"") + COUNTIF(ARRAYFORMULA(HLOOKUP($B69, IMPORTRANGE('Match Names'!$G$23, CONCAT(VLOOKUP($C69, 'Match Names'!$1:$22, 7, FAL"&amp;"SE), ""!C3:R29"")), {3;8;12;18}, FALSE)), ""=-4"") + COUNTIF(ARRAYFORMULA(HLOOKUP($B69, IMPORTRANGE('Match Names'!$H$23, CONCAT(VLOOKUP($C69, 'Match Names'!$1:$22, 8, FALSE), ""!C3:R29"")), {7;13;19;24}, FALSE)), ""=-4"")"),0.0)</f>
        <v>0</v>
      </c>
      <c r="H69" s="33">
        <f t="shared" si="1"/>
        <v>1.33</v>
      </c>
    </row>
    <row r="70">
      <c r="A70" s="21" t="s">
        <v>202</v>
      </c>
      <c r="B70" s="7" t="str">
        <f>VLOOKUP(CONCAT(A70, C70), 'Discord Username to Real Name'!C:D, 2, FALSE)</f>
        <v>Ritz#0792</v>
      </c>
      <c r="C70" s="21" t="s">
        <v>30</v>
      </c>
      <c r="D70" s="32">
        <f>IFERROR(__xludf.DUMMYFUNCTION("(4 - COUNTIF(IFERROR(ARRAYFORMULA(HLOOKUP($B70, IMPORTRANGE('Prelim Rankings Unsorted'!$B$40, CONCAT(VLOOKUP($C70, 'Match Names'!$A$1:$D$22, 2, FALSE), ""!C3:R29"")), {4;9;15;21}, FALSE)), 'Player Overall Stats Unsorted'!$AA$9:$AA$12), ""=X"")) + (4 - COU"&amp;"NTIF(IFERROR(ARRAYFORMULA(HLOOKUP($B70, IMPORTRANGE('Prelim Rankings Unsorted'!$B$41, CONCAT(VLOOKUP($C70, 'Match Names'!$A$1:$D$22, 3, FALSE), ""!C3:R29"")), {7;13;19;24}, FALSE)), 'Player Overall Stats Unsorted'!$AA$9:$AA$12), ""=X"")) + (4 - COUNTIF(IF"&amp;"ERROR(ARRAYFORMULA(HLOOKUP($B70, IMPORTRANGE('Prelim Rankings Unsorted'!$B$42, CONCAT(VLOOKUP($C70, 'Match Names'!$A$1:$D$22, 4, FALSE), ""!C3:R29"")), {7;13;19;24}, FALSE)), 'Player Overall Stats Unsorted'!$AA$9:$AA$12), ""=X"")) + (4 - COUNTIF(IFERROR(A"&amp;"RRAYFORMULA(HLOOKUP($B70, IMPORTRANGE('Match Names'!$E$23, CONCAT(VLOOKUP($C70, 'Match Names'!$1:$22, 5, FALSE), ""!C3:R29"")), {2;8;12;22}, FALSE)), 'Player Overall Stats Unsorted'!$AA$9:$AA$12), ""=X"")) + (4 - COUNTIF(IFERROR(ARRAYFORMULA(HLOOKUP($B70,"&amp;" IMPORTRANGE('Match Names'!$F$23, CONCAT(VLOOKUP($C70, 'Match Names'!$1:$22, 6, FALSE), ""!C3:R29"")), {3;9;15;21}, FALSE)), 'Player Overall Stats Unsorted'!$AA$9:$AA$12), ""=X"")) + (4 - COUNTIF(IFERROR(ARRAYFORMULA(HLOOKUP($B70, IMPORTRANGE('Match Names"&amp;"'!$G$23, CONCAT(VLOOKUP($C70, 'Match Names'!$1:$22, 7, FALSE), ""!C3:R29"")), {3;8;12;18}, FALSE)), 'Player Overall Stats Unsorted'!$AA$9:$AA$12), ""=X"")) + (4 - COUNTIF(IFERROR(ARRAYFORMULA(HLOOKUP($B70, IMPORTRANGE('Match Names'!$H$23, CONCAT(VLOOKUP($"&amp;"C70, 'Match Names'!$1:$22, 8, FALSE), ""!C3:R29"")), {7;13;19;24}, FALSE)), 'Player Overall Stats Unsorted'!$AA$9:$AA$12), ""=X""))"),0.0)</f>
        <v>0</v>
      </c>
      <c r="E70" s="32">
        <f>IFERROR(__xludf.DUMMYFUNCTION("COUNTIF(ARRAYFORMULA(HLOOKUP($B70, IMPORTRANGE('Prelim Rankings Unsorted'!$B$40, CONCAT(VLOOKUP($C70, 'Match Names'!$A$1:$D$22, 2, FALSE), ""!C3:R29"")), {4;9;15;21}, FALSE)), ""=4"") + COUNTIF(ARRAYFORMULA(HLOOKUP($B70, IMPORTRANGE('Prelim Rankings Unsor"&amp;"ted'!$B$41, CONCAT(VLOOKUP($C70, 'Match Names'!$A$1:$D$22, 3, FALSE), ""!C3:R29"")), {7;13;19;24}, FALSE)), ""=4"") + COUNTIF(ARRAYFORMULA(HLOOKUP($B70, IMPORTRANGE('Prelim Rankings Unsorted'!$B$42, CONCAT(VLOOKUP($C70, 'Match Names'!$A$1:$D$22, 4, FALSE)"&amp;", ""!C3:R29"")), {7;13;19;24}, FALSE)), ""=4"") + COUNTIF(ARRAYFORMULA(HLOOKUP($B70, IMPORTRANGE('Match Names'!$E$23, CONCAT(VLOOKUP($C70, 'Match Names'!$1:$22, 5, FALSE), ""!C3:R29"")), {2;8;12;22}, FALSE)), ""=4"") + COUNTIF(ARRAYFORMULA(HLOOKUP($B70, I"&amp;"MPORTRANGE('Match Names'!$F$23, CONCAT(VLOOKUP($C70, 'Match Names'!$1:$22, 6, FALSE), ""!C3:R29"")), {3;9;15;21}, FALSE)), ""=4"") + COUNTIF(ARRAYFORMULA(HLOOKUP($B70, IMPORTRANGE('Match Names'!$G$23, CONCAT(VLOOKUP($C70, 'Match Names'!$1:$22, 7, FALSE), "&amp;"""!C3:R29"")), {3;8;12;18}, FALSE)), ""=4"") + COUNTIF(ARRAYFORMULA(HLOOKUP($B70, IMPORTRANGE('Match Names'!$H$23, CONCAT(VLOOKUP($C70, 'Match Names'!$1:$22, 8, FALSE), ""!C3:R29"")), {7;13;19;24}, FALSE)), ""=4"")"),0.0)</f>
        <v>0</v>
      </c>
      <c r="F70" s="32">
        <f>IFERROR(__xludf.DUMMYFUNCTION("COUNTIF(ARRAYFORMULA(HLOOKUP($B70, IMPORTRANGE('Prelim Rankings Unsorted'!$B$40, CONCAT(VLOOKUP($C70, 'Match Names'!$A$1:$D$22, 2, FALSE), ""!C3:R29"")), {4;9;15;21}, FALSE)), ""=0"") + COUNTIF(ARRAYFORMULA(HLOOKUP($B70, IMPORTRANGE('Prelim Rankings Unsor"&amp;"ted'!$B$41, CONCAT(VLOOKUP($C70, 'Match Names'!$A$1:$D$22, 3, FALSE), ""!C3:R29"")), {7;13;19;24}, FALSE)), ""=0"") + COUNTIF(ARRAYFORMULA(HLOOKUP($B70, IMPORTRANGE('Prelim Rankings Unsorted'!$B$42, CONCAT(VLOOKUP($C70, 'Match Names'!$A$1:$D$22, 4, FALSE)"&amp;", ""!C3:R29"")), {7;13;19;24}, FALSE)), ""=0"") + COUNTIF(ARRAYFORMULA(HLOOKUP($B70, IMPORTRANGE('Match Names'!$E$23, CONCAT(VLOOKUP($C70, 'Match Names'!$1:$22, 5, FALSE), ""!C3:R29"")), {2;8;12;22}, FALSE)), ""=0"") + COUNTIF(ARRAYFORMULA(HLOOKUP($B70, I"&amp;"MPORTRANGE('Match Names'!$F$23, CONCAT(VLOOKUP($C70, 'Match Names'!$1:$22, 6, FALSE), ""!C3:R29"")), {3;9;15;21}, FALSE)), ""=0"") + COUNTIF(ARRAYFORMULA(HLOOKUP($B70, IMPORTRANGE('Match Names'!$G$23, CONCAT(VLOOKUP($C70, 'Match Names'!$1:$22, 7, FALSE), "&amp;"""!C3:R29"")), {3;8;12;18}, FALSE)), ""=0"") + COUNTIF(ARRAYFORMULA(HLOOKUP($B70, IMPORTRANGE('Match Names'!$H$23, CONCAT(VLOOKUP($C70, 'Match Names'!$1:$22, 8, FALSE), ""!C3:R29"")), {7;13;19;24}, FALSE)), ""=0"")"),0.0)</f>
        <v>0</v>
      </c>
      <c r="G70" s="32">
        <f>IFERROR(__xludf.DUMMYFUNCTION("COUNTIF(ARRAYFORMULA(HLOOKUP($B70, IMPORTRANGE('Prelim Rankings Unsorted'!$B$40, CONCAT(VLOOKUP($C70, 'Match Names'!$A$1:$D$22, 2, FALSE), ""!C3:R29"")), {4;9;15;21}, FALSE)), ""=-4"") + COUNTIF(ARRAYFORMULA(HLOOKUP($B70, IMPORTRANGE('Prelim Rankings Unso"&amp;"rted'!$B$41, CONCAT(VLOOKUP($C70, 'Match Names'!$A$1:$D$22, 3, FALSE), ""!C3:R29"")), {7;13;19;24}, FALSE)), ""=-4"") + COUNTIF(ARRAYFORMULA(HLOOKUP($B70, IMPORTRANGE('Prelim Rankings Unsorted'!$B$42, CONCAT(VLOOKUP($C70, 'Match Names'!$A$1:$D$22, 4, FALS"&amp;"E), ""!C3:R29"")), {7;13;19;24}, FALSE)), ""=-4"") + COUNTIF(ARRAYFORMULA(HLOOKUP($B70, IMPORTRANGE('Match Names'!$E$23, CONCAT(VLOOKUP($C70, 'Match Names'!$1:$22, 5, FALSE), ""!C3:R29"")), {2;8;12;22}, FALSE)), ""=-4"") + COUNTIF(ARRAYFORMULA(HLOOKUP($B7"&amp;"0, IMPORTRANGE('Match Names'!$F$23, CONCAT(VLOOKUP($C70, 'Match Names'!$1:$22, 6, FALSE), ""!C3:R29"")), {3;9;15;21}, FALSE)), ""=-4"") + COUNTIF(ARRAYFORMULA(HLOOKUP($B70, IMPORTRANGE('Match Names'!$G$23, CONCAT(VLOOKUP($C70, 'Match Names'!$1:$22, 7, FAL"&amp;"SE), ""!C3:R29"")), {3;8;12;18}, FALSE)), ""=-4"") + COUNTIF(ARRAYFORMULA(HLOOKUP($B70, IMPORTRANGE('Match Names'!$H$23, CONCAT(VLOOKUP($C70, 'Match Names'!$1:$22, 8, FALSE), ""!C3:R29"")), {7;13;19;24}, FALSE)), ""=-4"")"),0.0)</f>
        <v>0</v>
      </c>
      <c r="H70" s="33">
        <f t="shared" si="1"/>
        <v>0</v>
      </c>
    </row>
    <row r="71">
      <c r="A71" s="21" t="s">
        <v>148</v>
      </c>
      <c r="B71" s="7" t="str">
        <f>VLOOKUP(CONCAT(A71, C71), 'Discord Username to Real Name'!C:D, 2, FALSE)</f>
        <v>RR#5337</v>
      </c>
      <c r="C71" s="21" t="s">
        <v>30</v>
      </c>
      <c r="D71" s="32">
        <f>IFERROR(__xludf.DUMMYFUNCTION("(4 - COUNTIF(IFERROR(ARRAYFORMULA(HLOOKUP($B71, IMPORTRANGE('Prelim Rankings Unsorted'!$B$40, CONCAT(VLOOKUP($C71, 'Match Names'!$A$1:$D$22, 2, FALSE), ""!C3:R29"")), {4;9;15;21}, FALSE)), 'Player Overall Stats Unsorted'!$AA$9:$AA$12), ""=X"")) + (4 - COU"&amp;"NTIF(IFERROR(ARRAYFORMULA(HLOOKUP($B71, IMPORTRANGE('Prelim Rankings Unsorted'!$B$41, CONCAT(VLOOKUP($C71, 'Match Names'!$A$1:$D$22, 3, FALSE), ""!C3:R29"")), {7;13;19;24}, FALSE)), 'Player Overall Stats Unsorted'!$AA$9:$AA$12), ""=X"")) + (4 - COUNTIF(IF"&amp;"ERROR(ARRAYFORMULA(HLOOKUP($B71, IMPORTRANGE('Prelim Rankings Unsorted'!$B$42, CONCAT(VLOOKUP($C71, 'Match Names'!$A$1:$D$22, 4, FALSE), ""!C3:R29"")), {7;13;19;24}, FALSE)), 'Player Overall Stats Unsorted'!$AA$9:$AA$12), ""=X"")) + (4 - COUNTIF(IFERROR(A"&amp;"RRAYFORMULA(HLOOKUP($B71, IMPORTRANGE('Match Names'!$E$23, CONCAT(VLOOKUP($C71, 'Match Names'!$1:$22, 5, FALSE), ""!C3:R29"")), {2;8;12;22}, FALSE)), 'Player Overall Stats Unsorted'!$AA$9:$AA$12), ""=X"")) + (4 - COUNTIF(IFERROR(ARRAYFORMULA(HLOOKUP($B71,"&amp;" IMPORTRANGE('Match Names'!$F$23, CONCAT(VLOOKUP($C71, 'Match Names'!$1:$22, 6, FALSE), ""!C3:R29"")), {3;9;15;21}, FALSE)), 'Player Overall Stats Unsorted'!$AA$9:$AA$12), ""=X"")) + (4 - COUNTIF(IFERROR(ARRAYFORMULA(HLOOKUP($B71, IMPORTRANGE('Match Names"&amp;"'!$G$23, CONCAT(VLOOKUP($C71, 'Match Names'!$1:$22, 7, FALSE), ""!C3:R29"")), {3;8;12;18}, FALSE)), 'Player Overall Stats Unsorted'!$AA$9:$AA$12), ""=X"")) + (4 - COUNTIF(IFERROR(ARRAYFORMULA(HLOOKUP($B71, IMPORTRANGE('Match Names'!$H$23, CONCAT(VLOOKUP($"&amp;"C71, 'Match Names'!$1:$22, 8, FALSE), ""!C3:R29"")), {7;13;19;24}, FALSE)), 'Player Overall Stats Unsorted'!$AA$9:$AA$12), ""=X""))"),12.0)</f>
        <v>12</v>
      </c>
      <c r="E71" s="32">
        <f>IFERROR(__xludf.DUMMYFUNCTION("COUNTIF(ARRAYFORMULA(HLOOKUP($B71, IMPORTRANGE('Prelim Rankings Unsorted'!$B$40, CONCAT(VLOOKUP($C71, 'Match Names'!$A$1:$D$22, 2, FALSE), ""!C3:R29"")), {4;9;15;21}, FALSE)), ""=4"") + COUNTIF(ARRAYFORMULA(HLOOKUP($B71, IMPORTRANGE('Prelim Rankings Unsor"&amp;"ted'!$B$41, CONCAT(VLOOKUP($C71, 'Match Names'!$A$1:$D$22, 3, FALSE), ""!C3:R29"")), {7;13;19;24}, FALSE)), ""=4"") + COUNTIF(ARRAYFORMULA(HLOOKUP($B71, IMPORTRANGE('Prelim Rankings Unsorted'!$B$42, CONCAT(VLOOKUP($C71, 'Match Names'!$A$1:$D$22, 4, FALSE)"&amp;", ""!C3:R29"")), {7;13;19;24}, FALSE)), ""=4"") + COUNTIF(ARRAYFORMULA(HLOOKUP($B71, IMPORTRANGE('Match Names'!$E$23, CONCAT(VLOOKUP($C71, 'Match Names'!$1:$22, 5, FALSE), ""!C3:R29"")), {2;8;12;22}, FALSE)), ""=4"") + COUNTIF(ARRAYFORMULA(HLOOKUP($B71, I"&amp;"MPORTRANGE('Match Names'!$F$23, CONCAT(VLOOKUP($C71, 'Match Names'!$1:$22, 6, FALSE), ""!C3:R29"")), {3;9;15;21}, FALSE)), ""=4"") + COUNTIF(ARRAYFORMULA(HLOOKUP($B71, IMPORTRANGE('Match Names'!$G$23, CONCAT(VLOOKUP($C71, 'Match Names'!$1:$22, 7, FALSE), "&amp;"""!C3:R29"")), {3;8;12;18}, FALSE)), ""=4"") + COUNTIF(ARRAYFORMULA(HLOOKUP($B71, IMPORTRANGE('Match Names'!$H$23, CONCAT(VLOOKUP($C71, 'Match Names'!$1:$22, 8, FALSE), ""!C3:R29"")), {7;13;19;24}, FALSE)), ""=4"")"),0.0)</f>
        <v>0</v>
      </c>
      <c r="F71" s="32">
        <f>IFERROR(__xludf.DUMMYFUNCTION("COUNTIF(ARRAYFORMULA(HLOOKUP($B71, IMPORTRANGE('Prelim Rankings Unsorted'!$B$40, CONCAT(VLOOKUP($C71, 'Match Names'!$A$1:$D$22, 2, FALSE), ""!C3:R29"")), {4;9;15;21}, FALSE)), ""=0"") + COUNTIF(ARRAYFORMULA(HLOOKUP($B71, IMPORTRANGE('Prelim Rankings Unsor"&amp;"ted'!$B$41, CONCAT(VLOOKUP($C71, 'Match Names'!$A$1:$D$22, 3, FALSE), ""!C3:R29"")), {7;13;19;24}, FALSE)), ""=0"") + COUNTIF(ARRAYFORMULA(HLOOKUP($B71, IMPORTRANGE('Prelim Rankings Unsorted'!$B$42, CONCAT(VLOOKUP($C71, 'Match Names'!$A$1:$D$22, 4, FALSE)"&amp;", ""!C3:R29"")), {7;13;19;24}, FALSE)), ""=0"") + COUNTIF(ARRAYFORMULA(HLOOKUP($B71, IMPORTRANGE('Match Names'!$E$23, CONCAT(VLOOKUP($C71, 'Match Names'!$1:$22, 5, FALSE), ""!C3:R29"")), {2;8;12;22}, FALSE)), ""=0"") + COUNTIF(ARRAYFORMULA(HLOOKUP($B71, I"&amp;"MPORTRANGE('Match Names'!$F$23, CONCAT(VLOOKUP($C71, 'Match Names'!$1:$22, 6, FALSE), ""!C3:R29"")), {3;9;15;21}, FALSE)), ""=0"") + COUNTIF(ARRAYFORMULA(HLOOKUP($B71, IMPORTRANGE('Match Names'!$G$23, CONCAT(VLOOKUP($C71, 'Match Names'!$1:$22, 7, FALSE), "&amp;"""!C3:R29"")), {3;8;12;18}, FALSE)), ""=0"") + COUNTIF(ARRAYFORMULA(HLOOKUP($B71, IMPORTRANGE('Match Names'!$H$23, CONCAT(VLOOKUP($C71, 'Match Names'!$1:$22, 8, FALSE), ""!C3:R29"")), {7;13;19;24}, FALSE)), ""=0"")"),0.0)</f>
        <v>0</v>
      </c>
      <c r="G71" s="32">
        <f>IFERROR(__xludf.DUMMYFUNCTION("COUNTIF(ARRAYFORMULA(HLOOKUP($B71, IMPORTRANGE('Prelim Rankings Unsorted'!$B$40, CONCAT(VLOOKUP($C71, 'Match Names'!$A$1:$D$22, 2, FALSE), ""!C3:R29"")), {4;9;15;21}, FALSE)), ""=-4"") + COUNTIF(ARRAYFORMULA(HLOOKUP($B71, IMPORTRANGE('Prelim Rankings Unso"&amp;"rted'!$B$41, CONCAT(VLOOKUP($C71, 'Match Names'!$A$1:$D$22, 3, FALSE), ""!C3:R29"")), {7;13;19;24}, FALSE)), ""=-4"") + COUNTIF(ARRAYFORMULA(HLOOKUP($B71, IMPORTRANGE('Prelim Rankings Unsorted'!$B$42, CONCAT(VLOOKUP($C71, 'Match Names'!$A$1:$D$22, 4, FALS"&amp;"E), ""!C3:R29"")), {7;13;19;24}, FALSE)), ""=-4"") + COUNTIF(ARRAYFORMULA(HLOOKUP($B71, IMPORTRANGE('Match Names'!$E$23, CONCAT(VLOOKUP($C71, 'Match Names'!$1:$22, 5, FALSE), ""!C3:R29"")), {2;8;12;22}, FALSE)), ""=-4"") + COUNTIF(ARRAYFORMULA(HLOOKUP($B7"&amp;"1, IMPORTRANGE('Match Names'!$F$23, CONCAT(VLOOKUP($C71, 'Match Names'!$1:$22, 6, FALSE), ""!C3:R29"")), {3;9;15;21}, FALSE)), ""=-4"") + COUNTIF(ARRAYFORMULA(HLOOKUP($B71, IMPORTRANGE('Match Names'!$G$23, CONCAT(VLOOKUP($C71, 'Match Names'!$1:$22, 7, FAL"&amp;"SE), ""!C3:R29"")), {3;8;12;18}, FALSE)), ""=-4"") + COUNTIF(ARRAYFORMULA(HLOOKUP($B71, IMPORTRANGE('Match Names'!$H$23, CONCAT(VLOOKUP($C71, 'Match Names'!$1:$22, 8, FALSE), ""!C3:R29"")), {7;13;19;24}, FALSE)), ""=-4"")"),0.0)</f>
        <v>0</v>
      </c>
      <c r="H71" s="33">
        <f t="shared" si="1"/>
        <v>0</v>
      </c>
    </row>
    <row r="72">
      <c r="A72" s="21" t="s">
        <v>130</v>
      </c>
      <c r="B72" s="7" t="str">
        <f>VLOOKUP(CONCAT(A72, C72), 'Discord Username to Real Name'!C:D, 2, FALSE)</f>
        <v>crebz#4622</v>
      </c>
      <c r="C72" s="21" t="s">
        <v>30</v>
      </c>
      <c r="D72" s="32">
        <f>IFERROR(__xludf.DUMMYFUNCTION("(4 - COUNTIF(IFERROR(ARRAYFORMULA(HLOOKUP($B72, IMPORTRANGE('Prelim Rankings Unsorted'!$B$40, CONCAT(VLOOKUP($C72, 'Match Names'!$A$1:$D$22, 2, FALSE), ""!C3:R29"")), {4;9;15;21}, FALSE)), 'Player Overall Stats Unsorted'!$AA$9:$AA$12), ""=X"")) + (4 - COU"&amp;"NTIF(IFERROR(ARRAYFORMULA(HLOOKUP($B72, IMPORTRANGE('Prelim Rankings Unsorted'!$B$41, CONCAT(VLOOKUP($C72, 'Match Names'!$A$1:$D$22, 3, FALSE), ""!C3:R29"")), {7;13;19;24}, FALSE)), 'Player Overall Stats Unsorted'!$AA$9:$AA$12), ""=X"")) + (4 - COUNTIF(IF"&amp;"ERROR(ARRAYFORMULA(HLOOKUP($B72, IMPORTRANGE('Prelim Rankings Unsorted'!$B$42, CONCAT(VLOOKUP($C72, 'Match Names'!$A$1:$D$22, 4, FALSE), ""!C3:R29"")), {7;13;19;24}, FALSE)), 'Player Overall Stats Unsorted'!$AA$9:$AA$12), ""=X"")) + (4 - COUNTIF(IFERROR(A"&amp;"RRAYFORMULA(HLOOKUP($B72, IMPORTRANGE('Match Names'!$E$23, CONCAT(VLOOKUP($C72, 'Match Names'!$1:$22, 5, FALSE), ""!C3:R29"")), {2;8;12;22}, FALSE)), 'Player Overall Stats Unsorted'!$AA$9:$AA$12), ""=X"")) + (4 - COUNTIF(IFERROR(ARRAYFORMULA(HLOOKUP($B72,"&amp;" IMPORTRANGE('Match Names'!$F$23, CONCAT(VLOOKUP($C72, 'Match Names'!$1:$22, 6, FALSE), ""!C3:R29"")), {3;9;15;21}, FALSE)), 'Player Overall Stats Unsorted'!$AA$9:$AA$12), ""=X"")) + (4 - COUNTIF(IFERROR(ARRAYFORMULA(HLOOKUP($B72, IMPORTRANGE('Match Names"&amp;"'!$G$23, CONCAT(VLOOKUP($C72, 'Match Names'!$1:$22, 7, FALSE), ""!C3:R29"")), {3;8;12;18}, FALSE)), 'Player Overall Stats Unsorted'!$AA$9:$AA$12), ""=X"")) + (4 - COUNTIF(IFERROR(ARRAYFORMULA(HLOOKUP($B72, IMPORTRANGE('Match Names'!$H$23, CONCAT(VLOOKUP($"&amp;"C72, 'Match Names'!$1:$22, 8, FALSE), ""!C3:R29"")), {7;13;19;24}, FALSE)), 'Player Overall Stats Unsorted'!$AA$9:$AA$12), ""=X""))"),12.0)</f>
        <v>12</v>
      </c>
      <c r="E72" s="32">
        <f>IFERROR(__xludf.DUMMYFUNCTION("COUNTIF(ARRAYFORMULA(HLOOKUP($B72, IMPORTRANGE('Prelim Rankings Unsorted'!$B$40, CONCAT(VLOOKUP($C72, 'Match Names'!$A$1:$D$22, 2, FALSE), ""!C3:R29"")), {4;9;15;21}, FALSE)), ""=4"") + COUNTIF(ARRAYFORMULA(HLOOKUP($B72, IMPORTRANGE('Prelim Rankings Unsor"&amp;"ted'!$B$41, CONCAT(VLOOKUP($C72, 'Match Names'!$A$1:$D$22, 3, FALSE), ""!C3:R29"")), {7;13;19;24}, FALSE)), ""=4"") + COUNTIF(ARRAYFORMULA(HLOOKUP($B72, IMPORTRANGE('Prelim Rankings Unsorted'!$B$42, CONCAT(VLOOKUP($C72, 'Match Names'!$A$1:$D$22, 4, FALSE)"&amp;", ""!C3:R29"")), {7;13;19;24}, FALSE)), ""=4"") + COUNTIF(ARRAYFORMULA(HLOOKUP($B72, IMPORTRANGE('Match Names'!$E$23, CONCAT(VLOOKUP($C72, 'Match Names'!$1:$22, 5, FALSE), ""!C3:R29"")), {2;8;12;22}, FALSE)), ""=4"") + COUNTIF(ARRAYFORMULA(HLOOKUP($B72, I"&amp;"MPORTRANGE('Match Names'!$F$23, CONCAT(VLOOKUP($C72, 'Match Names'!$1:$22, 6, FALSE), ""!C3:R29"")), {3;9;15;21}, FALSE)), ""=4"") + COUNTIF(ARRAYFORMULA(HLOOKUP($B72, IMPORTRANGE('Match Names'!$G$23, CONCAT(VLOOKUP($C72, 'Match Names'!$1:$22, 7, FALSE), "&amp;"""!C3:R29"")), {3;8;12;18}, FALSE)), ""=4"") + COUNTIF(ARRAYFORMULA(HLOOKUP($B72, IMPORTRANGE('Match Names'!$H$23, CONCAT(VLOOKUP($C72, 'Match Names'!$1:$22, 8, FALSE), ""!C3:R29"")), {7;13;19;24}, FALSE)), ""=4"")"),0.0)</f>
        <v>0</v>
      </c>
      <c r="F72" s="32">
        <f>IFERROR(__xludf.DUMMYFUNCTION("COUNTIF(ARRAYFORMULA(HLOOKUP($B72, IMPORTRANGE('Prelim Rankings Unsorted'!$B$40, CONCAT(VLOOKUP($C72, 'Match Names'!$A$1:$D$22, 2, FALSE), ""!C3:R29"")), {4;9;15;21}, FALSE)), ""=0"") + COUNTIF(ARRAYFORMULA(HLOOKUP($B72, IMPORTRANGE('Prelim Rankings Unsor"&amp;"ted'!$B$41, CONCAT(VLOOKUP($C72, 'Match Names'!$A$1:$D$22, 3, FALSE), ""!C3:R29"")), {7;13;19;24}, FALSE)), ""=0"") + COUNTIF(ARRAYFORMULA(HLOOKUP($B72, IMPORTRANGE('Prelim Rankings Unsorted'!$B$42, CONCAT(VLOOKUP($C72, 'Match Names'!$A$1:$D$22, 4, FALSE)"&amp;", ""!C3:R29"")), {7;13;19;24}, FALSE)), ""=0"") + COUNTIF(ARRAYFORMULA(HLOOKUP($B72, IMPORTRANGE('Match Names'!$E$23, CONCAT(VLOOKUP($C72, 'Match Names'!$1:$22, 5, FALSE), ""!C3:R29"")), {2;8;12;22}, FALSE)), ""=0"") + COUNTIF(ARRAYFORMULA(HLOOKUP($B72, I"&amp;"MPORTRANGE('Match Names'!$F$23, CONCAT(VLOOKUP($C72, 'Match Names'!$1:$22, 6, FALSE), ""!C3:R29"")), {3;9;15;21}, FALSE)), ""=0"") + COUNTIF(ARRAYFORMULA(HLOOKUP($B72, IMPORTRANGE('Match Names'!$G$23, CONCAT(VLOOKUP($C72, 'Match Names'!$1:$22, 7, FALSE), "&amp;"""!C3:R29"")), {3;8;12;18}, FALSE)), ""=0"") + COUNTIF(ARRAYFORMULA(HLOOKUP($B72, IMPORTRANGE('Match Names'!$H$23, CONCAT(VLOOKUP($C72, 'Match Names'!$1:$22, 8, FALSE), ""!C3:R29"")), {7;13;19;24}, FALSE)), ""=0"")"),2.0)</f>
        <v>2</v>
      </c>
      <c r="G72" s="32">
        <f>IFERROR(__xludf.DUMMYFUNCTION("COUNTIF(ARRAYFORMULA(HLOOKUP($B72, IMPORTRANGE('Prelim Rankings Unsorted'!$B$40, CONCAT(VLOOKUP($C72, 'Match Names'!$A$1:$D$22, 2, FALSE), ""!C3:R29"")), {4;9;15;21}, FALSE)), ""=-4"") + COUNTIF(ARRAYFORMULA(HLOOKUP($B72, IMPORTRANGE('Prelim Rankings Unso"&amp;"rted'!$B$41, CONCAT(VLOOKUP($C72, 'Match Names'!$A$1:$D$22, 3, FALSE), ""!C3:R29"")), {7;13;19;24}, FALSE)), ""=-4"") + COUNTIF(ARRAYFORMULA(HLOOKUP($B72, IMPORTRANGE('Prelim Rankings Unsorted'!$B$42, CONCAT(VLOOKUP($C72, 'Match Names'!$A$1:$D$22, 4, FALS"&amp;"E), ""!C3:R29"")), {7;13;19;24}, FALSE)), ""=-4"") + COUNTIF(ARRAYFORMULA(HLOOKUP($B72, IMPORTRANGE('Match Names'!$E$23, CONCAT(VLOOKUP($C72, 'Match Names'!$1:$22, 5, FALSE), ""!C3:R29"")), {2;8;12;22}, FALSE)), ""=-4"") + COUNTIF(ARRAYFORMULA(HLOOKUP($B7"&amp;"2, IMPORTRANGE('Match Names'!$F$23, CONCAT(VLOOKUP($C72, 'Match Names'!$1:$22, 6, FALSE), ""!C3:R29"")), {3;9;15;21}, FALSE)), ""=-4"") + COUNTIF(ARRAYFORMULA(HLOOKUP($B72, IMPORTRANGE('Match Names'!$G$23, CONCAT(VLOOKUP($C72, 'Match Names'!$1:$22, 7, FAL"&amp;"SE), ""!C3:R29"")), {3;8;12;18}, FALSE)), ""=-4"") + COUNTIF(ARRAYFORMULA(HLOOKUP($B72, IMPORTRANGE('Match Names'!$H$23, CONCAT(VLOOKUP($C72, 'Match Names'!$1:$22, 8, FALSE), ""!C3:R29"")), {7;13;19;24}, FALSE)), ""=-4"")"),0.0)</f>
        <v>0</v>
      </c>
      <c r="H72" s="33">
        <f t="shared" si="1"/>
        <v>0</v>
      </c>
    </row>
    <row r="73">
      <c r="A73" s="21" t="s">
        <v>53</v>
      </c>
      <c r="B73" s="7" t="str">
        <f>VLOOKUP(CONCAT(A73, C73), 'Discord Username to Real Name'!C:D, 2, FALSE)</f>
        <v>brandon.chang#3043</v>
      </c>
      <c r="C73" s="21" t="s">
        <v>24</v>
      </c>
      <c r="D73" s="32">
        <f>IFERROR(__xludf.DUMMYFUNCTION("(4 - COUNTIF(IFERROR(ARRAYFORMULA(HLOOKUP($B73, IMPORTRANGE('Prelim Rankings Unsorted'!$B$40, CONCAT(VLOOKUP($C73, 'Match Names'!$A$1:$D$22, 2, FALSE), ""!C3:R29"")), {4;9;15;21}, FALSE)), 'Player Overall Stats Unsorted'!$AA$9:$AA$12), ""=X"")) + (4 - COU"&amp;"NTIF(IFERROR(ARRAYFORMULA(HLOOKUP($B73, IMPORTRANGE('Prelim Rankings Unsorted'!$B$41, CONCAT(VLOOKUP($C73, 'Match Names'!$A$1:$D$22, 3, FALSE), ""!C3:R29"")), {7;13;19;24}, FALSE)), 'Player Overall Stats Unsorted'!$AA$9:$AA$12), ""=X"")) + (4 - COUNTIF(IF"&amp;"ERROR(ARRAYFORMULA(HLOOKUP($B73, IMPORTRANGE('Prelim Rankings Unsorted'!$B$42, CONCAT(VLOOKUP($C73, 'Match Names'!$A$1:$D$22, 4, FALSE), ""!C3:R29"")), {7;13;19;24}, FALSE)), 'Player Overall Stats Unsorted'!$AA$9:$AA$12), ""=X"")) + (4 - COUNTIF(IFERROR(A"&amp;"RRAYFORMULA(HLOOKUP($B73, IMPORTRANGE('Match Names'!$E$23, CONCAT(VLOOKUP($C73, 'Match Names'!$1:$22, 5, FALSE), ""!C3:R29"")), {2;8;12;22}, FALSE)), 'Player Overall Stats Unsorted'!$AA$9:$AA$12), ""=X"")) + (4 - COUNTIF(IFERROR(ARRAYFORMULA(HLOOKUP($B73,"&amp;" IMPORTRANGE('Match Names'!$F$23, CONCAT(VLOOKUP($C73, 'Match Names'!$1:$22, 6, FALSE), ""!C3:R29"")), {3;9;15;21}, FALSE)), 'Player Overall Stats Unsorted'!$AA$9:$AA$12), ""=X"")) + (4 - COUNTIF(IFERROR(ARRAYFORMULA(HLOOKUP($B73, IMPORTRANGE('Match Names"&amp;"'!$G$23, CONCAT(VLOOKUP($C73, 'Match Names'!$1:$22, 7, FALSE), ""!C3:R29"")), {3;8;12;18}, FALSE)), 'Player Overall Stats Unsorted'!$AA$9:$AA$12), ""=X"")) + (4 - COUNTIF(IFERROR(ARRAYFORMULA(HLOOKUP($B73, IMPORTRANGE('Match Names'!$H$23, CONCAT(VLOOKUP($"&amp;"C73, 'Match Names'!$1:$22, 8, FALSE), ""!C3:R29"")), {7;13;19;24}, FALSE)), 'Player Overall Stats Unsorted'!$AA$9:$AA$12), ""=X""))"),18.0)</f>
        <v>18</v>
      </c>
      <c r="E73" s="32">
        <f>IFERROR(__xludf.DUMMYFUNCTION("COUNTIF(ARRAYFORMULA(HLOOKUP($B73, IMPORTRANGE('Prelim Rankings Unsorted'!$B$40, CONCAT(VLOOKUP($C73, 'Match Names'!$A$1:$D$22, 2, FALSE), ""!C3:R29"")), {4;9;15;21}, FALSE)), ""=4"") + COUNTIF(ARRAYFORMULA(HLOOKUP($B73, IMPORTRANGE('Prelim Rankings Unsor"&amp;"ted'!$B$41, CONCAT(VLOOKUP($C73, 'Match Names'!$A$1:$D$22, 3, FALSE), ""!C3:R29"")), {7;13;19;24}, FALSE)), ""=4"") + COUNTIF(ARRAYFORMULA(HLOOKUP($B73, IMPORTRANGE('Prelim Rankings Unsorted'!$B$42, CONCAT(VLOOKUP($C73, 'Match Names'!$A$1:$D$22, 4, FALSE)"&amp;", ""!C3:R29"")), {7;13;19;24}, FALSE)), ""=4"") + COUNTIF(ARRAYFORMULA(HLOOKUP($B73, IMPORTRANGE('Match Names'!$E$23, CONCAT(VLOOKUP($C73, 'Match Names'!$1:$22, 5, FALSE), ""!C3:R29"")), {2;8;12;22}, FALSE)), ""=4"") + COUNTIF(ARRAYFORMULA(HLOOKUP($B73, I"&amp;"MPORTRANGE('Match Names'!$F$23, CONCAT(VLOOKUP($C73, 'Match Names'!$1:$22, 6, FALSE), ""!C3:R29"")), {3;9;15;21}, FALSE)), ""=4"") + COUNTIF(ARRAYFORMULA(HLOOKUP($B73, IMPORTRANGE('Match Names'!$G$23, CONCAT(VLOOKUP($C73, 'Match Names'!$1:$22, 7, FALSE), "&amp;"""!C3:R29"")), {3;8;12;18}, FALSE)), ""=4"") + COUNTIF(ARRAYFORMULA(HLOOKUP($B73, IMPORTRANGE('Match Names'!$H$23, CONCAT(VLOOKUP($C73, 'Match Names'!$1:$22, 8, FALSE), ""!C3:R29"")), {7;13;19;24}, FALSE)), ""=4"")"),1.0)</f>
        <v>1</v>
      </c>
      <c r="F73" s="32">
        <f>IFERROR(__xludf.DUMMYFUNCTION("COUNTIF(ARRAYFORMULA(HLOOKUP($B73, IMPORTRANGE('Prelim Rankings Unsorted'!$B$40, CONCAT(VLOOKUP($C73, 'Match Names'!$A$1:$D$22, 2, FALSE), ""!C3:R29"")), {4;9;15;21}, FALSE)), ""=0"") + COUNTIF(ARRAYFORMULA(HLOOKUP($B73, IMPORTRANGE('Prelim Rankings Unsor"&amp;"ted'!$B$41, CONCAT(VLOOKUP($C73, 'Match Names'!$A$1:$D$22, 3, FALSE), ""!C3:R29"")), {7;13;19;24}, FALSE)), ""=0"") + COUNTIF(ARRAYFORMULA(HLOOKUP($B73, IMPORTRANGE('Prelim Rankings Unsorted'!$B$42, CONCAT(VLOOKUP($C73, 'Match Names'!$A$1:$D$22, 4, FALSE)"&amp;", ""!C3:R29"")), {7;13;19;24}, FALSE)), ""=0"") + COUNTIF(ARRAYFORMULA(HLOOKUP($B73, IMPORTRANGE('Match Names'!$E$23, CONCAT(VLOOKUP($C73, 'Match Names'!$1:$22, 5, FALSE), ""!C3:R29"")), {2;8;12;22}, FALSE)), ""=0"") + COUNTIF(ARRAYFORMULA(HLOOKUP($B73, I"&amp;"MPORTRANGE('Match Names'!$F$23, CONCAT(VLOOKUP($C73, 'Match Names'!$1:$22, 6, FALSE), ""!C3:R29"")), {3;9;15;21}, FALSE)), ""=0"") + COUNTIF(ARRAYFORMULA(HLOOKUP($B73, IMPORTRANGE('Match Names'!$G$23, CONCAT(VLOOKUP($C73, 'Match Names'!$1:$22, 7, FALSE), "&amp;"""!C3:R29"")), {3;8;12;18}, FALSE)), ""=0"") + COUNTIF(ARRAYFORMULA(HLOOKUP($B73, IMPORTRANGE('Match Names'!$H$23, CONCAT(VLOOKUP($C73, 'Match Names'!$1:$22, 8, FALSE), ""!C3:R29"")), {7;13;19;24}, FALSE)), ""=0"")"),1.0)</f>
        <v>1</v>
      </c>
      <c r="G73" s="32">
        <f>IFERROR(__xludf.DUMMYFUNCTION("COUNTIF(ARRAYFORMULA(HLOOKUP($B73, IMPORTRANGE('Prelim Rankings Unsorted'!$B$40, CONCAT(VLOOKUP($C73, 'Match Names'!$A$1:$D$22, 2, FALSE), ""!C3:R29"")), {4;9;15;21}, FALSE)), ""=-4"") + COUNTIF(ARRAYFORMULA(HLOOKUP($B73, IMPORTRANGE('Prelim Rankings Unso"&amp;"rted'!$B$41, CONCAT(VLOOKUP($C73, 'Match Names'!$A$1:$D$22, 3, FALSE), ""!C3:R29"")), {7;13;19;24}, FALSE)), ""=-4"") + COUNTIF(ARRAYFORMULA(HLOOKUP($B73, IMPORTRANGE('Prelim Rankings Unsorted'!$B$42, CONCAT(VLOOKUP($C73, 'Match Names'!$A$1:$D$22, 4, FALS"&amp;"E), ""!C3:R29"")), {7;13;19;24}, FALSE)), ""=-4"") + COUNTIF(ARRAYFORMULA(HLOOKUP($B73, IMPORTRANGE('Match Names'!$E$23, CONCAT(VLOOKUP($C73, 'Match Names'!$1:$22, 5, FALSE), ""!C3:R29"")), {2;8;12;22}, FALSE)), ""=-4"") + COUNTIF(ARRAYFORMULA(HLOOKUP($B7"&amp;"3, IMPORTRANGE('Match Names'!$F$23, CONCAT(VLOOKUP($C73, 'Match Names'!$1:$22, 6, FALSE), ""!C3:R29"")), {3;9;15;21}, FALSE)), ""=-4"") + COUNTIF(ARRAYFORMULA(HLOOKUP($B73, IMPORTRANGE('Match Names'!$G$23, CONCAT(VLOOKUP($C73, 'Match Names'!$1:$22, 7, FAL"&amp;"SE), ""!C3:R29"")), {3;8;12;18}, FALSE)), ""=-4"") + COUNTIF(ARRAYFORMULA(HLOOKUP($B73, IMPORTRANGE('Match Names'!$H$23, CONCAT(VLOOKUP($C73, 'Match Names'!$1:$22, 8, FALSE), ""!C3:R29"")), {7;13;19;24}, FALSE)), ""=-4"")"),0.0)</f>
        <v>0</v>
      </c>
      <c r="H73" s="33">
        <f t="shared" si="1"/>
        <v>0.89</v>
      </c>
    </row>
    <row r="74">
      <c r="A74" s="21" t="s">
        <v>136</v>
      </c>
      <c r="B74" s="7" t="str">
        <f>VLOOKUP(CONCAT(A74, C74), 'Discord Username to Real Name'!C:D, 2, FALSE)</f>
        <v>capriisun#3255</v>
      </c>
      <c r="C74" s="21" t="s">
        <v>24</v>
      </c>
      <c r="D74" s="32">
        <f>IFERROR(__xludf.DUMMYFUNCTION("(4 - COUNTIF(IFERROR(ARRAYFORMULA(HLOOKUP($B74, IMPORTRANGE('Prelim Rankings Unsorted'!$B$40, CONCAT(VLOOKUP($C74, 'Match Names'!$A$1:$D$22, 2, FALSE), ""!C3:R29"")), {4;9;15;21}, FALSE)), 'Player Overall Stats Unsorted'!$AA$9:$AA$12), ""=X"")) + (4 - COU"&amp;"NTIF(IFERROR(ARRAYFORMULA(HLOOKUP($B74, IMPORTRANGE('Prelim Rankings Unsorted'!$B$41, CONCAT(VLOOKUP($C74, 'Match Names'!$A$1:$D$22, 3, FALSE), ""!C3:R29"")), {7;13;19;24}, FALSE)), 'Player Overall Stats Unsorted'!$AA$9:$AA$12), ""=X"")) + (4 - COUNTIF(IF"&amp;"ERROR(ARRAYFORMULA(HLOOKUP($B74, IMPORTRANGE('Prelim Rankings Unsorted'!$B$42, CONCAT(VLOOKUP($C74, 'Match Names'!$A$1:$D$22, 4, FALSE), ""!C3:R29"")), {7;13;19;24}, FALSE)), 'Player Overall Stats Unsorted'!$AA$9:$AA$12), ""=X"")) + (4 - COUNTIF(IFERROR(A"&amp;"RRAYFORMULA(HLOOKUP($B74, IMPORTRANGE('Match Names'!$E$23, CONCAT(VLOOKUP($C74, 'Match Names'!$1:$22, 5, FALSE), ""!C3:R29"")), {2;8;12;22}, FALSE)), 'Player Overall Stats Unsorted'!$AA$9:$AA$12), ""=X"")) + (4 - COUNTIF(IFERROR(ARRAYFORMULA(HLOOKUP($B74,"&amp;" IMPORTRANGE('Match Names'!$F$23, CONCAT(VLOOKUP($C74, 'Match Names'!$1:$22, 6, FALSE), ""!C3:R29"")), {3;9;15;21}, FALSE)), 'Player Overall Stats Unsorted'!$AA$9:$AA$12), ""=X"")) + (4 - COUNTIF(IFERROR(ARRAYFORMULA(HLOOKUP($B74, IMPORTRANGE('Match Names"&amp;"'!$G$23, CONCAT(VLOOKUP($C74, 'Match Names'!$1:$22, 7, FALSE), ""!C3:R29"")), {3;8;12;18}, FALSE)), 'Player Overall Stats Unsorted'!$AA$9:$AA$12), ""=X"")) + (4 - COUNTIF(IFERROR(ARRAYFORMULA(HLOOKUP($B74, IMPORTRANGE('Match Names'!$H$23, CONCAT(VLOOKUP($"&amp;"C74, 'Match Names'!$1:$22, 8, FALSE), ""!C3:R29"")), {7;13;19;24}, FALSE)), 'Player Overall Stats Unsorted'!$AA$9:$AA$12), ""=X""))"),14.0)</f>
        <v>14</v>
      </c>
      <c r="E74" s="32">
        <f>IFERROR(__xludf.DUMMYFUNCTION("COUNTIF(ARRAYFORMULA(HLOOKUP($B74, IMPORTRANGE('Prelim Rankings Unsorted'!$B$40, CONCAT(VLOOKUP($C74, 'Match Names'!$A$1:$D$22, 2, FALSE), ""!C3:R29"")), {4;9;15;21}, FALSE)), ""=4"") + COUNTIF(ARRAYFORMULA(HLOOKUP($B74, IMPORTRANGE('Prelim Rankings Unsor"&amp;"ted'!$B$41, CONCAT(VLOOKUP($C74, 'Match Names'!$A$1:$D$22, 3, FALSE), ""!C3:R29"")), {7;13;19;24}, FALSE)), ""=4"") + COUNTIF(ARRAYFORMULA(HLOOKUP($B74, IMPORTRANGE('Prelim Rankings Unsorted'!$B$42, CONCAT(VLOOKUP($C74, 'Match Names'!$A$1:$D$22, 4, FALSE)"&amp;", ""!C3:R29"")), {7;13;19;24}, FALSE)), ""=4"") + COUNTIF(ARRAYFORMULA(HLOOKUP($B74, IMPORTRANGE('Match Names'!$E$23, CONCAT(VLOOKUP($C74, 'Match Names'!$1:$22, 5, FALSE), ""!C3:R29"")), {2;8;12;22}, FALSE)), ""=4"") + COUNTIF(ARRAYFORMULA(HLOOKUP($B74, I"&amp;"MPORTRANGE('Match Names'!$F$23, CONCAT(VLOOKUP($C74, 'Match Names'!$1:$22, 6, FALSE), ""!C3:R29"")), {3;9;15;21}, FALSE)), ""=4"") + COUNTIF(ARRAYFORMULA(HLOOKUP($B74, IMPORTRANGE('Match Names'!$G$23, CONCAT(VLOOKUP($C74, 'Match Names'!$1:$22, 7, FALSE), "&amp;"""!C3:R29"")), {3;8;12;18}, FALSE)), ""=4"") + COUNTIF(ARRAYFORMULA(HLOOKUP($B74, IMPORTRANGE('Match Names'!$H$23, CONCAT(VLOOKUP($C74, 'Match Names'!$1:$22, 8, FALSE), ""!C3:R29"")), {7;13;19;24}, FALSE)), ""=4"")"),4.0)</f>
        <v>4</v>
      </c>
      <c r="F74" s="32">
        <f>IFERROR(__xludf.DUMMYFUNCTION("COUNTIF(ARRAYFORMULA(HLOOKUP($B74, IMPORTRANGE('Prelim Rankings Unsorted'!$B$40, CONCAT(VLOOKUP($C74, 'Match Names'!$A$1:$D$22, 2, FALSE), ""!C3:R29"")), {4;9;15;21}, FALSE)), ""=0"") + COUNTIF(ARRAYFORMULA(HLOOKUP($B74, IMPORTRANGE('Prelim Rankings Unsor"&amp;"ted'!$B$41, CONCAT(VLOOKUP($C74, 'Match Names'!$A$1:$D$22, 3, FALSE), ""!C3:R29"")), {7;13;19;24}, FALSE)), ""=0"") + COUNTIF(ARRAYFORMULA(HLOOKUP($B74, IMPORTRANGE('Prelim Rankings Unsorted'!$B$42, CONCAT(VLOOKUP($C74, 'Match Names'!$A$1:$D$22, 4, FALSE)"&amp;", ""!C3:R29"")), {7;13;19;24}, FALSE)), ""=0"") + COUNTIF(ARRAYFORMULA(HLOOKUP($B74, IMPORTRANGE('Match Names'!$E$23, CONCAT(VLOOKUP($C74, 'Match Names'!$1:$22, 5, FALSE), ""!C3:R29"")), {2;8;12;22}, FALSE)), ""=0"") + COUNTIF(ARRAYFORMULA(HLOOKUP($B74, I"&amp;"MPORTRANGE('Match Names'!$F$23, CONCAT(VLOOKUP($C74, 'Match Names'!$1:$22, 6, FALSE), ""!C3:R29"")), {3;9;15;21}, FALSE)), ""=0"") + COUNTIF(ARRAYFORMULA(HLOOKUP($B74, IMPORTRANGE('Match Names'!$G$23, CONCAT(VLOOKUP($C74, 'Match Names'!$1:$22, 7, FALSE), "&amp;"""!C3:R29"")), {3;8;12;18}, FALSE)), ""=0"") + COUNTIF(ARRAYFORMULA(HLOOKUP($B74, IMPORTRANGE('Match Names'!$H$23, CONCAT(VLOOKUP($C74, 'Match Names'!$1:$22, 8, FALSE), ""!C3:R29"")), {7;13;19;24}, FALSE)), ""=0"")"),3.0)</f>
        <v>3</v>
      </c>
      <c r="G74" s="32">
        <f>IFERROR(__xludf.DUMMYFUNCTION("COUNTIF(ARRAYFORMULA(HLOOKUP($B74, IMPORTRANGE('Prelim Rankings Unsorted'!$B$40, CONCAT(VLOOKUP($C74, 'Match Names'!$A$1:$D$22, 2, FALSE), ""!C3:R29"")), {4;9;15;21}, FALSE)), ""=-4"") + COUNTIF(ARRAYFORMULA(HLOOKUP($B74, IMPORTRANGE('Prelim Rankings Unso"&amp;"rted'!$B$41, CONCAT(VLOOKUP($C74, 'Match Names'!$A$1:$D$22, 3, FALSE), ""!C3:R29"")), {7;13;19;24}, FALSE)), ""=-4"") + COUNTIF(ARRAYFORMULA(HLOOKUP($B74, IMPORTRANGE('Prelim Rankings Unsorted'!$B$42, CONCAT(VLOOKUP($C74, 'Match Names'!$A$1:$D$22, 4, FALS"&amp;"E), ""!C3:R29"")), {7;13;19;24}, FALSE)), ""=-4"") + COUNTIF(ARRAYFORMULA(HLOOKUP($B74, IMPORTRANGE('Match Names'!$E$23, CONCAT(VLOOKUP($C74, 'Match Names'!$1:$22, 5, FALSE), ""!C3:R29"")), {2;8;12;22}, FALSE)), ""=-4"") + COUNTIF(ARRAYFORMULA(HLOOKUP($B7"&amp;"4, IMPORTRANGE('Match Names'!$F$23, CONCAT(VLOOKUP($C74, 'Match Names'!$1:$22, 6, FALSE), ""!C3:R29"")), {3;9;15;21}, FALSE)), ""=-4"") + COUNTIF(ARRAYFORMULA(HLOOKUP($B74, IMPORTRANGE('Match Names'!$G$23, CONCAT(VLOOKUP($C74, 'Match Names'!$1:$22, 7, FAL"&amp;"SE), ""!C3:R29"")), {3;8;12;18}, FALSE)), ""=-4"") + COUNTIF(ARRAYFORMULA(HLOOKUP($B74, IMPORTRANGE('Match Names'!$H$23, CONCAT(VLOOKUP($C74, 'Match Names'!$1:$22, 8, FALSE), ""!C3:R29"")), {7;13;19;24}, FALSE)), ""=-4"")"),1.0)</f>
        <v>1</v>
      </c>
      <c r="H74" s="33">
        <f t="shared" si="1"/>
        <v>3.43</v>
      </c>
    </row>
    <row r="75">
      <c r="A75" s="21" t="s">
        <v>52</v>
      </c>
      <c r="B75" s="7" t="str">
        <f>VLOOKUP(CONCAT(A75, C75), 'Discord Username to Real Name'!C:D, 2, FALSE)</f>
        <v>cindyhlu#0060</v>
      </c>
      <c r="C75" s="21" t="s">
        <v>24</v>
      </c>
      <c r="D75" s="32">
        <f>IFERROR(__xludf.DUMMYFUNCTION("(4 - COUNTIF(IFERROR(ARRAYFORMULA(HLOOKUP($B75, IMPORTRANGE('Prelim Rankings Unsorted'!$B$40, CONCAT(VLOOKUP($C75, 'Match Names'!$A$1:$D$22, 2, FALSE), ""!C3:R29"")), {4;9;15;21}, FALSE)), 'Player Overall Stats Unsorted'!$AA$9:$AA$12), ""=X"")) + (4 - COU"&amp;"NTIF(IFERROR(ARRAYFORMULA(HLOOKUP($B75, IMPORTRANGE('Prelim Rankings Unsorted'!$B$41, CONCAT(VLOOKUP($C75, 'Match Names'!$A$1:$D$22, 3, FALSE), ""!C3:R29"")), {7;13;19;24}, FALSE)), 'Player Overall Stats Unsorted'!$AA$9:$AA$12), ""=X"")) + (4 - COUNTIF(IF"&amp;"ERROR(ARRAYFORMULA(HLOOKUP($B75, IMPORTRANGE('Prelim Rankings Unsorted'!$B$42, CONCAT(VLOOKUP($C75, 'Match Names'!$A$1:$D$22, 4, FALSE), ""!C3:R29"")), {7;13;19;24}, FALSE)), 'Player Overall Stats Unsorted'!$AA$9:$AA$12), ""=X"")) + (4 - COUNTIF(IFERROR(A"&amp;"RRAYFORMULA(HLOOKUP($B75, IMPORTRANGE('Match Names'!$E$23, CONCAT(VLOOKUP($C75, 'Match Names'!$1:$22, 5, FALSE), ""!C3:R29"")), {2;8;12;22}, FALSE)), 'Player Overall Stats Unsorted'!$AA$9:$AA$12), ""=X"")) + (4 - COUNTIF(IFERROR(ARRAYFORMULA(HLOOKUP($B75,"&amp;" IMPORTRANGE('Match Names'!$F$23, CONCAT(VLOOKUP($C75, 'Match Names'!$1:$22, 6, FALSE), ""!C3:R29"")), {3;9;15;21}, FALSE)), 'Player Overall Stats Unsorted'!$AA$9:$AA$12), ""=X"")) + (4 - COUNTIF(IFERROR(ARRAYFORMULA(HLOOKUP($B75, IMPORTRANGE('Match Names"&amp;"'!$G$23, CONCAT(VLOOKUP($C75, 'Match Names'!$1:$22, 7, FALSE), ""!C3:R29"")), {3;8;12;18}, FALSE)), 'Player Overall Stats Unsorted'!$AA$9:$AA$12), ""=X"")) + (4 - COUNTIF(IFERROR(ARRAYFORMULA(HLOOKUP($B75, IMPORTRANGE('Match Names'!$H$23, CONCAT(VLOOKUP($"&amp;"C75, 'Match Names'!$1:$22, 8, FALSE), ""!C3:R29"")), {7;13;19;24}, FALSE)), 'Player Overall Stats Unsorted'!$AA$9:$AA$12), ""=X""))"),14.0)</f>
        <v>14</v>
      </c>
      <c r="E75" s="32">
        <f>IFERROR(__xludf.DUMMYFUNCTION("COUNTIF(ARRAYFORMULA(HLOOKUP($B75, IMPORTRANGE('Prelim Rankings Unsorted'!$B$40, CONCAT(VLOOKUP($C75, 'Match Names'!$A$1:$D$22, 2, FALSE), ""!C3:R29"")), {4;9;15;21}, FALSE)), ""=4"") + COUNTIF(ARRAYFORMULA(HLOOKUP($B75, IMPORTRANGE('Prelim Rankings Unsor"&amp;"ted'!$B$41, CONCAT(VLOOKUP($C75, 'Match Names'!$A$1:$D$22, 3, FALSE), ""!C3:R29"")), {7;13;19;24}, FALSE)), ""=4"") + COUNTIF(ARRAYFORMULA(HLOOKUP($B75, IMPORTRANGE('Prelim Rankings Unsorted'!$B$42, CONCAT(VLOOKUP($C75, 'Match Names'!$A$1:$D$22, 4, FALSE)"&amp;", ""!C3:R29"")), {7;13;19;24}, FALSE)), ""=4"") + COUNTIF(ARRAYFORMULA(HLOOKUP($B75, IMPORTRANGE('Match Names'!$E$23, CONCAT(VLOOKUP($C75, 'Match Names'!$1:$22, 5, FALSE), ""!C3:R29"")), {2;8;12;22}, FALSE)), ""=4"") + COUNTIF(ARRAYFORMULA(HLOOKUP($B75, I"&amp;"MPORTRANGE('Match Names'!$F$23, CONCAT(VLOOKUP($C75, 'Match Names'!$1:$22, 6, FALSE), ""!C3:R29"")), {3;9;15;21}, FALSE)), ""=4"") + COUNTIF(ARRAYFORMULA(HLOOKUP($B75, IMPORTRANGE('Match Names'!$G$23, CONCAT(VLOOKUP($C75, 'Match Names'!$1:$22, 7, FALSE), "&amp;"""!C3:R29"")), {3;8;12;18}, FALSE)), ""=4"") + COUNTIF(ARRAYFORMULA(HLOOKUP($B75, IMPORTRANGE('Match Names'!$H$23, CONCAT(VLOOKUP($C75, 'Match Names'!$1:$22, 8, FALSE), ""!C3:R29"")), {7;13;19;24}, FALSE)), ""=4"")"),0.0)</f>
        <v>0</v>
      </c>
      <c r="F75" s="32">
        <f>IFERROR(__xludf.DUMMYFUNCTION("COUNTIF(ARRAYFORMULA(HLOOKUP($B75, IMPORTRANGE('Prelim Rankings Unsorted'!$B$40, CONCAT(VLOOKUP($C75, 'Match Names'!$A$1:$D$22, 2, FALSE), ""!C3:R29"")), {4;9;15;21}, FALSE)), ""=0"") + COUNTIF(ARRAYFORMULA(HLOOKUP($B75, IMPORTRANGE('Prelim Rankings Unsor"&amp;"ted'!$B$41, CONCAT(VLOOKUP($C75, 'Match Names'!$A$1:$D$22, 3, FALSE), ""!C3:R29"")), {7;13;19;24}, FALSE)), ""=0"") + COUNTIF(ARRAYFORMULA(HLOOKUP($B75, IMPORTRANGE('Prelim Rankings Unsorted'!$B$42, CONCAT(VLOOKUP($C75, 'Match Names'!$A$1:$D$22, 4, FALSE)"&amp;", ""!C3:R29"")), {7;13;19;24}, FALSE)), ""=0"") + COUNTIF(ARRAYFORMULA(HLOOKUP($B75, IMPORTRANGE('Match Names'!$E$23, CONCAT(VLOOKUP($C75, 'Match Names'!$1:$22, 5, FALSE), ""!C3:R29"")), {2;8;12;22}, FALSE)), ""=0"") + COUNTIF(ARRAYFORMULA(HLOOKUP($B75, I"&amp;"MPORTRANGE('Match Names'!$F$23, CONCAT(VLOOKUP($C75, 'Match Names'!$1:$22, 6, FALSE), ""!C3:R29"")), {3;9;15;21}, FALSE)), ""=0"") + COUNTIF(ARRAYFORMULA(HLOOKUP($B75, IMPORTRANGE('Match Names'!$G$23, CONCAT(VLOOKUP($C75, 'Match Names'!$1:$22, 7, FALSE), "&amp;"""!C3:R29"")), {3;8;12;18}, FALSE)), ""=0"") + COUNTIF(ARRAYFORMULA(HLOOKUP($B75, IMPORTRANGE('Match Names'!$H$23, CONCAT(VLOOKUP($C75, 'Match Names'!$1:$22, 8, FALSE), ""!C3:R29"")), {7;13;19;24}, FALSE)), ""=0"")"),0.0)</f>
        <v>0</v>
      </c>
      <c r="G75" s="32">
        <f>IFERROR(__xludf.DUMMYFUNCTION("COUNTIF(ARRAYFORMULA(HLOOKUP($B75, IMPORTRANGE('Prelim Rankings Unsorted'!$B$40, CONCAT(VLOOKUP($C75, 'Match Names'!$A$1:$D$22, 2, FALSE), ""!C3:R29"")), {4;9;15;21}, FALSE)), ""=-4"") + COUNTIF(ARRAYFORMULA(HLOOKUP($B75, IMPORTRANGE('Prelim Rankings Unso"&amp;"rted'!$B$41, CONCAT(VLOOKUP($C75, 'Match Names'!$A$1:$D$22, 3, FALSE), ""!C3:R29"")), {7;13;19;24}, FALSE)), ""=-4"") + COUNTIF(ARRAYFORMULA(HLOOKUP($B75, IMPORTRANGE('Prelim Rankings Unsorted'!$B$42, CONCAT(VLOOKUP($C75, 'Match Names'!$A$1:$D$22, 4, FALS"&amp;"E), ""!C3:R29"")), {7;13;19;24}, FALSE)), ""=-4"") + COUNTIF(ARRAYFORMULA(HLOOKUP($B75, IMPORTRANGE('Match Names'!$E$23, CONCAT(VLOOKUP($C75, 'Match Names'!$1:$22, 5, FALSE), ""!C3:R29"")), {2;8;12;22}, FALSE)), ""=-4"") + COUNTIF(ARRAYFORMULA(HLOOKUP($B7"&amp;"5, IMPORTRANGE('Match Names'!$F$23, CONCAT(VLOOKUP($C75, 'Match Names'!$1:$22, 6, FALSE), ""!C3:R29"")), {3;9;15;21}, FALSE)), ""=-4"") + COUNTIF(ARRAYFORMULA(HLOOKUP($B75, IMPORTRANGE('Match Names'!$G$23, CONCAT(VLOOKUP($C75, 'Match Names'!$1:$22, 7, FAL"&amp;"SE), ""!C3:R29"")), {3;8;12;18}, FALSE)), ""=-4"") + COUNTIF(ARRAYFORMULA(HLOOKUP($B75, IMPORTRANGE('Match Names'!$H$23, CONCAT(VLOOKUP($C75, 'Match Names'!$1:$22, 8, FALSE), ""!C3:R29"")), {7;13;19;24}, FALSE)), ""=-4"")"),0.0)</f>
        <v>0</v>
      </c>
      <c r="H75" s="33">
        <f t="shared" si="1"/>
        <v>0</v>
      </c>
    </row>
    <row r="76">
      <c r="A76" s="21" t="s">
        <v>13</v>
      </c>
      <c r="B76" s="7" t="str">
        <f>VLOOKUP(CONCAT(A76, C76), 'Discord Username to Real Name'!C:D, 2, FALSE)</f>
        <v>alienated#7505</v>
      </c>
      <c r="C76" s="21" t="s">
        <v>24</v>
      </c>
      <c r="D76" s="32">
        <f>IFERROR(__xludf.DUMMYFUNCTION("(4 - COUNTIF(IFERROR(ARRAYFORMULA(HLOOKUP($B76, IMPORTRANGE('Prelim Rankings Unsorted'!$B$40, CONCAT(VLOOKUP($C76, 'Match Names'!$A$1:$D$22, 2, FALSE), ""!C3:R29"")), {4;9;15;21}, FALSE)), 'Player Overall Stats Unsorted'!$AA$9:$AA$12), ""=X"")) + (4 - COU"&amp;"NTIF(IFERROR(ARRAYFORMULA(HLOOKUP($B76, IMPORTRANGE('Prelim Rankings Unsorted'!$B$41, CONCAT(VLOOKUP($C76, 'Match Names'!$A$1:$D$22, 3, FALSE), ""!C3:R29"")), {7;13;19;24}, FALSE)), 'Player Overall Stats Unsorted'!$AA$9:$AA$12), ""=X"")) + (4 - COUNTIF(IF"&amp;"ERROR(ARRAYFORMULA(HLOOKUP($B76, IMPORTRANGE('Prelim Rankings Unsorted'!$B$42, CONCAT(VLOOKUP($C76, 'Match Names'!$A$1:$D$22, 4, FALSE), ""!C3:R29"")), {7;13;19;24}, FALSE)), 'Player Overall Stats Unsorted'!$AA$9:$AA$12), ""=X"")) + (4 - COUNTIF(IFERROR(A"&amp;"RRAYFORMULA(HLOOKUP($B76, IMPORTRANGE('Match Names'!$E$23, CONCAT(VLOOKUP($C76, 'Match Names'!$1:$22, 5, FALSE), ""!C3:R29"")), {2;8;12;22}, FALSE)), 'Player Overall Stats Unsorted'!$AA$9:$AA$12), ""=X"")) + (4 - COUNTIF(IFERROR(ARRAYFORMULA(HLOOKUP($B76,"&amp;" IMPORTRANGE('Match Names'!$F$23, CONCAT(VLOOKUP($C76, 'Match Names'!$1:$22, 6, FALSE), ""!C3:R29"")), {3;9;15;21}, FALSE)), 'Player Overall Stats Unsorted'!$AA$9:$AA$12), ""=X"")) + (4 - COUNTIF(IFERROR(ARRAYFORMULA(HLOOKUP($B76, IMPORTRANGE('Match Names"&amp;"'!$G$23, CONCAT(VLOOKUP($C76, 'Match Names'!$1:$22, 7, FALSE), ""!C3:R29"")), {3;8;12;18}, FALSE)), 'Player Overall Stats Unsorted'!$AA$9:$AA$12), ""=X"")) + (4 - COUNTIF(IFERROR(ARRAYFORMULA(HLOOKUP($B76, IMPORTRANGE('Match Names'!$H$23, CONCAT(VLOOKUP($"&amp;"C76, 'Match Names'!$1:$22, 8, FALSE), ""!C3:R29"")), {7;13;19;24}, FALSE)), 'Player Overall Stats Unsorted'!$AA$9:$AA$12), ""=X""))"),17.0)</f>
        <v>17</v>
      </c>
      <c r="E76" s="32">
        <f>IFERROR(__xludf.DUMMYFUNCTION("COUNTIF(ARRAYFORMULA(HLOOKUP($B76, IMPORTRANGE('Prelim Rankings Unsorted'!$B$40, CONCAT(VLOOKUP($C76, 'Match Names'!$A$1:$D$22, 2, FALSE), ""!C3:R29"")), {4;9;15;21}, FALSE)), ""=4"") + COUNTIF(ARRAYFORMULA(HLOOKUP($B76, IMPORTRANGE('Prelim Rankings Unsor"&amp;"ted'!$B$41, CONCAT(VLOOKUP($C76, 'Match Names'!$A$1:$D$22, 3, FALSE), ""!C3:R29"")), {7;13;19;24}, FALSE)), ""=4"") + COUNTIF(ARRAYFORMULA(HLOOKUP($B76, IMPORTRANGE('Prelim Rankings Unsorted'!$B$42, CONCAT(VLOOKUP($C76, 'Match Names'!$A$1:$D$22, 4, FALSE)"&amp;", ""!C3:R29"")), {7;13;19;24}, FALSE)), ""=4"") + COUNTIF(ARRAYFORMULA(HLOOKUP($B76, IMPORTRANGE('Match Names'!$E$23, CONCAT(VLOOKUP($C76, 'Match Names'!$1:$22, 5, FALSE), ""!C3:R29"")), {2;8;12;22}, FALSE)), ""=4"") + COUNTIF(ARRAYFORMULA(HLOOKUP($B76, I"&amp;"MPORTRANGE('Match Names'!$F$23, CONCAT(VLOOKUP($C76, 'Match Names'!$1:$22, 6, FALSE), ""!C3:R29"")), {3;9;15;21}, FALSE)), ""=4"") + COUNTIF(ARRAYFORMULA(HLOOKUP($B76, IMPORTRANGE('Match Names'!$G$23, CONCAT(VLOOKUP($C76, 'Match Names'!$1:$22, 7, FALSE), "&amp;"""!C3:R29"")), {3;8;12;18}, FALSE)), ""=4"") + COUNTIF(ARRAYFORMULA(HLOOKUP($B76, IMPORTRANGE('Match Names'!$H$23, CONCAT(VLOOKUP($C76, 'Match Names'!$1:$22, 8, FALSE), ""!C3:R29"")), {7;13;19;24}, FALSE)), ""=4"")"),1.0)</f>
        <v>1</v>
      </c>
      <c r="F76" s="32">
        <f>IFERROR(__xludf.DUMMYFUNCTION("COUNTIF(ARRAYFORMULA(HLOOKUP($B76, IMPORTRANGE('Prelim Rankings Unsorted'!$B$40, CONCAT(VLOOKUP($C76, 'Match Names'!$A$1:$D$22, 2, FALSE), ""!C3:R29"")), {4;9;15;21}, FALSE)), ""=0"") + COUNTIF(ARRAYFORMULA(HLOOKUP($B76, IMPORTRANGE('Prelim Rankings Unsor"&amp;"ted'!$B$41, CONCAT(VLOOKUP($C76, 'Match Names'!$A$1:$D$22, 3, FALSE), ""!C3:R29"")), {7;13;19;24}, FALSE)), ""=0"") + COUNTIF(ARRAYFORMULA(HLOOKUP($B76, IMPORTRANGE('Prelim Rankings Unsorted'!$B$42, CONCAT(VLOOKUP($C76, 'Match Names'!$A$1:$D$22, 4, FALSE)"&amp;", ""!C3:R29"")), {7;13;19;24}, FALSE)), ""=0"") + COUNTIF(ARRAYFORMULA(HLOOKUP($B76, IMPORTRANGE('Match Names'!$E$23, CONCAT(VLOOKUP($C76, 'Match Names'!$1:$22, 5, FALSE), ""!C3:R29"")), {2;8;12;22}, FALSE)), ""=0"") + COUNTIF(ARRAYFORMULA(HLOOKUP($B76, I"&amp;"MPORTRANGE('Match Names'!$F$23, CONCAT(VLOOKUP($C76, 'Match Names'!$1:$22, 6, FALSE), ""!C3:R29"")), {3;9;15;21}, FALSE)), ""=0"") + COUNTIF(ARRAYFORMULA(HLOOKUP($B76, IMPORTRANGE('Match Names'!$G$23, CONCAT(VLOOKUP($C76, 'Match Names'!$1:$22, 7, FALSE), "&amp;"""!C3:R29"")), {3;8;12;18}, FALSE)), ""=0"") + COUNTIF(ARRAYFORMULA(HLOOKUP($B76, IMPORTRANGE('Match Names'!$H$23, CONCAT(VLOOKUP($C76, 'Match Names'!$1:$22, 8, FALSE), ""!C3:R29"")), {7;13;19;24}, FALSE)), ""=0"")"),0.0)</f>
        <v>0</v>
      </c>
      <c r="G76" s="32">
        <f>IFERROR(__xludf.DUMMYFUNCTION("COUNTIF(ARRAYFORMULA(HLOOKUP($B76, IMPORTRANGE('Prelim Rankings Unsorted'!$B$40, CONCAT(VLOOKUP($C76, 'Match Names'!$A$1:$D$22, 2, FALSE), ""!C3:R29"")), {4;9;15;21}, FALSE)), ""=-4"") + COUNTIF(ARRAYFORMULA(HLOOKUP($B76, IMPORTRANGE('Prelim Rankings Unso"&amp;"rted'!$B$41, CONCAT(VLOOKUP($C76, 'Match Names'!$A$1:$D$22, 3, FALSE), ""!C3:R29"")), {7;13;19;24}, FALSE)), ""=-4"") + COUNTIF(ARRAYFORMULA(HLOOKUP($B76, IMPORTRANGE('Prelim Rankings Unsorted'!$B$42, CONCAT(VLOOKUP($C76, 'Match Names'!$A$1:$D$22, 4, FALS"&amp;"E), ""!C3:R29"")), {7;13;19;24}, FALSE)), ""=-4"") + COUNTIF(ARRAYFORMULA(HLOOKUP($B76, IMPORTRANGE('Match Names'!$E$23, CONCAT(VLOOKUP($C76, 'Match Names'!$1:$22, 5, FALSE), ""!C3:R29"")), {2;8;12;22}, FALSE)), ""=-4"") + COUNTIF(ARRAYFORMULA(HLOOKUP($B7"&amp;"6, IMPORTRANGE('Match Names'!$F$23, CONCAT(VLOOKUP($C76, 'Match Names'!$1:$22, 6, FALSE), ""!C3:R29"")), {3;9;15;21}, FALSE)), ""=-4"") + COUNTIF(ARRAYFORMULA(HLOOKUP($B76, IMPORTRANGE('Match Names'!$G$23, CONCAT(VLOOKUP($C76, 'Match Names'!$1:$22, 7, FAL"&amp;"SE), ""!C3:R29"")), {3;8;12;18}, FALSE)), ""=-4"") + COUNTIF(ARRAYFORMULA(HLOOKUP($B76, IMPORTRANGE('Match Names'!$H$23, CONCAT(VLOOKUP($C76, 'Match Names'!$1:$22, 8, FALSE), ""!C3:R29"")), {7;13;19;24}, FALSE)), ""=-4"")"),0.0)</f>
        <v>0</v>
      </c>
      <c r="H76" s="33">
        <f t="shared" si="1"/>
        <v>0.94</v>
      </c>
    </row>
    <row r="77">
      <c r="A77" s="21" t="s">
        <v>155</v>
      </c>
      <c r="B77" s="7" t="str">
        <f>VLOOKUP(CONCAT(A77, C77), 'Discord Username to Real Name'!C:D, 2, FALSE)</f>
        <v>xplt#4416</v>
      </c>
      <c r="C77" s="21" t="s">
        <v>24</v>
      </c>
      <c r="D77" s="32">
        <f>IFERROR(__xludf.DUMMYFUNCTION("(4 - COUNTIF(IFERROR(ARRAYFORMULA(HLOOKUP($B77, IMPORTRANGE('Prelim Rankings Unsorted'!$B$40, CONCAT(VLOOKUP($C77, 'Match Names'!$A$1:$D$22, 2, FALSE), ""!C3:R29"")), {4;9;15;21}, FALSE)), 'Player Overall Stats Unsorted'!$AA$9:$AA$12), ""=X"")) + (4 - COU"&amp;"NTIF(IFERROR(ARRAYFORMULA(HLOOKUP($B77, IMPORTRANGE('Prelim Rankings Unsorted'!$B$41, CONCAT(VLOOKUP($C77, 'Match Names'!$A$1:$D$22, 3, FALSE), ""!C3:R29"")), {7;13;19;24}, FALSE)), 'Player Overall Stats Unsorted'!$AA$9:$AA$12), ""=X"")) + (4 - COUNTIF(IF"&amp;"ERROR(ARRAYFORMULA(HLOOKUP($B77, IMPORTRANGE('Prelim Rankings Unsorted'!$B$42, CONCAT(VLOOKUP($C77, 'Match Names'!$A$1:$D$22, 4, FALSE), ""!C3:R29"")), {7;13;19;24}, FALSE)), 'Player Overall Stats Unsorted'!$AA$9:$AA$12), ""=X"")) + (4 - COUNTIF(IFERROR(A"&amp;"RRAYFORMULA(HLOOKUP($B77, IMPORTRANGE('Match Names'!$E$23, CONCAT(VLOOKUP($C77, 'Match Names'!$1:$22, 5, FALSE), ""!C3:R29"")), {2;8;12;22}, FALSE)), 'Player Overall Stats Unsorted'!$AA$9:$AA$12), ""=X"")) + (4 - COUNTIF(IFERROR(ARRAYFORMULA(HLOOKUP($B77,"&amp;" IMPORTRANGE('Match Names'!$F$23, CONCAT(VLOOKUP($C77, 'Match Names'!$1:$22, 6, FALSE), ""!C3:R29"")), {3;9;15;21}, FALSE)), 'Player Overall Stats Unsorted'!$AA$9:$AA$12), ""=X"")) + (4 - COUNTIF(IFERROR(ARRAYFORMULA(HLOOKUP($B77, IMPORTRANGE('Match Names"&amp;"'!$G$23, CONCAT(VLOOKUP($C77, 'Match Names'!$1:$22, 7, FALSE), ""!C3:R29"")), {3;8;12;18}, FALSE)), 'Player Overall Stats Unsorted'!$AA$9:$AA$12), ""=X"")) + (4 - COUNTIF(IFERROR(ARRAYFORMULA(HLOOKUP($B77, IMPORTRANGE('Match Names'!$H$23, CONCAT(VLOOKUP($"&amp;"C77, 'Match Names'!$1:$22, 8, FALSE), ""!C3:R29"")), {7;13;19;24}, FALSE)), 'Player Overall Stats Unsorted'!$AA$9:$AA$12), ""=X""))"),16.0)</f>
        <v>16</v>
      </c>
      <c r="E77" s="32">
        <f>IFERROR(__xludf.DUMMYFUNCTION("COUNTIF(ARRAYFORMULA(HLOOKUP($B77, IMPORTRANGE('Prelim Rankings Unsorted'!$B$40, CONCAT(VLOOKUP($C77, 'Match Names'!$A$1:$D$22, 2, FALSE), ""!C3:R29"")), {4;9;15;21}, FALSE)), ""=4"") + COUNTIF(ARRAYFORMULA(HLOOKUP($B77, IMPORTRANGE('Prelim Rankings Unsor"&amp;"ted'!$B$41, CONCAT(VLOOKUP($C77, 'Match Names'!$A$1:$D$22, 3, FALSE), ""!C3:R29"")), {7;13;19;24}, FALSE)), ""=4"") + COUNTIF(ARRAYFORMULA(HLOOKUP($B77, IMPORTRANGE('Prelim Rankings Unsorted'!$B$42, CONCAT(VLOOKUP($C77, 'Match Names'!$A$1:$D$22, 4, FALSE)"&amp;", ""!C3:R29"")), {7;13;19;24}, FALSE)), ""=4"") + COUNTIF(ARRAYFORMULA(HLOOKUP($B77, IMPORTRANGE('Match Names'!$E$23, CONCAT(VLOOKUP($C77, 'Match Names'!$1:$22, 5, FALSE), ""!C3:R29"")), {2;8;12;22}, FALSE)), ""=4"") + COUNTIF(ARRAYFORMULA(HLOOKUP($B77, I"&amp;"MPORTRANGE('Match Names'!$F$23, CONCAT(VLOOKUP($C77, 'Match Names'!$1:$22, 6, FALSE), ""!C3:R29"")), {3;9;15;21}, FALSE)), ""=4"") + COUNTIF(ARRAYFORMULA(HLOOKUP($B77, IMPORTRANGE('Match Names'!$G$23, CONCAT(VLOOKUP($C77, 'Match Names'!$1:$22, 7, FALSE), "&amp;"""!C3:R29"")), {3;8;12;18}, FALSE)), ""=4"") + COUNTIF(ARRAYFORMULA(HLOOKUP($B77, IMPORTRANGE('Match Names'!$H$23, CONCAT(VLOOKUP($C77, 'Match Names'!$1:$22, 8, FALSE), ""!C3:R29"")), {7;13;19;24}, FALSE)), ""=4"")"),0.0)</f>
        <v>0</v>
      </c>
      <c r="F77" s="32">
        <f>IFERROR(__xludf.DUMMYFUNCTION("COUNTIF(ARRAYFORMULA(HLOOKUP($B77, IMPORTRANGE('Prelim Rankings Unsorted'!$B$40, CONCAT(VLOOKUP($C77, 'Match Names'!$A$1:$D$22, 2, FALSE), ""!C3:R29"")), {4;9;15;21}, FALSE)), ""=0"") + COUNTIF(ARRAYFORMULA(HLOOKUP($B77, IMPORTRANGE('Prelim Rankings Unsor"&amp;"ted'!$B$41, CONCAT(VLOOKUP($C77, 'Match Names'!$A$1:$D$22, 3, FALSE), ""!C3:R29"")), {7;13;19;24}, FALSE)), ""=0"") + COUNTIF(ARRAYFORMULA(HLOOKUP($B77, IMPORTRANGE('Prelim Rankings Unsorted'!$B$42, CONCAT(VLOOKUP($C77, 'Match Names'!$A$1:$D$22, 4, FALSE)"&amp;", ""!C3:R29"")), {7;13;19;24}, FALSE)), ""=0"") + COUNTIF(ARRAYFORMULA(HLOOKUP($B77, IMPORTRANGE('Match Names'!$E$23, CONCAT(VLOOKUP($C77, 'Match Names'!$1:$22, 5, FALSE), ""!C3:R29"")), {2;8;12;22}, FALSE)), ""=0"") + COUNTIF(ARRAYFORMULA(HLOOKUP($B77, I"&amp;"MPORTRANGE('Match Names'!$F$23, CONCAT(VLOOKUP($C77, 'Match Names'!$1:$22, 6, FALSE), ""!C3:R29"")), {3;9;15;21}, FALSE)), ""=0"") + COUNTIF(ARRAYFORMULA(HLOOKUP($B77, IMPORTRANGE('Match Names'!$G$23, CONCAT(VLOOKUP($C77, 'Match Names'!$1:$22, 7, FALSE), "&amp;"""!C3:R29"")), {3;8;12;18}, FALSE)), ""=0"") + COUNTIF(ARRAYFORMULA(HLOOKUP($B77, IMPORTRANGE('Match Names'!$H$23, CONCAT(VLOOKUP($C77, 'Match Names'!$1:$22, 8, FALSE), ""!C3:R29"")), {7;13;19;24}, FALSE)), ""=0"")"),0.0)</f>
        <v>0</v>
      </c>
      <c r="G77" s="32">
        <f>IFERROR(__xludf.DUMMYFUNCTION("COUNTIF(ARRAYFORMULA(HLOOKUP($B77, IMPORTRANGE('Prelim Rankings Unsorted'!$B$40, CONCAT(VLOOKUP($C77, 'Match Names'!$A$1:$D$22, 2, FALSE), ""!C3:R29"")), {4;9;15;21}, FALSE)), ""=-4"") + COUNTIF(ARRAYFORMULA(HLOOKUP($B77, IMPORTRANGE('Prelim Rankings Unso"&amp;"rted'!$B$41, CONCAT(VLOOKUP($C77, 'Match Names'!$A$1:$D$22, 3, FALSE), ""!C3:R29"")), {7;13;19;24}, FALSE)), ""=-4"") + COUNTIF(ARRAYFORMULA(HLOOKUP($B77, IMPORTRANGE('Prelim Rankings Unsorted'!$B$42, CONCAT(VLOOKUP($C77, 'Match Names'!$A$1:$D$22, 4, FALS"&amp;"E), ""!C3:R29"")), {7;13;19;24}, FALSE)), ""=-4"") + COUNTIF(ARRAYFORMULA(HLOOKUP($B77, IMPORTRANGE('Match Names'!$E$23, CONCAT(VLOOKUP($C77, 'Match Names'!$1:$22, 5, FALSE), ""!C3:R29"")), {2;8;12;22}, FALSE)), ""=-4"") + COUNTIF(ARRAYFORMULA(HLOOKUP($B7"&amp;"7, IMPORTRANGE('Match Names'!$F$23, CONCAT(VLOOKUP($C77, 'Match Names'!$1:$22, 6, FALSE), ""!C3:R29"")), {3;9;15;21}, FALSE)), ""=-4"") + COUNTIF(ARRAYFORMULA(HLOOKUP($B77, IMPORTRANGE('Match Names'!$G$23, CONCAT(VLOOKUP($C77, 'Match Names'!$1:$22, 7, FAL"&amp;"SE), ""!C3:R29"")), {3;8;12;18}, FALSE)), ""=-4"") + COUNTIF(ARRAYFORMULA(HLOOKUP($B77, IMPORTRANGE('Match Names'!$H$23, CONCAT(VLOOKUP($C77, 'Match Names'!$1:$22, 8, FALSE), ""!C3:R29"")), {7;13;19;24}, FALSE)), ""=-4"")"),0.0)</f>
        <v>0</v>
      </c>
      <c r="H77" s="33">
        <f t="shared" si="1"/>
        <v>0</v>
      </c>
    </row>
    <row r="78">
      <c r="A78" s="21" t="s">
        <v>150</v>
      </c>
      <c r="B78" s="7" t="str">
        <f>VLOOKUP(CONCAT(A78, C78), 'Discord Username to Real Name'!C:D, 2, FALSE)</f>
        <v>aaron0109#6251</v>
      </c>
      <c r="C78" s="21" t="s">
        <v>23</v>
      </c>
      <c r="D78" s="32">
        <f>IFERROR(__xludf.DUMMYFUNCTION("(4 - COUNTIF(IFERROR(ARRAYFORMULA(HLOOKUP($B78, IMPORTRANGE('Prelim Rankings Unsorted'!$B$40, CONCAT(VLOOKUP($C78, 'Match Names'!$A$1:$D$22, 2, FALSE), ""!C3:R29"")), {4;9;15;21}, FALSE)), 'Player Overall Stats Unsorted'!$AA$9:$AA$12), ""=X"")) + (4 - COU"&amp;"NTIF(IFERROR(ARRAYFORMULA(HLOOKUP($B78, IMPORTRANGE('Prelim Rankings Unsorted'!$B$41, CONCAT(VLOOKUP($C78, 'Match Names'!$A$1:$D$22, 3, FALSE), ""!C3:R29"")), {7;13;19;24}, FALSE)), 'Player Overall Stats Unsorted'!$AA$9:$AA$12), ""=X"")) + (4 - COUNTIF(IF"&amp;"ERROR(ARRAYFORMULA(HLOOKUP($B78, IMPORTRANGE('Prelim Rankings Unsorted'!$B$42, CONCAT(VLOOKUP($C78, 'Match Names'!$A$1:$D$22, 4, FALSE), ""!C3:R29"")), {7;13;19;24}, FALSE)), 'Player Overall Stats Unsorted'!$AA$9:$AA$12), ""=X"")) + (4 - COUNTIF(IFERROR(A"&amp;"RRAYFORMULA(HLOOKUP($B78, IMPORTRANGE('Match Names'!$E$23, CONCAT(VLOOKUP($C78, 'Match Names'!$1:$22, 5, FALSE), ""!C3:R29"")), {2;8;12;22}, FALSE)), 'Player Overall Stats Unsorted'!$AA$9:$AA$12), ""=X"")) + (4 - COUNTIF(IFERROR(ARRAYFORMULA(HLOOKUP($B78,"&amp;" IMPORTRANGE('Match Names'!$F$23, CONCAT(VLOOKUP($C78, 'Match Names'!$1:$22, 6, FALSE), ""!C3:R29"")), {3;9;15;21}, FALSE)), 'Player Overall Stats Unsorted'!$AA$9:$AA$12), ""=X"")) + (4 - COUNTIF(IFERROR(ARRAYFORMULA(HLOOKUP($B78, IMPORTRANGE('Match Names"&amp;"'!$G$23, CONCAT(VLOOKUP($C78, 'Match Names'!$1:$22, 7, FALSE), ""!C3:R29"")), {3;8;12;18}, FALSE)), 'Player Overall Stats Unsorted'!$AA$9:$AA$12), ""=X"")) + (4 - COUNTIF(IFERROR(ARRAYFORMULA(HLOOKUP($B78, IMPORTRANGE('Match Names'!$H$23, CONCAT(VLOOKUP($"&amp;"C78, 'Match Names'!$1:$22, 8, FALSE), ""!C3:R29"")), {7;13;19;24}, FALSE)), 'Player Overall Stats Unsorted'!$AA$9:$AA$12), ""=X""))"),8.0)</f>
        <v>8</v>
      </c>
      <c r="E78" s="32">
        <f>IFERROR(__xludf.DUMMYFUNCTION("COUNTIF(ARRAYFORMULA(HLOOKUP($B78, IMPORTRANGE('Prelim Rankings Unsorted'!$B$40, CONCAT(VLOOKUP($C78, 'Match Names'!$A$1:$D$22, 2, FALSE), ""!C3:R29"")), {4;9;15;21}, FALSE)), ""=4"") + COUNTIF(ARRAYFORMULA(HLOOKUP($B78, IMPORTRANGE('Prelim Rankings Unsor"&amp;"ted'!$B$41, CONCAT(VLOOKUP($C78, 'Match Names'!$A$1:$D$22, 3, FALSE), ""!C3:R29"")), {7;13;19;24}, FALSE)), ""=4"") + COUNTIF(ARRAYFORMULA(HLOOKUP($B78, IMPORTRANGE('Prelim Rankings Unsorted'!$B$42, CONCAT(VLOOKUP($C78, 'Match Names'!$A$1:$D$22, 4, FALSE)"&amp;", ""!C3:R29"")), {7;13;19;24}, FALSE)), ""=4"") + COUNTIF(ARRAYFORMULA(HLOOKUP($B78, IMPORTRANGE('Match Names'!$E$23, CONCAT(VLOOKUP($C78, 'Match Names'!$1:$22, 5, FALSE), ""!C3:R29"")), {2;8;12;22}, FALSE)), ""=4"") + COUNTIF(ARRAYFORMULA(HLOOKUP($B78, I"&amp;"MPORTRANGE('Match Names'!$F$23, CONCAT(VLOOKUP($C78, 'Match Names'!$1:$22, 6, FALSE), ""!C3:R29"")), {3;9;15;21}, FALSE)), ""=4"") + COUNTIF(ARRAYFORMULA(HLOOKUP($B78, IMPORTRANGE('Match Names'!$G$23, CONCAT(VLOOKUP($C78, 'Match Names'!$1:$22, 7, FALSE), "&amp;"""!C3:R29"")), {3;8;12;18}, FALSE)), ""=4"") + COUNTIF(ARRAYFORMULA(HLOOKUP($B78, IMPORTRANGE('Match Names'!$H$23, CONCAT(VLOOKUP($C78, 'Match Names'!$1:$22, 8, FALSE), ""!C3:R29"")), {7;13;19;24}, FALSE)), ""=4"")"),0.0)</f>
        <v>0</v>
      </c>
      <c r="F78" s="32">
        <f>IFERROR(__xludf.DUMMYFUNCTION("COUNTIF(ARRAYFORMULA(HLOOKUP($B78, IMPORTRANGE('Prelim Rankings Unsorted'!$B$40, CONCAT(VLOOKUP($C78, 'Match Names'!$A$1:$D$22, 2, FALSE), ""!C3:R29"")), {4;9;15;21}, FALSE)), ""=0"") + COUNTIF(ARRAYFORMULA(HLOOKUP($B78, IMPORTRANGE('Prelim Rankings Unsor"&amp;"ted'!$B$41, CONCAT(VLOOKUP($C78, 'Match Names'!$A$1:$D$22, 3, FALSE), ""!C3:R29"")), {7;13;19;24}, FALSE)), ""=0"") + COUNTIF(ARRAYFORMULA(HLOOKUP($B78, IMPORTRANGE('Prelim Rankings Unsorted'!$B$42, CONCAT(VLOOKUP($C78, 'Match Names'!$A$1:$D$22, 4, FALSE)"&amp;", ""!C3:R29"")), {7;13;19;24}, FALSE)), ""=0"") + COUNTIF(ARRAYFORMULA(HLOOKUP($B78, IMPORTRANGE('Match Names'!$E$23, CONCAT(VLOOKUP($C78, 'Match Names'!$1:$22, 5, FALSE), ""!C3:R29"")), {2;8;12;22}, FALSE)), ""=0"") + COUNTIF(ARRAYFORMULA(HLOOKUP($B78, I"&amp;"MPORTRANGE('Match Names'!$F$23, CONCAT(VLOOKUP($C78, 'Match Names'!$1:$22, 6, FALSE), ""!C3:R29"")), {3;9;15;21}, FALSE)), ""=0"") + COUNTIF(ARRAYFORMULA(HLOOKUP($B78, IMPORTRANGE('Match Names'!$G$23, CONCAT(VLOOKUP($C78, 'Match Names'!$1:$22, 7, FALSE), "&amp;"""!C3:R29"")), {3;8;12;18}, FALSE)), ""=0"") + COUNTIF(ARRAYFORMULA(HLOOKUP($B78, IMPORTRANGE('Match Names'!$H$23, CONCAT(VLOOKUP($C78, 'Match Names'!$1:$22, 8, FALSE), ""!C3:R29"")), {7;13;19;24}, FALSE)), ""=0"")"),1.0)</f>
        <v>1</v>
      </c>
      <c r="G78" s="32">
        <f>IFERROR(__xludf.DUMMYFUNCTION("COUNTIF(ARRAYFORMULA(HLOOKUP($B78, IMPORTRANGE('Prelim Rankings Unsorted'!$B$40, CONCAT(VLOOKUP($C78, 'Match Names'!$A$1:$D$22, 2, FALSE), ""!C3:R29"")), {4;9;15;21}, FALSE)), ""=-4"") + COUNTIF(ARRAYFORMULA(HLOOKUP($B78, IMPORTRANGE('Prelim Rankings Unso"&amp;"rted'!$B$41, CONCAT(VLOOKUP($C78, 'Match Names'!$A$1:$D$22, 3, FALSE), ""!C3:R29"")), {7;13;19;24}, FALSE)), ""=-4"") + COUNTIF(ARRAYFORMULA(HLOOKUP($B78, IMPORTRANGE('Prelim Rankings Unsorted'!$B$42, CONCAT(VLOOKUP($C78, 'Match Names'!$A$1:$D$22, 4, FALS"&amp;"E), ""!C3:R29"")), {7;13;19;24}, FALSE)), ""=-4"") + COUNTIF(ARRAYFORMULA(HLOOKUP($B78, IMPORTRANGE('Match Names'!$E$23, CONCAT(VLOOKUP($C78, 'Match Names'!$1:$22, 5, FALSE), ""!C3:R29"")), {2;8;12;22}, FALSE)), ""=-4"") + COUNTIF(ARRAYFORMULA(HLOOKUP($B7"&amp;"8, IMPORTRANGE('Match Names'!$F$23, CONCAT(VLOOKUP($C78, 'Match Names'!$1:$22, 6, FALSE), ""!C3:R29"")), {3;9;15;21}, FALSE)), ""=-4"") + COUNTIF(ARRAYFORMULA(HLOOKUP($B78, IMPORTRANGE('Match Names'!$G$23, CONCAT(VLOOKUP($C78, 'Match Names'!$1:$22, 7, FAL"&amp;"SE), ""!C3:R29"")), {3;8;12;18}, FALSE)), ""=-4"") + COUNTIF(ARRAYFORMULA(HLOOKUP($B78, IMPORTRANGE('Match Names'!$H$23, CONCAT(VLOOKUP($C78, 'Match Names'!$1:$22, 8, FALSE), ""!C3:R29"")), {7;13;19;24}, FALSE)), ""=-4"")"),0.0)</f>
        <v>0</v>
      </c>
      <c r="H78" s="33">
        <f t="shared" si="1"/>
        <v>0</v>
      </c>
    </row>
    <row r="79">
      <c r="A79" s="21" t="s">
        <v>49</v>
      </c>
      <c r="B79" s="7" t="str">
        <f>VLOOKUP(CONCAT(A79, C79), 'Discord Username to Real Name'!C:D, 2, FALSE)</f>
        <v>avani#8445</v>
      </c>
      <c r="C79" s="21" t="s">
        <v>23</v>
      </c>
      <c r="D79" s="32">
        <f>IFERROR(__xludf.DUMMYFUNCTION("(4 - COUNTIF(IFERROR(ARRAYFORMULA(HLOOKUP($B79, IMPORTRANGE('Prelim Rankings Unsorted'!$B$40, CONCAT(VLOOKUP($C79, 'Match Names'!$A$1:$D$22, 2, FALSE), ""!C3:R29"")), {4;9;15;21}, FALSE)), 'Player Overall Stats Unsorted'!$AA$9:$AA$12), ""=X"")) + (4 - COU"&amp;"NTIF(IFERROR(ARRAYFORMULA(HLOOKUP($B79, IMPORTRANGE('Prelim Rankings Unsorted'!$B$41, CONCAT(VLOOKUP($C79, 'Match Names'!$A$1:$D$22, 3, FALSE), ""!C3:R29"")), {7;13;19;24}, FALSE)), 'Player Overall Stats Unsorted'!$AA$9:$AA$12), ""=X"")) + (4 - COUNTIF(IF"&amp;"ERROR(ARRAYFORMULA(HLOOKUP($B79, IMPORTRANGE('Prelim Rankings Unsorted'!$B$42, CONCAT(VLOOKUP($C79, 'Match Names'!$A$1:$D$22, 4, FALSE), ""!C3:R29"")), {7;13;19;24}, FALSE)), 'Player Overall Stats Unsorted'!$AA$9:$AA$12), ""=X"")) + (4 - COUNTIF(IFERROR(A"&amp;"RRAYFORMULA(HLOOKUP($B79, IMPORTRANGE('Match Names'!$E$23, CONCAT(VLOOKUP($C79, 'Match Names'!$1:$22, 5, FALSE), ""!C3:R29"")), {2;8;12;22}, FALSE)), 'Player Overall Stats Unsorted'!$AA$9:$AA$12), ""=X"")) + (4 - COUNTIF(IFERROR(ARRAYFORMULA(HLOOKUP($B79,"&amp;" IMPORTRANGE('Match Names'!$F$23, CONCAT(VLOOKUP($C79, 'Match Names'!$1:$22, 6, FALSE), ""!C3:R29"")), {3;9;15;21}, FALSE)), 'Player Overall Stats Unsorted'!$AA$9:$AA$12), ""=X"")) + (4 - COUNTIF(IFERROR(ARRAYFORMULA(HLOOKUP($B79, IMPORTRANGE('Match Names"&amp;"'!$G$23, CONCAT(VLOOKUP($C79, 'Match Names'!$1:$22, 7, FALSE), ""!C3:R29"")), {3;8;12;18}, FALSE)), 'Player Overall Stats Unsorted'!$AA$9:$AA$12), ""=X"")) + (4 - COUNTIF(IFERROR(ARRAYFORMULA(HLOOKUP($B79, IMPORTRANGE('Match Names'!$H$23, CONCAT(VLOOKUP($"&amp;"C79, 'Match Names'!$1:$22, 8, FALSE), ""!C3:R29"")), {7;13;19;24}, FALSE)), 'Player Overall Stats Unsorted'!$AA$9:$AA$12), ""=X""))"),20.0)</f>
        <v>20</v>
      </c>
      <c r="E79" s="32">
        <f>IFERROR(__xludf.DUMMYFUNCTION("COUNTIF(ARRAYFORMULA(HLOOKUP($B79, IMPORTRANGE('Prelim Rankings Unsorted'!$B$40, CONCAT(VLOOKUP($C79, 'Match Names'!$A$1:$D$22, 2, FALSE), ""!C3:R29"")), {4;9;15;21}, FALSE)), ""=4"") + COUNTIF(ARRAYFORMULA(HLOOKUP($B79, IMPORTRANGE('Prelim Rankings Unsor"&amp;"ted'!$B$41, CONCAT(VLOOKUP($C79, 'Match Names'!$A$1:$D$22, 3, FALSE), ""!C3:R29"")), {7;13;19;24}, FALSE)), ""=4"") + COUNTIF(ARRAYFORMULA(HLOOKUP($B79, IMPORTRANGE('Prelim Rankings Unsorted'!$B$42, CONCAT(VLOOKUP($C79, 'Match Names'!$A$1:$D$22, 4, FALSE)"&amp;", ""!C3:R29"")), {7;13;19;24}, FALSE)), ""=4"") + COUNTIF(ARRAYFORMULA(HLOOKUP($B79, IMPORTRANGE('Match Names'!$E$23, CONCAT(VLOOKUP($C79, 'Match Names'!$1:$22, 5, FALSE), ""!C3:R29"")), {2;8;12;22}, FALSE)), ""=4"") + COUNTIF(ARRAYFORMULA(HLOOKUP($B79, I"&amp;"MPORTRANGE('Match Names'!$F$23, CONCAT(VLOOKUP($C79, 'Match Names'!$1:$22, 6, FALSE), ""!C3:R29"")), {3;9;15;21}, FALSE)), ""=4"") + COUNTIF(ARRAYFORMULA(HLOOKUP($B79, IMPORTRANGE('Match Names'!$G$23, CONCAT(VLOOKUP($C79, 'Match Names'!$1:$22, 7, FALSE), "&amp;"""!C3:R29"")), {3;8;12;18}, FALSE)), ""=4"") + COUNTIF(ARRAYFORMULA(HLOOKUP($B79, IMPORTRANGE('Match Names'!$H$23, CONCAT(VLOOKUP($C79, 'Match Names'!$1:$22, 8, FALSE), ""!C3:R29"")), {7;13;19;24}, FALSE)), ""=4"")"),0.0)</f>
        <v>0</v>
      </c>
      <c r="F79" s="32">
        <f>IFERROR(__xludf.DUMMYFUNCTION("COUNTIF(ARRAYFORMULA(HLOOKUP($B79, IMPORTRANGE('Prelim Rankings Unsorted'!$B$40, CONCAT(VLOOKUP($C79, 'Match Names'!$A$1:$D$22, 2, FALSE), ""!C3:R29"")), {4;9;15;21}, FALSE)), ""=0"") + COUNTIF(ARRAYFORMULA(HLOOKUP($B79, IMPORTRANGE('Prelim Rankings Unsor"&amp;"ted'!$B$41, CONCAT(VLOOKUP($C79, 'Match Names'!$A$1:$D$22, 3, FALSE), ""!C3:R29"")), {7;13;19;24}, FALSE)), ""=0"") + COUNTIF(ARRAYFORMULA(HLOOKUP($B79, IMPORTRANGE('Prelim Rankings Unsorted'!$B$42, CONCAT(VLOOKUP($C79, 'Match Names'!$A$1:$D$22, 4, FALSE)"&amp;", ""!C3:R29"")), {7;13;19;24}, FALSE)), ""=0"") + COUNTIF(ARRAYFORMULA(HLOOKUP($B79, IMPORTRANGE('Match Names'!$E$23, CONCAT(VLOOKUP($C79, 'Match Names'!$1:$22, 5, FALSE), ""!C3:R29"")), {2;8;12;22}, FALSE)), ""=0"") + COUNTIF(ARRAYFORMULA(HLOOKUP($B79, I"&amp;"MPORTRANGE('Match Names'!$F$23, CONCAT(VLOOKUP($C79, 'Match Names'!$1:$22, 6, FALSE), ""!C3:R29"")), {3;9;15;21}, FALSE)), ""=0"") + COUNTIF(ARRAYFORMULA(HLOOKUP($B79, IMPORTRANGE('Match Names'!$G$23, CONCAT(VLOOKUP($C79, 'Match Names'!$1:$22, 7, FALSE), "&amp;"""!C3:R29"")), {3;8;12;18}, FALSE)), ""=0"") + COUNTIF(ARRAYFORMULA(HLOOKUP($B79, IMPORTRANGE('Match Names'!$H$23, CONCAT(VLOOKUP($C79, 'Match Names'!$1:$22, 8, FALSE), ""!C3:R29"")), {7;13;19;24}, FALSE)), ""=0"")"),0.0)</f>
        <v>0</v>
      </c>
      <c r="G79" s="32">
        <f>IFERROR(__xludf.DUMMYFUNCTION("COUNTIF(ARRAYFORMULA(HLOOKUP($B79, IMPORTRANGE('Prelim Rankings Unsorted'!$B$40, CONCAT(VLOOKUP($C79, 'Match Names'!$A$1:$D$22, 2, FALSE), ""!C3:R29"")), {4;9;15;21}, FALSE)), ""=-4"") + COUNTIF(ARRAYFORMULA(HLOOKUP($B79, IMPORTRANGE('Prelim Rankings Unso"&amp;"rted'!$B$41, CONCAT(VLOOKUP($C79, 'Match Names'!$A$1:$D$22, 3, FALSE), ""!C3:R29"")), {7;13;19;24}, FALSE)), ""=-4"") + COUNTIF(ARRAYFORMULA(HLOOKUP($B79, IMPORTRANGE('Prelim Rankings Unsorted'!$B$42, CONCAT(VLOOKUP($C79, 'Match Names'!$A$1:$D$22, 4, FALS"&amp;"E), ""!C3:R29"")), {7;13;19;24}, FALSE)), ""=-4"") + COUNTIF(ARRAYFORMULA(HLOOKUP($B79, IMPORTRANGE('Match Names'!$E$23, CONCAT(VLOOKUP($C79, 'Match Names'!$1:$22, 5, FALSE), ""!C3:R29"")), {2;8;12;22}, FALSE)), ""=-4"") + COUNTIF(ARRAYFORMULA(HLOOKUP($B7"&amp;"9, IMPORTRANGE('Match Names'!$F$23, CONCAT(VLOOKUP($C79, 'Match Names'!$1:$22, 6, FALSE), ""!C3:R29"")), {3;9;15;21}, FALSE)), ""=-4"") + COUNTIF(ARRAYFORMULA(HLOOKUP($B79, IMPORTRANGE('Match Names'!$G$23, CONCAT(VLOOKUP($C79, 'Match Names'!$1:$22, 7, FAL"&amp;"SE), ""!C3:R29"")), {3;8;12;18}, FALSE)), ""=-4"") + COUNTIF(ARRAYFORMULA(HLOOKUP($B79, IMPORTRANGE('Match Names'!$H$23, CONCAT(VLOOKUP($C79, 'Match Names'!$1:$22, 8, FALSE), ""!C3:R29"")), {7;13;19;24}, FALSE)), ""=-4"")"),0.0)</f>
        <v>0</v>
      </c>
      <c r="H79" s="33">
        <f t="shared" si="1"/>
        <v>0</v>
      </c>
    </row>
    <row r="80">
      <c r="A80" s="21" t="s">
        <v>142</v>
      </c>
      <c r="B80" s="7" t="str">
        <f>VLOOKUP(CONCAT(A80, C80), 'Discord Username to Real Name'!C:D, 2, FALSE)</f>
        <v>Char#5513</v>
      </c>
      <c r="C80" s="21" t="s">
        <v>23</v>
      </c>
      <c r="D80" s="32">
        <f>IFERROR(__xludf.DUMMYFUNCTION("(4 - COUNTIF(IFERROR(ARRAYFORMULA(HLOOKUP($B80, IMPORTRANGE('Prelim Rankings Unsorted'!$B$40, CONCAT(VLOOKUP($C80, 'Match Names'!$A$1:$D$22, 2, FALSE), ""!C3:R29"")), {4;9;15;21}, FALSE)), 'Player Overall Stats Unsorted'!$AA$9:$AA$12), ""=X"")) + (4 - COU"&amp;"NTIF(IFERROR(ARRAYFORMULA(HLOOKUP($B80, IMPORTRANGE('Prelim Rankings Unsorted'!$B$41, CONCAT(VLOOKUP($C80, 'Match Names'!$A$1:$D$22, 3, FALSE), ""!C3:R29"")), {7;13;19;24}, FALSE)), 'Player Overall Stats Unsorted'!$AA$9:$AA$12), ""=X"")) + (4 - COUNTIF(IF"&amp;"ERROR(ARRAYFORMULA(HLOOKUP($B80, IMPORTRANGE('Prelim Rankings Unsorted'!$B$42, CONCAT(VLOOKUP($C80, 'Match Names'!$A$1:$D$22, 4, FALSE), ""!C3:R29"")), {7;13;19;24}, FALSE)), 'Player Overall Stats Unsorted'!$AA$9:$AA$12), ""=X"")) + (4 - COUNTIF(IFERROR(A"&amp;"RRAYFORMULA(HLOOKUP($B80, IMPORTRANGE('Match Names'!$E$23, CONCAT(VLOOKUP($C80, 'Match Names'!$1:$22, 5, FALSE), ""!C3:R29"")), {2;8;12;22}, FALSE)), 'Player Overall Stats Unsorted'!$AA$9:$AA$12), ""=X"")) + (4 - COUNTIF(IFERROR(ARRAYFORMULA(HLOOKUP($B80,"&amp;" IMPORTRANGE('Match Names'!$F$23, CONCAT(VLOOKUP($C80, 'Match Names'!$1:$22, 6, FALSE), ""!C3:R29"")), {3;9;15;21}, FALSE)), 'Player Overall Stats Unsorted'!$AA$9:$AA$12), ""=X"")) + (4 - COUNTIF(IFERROR(ARRAYFORMULA(HLOOKUP($B80, IMPORTRANGE('Match Names"&amp;"'!$G$23, CONCAT(VLOOKUP($C80, 'Match Names'!$1:$22, 7, FALSE), ""!C3:R29"")), {3;8;12;18}, FALSE)), 'Player Overall Stats Unsorted'!$AA$9:$AA$12), ""=X"")) + (4 - COUNTIF(IFERROR(ARRAYFORMULA(HLOOKUP($B80, IMPORTRANGE('Match Names'!$H$23, CONCAT(VLOOKUP($"&amp;"C80, 'Match Names'!$1:$22, 8, FALSE), ""!C3:R29"")), {7;13;19;24}, FALSE)), 'Player Overall Stats Unsorted'!$AA$9:$AA$12), ""=X""))"),16.0)</f>
        <v>16</v>
      </c>
      <c r="E80" s="32">
        <f>IFERROR(__xludf.DUMMYFUNCTION("COUNTIF(ARRAYFORMULA(HLOOKUP($B80, IMPORTRANGE('Prelim Rankings Unsorted'!$B$40, CONCAT(VLOOKUP($C80, 'Match Names'!$A$1:$D$22, 2, FALSE), ""!C3:R29"")), {4;9;15;21}, FALSE)), ""=4"") + COUNTIF(ARRAYFORMULA(HLOOKUP($B80, IMPORTRANGE('Prelim Rankings Unsor"&amp;"ted'!$B$41, CONCAT(VLOOKUP($C80, 'Match Names'!$A$1:$D$22, 3, FALSE), ""!C3:R29"")), {7;13;19;24}, FALSE)), ""=4"") + COUNTIF(ARRAYFORMULA(HLOOKUP($B80, IMPORTRANGE('Prelim Rankings Unsorted'!$B$42, CONCAT(VLOOKUP($C80, 'Match Names'!$A$1:$D$22, 4, FALSE)"&amp;", ""!C3:R29"")), {7;13;19;24}, FALSE)), ""=4"") + COUNTIF(ARRAYFORMULA(HLOOKUP($B80, IMPORTRANGE('Match Names'!$E$23, CONCAT(VLOOKUP($C80, 'Match Names'!$1:$22, 5, FALSE), ""!C3:R29"")), {2;8;12;22}, FALSE)), ""=4"") + COUNTIF(ARRAYFORMULA(HLOOKUP($B80, I"&amp;"MPORTRANGE('Match Names'!$F$23, CONCAT(VLOOKUP($C80, 'Match Names'!$1:$22, 6, FALSE), ""!C3:R29"")), {3;9;15;21}, FALSE)), ""=4"") + COUNTIF(ARRAYFORMULA(HLOOKUP($B80, IMPORTRANGE('Match Names'!$G$23, CONCAT(VLOOKUP($C80, 'Match Names'!$1:$22, 7, FALSE), "&amp;"""!C3:R29"")), {3;8;12;18}, FALSE)), ""=4"") + COUNTIF(ARRAYFORMULA(HLOOKUP($B80, IMPORTRANGE('Match Names'!$H$23, CONCAT(VLOOKUP($C80, 'Match Names'!$1:$22, 8, FALSE), ""!C3:R29"")), {7;13;19;24}, FALSE)), ""=4"")"),0.0)</f>
        <v>0</v>
      </c>
      <c r="F80" s="32">
        <f>IFERROR(__xludf.DUMMYFUNCTION("COUNTIF(ARRAYFORMULA(HLOOKUP($B80, IMPORTRANGE('Prelim Rankings Unsorted'!$B$40, CONCAT(VLOOKUP($C80, 'Match Names'!$A$1:$D$22, 2, FALSE), ""!C3:R29"")), {4;9;15;21}, FALSE)), ""=0"") + COUNTIF(ARRAYFORMULA(HLOOKUP($B80, IMPORTRANGE('Prelim Rankings Unsor"&amp;"ted'!$B$41, CONCAT(VLOOKUP($C80, 'Match Names'!$A$1:$D$22, 3, FALSE), ""!C3:R29"")), {7;13;19;24}, FALSE)), ""=0"") + COUNTIF(ARRAYFORMULA(HLOOKUP($B80, IMPORTRANGE('Prelim Rankings Unsorted'!$B$42, CONCAT(VLOOKUP($C80, 'Match Names'!$A$1:$D$22, 4, FALSE)"&amp;", ""!C3:R29"")), {7;13;19;24}, FALSE)), ""=0"") + COUNTIF(ARRAYFORMULA(HLOOKUP($B80, IMPORTRANGE('Match Names'!$E$23, CONCAT(VLOOKUP($C80, 'Match Names'!$1:$22, 5, FALSE), ""!C3:R29"")), {2;8;12;22}, FALSE)), ""=0"") + COUNTIF(ARRAYFORMULA(HLOOKUP($B80, I"&amp;"MPORTRANGE('Match Names'!$F$23, CONCAT(VLOOKUP($C80, 'Match Names'!$1:$22, 6, FALSE), ""!C3:R29"")), {3;9;15;21}, FALSE)), ""=0"") + COUNTIF(ARRAYFORMULA(HLOOKUP($B80, IMPORTRANGE('Match Names'!$G$23, CONCAT(VLOOKUP($C80, 'Match Names'!$1:$22, 7, FALSE), "&amp;"""!C3:R29"")), {3;8;12;18}, FALSE)), ""=0"") + COUNTIF(ARRAYFORMULA(HLOOKUP($B80, IMPORTRANGE('Match Names'!$H$23, CONCAT(VLOOKUP($C80, 'Match Names'!$1:$22, 8, FALSE), ""!C3:R29"")), {7;13;19;24}, FALSE)), ""=0"")"),1.0)</f>
        <v>1</v>
      </c>
      <c r="G80" s="32">
        <f>IFERROR(__xludf.DUMMYFUNCTION("COUNTIF(ARRAYFORMULA(HLOOKUP($B80, IMPORTRANGE('Prelim Rankings Unsorted'!$B$40, CONCAT(VLOOKUP($C80, 'Match Names'!$A$1:$D$22, 2, FALSE), ""!C3:R29"")), {4;9;15;21}, FALSE)), ""=-4"") + COUNTIF(ARRAYFORMULA(HLOOKUP($B80, IMPORTRANGE('Prelim Rankings Unso"&amp;"rted'!$B$41, CONCAT(VLOOKUP($C80, 'Match Names'!$A$1:$D$22, 3, FALSE), ""!C3:R29"")), {7;13;19;24}, FALSE)), ""=-4"") + COUNTIF(ARRAYFORMULA(HLOOKUP($B80, IMPORTRANGE('Prelim Rankings Unsorted'!$B$42, CONCAT(VLOOKUP($C80, 'Match Names'!$A$1:$D$22, 4, FALS"&amp;"E), ""!C3:R29"")), {7;13;19;24}, FALSE)), ""=-4"") + COUNTIF(ARRAYFORMULA(HLOOKUP($B80, IMPORTRANGE('Match Names'!$E$23, CONCAT(VLOOKUP($C80, 'Match Names'!$1:$22, 5, FALSE), ""!C3:R29"")), {2;8;12;22}, FALSE)), ""=-4"") + COUNTIF(ARRAYFORMULA(HLOOKUP($B8"&amp;"0, IMPORTRANGE('Match Names'!$F$23, CONCAT(VLOOKUP($C80, 'Match Names'!$1:$22, 6, FALSE), ""!C3:R29"")), {3;9;15;21}, FALSE)), ""=-4"") + COUNTIF(ARRAYFORMULA(HLOOKUP($B80, IMPORTRANGE('Match Names'!$G$23, CONCAT(VLOOKUP($C80, 'Match Names'!$1:$22, 7, FAL"&amp;"SE), ""!C3:R29"")), {3;8;12;18}, FALSE)), ""=-4"") + COUNTIF(ARRAYFORMULA(HLOOKUP($B80, IMPORTRANGE('Match Names'!$H$23, CONCAT(VLOOKUP($C80, 'Match Names'!$1:$22, 8, FALSE), ""!C3:R29"")), {7;13;19;24}, FALSE)), ""=-4"")"),0.0)</f>
        <v>0</v>
      </c>
      <c r="H80" s="33">
        <f t="shared" si="1"/>
        <v>0</v>
      </c>
    </row>
    <row r="81">
      <c r="A81" s="21" t="s">
        <v>102</v>
      </c>
      <c r="B81" s="7" t="str">
        <f>VLOOKUP(CONCAT(A81, C81), 'Discord Username to Real Name'!C:D, 2, FALSE)</f>
        <v>Weber_Lin#5389</v>
      </c>
      <c r="C81" s="21" t="s">
        <v>23</v>
      </c>
      <c r="D81" s="32">
        <f>IFERROR(__xludf.DUMMYFUNCTION("(4 - COUNTIF(IFERROR(ARRAYFORMULA(HLOOKUP($B81, IMPORTRANGE('Prelim Rankings Unsorted'!$B$40, CONCAT(VLOOKUP($C81, 'Match Names'!$A$1:$D$22, 2, FALSE), ""!C3:R29"")), {4;9;15;21}, FALSE)), 'Player Overall Stats Unsorted'!$AA$9:$AA$12), ""=X"")) + (4 - COU"&amp;"NTIF(IFERROR(ARRAYFORMULA(HLOOKUP($B81, IMPORTRANGE('Prelim Rankings Unsorted'!$B$41, CONCAT(VLOOKUP($C81, 'Match Names'!$A$1:$D$22, 3, FALSE), ""!C3:R29"")), {7;13;19;24}, FALSE)), 'Player Overall Stats Unsorted'!$AA$9:$AA$12), ""=X"")) + (4 - COUNTIF(IF"&amp;"ERROR(ARRAYFORMULA(HLOOKUP($B81, IMPORTRANGE('Prelim Rankings Unsorted'!$B$42, CONCAT(VLOOKUP($C81, 'Match Names'!$A$1:$D$22, 4, FALSE), ""!C3:R29"")), {7;13;19;24}, FALSE)), 'Player Overall Stats Unsorted'!$AA$9:$AA$12), ""=X"")) + (4 - COUNTIF(IFERROR(A"&amp;"RRAYFORMULA(HLOOKUP($B81, IMPORTRANGE('Match Names'!$E$23, CONCAT(VLOOKUP($C81, 'Match Names'!$1:$22, 5, FALSE), ""!C3:R29"")), {2;8;12;22}, FALSE)), 'Player Overall Stats Unsorted'!$AA$9:$AA$12), ""=X"")) + (4 - COUNTIF(IFERROR(ARRAYFORMULA(HLOOKUP($B81,"&amp;" IMPORTRANGE('Match Names'!$F$23, CONCAT(VLOOKUP($C81, 'Match Names'!$1:$22, 6, FALSE), ""!C3:R29"")), {3;9;15;21}, FALSE)), 'Player Overall Stats Unsorted'!$AA$9:$AA$12), ""=X"")) + (4 - COUNTIF(IFERROR(ARRAYFORMULA(HLOOKUP($B81, IMPORTRANGE('Match Names"&amp;"'!$G$23, CONCAT(VLOOKUP($C81, 'Match Names'!$1:$22, 7, FALSE), ""!C3:R29"")), {3;8;12;18}, FALSE)), 'Player Overall Stats Unsorted'!$AA$9:$AA$12), ""=X"")) + (4 - COUNTIF(IFERROR(ARRAYFORMULA(HLOOKUP($B81, IMPORTRANGE('Match Names'!$H$23, CONCAT(VLOOKUP($"&amp;"C81, 'Match Names'!$1:$22, 8, FALSE), ""!C3:R29"")), {7;13;19;24}, FALSE)), 'Player Overall Stats Unsorted'!$AA$9:$AA$12), ""=X""))"),20.0)</f>
        <v>20</v>
      </c>
      <c r="E81" s="32">
        <f>IFERROR(__xludf.DUMMYFUNCTION("COUNTIF(ARRAYFORMULA(HLOOKUP($B81, IMPORTRANGE('Prelim Rankings Unsorted'!$B$40, CONCAT(VLOOKUP($C81, 'Match Names'!$A$1:$D$22, 2, FALSE), ""!C3:R29"")), {4;9;15;21}, FALSE)), ""=4"") + COUNTIF(ARRAYFORMULA(HLOOKUP($B81, IMPORTRANGE('Prelim Rankings Unsor"&amp;"ted'!$B$41, CONCAT(VLOOKUP($C81, 'Match Names'!$A$1:$D$22, 3, FALSE), ""!C3:R29"")), {7;13;19;24}, FALSE)), ""=4"") + COUNTIF(ARRAYFORMULA(HLOOKUP($B81, IMPORTRANGE('Prelim Rankings Unsorted'!$B$42, CONCAT(VLOOKUP($C81, 'Match Names'!$A$1:$D$22, 4, FALSE)"&amp;", ""!C3:R29"")), {7;13;19;24}, FALSE)), ""=4"") + COUNTIF(ARRAYFORMULA(HLOOKUP($B81, IMPORTRANGE('Match Names'!$E$23, CONCAT(VLOOKUP($C81, 'Match Names'!$1:$22, 5, FALSE), ""!C3:R29"")), {2;8;12;22}, FALSE)), ""=4"") + COUNTIF(ARRAYFORMULA(HLOOKUP($B81, I"&amp;"MPORTRANGE('Match Names'!$F$23, CONCAT(VLOOKUP($C81, 'Match Names'!$1:$22, 6, FALSE), ""!C3:R29"")), {3;9;15;21}, FALSE)), ""=4"") + COUNTIF(ARRAYFORMULA(HLOOKUP($B81, IMPORTRANGE('Match Names'!$G$23, CONCAT(VLOOKUP($C81, 'Match Names'!$1:$22, 7, FALSE), "&amp;"""!C3:R29"")), {3;8;12;18}, FALSE)), ""=4"") + COUNTIF(ARRAYFORMULA(HLOOKUP($B81, IMPORTRANGE('Match Names'!$H$23, CONCAT(VLOOKUP($C81, 'Match Names'!$1:$22, 8, FALSE), ""!C3:R29"")), {7;13;19;24}, FALSE)), ""=4"")"),0.0)</f>
        <v>0</v>
      </c>
      <c r="F81" s="32">
        <f>IFERROR(__xludf.DUMMYFUNCTION("COUNTIF(ARRAYFORMULA(HLOOKUP($B81, IMPORTRANGE('Prelim Rankings Unsorted'!$B$40, CONCAT(VLOOKUP($C81, 'Match Names'!$A$1:$D$22, 2, FALSE), ""!C3:R29"")), {4;9;15;21}, FALSE)), ""=0"") + COUNTIF(ARRAYFORMULA(HLOOKUP($B81, IMPORTRANGE('Prelim Rankings Unsor"&amp;"ted'!$B$41, CONCAT(VLOOKUP($C81, 'Match Names'!$A$1:$D$22, 3, FALSE), ""!C3:R29"")), {7;13;19;24}, FALSE)), ""=0"") + COUNTIF(ARRAYFORMULA(HLOOKUP($B81, IMPORTRANGE('Prelim Rankings Unsorted'!$B$42, CONCAT(VLOOKUP($C81, 'Match Names'!$A$1:$D$22, 4, FALSE)"&amp;", ""!C3:R29"")), {7;13;19;24}, FALSE)), ""=0"") + COUNTIF(ARRAYFORMULA(HLOOKUP($B81, IMPORTRANGE('Match Names'!$E$23, CONCAT(VLOOKUP($C81, 'Match Names'!$1:$22, 5, FALSE), ""!C3:R29"")), {2;8;12;22}, FALSE)), ""=0"") + COUNTIF(ARRAYFORMULA(HLOOKUP($B81, I"&amp;"MPORTRANGE('Match Names'!$F$23, CONCAT(VLOOKUP($C81, 'Match Names'!$1:$22, 6, FALSE), ""!C3:R29"")), {3;9;15;21}, FALSE)), ""=0"") + COUNTIF(ARRAYFORMULA(HLOOKUP($B81, IMPORTRANGE('Match Names'!$G$23, CONCAT(VLOOKUP($C81, 'Match Names'!$1:$22, 7, FALSE), "&amp;"""!C3:R29"")), {3;8;12;18}, FALSE)), ""=0"") + COUNTIF(ARRAYFORMULA(HLOOKUP($B81, IMPORTRANGE('Match Names'!$H$23, CONCAT(VLOOKUP($C81, 'Match Names'!$1:$22, 8, FALSE), ""!C3:R29"")), {7;13;19;24}, FALSE)), ""=0"")"),0.0)</f>
        <v>0</v>
      </c>
      <c r="G81" s="32">
        <f>IFERROR(__xludf.DUMMYFUNCTION("COUNTIF(ARRAYFORMULA(HLOOKUP($B81, IMPORTRANGE('Prelim Rankings Unsorted'!$B$40, CONCAT(VLOOKUP($C81, 'Match Names'!$A$1:$D$22, 2, FALSE), ""!C3:R29"")), {4;9;15;21}, FALSE)), ""=-4"") + COUNTIF(ARRAYFORMULA(HLOOKUP($B81, IMPORTRANGE('Prelim Rankings Unso"&amp;"rted'!$B$41, CONCAT(VLOOKUP($C81, 'Match Names'!$A$1:$D$22, 3, FALSE), ""!C3:R29"")), {7;13;19;24}, FALSE)), ""=-4"") + COUNTIF(ARRAYFORMULA(HLOOKUP($B81, IMPORTRANGE('Prelim Rankings Unsorted'!$B$42, CONCAT(VLOOKUP($C81, 'Match Names'!$A$1:$D$22, 4, FALS"&amp;"E), ""!C3:R29"")), {7;13;19;24}, FALSE)), ""=-4"") + COUNTIF(ARRAYFORMULA(HLOOKUP($B81, IMPORTRANGE('Match Names'!$E$23, CONCAT(VLOOKUP($C81, 'Match Names'!$1:$22, 5, FALSE), ""!C3:R29"")), {2;8;12;22}, FALSE)), ""=-4"") + COUNTIF(ARRAYFORMULA(HLOOKUP($B8"&amp;"1, IMPORTRANGE('Match Names'!$F$23, CONCAT(VLOOKUP($C81, 'Match Names'!$1:$22, 6, FALSE), ""!C3:R29"")), {3;9;15;21}, FALSE)), ""=-4"") + COUNTIF(ARRAYFORMULA(HLOOKUP($B81, IMPORTRANGE('Match Names'!$G$23, CONCAT(VLOOKUP($C81, 'Match Names'!$1:$22, 7, FAL"&amp;"SE), ""!C3:R29"")), {3;8;12;18}, FALSE)), ""=-4"") + COUNTIF(ARRAYFORMULA(HLOOKUP($B81, IMPORTRANGE('Match Names'!$H$23, CONCAT(VLOOKUP($C81, 'Match Names'!$1:$22, 8, FALSE), ""!C3:R29"")), {7;13;19;24}, FALSE)), ""=-4"")"),0.0)</f>
        <v>0</v>
      </c>
      <c r="H81" s="33">
        <f t="shared" si="1"/>
        <v>0</v>
      </c>
    </row>
    <row r="82">
      <c r="A82" s="21" t="s">
        <v>43</v>
      </c>
      <c r="B82" s="7" t="str">
        <f>VLOOKUP(CONCAT(A82, C82), 'Discord Username to Real Name'!C:D, 2, FALSE)</f>
        <v>Xing#7270</v>
      </c>
      <c r="C82" s="21" t="s">
        <v>23</v>
      </c>
      <c r="D82" s="32">
        <f>IFERROR(__xludf.DUMMYFUNCTION("(4 - COUNTIF(IFERROR(ARRAYFORMULA(HLOOKUP($B82, IMPORTRANGE('Prelim Rankings Unsorted'!$B$40, CONCAT(VLOOKUP($C82, 'Match Names'!$A$1:$D$22, 2, FALSE), ""!C3:R29"")), {4;9;15;21}, FALSE)), 'Player Overall Stats Unsorted'!$AA$9:$AA$12), ""=X"")) + (4 - COU"&amp;"NTIF(IFERROR(ARRAYFORMULA(HLOOKUP($B82, IMPORTRANGE('Prelim Rankings Unsorted'!$B$41, CONCAT(VLOOKUP($C82, 'Match Names'!$A$1:$D$22, 3, FALSE), ""!C3:R29"")), {7;13;19;24}, FALSE)), 'Player Overall Stats Unsorted'!$AA$9:$AA$12), ""=X"")) + (4 - COUNTIF(IF"&amp;"ERROR(ARRAYFORMULA(HLOOKUP($B82, IMPORTRANGE('Prelim Rankings Unsorted'!$B$42, CONCAT(VLOOKUP($C82, 'Match Names'!$A$1:$D$22, 4, FALSE), ""!C3:R29"")), {7;13;19;24}, FALSE)), 'Player Overall Stats Unsorted'!$AA$9:$AA$12), ""=X"")) + (4 - COUNTIF(IFERROR(A"&amp;"RRAYFORMULA(HLOOKUP($B82, IMPORTRANGE('Match Names'!$E$23, CONCAT(VLOOKUP($C82, 'Match Names'!$1:$22, 5, FALSE), ""!C3:R29"")), {2;8;12;22}, FALSE)), 'Player Overall Stats Unsorted'!$AA$9:$AA$12), ""=X"")) + (4 - COUNTIF(IFERROR(ARRAYFORMULA(HLOOKUP($B82,"&amp;" IMPORTRANGE('Match Names'!$F$23, CONCAT(VLOOKUP($C82, 'Match Names'!$1:$22, 6, FALSE), ""!C3:R29"")), {3;9;15;21}, FALSE)), 'Player Overall Stats Unsorted'!$AA$9:$AA$12), ""=X"")) + (4 - COUNTIF(IFERROR(ARRAYFORMULA(HLOOKUP($B82, IMPORTRANGE('Match Names"&amp;"'!$G$23, CONCAT(VLOOKUP($C82, 'Match Names'!$1:$22, 7, FALSE), ""!C3:R29"")), {3;8;12;18}, FALSE)), 'Player Overall Stats Unsorted'!$AA$9:$AA$12), ""=X"")) + (4 - COUNTIF(IFERROR(ARRAYFORMULA(HLOOKUP($B82, IMPORTRANGE('Match Names'!$H$23, CONCAT(VLOOKUP($"&amp;"C82, 'Match Names'!$1:$22, 8, FALSE), ""!C3:R29"")), {7;13;19;24}, FALSE)), 'Player Overall Stats Unsorted'!$AA$9:$AA$12), ""=X""))"),20.0)</f>
        <v>20</v>
      </c>
      <c r="E82" s="32">
        <f>IFERROR(__xludf.DUMMYFUNCTION("COUNTIF(ARRAYFORMULA(HLOOKUP($B82, IMPORTRANGE('Prelim Rankings Unsorted'!$B$40, CONCAT(VLOOKUP($C82, 'Match Names'!$A$1:$D$22, 2, FALSE), ""!C3:R29"")), {4;9;15;21}, FALSE)), ""=4"") + COUNTIF(ARRAYFORMULA(HLOOKUP($B82, IMPORTRANGE('Prelim Rankings Unsor"&amp;"ted'!$B$41, CONCAT(VLOOKUP($C82, 'Match Names'!$A$1:$D$22, 3, FALSE), ""!C3:R29"")), {7;13;19;24}, FALSE)), ""=4"") + COUNTIF(ARRAYFORMULA(HLOOKUP($B82, IMPORTRANGE('Prelim Rankings Unsorted'!$B$42, CONCAT(VLOOKUP($C82, 'Match Names'!$A$1:$D$22, 4, FALSE)"&amp;", ""!C3:R29"")), {7;13;19;24}, FALSE)), ""=4"") + COUNTIF(ARRAYFORMULA(HLOOKUP($B82, IMPORTRANGE('Match Names'!$E$23, CONCAT(VLOOKUP($C82, 'Match Names'!$1:$22, 5, FALSE), ""!C3:R29"")), {2;8;12;22}, FALSE)), ""=4"") + COUNTIF(ARRAYFORMULA(HLOOKUP($B82, I"&amp;"MPORTRANGE('Match Names'!$F$23, CONCAT(VLOOKUP($C82, 'Match Names'!$1:$22, 6, FALSE), ""!C3:R29"")), {3;9;15;21}, FALSE)), ""=4"") + COUNTIF(ARRAYFORMULA(HLOOKUP($B82, IMPORTRANGE('Match Names'!$G$23, CONCAT(VLOOKUP($C82, 'Match Names'!$1:$22, 7, FALSE), "&amp;"""!C3:R29"")), {3;8;12;18}, FALSE)), ""=4"") + COUNTIF(ARRAYFORMULA(HLOOKUP($B82, IMPORTRANGE('Match Names'!$H$23, CONCAT(VLOOKUP($C82, 'Match Names'!$1:$22, 8, FALSE), ""!C3:R29"")), {7;13;19;24}, FALSE)), ""=4"")"),7.0)</f>
        <v>7</v>
      </c>
      <c r="F82" s="32">
        <f>IFERROR(__xludf.DUMMYFUNCTION("COUNTIF(ARRAYFORMULA(HLOOKUP($B82, IMPORTRANGE('Prelim Rankings Unsorted'!$B$40, CONCAT(VLOOKUP($C82, 'Match Names'!$A$1:$D$22, 2, FALSE), ""!C3:R29"")), {4;9;15;21}, FALSE)), ""=0"") + COUNTIF(ARRAYFORMULA(HLOOKUP($B82, IMPORTRANGE('Prelim Rankings Unsor"&amp;"ted'!$B$41, CONCAT(VLOOKUP($C82, 'Match Names'!$A$1:$D$22, 3, FALSE), ""!C3:R29"")), {7;13;19;24}, FALSE)), ""=0"") + COUNTIF(ARRAYFORMULA(HLOOKUP($B82, IMPORTRANGE('Prelim Rankings Unsorted'!$B$42, CONCAT(VLOOKUP($C82, 'Match Names'!$A$1:$D$22, 4, FALSE)"&amp;", ""!C3:R29"")), {7;13;19;24}, FALSE)), ""=0"") + COUNTIF(ARRAYFORMULA(HLOOKUP($B82, IMPORTRANGE('Match Names'!$E$23, CONCAT(VLOOKUP($C82, 'Match Names'!$1:$22, 5, FALSE), ""!C3:R29"")), {2;8;12;22}, FALSE)), ""=0"") + COUNTIF(ARRAYFORMULA(HLOOKUP($B82, I"&amp;"MPORTRANGE('Match Names'!$F$23, CONCAT(VLOOKUP($C82, 'Match Names'!$1:$22, 6, FALSE), ""!C3:R29"")), {3;9;15;21}, FALSE)), ""=0"") + COUNTIF(ARRAYFORMULA(HLOOKUP($B82, IMPORTRANGE('Match Names'!$G$23, CONCAT(VLOOKUP($C82, 'Match Names'!$1:$22, 7, FALSE), "&amp;"""!C3:R29"")), {3;8;12;18}, FALSE)), ""=0"") + COUNTIF(ARRAYFORMULA(HLOOKUP($B82, IMPORTRANGE('Match Names'!$H$23, CONCAT(VLOOKUP($C82, 'Match Names'!$1:$22, 8, FALSE), ""!C3:R29"")), {7;13;19;24}, FALSE)), ""=0"")"),6.0)</f>
        <v>6</v>
      </c>
      <c r="G82" s="32">
        <f>IFERROR(__xludf.DUMMYFUNCTION("COUNTIF(ARRAYFORMULA(HLOOKUP($B82, IMPORTRANGE('Prelim Rankings Unsorted'!$B$40, CONCAT(VLOOKUP($C82, 'Match Names'!$A$1:$D$22, 2, FALSE), ""!C3:R29"")), {4;9;15;21}, FALSE)), ""=-4"") + COUNTIF(ARRAYFORMULA(HLOOKUP($B82, IMPORTRANGE('Prelim Rankings Unso"&amp;"rted'!$B$41, CONCAT(VLOOKUP($C82, 'Match Names'!$A$1:$D$22, 3, FALSE), ""!C3:R29"")), {7;13;19;24}, FALSE)), ""=-4"") + COUNTIF(ARRAYFORMULA(HLOOKUP($B82, IMPORTRANGE('Prelim Rankings Unsorted'!$B$42, CONCAT(VLOOKUP($C82, 'Match Names'!$A$1:$D$22, 4, FALS"&amp;"E), ""!C3:R29"")), {7;13;19;24}, FALSE)), ""=-4"") + COUNTIF(ARRAYFORMULA(HLOOKUP($B82, IMPORTRANGE('Match Names'!$E$23, CONCAT(VLOOKUP($C82, 'Match Names'!$1:$22, 5, FALSE), ""!C3:R29"")), {2;8;12;22}, FALSE)), ""=-4"") + COUNTIF(ARRAYFORMULA(HLOOKUP($B8"&amp;"2, IMPORTRANGE('Match Names'!$F$23, CONCAT(VLOOKUP($C82, 'Match Names'!$1:$22, 6, FALSE), ""!C3:R29"")), {3;9;15;21}, FALSE)), ""=-4"") + COUNTIF(ARRAYFORMULA(HLOOKUP($B82, IMPORTRANGE('Match Names'!$G$23, CONCAT(VLOOKUP($C82, 'Match Names'!$1:$22, 7, FAL"&amp;"SE), ""!C3:R29"")), {3;8;12;18}, FALSE)), ""=-4"") + COUNTIF(ARRAYFORMULA(HLOOKUP($B82, IMPORTRANGE('Match Names'!$H$23, CONCAT(VLOOKUP($C82, 'Match Names'!$1:$22, 8, FALSE), ""!C3:R29"")), {7;13;19;24}, FALSE)), ""=-4"")"),1.0)</f>
        <v>1</v>
      </c>
      <c r="H82" s="33">
        <f t="shared" si="1"/>
        <v>4.8</v>
      </c>
    </row>
    <row r="83">
      <c r="A83" s="21" t="s">
        <v>76</v>
      </c>
      <c r="B83" s="7" t="str">
        <f>VLOOKUP(CONCAT(A83, C83), 'Discord Username to Real Name'!C:D, 2, FALSE)</f>
        <v>Dr. Jess#0829</v>
      </c>
      <c r="C83" s="21" t="s">
        <v>26</v>
      </c>
      <c r="D83" s="32">
        <f>IFERROR(__xludf.DUMMYFUNCTION("(4 - COUNTIF(IFERROR(ARRAYFORMULA(HLOOKUP($B83, IMPORTRANGE('Prelim Rankings Unsorted'!$B$40, CONCAT(VLOOKUP($C83, 'Match Names'!$A$1:$D$22, 2, FALSE), ""!C3:R29"")), {4;9;15;21}, FALSE)), 'Player Overall Stats Unsorted'!$AA$9:$AA$12), ""=X"")) + (4 - COU"&amp;"NTIF(IFERROR(ARRAYFORMULA(HLOOKUP($B83, IMPORTRANGE('Prelim Rankings Unsorted'!$B$41, CONCAT(VLOOKUP($C83, 'Match Names'!$A$1:$D$22, 3, FALSE), ""!C3:R29"")), {7;13;19;24}, FALSE)), 'Player Overall Stats Unsorted'!$AA$9:$AA$12), ""=X"")) + (4 - COUNTIF(IF"&amp;"ERROR(ARRAYFORMULA(HLOOKUP($B83, IMPORTRANGE('Prelim Rankings Unsorted'!$B$42, CONCAT(VLOOKUP($C83, 'Match Names'!$A$1:$D$22, 4, FALSE), ""!C3:R29"")), {7;13;19;24}, FALSE)), 'Player Overall Stats Unsorted'!$AA$9:$AA$12), ""=X"")) + (4 - COUNTIF(IFERROR(A"&amp;"RRAYFORMULA(HLOOKUP($B83, IMPORTRANGE('Match Names'!$E$23, CONCAT(VLOOKUP($C83, 'Match Names'!$1:$22, 5, FALSE), ""!C3:R29"")), {2;8;12;22}, FALSE)), 'Player Overall Stats Unsorted'!$AA$9:$AA$12), ""=X"")) + (4 - COUNTIF(IFERROR(ARRAYFORMULA(HLOOKUP($B83,"&amp;" IMPORTRANGE('Match Names'!$F$23, CONCAT(VLOOKUP($C83, 'Match Names'!$1:$22, 6, FALSE), ""!C3:R29"")), {3;9;15;21}, FALSE)), 'Player Overall Stats Unsorted'!$AA$9:$AA$12), ""=X"")) + (4 - COUNTIF(IFERROR(ARRAYFORMULA(HLOOKUP($B83, IMPORTRANGE('Match Names"&amp;"'!$G$23, CONCAT(VLOOKUP($C83, 'Match Names'!$1:$22, 7, FALSE), ""!C3:R29"")), {3;8;12;18}, FALSE)), 'Player Overall Stats Unsorted'!$AA$9:$AA$12), ""=X"")) + (4 - COUNTIF(IFERROR(ARRAYFORMULA(HLOOKUP($B83, IMPORTRANGE('Match Names'!$H$23, CONCAT(VLOOKUP($"&amp;"C83, 'Match Names'!$1:$22, 8, FALSE), ""!C3:R29"")), {7;13;19;24}, FALSE)), 'Player Overall Stats Unsorted'!$AA$9:$AA$12), ""=X""))"),12.0)</f>
        <v>12</v>
      </c>
      <c r="E83" s="32">
        <f>IFERROR(__xludf.DUMMYFUNCTION("COUNTIF(ARRAYFORMULA(HLOOKUP($B83, IMPORTRANGE('Prelim Rankings Unsorted'!$B$40, CONCAT(VLOOKUP($C83, 'Match Names'!$A$1:$D$22, 2, FALSE), ""!C3:R29"")), {4;9;15;21}, FALSE)), ""=4"") + COUNTIF(ARRAYFORMULA(HLOOKUP($B83, IMPORTRANGE('Prelim Rankings Unsor"&amp;"ted'!$B$41, CONCAT(VLOOKUP($C83, 'Match Names'!$A$1:$D$22, 3, FALSE), ""!C3:R29"")), {7;13;19;24}, FALSE)), ""=4"") + COUNTIF(ARRAYFORMULA(HLOOKUP($B83, IMPORTRANGE('Prelim Rankings Unsorted'!$B$42, CONCAT(VLOOKUP($C83, 'Match Names'!$A$1:$D$22, 4, FALSE)"&amp;", ""!C3:R29"")), {7;13;19;24}, FALSE)), ""=4"") + COUNTIF(ARRAYFORMULA(HLOOKUP($B83, IMPORTRANGE('Match Names'!$E$23, CONCAT(VLOOKUP($C83, 'Match Names'!$1:$22, 5, FALSE), ""!C3:R29"")), {2;8;12;22}, FALSE)), ""=4"") + COUNTIF(ARRAYFORMULA(HLOOKUP($B83, I"&amp;"MPORTRANGE('Match Names'!$F$23, CONCAT(VLOOKUP($C83, 'Match Names'!$1:$22, 6, FALSE), ""!C3:R29"")), {3;9;15;21}, FALSE)), ""=4"") + COUNTIF(ARRAYFORMULA(HLOOKUP($B83, IMPORTRANGE('Match Names'!$G$23, CONCAT(VLOOKUP($C83, 'Match Names'!$1:$22, 7, FALSE), "&amp;"""!C3:R29"")), {3;8;12;18}, FALSE)), ""=4"") + COUNTIF(ARRAYFORMULA(HLOOKUP($B83, IMPORTRANGE('Match Names'!$H$23, CONCAT(VLOOKUP($C83, 'Match Names'!$1:$22, 8, FALSE), ""!C3:R29"")), {7;13;19;24}, FALSE)), ""=4"")"),1.0)</f>
        <v>1</v>
      </c>
      <c r="F83" s="32">
        <f>IFERROR(__xludf.DUMMYFUNCTION("COUNTIF(ARRAYFORMULA(HLOOKUP($B83, IMPORTRANGE('Prelim Rankings Unsorted'!$B$40, CONCAT(VLOOKUP($C83, 'Match Names'!$A$1:$D$22, 2, FALSE), ""!C3:R29"")), {4;9;15;21}, FALSE)), ""=0"") + COUNTIF(ARRAYFORMULA(HLOOKUP($B83, IMPORTRANGE('Prelim Rankings Unsor"&amp;"ted'!$B$41, CONCAT(VLOOKUP($C83, 'Match Names'!$A$1:$D$22, 3, FALSE), ""!C3:R29"")), {7;13;19;24}, FALSE)), ""=0"") + COUNTIF(ARRAYFORMULA(HLOOKUP($B83, IMPORTRANGE('Prelim Rankings Unsorted'!$B$42, CONCAT(VLOOKUP($C83, 'Match Names'!$A$1:$D$22, 4, FALSE)"&amp;", ""!C3:R29"")), {7;13;19;24}, FALSE)), ""=0"") + COUNTIF(ARRAYFORMULA(HLOOKUP($B83, IMPORTRANGE('Match Names'!$E$23, CONCAT(VLOOKUP($C83, 'Match Names'!$1:$22, 5, FALSE), ""!C3:R29"")), {2;8;12;22}, FALSE)), ""=0"") + COUNTIF(ARRAYFORMULA(HLOOKUP($B83, I"&amp;"MPORTRANGE('Match Names'!$F$23, CONCAT(VLOOKUP($C83, 'Match Names'!$1:$22, 6, FALSE), ""!C3:R29"")), {3;9;15;21}, FALSE)), ""=0"") + COUNTIF(ARRAYFORMULA(HLOOKUP($B83, IMPORTRANGE('Match Names'!$G$23, CONCAT(VLOOKUP($C83, 'Match Names'!$1:$22, 7, FALSE), "&amp;"""!C3:R29"")), {3;8;12;18}, FALSE)), ""=0"") + COUNTIF(ARRAYFORMULA(HLOOKUP($B83, IMPORTRANGE('Match Names'!$H$23, CONCAT(VLOOKUP($C83, 'Match Names'!$1:$22, 8, FALSE), ""!C3:R29"")), {7;13;19;24}, FALSE)), ""=0"")"),2.0)</f>
        <v>2</v>
      </c>
      <c r="G83" s="32">
        <f>IFERROR(__xludf.DUMMYFUNCTION("COUNTIF(ARRAYFORMULA(HLOOKUP($B83, IMPORTRANGE('Prelim Rankings Unsorted'!$B$40, CONCAT(VLOOKUP($C83, 'Match Names'!$A$1:$D$22, 2, FALSE), ""!C3:R29"")), {4;9;15;21}, FALSE)), ""=-4"") + COUNTIF(ARRAYFORMULA(HLOOKUP($B83, IMPORTRANGE('Prelim Rankings Unso"&amp;"rted'!$B$41, CONCAT(VLOOKUP($C83, 'Match Names'!$A$1:$D$22, 3, FALSE), ""!C3:R29"")), {7;13;19;24}, FALSE)), ""=-4"") + COUNTIF(ARRAYFORMULA(HLOOKUP($B83, IMPORTRANGE('Prelim Rankings Unsorted'!$B$42, CONCAT(VLOOKUP($C83, 'Match Names'!$A$1:$D$22, 4, FALS"&amp;"E), ""!C3:R29"")), {7;13;19;24}, FALSE)), ""=-4"") + COUNTIF(ARRAYFORMULA(HLOOKUP($B83, IMPORTRANGE('Match Names'!$E$23, CONCAT(VLOOKUP($C83, 'Match Names'!$1:$22, 5, FALSE), ""!C3:R29"")), {2;8;12;22}, FALSE)), ""=-4"") + COUNTIF(ARRAYFORMULA(HLOOKUP($B8"&amp;"3, IMPORTRANGE('Match Names'!$F$23, CONCAT(VLOOKUP($C83, 'Match Names'!$1:$22, 6, FALSE), ""!C3:R29"")), {3;9;15;21}, FALSE)), ""=-4"") + COUNTIF(ARRAYFORMULA(HLOOKUP($B83, IMPORTRANGE('Match Names'!$G$23, CONCAT(VLOOKUP($C83, 'Match Names'!$1:$22, 7, FAL"&amp;"SE), ""!C3:R29"")), {3;8;12;18}, FALSE)), ""=-4"") + COUNTIF(ARRAYFORMULA(HLOOKUP($B83, IMPORTRANGE('Match Names'!$H$23, CONCAT(VLOOKUP($C83, 'Match Names'!$1:$22, 8, FALSE), ""!C3:R29"")), {7;13;19;24}, FALSE)), ""=-4"")"),0.0)</f>
        <v>0</v>
      </c>
      <c r="H83" s="33">
        <f t="shared" si="1"/>
        <v>1.33</v>
      </c>
    </row>
    <row r="84">
      <c r="A84" s="21" t="s">
        <v>181</v>
      </c>
      <c r="B84" s="7" t="str">
        <f>VLOOKUP(CONCAT(A84, C84), 'Discord Username to Real Name'!C:D, 2, FALSE)</f>
        <v>ronster#8561</v>
      </c>
      <c r="C84" s="21" t="s">
        <v>26</v>
      </c>
      <c r="D84" s="32">
        <f>IFERROR(__xludf.DUMMYFUNCTION("(4 - COUNTIF(IFERROR(ARRAYFORMULA(HLOOKUP($B84, IMPORTRANGE('Prelim Rankings Unsorted'!$B$40, CONCAT(VLOOKUP($C84, 'Match Names'!$A$1:$D$22, 2, FALSE), ""!C3:R29"")), {4;9;15;21}, FALSE)), 'Player Overall Stats Unsorted'!$AA$9:$AA$12), ""=X"")) + (4 - COU"&amp;"NTIF(IFERROR(ARRAYFORMULA(HLOOKUP($B84, IMPORTRANGE('Prelim Rankings Unsorted'!$B$41, CONCAT(VLOOKUP($C84, 'Match Names'!$A$1:$D$22, 3, FALSE), ""!C3:R29"")), {7;13;19;24}, FALSE)), 'Player Overall Stats Unsorted'!$AA$9:$AA$12), ""=X"")) + (4 - COUNTIF(IF"&amp;"ERROR(ARRAYFORMULA(HLOOKUP($B84, IMPORTRANGE('Prelim Rankings Unsorted'!$B$42, CONCAT(VLOOKUP($C84, 'Match Names'!$A$1:$D$22, 4, FALSE), ""!C3:R29"")), {7;13;19;24}, FALSE)), 'Player Overall Stats Unsorted'!$AA$9:$AA$12), ""=X"")) + (4 - COUNTIF(IFERROR(A"&amp;"RRAYFORMULA(HLOOKUP($B84, IMPORTRANGE('Match Names'!$E$23, CONCAT(VLOOKUP($C84, 'Match Names'!$1:$22, 5, FALSE), ""!C3:R29"")), {2;8;12;22}, FALSE)), 'Player Overall Stats Unsorted'!$AA$9:$AA$12), ""=X"")) + (4 - COUNTIF(IFERROR(ARRAYFORMULA(HLOOKUP($B84,"&amp;" IMPORTRANGE('Match Names'!$F$23, CONCAT(VLOOKUP($C84, 'Match Names'!$1:$22, 6, FALSE), ""!C3:R29"")), {3;9;15;21}, FALSE)), 'Player Overall Stats Unsorted'!$AA$9:$AA$12), ""=X"")) + (4 - COUNTIF(IFERROR(ARRAYFORMULA(HLOOKUP($B84, IMPORTRANGE('Match Names"&amp;"'!$G$23, CONCAT(VLOOKUP($C84, 'Match Names'!$1:$22, 7, FALSE), ""!C3:R29"")), {3;8;12;18}, FALSE)), 'Player Overall Stats Unsorted'!$AA$9:$AA$12), ""=X"")) + (4 - COUNTIF(IFERROR(ARRAYFORMULA(HLOOKUP($B84, IMPORTRANGE('Match Names'!$H$23, CONCAT(VLOOKUP($"&amp;"C84, 'Match Names'!$1:$22, 8, FALSE), ""!C3:R29"")), {7;13;19;24}, FALSE)), 'Player Overall Stats Unsorted'!$AA$9:$AA$12), ""=X""))"),8.0)</f>
        <v>8</v>
      </c>
      <c r="E84" s="32">
        <f>IFERROR(__xludf.DUMMYFUNCTION("COUNTIF(ARRAYFORMULA(HLOOKUP($B84, IMPORTRANGE('Prelim Rankings Unsorted'!$B$40, CONCAT(VLOOKUP($C84, 'Match Names'!$A$1:$D$22, 2, FALSE), ""!C3:R29"")), {4;9;15;21}, FALSE)), ""=4"") + COUNTIF(ARRAYFORMULA(HLOOKUP($B84, IMPORTRANGE('Prelim Rankings Unsor"&amp;"ted'!$B$41, CONCAT(VLOOKUP($C84, 'Match Names'!$A$1:$D$22, 3, FALSE), ""!C3:R29"")), {7;13;19;24}, FALSE)), ""=4"") + COUNTIF(ARRAYFORMULA(HLOOKUP($B84, IMPORTRANGE('Prelim Rankings Unsorted'!$B$42, CONCAT(VLOOKUP($C84, 'Match Names'!$A$1:$D$22, 4, FALSE)"&amp;", ""!C3:R29"")), {7;13;19;24}, FALSE)), ""=4"") + COUNTIF(ARRAYFORMULA(HLOOKUP($B84, IMPORTRANGE('Match Names'!$E$23, CONCAT(VLOOKUP($C84, 'Match Names'!$1:$22, 5, FALSE), ""!C3:R29"")), {2;8;12;22}, FALSE)), ""=4"") + COUNTIF(ARRAYFORMULA(HLOOKUP($B84, I"&amp;"MPORTRANGE('Match Names'!$F$23, CONCAT(VLOOKUP($C84, 'Match Names'!$1:$22, 6, FALSE), ""!C3:R29"")), {3;9;15;21}, FALSE)), ""=4"") + COUNTIF(ARRAYFORMULA(HLOOKUP($B84, IMPORTRANGE('Match Names'!$G$23, CONCAT(VLOOKUP($C84, 'Match Names'!$1:$22, 7, FALSE), "&amp;"""!C3:R29"")), {3;8;12;18}, FALSE)), ""=4"") + COUNTIF(ARRAYFORMULA(HLOOKUP($B84, IMPORTRANGE('Match Names'!$H$23, CONCAT(VLOOKUP($C84, 'Match Names'!$1:$22, 8, FALSE), ""!C3:R29"")), {7;13;19;24}, FALSE)), ""=4"")"),0.0)</f>
        <v>0</v>
      </c>
      <c r="F84" s="32">
        <f>IFERROR(__xludf.DUMMYFUNCTION("COUNTIF(ARRAYFORMULA(HLOOKUP($B84, IMPORTRANGE('Prelim Rankings Unsorted'!$B$40, CONCAT(VLOOKUP($C84, 'Match Names'!$A$1:$D$22, 2, FALSE), ""!C3:R29"")), {4;9;15;21}, FALSE)), ""=0"") + COUNTIF(ARRAYFORMULA(HLOOKUP($B84, IMPORTRANGE('Prelim Rankings Unsor"&amp;"ted'!$B$41, CONCAT(VLOOKUP($C84, 'Match Names'!$A$1:$D$22, 3, FALSE), ""!C3:R29"")), {7;13;19;24}, FALSE)), ""=0"") + COUNTIF(ARRAYFORMULA(HLOOKUP($B84, IMPORTRANGE('Prelim Rankings Unsorted'!$B$42, CONCAT(VLOOKUP($C84, 'Match Names'!$A$1:$D$22, 4, FALSE)"&amp;", ""!C3:R29"")), {7;13;19;24}, FALSE)), ""=0"") + COUNTIF(ARRAYFORMULA(HLOOKUP($B84, IMPORTRANGE('Match Names'!$E$23, CONCAT(VLOOKUP($C84, 'Match Names'!$1:$22, 5, FALSE), ""!C3:R29"")), {2;8;12;22}, FALSE)), ""=0"") + COUNTIF(ARRAYFORMULA(HLOOKUP($B84, I"&amp;"MPORTRANGE('Match Names'!$F$23, CONCAT(VLOOKUP($C84, 'Match Names'!$1:$22, 6, FALSE), ""!C3:R29"")), {3;9;15;21}, FALSE)), ""=0"") + COUNTIF(ARRAYFORMULA(HLOOKUP($B84, IMPORTRANGE('Match Names'!$G$23, CONCAT(VLOOKUP($C84, 'Match Names'!$1:$22, 7, FALSE), "&amp;"""!C3:R29"")), {3;8;12;18}, FALSE)), ""=0"") + COUNTIF(ARRAYFORMULA(HLOOKUP($B84, IMPORTRANGE('Match Names'!$H$23, CONCAT(VLOOKUP($C84, 'Match Names'!$1:$22, 8, FALSE), ""!C3:R29"")), {7;13;19;24}, FALSE)), ""=0"")"),0.0)</f>
        <v>0</v>
      </c>
      <c r="G84" s="32">
        <f>IFERROR(__xludf.DUMMYFUNCTION("COUNTIF(ARRAYFORMULA(HLOOKUP($B84, IMPORTRANGE('Prelim Rankings Unsorted'!$B$40, CONCAT(VLOOKUP($C84, 'Match Names'!$A$1:$D$22, 2, FALSE), ""!C3:R29"")), {4;9;15;21}, FALSE)), ""=-4"") + COUNTIF(ARRAYFORMULA(HLOOKUP($B84, IMPORTRANGE('Prelim Rankings Unso"&amp;"rted'!$B$41, CONCAT(VLOOKUP($C84, 'Match Names'!$A$1:$D$22, 3, FALSE), ""!C3:R29"")), {7;13;19;24}, FALSE)), ""=-4"") + COUNTIF(ARRAYFORMULA(HLOOKUP($B84, IMPORTRANGE('Prelim Rankings Unsorted'!$B$42, CONCAT(VLOOKUP($C84, 'Match Names'!$A$1:$D$22, 4, FALS"&amp;"E), ""!C3:R29"")), {7;13;19;24}, FALSE)), ""=-4"") + COUNTIF(ARRAYFORMULA(HLOOKUP($B84, IMPORTRANGE('Match Names'!$E$23, CONCAT(VLOOKUP($C84, 'Match Names'!$1:$22, 5, FALSE), ""!C3:R29"")), {2;8;12;22}, FALSE)), ""=-4"") + COUNTIF(ARRAYFORMULA(HLOOKUP($B8"&amp;"4, IMPORTRANGE('Match Names'!$F$23, CONCAT(VLOOKUP($C84, 'Match Names'!$1:$22, 6, FALSE), ""!C3:R29"")), {3;9;15;21}, FALSE)), ""=-4"") + COUNTIF(ARRAYFORMULA(HLOOKUP($B84, IMPORTRANGE('Match Names'!$G$23, CONCAT(VLOOKUP($C84, 'Match Names'!$1:$22, 7, FAL"&amp;"SE), ""!C3:R29"")), {3;8;12;18}, FALSE)), ""=-4"") + COUNTIF(ARRAYFORMULA(HLOOKUP($B84, IMPORTRANGE('Match Names'!$H$23, CONCAT(VLOOKUP($C84, 'Match Names'!$1:$22, 8, FALSE), ""!C3:R29"")), {7;13;19;24}, FALSE)), ""=-4"")"),0.0)</f>
        <v>0</v>
      </c>
      <c r="H84" s="33">
        <f t="shared" si="1"/>
        <v>0</v>
      </c>
    </row>
    <row r="85">
      <c r="A85" s="21" t="s">
        <v>192</v>
      </c>
      <c r="B85" s="7" t="str">
        <f>VLOOKUP(CONCAT(A85, C85), 'Discord Username to Real Name'!C:D, 2, FALSE)</f>
        <v>aditi#0716</v>
      </c>
      <c r="C85" s="21" t="s">
        <v>26</v>
      </c>
      <c r="D85" s="32">
        <f>IFERROR(__xludf.DUMMYFUNCTION("(4 - COUNTIF(IFERROR(ARRAYFORMULA(HLOOKUP($B85, IMPORTRANGE('Prelim Rankings Unsorted'!$B$40, CONCAT(VLOOKUP($C85, 'Match Names'!$A$1:$D$22, 2, FALSE), ""!C3:R29"")), {4;9;15;21}, FALSE)), 'Player Overall Stats Unsorted'!$AA$9:$AA$12), ""=X"")) + (4 - COU"&amp;"NTIF(IFERROR(ARRAYFORMULA(HLOOKUP($B85, IMPORTRANGE('Prelim Rankings Unsorted'!$B$41, CONCAT(VLOOKUP($C85, 'Match Names'!$A$1:$D$22, 3, FALSE), ""!C3:R29"")), {7;13;19;24}, FALSE)), 'Player Overall Stats Unsorted'!$AA$9:$AA$12), ""=X"")) + (4 - COUNTIF(IF"&amp;"ERROR(ARRAYFORMULA(HLOOKUP($B85, IMPORTRANGE('Prelim Rankings Unsorted'!$B$42, CONCAT(VLOOKUP($C85, 'Match Names'!$A$1:$D$22, 4, FALSE), ""!C3:R29"")), {7;13;19;24}, FALSE)), 'Player Overall Stats Unsorted'!$AA$9:$AA$12), ""=X"")) + (4 - COUNTIF(IFERROR(A"&amp;"RRAYFORMULA(HLOOKUP($B85, IMPORTRANGE('Match Names'!$E$23, CONCAT(VLOOKUP($C85, 'Match Names'!$1:$22, 5, FALSE), ""!C3:R29"")), {2;8;12;22}, FALSE)), 'Player Overall Stats Unsorted'!$AA$9:$AA$12), ""=X"")) + (4 - COUNTIF(IFERROR(ARRAYFORMULA(HLOOKUP($B85,"&amp;" IMPORTRANGE('Match Names'!$F$23, CONCAT(VLOOKUP($C85, 'Match Names'!$1:$22, 6, FALSE), ""!C3:R29"")), {3;9;15;21}, FALSE)), 'Player Overall Stats Unsorted'!$AA$9:$AA$12), ""=X"")) + (4 - COUNTIF(IFERROR(ARRAYFORMULA(HLOOKUP($B85, IMPORTRANGE('Match Names"&amp;"'!$G$23, CONCAT(VLOOKUP($C85, 'Match Names'!$1:$22, 7, FALSE), ""!C3:R29"")), {3;8;12;18}, FALSE)), 'Player Overall Stats Unsorted'!$AA$9:$AA$12), ""=X"")) + (4 - COUNTIF(IFERROR(ARRAYFORMULA(HLOOKUP($B85, IMPORTRANGE('Match Names'!$H$23, CONCAT(VLOOKUP($"&amp;"C85, 'Match Names'!$1:$22, 8, FALSE), ""!C3:R29"")), {7;13;19;24}, FALSE)), 'Player Overall Stats Unsorted'!$AA$9:$AA$12), ""=X""))"),4.0)</f>
        <v>4</v>
      </c>
      <c r="E85" s="32">
        <f>IFERROR(__xludf.DUMMYFUNCTION("COUNTIF(ARRAYFORMULA(HLOOKUP($B85, IMPORTRANGE('Prelim Rankings Unsorted'!$B$40, CONCAT(VLOOKUP($C85, 'Match Names'!$A$1:$D$22, 2, FALSE), ""!C3:R29"")), {4;9;15;21}, FALSE)), ""=4"") + COUNTIF(ARRAYFORMULA(HLOOKUP($B85, IMPORTRANGE('Prelim Rankings Unsor"&amp;"ted'!$B$41, CONCAT(VLOOKUP($C85, 'Match Names'!$A$1:$D$22, 3, FALSE), ""!C3:R29"")), {7;13;19;24}, FALSE)), ""=4"") + COUNTIF(ARRAYFORMULA(HLOOKUP($B85, IMPORTRANGE('Prelim Rankings Unsorted'!$B$42, CONCAT(VLOOKUP($C85, 'Match Names'!$A$1:$D$22, 4, FALSE)"&amp;", ""!C3:R29"")), {7;13;19;24}, FALSE)), ""=4"") + COUNTIF(ARRAYFORMULA(HLOOKUP($B85, IMPORTRANGE('Match Names'!$E$23, CONCAT(VLOOKUP($C85, 'Match Names'!$1:$22, 5, FALSE), ""!C3:R29"")), {2;8;12;22}, FALSE)), ""=4"") + COUNTIF(ARRAYFORMULA(HLOOKUP($B85, I"&amp;"MPORTRANGE('Match Names'!$F$23, CONCAT(VLOOKUP($C85, 'Match Names'!$1:$22, 6, FALSE), ""!C3:R29"")), {3;9;15;21}, FALSE)), ""=4"") + COUNTIF(ARRAYFORMULA(HLOOKUP($B85, IMPORTRANGE('Match Names'!$G$23, CONCAT(VLOOKUP($C85, 'Match Names'!$1:$22, 7, FALSE), "&amp;"""!C3:R29"")), {3;8;12;18}, FALSE)), ""=4"") + COUNTIF(ARRAYFORMULA(HLOOKUP($B85, IMPORTRANGE('Match Names'!$H$23, CONCAT(VLOOKUP($C85, 'Match Names'!$1:$22, 8, FALSE), ""!C3:R29"")), {7;13;19;24}, FALSE)), ""=4"")"),0.0)</f>
        <v>0</v>
      </c>
      <c r="F85" s="32">
        <f>IFERROR(__xludf.DUMMYFUNCTION("COUNTIF(ARRAYFORMULA(HLOOKUP($B85, IMPORTRANGE('Prelim Rankings Unsorted'!$B$40, CONCAT(VLOOKUP($C85, 'Match Names'!$A$1:$D$22, 2, FALSE), ""!C3:R29"")), {4;9;15;21}, FALSE)), ""=0"") + COUNTIF(ARRAYFORMULA(HLOOKUP($B85, IMPORTRANGE('Prelim Rankings Unsor"&amp;"ted'!$B$41, CONCAT(VLOOKUP($C85, 'Match Names'!$A$1:$D$22, 3, FALSE), ""!C3:R29"")), {7;13;19;24}, FALSE)), ""=0"") + COUNTIF(ARRAYFORMULA(HLOOKUP($B85, IMPORTRANGE('Prelim Rankings Unsorted'!$B$42, CONCAT(VLOOKUP($C85, 'Match Names'!$A$1:$D$22, 4, FALSE)"&amp;", ""!C3:R29"")), {7;13;19;24}, FALSE)), ""=0"") + COUNTIF(ARRAYFORMULA(HLOOKUP($B85, IMPORTRANGE('Match Names'!$E$23, CONCAT(VLOOKUP($C85, 'Match Names'!$1:$22, 5, FALSE), ""!C3:R29"")), {2;8;12;22}, FALSE)), ""=0"") + COUNTIF(ARRAYFORMULA(HLOOKUP($B85, I"&amp;"MPORTRANGE('Match Names'!$F$23, CONCAT(VLOOKUP($C85, 'Match Names'!$1:$22, 6, FALSE), ""!C3:R29"")), {3;9;15;21}, FALSE)), ""=0"") + COUNTIF(ARRAYFORMULA(HLOOKUP($B85, IMPORTRANGE('Match Names'!$G$23, CONCAT(VLOOKUP($C85, 'Match Names'!$1:$22, 7, FALSE), "&amp;"""!C3:R29"")), {3;8;12;18}, FALSE)), ""=0"") + COUNTIF(ARRAYFORMULA(HLOOKUP($B85, IMPORTRANGE('Match Names'!$H$23, CONCAT(VLOOKUP($C85, 'Match Names'!$1:$22, 8, FALSE), ""!C3:R29"")), {7;13;19;24}, FALSE)), ""=0"")"),0.0)</f>
        <v>0</v>
      </c>
      <c r="G85" s="32">
        <f>IFERROR(__xludf.DUMMYFUNCTION("COUNTIF(ARRAYFORMULA(HLOOKUP($B85, IMPORTRANGE('Prelim Rankings Unsorted'!$B$40, CONCAT(VLOOKUP($C85, 'Match Names'!$A$1:$D$22, 2, FALSE), ""!C3:R29"")), {4;9;15;21}, FALSE)), ""=-4"") + COUNTIF(ARRAYFORMULA(HLOOKUP($B85, IMPORTRANGE('Prelim Rankings Unso"&amp;"rted'!$B$41, CONCAT(VLOOKUP($C85, 'Match Names'!$A$1:$D$22, 3, FALSE), ""!C3:R29"")), {7;13;19;24}, FALSE)), ""=-4"") + COUNTIF(ARRAYFORMULA(HLOOKUP($B85, IMPORTRANGE('Prelim Rankings Unsorted'!$B$42, CONCAT(VLOOKUP($C85, 'Match Names'!$A$1:$D$22, 4, FALS"&amp;"E), ""!C3:R29"")), {7;13;19;24}, FALSE)), ""=-4"") + COUNTIF(ARRAYFORMULA(HLOOKUP($B85, IMPORTRANGE('Match Names'!$E$23, CONCAT(VLOOKUP($C85, 'Match Names'!$1:$22, 5, FALSE), ""!C3:R29"")), {2;8;12;22}, FALSE)), ""=-4"") + COUNTIF(ARRAYFORMULA(HLOOKUP($B8"&amp;"5, IMPORTRANGE('Match Names'!$F$23, CONCAT(VLOOKUP($C85, 'Match Names'!$1:$22, 6, FALSE), ""!C3:R29"")), {3;9;15;21}, FALSE)), ""=-4"") + COUNTIF(ARRAYFORMULA(HLOOKUP($B85, IMPORTRANGE('Match Names'!$G$23, CONCAT(VLOOKUP($C85, 'Match Names'!$1:$22, 7, FAL"&amp;"SE), ""!C3:R29"")), {3;8;12;18}, FALSE)), ""=-4"") + COUNTIF(ARRAYFORMULA(HLOOKUP($B85, IMPORTRANGE('Match Names'!$H$23, CONCAT(VLOOKUP($C85, 'Match Names'!$1:$22, 8, FALSE), ""!C3:R29"")), {7;13;19;24}, FALSE)), ""=-4"")"),0.0)</f>
        <v>0</v>
      </c>
      <c r="H85" s="33">
        <f t="shared" si="1"/>
        <v>0</v>
      </c>
    </row>
    <row r="86">
      <c r="A86" s="21" t="s">
        <v>37</v>
      </c>
      <c r="B86" s="7" t="str">
        <f>VLOOKUP(CONCAT(A86, C86), 'Discord Username to Real Name'!C:D, 2, FALSE)</f>
        <v>aurum#9391</v>
      </c>
      <c r="C86" s="21" t="s">
        <v>18</v>
      </c>
      <c r="D86" s="32">
        <f>IFERROR(__xludf.DUMMYFUNCTION("(4 - COUNTIF(IFERROR(ARRAYFORMULA(HLOOKUP($B86, IMPORTRANGE('Prelim Rankings Unsorted'!$B$40, CONCAT(VLOOKUP($C86, 'Match Names'!$A$1:$D$22, 2, FALSE), ""!C3:R29"")), {4;9;15;21}, FALSE)), 'Player Overall Stats Unsorted'!$AA$9:$AA$12), ""=X"")) + (4 - COU"&amp;"NTIF(IFERROR(ARRAYFORMULA(HLOOKUP($B86, IMPORTRANGE('Prelim Rankings Unsorted'!$B$41, CONCAT(VLOOKUP($C86, 'Match Names'!$A$1:$D$22, 3, FALSE), ""!C3:R29"")), {7;13;19;24}, FALSE)), 'Player Overall Stats Unsorted'!$AA$9:$AA$12), ""=X"")) + (4 - COUNTIF(IF"&amp;"ERROR(ARRAYFORMULA(HLOOKUP($B86, IMPORTRANGE('Prelim Rankings Unsorted'!$B$42, CONCAT(VLOOKUP($C86, 'Match Names'!$A$1:$D$22, 4, FALSE), ""!C3:R29"")), {7;13;19;24}, FALSE)), 'Player Overall Stats Unsorted'!$AA$9:$AA$12), ""=X"")) + (4 - COUNTIF(IFERROR(A"&amp;"RRAYFORMULA(HLOOKUP($B86, IMPORTRANGE('Match Names'!$E$23, CONCAT(VLOOKUP($C86, 'Match Names'!$1:$22, 5, FALSE), ""!C3:R29"")), {2;8;12;22}, FALSE)), 'Player Overall Stats Unsorted'!$AA$9:$AA$12), ""=X"")) + (4 - COUNTIF(IFERROR(ARRAYFORMULA(HLOOKUP($B86,"&amp;" IMPORTRANGE('Match Names'!$F$23, CONCAT(VLOOKUP($C86, 'Match Names'!$1:$22, 6, FALSE), ""!C3:R29"")), {3;9;15;21}, FALSE)), 'Player Overall Stats Unsorted'!$AA$9:$AA$12), ""=X"")) + (4 - COUNTIF(IFERROR(ARRAYFORMULA(HLOOKUP($B86, IMPORTRANGE('Match Names"&amp;"'!$G$23, CONCAT(VLOOKUP($C86, 'Match Names'!$1:$22, 7, FALSE), ""!C3:R29"")), {3;8;12;18}, FALSE)), 'Player Overall Stats Unsorted'!$AA$9:$AA$12), ""=X"")) + (4 - COUNTIF(IFERROR(ARRAYFORMULA(HLOOKUP($B86, IMPORTRANGE('Match Names'!$H$23, CONCAT(VLOOKUP($"&amp;"C86, 'Match Names'!$1:$22, 8, FALSE), ""!C3:R29"")), {7;13;19;24}, FALSE)), 'Player Overall Stats Unsorted'!$AA$9:$AA$12), ""=X""))"),20.0)</f>
        <v>20</v>
      </c>
      <c r="E86" s="32">
        <f>IFERROR(__xludf.DUMMYFUNCTION("COUNTIF(ARRAYFORMULA(HLOOKUP($B86, IMPORTRANGE('Prelim Rankings Unsorted'!$B$40, CONCAT(VLOOKUP($C86, 'Match Names'!$A$1:$D$22, 2, FALSE), ""!C3:R29"")), {4;9;15;21}, FALSE)), ""=4"") + COUNTIF(ARRAYFORMULA(HLOOKUP($B86, IMPORTRANGE('Prelim Rankings Unsor"&amp;"ted'!$B$41, CONCAT(VLOOKUP($C86, 'Match Names'!$A$1:$D$22, 3, FALSE), ""!C3:R29"")), {7;13;19;24}, FALSE)), ""=4"") + COUNTIF(ARRAYFORMULA(HLOOKUP($B86, IMPORTRANGE('Prelim Rankings Unsorted'!$B$42, CONCAT(VLOOKUP($C86, 'Match Names'!$A$1:$D$22, 4, FALSE)"&amp;", ""!C3:R29"")), {7;13;19;24}, FALSE)), ""=4"") + COUNTIF(ARRAYFORMULA(HLOOKUP($B86, IMPORTRANGE('Match Names'!$E$23, CONCAT(VLOOKUP($C86, 'Match Names'!$1:$22, 5, FALSE), ""!C3:R29"")), {2;8;12;22}, FALSE)), ""=4"") + COUNTIF(ARRAYFORMULA(HLOOKUP($B86, I"&amp;"MPORTRANGE('Match Names'!$F$23, CONCAT(VLOOKUP($C86, 'Match Names'!$1:$22, 6, FALSE), ""!C3:R29"")), {3;9;15;21}, FALSE)), ""=4"") + COUNTIF(ARRAYFORMULA(HLOOKUP($B86, IMPORTRANGE('Match Names'!$G$23, CONCAT(VLOOKUP($C86, 'Match Names'!$1:$22, 7, FALSE), "&amp;"""!C3:R29"")), {3;8;12;18}, FALSE)), ""=4"") + COUNTIF(ARRAYFORMULA(HLOOKUP($B86, IMPORTRANGE('Match Names'!$H$23, CONCAT(VLOOKUP($C86, 'Match Names'!$1:$22, 8, FALSE), ""!C3:R29"")), {7;13;19;24}, FALSE)), ""=4"")"),4.0)</f>
        <v>4</v>
      </c>
      <c r="F86" s="32">
        <f>IFERROR(__xludf.DUMMYFUNCTION("COUNTIF(ARRAYFORMULA(HLOOKUP($B86, IMPORTRANGE('Prelim Rankings Unsorted'!$B$40, CONCAT(VLOOKUP($C86, 'Match Names'!$A$1:$D$22, 2, FALSE), ""!C3:R29"")), {4;9;15;21}, FALSE)), ""=0"") + COUNTIF(ARRAYFORMULA(HLOOKUP($B86, IMPORTRANGE('Prelim Rankings Unsor"&amp;"ted'!$B$41, CONCAT(VLOOKUP($C86, 'Match Names'!$A$1:$D$22, 3, FALSE), ""!C3:R29"")), {7;13;19;24}, FALSE)), ""=0"") + COUNTIF(ARRAYFORMULA(HLOOKUP($B86, IMPORTRANGE('Prelim Rankings Unsorted'!$B$42, CONCAT(VLOOKUP($C86, 'Match Names'!$A$1:$D$22, 4, FALSE)"&amp;", ""!C3:R29"")), {7;13;19;24}, FALSE)), ""=0"") + COUNTIF(ARRAYFORMULA(HLOOKUP($B86, IMPORTRANGE('Match Names'!$E$23, CONCAT(VLOOKUP($C86, 'Match Names'!$1:$22, 5, FALSE), ""!C3:R29"")), {2;8;12;22}, FALSE)), ""=0"") + COUNTIF(ARRAYFORMULA(HLOOKUP($B86, I"&amp;"MPORTRANGE('Match Names'!$F$23, CONCAT(VLOOKUP($C86, 'Match Names'!$1:$22, 6, FALSE), ""!C3:R29"")), {3;9;15;21}, FALSE)), ""=0"") + COUNTIF(ARRAYFORMULA(HLOOKUP($B86, IMPORTRANGE('Match Names'!$G$23, CONCAT(VLOOKUP($C86, 'Match Names'!$1:$22, 7, FALSE), "&amp;"""!C3:R29"")), {3;8;12;18}, FALSE)), ""=0"") + COUNTIF(ARRAYFORMULA(HLOOKUP($B86, IMPORTRANGE('Match Names'!$H$23, CONCAT(VLOOKUP($C86, 'Match Names'!$1:$22, 8, FALSE), ""!C3:R29"")), {7;13;19;24}, FALSE)), ""=0"")"),8.0)</f>
        <v>8</v>
      </c>
      <c r="G86" s="32">
        <f>IFERROR(__xludf.DUMMYFUNCTION("COUNTIF(ARRAYFORMULA(HLOOKUP($B86, IMPORTRANGE('Prelim Rankings Unsorted'!$B$40, CONCAT(VLOOKUP($C86, 'Match Names'!$A$1:$D$22, 2, FALSE), ""!C3:R29"")), {4;9;15;21}, FALSE)), ""=-4"") + COUNTIF(ARRAYFORMULA(HLOOKUP($B86, IMPORTRANGE('Prelim Rankings Unso"&amp;"rted'!$B$41, CONCAT(VLOOKUP($C86, 'Match Names'!$A$1:$D$22, 3, FALSE), ""!C3:R29"")), {7;13;19;24}, FALSE)), ""=-4"") + COUNTIF(ARRAYFORMULA(HLOOKUP($B86, IMPORTRANGE('Prelim Rankings Unsorted'!$B$42, CONCAT(VLOOKUP($C86, 'Match Names'!$A$1:$D$22, 4, FALS"&amp;"E), ""!C3:R29"")), {7;13;19;24}, FALSE)), ""=-4"") + COUNTIF(ARRAYFORMULA(HLOOKUP($B86, IMPORTRANGE('Match Names'!$E$23, CONCAT(VLOOKUP($C86, 'Match Names'!$1:$22, 5, FALSE), ""!C3:R29"")), {2;8;12;22}, FALSE)), ""=-4"") + COUNTIF(ARRAYFORMULA(HLOOKUP($B8"&amp;"6, IMPORTRANGE('Match Names'!$F$23, CONCAT(VLOOKUP($C86, 'Match Names'!$1:$22, 6, FALSE), ""!C3:R29"")), {3;9;15;21}, FALSE)), ""=-4"") + COUNTIF(ARRAYFORMULA(HLOOKUP($B86, IMPORTRANGE('Match Names'!$G$23, CONCAT(VLOOKUP($C86, 'Match Names'!$1:$22, 7, FAL"&amp;"SE), ""!C3:R29"")), {3;8;12;18}, FALSE)), ""=-4"") + COUNTIF(ARRAYFORMULA(HLOOKUP($B86, IMPORTRANGE('Match Names'!$H$23, CONCAT(VLOOKUP($C86, 'Match Names'!$1:$22, 8, FALSE), ""!C3:R29"")), {7;13;19;24}, FALSE)), ""=-4"")"),1.0)</f>
        <v>1</v>
      </c>
      <c r="H86" s="33">
        <f t="shared" si="1"/>
        <v>2.4</v>
      </c>
    </row>
    <row r="87">
      <c r="A87" s="21" t="s">
        <v>45</v>
      </c>
      <c r="B87" s="7" t="str">
        <f>VLOOKUP(CONCAT(A87, C87), 'Discord Username to Real Name'!C:D, 2, FALSE)</f>
        <v>Rosin#8074</v>
      </c>
      <c r="C87" s="21" t="s">
        <v>18</v>
      </c>
      <c r="D87" s="32">
        <f>IFERROR(__xludf.DUMMYFUNCTION("(4 - COUNTIF(IFERROR(ARRAYFORMULA(HLOOKUP($B87, IMPORTRANGE('Prelim Rankings Unsorted'!$B$40, CONCAT(VLOOKUP($C87, 'Match Names'!$A$1:$D$22, 2, FALSE), ""!C3:R29"")), {4;9;15;21}, FALSE)), 'Player Overall Stats Unsorted'!$AA$9:$AA$12), ""=X"")) + (4 - COU"&amp;"NTIF(IFERROR(ARRAYFORMULA(HLOOKUP($B87, IMPORTRANGE('Prelim Rankings Unsorted'!$B$41, CONCAT(VLOOKUP($C87, 'Match Names'!$A$1:$D$22, 3, FALSE), ""!C3:R29"")), {7;13;19;24}, FALSE)), 'Player Overall Stats Unsorted'!$AA$9:$AA$12), ""=X"")) + (4 - COUNTIF(IF"&amp;"ERROR(ARRAYFORMULA(HLOOKUP($B87, IMPORTRANGE('Prelim Rankings Unsorted'!$B$42, CONCAT(VLOOKUP($C87, 'Match Names'!$A$1:$D$22, 4, FALSE), ""!C3:R29"")), {7;13;19;24}, FALSE)), 'Player Overall Stats Unsorted'!$AA$9:$AA$12), ""=X"")) + (4 - COUNTIF(IFERROR(A"&amp;"RRAYFORMULA(HLOOKUP($B87, IMPORTRANGE('Match Names'!$E$23, CONCAT(VLOOKUP($C87, 'Match Names'!$1:$22, 5, FALSE), ""!C3:R29"")), {2;8;12;22}, FALSE)), 'Player Overall Stats Unsorted'!$AA$9:$AA$12), ""=X"")) + (4 - COUNTIF(IFERROR(ARRAYFORMULA(HLOOKUP($B87,"&amp;" IMPORTRANGE('Match Names'!$F$23, CONCAT(VLOOKUP($C87, 'Match Names'!$1:$22, 6, FALSE), ""!C3:R29"")), {3;9;15;21}, FALSE)), 'Player Overall Stats Unsorted'!$AA$9:$AA$12), ""=X"")) + (4 - COUNTIF(IFERROR(ARRAYFORMULA(HLOOKUP($B87, IMPORTRANGE('Match Names"&amp;"'!$G$23, CONCAT(VLOOKUP($C87, 'Match Names'!$1:$22, 7, FALSE), ""!C3:R29"")), {3;8;12;18}, FALSE)), 'Player Overall Stats Unsorted'!$AA$9:$AA$12), ""=X"")) + (4 - COUNTIF(IFERROR(ARRAYFORMULA(HLOOKUP($B87, IMPORTRANGE('Match Names'!$H$23, CONCAT(VLOOKUP($"&amp;"C87, 'Match Names'!$1:$22, 8, FALSE), ""!C3:R29"")), {7;13;19;24}, FALSE)), 'Player Overall Stats Unsorted'!$AA$9:$AA$12), ""=X""))"),8.0)</f>
        <v>8</v>
      </c>
      <c r="E87" s="32">
        <f>IFERROR(__xludf.DUMMYFUNCTION("COUNTIF(ARRAYFORMULA(HLOOKUP($B87, IMPORTRANGE('Prelim Rankings Unsorted'!$B$40, CONCAT(VLOOKUP($C87, 'Match Names'!$A$1:$D$22, 2, FALSE), ""!C3:R29"")), {4;9;15;21}, FALSE)), ""=4"") + COUNTIF(ARRAYFORMULA(HLOOKUP($B87, IMPORTRANGE('Prelim Rankings Unsor"&amp;"ted'!$B$41, CONCAT(VLOOKUP($C87, 'Match Names'!$A$1:$D$22, 3, FALSE), ""!C3:R29"")), {7;13;19;24}, FALSE)), ""=4"") + COUNTIF(ARRAYFORMULA(HLOOKUP($B87, IMPORTRANGE('Prelim Rankings Unsorted'!$B$42, CONCAT(VLOOKUP($C87, 'Match Names'!$A$1:$D$22, 4, FALSE)"&amp;", ""!C3:R29"")), {7;13;19;24}, FALSE)), ""=4"") + COUNTIF(ARRAYFORMULA(HLOOKUP($B87, IMPORTRANGE('Match Names'!$E$23, CONCAT(VLOOKUP($C87, 'Match Names'!$1:$22, 5, FALSE), ""!C3:R29"")), {2;8;12;22}, FALSE)), ""=4"") + COUNTIF(ARRAYFORMULA(HLOOKUP($B87, I"&amp;"MPORTRANGE('Match Names'!$F$23, CONCAT(VLOOKUP($C87, 'Match Names'!$1:$22, 6, FALSE), ""!C3:R29"")), {3;9;15;21}, FALSE)), ""=4"") + COUNTIF(ARRAYFORMULA(HLOOKUP($B87, IMPORTRANGE('Match Names'!$G$23, CONCAT(VLOOKUP($C87, 'Match Names'!$1:$22, 7, FALSE), "&amp;"""!C3:R29"")), {3;8;12;18}, FALSE)), ""=4"") + COUNTIF(ARRAYFORMULA(HLOOKUP($B87, IMPORTRANGE('Match Names'!$H$23, CONCAT(VLOOKUP($C87, 'Match Names'!$1:$22, 8, FALSE), ""!C3:R29"")), {7;13;19;24}, FALSE)), ""=4"")"),0.0)</f>
        <v>0</v>
      </c>
      <c r="F87" s="32">
        <f>IFERROR(__xludf.DUMMYFUNCTION("COUNTIF(ARRAYFORMULA(HLOOKUP($B87, IMPORTRANGE('Prelim Rankings Unsorted'!$B$40, CONCAT(VLOOKUP($C87, 'Match Names'!$A$1:$D$22, 2, FALSE), ""!C3:R29"")), {4;9;15;21}, FALSE)), ""=0"") + COUNTIF(ARRAYFORMULA(HLOOKUP($B87, IMPORTRANGE('Prelim Rankings Unsor"&amp;"ted'!$B$41, CONCAT(VLOOKUP($C87, 'Match Names'!$A$1:$D$22, 3, FALSE), ""!C3:R29"")), {7;13;19;24}, FALSE)), ""=0"") + COUNTIF(ARRAYFORMULA(HLOOKUP($B87, IMPORTRANGE('Prelim Rankings Unsorted'!$B$42, CONCAT(VLOOKUP($C87, 'Match Names'!$A$1:$D$22, 4, FALSE)"&amp;", ""!C3:R29"")), {7;13;19;24}, FALSE)), ""=0"") + COUNTIF(ARRAYFORMULA(HLOOKUP($B87, IMPORTRANGE('Match Names'!$E$23, CONCAT(VLOOKUP($C87, 'Match Names'!$1:$22, 5, FALSE), ""!C3:R29"")), {2;8;12;22}, FALSE)), ""=0"") + COUNTIF(ARRAYFORMULA(HLOOKUP($B87, I"&amp;"MPORTRANGE('Match Names'!$F$23, CONCAT(VLOOKUP($C87, 'Match Names'!$1:$22, 6, FALSE), ""!C3:R29"")), {3;9;15;21}, FALSE)), ""=0"") + COUNTIF(ARRAYFORMULA(HLOOKUP($B87, IMPORTRANGE('Match Names'!$G$23, CONCAT(VLOOKUP($C87, 'Match Names'!$1:$22, 7, FALSE), "&amp;"""!C3:R29"")), {3;8;12;18}, FALSE)), ""=0"") + COUNTIF(ARRAYFORMULA(HLOOKUP($B87, IMPORTRANGE('Match Names'!$H$23, CONCAT(VLOOKUP($C87, 'Match Names'!$1:$22, 8, FALSE), ""!C3:R29"")), {7;13;19;24}, FALSE)), ""=0"")"),0.0)</f>
        <v>0</v>
      </c>
      <c r="G87" s="32">
        <f>IFERROR(__xludf.DUMMYFUNCTION("COUNTIF(ARRAYFORMULA(HLOOKUP($B87, IMPORTRANGE('Prelim Rankings Unsorted'!$B$40, CONCAT(VLOOKUP($C87, 'Match Names'!$A$1:$D$22, 2, FALSE), ""!C3:R29"")), {4;9;15;21}, FALSE)), ""=-4"") + COUNTIF(ARRAYFORMULA(HLOOKUP($B87, IMPORTRANGE('Prelim Rankings Unso"&amp;"rted'!$B$41, CONCAT(VLOOKUP($C87, 'Match Names'!$A$1:$D$22, 3, FALSE), ""!C3:R29"")), {7;13;19;24}, FALSE)), ""=-4"") + COUNTIF(ARRAYFORMULA(HLOOKUP($B87, IMPORTRANGE('Prelim Rankings Unsorted'!$B$42, CONCAT(VLOOKUP($C87, 'Match Names'!$A$1:$D$22, 4, FALS"&amp;"E), ""!C3:R29"")), {7;13;19;24}, FALSE)), ""=-4"") + COUNTIF(ARRAYFORMULA(HLOOKUP($B87, IMPORTRANGE('Match Names'!$E$23, CONCAT(VLOOKUP($C87, 'Match Names'!$1:$22, 5, FALSE), ""!C3:R29"")), {2;8;12;22}, FALSE)), ""=-4"") + COUNTIF(ARRAYFORMULA(HLOOKUP($B8"&amp;"7, IMPORTRANGE('Match Names'!$F$23, CONCAT(VLOOKUP($C87, 'Match Names'!$1:$22, 6, FALSE), ""!C3:R29"")), {3;9;15;21}, FALSE)), ""=-4"") + COUNTIF(ARRAYFORMULA(HLOOKUP($B87, IMPORTRANGE('Match Names'!$G$23, CONCAT(VLOOKUP($C87, 'Match Names'!$1:$22, 7, FAL"&amp;"SE), ""!C3:R29"")), {3;8;12;18}, FALSE)), ""=-4"") + COUNTIF(ARRAYFORMULA(HLOOKUP($B87, IMPORTRANGE('Match Names'!$H$23, CONCAT(VLOOKUP($C87, 'Match Names'!$1:$22, 8, FALSE), ""!C3:R29"")), {7;13;19;24}, FALSE)), ""=-4"")"),0.0)</f>
        <v>0</v>
      </c>
      <c r="H87" s="33">
        <f t="shared" si="1"/>
        <v>0</v>
      </c>
    </row>
    <row r="88">
      <c r="A88" s="23" t="s">
        <v>204</v>
      </c>
      <c r="B88" s="7" t="str">
        <f>VLOOKUP(CONCAT(A88, C88), 'Discord Username to Real Name'!C:D, 2, FALSE)</f>
        <v/>
      </c>
      <c r="C88" s="23" t="s">
        <v>18</v>
      </c>
      <c r="D88" s="32">
        <f>IFERROR(__xludf.DUMMYFUNCTION("(4 - COUNTIF(IFERROR(ARRAYFORMULA(HLOOKUP($B88, IMPORTRANGE('Prelim Rankings Unsorted'!$B$40, CONCAT(VLOOKUP($C88, 'Match Names'!$A$1:$D$22, 2, FALSE), ""!C3:R29"")), {4;9;15;21}, FALSE)), 'Player Overall Stats Unsorted'!$AA$9:$AA$12), ""=X"")) + (4 - COU"&amp;"NTIF(IFERROR(ARRAYFORMULA(HLOOKUP($B88, IMPORTRANGE('Prelim Rankings Unsorted'!$B$41, CONCAT(VLOOKUP($C88, 'Match Names'!$A$1:$D$22, 3, FALSE), ""!C3:R29"")), {7;13;19;24}, FALSE)), 'Player Overall Stats Unsorted'!$AA$9:$AA$12), ""=X"")) + (4 - COUNTIF(IF"&amp;"ERROR(ARRAYFORMULA(HLOOKUP($B88, IMPORTRANGE('Prelim Rankings Unsorted'!$B$42, CONCAT(VLOOKUP($C88, 'Match Names'!$A$1:$D$22, 4, FALSE), ""!C3:R29"")), {7;13;19;24}, FALSE)), 'Player Overall Stats Unsorted'!$AA$9:$AA$12), ""=X"")) + (4 - COUNTIF(IFERROR(A"&amp;"RRAYFORMULA(HLOOKUP($B88, IMPORTRANGE('Match Names'!$E$23, CONCAT(VLOOKUP($C88, 'Match Names'!$1:$22, 5, FALSE), ""!C3:R29"")), {2;8;12;22}, FALSE)), 'Player Overall Stats Unsorted'!$AA$9:$AA$12), ""=X"")) + (4 - COUNTIF(IFERROR(ARRAYFORMULA(HLOOKUP($B88,"&amp;" IMPORTRANGE('Match Names'!$F$23, CONCAT(VLOOKUP($C88, 'Match Names'!$1:$22, 6, FALSE), ""!C3:R29"")), {3;9;15;21}, FALSE)), 'Player Overall Stats Unsorted'!$AA$9:$AA$12), ""=X"")) + (4 - COUNTIF(IFERROR(ARRAYFORMULA(HLOOKUP($B88, IMPORTRANGE('Match Names"&amp;"'!$G$23, CONCAT(VLOOKUP($C88, 'Match Names'!$1:$22, 7, FALSE), ""!C3:R29"")), {3;8;12;18}, FALSE)), 'Player Overall Stats Unsorted'!$AA$9:$AA$12), ""=X"")) + (4 - COUNTIF(IFERROR(ARRAYFORMULA(HLOOKUP($B88, IMPORTRANGE('Match Names'!$H$23, CONCAT(VLOOKUP($"&amp;"C88, 'Match Names'!$1:$22, 8, FALSE), ""!C3:R29"")), {7;13;19;24}, FALSE)), 'Player Overall Stats Unsorted'!$AA$9:$AA$12), ""=X""))"),0.0)</f>
        <v>0</v>
      </c>
      <c r="E88" s="32">
        <f>IFERROR(__xludf.DUMMYFUNCTION("COUNTIF(ARRAYFORMULA(HLOOKUP($B88, IMPORTRANGE('Prelim Rankings Unsorted'!$B$40, CONCAT(VLOOKUP($C88, 'Match Names'!$A$1:$D$22, 2, FALSE), ""!C3:R29"")), {4;9;15;21}, FALSE)), ""=4"") + COUNTIF(ARRAYFORMULA(HLOOKUP($B88, IMPORTRANGE('Prelim Rankings Unsor"&amp;"ted'!$B$41, CONCAT(VLOOKUP($C88, 'Match Names'!$A$1:$D$22, 3, FALSE), ""!C3:R29"")), {7;13;19;24}, FALSE)), ""=4"") + COUNTIF(ARRAYFORMULA(HLOOKUP($B88, IMPORTRANGE('Prelim Rankings Unsorted'!$B$42, CONCAT(VLOOKUP($C88, 'Match Names'!$A$1:$D$22, 4, FALSE)"&amp;", ""!C3:R29"")), {7;13;19;24}, FALSE)), ""=4"") + COUNTIF(ARRAYFORMULA(HLOOKUP($B88, IMPORTRANGE('Match Names'!$E$23, CONCAT(VLOOKUP($C88, 'Match Names'!$1:$22, 5, FALSE), ""!C3:R29"")), {2;8;12;22}, FALSE)), ""=4"") + COUNTIF(ARRAYFORMULA(HLOOKUP($B88, I"&amp;"MPORTRANGE('Match Names'!$F$23, CONCAT(VLOOKUP($C88, 'Match Names'!$1:$22, 6, FALSE), ""!C3:R29"")), {3;9;15;21}, FALSE)), ""=4"") + COUNTIF(ARRAYFORMULA(HLOOKUP($B88, IMPORTRANGE('Match Names'!$G$23, CONCAT(VLOOKUP($C88, 'Match Names'!$1:$22, 7, FALSE), "&amp;"""!C3:R29"")), {3;8;12;18}, FALSE)), ""=4"") + COUNTIF(ARRAYFORMULA(HLOOKUP($B88, IMPORTRANGE('Match Names'!$H$23, CONCAT(VLOOKUP($C88, 'Match Names'!$1:$22, 8, FALSE), ""!C3:R29"")), {7;13;19;24}, FALSE)), ""=4"")"),0.0)</f>
        <v>0</v>
      </c>
      <c r="F88" s="32">
        <f>IFERROR(__xludf.DUMMYFUNCTION("COUNTIF(ARRAYFORMULA(HLOOKUP($B88, IMPORTRANGE('Prelim Rankings Unsorted'!$B$40, CONCAT(VLOOKUP($C88, 'Match Names'!$A$1:$D$22, 2, FALSE), ""!C3:R29"")), {4;9;15;21}, FALSE)), ""=0"") + COUNTIF(ARRAYFORMULA(HLOOKUP($B88, IMPORTRANGE('Prelim Rankings Unsor"&amp;"ted'!$B$41, CONCAT(VLOOKUP($C88, 'Match Names'!$A$1:$D$22, 3, FALSE), ""!C3:R29"")), {7;13;19;24}, FALSE)), ""=0"") + COUNTIF(ARRAYFORMULA(HLOOKUP($B88, IMPORTRANGE('Prelim Rankings Unsorted'!$B$42, CONCAT(VLOOKUP($C88, 'Match Names'!$A$1:$D$22, 4, FALSE)"&amp;", ""!C3:R29"")), {7;13;19;24}, FALSE)), ""=0"") + COUNTIF(ARRAYFORMULA(HLOOKUP($B88, IMPORTRANGE('Match Names'!$E$23, CONCAT(VLOOKUP($C88, 'Match Names'!$1:$22, 5, FALSE), ""!C3:R29"")), {2;8;12;22}, FALSE)), ""=0"") + COUNTIF(ARRAYFORMULA(HLOOKUP($B88, I"&amp;"MPORTRANGE('Match Names'!$F$23, CONCAT(VLOOKUP($C88, 'Match Names'!$1:$22, 6, FALSE), ""!C3:R29"")), {3;9;15;21}, FALSE)), ""=0"") + COUNTIF(ARRAYFORMULA(HLOOKUP($B88, IMPORTRANGE('Match Names'!$G$23, CONCAT(VLOOKUP($C88, 'Match Names'!$1:$22, 7, FALSE), "&amp;"""!C3:R29"")), {3;8;12;18}, FALSE)), ""=0"") + COUNTIF(ARRAYFORMULA(HLOOKUP($B88, IMPORTRANGE('Match Names'!$H$23, CONCAT(VLOOKUP($C88, 'Match Names'!$1:$22, 8, FALSE), ""!C3:R29"")), {7;13;19;24}, FALSE)), ""=0"")"),0.0)</f>
        <v>0</v>
      </c>
      <c r="G88" s="32">
        <f>IFERROR(__xludf.DUMMYFUNCTION("COUNTIF(ARRAYFORMULA(HLOOKUP($B88, IMPORTRANGE('Prelim Rankings Unsorted'!$B$40, CONCAT(VLOOKUP($C88, 'Match Names'!$A$1:$D$22, 2, FALSE), ""!C3:R29"")), {4;9;15;21}, FALSE)), ""=-4"") + COUNTIF(ARRAYFORMULA(HLOOKUP($B88, IMPORTRANGE('Prelim Rankings Unso"&amp;"rted'!$B$41, CONCAT(VLOOKUP($C88, 'Match Names'!$A$1:$D$22, 3, FALSE), ""!C3:R29"")), {7;13;19;24}, FALSE)), ""=-4"") + COUNTIF(ARRAYFORMULA(HLOOKUP($B88, IMPORTRANGE('Prelim Rankings Unsorted'!$B$42, CONCAT(VLOOKUP($C88, 'Match Names'!$A$1:$D$22, 4, FALS"&amp;"E), ""!C3:R29"")), {7;13;19;24}, FALSE)), ""=-4"") + COUNTIF(ARRAYFORMULA(HLOOKUP($B88, IMPORTRANGE('Match Names'!$E$23, CONCAT(VLOOKUP($C88, 'Match Names'!$1:$22, 5, FALSE), ""!C3:R29"")), {2;8;12;22}, FALSE)), ""=-4"") + COUNTIF(ARRAYFORMULA(HLOOKUP($B8"&amp;"8, IMPORTRANGE('Match Names'!$F$23, CONCAT(VLOOKUP($C88, 'Match Names'!$1:$22, 6, FALSE), ""!C3:R29"")), {3;9;15;21}, FALSE)), ""=-4"") + COUNTIF(ARRAYFORMULA(HLOOKUP($B88, IMPORTRANGE('Match Names'!$G$23, CONCAT(VLOOKUP($C88, 'Match Names'!$1:$22, 7, FAL"&amp;"SE), ""!C3:R29"")), {3;8;12;18}, FALSE)), ""=-4"") + COUNTIF(ARRAYFORMULA(HLOOKUP($B88, IMPORTRANGE('Match Names'!$H$23, CONCAT(VLOOKUP($C88, 'Match Names'!$1:$22, 8, FALSE), ""!C3:R29"")), {7;13;19;24}, FALSE)), ""=-4"")"),0.0)</f>
        <v>0</v>
      </c>
      <c r="H88" s="33">
        <f t="shared" si="1"/>
        <v>0</v>
      </c>
    </row>
    <row r="89">
      <c r="A89" s="21" t="s">
        <v>117</v>
      </c>
      <c r="B89" s="7" t="str">
        <f>VLOOKUP(CONCAT(A89, C89), 'Discord Username to Real Name'!C:D, 2, FALSE)</f>
        <v>the-wraith#2013</v>
      </c>
      <c r="C89" s="21" t="s">
        <v>18</v>
      </c>
      <c r="D89" s="32">
        <f>IFERROR(__xludf.DUMMYFUNCTION("(4 - COUNTIF(IFERROR(ARRAYFORMULA(HLOOKUP($B89, IMPORTRANGE('Prelim Rankings Unsorted'!$B$40, CONCAT(VLOOKUP($C89, 'Match Names'!$A$1:$D$22, 2, FALSE), ""!C3:R29"")), {4;9;15;21}, FALSE)), 'Player Overall Stats Unsorted'!$AA$9:$AA$12), ""=X"")) + (4 - COU"&amp;"NTIF(IFERROR(ARRAYFORMULA(HLOOKUP($B89, IMPORTRANGE('Prelim Rankings Unsorted'!$B$41, CONCAT(VLOOKUP($C89, 'Match Names'!$A$1:$D$22, 3, FALSE), ""!C3:R29"")), {7;13;19;24}, FALSE)), 'Player Overall Stats Unsorted'!$AA$9:$AA$12), ""=X"")) + (4 - COUNTIF(IF"&amp;"ERROR(ARRAYFORMULA(HLOOKUP($B89, IMPORTRANGE('Prelim Rankings Unsorted'!$B$42, CONCAT(VLOOKUP($C89, 'Match Names'!$A$1:$D$22, 4, FALSE), ""!C3:R29"")), {7;13;19;24}, FALSE)), 'Player Overall Stats Unsorted'!$AA$9:$AA$12), ""=X"")) + (4 - COUNTIF(IFERROR(A"&amp;"RRAYFORMULA(HLOOKUP($B89, IMPORTRANGE('Match Names'!$E$23, CONCAT(VLOOKUP($C89, 'Match Names'!$1:$22, 5, FALSE), ""!C3:R29"")), {2;8;12;22}, FALSE)), 'Player Overall Stats Unsorted'!$AA$9:$AA$12), ""=X"")) + (4 - COUNTIF(IFERROR(ARRAYFORMULA(HLOOKUP($B89,"&amp;" IMPORTRANGE('Match Names'!$F$23, CONCAT(VLOOKUP($C89, 'Match Names'!$1:$22, 6, FALSE), ""!C3:R29"")), {3;9;15;21}, FALSE)), 'Player Overall Stats Unsorted'!$AA$9:$AA$12), ""=X"")) + (4 - COUNTIF(IFERROR(ARRAYFORMULA(HLOOKUP($B89, IMPORTRANGE('Match Names"&amp;"'!$G$23, CONCAT(VLOOKUP($C89, 'Match Names'!$1:$22, 7, FALSE), ""!C3:R29"")), {3;8;12;18}, FALSE)), 'Player Overall Stats Unsorted'!$AA$9:$AA$12), ""=X"")) + (4 - COUNTIF(IFERROR(ARRAYFORMULA(HLOOKUP($B89, IMPORTRANGE('Match Names'!$H$23, CONCAT(VLOOKUP($"&amp;"C89, 'Match Names'!$1:$22, 8, FALSE), ""!C3:R29"")), {7;13;19;24}, FALSE)), 'Player Overall Stats Unsorted'!$AA$9:$AA$12), ""=X""))"),20.0)</f>
        <v>20</v>
      </c>
      <c r="E89" s="32">
        <f>IFERROR(__xludf.DUMMYFUNCTION("COUNTIF(ARRAYFORMULA(HLOOKUP($B89, IMPORTRANGE('Prelim Rankings Unsorted'!$B$40, CONCAT(VLOOKUP($C89, 'Match Names'!$A$1:$D$22, 2, FALSE), ""!C3:R29"")), {4;9;15;21}, FALSE)), ""=4"") + COUNTIF(ARRAYFORMULA(HLOOKUP($B89, IMPORTRANGE('Prelim Rankings Unsor"&amp;"ted'!$B$41, CONCAT(VLOOKUP($C89, 'Match Names'!$A$1:$D$22, 3, FALSE), ""!C3:R29"")), {7;13;19;24}, FALSE)), ""=4"") + COUNTIF(ARRAYFORMULA(HLOOKUP($B89, IMPORTRANGE('Prelim Rankings Unsorted'!$B$42, CONCAT(VLOOKUP($C89, 'Match Names'!$A$1:$D$22, 4, FALSE)"&amp;", ""!C3:R29"")), {7;13;19;24}, FALSE)), ""=4"") + COUNTIF(ARRAYFORMULA(HLOOKUP($B89, IMPORTRANGE('Match Names'!$E$23, CONCAT(VLOOKUP($C89, 'Match Names'!$1:$22, 5, FALSE), ""!C3:R29"")), {2;8;12;22}, FALSE)), ""=4"") + COUNTIF(ARRAYFORMULA(HLOOKUP($B89, I"&amp;"MPORTRANGE('Match Names'!$F$23, CONCAT(VLOOKUP($C89, 'Match Names'!$1:$22, 6, FALSE), ""!C3:R29"")), {3;9;15;21}, FALSE)), ""=4"") + COUNTIF(ARRAYFORMULA(HLOOKUP($B89, IMPORTRANGE('Match Names'!$G$23, CONCAT(VLOOKUP($C89, 'Match Names'!$1:$22, 7, FALSE), "&amp;"""!C3:R29"")), {3;8;12;18}, FALSE)), ""=4"") + COUNTIF(ARRAYFORMULA(HLOOKUP($B89, IMPORTRANGE('Match Names'!$H$23, CONCAT(VLOOKUP($C89, 'Match Names'!$1:$22, 8, FALSE), ""!C3:R29"")), {7;13;19;24}, FALSE)), ""=4"")"),0.0)</f>
        <v>0</v>
      </c>
      <c r="F89" s="32">
        <f>IFERROR(__xludf.DUMMYFUNCTION("COUNTIF(ARRAYFORMULA(HLOOKUP($B89, IMPORTRANGE('Prelim Rankings Unsorted'!$B$40, CONCAT(VLOOKUP($C89, 'Match Names'!$A$1:$D$22, 2, FALSE), ""!C3:R29"")), {4;9;15;21}, FALSE)), ""=0"") + COUNTIF(ARRAYFORMULA(HLOOKUP($B89, IMPORTRANGE('Prelim Rankings Unsor"&amp;"ted'!$B$41, CONCAT(VLOOKUP($C89, 'Match Names'!$A$1:$D$22, 3, FALSE), ""!C3:R29"")), {7;13;19;24}, FALSE)), ""=0"") + COUNTIF(ARRAYFORMULA(HLOOKUP($B89, IMPORTRANGE('Prelim Rankings Unsorted'!$B$42, CONCAT(VLOOKUP($C89, 'Match Names'!$A$1:$D$22, 4, FALSE)"&amp;", ""!C3:R29"")), {7;13;19;24}, FALSE)), ""=0"") + COUNTIF(ARRAYFORMULA(HLOOKUP($B89, IMPORTRANGE('Match Names'!$E$23, CONCAT(VLOOKUP($C89, 'Match Names'!$1:$22, 5, FALSE), ""!C3:R29"")), {2;8;12;22}, FALSE)), ""=0"") + COUNTIF(ARRAYFORMULA(HLOOKUP($B89, I"&amp;"MPORTRANGE('Match Names'!$F$23, CONCAT(VLOOKUP($C89, 'Match Names'!$1:$22, 6, FALSE), ""!C3:R29"")), {3;9;15;21}, FALSE)), ""=0"") + COUNTIF(ARRAYFORMULA(HLOOKUP($B89, IMPORTRANGE('Match Names'!$G$23, CONCAT(VLOOKUP($C89, 'Match Names'!$1:$22, 7, FALSE), "&amp;"""!C3:R29"")), {3;8;12;18}, FALSE)), ""=0"") + COUNTIF(ARRAYFORMULA(HLOOKUP($B89, IMPORTRANGE('Match Names'!$H$23, CONCAT(VLOOKUP($C89, 'Match Names'!$1:$22, 8, FALSE), ""!C3:R29"")), {7;13;19;24}, FALSE)), ""=0"")"),1.0)</f>
        <v>1</v>
      </c>
      <c r="G89" s="32">
        <f>IFERROR(__xludf.DUMMYFUNCTION("COUNTIF(ARRAYFORMULA(HLOOKUP($B89, IMPORTRANGE('Prelim Rankings Unsorted'!$B$40, CONCAT(VLOOKUP($C89, 'Match Names'!$A$1:$D$22, 2, FALSE), ""!C3:R29"")), {4;9;15;21}, FALSE)), ""=-4"") + COUNTIF(ARRAYFORMULA(HLOOKUP($B89, IMPORTRANGE('Prelim Rankings Unso"&amp;"rted'!$B$41, CONCAT(VLOOKUP($C89, 'Match Names'!$A$1:$D$22, 3, FALSE), ""!C3:R29"")), {7;13;19;24}, FALSE)), ""=-4"") + COUNTIF(ARRAYFORMULA(HLOOKUP($B89, IMPORTRANGE('Prelim Rankings Unsorted'!$B$42, CONCAT(VLOOKUP($C89, 'Match Names'!$A$1:$D$22, 4, FALS"&amp;"E), ""!C3:R29"")), {7;13;19;24}, FALSE)), ""=-4"") + COUNTIF(ARRAYFORMULA(HLOOKUP($B89, IMPORTRANGE('Match Names'!$E$23, CONCAT(VLOOKUP($C89, 'Match Names'!$1:$22, 5, FALSE), ""!C3:R29"")), {2;8;12;22}, FALSE)), ""=-4"") + COUNTIF(ARRAYFORMULA(HLOOKUP($B8"&amp;"9, IMPORTRANGE('Match Names'!$F$23, CONCAT(VLOOKUP($C89, 'Match Names'!$1:$22, 6, FALSE), ""!C3:R29"")), {3;9;15;21}, FALSE)), ""=-4"") + COUNTIF(ARRAYFORMULA(HLOOKUP($B89, IMPORTRANGE('Match Names'!$G$23, CONCAT(VLOOKUP($C89, 'Match Names'!$1:$22, 7, FAL"&amp;"SE), ""!C3:R29"")), {3;8;12;18}, FALSE)), ""=-4"") + COUNTIF(ARRAYFORMULA(HLOOKUP($B89, IMPORTRANGE('Match Names'!$H$23, CONCAT(VLOOKUP($C89, 'Match Names'!$1:$22, 8, FALSE), ""!C3:R29"")), {7;13;19;24}, FALSE)), ""=-4"")"),0.0)</f>
        <v>0</v>
      </c>
      <c r="H89" s="33">
        <f t="shared" si="1"/>
        <v>0</v>
      </c>
    </row>
    <row r="90">
      <c r="A90" s="21" t="s">
        <v>78</v>
      </c>
      <c r="B90" s="7" t="str">
        <f>VLOOKUP(CONCAT(A90, C90), 'Discord Username to Real Name'!C:D, 2, FALSE)</f>
        <v>avaebe#2714</v>
      </c>
      <c r="C90" s="21" t="s">
        <v>18</v>
      </c>
      <c r="D90" s="32">
        <f>IFERROR(__xludf.DUMMYFUNCTION("(4 - COUNTIF(IFERROR(ARRAYFORMULA(HLOOKUP($B90, IMPORTRANGE('Prelim Rankings Unsorted'!$B$40, CONCAT(VLOOKUP($C90, 'Match Names'!$A$1:$D$22, 2, FALSE), ""!C3:R29"")), {4;9;15;21}, FALSE)), 'Player Overall Stats Unsorted'!$AA$9:$AA$12), ""=X"")) + (4 - COU"&amp;"NTIF(IFERROR(ARRAYFORMULA(HLOOKUP($B90, IMPORTRANGE('Prelim Rankings Unsorted'!$B$41, CONCAT(VLOOKUP($C90, 'Match Names'!$A$1:$D$22, 3, FALSE), ""!C3:R29"")), {7;13;19;24}, FALSE)), 'Player Overall Stats Unsorted'!$AA$9:$AA$12), ""=X"")) + (4 - COUNTIF(IF"&amp;"ERROR(ARRAYFORMULA(HLOOKUP($B90, IMPORTRANGE('Prelim Rankings Unsorted'!$B$42, CONCAT(VLOOKUP($C90, 'Match Names'!$A$1:$D$22, 4, FALSE), ""!C3:R29"")), {7;13;19;24}, FALSE)), 'Player Overall Stats Unsorted'!$AA$9:$AA$12), ""=X"")) + (4 - COUNTIF(IFERROR(A"&amp;"RRAYFORMULA(HLOOKUP($B90, IMPORTRANGE('Match Names'!$E$23, CONCAT(VLOOKUP($C90, 'Match Names'!$1:$22, 5, FALSE), ""!C3:R29"")), {2;8;12;22}, FALSE)), 'Player Overall Stats Unsorted'!$AA$9:$AA$12), ""=X"")) + (4 - COUNTIF(IFERROR(ARRAYFORMULA(HLOOKUP($B90,"&amp;" IMPORTRANGE('Match Names'!$F$23, CONCAT(VLOOKUP($C90, 'Match Names'!$1:$22, 6, FALSE), ""!C3:R29"")), {3;9;15;21}, FALSE)), 'Player Overall Stats Unsorted'!$AA$9:$AA$12), ""=X"")) + (4 - COUNTIF(IFERROR(ARRAYFORMULA(HLOOKUP($B90, IMPORTRANGE('Match Names"&amp;"'!$G$23, CONCAT(VLOOKUP($C90, 'Match Names'!$1:$22, 7, FALSE), ""!C3:R29"")), {3;8;12;18}, FALSE)), 'Player Overall Stats Unsorted'!$AA$9:$AA$12), ""=X"")) + (4 - COUNTIF(IFERROR(ARRAYFORMULA(HLOOKUP($B90, IMPORTRANGE('Match Names'!$H$23, CONCAT(VLOOKUP($"&amp;"C90, 'Match Names'!$1:$22, 8, FALSE), ""!C3:R29"")), {7;13;19;24}, FALSE)), 'Player Overall Stats Unsorted'!$AA$9:$AA$12), ""=X""))"),12.0)</f>
        <v>12</v>
      </c>
      <c r="E90" s="32">
        <f>IFERROR(__xludf.DUMMYFUNCTION("COUNTIF(ARRAYFORMULA(HLOOKUP($B90, IMPORTRANGE('Prelim Rankings Unsorted'!$B$40, CONCAT(VLOOKUP($C90, 'Match Names'!$A$1:$D$22, 2, FALSE), ""!C3:R29"")), {4;9;15;21}, FALSE)), ""=4"") + COUNTIF(ARRAYFORMULA(HLOOKUP($B90, IMPORTRANGE('Prelim Rankings Unsor"&amp;"ted'!$B$41, CONCAT(VLOOKUP($C90, 'Match Names'!$A$1:$D$22, 3, FALSE), ""!C3:R29"")), {7;13;19;24}, FALSE)), ""=4"") + COUNTIF(ARRAYFORMULA(HLOOKUP($B90, IMPORTRANGE('Prelim Rankings Unsorted'!$B$42, CONCAT(VLOOKUP($C90, 'Match Names'!$A$1:$D$22, 4, FALSE)"&amp;", ""!C3:R29"")), {7;13;19;24}, FALSE)), ""=4"") + COUNTIF(ARRAYFORMULA(HLOOKUP($B90, IMPORTRANGE('Match Names'!$E$23, CONCAT(VLOOKUP($C90, 'Match Names'!$1:$22, 5, FALSE), ""!C3:R29"")), {2;8;12;22}, FALSE)), ""=4"") + COUNTIF(ARRAYFORMULA(HLOOKUP($B90, I"&amp;"MPORTRANGE('Match Names'!$F$23, CONCAT(VLOOKUP($C90, 'Match Names'!$1:$22, 6, FALSE), ""!C3:R29"")), {3;9;15;21}, FALSE)), ""=4"") + COUNTIF(ARRAYFORMULA(HLOOKUP($B90, IMPORTRANGE('Match Names'!$G$23, CONCAT(VLOOKUP($C90, 'Match Names'!$1:$22, 7, FALSE), "&amp;"""!C3:R29"")), {3;8;12;18}, FALSE)), ""=4"") + COUNTIF(ARRAYFORMULA(HLOOKUP($B90, IMPORTRANGE('Match Names'!$H$23, CONCAT(VLOOKUP($C90, 'Match Names'!$1:$22, 8, FALSE), ""!C3:R29"")), {7;13;19;24}, FALSE)), ""=4"")"),0.0)</f>
        <v>0</v>
      </c>
      <c r="F90" s="32">
        <f>IFERROR(__xludf.DUMMYFUNCTION("COUNTIF(ARRAYFORMULA(HLOOKUP($B90, IMPORTRANGE('Prelim Rankings Unsorted'!$B$40, CONCAT(VLOOKUP($C90, 'Match Names'!$A$1:$D$22, 2, FALSE), ""!C3:R29"")), {4;9;15;21}, FALSE)), ""=0"") + COUNTIF(ARRAYFORMULA(HLOOKUP($B90, IMPORTRANGE('Prelim Rankings Unsor"&amp;"ted'!$B$41, CONCAT(VLOOKUP($C90, 'Match Names'!$A$1:$D$22, 3, FALSE), ""!C3:R29"")), {7;13;19;24}, FALSE)), ""=0"") + COUNTIF(ARRAYFORMULA(HLOOKUP($B90, IMPORTRANGE('Prelim Rankings Unsorted'!$B$42, CONCAT(VLOOKUP($C90, 'Match Names'!$A$1:$D$22, 4, FALSE)"&amp;", ""!C3:R29"")), {7;13;19;24}, FALSE)), ""=0"") + COUNTIF(ARRAYFORMULA(HLOOKUP($B90, IMPORTRANGE('Match Names'!$E$23, CONCAT(VLOOKUP($C90, 'Match Names'!$1:$22, 5, FALSE), ""!C3:R29"")), {2;8;12;22}, FALSE)), ""=0"") + COUNTIF(ARRAYFORMULA(HLOOKUP($B90, I"&amp;"MPORTRANGE('Match Names'!$F$23, CONCAT(VLOOKUP($C90, 'Match Names'!$1:$22, 6, FALSE), ""!C3:R29"")), {3;9;15;21}, FALSE)), ""=0"") + COUNTIF(ARRAYFORMULA(HLOOKUP($B90, IMPORTRANGE('Match Names'!$G$23, CONCAT(VLOOKUP($C90, 'Match Names'!$1:$22, 7, FALSE), "&amp;"""!C3:R29"")), {3;8;12;18}, FALSE)), ""=0"") + COUNTIF(ARRAYFORMULA(HLOOKUP($B90, IMPORTRANGE('Match Names'!$H$23, CONCAT(VLOOKUP($C90, 'Match Names'!$1:$22, 8, FALSE), ""!C3:R29"")), {7;13;19;24}, FALSE)), ""=0"")"),0.0)</f>
        <v>0</v>
      </c>
      <c r="G90" s="32">
        <f>IFERROR(__xludf.DUMMYFUNCTION("COUNTIF(ARRAYFORMULA(HLOOKUP($B90, IMPORTRANGE('Prelim Rankings Unsorted'!$B$40, CONCAT(VLOOKUP($C90, 'Match Names'!$A$1:$D$22, 2, FALSE), ""!C3:R29"")), {4;9;15;21}, FALSE)), ""=-4"") + COUNTIF(ARRAYFORMULA(HLOOKUP($B90, IMPORTRANGE('Prelim Rankings Unso"&amp;"rted'!$B$41, CONCAT(VLOOKUP($C90, 'Match Names'!$A$1:$D$22, 3, FALSE), ""!C3:R29"")), {7;13;19;24}, FALSE)), ""=-4"") + COUNTIF(ARRAYFORMULA(HLOOKUP($B90, IMPORTRANGE('Prelim Rankings Unsorted'!$B$42, CONCAT(VLOOKUP($C90, 'Match Names'!$A$1:$D$22, 4, FALS"&amp;"E), ""!C3:R29"")), {7;13;19;24}, FALSE)), ""=-4"") + COUNTIF(ARRAYFORMULA(HLOOKUP($B90, IMPORTRANGE('Match Names'!$E$23, CONCAT(VLOOKUP($C90, 'Match Names'!$1:$22, 5, FALSE), ""!C3:R29"")), {2;8;12;22}, FALSE)), ""=-4"") + COUNTIF(ARRAYFORMULA(HLOOKUP($B9"&amp;"0, IMPORTRANGE('Match Names'!$F$23, CONCAT(VLOOKUP($C90, 'Match Names'!$1:$22, 6, FALSE), ""!C3:R29"")), {3;9;15;21}, FALSE)), ""=-4"") + COUNTIF(ARRAYFORMULA(HLOOKUP($B90, IMPORTRANGE('Match Names'!$G$23, CONCAT(VLOOKUP($C90, 'Match Names'!$1:$22, 7, FAL"&amp;"SE), ""!C3:R29"")), {3;8;12;18}, FALSE)), ""=-4"") + COUNTIF(ARRAYFORMULA(HLOOKUP($B90, IMPORTRANGE('Match Names'!$H$23, CONCAT(VLOOKUP($C90, 'Match Names'!$1:$22, 8, FALSE), ""!C3:R29"")), {7;13;19;24}, FALSE)), ""=-4"")"),0.0)</f>
        <v>0</v>
      </c>
      <c r="H90" s="33">
        <f t="shared" si="1"/>
        <v>0</v>
      </c>
    </row>
    <row r="91">
      <c r="A91" s="21" t="s">
        <v>70</v>
      </c>
      <c r="B91" s="7" t="str">
        <f>VLOOKUP(CONCAT(A91, C91), 'Discord Username to Real Name'!C:D, 2, FALSE)</f>
        <v>aloevera42#2760</v>
      </c>
      <c r="C91" s="21" t="s">
        <v>28</v>
      </c>
      <c r="D91" s="32">
        <f>IFERROR(__xludf.DUMMYFUNCTION("(4 - COUNTIF(IFERROR(ARRAYFORMULA(HLOOKUP($B91, IMPORTRANGE('Prelim Rankings Unsorted'!$B$40, CONCAT(VLOOKUP($C91, 'Match Names'!$A$1:$D$22, 2, FALSE), ""!C3:R29"")), {4;9;15;21}, FALSE)), 'Player Overall Stats Unsorted'!$AA$9:$AA$12), ""=X"")) + (4 - COU"&amp;"NTIF(IFERROR(ARRAYFORMULA(HLOOKUP($B91, IMPORTRANGE('Prelim Rankings Unsorted'!$B$41, CONCAT(VLOOKUP($C91, 'Match Names'!$A$1:$D$22, 3, FALSE), ""!C3:R29"")), {7;13;19;24}, FALSE)), 'Player Overall Stats Unsorted'!$AA$9:$AA$12), ""=X"")) + (4 - COUNTIF(IF"&amp;"ERROR(ARRAYFORMULA(HLOOKUP($B91, IMPORTRANGE('Prelim Rankings Unsorted'!$B$42, CONCAT(VLOOKUP($C91, 'Match Names'!$A$1:$D$22, 4, FALSE), ""!C3:R29"")), {7;13;19;24}, FALSE)), 'Player Overall Stats Unsorted'!$AA$9:$AA$12), ""=X"")) + (4 - COUNTIF(IFERROR(A"&amp;"RRAYFORMULA(HLOOKUP($B91, IMPORTRANGE('Match Names'!$E$23, CONCAT(VLOOKUP($C91, 'Match Names'!$1:$22, 5, FALSE), ""!C3:R29"")), {2;8;12;22}, FALSE)), 'Player Overall Stats Unsorted'!$AA$9:$AA$12), ""=X"")) + (4 - COUNTIF(IFERROR(ARRAYFORMULA(HLOOKUP($B91,"&amp;" IMPORTRANGE('Match Names'!$F$23, CONCAT(VLOOKUP($C91, 'Match Names'!$1:$22, 6, FALSE), ""!C3:R29"")), {3;9;15;21}, FALSE)), 'Player Overall Stats Unsorted'!$AA$9:$AA$12), ""=X"")) + (4 - COUNTIF(IFERROR(ARRAYFORMULA(HLOOKUP($B91, IMPORTRANGE('Match Names"&amp;"'!$G$23, CONCAT(VLOOKUP($C91, 'Match Names'!$1:$22, 7, FALSE), ""!C3:R29"")), {3;8;12;18}, FALSE)), 'Player Overall Stats Unsorted'!$AA$9:$AA$12), ""=X"")) + (4 - COUNTIF(IFERROR(ARRAYFORMULA(HLOOKUP($B91, IMPORTRANGE('Match Names'!$H$23, CONCAT(VLOOKUP($"&amp;"C91, 'Match Names'!$1:$22, 8, FALSE), ""!C3:R29"")), {7;13;19;24}, FALSE)), 'Player Overall Stats Unsorted'!$AA$9:$AA$12), ""=X""))"),16.0)</f>
        <v>16</v>
      </c>
      <c r="E91" s="32">
        <f>IFERROR(__xludf.DUMMYFUNCTION("COUNTIF(ARRAYFORMULA(HLOOKUP($B91, IMPORTRANGE('Prelim Rankings Unsorted'!$B$40, CONCAT(VLOOKUP($C91, 'Match Names'!$A$1:$D$22, 2, FALSE), ""!C3:R29"")), {4;9;15;21}, FALSE)), ""=4"") + COUNTIF(ARRAYFORMULA(HLOOKUP($B91, IMPORTRANGE('Prelim Rankings Unsor"&amp;"ted'!$B$41, CONCAT(VLOOKUP($C91, 'Match Names'!$A$1:$D$22, 3, FALSE), ""!C3:R29"")), {7;13;19;24}, FALSE)), ""=4"") + COUNTIF(ARRAYFORMULA(HLOOKUP($B91, IMPORTRANGE('Prelim Rankings Unsorted'!$B$42, CONCAT(VLOOKUP($C91, 'Match Names'!$A$1:$D$22, 4, FALSE)"&amp;", ""!C3:R29"")), {7;13;19;24}, FALSE)), ""=4"") + COUNTIF(ARRAYFORMULA(HLOOKUP($B91, IMPORTRANGE('Match Names'!$E$23, CONCAT(VLOOKUP($C91, 'Match Names'!$1:$22, 5, FALSE), ""!C3:R29"")), {2;8;12;22}, FALSE)), ""=4"") + COUNTIF(ARRAYFORMULA(HLOOKUP($B91, I"&amp;"MPORTRANGE('Match Names'!$F$23, CONCAT(VLOOKUP($C91, 'Match Names'!$1:$22, 6, FALSE), ""!C3:R29"")), {3;9;15;21}, FALSE)), ""=4"") + COUNTIF(ARRAYFORMULA(HLOOKUP($B91, IMPORTRANGE('Match Names'!$G$23, CONCAT(VLOOKUP($C91, 'Match Names'!$1:$22, 7, FALSE), "&amp;"""!C3:R29"")), {3;8;12;18}, FALSE)), ""=4"") + COUNTIF(ARRAYFORMULA(HLOOKUP($B91, IMPORTRANGE('Match Names'!$H$23, CONCAT(VLOOKUP($C91, 'Match Names'!$1:$22, 8, FALSE), ""!C3:R29"")), {7;13;19;24}, FALSE)), ""=4"")"),3.0)</f>
        <v>3</v>
      </c>
      <c r="F91" s="32">
        <f>IFERROR(__xludf.DUMMYFUNCTION("COUNTIF(ARRAYFORMULA(HLOOKUP($B91, IMPORTRANGE('Prelim Rankings Unsorted'!$B$40, CONCAT(VLOOKUP($C91, 'Match Names'!$A$1:$D$22, 2, FALSE), ""!C3:R29"")), {4;9;15;21}, FALSE)), ""=0"") + COUNTIF(ARRAYFORMULA(HLOOKUP($B91, IMPORTRANGE('Prelim Rankings Unsor"&amp;"ted'!$B$41, CONCAT(VLOOKUP($C91, 'Match Names'!$A$1:$D$22, 3, FALSE), ""!C3:R29"")), {7;13;19;24}, FALSE)), ""=0"") + COUNTIF(ARRAYFORMULA(HLOOKUP($B91, IMPORTRANGE('Prelim Rankings Unsorted'!$B$42, CONCAT(VLOOKUP($C91, 'Match Names'!$A$1:$D$22, 4, FALSE)"&amp;", ""!C3:R29"")), {7;13;19;24}, FALSE)), ""=0"") + COUNTIF(ARRAYFORMULA(HLOOKUP($B91, IMPORTRANGE('Match Names'!$E$23, CONCAT(VLOOKUP($C91, 'Match Names'!$1:$22, 5, FALSE), ""!C3:R29"")), {2;8;12;22}, FALSE)), ""=0"") + COUNTIF(ARRAYFORMULA(HLOOKUP($B91, I"&amp;"MPORTRANGE('Match Names'!$F$23, CONCAT(VLOOKUP($C91, 'Match Names'!$1:$22, 6, FALSE), ""!C3:R29"")), {3;9;15;21}, FALSE)), ""=0"") + COUNTIF(ARRAYFORMULA(HLOOKUP($B91, IMPORTRANGE('Match Names'!$G$23, CONCAT(VLOOKUP($C91, 'Match Names'!$1:$22, 7, FALSE), "&amp;"""!C3:R29"")), {3;8;12;18}, FALSE)), ""=0"") + COUNTIF(ARRAYFORMULA(HLOOKUP($B91, IMPORTRANGE('Match Names'!$H$23, CONCAT(VLOOKUP($C91, 'Match Names'!$1:$22, 8, FALSE), ""!C3:R29"")), {7;13;19;24}, FALSE)), ""=0"")"),3.0)</f>
        <v>3</v>
      </c>
      <c r="G91" s="32">
        <f>IFERROR(__xludf.DUMMYFUNCTION("COUNTIF(ARRAYFORMULA(HLOOKUP($B91, IMPORTRANGE('Prelim Rankings Unsorted'!$B$40, CONCAT(VLOOKUP($C91, 'Match Names'!$A$1:$D$22, 2, FALSE), ""!C3:R29"")), {4;9;15;21}, FALSE)), ""=-4"") + COUNTIF(ARRAYFORMULA(HLOOKUP($B91, IMPORTRANGE('Prelim Rankings Unso"&amp;"rted'!$B$41, CONCAT(VLOOKUP($C91, 'Match Names'!$A$1:$D$22, 3, FALSE), ""!C3:R29"")), {7;13;19;24}, FALSE)), ""=-4"") + COUNTIF(ARRAYFORMULA(HLOOKUP($B91, IMPORTRANGE('Prelim Rankings Unsorted'!$B$42, CONCAT(VLOOKUP($C91, 'Match Names'!$A$1:$D$22, 4, FALS"&amp;"E), ""!C3:R29"")), {7;13;19;24}, FALSE)), ""=-4"") + COUNTIF(ARRAYFORMULA(HLOOKUP($B91, IMPORTRANGE('Match Names'!$E$23, CONCAT(VLOOKUP($C91, 'Match Names'!$1:$22, 5, FALSE), ""!C3:R29"")), {2;8;12;22}, FALSE)), ""=-4"") + COUNTIF(ARRAYFORMULA(HLOOKUP($B9"&amp;"1, IMPORTRANGE('Match Names'!$F$23, CONCAT(VLOOKUP($C91, 'Match Names'!$1:$22, 6, FALSE), ""!C3:R29"")), {3;9;15;21}, FALSE)), ""=-4"") + COUNTIF(ARRAYFORMULA(HLOOKUP($B91, IMPORTRANGE('Match Names'!$G$23, CONCAT(VLOOKUP($C91, 'Match Names'!$1:$22, 7, FAL"&amp;"SE), ""!C3:R29"")), {3;8;12;18}, FALSE)), ""=-4"") + COUNTIF(ARRAYFORMULA(HLOOKUP($B91, IMPORTRANGE('Match Names'!$H$23, CONCAT(VLOOKUP($C91, 'Match Names'!$1:$22, 8, FALSE), ""!C3:R29"")), {7;13;19;24}, FALSE)), ""=-4"")"),0.0)</f>
        <v>0</v>
      </c>
      <c r="H91" s="33">
        <f t="shared" si="1"/>
        <v>3</v>
      </c>
    </row>
    <row r="92">
      <c r="A92" s="21" t="s">
        <v>69</v>
      </c>
      <c r="B92" s="7" t="str">
        <f>VLOOKUP(CONCAT(A92, C92), 'Discord Username to Real Name'!C:D, 2, FALSE)</f>
        <v>Cows#0460</v>
      </c>
      <c r="C92" s="21" t="s">
        <v>28</v>
      </c>
      <c r="D92" s="32">
        <f>IFERROR(__xludf.DUMMYFUNCTION("(4 - COUNTIF(IFERROR(ARRAYFORMULA(HLOOKUP($B92, IMPORTRANGE('Prelim Rankings Unsorted'!$B$40, CONCAT(VLOOKUP($C92, 'Match Names'!$A$1:$D$22, 2, FALSE), ""!C3:R29"")), {4;9;15;21}, FALSE)), 'Player Overall Stats Unsorted'!$AA$9:$AA$12), ""=X"")) + (4 - COU"&amp;"NTIF(IFERROR(ARRAYFORMULA(HLOOKUP($B92, IMPORTRANGE('Prelim Rankings Unsorted'!$B$41, CONCAT(VLOOKUP($C92, 'Match Names'!$A$1:$D$22, 3, FALSE), ""!C3:R29"")), {7;13;19;24}, FALSE)), 'Player Overall Stats Unsorted'!$AA$9:$AA$12), ""=X"")) + (4 - COUNTIF(IF"&amp;"ERROR(ARRAYFORMULA(HLOOKUP($B92, IMPORTRANGE('Prelim Rankings Unsorted'!$B$42, CONCAT(VLOOKUP($C92, 'Match Names'!$A$1:$D$22, 4, FALSE), ""!C3:R29"")), {7;13;19;24}, FALSE)), 'Player Overall Stats Unsorted'!$AA$9:$AA$12), ""=X"")) + (4 - COUNTIF(IFERROR(A"&amp;"RRAYFORMULA(HLOOKUP($B92, IMPORTRANGE('Match Names'!$E$23, CONCAT(VLOOKUP($C92, 'Match Names'!$1:$22, 5, FALSE), ""!C3:R29"")), {2;8;12;22}, FALSE)), 'Player Overall Stats Unsorted'!$AA$9:$AA$12), ""=X"")) + (4 - COUNTIF(IFERROR(ARRAYFORMULA(HLOOKUP($B92,"&amp;" IMPORTRANGE('Match Names'!$F$23, CONCAT(VLOOKUP($C92, 'Match Names'!$1:$22, 6, FALSE), ""!C3:R29"")), {3;9;15;21}, FALSE)), 'Player Overall Stats Unsorted'!$AA$9:$AA$12), ""=X"")) + (4 - COUNTIF(IFERROR(ARRAYFORMULA(HLOOKUP($B92, IMPORTRANGE('Match Names"&amp;"'!$G$23, CONCAT(VLOOKUP($C92, 'Match Names'!$1:$22, 7, FALSE), ""!C3:R29"")), {3;8;12;18}, FALSE)), 'Player Overall Stats Unsorted'!$AA$9:$AA$12), ""=X"")) + (4 - COUNTIF(IFERROR(ARRAYFORMULA(HLOOKUP($B92, IMPORTRANGE('Match Names'!$H$23, CONCAT(VLOOKUP($"&amp;"C92, 'Match Names'!$1:$22, 8, FALSE), ""!C3:R29"")), {7;13;19;24}, FALSE)), 'Player Overall Stats Unsorted'!$AA$9:$AA$12), ""=X""))"),16.0)</f>
        <v>16</v>
      </c>
      <c r="E92" s="32">
        <f>IFERROR(__xludf.DUMMYFUNCTION("COUNTIF(ARRAYFORMULA(HLOOKUP($B92, IMPORTRANGE('Prelim Rankings Unsorted'!$B$40, CONCAT(VLOOKUP($C92, 'Match Names'!$A$1:$D$22, 2, FALSE), ""!C3:R29"")), {4;9;15;21}, FALSE)), ""=4"") + COUNTIF(ARRAYFORMULA(HLOOKUP($B92, IMPORTRANGE('Prelim Rankings Unsor"&amp;"ted'!$B$41, CONCAT(VLOOKUP($C92, 'Match Names'!$A$1:$D$22, 3, FALSE), ""!C3:R29"")), {7;13;19;24}, FALSE)), ""=4"") + COUNTIF(ARRAYFORMULA(HLOOKUP($B92, IMPORTRANGE('Prelim Rankings Unsorted'!$B$42, CONCAT(VLOOKUP($C92, 'Match Names'!$A$1:$D$22, 4, FALSE)"&amp;", ""!C3:R29"")), {7;13;19;24}, FALSE)), ""=4"") + COUNTIF(ARRAYFORMULA(HLOOKUP($B92, IMPORTRANGE('Match Names'!$E$23, CONCAT(VLOOKUP($C92, 'Match Names'!$1:$22, 5, FALSE), ""!C3:R29"")), {2;8;12;22}, FALSE)), ""=4"") + COUNTIF(ARRAYFORMULA(HLOOKUP($B92, I"&amp;"MPORTRANGE('Match Names'!$F$23, CONCAT(VLOOKUP($C92, 'Match Names'!$1:$22, 6, FALSE), ""!C3:R29"")), {3;9;15;21}, FALSE)), ""=4"") + COUNTIF(ARRAYFORMULA(HLOOKUP($B92, IMPORTRANGE('Match Names'!$G$23, CONCAT(VLOOKUP($C92, 'Match Names'!$1:$22, 7, FALSE), "&amp;"""!C3:R29"")), {3;8;12;18}, FALSE)), ""=4"") + COUNTIF(ARRAYFORMULA(HLOOKUP($B92, IMPORTRANGE('Match Names'!$H$23, CONCAT(VLOOKUP($C92, 'Match Names'!$1:$22, 8, FALSE), ""!C3:R29"")), {7;13;19;24}, FALSE)), ""=4"")"),0.0)</f>
        <v>0</v>
      </c>
      <c r="F92" s="32">
        <f>IFERROR(__xludf.DUMMYFUNCTION("COUNTIF(ARRAYFORMULA(HLOOKUP($B92, IMPORTRANGE('Prelim Rankings Unsorted'!$B$40, CONCAT(VLOOKUP($C92, 'Match Names'!$A$1:$D$22, 2, FALSE), ""!C3:R29"")), {4;9;15;21}, FALSE)), ""=0"") + COUNTIF(ARRAYFORMULA(HLOOKUP($B92, IMPORTRANGE('Prelim Rankings Unsor"&amp;"ted'!$B$41, CONCAT(VLOOKUP($C92, 'Match Names'!$A$1:$D$22, 3, FALSE), ""!C3:R29"")), {7;13;19;24}, FALSE)), ""=0"") + COUNTIF(ARRAYFORMULA(HLOOKUP($B92, IMPORTRANGE('Prelim Rankings Unsorted'!$B$42, CONCAT(VLOOKUP($C92, 'Match Names'!$A$1:$D$22, 4, FALSE)"&amp;", ""!C3:R29"")), {7;13;19;24}, FALSE)), ""=0"") + COUNTIF(ARRAYFORMULA(HLOOKUP($B92, IMPORTRANGE('Match Names'!$E$23, CONCAT(VLOOKUP($C92, 'Match Names'!$1:$22, 5, FALSE), ""!C3:R29"")), {2;8;12;22}, FALSE)), ""=0"") + COUNTIF(ARRAYFORMULA(HLOOKUP($B92, I"&amp;"MPORTRANGE('Match Names'!$F$23, CONCAT(VLOOKUP($C92, 'Match Names'!$1:$22, 6, FALSE), ""!C3:R29"")), {3;9;15;21}, FALSE)), ""=0"") + COUNTIF(ARRAYFORMULA(HLOOKUP($B92, IMPORTRANGE('Match Names'!$G$23, CONCAT(VLOOKUP($C92, 'Match Names'!$1:$22, 7, FALSE), "&amp;"""!C3:R29"")), {3;8;12;18}, FALSE)), ""=0"") + COUNTIF(ARRAYFORMULA(HLOOKUP($B92, IMPORTRANGE('Match Names'!$H$23, CONCAT(VLOOKUP($C92, 'Match Names'!$1:$22, 8, FALSE), ""!C3:R29"")), {7;13;19;24}, FALSE)), ""=0"")"),0.0)</f>
        <v>0</v>
      </c>
      <c r="G92" s="32">
        <f>IFERROR(__xludf.DUMMYFUNCTION("COUNTIF(ARRAYFORMULA(HLOOKUP($B92, IMPORTRANGE('Prelim Rankings Unsorted'!$B$40, CONCAT(VLOOKUP($C92, 'Match Names'!$A$1:$D$22, 2, FALSE), ""!C3:R29"")), {4;9;15;21}, FALSE)), ""=-4"") + COUNTIF(ARRAYFORMULA(HLOOKUP($B92, IMPORTRANGE('Prelim Rankings Unso"&amp;"rted'!$B$41, CONCAT(VLOOKUP($C92, 'Match Names'!$A$1:$D$22, 3, FALSE), ""!C3:R29"")), {7;13;19;24}, FALSE)), ""=-4"") + COUNTIF(ARRAYFORMULA(HLOOKUP($B92, IMPORTRANGE('Prelim Rankings Unsorted'!$B$42, CONCAT(VLOOKUP($C92, 'Match Names'!$A$1:$D$22, 4, FALS"&amp;"E), ""!C3:R29"")), {7;13;19;24}, FALSE)), ""=-4"") + COUNTIF(ARRAYFORMULA(HLOOKUP($B92, IMPORTRANGE('Match Names'!$E$23, CONCAT(VLOOKUP($C92, 'Match Names'!$1:$22, 5, FALSE), ""!C3:R29"")), {2;8;12;22}, FALSE)), ""=-4"") + COUNTIF(ARRAYFORMULA(HLOOKUP($B9"&amp;"2, IMPORTRANGE('Match Names'!$F$23, CONCAT(VLOOKUP($C92, 'Match Names'!$1:$22, 6, FALSE), ""!C3:R29"")), {3;9;15;21}, FALSE)), ""=-4"") + COUNTIF(ARRAYFORMULA(HLOOKUP($B92, IMPORTRANGE('Match Names'!$G$23, CONCAT(VLOOKUP($C92, 'Match Names'!$1:$22, 7, FAL"&amp;"SE), ""!C3:R29"")), {3;8;12;18}, FALSE)), ""=-4"") + COUNTIF(ARRAYFORMULA(HLOOKUP($B92, IMPORTRANGE('Match Names'!$H$23, CONCAT(VLOOKUP($C92, 'Match Names'!$1:$22, 8, FALSE), ""!C3:R29"")), {7;13;19;24}, FALSE)), ""=-4"")"),1.0)</f>
        <v>1</v>
      </c>
      <c r="H92" s="33">
        <f t="shared" si="1"/>
        <v>-1</v>
      </c>
    </row>
    <row r="93">
      <c r="A93" s="21" t="s">
        <v>176</v>
      </c>
      <c r="B93" s="7" t="str">
        <f>VLOOKUP(CONCAT(A93, C93), 'Discord Username to Real Name'!C:D, 2, FALSE)</f>
        <v>aryc702#7517</v>
      </c>
      <c r="C93" s="21" t="s">
        <v>28</v>
      </c>
      <c r="D93" s="32">
        <f>IFERROR(__xludf.DUMMYFUNCTION("(4 - COUNTIF(IFERROR(ARRAYFORMULA(HLOOKUP($B93, IMPORTRANGE('Prelim Rankings Unsorted'!$B$40, CONCAT(VLOOKUP($C93, 'Match Names'!$A$1:$D$22, 2, FALSE), ""!C3:R29"")), {4;9;15;21}, FALSE)), 'Player Overall Stats Unsorted'!$AA$9:$AA$12), ""=X"")) + (4 - COU"&amp;"NTIF(IFERROR(ARRAYFORMULA(HLOOKUP($B93, IMPORTRANGE('Prelim Rankings Unsorted'!$B$41, CONCAT(VLOOKUP($C93, 'Match Names'!$A$1:$D$22, 3, FALSE), ""!C3:R29"")), {7;13;19;24}, FALSE)), 'Player Overall Stats Unsorted'!$AA$9:$AA$12), ""=X"")) + (4 - COUNTIF(IF"&amp;"ERROR(ARRAYFORMULA(HLOOKUP($B93, IMPORTRANGE('Prelim Rankings Unsorted'!$B$42, CONCAT(VLOOKUP($C93, 'Match Names'!$A$1:$D$22, 4, FALSE), ""!C3:R29"")), {7;13;19;24}, FALSE)), 'Player Overall Stats Unsorted'!$AA$9:$AA$12), ""=X"")) + (4 - COUNTIF(IFERROR(A"&amp;"RRAYFORMULA(HLOOKUP($B93, IMPORTRANGE('Match Names'!$E$23, CONCAT(VLOOKUP($C93, 'Match Names'!$1:$22, 5, FALSE), ""!C3:R29"")), {2;8;12;22}, FALSE)), 'Player Overall Stats Unsorted'!$AA$9:$AA$12), ""=X"")) + (4 - COUNTIF(IFERROR(ARRAYFORMULA(HLOOKUP($B93,"&amp;" IMPORTRANGE('Match Names'!$F$23, CONCAT(VLOOKUP($C93, 'Match Names'!$1:$22, 6, FALSE), ""!C3:R29"")), {3;9;15;21}, FALSE)), 'Player Overall Stats Unsorted'!$AA$9:$AA$12), ""=X"")) + (4 - COUNTIF(IFERROR(ARRAYFORMULA(HLOOKUP($B93, IMPORTRANGE('Match Names"&amp;"'!$G$23, CONCAT(VLOOKUP($C93, 'Match Names'!$1:$22, 7, FALSE), ""!C3:R29"")), {3;8;12;18}, FALSE)), 'Player Overall Stats Unsorted'!$AA$9:$AA$12), ""=X"")) + (4 - COUNTIF(IFERROR(ARRAYFORMULA(HLOOKUP($B93, IMPORTRANGE('Match Names'!$H$23, CONCAT(VLOOKUP($"&amp;"C93, 'Match Names'!$1:$22, 8, FALSE), ""!C3:R29"")), {7;13;19;24}, FALSE)), 'Player Overall Stats Unsorted'!$AA$9:$AA$12), ""=X""))"),12.0)</f>
        <v>12</v>
      </c>
      <c r="E93" s="32">
        <f>IFERROR(__xludf.DUMMYFUNCTION("COUNTIF(ARRAYFORMULA(HLOOKUP($B93, IMPORTRANGE('Prelim Rankings Unsorted'!$B$40, CONCAT(VLOOKUP($C93, 'Match Names'!$A$1:$D$22, 2, FALSE), ""!C3:R29"")), {4;9;15;21}, FALSE)), ""=4"") + COUNTIF(ARRAYFORMULA(HLOOKUP($B93, IMPORTRANGE('Prelim Rankings Unsor"&amp;"ted'!$B$41, CONCAT(VLOOKUP($C93, 'Match Names'!$A$1:$D$22, 3, FALSE), ""!C3:R29"")), {7;13;19;24}, FALSE)), ""=4"") + COUNTIF(ARRAYFORMULA(HLOOKUP($B93, IMPORTRANGE('Prelim Rankings Unsorted'!$B$42, CONCAT(VLOOKUP($C93, 'Match Names'!$A$1:$D$22, 4, FALSE)"&amp;", ""!C3:R29"")), {7;13;19;24}, FALSE)), ""=4"") + COUNTIF(ARRAYFORMULA(HLOOKUP($B93, IMPORTRANGE('Match Names'!$E$23, CONCAT(VLOOKUP($C93, 'Match Names'!$1:$22, 5, FALSE), ""!C3:R29"")), {2;8;12;22}, FALSE)), ""=4"") + COUNTIF(ARRAYFORMULA(HLOOKUP($B93, I"&amp;"MPORTRANGE('Match Names'!$F$23, CONCAT(VLOOKUP($C93, 'Match Names'!$1:$22, 6, FALSE), ""!C3:R29"")), {3;9;15;21}, FALSE)), ""=4"") + COUNTIF(ARRAYFORMULA(HLOOKUP($B93, IMPORTRANGE('Match Names'!$G$23, CONCAT(VLOOKUP($C93, 'Match Names'!$1:$22, 7, FALSE), "&amp;"""!C3:R29"")), {3;8;12;18}, FALSE)), ""=4"") + COUNTIF(ARRAYFORMULA(HLOOKUP($B93, IMPORTRANGE('Match Names'!$H$23, CONCAT(VLOOKUP($C93, 'Match Names'!$1:$22, 8, FALSE), ""!C3:R29"")), {7;13;19;24}, FALSE)), ""=4"")"),0.0)</f>
        <v>0</v>
      </c>
      <c r="F93" s="32">
        <f>IFERROR(__xludf.DUMMYFUNCTION("COUNTIF(ARRAYFORMULA(HLOOKUP($B93, IMPORTRANGE('Prelim Rankings Unsorted'!$B$40, CONCAT(VLOOKUP($C93, 'Match Names'!$A$1:$D$22, 2, FALSE), ""!C3:R29"")), {4;9;15;21}, FALSE)), ""=0"") + COUNTIF(ARRAYFORMULA(HLOOKUP($B93, IMPORTRANGE('Prelim Rankings Unsor"&amp;"ted'!$B$41, CONCAT(VLOOKUP($C93, 'Match Names'!$A$1:$D$22, 3, FALSE), ""!C3:R29"")), {7;13;19;24}, FALSE)), ""=0"") + COUNTIF(ARRAYFORMULA(HLOOKUP($B93, IMPORTRANGE('Prelim Rankings Unsorted'!$B$42, CONCAT(VLOOKUP($C93, 'Match Names'!$A$1:$D$22, 4, FALSE)"&amp;", ""!C3:R29"")), {7;13;19;24}, FALSE)), ""=0"") + COUNTIF(ARRAYFORMULA(HLOOKUP($B93, IMPORTRANGE('Match Names'!$E$23, CONCAT(VLOOKUP($C93, 'Match Names'!$1:$22, 5, FALSE), ""!C3:R29"")), {2;8;12;22}, FALSE)), ""=0"") + COUNTIF(ARRAYFORMULA(HLOOKUP($B93, I"&amp;"MPORTRANGE('Match Names'!$F$23, CONCAT(VLOOKUP($C93, 'Match Names'!$1:$22, 6, FALSE), ""!C3:R29"")), {3;9;15;21}, FALSE)), ""=0"") + COUNTIF(ARRAYFORMULA(HLOOKUP($B93, IMPORTRANGE('Match Names'!$G$23, CONCAT(VLOOKUP($C93, 'Match Names'!$1:$22, 7, FALSE), "&amp;"""!C3:R29"")), {3;8;12;18}, FALSE)), ""=0"") + COUNTIF(ARRAYFORMULA(HLOOKUP($B93, IMPORTRANGE('Match Names'!$H$23, CONCAT(VLOOKUP($C93, 'Match Names'!$1:$22, 8, FALSE), ""!C3:R29"")), {7;13;19;24}, FALSE)), ""=0"")"),0.0)</f>
        <v>0</v>
      </c>
      <c r="G93" s="32">
        <f>IFERROR(__xludf.DUMMYFUNCTION("COUNTIF(ARRAYFORMULA(HLOOKUP($B93, IMPORTRANGE('Prelim Rankings Unsorted'!$B$40, CONCAT(VLOOKUP($C93, 'Match Names'!$A$1:$D$22, 2, FALSE), ""!C3:R29"")), {4;9;15;21}, FALSE)), ""=-4"") + COUNTIF(ARRAYFORMULA(HLOOKUP($B93, IMPORTRANGE('Prelim Rankings Unso"&amp;"rted'!$B$41, CONCAT(VLOOKUP($C93, 'Match Names'!$A$1:$D$22, 3, FALSE), ""!C3:R29"")), {7;13;19;24}, FALSE)), ""=-4"") + COUNTIF(ARRAYFORMULA(HLOOKUP($B93, IMPORTRANGE('Prelim Rankings Unsorted'!$B$42, CONCAT(VLOOKUP($C93, 'Match Names'!$A$1:$D$22, 4, FALS"&amp;"E), ""!C3:R29"")), {7;13;19;24}, FALSE)), ""=-4"") + COUNTIF(ARRAYFORMULA(HLOOKUP($B93, IMPORTRANGE('Match Names'!$E$23, CONCAT(VLOOKUP($C93, 'Match Names'!$1:$22, 5, FALSE), ""!C3:R29"")), {2;8;12;22}, FALSE)), ""=-4"") + COUNTIF(ARRAYFORMULA(HLOOKUP($B9"&amp;"3, IMPORTRANGE('Match Names'!$F$23, CONCAT(VLOOKUP($C93, 'Match Names'!$1:$22, 6, FALSE), ""!C3:R29"")), {3;9;15;21}, FALSE)), ""=-4"") + COUNTIF(ARRAYFORMULA(HLOOKUP($B93, IMPORTRANGE('Match Names'!$G$23, CONCAT(VLOOKUP($C93, 'Match Names'!$1:$22, 7, FAL"&amp;"SE), ""!C3:R29"")), {3;8;12;18}, FALSE)), ""=-4"") + COUNTIF(ARRAYFORMULA(HLOOKUP($B93, IMPORTRANGE('Match Names'!$H$23, CONCAT(VLOOKUP($C93, 'Match Names'!$1:$22, 8, FALSE), ""!C3:R29"")), {7;13;19;24}, FALSE)), ""=-4"")"),0.0)</f>
        <v>0</v>
      </c>
      <c r="H93" s="33">
        <f t="shared" si="1"/>
        <v>0</v>
      </c>
    </row>
    <row r="94">
      <c r="A94" s="21" t="s">
        <v>97</v>
      </c>
      <c r="B94" s="7" t="str">
        <f>VLOOKUP(CONCAT(A94, C94), 'Discord Username to Real Name'!C:D, 2, FALSE)</f>
        <v>very_creative_name#1358</v>
      </c>
      <c r="C94" s="21" t="s">
        <v>28</v>
      </c>
      <c r="D94" s="32">
        <f>IFERROR(__xludf.DUMMYFUNCTION("(4 - COUNTIF(IFERROR(ARRAYFORMULA(HLOOKUP($B94, IMPORTRANGE('Prelim Rankings Unsorted'!$B$40, CONCAT(VLOOKUP($C94, 'Match Names'!$A$1:$D$22, 2, FALSE), ""!C3:R29"")), {4;9;15;21}, FALSE)), 'Player Overall Stats Unsorted'!$AA$9:$AA$12), ""=X"")) + (4 - COU"&amp;"NTIF(IFERROR(ARRAYFORMULA(HLOOKUP($B94, IMPORTRANGE('Prelim Rankings Unsorted'!$B$41, CONCAT(VLOOKUP($C94, 'Match Names'!$A$1:$D$22, 3, FALSE), ""!C3:R29"")), {7;13;19;24}, FALSE)), 'Player Overall Stats Unsorted'!$AA$9:$AA$12), ""=X"")) + (4 - COUNTIF(IF"&amp;"ERROR(ARRAYFORMULA(HLOOKUP($B94, IMPORTRANGE('Prelim Rankings Unsorted'!$B$42, CONCAT(VLOOKUP($C94, 'Match Names'!$A$1:$D$22, 4, FALSE), ""!C3:R29"")), {7;13;19;24}, FALSE)), 'Player Overall Stats Unsorted'!$AA$9:$AA$12), ""=X"")) + (4 - COUNTIF(IFERROR(A"&amp;"RRAYFORMULA(HLOOKUP($B94, IMPORTRANGE('Match Names'!$E$23, CONCAT(VLOOKUP($C94, 'Match Names'!$1:$22, 5, FALSE), ""!C3:R29"")), {2;8;12;22}, FALSE)), 'Player Overall Stats Unsorted'!$AA$9:$AA$12), ""=X"")) + (4 - COUNTIF(IFERROR(ARRAYFORMULA(HLOOKUP($B94,"&amp;" IMPORTRANGE('Match Names'!$F$23, CONCAT(VLOOKUP($C94, 'Match Names'!$1:$22, 6, FALSE), ""!C3:R29"")), {3;9;15;21}, FALSE)), 'Player Overall Stats Unsorted'!$AA$9:$AA$12), ""=X"")) + (4 - COUNTIF(IFERROR(ARRAYFORMULA(HLOOKUP($B94, IMPORTRANGE('Match Names"&amp;"'!$G$23, CONCAT(VLOOKUP($C94, 'Match Names'!$1:$22, 7, FALSE), ""!C3:R29"")), {3;8;12;18}, FALSE)), 'Player Overall Stats Unsorted'!$AA$9:$AA$12), ""=X"")) + (4 - COUNTIF(IFERROR(ARRAYFORMULA(HLOOKUP($B94, IMPORTRANGE('Match Names'!$H$23, CONCAT(VLOOKUP($"&amp;"C94, 'Match Names'!$1:$22, 8, FALSE), ""!C3:R29"")), {7;13;19;24}, FALSE)), 'Player Overall Stats Unsorted'!$AA$9:$AA$12), ""=X""))"),8.0)</f>
        <v>8</v>
      </c>
      <c r="E94" s="32">
        <f>IFERROR(__xludf.DUMMYFUNCTION("COUNTIF(ARRAYFORMULA(HLOOKUP($B94, IMPORTRANGE('Prelim Rankings Unsorted'!$B$40, CONCAT(VLOOKUP($C94, 'Match Names'!$A$1:$D$22, 2, FALSE), ""!C3:R29"")), {4;9;15;21}, FALSE)), ""=4"") + COUNTIF(ARRAYFORMULA(HLOOKUP($B94, IMPORTRANGE('Prelim Rankings Unsor"&amp;"ted'!$B$41, CONCAT(VLOOKUP($C94, 'Match Names'!$A$1:$D$22, 3, FALSE), ""!C3:R29"")), {7;13;19;24}, FALSE)), ""=4"") + COUNTIF(ARRAYFORMULA(HLOOKUP($B94, IMPORTRANGE('Prelim Rankings Unsorted'!$B$42, CONCAT(VLOOKUP($C94, 'Match Names'!$A$1:$D$22, 4, FALSE)"&amp;", ""!C3:R29"")), {7;13;19;24}, FALSE)), ""=4"") + COUNTIF(ARRAYFORMULA(HLOOKUP($B94, IMPORTRANGE('Match Names'!$E$23, CONCAT(VLOOKUP($C94, 'Match Names'!$1:$22, 5, FALSE), ""!C3:R29"")), {2;8;12;22}, FALSE)), ""=4"") + COUNTIF(ARRAYFORMULA(HLOOKUP($B94, I"&amp;"MPORTRANGE('Match Names'!$F$23, CONCAT(VLOOKUP($C94, 'Match Names'!$1:$22, 6, FALSE), ""!C3:R29"")), {3;9;15;21}, FALSE)), ""=4"") + COUNTIF(ARRAYFORMULA(HLOOKUP($B94, IMPORTRANGE('Match Names'!$G$23, CONCAT(VLOOKUP($C94, 'Match Names'!$1:$22, 7, FALSE), "&amp;"""!C3:R29"")), {3;8;12;18}, FALSE)), ""=4"") + COUNTIF(ARRAYFORMULA(HLOOKUP($B94, IMPORTRANGE('Match Names'!$H$23, CONCAT(VLOOKUP($C94, 'Match Names'!$1:$22, 8, FALSE), ""!C3:R29"")), {7;13;19;24}, FALSE)), ""=4"")"),1.0)</f>
        <v>1</v>
      </c>
      <c r="F94" s="32">
        <f>IFERROR(__xludf.DUMMYFUNCTION("COUNTIF(ARRAYFORMULA(HLOOKUP($B94, IMPORTRANGE('Prelim Rankings Unsorted'!$B$40, CONCAT(VLOOKUP($C94, 'Match Names'!$A$1:$D$22, 2, FALSE), ""!C3:R29"")), {4;9;15;21}, FALSE)), ""=0"") + COUNTIF(ARRAYFORMULA(HLOOKUP($B94, IMPORTRANGE('Prelim Rankings Unsor"&amp;"ted'!$B$41, CONCAT(VLOOKUP($C94, 'Match Names'!$A$1:$D$22, 3, FALSE), ""!C3:R29"")), {7;13;19;24}, FALSE)), ""=0"") + COUNTIF(ARRAYFORMULA(HLOOKUP($B94, IMPORTRANGE('Prelim Rankings Unsorted'!$B$42, CONCAT(VLOOKUP($C94, 'Match Names'!$A$1:$D$22, 4, FALSE)"&amp;", ""!C3:R29"")), {7;13;19;24}, FALSE)), ""=0"") + COUNTIF(ARRAYFORMULA(HLOOKUP($B94, IMPORTRANGE('Match Names'!$E$23, CONCAT(VLOOKUP($C94, 'Match Names'!$1:$22, 5, FALSE), ""!C3:R29"")), {2;8;12;22}, FALSE)), ""=0"") + COUNTIF(ARRAYFORMULA(HLOOKUP($B94, I"&amp;"MPORTRANGE('Match Names'!$F$23, CONCAT(VLOOKUP($C94, 'Match Names'!$1:$22, 6, FALSE), ""!C3:R29"")), {3;9;15;21}, FALSE)), ""=0"") + COUNTIF(ARRAYFORMULA(HLOOKUP($B94, IMPORTRANGE('Match Names'!$G$23, CONCAT(VLOOKUP($C94, 'Match Names'!$1:$22, 7, FALSE), "&amp;"""!C3:R29"")), {3;8;12;18}, FALSE)), ""=0"") + COUNTIF(ARRAYFORMULA(HLOOKUP($B94, IMPORTRANGE('Match Names'!$H$23, CONCAT(VLOOKUP($C94, 'Match Names'!$1:$22, 8, FALSE), ""!C3:R29"")), {7;13;19;24}, FALSE)), ""=0"")"),0.0)</f>
        <v>0</v>
      </c>
      <c r="G94" s="32">
        <f>IFERROR(__xludf.DUMMYFUNCTION("COUNTIF(ARRAYFORMULA(HLOOKUP($B94, IMPORTRANGE('Prelim Rankings Unsorted'!$B$40, CONCAT(VLOOKUP($C94, 'Match Names'!$A$1:$D$22, 2, FALSE), ""!C3:R29"")), {4;9;15;21}, FALSE)), ""=-4"") + COUNTIF(ARRAYFORMULA(HLOOKUP($B94, IMPORTRANGE('Prelim Rankings Unso"&amp;"rted'!$B$41, CONCAT(VLOOKUP($C94, 'Match Names'!$A$1:$D$22, 3, FALSE), ""!C3:R29"")), {7;13;19;24}, FALSE)), ""=-4"") + COUNTIF(ARRAYFORMULA(HLOOKUP($B94, IMPORTRANGE('Prelim Rankings Unsorted'!$B$42, CONCAT(VLOOKUP($C94, 'Match Names'!$A$1:$D$22, 4, FALS"&amp;"E), ""!C3:R29"")), {7;13;19;24}, FALSE)), ""=-4"") + COUNTIF(ARRAYFORMULA(HLOOKUP($B94, IMPORTRANGE('Match Names'!$E$23, CONCAT(VLOOKUP($C94, 'Match Names'!$1:$22, 5, FALSE), ""!C3:R29"")), {2;8;12;22}, FALSE)), ""=-4"") + COUNTIF(ARRAYFORMULA(HLOOKUP($B9"&amp;"4, IMPORTRANGE('Match Names'!$F$23, CONCAT(VLOOKUP($C94, 'Match Names'!$1:$22, 6, FALSE), ""!C3:R29"")), {3;9;15;21}, FALSE)), ""=-4"") + COUNTIF(ARRAYFORMULA(HLOOKUP($B94, IMPORTRANGE('Match Names'!$G$23, CONCAT(VLOOKUP($C94, 'Match Names'!$1:$22, 7, FAL"&amp;"SE), ""!C3:R29"")), {3;8;12;18}, FALSE)), ""=-4"") + COUNTIF(ARRAYFORMULA(HLOOKUP($B94, IMPORTRANGE('Match Names'!$H$23, CONCAT(VLOOKUP($C94, 'Match Names'!$1:$22, 8, FALSE), ""!C3:R29"")), {7;13;19;24}, FALSE)), ""=-4"")"),0.0)</f>
        <v>0</v>
      </c>
      <c r="H94" s="33">
        <f t="shared" si="1"/>
        <v>2</v>
      </c>
    </row>
    <row r="95">
      <c r="A95" s="21" t="s">
        <v>111</v>
      </c>
      <c r="B95" s="7" t="str">
        <f>VLOOKUP(CONCAT(A95, C95), 'Discord Username to Real Name'!C:D, 2, FALSE)</f>
        <v>margaret#3477</v>
      </c>
      <c r="C95" s="21" t="s">
        <v>28</v>
      </c>
      <c r="D95" s="32">
        <f>IFERROR(__xludf.DUMMYFUNCTION("(4 - COUNTIF(IFERROR(ARRAYFORMULA(HLOOKUP($B95, IMPORTRANGE('Prelim Rankings Unsorted'!$B$40, CONCAT(VLOOKUP($C95, 'Match Names'!$A$1:$D$22, 2, FALSE), ""!C3:R29"")), {4;9;15;21}, FALSE)), 'Player Overall Stats Unsorted'!$AA$9:$AA$12), ""=X"")) + (4 - COU"&amp;"NTIF(IFERROR(ARRAYFORMULA(HLOOKUP($B95, IMPORTRANGE('Prelim Rankings Unsorted'!$B$41, CONCAT(VLOOKUP($C95, 'Match Names'!$A$1:$D$22, 3, FALSE), ""!C3:R29"")), {7;13;19;24}, FALSE)), 'Player Overall Stats Unsorted'!$AA$9:$AA$12), ""=X"")) + (4 - COUNTIF(IF"&amp;"ERROR(ARRAYFORMULA(HLOOKUP($B95, IMPORTRANGE('Prelim Rankings Unsorted'!$B$42, CONCAT(VLOOKUP($C95, 'Match Names'!$A$1:$D$22, 4, FALSE), ""!C3:R29"")), {7;13;19;24}, FALSE)), 'Player Overall Stats Unsorted'!$AA$9:$AA$12), ""=X"")) + (4 - COUNTIF(IFERROR(A"&amp;"RRAYFORMULA(HLOOKUP($B95, IMPORTRANGE('Match Names'!$E$23, CONCAT(VLOOKUP($C95, 'Match Names'!$1:$22, 5, FALSE), ""!C3:R29"")), {2;8;12;22}, FALSE)), 'Player Overall Stats Unsorted'!$AA$9:$AA$12), ""=X"")) + (4 - COUNTIF(IFERROR(ARRAYFORMULA(HLOOKUP($B95,"&amp;" IMPORTRANGE('Match Names'!$F$23, CONCAT(VLOOKUP($C95, 'Match Names'!$1:$22, 6, FALSE), ""!C3:R29"")), {3;9;15;21}, FALSE)), 'Player Overall Stats Unsorted'!$AA$9:$AA$12), ""=X"")) + (4 - COUNTIF(IFERROR(ARRAYFORMULA(HLOOKUP($B95, IMPORTRANGE('Match Names"&amp;"'!$G$23, CONCAT(VLOOKUP($C95, 'Match Names'!$1:$22, 7, FALSE), ""!C3:R29"")), {3;8;12;18}, FALSE)), 'Player Overall Stats Unsorted'!$AA$9:$AA$12), ""=X"")) + (4 - COUNTIF(IFERROR(ARRAYFORMULA(HLOOKUP($B95, IMPORTRANGE('Match Names'!$H$23, CONCAT(VLOOKUP($"&amp;"C95, 'Match Names'!$1:$22, 8, FALSE), ""!C3:R29"")), {7;13;19;24}, FALSE)), 'Player Overall Stats Unsorted'!$AA$9:$AA$12), ""=X""))"),12.0)</f>
        <v>12</v>
      </c>
      <c r="E95" s="32">
        <f>IFERROR(__xludf.DUMMYFUNCTION("COUNTIF(ARRAYFORMULA(HLOOKUP($B95, IMPORTRANGE('Prelim Rankings Unsorted'!$B$40, CONCAT(VLOOKUP($C95, 'Match Names'!$A$1:$D$22, 2, FALSE), ""!C3:R29"")), {4;9;15;21}, FALSE)), ""=4"") + COUNTIF(ARRAYFORMULA(HLOOKUP($B95, IMPORTRANGE('Prelim Rankings Unsor"&amp;"ted'!$B$41, CONCAT(VLOOKUP($C95, 'Match Names'!$A$1:$D$22, 3, FALSE), ""!C3:R29"")), {7;13;19;24}, FALSE)), ""=4"") + COUNTIF(ARRAYFORMULA(HLOOKUP($B95, IMPORTRANGE('Prelim Rankings Unsorted'!$B$42, CONCAT(VLOOKUP($C95, 'Match Names'!$A$1:$D$22, 4, FALSE)"&amp;", ""!C3:R29"")), {7;13;19;24}, FALSE)), ""=4"") + COUNTIF(ARRAYFORMULA(HLOOKUP($B95, IMPORTRANGE('Match Names'!$E$23, CONCAT(VLOOKUP($C95, 'Match Names'!$1:$22, 5, FALSE), ""!C3:R29"")), {2;8;12;22}, FALSE)), ""=4"") + COUNTIF(ARRAYFORMULA(HLOOKUP($B95, I"&amp;"MPORTRANGE('Match Names'!$F$23, CONCAT(VLOOKUP($C95, 'Match Names'!$1:$22, 6, FALSE), ""!C3:R29"")), {3;9;15;21}, FALSE)), ""=4"") + COUNTIF(ARRAYFORMULA(HLOOKUP($B95, IMPORTRANGE('Match Names'!$G$23, CONCAT(VLOOKUP($C95, 'Match Names'!$1:$22, 7, FALSE), "&amp;"""!C3:R29"")), {3;8;12;18}, FALSE)), ""=4"") + COUNTIF(ARRAYFORMULA(HLOOKUP($B95, IMPORTRANGE('Match Names'!$H$23, CONCAT(VLOOKUP($C95, 'Match Names'!$1:$22, 8, FALSE), ""!C3:R29"")), {7;13;19;24}, FALSE)), ""=4"")"),0.0)</f>
        <v>0</v>
      </c>
      <c r="F95" s="32">
        <f>IFERROR(__xludf.DUMMYFUNCTION("COUNTIF(ARRAYFORMULA(HLOOKUP($B95, IMPORTRANGE('Prelim Rankings Unsorted'!$B$40, CONCAT(VLOOKUP($C95, 'Match Names'!$A$1:$D$22, 2, FALSE), ""!C3:R29"")), {4;9;15;21}, FALSE)), ""=0"") + COUNTIF(ARRAYFORMULA(HLOOKUP($B95, IMPORTRANGE('Prelim Rankings Unsor"&amp;"ted'!$B$41, CONCAT(VLOOKUP($C95, 'Match Names'!$A$1:$D$22, 3, FALSE), ""!C3:R29"")), {7;13;19;24}, FALSE)), ""=0"") + COUNTIF(ARRAYFORMULA(HLOOKUP($B95, IMPORTRANGE('Prelim Rankings Unsorted'!$B$42, CONCAT(VLOOKUP($C95, 'Match Names'!$A$1:$D$22, 4, FALSE)"&amp;", ""!C3:R29"")), {7;13;19;24}, FALSE)), ""=0"") + COUNTIF(ARRAYFORMULA(HLOOKUP($B95, IMPORTRANGE('Match Names'!$E$23, CONCAT(VLOOKUP($C95, 'Match Names'!$1:$22, 5, FALSE), ""!C3:R29"")), {2;8;12;22}, FALSE)), ""=0"") + COUNTIF(ARRAYFORMULA(HLOOKUP($B95, I"&amp;"MPORTRANGE('Match Names'!$F$23, CONCAT(VLOOKUP($C95, 'Match Names'!$1:$22, 6, FALSE), ""!C3:R29"")), {3;9;15;21}, FALSE)), ""=0"") + COUNTIF(ARRAYFORMULA(HLOOKUP($B95, IMPORTRANGE('Match Names'!$G$23, CONCAT(VLOOKUP($C95, 'Match Names'!$1:$22, 7, FALSE), "&amp;"""!C3:R29"")), {3;8;12;18}, FALSE)), ""=0"") + COUNTIF(ARRAYFORMULA(HLOOKUP($B95, IMPORTRANGE('Match Names'!$H$23, CONCAT(VLOOKUP($C95, 'Match Names'!$1:$22, 8, FALSE), ""!C3:R29"")), {7;13;19;24}, FALSE)), ""=0"")"),0.0)</f>
        <v>0</v>
      </c>
      <c r="G95" s="32">
        <f>IFERROR(__xludf.DUMMYFUNCTION("COUNTIF(ARRAYFORMULA(HLOOKUP($B95, IMPORTRANGE('Prelim Rankings Unsorted'!$B$40, CONCAT(VLOOKUP($C95, 'Match Names'!$A$1:$D$22, 2, FALSE), ""!C3:R29"")), {4;9;15;21}, FALSE)), ""=-4"") + COUNTIF(ARRAYFORMULA(HLOOKUP($B95, IMPORTRANGE('Prelim Rankings Unso"&amp;"rted'!$B$41, CONCAT(VLOOKUP($C95, 'Match Names'!$A$1:$D$22, 3, FALSE), ""!C3:R29"")), {7;13;19;24}, FALSE)), ""=-4"") + COUNTIF(ARRAYFORMULA(HLOOKUP($B95, IMPORTRANGE('Prelim Rankings Unsorted'!$B$42, CONCAT(VLOOKUP($C95, 'Match Names'!$A$1:$D$22, 4, FALS"&amp;"E), ""!C3:R29"")), {7;13;19;24}, FALSE)), ""=-4"") + COUNTIF(ARRAYFORMULA(HLOOKUP($B95, IMPORTRANGE('Match Names'!$E$23, CONCAT(VLOOKUP($C95, 'Match Names'!$1:$22, 5, FALSE), ""!C3:R29"")), {2;8;12;22}, FALSE)), ""=-4"") + COUNTIF(ARRAYFORMULA(HLOOKUP($B9"&amp;"5, IMPORTRANGE('Match Names'!$F$23, CONCAT(VLOOKUP($C95, 'Match Names'!$1:$22, 6, FALSE), ""!C3:R29"")), {3;9;15;21}, FALSE)), ""=-4"") + COUNTIF(ARRAYFORMULA(HLOOKUP($B95, IMPORTRANGE('Match Names'!$G$23, CONCAT(VLOOKUP($C95, 'Match Names'!$1:$22, 7, FAL"&amp;"SE), ""!C3:R29"")), {3;8;12;18}, FALSE)), ""=-4"") + COUNTIF(ARRAYFORMULA(HLOOKUP($B95, IMPORTRANGE('Match Names'!$H$23, CONCAT(VLOOKUP($C95, 'Match Names'!$1:$22, 8, FALSE), ""!C3:R29"")), {7;13;19;24}, FALSE)), ""=-4"")"),0.0)</f>
        <v>0</v>
      </c>
      <c r="H95" s="33">
        <f t="shared" si="1"/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38"/>
    <col customWidth="1" min="3" max="3" width="42.25"/>
    <col customWidth="1" min="4" max="4" width="37.5"/>
    <col customWidth="1" min="5" max="5" width="29.38"/>
    <col customWidth="1" min="6" max="6" width="33.63"/>
    <col customWidth="1" min="7" max="7" width="24.0"/>
  </cols>
  <sheetData>
    <row r="1">
      <c r="A1" s="21" t="s">
        <v>30</v>
      </c>
      <c r="B1" s="21" t="s">
        <v>237</v>
      </c>
      <c r="C1" s="21" t="s">
        <v>238</v>
      </c>
      <c r="D1" s="21" t="s">
        <v>239</v>
      </c>
      <c r="E1" s="21" t="s">
        <v>240</v>
      </c>
      <c r="F1" s="21" t="s">
        <v>241</v>
      </c>
      <c r="G1" s="21" t="s">
        <v>241</v>
      </c>
      <c r="H1" s="21" t="s">
        <v>241</v>
      </c>
    </row>
    <row r="2">
      <c r="A2" s="43" t="s">
        <v>18</v>
      </c>
      <c r="B2" s="21" t="s">
        <v>237</v>
      </c>
      <c r="C2" s="21" t="s">
        <v>242</v>
      </c>
      <c r="D2" s="21" t="s">
        <v>243</v>
      </c>
      <c r="E2" s="21" t="s">
        <v>244</v>
      </c>
      <c r="F2" s="44" t="s">
        <v>245</v>
      </c>
      <c r="G2" s="21" t="s">
        <v>241</v>
      </c>
      <c r="H2" s="21" t="s">
        <v>241</v>
      </c>
    </row>
    <row r="3">
      <c r="A3" s="43" t="s">
        <v>23</v>
      </c>
      <c r="B3" s="43" t="s">
        <v>246</v>
      </c>
      <c r="C3" s="21" t="s">
        <v>242</v>
      </c>
      <c r="D3" s="21" t="s">
        <v>247</v>
      </c>
      <c r="E3" s="21" t="s">
        <v>241</v>
      </c>
      <c r="F3" s="21" t="s">
        <v>248</v>
      </c>
      <c r="G3" s="21" t="s">
        <v>249</v>
      </c>
      <c r="H3" s="21" t="s">
        <v>250</v>
      </c>
    </row>
    <row r="4">
      <c r="A4" s="43" t="s">
        <v>29</v>
      </c>
      <c r="B4" s="43" t="s">
        <v>246</v>
      </c>
      <c r="C4" s="21" t="s">
        <v>251</v>
      </c>
      <c r="D4" s="21" t="s">
        <v>252</v>
      </c>
      <c r="E4" s="21" t="s">
        <v>253</v>
      </c>
      <c r="F4" s="21" t="s">
        <v>248</v>
      </c>
      <c r="G4" s="21" t="s">
        <v>241</v>
      </c>
      <c r="H4" s="21" t="s">
        <v>241</v>
      </c>
    </row>
    <row r="5">
      <c r="A5" s="43" t="s">
        <v>17</v>
      </c>
      <c r="B5" s="43" t="s">
        <v>254</v>
      </c>
      <c r="C5" s="21" t="s">
        <v>251</v>
      </c>
      <c r="D5" s="21" t="s">
        <v>243</v>
      </c>
      <c r="E5" s="21" t="s">
        <v>241</v>
      </c>
      <c r="F5" s="21" t="s">
        <v>255</v>
      </c>
      <c r="G5" s="21" t="s">
        <v>241</v>
      </c>
      <c r="H5" s="21" t="s">
        <v>241</v>
      </c>
    </row>
    <row r="6">
      <c r="A6" s="43" t="s">
        <v>27</v>
      </c>
      <c r="B6" s="43" t="s">
        <v>254</v>
      </c>
      <c r="C6" s="21" t="s">
        <v>256</v>
      </c>
      <c r="D6" s="21" t="s">
        <v>257</v>
      </c>
      <c r="E6" s="21" t="s">
        <v>258</v>
      </c>
      <c r="F6" s="21" t="s">
        <v>259</v>
      </c>
      <c r="G6" s="21" t="s">
        <v>241</v>
      </c>
      <c r="H6" s="21" t="s">
        <v>250</v>
      </c>
    </row>
    <row r="7">
      <c r="A7" s="43" t="s">
        <v>26</v>
      </c>
      <c r="B7" s="43" t="s">
        <v>260</v>
      </c>
      <c r="C7" s="21" t="s">
        <v>256</v>
      </c>
      <c r="D7" s="21" t="s">
        <v>252</v>
      </c>
      <c r="E7" s="21" t="s">
        <v>253</v>
      </c>
      <c r="F7" s="21" t="s">
        <v>241</v>
      </c>
      <c r="G7" s="21" t="s">
        <v>241</v>
      </c>
      <c r="H7" s="21" t="s">
        <v>241</v>
      </c>
    </row>
    <row r="8">
      <c r="A8" s="43" t="s">
        <v>220</v>
      </c>
      <c r="B8" s="43" t="s">
        <v>260</v>
      </c>
      <c r="C8" s="21" t="s">
        <v>261</v>
      </c>
      <c r="D8" s="21" t="s">
        <v>262</v>
      </c>
      <c r="E8" s="21" t="s">
        <v>241</v>
      </c>
      <c r="F8" s="21" t="s">
        <v>241</v>
      </c>
      <c r="G8" s="21" t="s">
        <v>241</v>
      </c>
      <c r="H8" s="21" t="s">
        <v>241</v>
      </c>
    </row>
    <row r="9">
      <c r="A9" s="43" t="s">
        <v>19</v>
      </c>
      <c r="B9" s="43" t="s">
        <v>263</v>
      </c>
      <c r="C9" s="21" t="s">
        <v>261</v>
      </c>
      <c r="D9" s="21" t="s">
        <v>257</v>
      </c>
      <c r="E9" s="21" t="s">
        <v>264</v>
      </c>
      <c r="F9" s="21" t="s">
        <v>265</v>
      </c>
      <c r="G9" s="21" t="s">
        <v>241</v>
      </c>
      <c r="H9" s="21" t="s">
        <v>241</v>
      </c>
    </row>
    <row r="10">
      <c r="A10" s="43" t="s">
        <v>208</v>
      </c>
      <c r="B10" s="43" t="s">
        <v>263</v>
      </c>
      <c r="C10" s="21" t="s">
        <v>266</v>
      </c>
      <c r="D10" s="21" t="s">
        <v>267</v>
      </c>
      <c r="E10" s="21" t="s">
        <v>268</v>
      </c>
      <c r="F10" s="21" t="s">
        <v>241</v>
      </c>
      <c r="G10" s="21" t="s">
        <v>241</v>
      </c>
      <c r="H10" s="21" t="s">
        <v>241</v>
      </c>
    </row>
    <row r="11">
      <c r="A11" s="43" t="s">
        <v>32</v>
      </c>
      <c r="B11" s="43" t="s">
        <v>269</v>
      </c>
      <c r="C11" s="21" t="s">
        <v>266</v>
      </c>
      <c r="D11" s="21" t="s">
        <v>262</v>
      </c>
      <c r="E11" s="21" t="s">
        <v>258</v>
      </c>
      <c r="F11" s="21" t="s">
        <v>241</v>
      </c>
      <c r="G11" s="21" t="s">
        <v>241</v>
      </c>
      <c r="H11" s="21" t="s">
        <v>241</v>
      </c>
    </row>
    <row r="12">
      <c r="A12" s="43" t="s">
        <v>14</v>
      </c>
      <c r="B12" s="43" t="s">
        <v>269</v>
      </c>
      <c r="C12" s="21" t="s">
        <v>270</v>
      </c>
      <c r="D12" s="21" t="s">
        <v>271</v>
      </c>
      <c r="E12" s="21" t="s">
        <v>272</v>
      </c>
      <c r="F12" s="21" t="s">
        <v>265</v>
      </c>
      <c r="G12" s="21" t="s">
        <v>241</v>
      </c>
      <c r="H12" s="21" t="s">
        <v>273</v>
      </c>
    </row>
    <row r="13">
      <c r="A13" s="43" t="s">
        <v>25</v>
      </c>
      <c r="B13" s="43" t="s">
        <v>274</v>
      </c>
      <c r="C13" s="21" t="s">
        <v>270</v>
      </c>
      <c r="D13" s="21" t="s">
        <v>267</v>
      </c>
      <c r="E13" s="21" t="s">
        <v>275</v>
      </c>
      <c r="F13" s="21" t="s">
        <v>255</v>
      </c>
      <c r="G13" s="21" t="s">
        <v>276</v>
      </c>
      <c r="H13" s="21" t="s">
        <v>241</v>
      </c>
    </row>
    <row r="14">
      <c r="A14" s="43" t="s">
        <v>277</v>
      </c>
      <c r="B14" s="43" t="s">
        <v>274</v>
      </c>
      <c r="C14" s="21" t="s">
        <v>278</v>
      </c>
      <c r="D14" s="21" t="s">
        <v>279</v>
      </c>
      <c r="E14" s="21" t="s">
        <v>280</v>
      </c>
      <c r="F14" s="21" t="s">
        <v>259</v>
      </c>
      <c r="G14" s="21" t="s">
        <v>241</v>
      </c>
      <c r="H14" s="21" t="s">
        <v>241</v>
      </c>
    </row>
    <row r="15">
      <c r="A15" s="43" t="s">
        <v>15</v>
      </c>
      <c r="B15" s="43" t="s">
        <v>281</v>
      </c>
      <c r="C15" s="21" t="s">
        <v>278</v>
      </c>
      <c r="D15" s="21" t="s">
        <v>271</v>
      </c>
      <c r="E15" s="21" t="s">
        <v>264</v>
      </c>
      <c r="F15" s="21" t="s">
        <v>241</v>
      </c>
      <c r="G15" s="21" t="s">
        <v>282</v>
      </c>
      <c r="H15" s="21" t="s">
        <v>283</v>
      </c>
    </row>
    <row r="16">
      <c r="A16" s="21" t="s">
        <v>31</v>
      </c>
      <c r="B16" s="43" t="s">
        <v>281</v>
      </c>
      <c r="C16" s="45" t="s">
        <v>284</v>
      </c>
      <c r="D16" s="21" t="s">
        <v>285</v>
      </c>
      <c r="E16" s="21" t="s">
        <v>275</v>
      </c>
      <c r="F16" s="21" t="s">
        <v>241</v>
      </c>
      <c r="G16" s="21" t="s">
        <v>241</v>
      </c>
      <c r="H16" s="21" t="s">
        <v>241</v>
      </c>
    </row>
    <row r="17">
      <c r="A17" s="21" t="s">
        <v>22</v>
      </c>
      <c r="B17" s="21" t="s">
        <v>286</v>
      </c>
      <c r="C17" s="45" t="s">
        <v>284</v>
      </c>
      <c r="D17" s="21" t="s">
        <v>279</v>
      </c>
      <c r="E17" s="21" t="s">
        <v>268</v>
      </c>
      <c r="F17" s="21" t="s">
        <v>245</v>
      </c>
      <c r="G17" s="21" t="s">
        <v>241</v>
      </c>
      <c r="H17" s="21" t="s">
        <v>273</v>
      </c>
    </row>
    <row r="18">
      <c r="A18" s="21" t="s">
        <v>21</v>
      </c>
      <c r="B18" s="21" t="s">
        <v>286</v>
      </c>
      <c r="C18" s="21" t="s">
        <v>287</v>
      </c>
      <c r="D18" s="21" t="s">
        <v>288</v>
      </c>
      <c r="E18" s="21" t="s">
        <v>241</v>
      </c>
      <c r="F18" s="44" t="s">
        <v>289</v>
      </c>
      <c r="G18" s="21" t="s">
        <v>282</v>
      </c>
      <c r="H18" s="21" t="s">
        <v>241</v>
      </c>
    </row>
    <row r="19">
      <c r="A19" s="21" t="s">
        <v>16</v>
      </c>
      <c r="B19" s="21" t="s">
        <v>290</v>
      </c>
      <c r="C19" s="21" t="s">
        <v>287</v>
      </c>
      <c r="D19" s="21" t="s">
        <v>285</v>
      </c>
      <c r="E19" s="21" t="s">
        <v>244</v>
      </c>
      <c r="F19" s="21" t="s">
        <v>241</v>
      </c>
      <c r="G19" s="21" t="s">
        <v>249</v>
      </c>
      <c r="H19" s="21" t="s">
        <v>241</v>
      </c>
    </row>
    <row r="20">
      <c r="A20" s="21" t="s">
        <v>24</v>
      </c>
      <c r="B20" s="21" t="s">
        <v>290</v>
      </c>
      <c r="C20" s="21" t="s">
        <v>291</v>
      </c>
      <c r="D20" s="21" t="s">
        <v>239</v>
      </c>
      <c r="E20" s="21" t="s">
        <v>240</v>
      </c>
      <c r="F20" s="21" t="s">
        <v>289</v>
      </c>
      <c r="G20" s="21" t="s">
        <v>241</v>
      </c>
      <c r="H20" s="21" t="s">
        <v>241</v>
      </c>
    </row>
    <row r="21">
      <c r="A21" s="21" t="s">
        <v>20</v>
      </c>
      <c r="B21" s="21" t="s">
        <v>292</v>
      </c>
      <c r="C21" s="21" t="s">
        <v>291</v>
      </c>
      <c r="D21" s="21" t="s">
        <v>288</v>
      </c>
      <c r="E21" s="21" t="s">
        <v>272</v>
      </c>
      <c r="F21" s="21" t="s">
        <v>241</v>
      </c>
      <c r="G21" s="21" t="s">
        <v>276</v>
      </c>
      <c r="H21" s="21" t="s">
        <v>283</v>
      </c>
    </row>
    <row r="22">
      <c r="A22" s="21" t="s">
        <v>5</v>
      </c>
      <c r="B22" s="21" t="s">
        <v>292</v>
      </c>
      <c r="C22" s="21" t="s">
        <v>238</v>
      </c>
      <c r="D22" s="21" t="s">
        <v>247</v>
      </c>
      <c r="E22" s="21" t="s">
        <v>280</v>
      </c>
      <c r="F22" s="21" t="s">
        <v>241</v>
      </c>
      <c r="G22" s="21" t="s">
        <v>241</v>
      </c>
      <c r="H22" s="21" t="s">
        <v>241</v>
      </c>
    </row>
    <row r="23">
      <c r="A23" s="46" t="s">
        <v>293</v>
      </c>
      <c r="B23" s="47" t="str">
        <f>'Prelim Rankings Unsorted'!B40</f>
        <v>https://docs.google.com/spreadsheets/d/1xIzECe7aNndzt0hqqFOHk_CBewZtwYpEZ1_9ljU4DrE/edit#gid=1640670551</v>
      </c>
      <c r="C23" s="47" t="str">
        <f>'Prelim Rankings Unsorted'!B41</f>
        <v>https://docs.google.com/spreadsheets/d/115_83cmXVItW0frF_mp6wnNfNAj63wlpF6v2wcXgJrU/edit#gid=0</v>
      </c>
      <c r="D23" s="47" t="str">
        <f>'Prelim Rankings Unsorted'!B42</f>
        <v>https://docs.google.com/spreadsheets/d/1epChxX7xpqa0FpCzekFs4W6lBQOnPeFmcxX2fWD6lc8/edit#gid=0</v>
      </c>
      <c r="E23" s="48" t="s">
        <v>294</v>
      </c>
      <c r="F23" s="48" t="s">
        <v>295</v>
      </c>
      <c r="G23" s="48" t="s">
        <v>296</v>
      </c>
      <c r="H23" s="48" t="s">
        <v>304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>
      <c r="A24" s="5" t="s">
        <v>307</v>
      </c>
      <c r="B24" s="5" t="s">
        <v>309</v>
      </c>
      <c r="C24" s="5" t="s">
        <v>310</v>
      </c>
      <c r="D24" s="5" t="s">
        <v>311</v>
      </c>
      <c r="E24" s="5" t="s">
        <v>312</v>
      </c>
      <c r="F24" s="5" t="s">
        <v>313</v>
      </c>
      <c r="G24" s="5" t="s">
        <v>314</v>
      </c>
      <c r="H24" s="5" t="s">
        <v>315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</sheetData>
  <hyperlinks>
    <hyperlink r:id="rId1" location="gid=888937401" ref="E23"/>
    <hyperlink r:id="rId2" location="gid=649923337" ref="F23"/>
    <hyperlink r:id="rId3" location="gid=1775214235" ref="G23"/>
    <hyperlink r:id="rId4" location="gid=2086591698" ref="H23"/>
  </hyperlin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2.75"/>
    <col customWidth="1" hidden="1" min="3" max="5" width="2.88"/>
    <col customWidth="1" hidden="1" min="6" max="6" width="3.0"/>
    <col customWidth="1" hidden="1" min="7" max="9" width="2.88"/>
    <col customWidth="1" hidden="1" min="10" max="10" width="1.88"/>
    <col customWidth="1" hidden="1" min="11" max="13" width="2.88"/>
    <col customWidth="1" min="14" max="14" width="1.88"/>
    <col customWidth="1" min="15" max="17" width="2.88"/>
    <col customWidth="1" min="18" max="18" width="1.88"/>
    <col customWidth="1" min="19" max="25" width="2.88"/>
    <col customWidth="1" min="26" max="26" width="1.88"/>
    <col customWidth="1" min="27" max="29" width="2.88"/>
  </cols>
  <sheetData>
    <row r="1">
      <c r="A1" s="49"/>
      <c r="B1" s="49" t="s">
        <v>297</v>
      </c>
      <c r="F1" s="49" t="s">
        <v>298</v>
      </c>
      <c r="J1" s="49" t="s">
        <v>299</v>
      </c>
      <c r="N1" s="5" t="s">
        <v>300</v>
      </c>
      <c r="R1" s="5" t="s">
        <v>301</v>
      </c>
      <c r="V1" s="5" t="s">
        <v>302</v>
      </c>
      <c r="Z1" s="5" t="s">
        <v>303</v>
      </c>
      <c r="AD1" s="6"/>
      <c r="AE1" s="6"/>
      <c r="AF1" s="6"/>
      <c r="AG1" s="6"/>
    </row>
    <row r="2">
      <c r="A2" s="5" t="s">
        <v>305</v>
      </c>
      <c r="B2" s="21">
        <v>1.0</v>
      </c>
      <c r="C2" s="21">
        <v>6.0</v>
      </c>
      <c r="D2" s="21">
        <v>12.0</v>
      </c>
      <c r="E2" s="21">
        <v>18.0</v>
      </c>
      <c r="F2" s="21">
        <v>2.0</v>
      </c>
      <c r="G2" s="21">
        <v>8.0</v>
      </c>
      <c r="H2" s="21">
        <v>14.0</v>
      </c>
      <c r="I2" s="21">
        <v>20.0</v>
      </c>
      <c r="J2" s="21">
        <v>2.0</v>
      </c>
      <c r="K2" s="21">
        <v>8.0</v>
      </c>
      <c r="L2" s="21">
        <v>14.0</v>
      </c>
      <c r="M2" s="21">
        <v>20.0</v>
      </c>
      <c r="N2" s="21">
        <v>8.0</v>
      </c>
      <c r="O2" s="21">
        <v>13.0</v>
      </c>
      <c r="P2" s="21">
        <v>18.0</v>
      </c>
      <c r="Q2" s="21">
        <v>23.0</v>
      </c>
      <c r="R2" s="21">
        <v>1.0</v>
      </c>
      <c r="S2" s="21">
        <v>7.0</v>
      </c>
      <c r="T2" s="21">
        <v>13.0</v>
      </c>
      <c r="U2" s="21">
        <v>19.0</v>
      </c>
      <c r="V2" s="21">
        <v>5.0</v>
      </c>
      <c r="W2" s="21">
        <v>15.0</v>
      </c>
      <c r="X2" s="21">
        <v>19.0</v>
      </c>
      <c r="Y2" s="21">
        <v>23.0</v>
      </c>
      <c r="Z2" s="21">
        <v>1.0</v>
      </c>
      <c r="AA2" s="21">
        <v>7.0</v>
      </c>
      <c r="AB2" s="21">
        <v>13.0</v>
      </c>
      <c r="AC2" s="21">
        <v>19.0</v>
      </c>
    </row>
    <row r="3">
      <c r="A3" s="5" t="s">
        <v>306</v>
      </c>
      <c r="B3" s="21">
        <v>2.0</v>
      </c>
      <c r="C3" s="21">
        <v>7.0</v>
      </c>
      <c r="D3" s="21">
        <v>13.0</v>
      </c>
      <c r="E3" s="21">
        <v>19.0</v>
      </c>
      <c r="F3" s="21">
        <v>3.0</v>
      </c>
      <c r="G3" s="21">
        <v>9.0</v>
      </c>
      <c r="H3" s="21">
        <v>15.0</v>
      </c>
      <c r="I3" s="21">
        <v>21.0</v>
      </c>
      <c r="J3" s="21">
        <v>1.0</v>
      </c>
      <c r="K3" s="21">
        <v>7.0</v>
      </c>
      <c r="L3" s="21">
        <v>13.0</v>
      </c>
      <c r="M3" s="21">
        <v>19.0</v>
      </c>
      <c r="N3" s="21">
        <v>2.0</v>
      </c>
      <c r="O3" s="21">
        <v>6.0</v>
      </c>
      <c r="P3" s="21">
        <v>17.0</v>
      </c>
      <c r="Q3" s="21">
        <v>22.0</v>
      </c>
      <c r="R3" s="21">
        <v>5.0</v>
      </c>
      <c r="S3" s="21">
        <v>11.0</v>
      </c>
      <c r="T3" s="21">
        <v>17.0</v>
      </c>
      <c r="U3" s="21">
        <v>23.0</v>
      </c>
      <c r="V3" s="21">
        <v>1.0</v>
      </c>
      <c r="W3" s="21">
        <v>6.0</v>
      </c>
      <c r="X3" s="21">
        <v>16.0</v>
      </c>
      <c r="Y3" s="21">
        <v>20.0</v>
      </c>
      <c r="Z3" s="21">
        <v>3.0</v>
      </c>
      <c r="AA3" s="21">
        <v>9.0</v>
      </c>
      <c r="AB3" s="21">
        <v>15.0</v>
      </c>
      <c r="AC3" s="21">
        <v>21.0</v>
      </c>
    </row>
    <row r="4">
      <c r="A4" s="5" t="s">
        <v>308</v>
      </c>
      <c r="B4" s="21">
        <v>4.0</v>
      </c>
      <c r="C4" s="21">
        <v>9.0</v>
      </c>
      <c r="D4" s="21">
        <v>15.0</v>
      </c>
      <c r="E4" s="21">
        <v>21.0</v>
      </c>
      <c r="F4" s="21">
        <v>1.0</v>
      </c>
      <c r="G4" s="21">
        <v>7.0</v>
      </c>
      <c r="H4" s="21">
        <v>13.0</v>
      </c>
      <c r="I4" s="21">
        <v>19.0</v>
      </c>
      <c r="J4" s="21">
        <v>3.0</v>
      </c>
      <c r="K4" s="21">
        <v>9.0</v>
      </c>
      <c r="L4" s="21">
        <v>15.0</v>
      </c>
      <c r="M4" s="21">
        <v>21.0</v>
      </c>
      <c r="N4" s="21">
        <v>4.0</v>
      </c>
      <c r="O4" s="21">
        <v>9.0</v>
      </c>
      <c r="P4" s="21">
        <v>14.0</v>
      </c>
      <c r="Q4" s="21">
        <v>19.0</v>
      </c>
      <c r="R4" s="21">
        <v>3.0</v>
      </c>
      <c r="S4" s="21">
        <v>9.0</v>
      </c>
      <c r="T4" s="21">
        <v>15.0</v>
      </c>
      <c r="U4" s="21">
        <v>21.0</v>
      </c>
      <c r="V4" s="21">
        <v>3.0</v>
      </c>
      <c r="W4" s="21">
        <v>8.0</v>
      </c>
      <c r="X4" s="21">
        <v>12.0</v>
      </c>
      <c r="Y4" s="21">
        <v>18.0</v>
      </c>
      <c r="Z4" s="21">
        <v>2.0</v>
      </c>
      <c r="AA4" s="21">
        <v>8.0</v>
      </c>
      <c r="AB4" s="21">
        <v>14.0</v>
      </c>
      <c r="AC4" s="21">
        <v>20.0</v>
      </c>
    </row>
    <row r="5">
      <c r="A5" s="5" t="s">
        <v>316</v>
      </c>
      <c r="B5" s="21">
        <v>3.0</v>
      </c>
      <c r="C5" s="21">
        <v>8.0</v>
      </c>
      <c r="D5" s="21">
        <v>14.0</v>
      </c>
      <c r="E5" s="21">
        <v>20.0</v>
      </c>
      <c r="F5" s="21">
        <v>6.0</v>
      </c>
      <c r="G5" s="21">
        <v>12.0</v>
      </c>
      <c r="H5" s="21">
        <v>18.0</v>
      </c>
      <c r="I5" s="21">
        <v>23.0</v>
      </c>
      <c r="J5" s="21">
        <v>6.0</v>
      </c>
      <c r="K5" s="21">
        <v>12.0</v>
      </c>
      <c r="L5" s="21">
        <v>18.0</v>
      </c>
      <c r="M5" s="21">
        <v>23.0</v>
      </c>
      <c r="N5" s="21">
        <v>1.0</v>
      </c>
      <c r="O5" s="21">
        <v>7.0</v>
      </c>
      <c r="P5" s="21">
        <v>11.0</v>
      </c>
      <c r="Q5" s="21">
        <v>21.0</v>
      </c>
      <c r="R5" s="21">
        <v>2.0</v>
      </c>
      <c r="S5" s="21">
        <v>8.0</v>
      </c>
      <c r="T5" s="21">
        <v>14.0</v>
      </c>
      <c r="U5" s="21">
        <v>20.0</v>
      </c>
      <c r="V5" s="21">
        <v>2.0</v>
      </c>
      <c r="W5" s="21">
        <v>7.0</v>
      </c>
      <c r="X5" s="21">
        <v>11.0</v>
      </c>
      <c r="Y5" s="21">
        <v>17.0</v>
      </c>
      <c r="Z5" s="21">
        <v>6.0</v>
      </c>
      <c r="AA5" s="21">
        <v>12.0</v>
      </c>
      <c r="AB5" s="21">
        <v>18.0</v>
      </c>
      <c r="AC5" s="21">
        <v>23.0</v>
      </c>
    </row>
    <row r="6">
      <c r="A6" s="5" t="s">
        <v>317</v>
      </c>
      <c r="B6" s="21">
        <v>5.0</v>
      </c>
      <c r="C6" s="21">
        <v>10.0</v>
      </c>
      <c r="D6" s="21">
        <v>16.0</v>
      </c>
      <c r="E6" s="21">
        <v>22.0</v>
      </c>
      <c r="F6" s="21">
        <v>4.0</v>
      </c>
      <c r="G6" s="21">
        <v>10.0</v>
      </c>
      <c r="H6" s="21">
        <v>16.0</v>
      </c>
      <c r="I6" s="21">
        <v>22.0</v>
      </c>
      <c r="J6" s="21">
        <v>4.0</v>
      </c>
      <c r="K6" s="21">
        <v>10.0</v>
      </c>
      <c r="L6" s="21">
        <v>16.0</v>
      </c>
      <c r="M6" s="21">
        <v>22.0</v>
      </c>
      <c r="N6" s="21">
        <v>5.0</v>
      </c>
      <c r="O6" s="21">
        <v>10.0</v>
      </c>
      <c r="P6" s="21">
        <v>15.0</v>
      </c>
      <c r="Q6" s="21">
        <v>20.0</v>
      </c>
      <c r="R6" s="21">
        <v>4.0</v>
      </c>
      <c r="S6" s="21">
        <v>10.0</v>
      </c>
      <c r="T6" s="21">
        <v>16.0</v>
      </c>
      <c r="U6" s="21">
        <v>22.0</v>
      </c>
      <c r="V6" s="21">
        <v>4.0</v>
      </c>
      <c r="W6" s="21">
        <v>9.0</v>
      </c>
      <c r="X6" s="21">
        <v>13.0</v>
      </c>
      <c r="Y6" s="21">
        <v>21.0</v>
      </c>
      <c r="Z6" s="21">
        <v>4.0</v>
      </c>
      <c r="AA6" s="21">
        <v>10.0</v>
      </c>
      <c r="AB6" s="21">
        <v>16.0</v>
      </c>
      <c r="AC6" s="21">
        <v>22.0</v>
      </c>
    </row>
    <row r="7">
      <c r="A7" s="5" t="s">
        <v>318</v>
      </c>
      <c r="B7" s="21">
        <v>11.0</v>
      </c>
      <c r="C7" s="21">
        <v>17.0</v>
      </c>
      <c r="D7" s="21">
        <v>23.0</v>
      </c>
      <c r="F7" s="21">
        <v>5.0</v>
      </c>
      <c r="G7" s="21">
        <v>11.0</v>
      </c>
      <c r="H7" s="21">
        <v>17.0</v>
      </c>
      <c r="J7" s="21">
        <v>5.0</v>
      </c>
      <c r="K7" s="21">
        <v>11.0</v>
      </c>
      <c r="L7" s="21">
        <v>17.0</v>
      </c>
      <c r="N7" s="21">
        <v>3.0</v>
      </c>
      <c r="O7" s="21">
        <v>12.0</v>
      </c>
      <c r="P7" s="21">
        <v>17.0</v>
      </c>
      <c r="R7" s="21">
        <v>6.0</v>
      </c>
      <c r="S7" s="21">
        <v>12.0</v>
      </c>
      <c r="T7" s="21">
        <v>18.0</v>
      </c>
      <c r="V7" s="21">
        <v>10.0</v>
      </c>
      <c r="W7" s="21">
        <v>14.0</v>
      </c>
      <c r="X7" s="21">
        <v>22.0</v>
      </c>
      <c r="Z7" s="21">
        <v>5.0</v>
      </c>
      <c r="AA7" s="21">
        <v>11.0</v>
      </c>
      <c r="AB7" s="21">
        <v>17.0</v>
      </c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  <c r="S14" s="11"/>
    </row>
    <row r="15">
      <c r="A15" s="6"/>
    </row>
    <row r="16">
      <c r="A16" s="6"/>
      <c r="S16" s="11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</sheetData>
  <mergeCells count="7">
    <mergeCell ref="B1:E1"/>
    <mergeCell ref="F1:I1"/>
    <mergeCell ref="J1:M1"/>
    <mergeCell ref="N1:Q1"/>
    <mergeCell ref="R1:U1"/>
    <mergeCell ref="V1:Y1"/>
    <mergeCell ref="Z1:AC1"/>
  </mergeCells>
  <drawing r:id="rId1"/>
</worksheet>
</file>