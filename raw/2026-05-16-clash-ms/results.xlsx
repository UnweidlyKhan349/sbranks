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Page" sheetId="1" r:id="rId5"/>
    <sheet state="visible" name="HS RR" sheetId="2" r:id="rId6"/>
    <sheet state="visible" name="HS DE" sheetId="3" r:id="rId7"/>
    <sheet state="visible" name="MS RR" sheetId="4" r:id="rId8"/>
    <sheet state="visible" name="MS SW" sheetId="5" r:id="rId9"/>
    <sheet state="visible" name="RR Schedule" sheetId="6" r:id="rId10"/>
    <sheet state="visible" name="Calculation" sheetId="7" r:id="rId11"/>
    <sheet state="visible" name="High School Team Challenges" sheetId="8" r:id="rId12"/>
    <sheet state="visible" name="Middle School Team Challenges" sheetId="9" r:id="rId13"/>
  </sheets>
  <definedNames/>
  <calcPr/>
</workbook>
</file>

<file path=xl/sharedStrings.xml><?xml version="1.0" encoding="utf-8"?>
<sst xmlns="http://schemas.openxmlformats.org/spreadsheetml/2006/main" count="1891" uniqueCount="362">
  <si>
    <t>DE/SE 1</t>
  </si>
  <si>
    <t>SCHEDULE OF EVENTS</t>
  </si>
  <si>
    <t>DE/SE 2</t>
  </si>
  <si>
    <t>DE/SE 3</t>
  </si>
  <si>
    <t>DE/SE 4</t>
  </si>
  <si>
    <t>DE/SE 5</t>
  </si>
  <si>
    <t>DE/SE 6</t>
  </si>
  <si>
    <t>DE/SE 7</t>
  </si>
  <si>
    <t>DE/SE 8</t>
  </si>
  <si>
    <t>Finals 1 and 2</t>
  </si>
  <si>
    <t>Links</t>
  </si>
  <si>
    <t>FLEMING</t>
  </si>
  <si>
    <t>Space-X</t>
  </si>
  <si>
    <t>Time</t>
  </si>
  <si>
    <t>BOHR</t>
  </si>
  <si>
    <t>Collierville HS B</t>
  </si>
  <si>
    <t>High School</t>
  </si>
  <si>
    <t>Middle School</t>
  </si>
  <si>
    <t>High School Round Robin</t>
  </si>
  <si>
    <t>WWPS B</t>
  </si>
  <si>
    <t>Round Robin Standings</t>
  </si>
  <si>
    <t>9:45 - 10:00 a.m. CDT</t>
  </si>
  <si>
    <t>Redwood</t>
  </si>
  <si>
    <t>BISV A</t>
  </si>
  <si>
    <t>Granite Ridge</t>
  </si>
  <si>
    <t>Points</t>
  </si>
  <si>
    <t>Wins</t>
  </si>
  <si>
    <t>Draws</t>
  </si>
  <si>
    <t>Losses</t>
  </si>
  <si>
    <t>Score</t>
  </si>
  <si>
    <t>MENDEL</t>
  </si>
  <si>
    <t>School of Chemistry</t>
  </si>
  <si>
    <t>Hopkins A</t>
  </si>
  <si>
    <t>Clang! Cloom! Clash!</t>
  </si>
  <si>
    <t>Round Rock</t>
  </si>
  <si>
    <t>WWPN</t>
  </si>
  <si>
    <t>GALILEO</t>
  </si>
  <si>
    <t>Opening Ceremony</t>
  </si>
  <si>
    <t>High School Double Elimination</t>
  </si>
  <si>
    <t>#</t>
  </si>
  <si>
    <t>Oak Avenue</t>
  </si>
  <si>
    <t>Wayzata CMS</t>
  </si>
  <si>
    <t>Collierville MS</t>
  </si>
  <si>
    <t>Benjamin Franklin</t>
  </si>
  <si>
    <t>10:05 - 10:45 a.m. CDT</t>
  </si>
  <si>
    <t>Team</t>
  </si>
  <si>
    <t>Round Robin 1</t>
  </si>
  <si>
    <t>Middle School Round Robin</t>
  </si>
  <si>
    <t>Lynbroke</t>
  </si>
  <si>
    <t>10:45 - 11:15 a.m. CDT</t>
  </si>
  <si>
    <t>CCA A</t>
  </si>
  <si>
    <t>Round Robin 2</t>
  </si>
  <si>
    <t>Middle School Swiss</t>
  </si>
  <si>
    <t>Re2rement Home</t>
  </si>
  <si>
    <t>Wheaton</t>
  </si>
  <si>
    <t>Chattahoochee B</t>
  </si>
  <si>
    <t>11:15 - 11:45 a.m. CDT</t>
  </si>
  <si>
    <t>Round Robin 3</t>
  </si>
  <si>
    <t>Round Robin Schedule</t>
  </si>
  <si>
    <t>11:45 - 12:15 p.m. CDT</t>
  </si>
  <si>
    <t>Round Robin 4</t>
  </si>
  <si>
    <t>Lunch</t>
  </si>
  <si>
    <t>12:15 - 12:45 p.m. CDT</t>
  </si>
  <si>
    <t>Round Robin 5</t>
  </si>
  <si>
    <t>Lunch (Continued)</t>
  </si>
  <si>
    <t>Stage 1</t>
  </si>
  <si>
    <t>12:45 - 1:30 p.m. CDT</t>
  </si>
  <si>
    <t>Swiss 1</t>
  </si>
  <si>
    <t>2:00 - 2:30 p.m. CDT</t>
  </si>
  <si>
    <t>Double Elimination 1</t>
  </si>
  <si>
    <t>Swiss 2</t>
  </si>
  <si>
    <t>2:30 - 3:00 p.m. CDT</t>
  </si>
  <si>
    <t>Double Elimination 2</t>
  </si>
  <si>
    <t>Swiss 3</t>
  </si>
  <si>
    <t>3:00 - 3:30 p.m. CDT</t>
  </si>
  <si>
    <t>Double Elimination 3</t>
  </si>
  <si>
    <t>Swiss 4</t>
  </si>
  <si>
    <t>3:30 - 4:00 p.m. CDT</t>
  </si>
  <si>
    <t>BYE</t>
  </si>
  <si>
    <t>Double Elimination 4</t>
  </si>
  <si>
    <t>Swiss 5</t>
  </si>
  <si>
    <t>4:00 - 4:30 p.m. CDT</t>
  </si>
  <si>
    <t>Double Elimination 5</t>
  </si>
  <si>
    <t>Break</t>
  </si>
  <si>
    <t>4:30 - 5:10 p.m. CDT</t>
  </si>
  <si>
    <t>Middle School Finals</t>
  </si>
  <si>
    <t>5:10 - 5:50 p.m. CDT</t>
  </si>
  <si>
    <t>Double Elimination 6</t>
  </si>
  <si>
    <t>N/A</t>
  </si>
  <si>
    <t>5:50 - 6:30 p.m. CDT</t>
  </si>
  <si>
    <t>Double Elimination 7</t>
  </si>
  <si>
    <t>MAAOC</t>
  </si>
  <si>
    <t>WWPS A</t>
  </si>
  <si>
    <t>6:30 - 7:10 p.m. CDT</t>
  </si>
  <si>
    <t>Double Elimination 8</t>
  </si>
  <si>
    <t>CLASH Science Bowl</t>
  </si>
  <si>
    <t>7:10 - 7:50 p.m. CDT</t>
  </si>
  <si>
    <t>High School Finals 1</t>
  </si>
  <si>
    <t>Hosted by HUSB</t>
  </si>
  <si>
    <t>7:50 - 8:30 p.m. CDT</t>
  </si>
  <si>
    <t>High School Finals 2</t>
  </si>
  <si>
    <t>Sponsored by IsoBowl</t>
  </si>
  <si>
    <t>8:40-8:55 p.m. CDT</t>
  </si>
  <si>
    <t>Closing Ceremony</t>
  </si>
  <si>
    <t>School of Geology</t>
  </si>
  <si>
    <t>Shallow Walk A</t>
  </si>
  <si>
    <t>North Allegheny</t>
  </si>
  <si>
    <t>Montgomery Blair</t>
  </si>
  <si>
    <t>Stage 2</t>
  </si>
  <si>
    <t>Law Abiding Citizens</t>
  </si>
  <si>
    <t>Stage 3</t>
  </si>
  <si>
    <t>ASFA</t>
  </si>
  <si>
    <t>North Hollywood</t>
  </si>
  <si>
    <t>Royal Hogs</t>
  </si>
  <si>
    <t>Palo Alto A</t>
  </si>
  <si>
    <t>Stage 4</t>
  </si>
  <si>
    <t>SW 1</t>
  </si>
  <si>
    <t>MSJ B</t>
  </si>
  <si>
    <t>SW 2</t>
  </si>
  <si>
    <t>SW 3</t>
  </si>
  <si>
    <t>Stage 5</t>
  </si>
  <si>
    <t>SW 4</t>
  </si>
  <si>
    <t>Re2remenet Home</t>
  </si>
  <si>
    <t>SW 5</t>
  </si>
  <si>
    <t>Finals</t>
  </si>
  <si>
    <t>University</t>
  </si>
  <si>
    <t>MSJ A</t>
  </si>
  <si>
    <t>Arcadia B</t>
  </si>
  <si>
    <t>Stage 6</t>
  </si>
  <si>
    <t>Gargy Bomy</t>
  </si>
  <si>
    <t>Enloe</t>
  </si>
  <si>
    <t>Doral Academy</t>
  </si>
  <si>
    <t>Stage 7</t>
  </si>
  <si>
    <t>Finals Stage</t>
  </si>
  <si>
    <t>BISV MS A</t>
  </si>
  <si>
    <t>Quail Valley</t>
  </si>
  <si>
    <t>School of Biology</t>
  </si>
  <si>
    <t>HIGH SCHOOL CHAMPION</t>
  </si>
  <si>
    <t>Arcardia A</t>
  </si>
  <si>
    <t>BISV HS A</t>
  </si>
  <si>
    <t>MAAOOC</t>
  </si>
  <si>
    <t>VMATHs</t>
  </si>
  <si>
    <t>Stage 8</t>
  </si>
  <si>
    <t>SGVG</t>
  </si>
  <si>
    <t>BISV HS B</t>
  </si>
  <si>
    <t>WWPS C</t>
  </si>
  <si>
    <t>MSJ C</t>
  </si>
  <si>
    <t>Middleton</t>
  </si>
  <si>
    <t>Artemis A</t>
  </si>
  <si>
    <t>William Diamond</t>
  </si>
  <si>
    <t>Lakeside</t>
  </si>
  <si>
    <t>LOVELACE</t>
  </si>
  <si>
    <t>BASIS Chandler</t>
  </si>
  <si>
    <t>Chattahoochee A</t>
  </si>
  <si>
    <t>Stage 9</t>
  </si>
  <si>
    <t>Rancho San Joaquin</t>
  </si>
  <si>
    <t>Punahou</t>
  </si>
  <si>
    <t>Artemis B</t>
  </si>
  <si>
    <t>Foothill</t>
  </si>
  <si>
    <t>Jordan</t>
  </si>
  <si>
    <t>Stage 10</t>
  </si>
  <si>
    <t>TESLA</t>
  </si>
  <si>
    <t>BISV MS B</t>
  </si>
  <si>
    <t>Smash! Clash! Bash!</t>
  </si>
  <si>
    <t>Stage 11</t>
  </si>
  <si>
    <t>SSP Warriors</t>
  </si>
  <si>
    <t>MIDDLE SCHOOL CHAMPION</t>
  </si>
  <si>
    <t>CCA B</t>
  </si>
  <si>
    <t>Collierville HS A</t>
  </si>
  <si>
    <t>Shallow Walk B</t>
  </si>
  <si>
    <t>Stage 12</t>
  </si>
  <si>
    <t>Stage 13</t>
  </si>
  <si>
    <t>Gargy Bony</t>
  </si>
  <si>
    <t>Stage 14</t>
  </si>
  <si>
    <t>Arcadia A</t>
  </si>
  <si>
    <t>Stage 15</t>
  </si>
  <si>
    <t>Stage 16</t>
  </si>
  <si>
    <t>Swiss 1 Standings</t>
  </si>
  <si>
    <t>Swiss 2 Standings</t>
  </si>
  <si>
    <t>Swiss 3 Standings</t>
  </si>
  <si>
    <t>Swiss 4 Standings</t>
  </si>
  <si>
    <t>Swiss 5 Standings</t>
  </si>
  <si>
    <t>CURIE</t>
  </si>
  <si>
    <t>Palo Alto</t>
  </si>
  <si>
    <t>HIGH SCHOOL ROUND ROBIN SCHEDULE</t>
  </si>
  <si>
    <t>HEISENBERG</t>
  </si>
  <si>
    <t>MIDDLE SCHOOL ROUND ROBIN SCHEDULE</t>
  </si>
  <si>
    <t>Room 1</t>
  </si>
  <si>
    <t>Room 2</t>
  </si>
  <si>
    <t>Room 3</t>
  </si>
  <si>
    <t>Collierville HS B vs. WWPS B</t>
  </si>
  <si>
    <t>School of Chemistry vs. WWPN</t>
  </si>
  <si>
    <t>Clang! Cloom! Clash! vs. Round Rock</t>
  </si>
  <si>
    <t>Space-X vs. Redwood</t>
  </si>
  <si>
    <t>BISV MS A vs. Granite Ridge</t>
  </si>
  <si>
    <t>Collierville HS B vs. School of Chemistry</t>
  </si>
  <si>
    <t>Round Rock vs. WWPN</t>
  </si>
  <si>
    <t>WWPS B vs. Clang! Cloom! Clash!</t>
  </si>
  <si>
    <t>Redwood vs. Granite Ridge</t>
  </si>
  <si>
    <t>Space-X vs. BISV MS A</t>
  </si>
  <si>
    <t>School of Chemistry vs. Round Rock</t>
  </si>
  <si>
    <t>Collierville HS B vs. Clang! Cloom! Clash!</t>
  </si>
  <si>
    <t>WWPS B vs. WWPN</t>
  </si>
  <si>
    <t>Space-X vs. Granite Ridge</t>
  </si>
  <si>
    <t>Redwood vs. BISV MS A</t>
  </si>
  <si>
    <t>Clang! Cloom! Clash! vs. WWPN</t>
  </si>
  <si>
    <t>Collierville HS B vs. Round Rock</t>
  </si>
  <si>
    <t>WWPS B vs. School of Chemistry</t>
  </si>
  <si>
    <t>WWPS B vs. Round Rock</t>
  </si>
  <si>
    <t>School of Chemistry vs. Clang! Cloom! Clash!</t>
  </si>
  <si>
    <t>Collierville HS B vs. WWPN</t>
  </si>
  <si>
    <t>Rancho San Joaquin vs. William Diamond</t>
  </si>
  <si>
    <t>Artemis B vs. BASIS Chandler</t>
  </si>
  <si>
    <t>William Diamond vs. BASIS Chandler</t>
  </si>
  <si>
    <t>Rancho San Joaquin vs. Artemis B</t>
  </si>
  <si>
    <t>Doral Academy vs. Palo Alto</t>
  </si>
  <si>
    <t>Arcadia B vs. VMATHs</t>
  </si>
  <si>
    <t>Montgomery Blair vs. Collierville HS A</t>
  </si>
  <si>
    <t>Rancho San Joaquin vs. BASIS Chandler</t>
  </si>
  <si>
    <t>William Diamond vs. Artemis B</t>
  </si>
  <si>
    <t>Doral Academy vs. Arcadia B</t>
  </si>
  <si>
    <t>Collierville HS A vs. VMATHs</t>
  </si>
  <si>
    <t>Palo Alto vs. Montgomery Blair</t>
  </si>
  <si>
    <t>Arcadia B vs. Collierville HS A</t>
  </si>
  <si>
    <t>Doral Academy vs. Montgomery Blair</t>
  </si>
  <si>
    <t>Palo Alto vs. VMATHs</t>
  </si>
  <si>
    <t>Montgomery Blair vs. VMATHs</t>
  </si>
  <si>
    <t>Doral Academy vs. Collierville HS A</t>
  </si>
  <si>
    <t>Palo Alto vs. Arcadia B</t>
  </si>
  <si>
    <t>Palo Alto vs. Collierville HS A</t>
  </si>
  <si>
    <t>Arcadia B vs. Montgomery Blair</t>
  </si>
  <si>
    <t>Doral Academy vs. VMATHs</t>
  </si>
  <si>
    <t>Hopkins A vs Oak Avenue</t>
  </si>
  <si>
    <t>Wayzata CMS vs. Collierville MS</t>
  </si>
  <si>
    <t>Oak Avenue vs. Collierville MS</t>
  </si>
  <si>
    <t>Hopkins A vs. Wayzata CMS</t>
  </si>
  <si>
    <t>DIRAC</t>
  </si>
  <si>
    <t>Hopkins A vs. Collierville MS</t>
  </si>
  <si>
    <t>Oak Avenue vs. Wayzata CMS</t>
  </si>
  <si>
    <t>Enloe vs. Shallow Walk A</t>
  </si>
  <si>
    <t>Chattahoochee vs. BISV HS A</t>
  </si>
  <si>
    <t>Middleton vs. Gargy Bomy</t>
  </si>
  <si>
    <t>Enloe vs. Chattahoochee A</t>
  </si>
  <si>
    <t>Gargy Bomy vs. BISV HS A</t>
  </si>
  <si>
    <t>Shallow Walk A vs. Middleton</t>
  </si>
  <si>
    <t>Chattahoochee A vs. Gargy Bomy</t>
  </si>
  <si>
    <t>Enloe vs. Middleton</t>
  </si>
  <si>
    <t>Shallow Walk A vs. BISV HS A</t>
  </si>
  <si>
    <t>Artemis A vs. Quail Valley</t>
  </si>
  <si>
    <t>BISV MS B vs. Smash! Clash! Bash!</t>
  </si>
  <si>
    <t>Middleton vs. BISV HS A</t>
  </si>
  <si>
    <t>Enloe vs. Gargy Bomy</t>
  </si>
  <si>
    <t>Shallow Walk A vs. Chattahoochee A</t>
  </si>
  <si>
    <t>Quail Valley vs. Smash! Clash! Bash!</t>
  </si>
  <si>
    <t>Artemis A vs. BISV MS B</t>
  </si>
  <si>
    <t>Shallow Walk A vs. Gargy Bomy</t>
  </si>
  <si>
    <t>Chattahoochee A vs. Middleton</t>
  </si>
  <si>
    <t>Enloe vs. BISV HS A</t>
  </si>
  <si>
    <t>Artemis A vs. Smash! Clash! Bash!</t>
  </si>
  <si>
    <t>Quail Valley vs. BISV MS B</t>
  </si>
  <si>
    <t>FEYNMAN</t>
  </si>
  <si>
    <t>Lakeside vs. MSJ B</t>
  </si>
  <si>
    <t>WWPS C vs. Law Abiding Citizens</t>
  </si>
  <si>
    <t>Shallow Walk B vs. North Hollywood</t>
  </si>
  <si>
    <t>Lakeside vs. WWPS C</t>
  </si>
  <si>
    <t>North Hollywood vs. Law Abiding Citizens</t>
  </si>
  <si>
    <t>MSJ B vs. Shallow Walk B</t>
  </si>
  <si>
    <t>WWPS C vs. North Hollywood</t>
  </si>
  <si>
    <t>Lakeside vs. Shallow Walk B</t>
  </si>
  <si>
    <t>MSJ B vs. Law Abiding Citizens</t>
  </si>
  <si>
    <t>Shallow Walk B vs. Law Abiding Citizens</t>
  </si>
  <si>
    <t>Lakeside vs. North Hollywood</t>
  </si>
  <si>
    <t>MSJ B vs. WWPS C</t>
  </si>
  <si>
    <t>MSJ B vs. North Hollywood</t>
  </si>
  <si>
    <t>WWPS C vs. Shallow Walk B</t>
  </si>
  <si>
    <t>Lakeside vs. Law Abiding Citizens</t>
  </si>
  <si>
    <t>Benjamin Franklin vs. Lynbroke</t>
  </si>
  <si>
    <t>CCA A vs. Chattahoochee B</t>
  </si>
  <si>
    <t>Re2rement Home vs. Wheaton</t>
  </si>
  <si>
    <t>Benjamin Franklin vs. CCA A</t>
  </si>
  <si>
    <t>Wheaton vs. Chattahoochee B</t>
  </si>
  <si>
    <t>Lynbroke vs. Re2rement Home</t>
  </si>
  <si>
    <t>CCA A vs. Wheaton</t>
  </si>
  <si>
    <t>Benjamin Franklin vs. Re2rement Home</t>
  </si>
  <si>
    <t>Lynbroke vs. Chattahoochee B</t>
  </si>
  <si>
    <t>Re2rement Home vs. Chattahoochee B</t>
  </si>
  <si>
    <t>Benjamin Franklin vs. Wheaton</t>
  </si>
  <si>
    <t>Lynbroke vs. CCA A</t>
  </si>
  <si>
    <t>Lynbroke vs. Wheaton</t>
  </si>
  <si>
    <t>CCA A vs. Re2rement Home</t>
  </si>
  <si>
    <t>Benjamin Franklin vs. Chattahoochee B</t>
  </si>
  <si>
    <t>ASFA vs. Punahou</t>
  </si>
  <si>
    <t>Royal Hogs vs. University</t>
  </si>
  <si>
    <t>BISV HS B vs. Jordan</t>
  </si>
  <si>
    <t>ASFA vs. Royal Hogs</t>
  </si>
  <si>
    <t>Jordan vs. University</t>
  </si>
  <si>
    <t>Punahou vs. BISV HS B</t>
  </si>
  <si>
    <t>Royal Hogs vs. Jordan</t>
  </si>
  <si>
    <t>ASFA vs. BISV HS B</t>
  </si>
  <si>
    <t>Punahou vs. University</t>
  </si>
  <si>
    <t>BISV HS B vs. University</t>
  </si>
  <si>
    <t>ASFA vs. Jordan</t>
  </si>
  <si>
    <t>Punahou vs. Royal Hogs</t>
  </si>
  <si>
    <t>Punahou vs. Jordan</t>
  </si>
  <si>
    <t>Royal Hogs vs. BISV HS B</t>
  </si>
  <si>
    <t>ASFA vs. University</t>
  </si>
  <si>
    <t>LAVOISIER</t>
  </si>
  <si>
    <t>MAAOC vs. SSP Warriors</t>
  </si>
  <si>
    <t>MSJ A vs. SGVG</t>
  </si>
  <si>
    <t>Foothill vs. WWPS A</t>
  </si>
  <si>
    <t>MAAOC vs. MSJ A</t>
  </si>
  <si>
    <t>WWPS A vs. SGVG</t>
  </si>
  <si>
    <t>SSP Warriors vs. Foothill</t>
  </si>
  <si>
    <t>MSJ A vs. WWPS A</t>
  </si>
  <si>
    <t>MAAOC vs. Foothill</t>
  </si>
  <si>
    <t>SSP Warriors vs. SGVG</t>
  </si>
  <si>
    <t>Foothill vs. SGVG</t>
  </si>
  <si>
    <t>MAAOC vs. WWPS A</t>
  </si>
  <si>
    <t>SSP Warriors vs. MSJ A</t>
  </si>
  <si>
    <t>SSP Warriors vs. WWPS A</t>
  </si>
  <si>
    <t>MSJ A vs. Foothill</t>
  </si>
  <si>
    <t>MAAOC vs. SGVG</t>
  </si>
  <si>
    <t>NOETHER</t>
  </si>
  <si>
    <t>MSJ C vs. North Allegheny</t>
  </si>
  <si>
    <t>School of Geology vs. CCA B</t>
  </si>
  <si>
    <t>School of Biology vs. Arcadia A</t>
  </si>
  <si>
    <t>MSJ C vs. School of Geology</t>
  </si>
  <si>
    <t>Arcadia A vs. CCA B</t>
  </si>
  <si>
    <t>North Allegheny vs. School of Biology</t>
  </si>
  <si>
    <t>School of Geology vs. Arcadia A</t>
  </si>
  <si>
    <t>MSJ C vs. School of Biology</t>
  </si>
  <si>
    <t>North Allegheny vs. CCA B</t>
  </si>
  <si>
    <t>School of Biology vs. CCA B</t>
  </si>
  <si>
    <t>MSJ C vs. Arcadia A</t>
  </si>
  <si>
    <t>North Allegheny vs. School of Geology</t>
  </si>
  <si>
    <t>North Allegheny vs. Arcadia A</t>
  </si>
  <si>
    <t>School of Geology vs. School of Biology</t>
  </si>
  <si>
    <t>MSJ C vs. CCA B</t>
  </si>
  <si>
    <t>Format: A/B where A is the number of successful challenges while B is the number of unsuccessful challenges</t>
  </si>
  <si>
    <t>RR1</t>
  </si>
  <si>
    <t>RR2</t>
  </si>
  <si>
    <t>RR3</t>
  </si>
  <si>
    <t>RR4</t>
  </si>
  <si>
    <t>RR5</t>
  </si>
  <si>
    <t>DE1</t>
  </si>
  <si>
    <t>DE2</t>
  </si>
  <si>
    <t>DE3</t>
  </si>
  <si>
    <t>DE4</t>
  </si>
  <si>
    <t>DE5</t>
  </si>
  <si>
    <t>DE6</t>
  </si>
  <si>
    <t>DE7</t>
  </si>
  <si>
    <t>DE8</t>
  </si>
  <si>
    <t>F1</t>
  </si>
  <si>
    <t>F2</t>
  </si>
  <si>
    <t>0/0</t>
  </si>
  <si>
    <t>0/1</t>
  </si>
  <si>
    <t>SW1</t>
  </si>
  <si>
    <t>SW2</t>
  </si>
  <si>
    <t>SW3</t>
  </si>
  <si>
    <t>SW4</t>
  </si>
  <si>
    <t>SW5</t>
  </si>
  <si>
    <t>Eastlake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</si>
</sst>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EB Garamond"/>
    </font>
    <font>
      <sz val="10.0"/>
      <color theme="1"/>
      <name val="EB Garamond"/>
    </font>
    <font>
      <b/>
      <sz val="10.0"/>
      <color theme="1"/>
      <name val="EB Garamond"/>
    </font>
    <font/>
    <font>
      <b/>
      <color theme="1"/>
      <name val="EB Garamond"/>
    </font>
    <font>
      <b/>
      <sz val="10.0"/>
      <color rgb="FF000000"/>
      <name val="EB Garamond"/>
    </font>
    <font>
      <u/>
      <sz val="10.0"/>
      <color rgb="FF0000FF"/>
      <name val="EB Garamond"/>
    </font>
    <font>
      <sz val="10.0"/>
      <color rgb="FF000000"/>
      <name val="EB Garamond"/>
    </font>
    <font>
      <u/>
      <sz val="10.0"/>
      <color rgb="FF0000FF"/>
      <name val="EB Garamond"/>
    </font>
    <font>
      <u/>
      <sz val="10.0"/>
      <color rgb="FF0000FF"/>
      <name val="EB Garamond"/>
    </font>
    <font>
      <u/>
      <sz val="10.0"/>
      <color rgb="FF0000FF"/>
      <name val="EB Garamond"/>
    </font>
    <font>
      <color theme="1"/>
      <name val="Arial"/>
      <scheme val="minor"/>
    </font>
    <font>
      <sz val="11.0"/>
      <color theme="1"/>
      <name val="EB Garamond"/>
    </font>
  </fonts>
  <fills count="2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</fills>
  <borders count="89">
    <border/>
    <border>
      <right style="medium">
        <color rgb="FFFFFFFF"/>
      </right>
      <bottom style="medium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left style="medium">
        <color rgb="FFFFFFFF"/>
      </left>
      <right style="medium">
        <color rgb="FFFFFFFF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FFFFFF"/>
      </left>
    </border>
    <border>
      <top style="thin">
        <color rgb="FFFFFFFF"/>
      </top>
      <bottom style="thin">
        <color rgb="FFFFFFFF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top style="medium">
        <color rgb="FF000000"/>
      </top>
      <bottom style="medium">
        <color rgb="FF000000"/>
      </bottom>
    </border>
    <border>
      <left style="medium">
        <color rgb="FFFFFFFF"/>
      </left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EA9999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EA9999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EA9999"/>
      </right>
      <top style="thin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A9999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A2C4C9"/>
      </right>
      <top style="thin">
        <color rgb="FF000000"/>
      </top>
      <bottom style="medium">
        <color rgb="FF000000"/>
      </bottom>
    </border>
    <border>
      <right style="thin">
        <color rgb="FFFFFFFF"/>
      </right>
      <top style="thin">
        <color rgb="FFFFFFFF"/>
      </top>
    </border>
    <border>
      <left style="medium">
        <color rgb="FF000000"/>
      </left>
      <right style="thin">
        <color rgb="FFFFE599"/>
      </right>
      <top style="thin">
        <color rgb="FF000000"/>
      </top>
      <bottom style="medium">
        <color rgb="FF000000"/>
      </bottom>
    </border>
    <border>
      <left style="thin">
        <color rgb="FFA2C4C9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FE599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FFFFF"/>
      </left>
      <top style="thin">
        <color rgb="FFFFFFFF"/>
      </top>
    </border>
    <border>
      <right style="medium">
        <color rgb="FF000000"/>
      </right>
    </border>
    <border>
      <left style="thin">
        <color rgb="FFEA9999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EA9999"/>
      </right>
      <top style="medium">
        <color rgb="FF000000"/>
      </top>
      <bottom style="medium">
        <color rgb="FF000000"/>
      </bottom>
    </border>
    <border>
      <left style="thin">
        <color rgb="FFEA9999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FFE599"/>
      </right>
      <top style="medium">
        <color rgb="FF000000"/>
      </top>
      <bottom style="medium">
        <color rgb="FF000000"/>
      </bottom>
    </border>
    <border>
      <left style="thin">
        <color rgb="FFFFE599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A2C4C9"/>
      </right>
      <top style="medium">
        <color rgb="FF000000"/>
      </top>
      <bottom style="medium">
        <color rgb="FF000000"/>
      </bottom>
    </border>
    <border>
      <left style="thin">
        <color rgb="FFA2C4C9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F9CB9C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medium">
        <color rgb="FF000000"/>
      </left>
      <top style="medium">
        <color rgb="FF000000"/>
      </top>
      <bottom style="medium">
        <color rgb="FFEFEFEF"/>
      </bottom>
    </border>
    <border>
      <bottom style="medium">
        <color rgb="FFEFEFEF"/>
      </bottom>
    </border>
    <border>
      <left style="medium">
        <color rgb="FF000000"/>
      </left>
      <right style="thin">
        <color rgb="FFF9CB9C"/>
      </right>
      <top style="thin">
        <color rgb="FF000000"/>
      </top>
      <bottom style="medium">
        <color rgb="FF000000"/>
      </bottom>
    </border>
    <border>
      <left style="thin">
        <color rgb="FFF9CB9C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B6D7A8"/>
      </right>
      <top style="thin">
        <color rgb="FF000000"/>
      </top>
      <bottom style="medium">
        <color rgb="FF000000"/>
      </bottom>
    </border>
    <border>
      <left style="thin">
        <color rgb="FFB6D7A8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F9CB9C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B6D7A8"/>
      </right>
      <top style="medium">
        <color rgb="FF000000"/>
      </top>
      <bottom style="medium">
        <color rgb="FF000000"/>
      </bottom>
    </border>
    <border>
      <left style="thin">
        <color rgb="FFB6D7A8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bottom style="medium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</border>
    <border>
      <left style="medium">
        <color rgb="FF000000"/>
      </left>
      <right style="thin">
        <color rgb="FFA4C2F4"/>
      </right>
      <top style="thin">
        <color rgb="FF000000"/>
      </top>
      <bottom style="medium">
        <color rgb="FF000000"/>
      </bottom>
    </border>
    <border>
      <left style="thin">
        <color rgb="FFA4C2F4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right style="thin">
        <color rgb="FFA4C2F4"/>
      </right>
      <top style="medium">
        <color rgb="FF000000"/>
      </top>
      <bottom style="medium">
        <color rgb="FF000000"/>
      </bottom>
    </border>
    <border>
      <left style="thin">
        <color rgb="FFA4C2F4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FFFFFF"/>
      </left>
    </border>
    <border>
      <right style="medium">
        <color rgb="FFFFFFFF"/>
      </right>
      <top style="thin">
        <color rgb="FFFFFFFF"/>
      </top>
    </border>
    <border>
      <left style="medium">
        <color rgb="FFFFFFFF"/>
      </left>
      <right style="medium">
        <color rgb="FFFFFFFF"/>
      </right>
      <top style="thin">
        <color rgb="FFFFFFFF"/>
      </top>
    </border>
    <border>
      <left style="medium">
        <color rgb="FF000000"/>
      </left>
      <right style="thin">
        <color rgb="FFB4A7D6"/>
      </right>
      <top style="thin">
        <color rgb="FF000000"/>
      </top>
      <bottom style="medium">
        <color rgb="FF000000"/>
      </bottom>
    </border>
    <border>
      <left style="thin">
        <color rgb="FFB4A7D6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B4A7D6"/>
      </right>
      <top style="medium">
        <color rgb="FF000000"/>
      </top>
      <bottom style="medium">
        <color rgb="FF000000"/>
      </bottom>
    </border>
    <border>
      <left style="thin">
        <color rgb="FFB4A7D6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D5A6BD"/>
      </right>
      <top style="thin">
        <color rgb="FF000000"/>
      </top>
      <bottom style="medium">
        <color rgb="FF000000"/>
      </bottom>
    </border>
    <border>
      <left style="thin">
        <color rgb="FFD5A6BD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D5A6BD"/>
      </right>
      <top style="medium">
        <color rgb="FF000000"/>
      </top>
      <bottom style="medium">
        <color rgb="FF000000"/>
      </bottom>
    </border>
    <border>
      <left style="thin">
        <color rgb="FFD5A6BD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FFFFFF"/>
      </top>
      <bottom style="medium">
        <color rgb="FF000000"/>
      </bottom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</border>
  </borders>
  <cellStyleXfs count="1">
    <xf borderId="0" fillId="0" fontId="0" numFmtId="0" applyAlignment="1" applyFont="1"/>
  </cellStyleXfs>
  <cellXfs count="33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0" fillId="2" fontId="3" numFmtId="0" xfId="0" applyAlignment="1" applyFill="1" applyFont="1">
      <alignment horizontal="center" vertical="bottom"/>
    </xf>
    <xf borderId="5" fillId="0" fontId="1" numFmtId="0" xfId="0" applyBorder="1" applyFont="1"/>
    <xf borderId="6" fillId="2" fontId="3" numFmtId="0" xfId="0" applyAlignment="1" applyBorder="1" applyFill="1" applyFont="1">
      <alignment horizontal="center" readingOrder="0" vertical="bottom"/>
    </xf>
    <xf borderId="7" fillId="0" fontId="2" numFmtId="0" xfId="0" applyBorder="1" applyFont="1"/>
    <xf borderId="8" fillId="0" fontId="2" numFmtId="0" xfId="0" applyBorder="1" applyFont="1"/>
    <xf borderId="9" fillId="0" fontId="4" numFmtId="0" xfId="0" applyBorder="1" applyFont="1"/>
    <xf borderId="10" fillId="0" fontId="1" numFmtId="0" xfId="0" applyBorder="1" applyFont="1"/>
    <xf borderId="6" fillId="3" fontId="5" numFmtId="0" xfId="0" applyAlignment="1" applyBorder="1" applyFill="1" applyFont="1">
      <alignment horizontal="center" vertical="bottom"/>
    </xf>
    <xf borderId="11" fillId="0" fontId="4" numFmtId="0" xfId="0" applyBorder="1" applyFont="1"/>
    <xf borderId="12" fillId="0" fontId="1" numFmtId="0" xfId="0" applyBorder="1" applyFont="1"/>
    <xf borderId="13" fillId="0" fontId="1" numFmtId="0" xfId="0" applyBorder="1" applyFont="1"/>
    <xf borderId="14" fillId="4" fontId="5" numFmtId="0" xfId="0" applyAlignment="1" applyBorder="1" applyFill="1" applyFont="1">
      <alignment readingOrder="0"/>
    </xf>
    <xf borderId="15" fillId="5" fontId="3" numFmtId="0" xfId="0" applyAlignment="1" applyBorder="1" applyFill="1" applyFont="1">
      <alignment horizontal="center" readingOrder="0"/>
    </xf>
    <xf borderId="15" fillId="5" fontId="6" numFmtId="0" xfId="0" applyAlignment="1" applyBorder="1" applyFill="1" applyFont="1">
      <alignment horizontal="left" readingOrder="0" shrinkToFit="0" wrapText="0"/>
    </xf>
    <xf borderId="6" fillId="4" fontId="1" numFmtId="0" xfId="0" applyAlignment="1" applyBorder="1" applyFill="1" applyFont="1">
      <alignment readingOrder="0"/>
    </xf>
    <xf borderId="0" fillId="2" fontId="2" numFmtId="0" xfId="0" applyAlignment="1" applyFill="1" applyFont="1">
      <alignment vertical="bottom"/>
    </xf>
    <xf borderId="16" fillId="0" fontId="7" numFmtId="0" xfId="0" applyAlignment="1" applyBorder="1" applyFont="1">
      <alignment horizontal="center" readingOrder="0"/>
    </xf>
    <xf borderId="6" fillId="6" fontId="3" numFmtId="0" xfId="0" applyAlignment="1" applyBorder="1" applyFill="1" applyFont="1">
      <alignment horizontal="center" vertical="bottom"/>
    </xf>
    <xf borderId="17" fillId="4" fontId="1" numFmtId="0" xfId="0" applyAlignment="1" applyBorder="1" applyFill="1" applyFont="1">
      <alignment readingOrder="0"/>
    </xf>
    <xf borderId="18" fillId="0" fontId="4" numFmtId="0" xfId="0" applyBorder="1" applyFont="1"/>
    <xf borderId="14" fillId="4" fontId="1" numFmtId="0" xfId="0" applyAlignment="1" applyBorder="1" applyFill="1" applyFont="1">
      <alignment readingOrder="0"/>
    </xf>
    <xf borderId="14" fillId="7" fontId="5" numFmtId="0" xfId="0" applyAlignment="1" applyBorder="1" applyFill="1" applyFont="1">
      <alignment readingOrder="0"/>
    </xf>
    <xf borderId="19" fillId="0" fontId="8" numFmtId="0" xfId="0" applyAlignment="1" applyBorder="1" applyFont="1">
      <alignment horizontal="left" readingOrder="0" shrinkToFit="0" wrapText="0"/>
    </xf>
    <xf borderId="0" fillId="2" fontId="2" numFmtId="0" xfId="0" applyAlignment="1" applyFill="1" applyFont="1">
      <alignment horizontal="center" vertical="bottom"/>
    </xf>
    <xf borderId="6" fillId="7" fontId="1" numFmtId="0" xfId="0" applyAlignment="1" applyBorder="1" applyFill="1" applyFont="1">
      <alignment readingOrder="0"/>
    </xf>
    <xf borderId="14" fillId="8" fontId="5" numFmtId="0" xfId="0" applyAlignment="1" applyBorder="1" applyFill="1" applyFont="1">
      <alignment readingOrder="0"/>
    </xf>
    <xf borderId="14" fillId="7" fontId="1" numFmtId="0" xfId="0" applyAlignment="1" applyBorder="1" applyFill="1" applyFont="1">
      <alignment readingOrder="0"/>
    </xf>
    <xf borderId="13" fillId="0" fontId="1" numFmtId="0" xfId="0" applyAlignment="1" applyBorder="1" applyFont="1">
      <alignment readingOrder="0"/>
    </xf>
    <xf borderId="20" fillId="0" fontId="9" numFmtId="0" xfId="0" applyAlignment="1" applyBorder="1" applyFont="1">
      <alignment horizontal="center" readingOrder="0"/>
    </xf>
    <xf borderId="15" fillId="5" fontId="2" numFmtId="0" xfId="0" applyAlignment="1" applyBorder="1" applyFill="1" applyFont="1">
      <alignment horizontal="center" readingOrder="0" vertical="bottom"/>
    </xf>
    <xf borderId="20" fillId="0" fontId="8" numFmtId="0" xfId="0" applyAlignment="1" applyBorder="1" applyFont="1">
      <alignment horizontal="left" readingOrder="0" shrinkToFit="0" wrapText="0"/>
    </xf>
    <xf borderId="6" fillId="8" fontId="1" numFmtId="0" xfId="0" applyAlignment="1" applyBorder="1" applyFill="1" applyFont="1">
      <alignment readingOrder="0"/>
    </xf>
    <xf borderId="21" fillId="9" fontId="1" numFmtId="0" xfId="0" applyBorder="1" applyFill="1" applyFont="1"/>
    <xf borderId="22" fillId="4" fontId="2" numFmtId="0" xfId="0" applyAlignment="1" applyBorder="1" applyFill="1" applyFont="1">
      <alignment horizontal="center" readingOrder="0" vertical="bottom"/>
    </xf>
    <xf borderId="23" fillId="9" fontId="1" numFmtId="0" xfId="0" applyAlignment="1" applyBorder="1" applyFill="1" applyFont="1">
      <alignment horizontal="center"/>
    </xf>
    <xf borderId="24" fillId="0" fontId="10" numFmtId="0" xfId="0" applyAlignment="1" applyBorder="1" applyFont="1">
      <alignment horizontal="center" readingOrder="0"/>
    </xf>
    <xf borderId="25" fillId="10" fontId="1" numFmtId="0" xfId="0" applyAlignment="1" applyBorder="1" applyFill="1" applyFont="1">
      <alignment readingOrder="0"/>
    </xf>
    <xf borderId="14" fillId="8" fontId="1" numFmtId="0" xfId="0" applyAlignment="1" applyBorder="1" applyFill="1" applyFont="1">
      <alignment readingOrder="0"/>
    </xf>
    <xf borderId="22" fillId="2" fontId="2" numFmtId="0" xfId="0" applyAlignment="1" applyBorder="1" applyFill="1" applyFont="1">
      <alignment horizontal="center" readingOrder="0" vertical="bottom"/>
    </xf>
    <xf borderId="0" fillId="2" fontId="2" numFmtId="0" xfId="0" applyAlignment="1" applyFill="1" applyFont="1">
      <alignment horizontal="center" readingOrder="0" vertical="bottom"/>
    </xf>
    <xf borderId="26" fillId="0" fontId="11" numFmtId="0" xfId="0" applyAlignment="1" applyBorder="1" applyFont="1">
      <alignment horizontal="center" readingOrder="0"/>
    </xf>
    <xf borderId="19" fillId="5" fontId="2" numFmtId="0" xfId="0" applyAlignment="1" applyBorder="1" applyFill="1" applyFont="1">
      <alignment horizontal="center" readingOrder="0" vertical="bottom"/>
    </xf>
    <xf borderId="27" fillId="10" fontId="1" numFmtId="0" xfId="0" applyAlignment="1" applyBorder="1" applyFill="1" applyFont="1">
      <alignment horizontal="center"/>
    </xf>
    <xf borderId="28" fillId="0" fontId="2" numFmtId="0" xfId="0" applyBorder="1" applyFont="1"/>
    <xf borderId="19" fillId="11" fontId="2" numFmtId="0" xfId="0" applyAlignment="1" applyBorder="1" applyFill="1" applyFont="1">
      <alignment horizontal="left" vertical="bottom"/>
    </xf>
    <xf borderId="29" fillId="10" fontId="1" numFmtId="0" xfId="0" applyAlignment="1" applyBorder="1" applyFill="1" applyFont="1">
      <alignment readingOrder="0"/>
    </xf>
    <xf borderId="30" fillId="0" fontId="2" numFmtId="0" xfId="0" applyBorder="1" applyFont="1"/>
    <xf borderId="0" fillId="2" fontId="3" numFmtId="0" xfId="0" applyAlignment="1" applyFill="1" applyFont="1">
      <alignment horizontal="center" readingOrder="0" vertical="bottom"/>
    </xf>
    <xf borderId="31" fillId="10" fontId="1" numFmtId="0" xfId="0" applyAlignment="1" applyBorder="1" applyFill="1" applyFont="1">
      <alignment horizontal="center"/>
    </xf>
    <xf borderId="32" fillId="2" fontId="3" numFmtId="0" xfId="0" applyAlignment="1" applyBorder="1" applyFill="1" applyFont="1">
      <alignment horizontal="center" readingOrder="0" vertical="bottom"/>
    </xf>
    <xf borderId="22" fillId="2" fontId="2" numFmtId="0" xfId="0" applyAlignment="1" applyBorder="1" applyFill="1" applyFont="1">
      <alignment horizontal="center" vertical="bottom"/>
    </xf>
    <xf borderId="30" fillId="0" fontId="12" numFmtId="0" xfId="0" applyBorder="1" applyFont="1"/>
    <xf borderId="20" fillId="5" fontId="2" numFmtId="0" xfId="0" applyAlignment="1" applyBorder="1" applyFill="1" applyFont="1">
      <alignment horizontal="center" readingOrder="0" vertical="bottom"/>
    </xf>
    <xf borderId="15" fillId="0" fontId="1" numFmtId="0" xfId="0" applyBorder="1" applyFont="1"/>
    <xf borderId="20" fillId="11" fontId="2" numFmtId="0" xfId="0" applyAlignment="1" applyBorder="1" applyFill="1" applyFont="1">
      <alignment horizontal="left" vertical="bottom"/>
    </xf>
    <xf borderId="20" fillId="0" fontId="2" numFmtId="0" xfId="0" applyAlignment="1" applyBorder="1" applyFont="1">
      <alignment horizontal="left" readingOrder="0" shrinkToFit="0" vertical="top" wrapText="0"/>
    </xf>
    <xf borderId="22" fillId="12" fontId="2" numFmtId="0" xfId="0" applyAlignment="1" applyBorder="1" applyFill="1" applyFont="1">
      <alignment horizontal="center" readingOrder="0" vertical="bottom"/>
    </xf>
    <xf borderId="17" fillId="2" fontId="2" numFmtId="0" xfId="0" applyAlignment="1" applyBorder="1" applyFill="1" applyFont="1">
      <alignment horizontal="center" vertical="bottom"/>
    </xf>
    <xf borderId="15" fillId="0" fontId="1" numFmtId="0" xfId="0" applyAlignment="1" applyBorder="1" applyFont="1">
      <alignment readingOrder="0"/>
    </xf>
    <xf borderId="30" fillId="0" fontId="3" numFmtId="0" xfId="0" applyAlignment="1" applyBorder="1" applyFont="1">
      <alignment horizontal="center" readingOrder="0"/>
    </xf>
    <xf borderId="33" fillId="2" fontId="2" numFmtId="0" xfId="0" applyAlignment="1" applyBorder="1" applyFill="1" applyFont="1">
      <alignment horizontal="center" vertical="bottom"/>
    </xf>
    <xf borderId="20" fillId="0" fontId="2" numFmtId="0" xfId="0" applyAlignment="1" applyBorder="1" applyFont="1">
      <alignment readingOrder="0" vertical="bottom"/>
    </xf>
    <xf borderId="34" fillId="2" fontId="2" numFmtId="0" xfId="0" applyAlignment="1" applyBorder="1" applyFill="1" applyFont="1">
      <alignment horizontal="center" vertical="bottom"/>
    </xf>
    <xf borderId="26" fillId="0" fontId="8" numFmtId="0" xfId="0" applyAlignment="1" applyBorder="1" applyFont="1">
      <alignment horizontal="left" readingOrder="0" shrinkToFit="0" wrapText="0"/>
    </xf>
    <xf borderId="26" fillId="9" fontId="1" numFmtId="0" xfId="0" applyBorder="1" applyFill="1" applyFont="1"/>
    <xf borderId="26" fillId="9" fontId="1" numFmtId="0" xfId="0" applyAlignment="1" applyBorder="1" applyFill="1" applyFont="1">
      <alignment horizontal="center"/>
    </xf>
    <xf borderId="35" fillId="13" fontId="1" numFmtId="0" xfId="0" applyAlignment="1" applyBorder="1" applyFill="1" applyFont="1">
      <alignment readingOrder="0"/>
    </xf>
    <xf borderId="0" fillId="2" fontId="2" numFmtId="1" xfId="0" applyAlignment="1" applyFill="1" applyFont="1" applyNumberFormat="1">
      <alignment horizontal="center" vertical="bottom"/>
    </xf>
    <xf borderId="26" fillId="0" fontId="2" numFmtId="0" xfId="0" applyAlignment="1" applyBorder="1" applyFont="1">
      <alignment readingOrder="0" vertical="bottom"/>
    </xf>
    <xf borderId="36" fillId="0" fontId="2" numFmtId="0" xfId="0" applyBorder="1" applyFont="1"/>
    <xf borderId="37" fillId="14" fontId="1" numFmtId="0" xfId="0" applyAlignment="1" applyBorder="1" applyFill="1" applyFont="1">
      <alignment readingOrder="0"/>
    </xf>
    <xf borderId="38" fillId="13" fontId="1" numFmtId="0" xfId="0" applyAlignment="1" applyBorder="1" applyFill="1" applyFont="1">
      <alignment horizontal="center"/>
    </xf>
    <xf borderId="39" fillId="14" fontId="1" numFmtId="0" xfId="0" applyAlignment="1" applyBorder="1" applyFill="1" applyFont="1">
      <alignment horizontal="center"/>
    </xf>
    <xf borderId="32" fillId="2" fontId="3" numFmtId="0" xfId="0" applyAlignment="1" applyBorder="1" applyFill="1" applyFont="1">
      <alignment horizontal="center" vertical="bottom"/>
    </xf>
    <xf borderId="40" fillId="0" fontId="2" numFmtId="0" xfId="0" applyBorder="1" applyFont="1"/>
    <xf borderId="22" fillId="7" fontId="2" numFmtId="0" xfId="0" applyAlignment="1" applyBorder="1" applyFill="1" applyFont="1">
      <alignment horizontal="center" readingOrder="0" vertical="bottom"/>
    </xf>
    <xf borderId="22" fillId="11" fontId="2" numFmtId="0" xfId="0" applyAlignment="1" applyBorder="1" applyFill="1" applyFont="1">
      <alignment horizontal="center" readingOrder="0" vertical="bottom"/>
    </xf>
    <xf borderId="0" fillId="2" fontId="3" numFmtId="1" xfId="0" applyAlignment="1" applyFill="1" applyFont="1" applyNumberFormat="1">
      <alignment horizontal="center" vertical="bottom"/>
    </xf>
    <xf borderId="22" fillId="8" fontId="2" numFmtId="0" xfId="0" applyAlignment="1" applyBorder="1" applyFill="1" applyFont="1">
      <alignment horizontal="center" readingOrder="0" vertical="bottom"/>
    </xf>
    <xf borderId="41" fillId="2" fontId="2" numFmtId="0" xfId="0" applyAlignment="1" applyBorder="1" applyFill="1" applyFont="1">
      <alignment horizontal="center" vertical="bottom"/>
    </xf>
    <xf borderId="0" fillId="2" fontId="3" numFmtId="1" xfId="0" applyAlignment="1" applyFill="1" applyFont="1" applyNumberFormat="1">
      <alignment horizontal="center" readingOrder="0" vertical="bottom"/>
    </xf>
    <xf borderId="20" fillId="5" fontId="2" numFmtId="1" xfId="0" applyAlignment="1" applyBorder="1" applyFill="1" applyFont="1" applyNumberFormat="1">
      <alignment horizontal="center" readingOrder="0" vertical="bottom"/>
    </xf>
    <xf borderId="42" fillId="10" fontId="1" numFmtId="0" xfId="0" applyAlignment="1" applyBorder="1" applyFill="1" applyFont="1">
      <alignment horizontal="center"/>
    </xf>
    <xf borderId="22" fillId="15" fontId="2" numFmtId="0" xfId="0" applyAlignment="1" applyBorder="1" applyFill="1" applyFont="1">
      <alignment horizontal="center" readingOrder="0" vertical="bottom"/>
    </xf>
    <xf borderId="43" fillId="9" fontId="1" numFmtId="0" xfId="0" applyAlignment="1" applyBorder="1" applyFill="1" applyFont="1">
      <alignment horizontal="center"/>
    </xf>
    <xf borderId="44" fillId="10" fontId="1" numFmtId="0" xfId="0" applyAlignment="1" applyBorder="1" applyFill="1" applyFont="1">
      <alignment readingOrder="0"/>
    </xf>
    <xf borderId="22" fillId="5" fontId="2" numFmtId="0" xfId="0" applyAlignment="1" applyBorder="1" applyFill="1" applyFont="1">
      <alignment horizontal="center" readingOrder="0" vertical="bottom"/>
    </xf>
    <xf borderId="0" fillId="2" fontId="5" numFmtId="0" xfId="0" applyAlignment="1" applyFill="1" applyFont="1">
      <alignment horizontal="center" vertical="bottom"/>
    </xf>
    <xf borderId="45" fillId="10" fontId="1" numFmtId="0" xfId="0" applyAlignment="1" applyBorder="1" applyFill="1" applyFont="1">
      <alignment horizontal="center"/>
    </xf>
    <xf borderId="6" fillId="2" fontId="5" numFmtId="0" xfId="0" applyAlignment="1" applyBorder="1" applyFill="1" applyFont="1">
      <alignment horizontal="center" readingOrder="0" vertical="bottom"/>
    </xf>
    <xf borderId="22" fillId="16" fontId="2" numFmtId="0" xfId="0" applyAlignment="1" applyBorder="1" applyFill="1" applyFont="1">
      <alignment horizontal="center" readingOrder="0" vertical="bottom"/>
    </xf>
    <xf borderId="46" fillId="2" fontId="5" numFmtId="0" xfId="0" applyAlignment="1" applyBorder="1" applyFill="1" applyFont="1">
      <alignment horizontal="center" vertical="bottom"/>
    </xf>
    <xf borderId="19" fillId="7" fontId="2" numFmtId="0" xfId="0" applyAlignment="1" applyBorder="1" applyFill="1" applyFont="1">
      <alignment horizontal="left" vertical="bottom"/>
    </xf>
    <xf borderId="47" fillId="14" fontId="1" numFmtId="0" xfId="0" applyAlignment="1" applyBorder="1" applyFill="1" applyFont="1">
      <alignment readingOrder="0"/>
    </xf>
    <xf borderId="34" fillId="2" fontId="5" numFmtId="0" xfId="0" applyAlignment="1" applyBorder="1" applyFill="1" applyFont="1">
      <alignment horizontal="center" vertical="bottom"/>
    </xf>
    <xf borderId="48" fillId="14" fontId="1" numFmtId="0" xfId="0" applyAlignment="1" applyBorder="1" applyFill="1" applyFont="1">
      <alignment horizontal="center"/>
    </xf>
    <xf borderId="11" fillId="2" fontId="5" numFmtId="0" xfId="0" applyAlignment="1" applyBorder="1" applyFill="1" applyFont="1">
      <alignment horizontal="center" readingOrder="0" vertical="bottom"/>
    </xf>
    <xf borderId="0" fillId="2" fontId="1" numFmtId="0" xfId="0" applyAlignment="1" applyFill="1" applyFont="1">
      <alignment vertical="bottom"/>
    </xf>
    <xf borderId="49" fillId="2" fontId="2" numFmtId="0" xfId="0" applyAlignment="1" applyBorder="1" applyFill="1" applyFont="1">
      <alignment horizontal="center" readingOrder="0" vertical="bottom"/>
    </xf>
    <xf borderId="50" fillId="13" fontId="1" numFmtId="0" xfId="0" applyAlignment="1" applyBorder="1" applyFill="1" applyFont="1">
      <alignment readingOrder="0"/>
    </xf>
    <xf borderId="6" fillId="6" fontId="5" numFmtId="0" xfId="0" applyAlignment="1" applyBorder="1" applyFill="1" applyFont="1">
      <alignment horizontal="center" vertical="bottom"/>
    </xf>
    <xf borderId="51" fillId="13" fontId="1" numFmtId="0" xfId="0" applyAlignment="1" applyBorder="1" applyFill="1" applyFont="1">
      <alignment horizontal="center"/>
    </xf>
    <xf borderId="0" fillId="2" fontId="1" numFmtId="0" xfId="0" applyAlignment="1" applyFill="1" applyFont="1">
      <alignment horizontal="center" vertical="bottom"/>
    </xf>
    <xf borderId="15" fillId="5" fontId="1" numFmtId="0" xfId="0" applyAlignment="1" applyBorder="1" applyFill="1" applyFont="1">
      <alignment horizontal="center" readingOrder="0" vertical="bottom"/>
    </xf>
    <xf borderId="22" fillId="4" fontId="1" numFmtId="0" xfId="0" applyAlignment="1" applyBorder="1" applyFill="1" applyFont="1">
      <alignment horizontal="center" readingOrder="0" vertical="bottom"/>
    </xf>
    <xf borderId="22" fillId="0" fontId="4" numFmtId="0" xfId="0" applyBorder="1" applyFont="1"/>
    <xf borderId="22" fillId="2" fontId="1" numFmtId="0" xfId="0" applyAlignment="1" applyBorder="1" applyFill="1" applyFont="1">
      <alignment horizontal="center" readingOrder="0" vertical="bottom"/>
    </xf>
    <xf borderId="0" fillId="4" fontId="1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horizontal="center" readingOrder="0" vertical="bottom"/>
    </xf>
    <xf borderId="0" fillId="4" fontId="1" numFmtId="0" xfId="0" applyAlignment="1" applyFill="1" applyFont="1">
      <alignment readingOrder="0" vertical="bottom"/>
    </xf>
    <xf borderId="0" fillId="2" fontId="1" numFmtId="0" xfId="0" applyAlignment="1" applyFill="1" applyFont="1">
      <alignment readingOrder="0" vertical="bottom"/>
    </xf>
    <xf borderId="19" fillId="5" fontId="1" numFmtId="0" xfId="0" applyAlignment="1" applyBorder="1" applyFill="1" applyFont="1">
      <alignment horizontal="center" readingOrder="0" vertical="bottom"/>
    </xf>
    <xf borderId="0" fillId="14" fontId="2" numFmtId="0" xfId="0" applyAlignment="1" applyFill="1" applyFont="1">
      <alignment horizontal="center" readingOrder="0" vertical="bottom"/>
    </xf>
    <xf borderId="52" fillId="9" fontId="1" numFmtId="0" xfId="0" applyBorder="1" applyFill="1" applyFont="1"/>
    <xf borderId="19" fillId="11" fontId="1" numFmtId="0" xfId="0" applyAlignment="1" applyBorder="1" applyFill="1" applyFont="1">
      <alignment horizontal="left" vertical="bottom"/>
    </xf>
    <xf borderId="53" fillId="10" fontId="1" numFmtId="0" xfId="0" applyAlignment="1" applyBorder="1" applyFill="1" applyFont="1">
      <alignment horizontal="center"/>
    </xf>
    <xf borderId="0" fillId="2" fontId="5" numFmtId="0" xfId="0" applyAlignment="1" applyFill="1" applyFont="1">
      <alignment horizontal="center" readingOrder="0" vertical="bottom"/>
    </xf>
    <xf borderId="17" fillId="2" fontId="3" numFmtId="0" xfId="0" applyAlignment="1" applyBorder="1" applyFill="1" applyFont="1">
      <alignment horizontal="center" readingOrder="0" vertical="bottom"/>
    </xf>
    <xf borderId="41" fillId="2" fontId="1" numFmtId="0" xfId="0" applyAlignment="1" applyBorder="1" applyFill="1" applyFont="1">
      <alignment vertical="bottom"/>
    </xf>
    <xf borderId="52" fillId="9" fontId="1" numFmtId="0" xfId="0" applyAlignment="1" applyBorder="1" applyFill="1" applyFont="1">
      <alignment readingOrder="0"/>
    </xf>
    <xf borderId="33" fillId="2" fontId="1" numFmtId="0" xfId="0" applyAlignment="1" applyBorder="1" applyFill="1" applyFont="1">
      <alignment horizontal="center" vertical="bottom"/>
    </xf>
    <xf borderId="18" fillId="2" fontId="1" numFmtId="0" xfId="0" applyAlignment="1" applyBorder="1" applyFill="1" applyFont="1">
      <alignment horizontal="center" vertical="bottom"/>
    </xf>
    <xf borderId="33" fillId="2" fontId="1" numFmtId="0" xfId="0" applyAlignment="1" applyBorder="1" applyFill="1" applyFont="1">
      <alignment vertical="bottom"/>
    </xf>
    <xf borderId="18" fillId="2" fontId="1" numFmtId="0" xfId="0" applyAlignment="1" applyBorder="1" applyFill="1" applyFont="1">
      <alignment vertical="bottom"/>
    </xf>
    <xf borderId="19" fillId="4" fontId="2" numFmtId="0" xfId="0" applyAlignment="1" applyBorder="1" applyFill="1" applyFont="1">
      <alignment horizontal="left" vertical="bottom"/>
    </xf>
    <xf borderId="20" fillId="5" fontId="1" numFmtId="0" xfId="0" applyAlignment="1" applyBorder="1" applyFill="1" applyFont="1">
      <alignment horizontal="center" readingOrder="0" vertical="bottom"/>
    </xf>
    <xf borderId="20" fillId="11" fontId="1" numFmtId="0" xfId="0" applyAlignment="1" applyBorder="1" applyFill="1" applyFont="1">
      <alignment horizontal="left" vertical="bottom"/>
    </xf>
    <xf borderId="22" fillId="12" fontId="1" numFmtId="0" xfId="0" applyAlignment="1" applyBorder="1" applyFill="1" applyFont="1">
      <alignment horizontal="center" readingOrder="0" vertical="bottom"/>
    </xf>
    <xf borderId="49" fillId="2" fontId="1" numFmtId="0" xfId="0" applyAlignment="1" applyBorder="1" applyFill="1" applyFont="1">
      <alignment horizontal="center" readingOrder="0" vertical="bottom"/>
    </xf>
    <xf borderId="41" fillId="2" fontId="1" numFmtId="0" xfId="0" applyAlignment="1" applyBorder="1" applyFill="1" applyFont="1">
      <alignment horizontal="center" vertical="bottom"/>
    </xf>
    <xf borderId="54" fillId="0" fontId="1" numFmtId="0" xfId="0" applyBorder="1" applyFont="1"/>
    <xf borderId="55" fillId="0" fontId="1" numFmtId="0" xfId="0" applyBorder="1" applyFont="1"/>
    <xf borderId="22" fillId="7" fontId="1" numFmtId="0" xfId="0" applyAlignment="1" applyBorder="1" applyFill="1" applyFont="1">
      <alignment horizontal="center" readingOrder="0" vertical="bottom"/>
    </xf>
    <xf borderId="41" fillId="2" fontId="2" numFmtId="1" xfId="0" applyAlignment="1" applyBorder="1" applyFill="1" applyFont="1" applyNumberFormat="1">
      <alignment horizontal="center" vertical="bottom"/>
    </xf>
    <xf borderId="56" fillId="0" fontId="1" numFmtId="0" xfId="0" applyBorder="1" applyFont="1"/>
    <xf borderId="22" fillId="11" fontId="1" numFmtId="0" xfId="0" applyAlignment="1" applyBorder="1" applyFill="1" applyFont="1">
      <alignment horizontal="center" readingOrder="0" vertical="bottom"/>
    </xf>
    <xf borderId="22" fillId="2" fontId="2" numFmtId="1" xfId="0" applyAlignment="1" applyBorder="1" applyFill="1" applyFont="1" applyNumberFormat="1">
      <alignment horizontal="center" readingOrder="0" vertical="bottom"/>
    </xf>
    <xf borderId="14" fillId="12" fontId="5" numFmtId="0" xfId="0" applyAlignment="1" applyBorder="1" applyFill="1" applyFont="1">
      <alignment readingOrder="0"/>
    </xf>
    <xf borderId="18" fillId="2" fontId="2" numFmtId="0" xfId="0" applyAlignment="1" applyBorder="1" applyFill="1" applyFont="1">
      <alignment horizontal="center" vertical="bottom"/>
    </xf>
    <xf borderId="0" fillId="2" fontId="1" numFmtId="1" xfId="0" applyAlignment="1" applyFill="1" applyFont="1" applyNumberFormat="1">
      <alignment vertical="bottom"/>
    </xf>
    <xf borderId="6" fillId="12" fontId="1" numFmtId="0" xfId="0" applyAlignment="1" applyBorder="1" applyFill="1" applyFont="1">
      <alignment readingOrder="0"/>
    </xf>
    <xf borderId="34" fillId="12" fontId="2" numFmtId="0" xfId="0" applyAlignment="1" applyBorder="1" applyFill="1" applyFont="1">
      <alignment horizontal="center" readingOrder="0" vertical="bottom"/>
    </xf>
    <xf borderId="22" fillId="14" fontId="1" numFmtId="0" xfId="0" applyAlignment="1" applyBorder="1" applyFill="1" applyFont="1">
      <alignment horizontal="center" readingOrder="0" vertical="bottom"/>
    </xf>
    <xf borderId="14" fillId="12" fontId="1" numFmtId="0" xfId="0" applyAlignment="1" applyBorder="1" applyFill="1" applyFont="1">
      <alignment readingOrder="0"/>
    </xf>
    <xf borderId="14" fillId="11" fontId="5" numFmtId="0" xfId="0" applyAlignment="1" applyBorder="1" applyFill="1" applyFont="1">
      <alignment readingOrder="0"/>
    </xf>
    <xf borderId="26" fillId="5" fontId="1" numFmtId="0" xfId="0" applyAlignment="1" applyBorder="1" applyFill="1" applyFont="1">
      <alignment horizontal="center" readingOrder="0" vertical="bottom"/>
    </xf>
    <xf borderId="57" fillId="17" fontId="2" numFmtId="0" xfId="0" applyAlignment="1" applyBorder="1" applyFill="1" applyFont="1">
      <alignment horizontal="center" vertical="bottom"/>
    </xf>
    <xf borderId="6" fillId="11" fontId="1" numFmtId="0" xfId="0" applyAlignment="1" applyBorder="1" applyFill="1" applyFont="1">
      <alignment readingOrder="0"/>
    </xf>
    <xf borderId="26" fillId="11" fontId="1" numFmtId="0" xfId="0" applyAlignment="1" applyBorder="1" applyFill="1" applyFont="1">
      <alignment horizontal="left" vertical="bottom"/>
    </xf>
    <xf borderId="58" fillId="2" fontId="2" numFmtId="0" xfId="0" applyAlignment="1" applyBorder="1" applyFill="1" applyFont="1">
      <alignment horizontal="center" vertical="bottom"/>
    </xf>
    <xf borderId="14" fillId="11" fontId="1" numFmtId="0" xfId="0" applyAlignment="1" applyBorder="1" applyFill="1" applyFont="1">
      <alignment readingOrder="0"/>
    </xf>
    <xf borderId="34" fillId="7" fontId="2" numFmtId="0" xfId="0" applyAlignment="1" applyBorder="1" applyFill="1" applyFont="1">
      <alignment horizontal="center" readingOrder="0" vertical="bottom"/>
    </xf>
    <xf borderId="22" fillId="8" fontId="1" numFmtId="0" xfId="0" applyAlignment="1" applyBorder="1" applyFill="1" applyFont="1">
      <alignment horizontal="center" readingOrder="0" vertical="bottom"/>
    </xf>
    <xf borderId="49" fillId="2" fontId="2" numFmtId="1" xfId="0" applyAlignment="1" applyBorder="1" applyFill="1" applyFont="1" applyNumberFormat="1">
      <alignment horizontal="center" readingOrder="0" vertical="bottom"/>
    </xf>
    <xf borderId="0" fillId="7" fontId="1" numFmtId="0" xfId="0" applyAlignment="1" applyFill="1" applyFont="1">
      <alignment horizontal="center" readingOrder="0" vertical="bottom"/>
    </xf>
    <xf borderId="59" fillId="18" fontId="1" numFmtId="0" xfId="0" applyAlignment="1" applyBorder="1" applyFill="1" applyFont="1">
      <alignment readingOrder="0"/>
    </xf>
    <xf borderId="34" fillId="11" fontId="2" numFmtId="0" xfId="0" applyAlignment="1" applyBorder="1" applyFill="1" applyFont="1">
      <alignment horizontal="center" readingOrder="0" vertical="bottom"/>
    </xf>
    <xf borderId="0" fillId="2" fontId="5" numFmtId="1" xfId="0" applyAlignment="1" applyFill="1" applyFont="1" applyNumberFormat="1">
      <alignment horizontal="center" vertical="bottom"/>
    </xf>
    <xf borderId="60" fillId="18" fontId="1" numFmtId="0" xfId="0" applyAlignment="1" applyBorder="1" applyFill="1" applyFont="1">
      <alignment horizontal="center"/>
    </xf>
    <xf borderId="0" fillId="2" fontId="12" numFmtId="0" xfId="0" applyFill="1" applyFont="1"/>
    <xf borderId="19" fillId="4" fontId="1" numFmtId="1" xfId="0" applyAlignment="1" applyBorder="1" applyFill="1" applyFont="1" applyNumberFormat="1">
      <alignment horizontal="left" vertical="bottom"/>
    </xf>
    <xf borderId="26" fillId="5" fontId="2" numFmtId="0" xfId="0" applyAlignment="1" applyBorder="1" applyFill="1" applyFont="1">
      <alignment horizontal="center" readingOrder="0" vertical="bottom"/>
    </xf>
    <xf borderId="46" fillId="4" fontId="2" numFmtId="0" xfId="0" applyAlignment="1" applyBorder="1" applyFill="1" applyFont="1">
      <alignment horizontal="left" vertical="bottom"/>
    </xf>
    <xf borderId="0" fillId="2" fontId="5" numFmtId="1" xfId="0" applyAlignment="1" applyFill="1" applyFont="1" applyNumberFormat="1">
      <alignment horizontal="center" readingOrder="0" vertical="bottom"/>
    </xf>
    <xf borderId="33" fillId="2" fontId="2" numFmtId="0" xfId="0" applyAlignment="1" applyBorder="1" applyFill="1" applyFont="1">
      <alignment vertical="bottom"/>
    </xf>
    <xf borderId="20" fillId="5" fontId="1" numFmtId="1" xfId="0" applyAlignment="1" applyBorder="1" applyFill="1" applyFont="1" applyNumberFormat="1">
      <alignment horizontal="center" readingOrder="0" vertical="bottom"/>
    </xf>
    <xf borderId="20" fillId="4" fontId="1" numFmtId="0" xfId="0" applyAlignment="1" applyBorder="1" applyFill="1" applyFont="1">
      <alignment horizontal="left" vertical="bottom"/>
    </xf>
    <xf borderId="61" fillId="19" fontId="1" numFmtId="0" xfId="0" applyAlignment="1" applyBorder="1" applyFill="1" applyFont="1">
      <alignment readingOrder="0"/>
    </xf>
    <xf borderId="34" fillId="8" fontId="2" numFmtId="0" xfId="0" applyAlignment="1" applyBorder="1" applyFill="1" applyFont="1">
      <alignment horizontal="center" readingOrder="0" vertical="bottom"/>
    </xf>
    <xf borderId="22" fillId="15" fontId="1" numFmtId="0" xfId="0" applyAlignment="1" applyBorder="1" applyFill="1" applyFont="1">
      <alignment horizontal="center" readingOrder="0" vertical="bottom"/>
    </xf>
    <xf borderId="62" fillId="19" fontId="1" numFmtId="0" xfId="0" applyAlignment="1" applyBorder="1" applyFill="1" applyFont="1">
      <alignment horizontal="center"/>
    </xf>
    <xf borderId="34" fillId="15" fontId="2" numFmtId="0" xfId="0" applyAlignment="1" applyBorder="1" applyFill="1" applyFont="1">
      <alignment horizontal="center" readingOrder="0" vertical="bottom"/>
    </xf>
    <xf borderId="22" fillId="5" fontId="1" numFmtId="0" xfId="0" applyAlignment="1" applyBorder="1" applyFill="1" applyFont="1">
      <alignment horizontal="center" readingOrder="0" vertical="bottom"/>
    </xf>
    <xf borderId="34" fillId="5" fontId="2" numFmtId="0" xfId="0" applyAlignment="1" applyBorder="1" applyFill="1" applyFont="1">
      <alignment horizontal="center" readingOrder="0" vertical="bottom"/>
    </xf>
    <xf borderId="22" fillId="16" fontId="1" numFmtId="0" xfId="0" applyAlignment="1" applyBorder="1" applyFill="1" applyFont="1">
      <alignment horizontal="center" readingOrder="0" vertical="bottom"/>
    </xf>
    <xf borderId="34" fillId="16" fontId="2" numFmtId="0" xfId="0" applyAlignment="1" applyBorder="1" applyFill="1" applyFont="1">
      <alignment horizontal="center" readingOrder="0" vertical="bottom"/>
    </xf>
    <xf borderId="22" fillId="12" fontId="1" numFmtId="0" xfId="0" applyAlignment="1" applyBorder="1" applyFill="1" applyFont="1">
      <alignment readingOrder="0" vertical="bottom"/>
    </xf>
    <xf borderId="32" fillId="16" fontId="2" numFmtId="0" xfId="0" applyAlignment="1" applyBorder="1" applyFill="1" applyFont="1">
      <alignment horizontal="center" readingOrder="0" vertical="bottom"/>
    </xf>
    <xf borderId="49" fillId="2" fontId="1" numFmtId="0" xfId="0" applyAlignment="1" applyBorder="1" applyFill="1" applyFont="1">
      <alignment readingOrder="0" vertical="bottom"/>
    </xf>
    <xf borderId="63" fillId="18" fontId="1" numFmtId="0" xfId="0" applyAlignment="1" applyBorder="1" applyFill="1" applyFont="1">
      <alignment readingOrder="0"/>
    </xf>
    <xf borderId="24" fillId="5" fontId="1" numFmtId="0" xfId="0" applyAlignment="1" applyBorder="1" applyFill="1" applyFont="1">
      <alignment horizontal="center" readingOrder="0" vertical="bottom"/>
    </xf>
    <xf borderId="26" fillId="4" fontId="1" numFmtId="0" xfId="0" applyAlignment="1" applyBorder="1" applyFill="1" applyFont="1">
      <alignment horizontal="left" vertical="bottom"/>
    </xf>
    <xf borderId="53" fillId="18" fontId="1" numFmtId="0" xfId="0" applyAlignment="1" applyBorder="1" applyFill="1" applyFont="1">
      <alignment horizontal="center"/>
    </xf>
    <xf borderId="24" fillId="4" fontId="1" numFmtId="0" xfId="0" applyAlignment="1" applyBorder="1" applyFill="1" applyFont="1">
      <alignment horizontal="left" vertical="bottom"/>
    </xf>
    <xf borderId="6" fillId="6" fontId="5" numFmtId="0" xfId="0" applyAlignment="1" applyBorder="1" applyFill="1" applyFont="1">
      <alignment horizontal="center" readingOrder="0" vertical="bottom"/>
    </xf>
    <xf borderId="33" fillId="2" fontId="1" numFmtId="0" xfId="0" applyAlignment="1" applyBorder="1" applyFill="1" applyFont="1">
      <alignment horizontal="center" readingOrder="0" vertical="bottom"/>
    </xf>
    <xf borderId="0" fillId="0" fontId="12" numFmtId="0" xfId="0" applyFont="1"/>
    <xf borderId="33" fillId="2" fontId="1" numFmtId="0" xfId="0" applyAlignment="1" applyBorder="1" applyFill="1" applyFont="1">
      <alignment horizontal="left" readingOrder="0" vertical="bottom"/>
    </xf>
    <xf borderId="19" fillId="2" fontId="1" numFmtId="0" xfId="0" applyAlignment="1" applyBorder="1" applyFill="1" applyFont="1">
      <alignment horizontal="center" readingOrder="0" vertical="bottom"/>
    </xf>
    <xf borderId="2" fillId="0" fontId="1" numFmtId="0" xfId="0" applyAlignment="1" applyBorder="1" applyFont="1">
      <alignment horizontal="center"/>
    </xf>
    <xf borderId="64" fillId="19" fontId="1" numFmtId="0" xfId="0" applyAlignment="1" applyBorder="1" applyFill="1" applyFont="1">
      <alignment readingOrder="0"/>
    </xf>
    <xf borderId="19" fillId="2" fontId="1" numFmtId="0" xfId="0" applyAlignment="1" applyBorder="1" applyFill="1" applyFont="1">
      <alignment horizontal="left" readingOrder="0" vertical="bottom"/>
    </xf>
    <xf borderId="3" fillId="0" fontId="1" numFmtId="0" xfId="0" applyAlignment="1" applyBorder="1" applyFont="1">
      <alignment horizontal="center"/>
    </xf>
    <xf borderId="19" fillId="11" fontId="1" numFmtId="0" xfId="0" applyAlignment="1" applyBorder="1" applyFill="1" applyFont="1">
      <alignment horizontal="center" readingOrder="0" vertical="bottom"/>
    </xf>
    <xf borderId="65" fillId="19" fontId="1" numFmtId="0" xfId="0" applyAlignment="1" applyBorder="1" applyFill="1" applyFont="1">
      <alignment horizontal="center"/>
    </xf>
    <xf borderId="28" fillId="0" fontId="1" numFmtId="0" xfId="0" applyAlignment="1" applyBorder="1" applyFont="1">
      <alignment horizontal="center"/>
    </xf>
    <xf borderId="19" fillId="11" fontId="1" numFmtId="0" xfId="0" applyAlignment="1" applyBorder="1" applyFill="1" applyFont="1">
      <alignment horizontal="left" readingOrder="0" vertical="bottom"/>
    </xf>
    <xf borderId="5" fillId="0" fontId="1" numFmtId="0" xfId="0" applyAlignment="1" applyBorder="1" applyFont="1">
      <alignment readingOrder="0"/>
    </xf>
    <xf borderId="66" fillId="0" fontId="1" numFmtId="0" xfId="0" applyAlignment="1" applyBorder="1" applyFont="1">
      <alignment horizontal="center"/>
    </xf>
    <xf borderId="0" fillId="2" fontId="1" numFmtId="0" xfId="0" applyAlignment="1" applyFill="1" applyFont="1">
      <alignment horizontal="left" readingOrder="0" vertical="bottom"/>
    </xf>
    <xf borderId="8" fillId="0" fontId="1" numFmtId="0" xfId="0" applyAlignment="1" applyBorder="1" applyFont="1">
      <alignment horizontal="center"/>
    </xf>
    <xf borderId="20" fillId="2" fontId="1" numFmtId="0" xfId="0" applyAlignment="1" applyBorder="1" applyFill="1" applyFont="1">
      <alignment horizontal="center" readingOrder="0" vertical="bottom"/>
    </xf>
    <xf borderId="6" fillId="6" fontId="5" numFmtId="0" xfId="0" applyAlignment="1" applyBorder="1" applyFill="1" applyFont="1">
      <alignment horizontal="center" readingOrder="0"/>
    </xf>
    <xf borderId="20" fillId="2" fontId="1" numFmtId="0" xfId="0" applyAlignment="1" applyBorder="1" applyFill="1" applyFont="1">
      <alignment horizontal="left" readingOrder="0" vertical="bottom"/>
    </xf>
    <xf borderId="13" fillId="0" fontId="1" numFmtId="0" xfId="0" applyAlignment="1" applyBorder="1" applyFont="1">
      <alignment horizontal="center"/>
    </xf>
    <xf borderId="67" fillId="0" fontId="1" numFmtId="0" xfId="0" applyAlignment="1" applyBorder="1" applyFont="1">
      <alignment horizontal="center"/>
    </xf>
    <xf borderId="3" fillId="0" fontId="8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center" readingOrder="0"/>
    </xf>
    <xf borderId="14" fillId="15" fontId="5" numFmtId="0" xfId="0" applyAlignment="1" applyBorder="1" applyFill="1" applyFont="1">
      <alignment readingOrder="0"/>
    </xf>
    <xf borderId="20" fillId="11" fontId="1" numFmtId="0" xfId="0" applyAlignment="1" applyBorder="1" applyFill="1" applyFont="1">
      <alignment horizontal="center" readingOrder="0" vertical="bottom"/>
    </xf>
    <xf borderId="30" fillId="0" fontId="1" numFmtId="0" xfId="0" applyAlignment="1" applyBorder="1" applyFont="1">
      <alignment horizontal="center"/>
    </xf>
    <xf borderId="6" fillId="15" fontId="1" numFmtId="0" xfId="0" applyAlignment="1" applyBorder="1" applyFill="1" applyFont="1">
      <alignment readingOrder="0"/>
    </xf>
    <xf borderId="20" fillId="11" fontId="1" numFmtId="0" xfId="0" applyAlignment="1" applyBorder="1" applyFill="1" applyFont="1">
      <alignment horizontal="left" readingOrder="0" vertical="bottom"/>
    </xf>
    <xf borderId="68" fillId="0" fontId="1" numFmtId="0" xfId="0" applyAlignment="1" applyBorder="1" applyFont="1">
      <alignment horizontal="center"/>
    </xf>
    <xf borderId="14" fillId="15" fontId="1" numFmtId="0" xfId="0" applyAlignment="1" applyBorder="1" applyFill="1" applyFont="1">
      <alignment readingOrder="0"/>
    </xf>
    <xf borderId="26" fillId="11" fontId="1" numFmtId="0" xfId="0" applyAlignment="1" applyBorder="1" applyFill="1" applyFont="1">
      <alignment horizontal="center" readingOrder="0" vertical="bottom"/>
    </xf>
    <xf borderId="6" fillId="10" fontId="6" numFmtId="0" xfId="0" applyAlignment="1" applyBorder="1" applyFill="1" applyFont="1">
      <alignment horizontal="center" readingOrder="0" shrinkToFit="0" wrapText="0"/>
    </xf>
    <xf borderId="26" fillId="11" fontId="1" numFmtId="0" xfId="0" applyAlignment="1" applyBorder="1" applyFill="1" applyFont="1">
      <alignment horizontal="left" readingOrder="0" vertical="bottom"/>
    </xf>
    <xf borderId="15" fillId="4" fontId="8" numFmtId="0" xfId="0" applyAlignment="1" applyBorder="1" applyFill="1" applyFont="1">
      <alignment horizontal="center" readingOrder="0" shrinkToFit="0" wrapText="0"/>
    </xf>
    <xf borderId="0" fillId="2" fontId="1" numFmtId="0" xfId="0" applyAlignment="1" applyFill="1" applyFont="1">
      <alignment horizontal="left" vertical="bottom"/>
    </xf>
    <xf borderId="15" fillId="4" fontId="1" numFmtId="0" xfId="0" applyAlignment="1" applyBorder="1" applyFill="1" applyFont="1">
      <alignment horizontal="center" readingOrder="0"/>
    </xf>
    <xf borderId="19" fillId="4" fontId="1" numFmtId="0" xfId="0" applyAlignment="1" applyBorder="1" applyFill="1" applyFont="1">
      <alignment horizontal="center" readingOrder="0" vertical="bottom"/>
    </xf>
    <xf borderId="19" fillId="4" fontId="1" numFmtId="0" xfId="0" applyAlignment="1" applyBorder="1" applyFill="1" applyFont="1">
      <alignment horizontal="left" readingOrder="0" vertical="bottom"/>
    </xf>
    <xf borderId="16" fillId="0" fontId="8" numFmtId="0" xfId="0" applyAlignment="1" applyBorder="1" applyFont="1">
      <alignment horizontal="center" readingOrder="0" shrinkToFit="0" wrapText="0"/>
    </xf>
    <xf borderId="26" fillId="2" fontId="1" numFmtId="0" xfId="0" applyAlignment="1" applyBorder="1" applyFill="1" applyFont="1">
      <alignment horizontal="center" readingOrder="0" vertical="bottom"/>
    </xf>
    <xf borderId="16" fillId="0" fontId="1" numFmtId="0" xfId="0" applyAlignment="1" applyBorder="1" applyFont="1">
      <alignment horizontal="center" readingOrder="0"/>
    </xf>
    <xf borderId="26" fillId="2" fontId="1" numFmtId="0" xfId="0" applyAlignment="1" applyBorder="1" applyFill="1" applyFont="1">
      <alignment horizontal="left" readingOrder="0" vertical="bottom"/>
    </xf>
    <xf borderId="26" fillId="4" fontId="1" numFmtId="0" xfId="0" applyAlignment="1" applyBorder="1" applyFill="1" applyFont="1">
      <alignment horizontal="center" readingOrder="0" vertical="bottom"/>
    </xf>
    <xf borderId="20" fillId="0" fontId="8" numFmtId="0" xfId="0" applyAlignment="1" applyBorder="1" applyFont="1">
      <alignment horizontal="center" readingOrder="0" shrinkToFit="0" wrapText="0"/>
    </xf>
    <xf borderId="26" fillId="4" fontId="1" numFmtId="0" xfId="0" applyAlignment="1" applyBorder="1" applyFill="1" applyFont="1">
      <alignment horizontal="left" readingOrder="0" vertical="bottom"/>
    </xf>
    <xf borderId="20" fillId="0" fontId="1" numFmtId="0" xfId="0" applyAlignment="1" applyBorder="1" applyFont="1">
      <alignment horizontal="center" readingOrder="0"/>
    </xf>
    <xf borderId="69" fillId="20" fontId="1" numFmtId="0" xfId="0" applyAlignment="1" applyBorder="1" applyFill="1" applyFont="1">
      <alignment readingOrder="0"/>
    </xf>
    <xf borderId="26" fillId="0" fontId="8" numFmtId="0" xfId="0" applyAlignment="1" applyBorder="1" applyFont="1">
      <alignment horizontal="center" readingOrder="0" shrinkToFit="0" wrapText="0"/>
    </xf>
    <xf borderId="70" fillId="20" fontId="1" numFmtId="0" xfId="0" applyAlignment="1" applyBorder="1" applyFill="1" applyFont="1">
      <alignment horizontal="center"/>
    </xf>
    <xf borderId="0" fillId="2" fontId="1" numFmtId="1" xfId="0" applyAlignment="1" applyFill="1" applyFont="1" applyNumberFormat="1">
      <alignment readingOrder="0" vertical="bottom"/>
    </xf>
    <xf borderId="26" fillId="0" fontId="1" numFmtId="0" xfId="0" applyAlignment="1" applyBorder="1" applyFont="1">
      <alignment horizontal="center" readingOrder="0"/>
    </xf>
    <xf borderId="20" fillId="4" fontId="1" numFmtId="0" xfId="0" applyAlignment="1" applyBorder="1" applyFill="1" applyFont="1">
      <alignment horizontal="center" readingOrder="0" vertical="bottom"/>
    </xf>
    <xf borderId="10" fillId="0" fontId="8" numFmtId="0" xfId="0" applyAlignment="1" applyBorder="1" applyFont="1">
      <alignment horizontal="center" readingOrder="0" shrinkToFit="0" wrapText="0"/>
    </xf>
    <xf borderId="10" fillId="0" fontId="1" numFmtId="0" xfId="0" applyAlignment="1" applyBorder="1" applyFont="1">
      <alignment horizontal="center"/>
    </xf>
    <xf borderId="20" fillId="4" fontId="1" numFmtId="0" xfId="0" applyAlignment="1" applyBorder="1" applyFill="1" applyFont="1">
      <alignment horizontal="left" readingOrder="0" vertical="bottom"/>
    </xf>
    <xf borderId="6" fillId="18" fontId="6" numFmtId="0" xfId="0" applyAlignment="1" applyBorder="1" applyFill="1" applyFont="1">
      <alignment horizontal="center" readingOrder="0" shrinkToFit="0" wrapText="0"/>
    </xf>
    <xf borderId="0" fillId="0" fontId="1" numFmtId="0" xfId="0" applyFont="1"/>
    <xf borderId="71" fillId="0" fontId="1" numFmtId="0" xfId="0" applyAlignment="1" applyBorder="1" applyFont="1">
      <alignment horizontal="center"/>
    </xf>
    <xf borderId="15" fillId="16" fontId="5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16" fillId="4" fontId="1" numFmtId="0" xfId="0" applyAlignment="1" applyBorder="1" applyFill="1" applyFont="1">
      <alignment readingOrder="0"/>
    </xf>
    <xf borderId="0" fillId="2" fontId="13" numFmtId="0" xfId="0" applyAlignment="1" applyFill="1" applyFont="1">
      <alignment horizontal="center" vertical="bottom"/>
    </xf>
    <xf borderId="16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/>
    </xf>
    <xf borderId="72" fillId="0" fontId="1" numFmtId="0" xfId="0" applyAlignment="1" applyBorder="1" applyFont="1">
      <alignment horizontal="center"/>
    </xf>
    <xf borderId="20" fillId="4" fontId="1" numFmtId="0" xfId="0" applyAlignment="1" applyBorder="1" applyFill="1" applyFont="1">
      <alignment readingOrder="0"/>
    </xf>
    <xf borderId="15" fillId="12" fontId="8" numFmtId="0" xfId="0" applyAlignment="1" applyBorder="1" applyFill="1" applyFont="1">
      <alignment horizontal="center" readingOrder="0" shrinkToFit="0" wrapText="0"/>
    </xf>
    <xf borderId="15" fillId="12" fontId="1" numFmtId="0" xfId="0" applyAlignment="1" applyBorder="1" applyFill="1" applyFont="1">
      <alignment horizontal="center" readingOrder="0"/>
    </xf>
    <xf borderId="20" fillId="0" fontId="1" numFmtId="0" xfId="0" applyAlignment="1" applyBorder="1" applyFont="1">
      <alignment readingOrder="0"/>
    </xf>
    <xf borderId="55" fillId="0" fontId="1" numFmtId="0" xfId="0" applyAlignment="1" applyBorder="1" applyFont="1">
      <alignment horizontal="center"/>
    </xf>
    <xf borderId="73" fillId="20" fontId="1" numFmtId="0" xfId="0" applyAlignment="1" applyBorder="1" applyFill="1" applyFont="1">
      <alignment readingOrder="0"/>
    </xf>
    <xf borderId="6" fillId="14" fontId="6" numFmtId="0" xfId="0" applyAlignment="1" applyBorder="1" applyFill="1" applyFont="1">
      <alignment horizontal="center" readingOrder="0" shrinkToFit="0" wrapText="0"/>
    </xf>
    <xf borderId="74" fillId="20" fontId="1" numFmtId="0" xfId="0" applyAlignment="1" applyBorder="1" applyFill="1" applyFont="1">
      <alignment horizontal="center"/>
    </xf>
    <xf borderId="15" fillId="7" fontId="8" numFmtId="0" xfId="0" applyAlignment="1" applyBorder="1" applyFill="1" applyFont="1">
      <alignment horizontal="center" readingOrder="0" shrinkToFit="0" wrapText="0"/>
    </xf>
    <xf borderId="15" fillId="7" fontId="1" numFmtId="0" xfId="0" applyAlignment="1" applyBorder="1" applyFill="1" applyFont="1">
      <alignment horizontal="center" readingOrder="0"/>
    </xf>
    <xf borderId="75" fillId="0" fontId="1" numFmtId="0" xfId="0" applyBorder="1" applyFont="1"/>
    <xf borderId="24" fillId="4" fontId="1" numFmtId="0" xfId="0" applyAlignment="1" applyBorder="1" applyFill="1" applyFont="1">
      <alignment readingOrder="0"/>
    </xf>
    <xf borderId="10" fillId="0" fontId="1" numFmtId="0" xfId="0" applyAlignment="1" applyBorder="1" applyFont="1">
      <alignment horizontal="center" readingOrder="0"/>
    </xf>
    <xf borderId="24" fillId="0" fontId="1" numFmtId="0" xfId="0" applyAlignment="1" applyBorder="1" applyFont="1">
      <alignment readingOrder="0"/>
    </xf>
    <xf borderId="6" fillId="19" fontId="6" numFmtId="0" xfId="0" applyAlignment="1" applyBorder="1" applyFill="1" applyFont="1">
      <alignment horizontal="center" readingOrder="0" shrinkToFit="0" wrapText="0"/>
    </xf>
    <xf borderId="15" fillId="11" fontId="8" numFmtId="0" xfId="0" applyAlignment="1" applyBorder="1" applyFill="1" applyFont="1">
      <alignment horizontal="center" readingOrder="0" shrinkToFit="0" wrapText="0"/>
    </xf>
    <xf borderId="15" fillId="11" fontId="1" numFmtId="0" xfId="0" applyAlignment="1" applyBorder="1" applyFill="1" applyFont="1">
      <alignment horizontal="center" readingOrder="0"/>
    </xf>
    <xf borderId="16" fillId="12" fontId="1" numFmtId="0" xfId="0" applyAlignment="1" applyBorder="1" applyFill="1" applyFont="1">
      <alignment readingOrder="0"/>
    </xf>
    <xf borderId="56" fillId="0" fontId="6" numFmtId="0" xfId="0" applyAlignment="1" applyBorder="1" applyFont="1">
      <alignment horizontal="center" readingOrder="0" shrinkToFit="0" wrapText="0"/>
    </xf>
    <xf borderId="13" fillId="0" fontId="4" numFmtId="0" xfId="0" applyBorder="1" applyFont="1"/>
    <xf borderId="54" fillId="0" fontId="4" numFmtId="0" xfId="0" applyBorder="1" applyFont="1"/>
    <xf borderId="16" fillId="0" fontId="1" numFmtId="0" xfId="0" applyBorder="1" applyFont="1"/>
    <xf borderId="55" fillId="0" fontId="8" numFmtId="0" xfId="0" applyAlignment="1" applyBorder="1" applyFont="1">
      <alignment horizontal="center" readingOrder="0" shrinkToFit="0" wrapText="0"/>
    </xf>
    <xf borderId="55" fillId="0" fontId="1" numFmtId="0" xfId="0" applyAlignment="1" applyBorder="1" applyFont="1">
      <alignment horizontal="center" readingOrder="0"/>
    </xf>
    <xf borderId="20" fillId="12" fontId="1" numFmtId="0" xfId="0" applyAlignment="1" applyBorder="1" applyFill="1" applyFont="1">
      <alignment readingOrder="0"/>
    </xf>
    <xf borderId="20" fillId="0" fontId="1" numFmtId="0" xfId="0" applyBorder="1" applyFont="1"/>
    <xf borderId="6" fillId="13" fontId="6" numFmtId="0" xfId="0" applyAlignment="1" applyBorder="1" applyFill="1" applyFont="1">
      <alignment horizontal="center" readingOrder="0" shrinkToFit="0" wrapText="0"/>
    </xf>
    <xf borderId="15" fillId="8" fontId="8" numFmtId="0" xfId="0" applyAlignment="1" applyBorder="1" applyFill="1" applyFont="1">
      <alignment horizontal="center" readingOrder="0" shrinkToFit="0" wrapText="0"/>
    </xf>
    <xf borderId="15" fillId="8" fontId="1" numFmtId="0" xfId="0" applyAlignment="1" applyBorder="1" applyFill="1" applyFont="1">
      <alignment horizontal="center" readingOrder="0"/>
    </xf>
    <xf borderId="26" fillId="12" fontId="1" numFmtId="0" xfId="0" applyAlignment="1" applyBorder="1" applyFill="1" applyFont="1">
      <alignment readingOrder="0"/>
    </xf>
    <xf borderId="26" fillId="0" fontId="1" numFmtId="0" xfId="0" applyBorder="1" applyFont="1"/>
    <xf borderId="6" fillId="20" fontId="6" numFmtId="0" xfId="0" applyAlignment="1" applyBorder="1" applyFill="1" applyFont="1">
      <alignment horizontal="center" readingOrder="0" shrinkToFit="0" wrapText="0"/>
    </xf>
    <xf borderId="19" fillId="7" fontId="1" numFmtId="0" xfId="0" applyAlignment="1" applyBorder="1" applyFill="1" applyFont="1">
      <alignment readingOrder="0"/>
    </xf>
    <xf borderId="15" fillId="15" fontId="8" numFmtId="0" xfId="0" applyAlignment="1" applyBorder="1" applyFill="1" applyFont="1">
      <alignment horizontal="center" readingOrder="0" shrinkToFit="0" wrapText="0"/>
    </xf>
    <xf borderId="19" fillId="0" fontId="1" numFmtId="0" xfId="0" applyBorder="1" applyFont="1"/>
    <xf borderId="15" fillId="15" fontId="1" numFmtId="0" xfId="0" applyAlignment="1" applyBorder="1" applyFill="1" applyFont="1">
      <alignment horizontal="center" readingOrder="0"/>
    </xf>
    <xf borderId="20" fillId="7" fontId="1" numFmtId="0" xfId="0" applyAlignment="1" applyBorder="1" applyFill="1" applyFont="1">
      <alignment readingOrder="0"/>
    </xf>
    <xf borderId="6" fillId="6" fontId="6" numFmtId="0" xfId="0" applyAlignment="1" applyBorder="1" applyFill="1" applyFont="1">
      <alignment horizontal="center" readingOrder="0" shrinkToFit="0" wrapText="0"/>
    </xf>
    <xf borderId="24" fillId="7" fontId="1" numFmtId="0" xfId="0" applyAlignment="1" applyBorder="1" applyFill="1" applyFont="1">
      <alignment readingOrder="0"/>
    </xf>
    <xf borderId="15" fillId="5" fontId="8" numFmtId="0" xfId="0" applyAlignment="1" applyBorder="1" applyFill="1" applyFont="1">
      <alignment horizontal="center" readingOrder="0" shrinkToFit="0" wrapText="0"/>
    </xf>
    <xf borderId="15" fillId="5" fontId="1" numFmtId="0" xfId="0" applyAlignment="1" applyBorder="1" applyFill="1" applyFont="1">
      <alignment horizontal="center" readingOrder="0"/>
    </xf>
    <xf borderId="24" fillId="0" fontId="1" numFmtId="0" xfId="0" applyBorder="1" applyFont="1"/>
    <xf borderId="16" fillId="11" fontId="1" numFmtId="0" xfId="0" applyAlignment="1" applyBorder="1" applyFill="1" applyFont="1">
      <alignment readingOrder="0"/>
    </xf>
    <xf borderId="6" fillId="21" fontId="6" numFmtId="0" xfId="0" applyAlignment="1" applyBorder="1" applyFill="1" applyFont="1">
      <alignment horizontal="center" readingOrder="0" shrinkToFit="0" wrapText="0"/>
    </xf>
    <xf borderId="15" fillId="16" fontId="8" numFmtId="0" xfId="0" applyAlignment="1" applyBorder="1" applyFill="1" applyFont="1">
      <alignment horizontal="center" readingOrder="0" shrinkToFit="0" wrapText="0"/>
    </xf>
    <xf borderId="20" fillId="11" fontId="1" numFmtId="0" xfId="0" applyAlignment="1" applyBorder="1" applyFill="1" applyFont="1">
      <alignment readingOrder="0"/>
    </xf>
    <xf borderId="15" fillId="16" fontId="1" numFmtId="0" xfId="0" applyAlignment="1" applyBorder="1" applyFill="1" applyFont="1">
      <alignment horizontal="center" readingOrder="0"/>
    </xf>
    <xf borderId="26" fillId="11" fontId="1" numFmtId="0" xfId="0" applyAlignment="1" applyBorder="1" applyFill="1" applyFont="1">
      <alignment readingOrder="0"/>
    </xf>
    <xf borderId="19" fillId="8" fontId="1" numFmtId="0" xfId="0" applyAlignment="1" applyBorder="1" applyFill="1" applyFont="1">
      <alignment readingOrder="0"/>
    </xf>
    <xf borderId="76" fillId="0" fontId="1" numFmtId="0" xfId="0" applyAlignment="1" applyBorder="1" applyFont="1">
      <alignment horizontal="center"/>
    </xf>
    <xf borderId="20" fillId="8" fontId="1" numFmtId="0" xfId="0" applyAlignment="1" applyBorder="1" applyFill="1" applyFont="1">
      <alignment readingOrder="0"/>
    </xf>
    <xf borderId="77" fillId="0" fontId="1" numFmtId="0" xfId="0" applyAlignment="1" applyBorder="1" applyFont="1">
      <alignment horizontal="center"/>
    </xf>
    <xf borderId="24" fillId="8" fontId="1" numFmtId="0" xfId="0" applyAlignment="1" applyBorder="1" applyFill="1" applyFont="1">
      <alignment readingOrder="0"/>
    </xf>
    <xf borderId="16" fillId="15" fontId="1" numFmtId="0" xfId="0" applyAlignment="1" applyBorder="1" applyFill="1" applyFont="1">
      <alignment readingOrder="0"/>
    </xf>
    <xf borderId="20" fillId="15" fontId="1" numFmtId="0" xfId="0" applyAlignment="1" applyBorder="1" applyFill="1" applyFont="1">
      <alignment readingOrder="0"/>
    </xf>
    <xf borderId="26" fillId="15" fontId="1" numFmtId="0" xfId="0" applyAlignment="1" applyBorder="1" applyFill="1" applyFont="1">
      <alignment readingOrder="0"/>
    </xf>
    <xf borderId="19" fillId="5" fontId="1" numFmtId="0" xfId="0" applyAlignment="1" applyBorder="1" applyFill="1" applyFont="1">
      <alignment readingOrder="0"/>
    </xf>
    <xf borderId="20" fillId="5" fontId="1" numFmtId="0" xfId="0" applyAlignment="1" applyBorder="1" applyFill="1" applyFont="1">
      <alignment readingOrder="0"/>
    </xf>
    <xf borderId="0" fillId="0" fontId="12" numFmtId="0" xfId="0" applyAlignment="1" applyFont="1">
      <alignment readingOrder="0"/>
    </xf>
    <xf borderId="24" fillId="5" fontId="1" numFmtId="0" xfId="0" applyAlignment="1" applyBorder="1" applyFill="1" applyFont="1">
      <alignment readingOrder="0"/>
    </xf>
    <xf borderId="16" fillId="16" fontId="1" numFmtId="0" xfId="0" applyAlignment="1" applyBorder="1" applyFill="1" applyFont="1">
      <alignment readingOrder="0"/>
    </xf>
    <xf borderId="20" fillId="16" fontId="1" numFmtId="0" xfId="0" applyAlignment="1" applyBorder="1" applyFill="1" applyFont="1">
      <alignment readingOrder="0"/>
    </xf>
    <xf borderId="26" fillId="16" fontId="1" numFmtId="0" xfId="0" applyAlignment="1" applyBorder="1" applyFill="1" applyFont="1">
      <alignment readingOrder="0"/>
    </xf>
    <xf borderId="17" fillId="11" fontId="1" numFmtId="0" xfId="0" applyAlignment="1" applyBorder="1" applyFill="1" applyFont="1">
      <alignment readingOrder="0"/>
    </xf>
    <xf borderId="14" fillId="5" fontId="5" numFmtId="0" xfId="0" applyAlignment="1" applyBorder="1" applyFill="1" applyFont="1">
      <alignment readingOrder="0"/>
    </xf>
    <xf borderId="6" fillId="5" fontId="1" numFmtId="0" xfId="0" applyAlignment="1" applyBorder="1" applyFill="1" applyFont="1">
      <alignment readingOrder="0"/>
    </xf>
    <xf borderId="14" fillId="5" fontId="1" numFmtId="0" xfId="0" applyAlignment="1" applyBorder="1" applyFill="1" applyFont="1">
      <alignment readingOrder="0"/>
    </xf>
    <xf borderId="78" fillId="6" fontId="1" numFmtId="0" xfId="0" applyAlignment="1" applyBorder="1" applyFill="1" applyFont="1">
      <alignment readingOrder="0"/>
    </xf>
    <xf borderId="79" fillId="6" fontId="1" numFmtId="0" xfId="0" applyAlignment="1" applyBorder="1" applyFill="1" applyFont="1">
      <alignment horizontal="center"/>
    </xf>
    <xf borderId="80" fillId="6" fontId="1" numFmtId="0" xfId="0" applyAlignment="1" applyBorder="1" applyFill="1" applyFont="1">
      <alignment readingOrder="0"/>
    </xf>
    <xf borderId="81" fillId="6" fontId="1" numFmtId="0" xfId="0" applyAlignment="1" applyBorder="1" applyFill="1" applyFont="1">
      <alignment horizontal="center"/>
    </xf>
    <xf borderId="14" fillId="11" fontId="5" numFmtId="0" xfId="0" applyAlignment="1" applyBorder="1" applyFill="1" applyFont="1">
      <alignment horizontal="left" readingOrder="0"/>
    </xf>
    <xf borderId="14" fillId="16" fontId="5" numFmtId="0" xfId="0" applyAlignment="1" applyBorder="1" applyFill="1" applyFont="1">
      <alignment readingOrder="0"/>
    </xf>
    <xf borderId="6" fillId="16" fontId="1" numFmtId="0" xfId="0" applyAlignment="1" applyBorder="1" applyFill="1" applyFont="1">
      <alignment readingOrder="0"/>
    </xf>
    <xf borderId="14" fillId="16" fontId="1" numFmtId="0" xfId="0" applyAlignment="1" applyBorder="1" applyFill="1" applyFont="1">
      <alignment readingOrder="0"/>
    </xf>
    <xf borderId="82" fillId="21" fontId="1" numFmtId="0" xfId="0" applyAlignment="1" applyBorder="1" applyFill="1" applyFont="1">
      <alignment readingOrder="0"/>
    </xf>
    <xf borderId="83" fillId="21" fontId="1" numFmtId="0" xfId="0" applyAlignment="1" applyBorder="1" applyFill="1" applyFont="1">
      <alignment horizontal="center"/>
    </xf>
    <xf borderId="80" fillId="21" fontId="1" numFmtId="0" xfId="0" applyAlignment="1" applyBorder="1" applyFill="1" applyFont="1">
      <alignment readingOrder="0"/>
    </xf>
    <xf borderId="81" fillId="21" fontId="1" numFmtId="0" xfId="0" applyAlignment="1" applyBorder="1" applyFill="1" applyFont="1">
      <alignment horizontal="center"/>
    </xf>
    <xf borderId="84" fillId="21" fontId="1" numFmtId="0" xfId="0" applyAlignment="1" applyBorder="1" applyFill="1" applyFont="1">
      <alignment readingOrder="0"/>
    </xf>
    <xf borderId="85" fillId="21" fontId="1" numFmtId="0" xfId="0" applyAlignment="1" applyBorder="1" applyFill="1" applyFont="1">
      <alignment horizontal="center"/>
    </xf>
    <xf borderId="86" fillId="0" fontId="1" numFmtId="0" xfId="0" applyBorder="1" applyFont="1"/>
    <xf borderId="87" fillId="0" fontId="1" numFmtId="0" xfId="0" applyBorder="1" applyFont="1"/>
    <xf borderId="88" fillId="0" fontId="1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8</xdr:row>
      <xdr:rowOff>104775</xdr:rowOff>
    </xdr:from>
    <xdr:ext cx="1685925" cy="1685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6.5"/>
    <col customWidth="1" min="3" max="3" width="15.0"/>
    <col customWidth="1" min="4" max="4" width="14.5"/>
    <col customWidth="1" min="5" max="5" width="2.88"/>
    <col customWidth="1" min="6" max="6" width="22.13"/>
    <col customWidth="1" min="7" max="7" width="2.88"/>
  </cols>
  <sheetData>
    <row r="1">
      <c r="A1" s="2"/>
      <c r="B1" s="3"/>
      <c r="C1" s="3"/>
      <c r="D1" s="3"/>
      <c r="E1" s="4"/>
      <c r="F1" s="8"/>
      <c r="G1" s="4"/>
    </row>
    <row r="2">
      <c r="A2" s="9"/>
      <c r="B2" s="12" t="s">
        <v>1</v>
      </c>
      <c r="C2" s="13"/>
      <c r="D2" s="10"/>
      <c r="E2" s="9"/>
      <c r="F2" s="17" t="s">
        <v>10</v>
      </c>
      <c r="G2" s="9"/>
    </row>
    <row r="3">
      <c r="A3" s="9"/>
      <c r="B3" s="18" t="s">
        <v>13</v>
      </c>
      <c r="C3" s="18" t="s">
        <v>16</v>
      </c>
      <c r="D3" s="18" t="s">
        <v>17</v>
      </c>
      <c r="E3" s="9"/>
      <c r="F3" s="21" t="s">
        <v>18</v>
      </c>
      <c r="G3" s="9"/>
    </row>
    <row r="4">
      <c r="A4" s="9"/>
      <c r="B4" s="27" t="s">
        <v>21</v>
      </c>
      <c r="C4" s="27" t="s">
        <v>37</v>
      </c>
      <c r="D4" s="27" t="s">
        <v>37</v>
      </c>
      <c r="E4" s="9"/>
      <c r="F4" s="33" t="s">
        <v>38</v>
      </c>
      <c r="G4" s="9"/>
    </row>
    <row r="5">
      <c r="A5" s="9"/>
      <c r="B5" s="35" t="s">
        <v>44</v>
      </c>
      <c r="C5" s="35" t="s">
        <v>46</v>
      </c>
      <c r="D5" s="35" t="s">
        <v>46</v>
      </c>
      <c r="E5" s="9"/>
      <c r="F5" s="33" t="s">
        <v>47</v>
      </c>
      <c r="G5" s="9"/>
    </row>
    <row r="6">
      <c r="A6" s="9"/>
      <c r="B6" s="35" t="s">
        <v>49</v>
      </c>
      <c r="C6" s="35" t="s">
        <v>51</v>
      </c>
      <c r="D6" s="35" t="s">
        <v>51</v>
      </c>
      <c r="E6" s="9"/>
      <c r="F6" s="40" t="s">
        <v>52</v>
      </c>
      <c r="G6" s="9"/>
    </row>
    <row r="7">
      <c r="A7" s="9"/>
      <c r="B7" s="35" t="s">
        <v>56</v>
      </c>
      <c r="C7" s="35" t="s">
        <v>57</v>
      </c>
      <c r="D7" s="35" t="s">
        <v>57</v>
      </c>
      <c r="E7" s="9"/>
      <c r="F7" s="45" t="s">
        <v>58</v>
      </c>
      <c r="G7" s="9"/>
    </row>
    <row r="8">
      <c r="A8" s="9"/>
      <c r="B8" s="35" t="s">
        <v>59</v>
      </c>
      <c r="C8" s="35" t="s">
        <v>60</v>
      </c>
      <c r="D8" s="35" t="s">
        <v>61</v>
      </c>
      <c r="E8" s="9"/>
      <c r="F8" s="48"/>
      <c r="G8" s="9"/>
    </row>
    <row r="9">
      <c r="A9" s="9"/>
      <c r="B9" s="35" t="s">
        <v>62</v>
      </c>
      <c r="C9" s="35" t="s">
        <v>63</v>
      </c>
      <c r="D9" s="35" t="s">
        <v>64</v>
      </c>
      <c r="E9" s="9"/>
      <c r="F9" s="51"/>
      <c r="G9" s="9"/>
    </row>
    <row r="10">
      <c r="A10" s="9"/>
      <c r="B10" s="35" t="s">
        <v>66</v>
      </c>
      <c r="C10" s="35" t="s">
        <v>61</v>
      </c>
      <c r="D10" s="35" t="s">
        <v>67</v>
      </c>
      <c r="E10" s="9"/>
      <c r="F10" s="51"/>
      <c r="G10" s="9"/>
    </row>
    <row r="11">
      <c r="A11" s="9"/>
      <c r="B11" s="35" t="s">
        <v>68</v>
      </c>
      <c r="C11" s="35" t="s">
        <v>69</v>
      </c>
      <c r="D11" s="35" t="s">
        <v>70</v>
      </c>
      <c r="E11" s="9"/>
      <c r="F11" s="51"/>
      <c r="G11" s="9"/>
    </row>
    <row r="12">
      <c r="A12" s="9"/>
      <c r="B12" s="35" t="s">
        <v>71</v>
      </c>
      <c r="C12" s="35" t="s">
        <v>72</v>
      </c>
      <c r="D12" s="35" t="s">
        <v>73</v>
      </c>
      <c r="E12" s="9"/>
      <c r="F12" s="51"/>
      <c r="G12" s="9"/>
    </row>
    <row r="13">
      <c r="A13" s="9"/>
      <c r="B13" s="35" t="s">
        <v>74</v>
      </c>
      <c r="C13" s="35" t="s">
        <v>75</v>
      </c>
      <c r="D13" s="35" t="s">
        <v>76</v>
      </c>
      <c r="E13" s="9"/>
      <c r="F13" s="51"/>
      <c r="G13" s="9"/>
    </row>
    <row r="14">
      <c r="A14" s="9"/>
      <c r="B14" s="35" t="s">
        <v>77</v>
      </c>
      <c r="C14" s="35" t="s">
        <v>79</v>
      </c>
      <c r="D14" s="35" t="s">
        <v>80</v>
      </c>
      <c r="E14" s="9"/>
      <c r="F14" s="51"/>
      <c r="G14" s="9"/>
    </row>
    <row r="15">
      <c r="A15" s="9"/>
      <c r="B15" s="35" t="s">
        <v>81</v>
      </c>
      <c r="C15" s="35" t="s">
        <v>82</v>
      </c>
      <c r="D15" s="35" t="s">
        <v>83</v>
      </c>
      <c r="E15" s="9"/>
      <c r="F15" s="51"/>
      <c r="G15" s="9"/>
    </row>
    <row r="16">
      <c r="A16" s="9"/>
      <c r="B16" s="35" t="s">
        <v>84</v>
      </c>
      <c r="C16" s="35" t="s">
        <v>83</v>
      </c>
      <c r="D16" s="35" t="s">
        <v>85</v>
      </c>
      <c r="E16" s="9"/>
      <c r="F16" s="56"/>
      <c r="G16" s="9"/>
    </row>
    <row r="17">
      <c r="A17" s="9"/>
      <c r="B17" s="35" t="s">
        <v>86</v>
      </c>
      <c r="C17" s="35" t="s">
        <v>87</v>
      </c>
      <c r="D17" s="35" t="s">
        <v>88</v>
      </c>
      <c r="E17" s="9"/>
      <c r="F17" s="56"/>
      <c r="G17" s="9"/>
    </row>
    <row r="18">
      <c r="A18" s="9"/>
      <c r="B18" s="35" t="s">
        <v>89</v>
      </c>
      <c r="C18" s="35" t="s">
        <v>90</v>
      </c>
      <c r="D18" s="60" t="s">
        <v>88</v>
      </c>
      <c r="E18" s="9"/>
      <c r="F18" s="64"/>
      <c r="G18" s="9"/>
    </row>
    <row r="19">
      <c r="A19" s="9"/>
      <c r="B19" s="35" t="s">
        <v>93</v>
      </c>
      <c r="C19" s="35" t="s">
        <v>94</v>
      </c>
      <c r="D19" s="60" t="s">
        <v>88</v>
      </c>
      <c r="E19" s="9"/>
      <c r="F19" s="64" t="s">
        <v>95</v>
      </c>
      <c r="G19" s="9"/>
    </row>
    <row r="20">
      <c r="A20" s="9"/>
      <c r="B20" s="35" t="s">
        <v>96</v>
      </c>
      <c r="C20" s="35" t="s">
        <v>97</v>
      </c>
      <c r="D20" s="60" t="s">
        <v>88</v>
      </c>
      <c r="E20" s="9"/>
      <c r="F20" s="64" t="s">
        <v>98</v>
      </c>
      <c r="G20" s="9"/>
    </row>
    <row r="21">
      <c r="A21" s="9"/>
      <c r="B21" s="35" t="s">
        <v>99</v>
      </c>
      <c r="C21" s="66" t="s">
        <v>100</v>
      </c>
      <c r="D21" s="66" t="s">
        <v>88</v>
      </c>
      <c r="E21" s="9"/>
      <c r="F21" s="64" t="s">
        <v>101</v>
      </c>
      <c r="G21" s="9"/>
    </row>
    <row r="22">
      <c r="A22" s="9"/>
      <c r="B22" s="68" t="s">
        <v>102</v>
      </c>
      <c r="C22" s="73" t="s">
        <v>103</v>
      </c>
      <c r="D22" s="73" t="s">
        <v>103</v>
      </c>
      <c r="E22" s="9"/>
      <c r="F22" s="51"/>
      <c r="G22" s="9"/>
    </row>
    <row r="23">
      <c r="A23" s="74"/>
      <c r="B23" s="3"/>
      <c r="C23" s="3"/>
      <c r="D23" s="3"/>
      <c r="E23" s="79"/>
      <c r="F23" s="8"/>
      <c r="G23" s="79"/>
    </row>
  </sheetData>
  <mergeCells count="1">
    <mergeCell ref="B2:D2"/>
  </mergeCells>
  <hyperlinks>
    <hyperlink display="High School Round Robin" location="'HS RR'!A1" ref="F3"/>
    <hyperlink display="High School Double Elimination" location="'HS DE'!A1" ref="F4"/>
    <hyperlink display="Middle School Round Robin" location="'MS RR'!A1" ref="F5"/>
    <hyperlink display="Middle School Swiss" location="'MS SW'!A1" ref="F6"/>
    <hyperlink display="Round Robin Schedule" location="'RR Schedule'!A1" ref="F7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5.13"/>
    <col customWidth="1" min="3" max="3" width="12.38"/>
    <col customWidth="1" min="4" max="4" width="2.88"/>
    <col customWidth="1" min="5" max="5" width="12.38"/>
    <col customWidth="1" min="6" max="6" width="2.88"/>
    <col customWidth="1" min="7" max="7" width="12.38"/>
    <col customWidth="1" min="8" max="8" width="2.88"/>
    <col customWidth="1" min="9" max="9" width="12.38"/>
    <col customWidth="1" min="10" max="10" width="2.88"/>
    <col customWidth="1" min="11" max="11" width="12.38"/>
    <col customWidth="1" min="12" max="12" width="2.88"/>
    <col customWidth="1" min="13" max="13" width="12.38"/>
    <col customWidth="1" min="14" max="14" width="2.88"/>
    <col customWidth="1" min="15" max="19" width="6.38"/>
    <col customWidth="1" min="20" max="20" width="2.88"/>
    <col customWidth="1" min="21" max="21" width="15.13"/>
    <col customWidth="1" min="22" max="22" width="12.38"/>
    <col customWidth="1" min="23" max="23" width="2.88"/>
    <col customWidth="1" min="24" max="24" width="12.38"/>
    <col customWidth="1" min="25" max="25" width="2.88"/>
    <col customWidth="1" min="26" max="26" width="12.38"/>
    <col customWidth="1" min="27" max="27" width="2.88"/>
    <col customWidth="1" min="28" max="28" width="12.38"/>
    <col customWidth="1" min="29" max="29" width="2.88"/>
    <col customWidth="1" min="30" max="30" width="12.38"/>
    <col customWidth="1" min="31" max="31" width="2.88"/>
    <col customWidth="1" min="32" max="32" width="12.38"/>
    <col customWidth="1" min="33" max="33" width="2.88"/>
    <col customWidth="1" min="34" max="38" width="6.38"/>
    <col customWidth="1" min="39" max="39" width="2.88"/>
  </cols>
  <sheetData>
    <row r="1">
      <c r="A1" s="1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1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14"/>
    </row>
    <row r="2">
      <c r="A2" s="15"/>
      <c r="B2" s="16" t="s">
        <v>14</v>
      </c>
      <c r="C2" s="19" t="s">
        <v>15</v>
      </c>
      <c r="D2" s="10"/>
      <c r="E2" s="23" t="s">
        <v>19</v>
      </c>
      <c r="F2" s="24"/>
      <c r="G2" s="19" t="s">
        <v>31</v>
      </c>
      <c r="H2" s="10"/>
      <c r="I2" s="19" t="s">
        <v>33</v>
      </c>
      <c r="J2" s="10"/>
      <c r="K2" s="19" t="s">
        <v>34</v>
      </c>
      <c r="L2" s="10"/>
      <c r="M2" s="19" t="s">
        <v>35</v>
      </c>
      <c r="N2" s="10"/>
      <c r="O2" s="25" t="s">
        <v>25</v>
      </c>
      <c r="P2" s="25" t="s">
        <v>26</v>
      </c>
      <c r="Q2" s="25" t="s">
        <v>27</v>
      </c>
      <c r="R2" s="25" t="s">
        <v>28</v>
      </c>
      <c r="S2" s="25" t="s">
        <v>29</v>
      </c>
      <c r="T2" s="15"/>
      <c r="U2" s="30" t="s">
        <v>36</v>
      </c>
      <c r="V2" s="36" t="s">
        <v>43</v>
      </c>
      <c r="W2" s="10"/>
      <c r="X2" s="36" t="s">
        <v>48</v>
      </c>
      <c r="Y2" s="10"/>
      <c r="Z2" s="36" t="s">
        <v>50</v>
      </c>
      <c r="AA2" s="10"/>
      <c r="AB2" s="36" t="s">
        <v>53</v>
      </c>
      <c r="AC2" s="10"/>
      <c r="AD2" s="36" t="s">
        <v>54</v>
      </c>
      <c r="AE2" s="10"/>
      <c r="AF2" s="36" t="s">
        <v>55</v>
      </c>
      <c r="AG2" s="10"/>
      <c r="AH2" s="42" t="s">
        <v>25</v>
      </c>
      <c r="AI2" s="42" t="s">
        <v>26</v>
      </c>
      <c r="AJ2" s="42" t="s">
        <v>27</v>
      </c>
      <c r="AK2" s="42" t="s">
        <v>28</v>
      </c>
      <c r="AL2" s="42" t="s">
        <v>29</v>
      </c>
      <c r="AM2" s="32"/>
    </row>
    <row r="3">
      <c r="A3" s="15"/>
      <c r="B3" s="19" t="s">
        <v>15</v>
      </c>
      <c r="C3" s="37"/>
      <c r="D3" s="39"/>
      <c r="E3" s="41">
        <v>34.0</v>
      </c>
      <c r="F3" s="47" t="str">
        <f>if(E3&gt;C4,"W",if(E3&lt;C4,"L",if(isblank(E3),"","T")))</f>
        <v>W</v>
      </c>
      <c r="G3" s="50">
        <v>14.0</v>
      </c>
      <c r="H3" s="53" t="str">
        <f>if(G3&gt;C5,"W",if(G3&lt;C5,"L",if(isblank(G3),"","T")))</f>
        <v>L</v>
      </c>
      <c r="I3" s="41">
        <v>18.0</v>
      </c>
      <c r="J3" s="47" t="str">
        <f>if(I3&gt;C6,"W",if(I3&lt;C6,"L",if(isblank(I3),"","T")))</f>
        <v>L</v>
      </c>
      <c r="K3" s="50">
        <v>52.0</v>
      </c>
      <c r="L3" s="53" t="str">
        <f>if(K3&gt;C7,"W",if(K3&lt;C7,"L",if(isblank(K3),"","T")))</f>
        <v>W</v>
      </c>
      <c r="M3" s="41">
        <v>-4.0</v>
      </c>
      <c r="N3" s="47" t="str">
        <f>if(M3&gt;C8,"W",if(M3&lt;C8,"L",if(isblank(C8),"","T")))</f>
        <v>L</v>
      </c>
      <c r="O3" s="58">
        <f t="shared" ref="O3:O8" si="1">SUM(C3:N3)</f>
        <v>114</v>
      </c>
      <c r="P3" s="58">
        <f t="shared" ref="P3:P8" si="2">COUNTIF(C3:N3, "*W*")</f>
        <v>2</v>
      </c>
      <c r="Q3" s="58">
        <f t="shared" ref="Q3:Q8" si="3">COUNTIF(C3:N3, "*T*")</f>
        <v>0</v>
      </c>
      <c r="R3" s="63">
        <f t="shared" ref="R3:R8" si="4">COUNTIF(C3:N3, "*L*")</f>
        <v>3</v>
      </c>
      <c r="S3" s="63">
        <f>0.015*SUM(O3:O8)+IF(F3="W",150+E3,IF(F3="T",100+E3,IF(F3="L",IF((C4-E3)&lt;80,80-(C4-E3),0),0)))+IF(H3="W",150+G3,IF(H3="T",100+G3,IF(H3="L",IF((C5-G3)&lt;80,80-(C5-G3),0),0)))+IF(J3="W",150+I3,IF(J3="T",100+I3,IF(J3="L",IF((C6-I3)&lt;80,80-(C6-I3),0),0)))+IF(L3="W",150+K3,IF(L3="T",100+K3,IF(L3="L",IF((C7-K3)&lt;80,80-(C7-K3),0),0)))+IF(N3="W",150+M3,IF(N3="T",100+M3,IF(N3="L",IF((C8-M3)&lt;80,80-(C8-M3),0),0)))</f>
        <v>421.76</v>
      </c>
      <c r="T3" s="15"/>
      <c r="U3" s="36" t="s">
        <v>43</v>
      </c>
      <c r="V3" s="69"/>
      <c r="W3" s="70"/>
      <c r="X3" s="71">
        <v>46.0</v>
      </c>
      <c r="Y3" s="76" t="str">
        <f>if(X3&gt;V4,"W",if(X3&lt;V4,"L",if(isblank(X3),"","T")))</f>
        <v>L</v>
      </c>
      <c r="Z3" s="71">
        <v>22.0</v>
      </c>
      <c r="AA3" s="76" t="str">
        <f>if(Z3&gt;V5,"W",if(Z3&lt;V5,"L",if(isblank(Z3),"","T")))</f>
        <v>L</v>
      </c>
      <c r="AB3" s="71">
        <v>24.0</v>
      </c>
      <c r="AC3" s="76" t="str">
        <f>if(AB3&gt;V6,"W",if(AB3&lt;V6,"L",if(isblank(AB3),"","T")))</f>
        <v>L</v>
      </c>
      <c r="AD3" s="71">
        <v>16.0</v>
      </c>
      <c r="AE3" s="76" t="str">
        <f>if(AD3&gt;V7,"W",if(AD3&lt;V7,"L",if(isblank(AD3),"","T")))</f>
        <v>L</v>
      </c>
      <c r="AF3" s="71">
        <v>56.0</v>
      </c>
      <c r="AG3" s="76" t="str">
        <f>if(AF3&gt;V8,"W",if(AF3&lt;V8,"L",if(isblank(V8),"","T")))</f>
        <v>W</v>
      </c>
      <c r="AH3" s="58">
        <f t="shared" ref="AH3:AH8" si="5">SUM(V3:AG3)</f>
        <v>164</v>
      </c>
      <c r="AI3" s="58">
        <f t="shared" ref="AI3:AI8" si="6">COUNTIF(V3:AG3, "*W*")</f>
        <v>1</v>
      </c>
      <c r="AJ3" s="58">
        <f t="shared" ref="AJ3:AJ8" si="7">COUNTIF(V3:AG3, "*T*")</f>
        <v>0</v>
      </c>
      <c r="AK3" s="63">
        <f t="shared" ref="AK3:AK8" si="8">COUNTIF(V3:AG3, "*L*")</f>
        <v>4</v>
      </c>
      <c r="AL3" s="63">
        <f>0.015*SUM(AH3:AH8)+IF(Y3="W",150+X3,IF(Y3="T",100+X3,IF(Y3="L",IF((V4-X3)&lt;80,80-(V4-X3),0),0)))+IF(AA3="W",150+Z3,IF(AA3="T",100+Z3,IF(AA3="L",IF((V5-Z3)&lt;80,80-(V5-Z3),0),0)))+IF(AC3="W",150+AB3,IF(AC3="T",100+AB3,IF(AC3="L",IF((V6-AB3)&lt;80,80-(V6-AB3),0),0)))+IF(AE3="W",150+AD3,IF(AE3="T",100+AD3,IF(AE3="L",IF((V7-AD3)&lt;80,80-(V7-AD3),0),0)))+IF(AG3="W",150+AF3,IF(AG3="T",100+AF3,IF(AG3="L",IF((V8-AF3)&lt;80,80-(V8-AF3),0),0)))</f>
        <v>251.26</v>
      </c>
      <c r="AM3" s="32"/>
    </row>
    <row r="4">
      <c r="A4" s="15"/>
      <c r="B4" s="19" t="s">
        <v>19</v>
      </c>
      <c r="C4" s="41">
        <v>4.0</v>
      </c>
      <c r="D4" s="87" t="str">
        <f>if(E3&lt;C4,"W",if(E3&gt;C4,"L",if(isblank(C4),"","T")))</f>
        <v>L</v>
      </c>
      <c r="E4" s="37"/>
      <c r="F4" s="89"/>
      <c r="G4" s="90">
        <v>14.0</v>
      </c>
      <c r="H4" s="53" t="str">
        <f>if(G4&gt;E5,"W",if(G4&lt;E5,"L",if(isblank(G4),"","T")))</f>
        <v>L</v>
      </c>
      <c r="I4" s="41">
        <v>0.0</v>
      </c>
      <c r="J4" s="93" t="str">
        <f>if(I4&gt;E6,"W",if(I4&lt;E6,"L",if(isblank(I4),"","T")))</f>
        <v>L</v>
      </c>
      <c r="K4" s="90">
        <v>26.0</v>
      </c>
      <c r="L4" s="53" t="str">
        <f>if(K4&gt;E7,"W",if(K4&lt;E7,"L",if(isblank(K4),"","T")))</f>
        <v>W</v>
      </c>
      <c r="M4" s="41">
        <v>4.0</v>
      </c>
      <c r="N4" s="93" t="str">
        <f>if(M4&gt;E8,"W",if(M4&lt;E8,"L",if(isblank(M4),"","T")))</f>
        <v>L</v>
      </c>
      <c r="O4" s="58">
        <f t="shared" si="1"/>
        <v>48</v>
      </c>
      <c r="P4" s="58">
        <f t="shared" si="2"/>
        <v>1</v>
      </c>
      <c r="Q4" s="58">
        <f t="shared" si="3"/>
        <v>0</v>
      </c>
      <c r="R4" s="63">
        <f t="shared" si="4"/>
        <v>4</v>
      </c>
      <c r="S4" s="63">
        <f>0.015*SUM(O3:O8)+IF(D4="W",150+C4,IF(D4="T",100+C4,IF(D4="L",IF((E3-C4)&lt;80,80-(E3-C4),0),0)))+IF(H4="W",150+G4,IF(H4="T",100+G4,IF(H4="L",IF((E5-G4)&lt;80,80-(E5-G4),0),0)))+IF(J4="W",150+I4,IF(J4="T",100+I4,IF(J4="L",IF((E6-I4)&lt;80,80-(E6-I4),0),0)))+IF(L4="W",150+K4,IF(L4="T",100+K4,IF(L4="L",IF((E7-K4)&lt;80,80-(E7-K4),0),0)))+IF(N4="W",150+M4,IF(N4="T",100+M4,IF(N4="L",IF((E8-M4)&lt;80,80-(E8-M4),0),0)))</f>
        <v>261.76</v>
      </c>
      <c r="T4" s="15"/>
      <c r="U4" s="36" t="s">
        <v>48</v>
      </c>
      <c r="V4" s="104">
        <v>118.0</v>
      </c>
      <c r="W4" s="106" t="str">
        <f>if(X3&lt;V4,"W",if(X3&gt;V4,"L",if(isblank(V4),"","T")))</f>
        <v>W</v>
      </c>
      <c r="X4" s="69"/>
      <c r="Y4" s="70"/>
      <c r="Z4" s="104">
        <v>106.0</v>
      </c>
      <c r="AA4" s="76" t="str">
        <f>if(Z4&gt;X5,"W",if(Z4&lt;X5,"L",if(isblank(Z4),"","T")))</f>
        <v>W</v>
      </c>
      <c r="AB4" s="104">
        <v>140.0</v>
      </c>
      <c r="AC4" s="76" t="str">
        <f>if(AB4&gt;X6,"W",if(AB4&lt;X6,"L",if(isblank(AB4),"","T")))</f>
        <v>W</v>
      </c>
      <c r="AD4" s="104">
        <v>100.0</v>
      </c>
      <c r="AE4" s="76" t="str">
        <f>if(AD4&gt;X7,"W",if(AD4&lt;X7,"L",if(isblank(AD4),"","T")))</f>
        <v>W</v>
      </c>
      <c r="AF4" s="104">
        <v>184.0</v>
      </c>
      <c r="AG4" s="76" t="str">
        <f>if(AF4&gt;X8,"W",if(AF4&lt;X8,"L",if(isblank(AF4),"","T")))</f>
        <v>W</v>
      </c>
      <c r="AH4" s="58">
        <f t="shared" si="5"/>
        <v>648</v>
      </c>
      <c r="AI4" s="58">
        <f t="shared" si="6"/>
        <v>5</v>
      </c>
      <c r="AJ4" s="58">
        <f t="shared" si="7"/>
        <v>0</v>
      </c>
      <c r="AK4" s="63">
        <f t="shared" si="8"/>
        <v>0</v>
      </c>
      <c r="AL4" s="63">
        <f>0.015*SUM(AH3:AH8)+IF(W4="W",150+V4,IF(W4="T",100+V4,IF(W4="L",IF((X3-V4)&lt;80,80-(X3-V4),0),0)))+IF(AA4="W",150+Z4,IF(AA4="T",100+Z4,IF(AA4="L",IF((X5-Z4)&lt;80,80-(X5-Z4),0),0)))+IF(AC4="W",150+AB4,IF(AC4="T",100+AB4,IF(AC4="L",IF((X6-AB4)&lt;80,80-(X6-AB4),0),0)))+IF(AE4="W",150+AD4,IF(AE4="T",100+AD4,IF(AE4="L",IF((X7-AD4)&lt;80,80-(X7-AD4),0),0)))+IF(AG4="W",150+AF4,IF(AG4="T",100+AF4,IF(AG4="L",IF((X8-AF4)&lt;80,80-(X8-AF4),0),0)))</f>
        <v>1435.26</v>
      </c>
      <c r="AM4" s="15"/>
    </row>
    <row r="5">
      <c r="A5" s="15"/>
      <c r="B5" s="19" t="s">
        <v>31</v>
      </c>
      <c r="C5" s="41">
        <v>160.0</v>
      </c>
      <c r="D5" s="120" t="str">
        <f>if(G3&lt;C5,"W",if(G3&gt;C5,"L",if(isblank(C5),"","T")))</f>
        <v>W</v>
      </c>
      <c r="E5" s="41">
        <v>180.0</v>
      </c>
      <c r="F5" s="47" t="str">
        <f>if(G4&lt;E5,"W",if(G4&gt;E5,"L",if(isblank(E5),"","T")))</f>
        <v>W</v>
      </c>
      <c r="G5" s="124"/>
      <c r="H5" s="39"/>
      <c r="I5" s="41">
        <v>42.0</v>
      </c>
      <c r="J5" s="93" t="str">
        <f>if(I5&gt;G6,"W",if(I5&lt;G6,"L",if(isblank(I5),"","T")))</f>
        <v>L</v>
      </c>
      <c r="K5" s="90">
        <v>156.0</v>
      </c>
      <c r="L5" s="53" t="str">
        <f>if(K5&gt;G7,"W",if(K5&lt;G7,"L",if(isblank(K5),"","T")))</f>
        <v>W</v>
      </c>
      <c r="M5" s="41">
        <v>92.0</v>
      </c>
      <c r="N5" s="93" t="str">
        <f>if(M5&gt;G8,"W",if(M5&lt;G8,"L",if(isblank(M5),"","T")))</f>
        <v>L</v>
      </c>
      <c r="O5" s="58">
        <f t="shared" si="1"/>
        <v>630</v>
      </c>
      <c r="P5" s="58">
        <f t="shared" si="2"/>
        <v>3</v>
      </c>
      <c r="Q5" s="58">
        <f t="shared" si="3"/>
        <v>0</v>
      </c>
      <c r="R5" s="63">
        <f t="shared" si="4"/>
        <v>2</v>
      </c>
      <c r="S5" s="63">
        <f>0.015*SUM(O3:O8)+IF(D5="W",150+C5,IF(D5="T",100+C5,IF(D5="L",IF((G3-C5)&lt;80,80-(G3-C5),0),0)))+IF(F5="W",150+E5,IF(F5="T",100+E5,IF(F5="L",IF((G4-E5)&lt;80,80-(G4-E5),0),0)))+IF(J5="W",150+I5,IF(J5="T",100+I5,IF(J5="L",IF((G6-I5)&lt;80,80-(G6-I5),0),0)))+IF(L5="W",150+K5,IF(L5="T",100+K5,IF(L5="L",IF((G7-K5)&lt;80,80-(G7-K5),0),0)))+IF(N5="W",150+M5,IF(N5="T",100+M5,IF(N5="L",IF((G8-M5)&lt;80,80-(G8-M5),0),0)))</f>
        <v>1023.76</v>
      </c>
      <c r="T5" s="15"/>
      <c r="U5" s="36" t="s">
        <v>50</v>
      </c>
      <c r="V5" s="104">
        <v>126.0</v>
      </c>
      <c r="W5" s="106" t="str">
        <f>if(Z3&lt;V5,"W",if(Z3&gt;V5,"L",if(isblank(V5),"","T")))</f>
        <v>W</v>
      </c>
      <c r="X5" s="104">
        <v>60.0</v>
      </c>
      <c r="Y5" s="106" t="str">
        <f>if(Z4&lt;X5,"W",if(Z4&gt;X5,"L",if(isblank(X5),"","T")))</f>
        <v>L</v>
      </c>
      <c r="Z5" s="69"/>
      <c r="AA5" s="70"/>
      <c r="AB5" s="104">
        <v>42.0</v>
      </c>
      <c r="AC5" s="76" t="str">
        <f>if(AB5&gt;Z6,"W",if(AB5&lt;Z6,"L",if(isblank(AB5),"","T")))</f>
        <v>L</v>
      </c>
      <c r="AD5" s="104">
        <v>80.0</v>
      </c>
      <c r="AE5" s="76" t="str">
        <f>if(AD5&gt;Z7,"W",if(AD5&lt;Z7,"L",if(isblank(AD5),"","T")))</f>
        <v>L</v>
      </c>
      <c r="AF5" s="104">
        <v>128.0</v>
      </c>
      <c r="AG5" s="76" t="str">
        <f>if(AF5&gt;Z8,"W",if(AF5&lt;Z8,"L",if(isblank(AF5),"","T")))</f>
        <v>W</v>
      </c>
      <c r="AH5" s="58">
        <f t="shared" si="5"/>
        <v>436</v>
      </c>
      <c r="AI5" s="58">
        <f t="shared" si="6"/>
        <v>2</v>
      </c>
      <c r="AJ5" s="58">
        <f t="shared" si="7"/>
        <v>0</v>
      </c>
      <c r="AK5" s="63">
        <f t="shared" si="8"/>
        <v>3</v>
      </c>
      <c r="AL5" s="63">
        <f>0.015*SUM(AH3:AH8)+IF(W5="W",150+V5,IF(W5="T",100+V5,IF(W5="L",IF((Z3-V5)&lt;80,80-(Z3-V5),0),0)))+IF(Y5="W",150+X5,IF(Y5="T",100+X5,IF(Y5="L",IF((Z4-X5)&lt;80,80-(Z4-X5),0),0)))+IF(AC5="W",150+AB5,IF(AC5="T",100+AB5,IF(AC5="L",IF((Z6-AB5)&lt;80,80-(Z6-AB5),0),0)))+IF(AE5="W",150+AD5,IF(AE5="T",100+AD5,IF(AE5="L",IF((Z7-AD5)&lt;80,80-(Z7-AD5),0),0)))+IF(AG5="W",150+AF5,IF(AG5="T",100+AF5,IF(AG5="L",IF((Z8-AF5)&lt;80,80-(Z8-AF5),0),0)))</f>
        <v>717.26</v>
      </c>
      <c r="AM5" s="15"/>
    </row>
    <row r="6">
      <c r="A6" s="15"/>
      <c r="B6" s="19" t="s">
        <v>33</v>
      </c>
      <c r="C6" s="41">
        <v>180.0</v>
      </c>
      <c r="D6" s="87" t="str">
        <f>if(I3&lt;C6,"W",if(I3&gt;C6,"L",if(isblank(C6),"","T")))</f>
        <v>W</v>
      </c>
      <c r="E6" s="41">
        <v>204.0</v>
      </c>
      <c r="F6" s="47" t="str">
        <f>if(I4&lt;E6,"W",if(I4&gt;E6,"L",if(isblank(E6),"","T")))</f>
        <v>W</v>
      </c>
      <c r="G6" s="90">
        <v>170.0</v>
      </c>
      <c r="H6" s="87" t="str">
        <f>if(I5&lt;G6,"W",if(I5&gt;G6,"L",if(isblank(G6),"","T")))</f>
        <v>W</v>
      </c>
      <c r="I6" s="37"/>
      <c r="J6" s="89"/>
      <c r="K6" s="90">
        <v>164.0</v>
      </c>
      <c r="L6" s="53" t="str">
        <f>if(K6&gt;I7,"W",if(K6&lt;I7,"L",if(isblank(K6),"","T")))</f>
        <v>W</v>
      </c>
      <c r="M6" s="41">
        <v>134.0</v>
      </c>
      <c r="N6" s="93" t="str">
        <f>if(M6&gt;I8,"W",if(M6&lt;I8,"L",if(isblank(M6),"","T")))</f>
        <v>W</v>
      </c>
      <c r="O6" s="58">
        <f t="shared" si="1"/>
        <v>852</v>
      </c>
      <c r="P6" s="58">
        <f t="shared" si="2"/>
        <v>5</v>
      </c>
      <c r="Q6" s="58">
        <f t="shared" si="3"/>
        <v>0</v>
      </c>
      <c r="R6" s="63">
        <f t="shared" si="4"/>
        <v>0</v>
      </c>
      <c r="S6" s="63">
        <f>0.015*SUM(O3:O8)+IF(D6="W",150+C6,IF(D6="T",100+C6,IF(D6="L",IF((I3-C6)&lt;80,80-(I3-C6),0),0)))+IF(F6="W",150+E6,IF(F6="T",100+E6,IF(F6="L",IF((I4-E6)&lt;80,80-(I4-E6),0),0)))+IF(H6="W",150+G6,IF(H6="T",100+G6,IF(H6="L",IF((I5-G6)&lt;80,80-(I5-G6),0),0)))+IF(L6="W",150+K6,IF(L6="T",100+K6,IF(L6="L",IF((I7-K6)&lt;80,80-(I7-K6),0),0)))+IF(N6="W",150+M6,IF(N6="T",100+M6,IF(N6="L",IF((I8-M6)&lt;80,80-(I8-M6),0),0)))</f>
        <v>1637.76</v>
      </c>
      <c r="T6" s="15"/>
      <c r="U6" s="36" t="s">
        <v>53</v>
      </c>
      <c r="V6" s="104">
        <v>152.0</v>
      </c>
      <c r="W6" s="106" t="str">
        <f>if(AB3&lt;V6,"W",if(AB3&gt;V6,"L",if(isblank(V6),"","T")))</f>
        <v>W</v>
      </c>
      <c r="X6" s="104">
        <v>102.0</v>
      </c>
      <c r="Y6" s="106" t="str">
        <f>if(AB4&lt;X6,"W",if(AB4&gt;X6,"L",if(isblank(X6),"","T")))</f>
        <v>L</v>
      </c>
      <c r="Z6" s="104">
        <v>104.0</v>
      </c>
      <c r="AA6" s="106" t="str">
        <f>if(AB5&lt;Z6,"W",if(AB5&gt;Z6,"L",if(isblank(Z6),"","T")))</f>
        <v>W</v>
      </c>
      <c r="AB6" s="69"/>
      <c r="AC6" s="70"/>
      <c r="AD6" s="104">
        <v>110.0</v>
      </c>
      <c r="AE6" s="76" t="str">
        <f>if(AD6&gt;AB7,"W",if(AD6&lt;AB7,"L",if(isblank(AD6),"","T")))</f>
        <v>W</v>
      </c>
      <c r="AF6" s="104">
        <v>118.0</v>
      </c>
      <c r="AG6" s="76" t="str">
        <f>if(AF6&gt;AB8,"W",if(AF6&lt;AB8,"L",if(isblank(AF6),"","T")))</f>
        <v>W</v>
      </c>
      <c r="AH6" s="58">
        <f t="shared" si="5"/>
        <v>586</v>
      </c>
      <c r="AI6" s="58">
        <f t="shared" si="6"/>
        <v>4</v>
      </c>
      <c r="AJ6" s="58">
        <f t="shared" si="7"/>
        <v>0</v>
      </c>
      <c r="AK6" s="63">
        <f t="shared" si="8"/>
        <v>1</v>
      </c>
      <c r="AL6" s="63">
        <f>0.015*SUM(AH3:AH8)+IF(W6="W",150+V6,IF(W6="T",100+V6,IF(W6="L",IF((AB3-V6)&lt;80,80-(AB3-V6),0),0)))+IF(Y6="W",150+X6,IF(Y6="T",100+X6,IF(Y6="L",IF((AB4-X6)&lt;80,80-(AB4-X6),0),0)))+IF(AA6="W",150+Z6,IF(AA6="T",100+Z6,IF(AA6="L",IF((AB5-Z6)&lt;80,80-(AB5-Z6),0),0)))+IF(AE6="W",150+AD6,IF(AE6="T",100+AD6,IF(AE6="L",IF((AB7-AD6)&lt;80,80-(AB7-AD6),0),0)))+IF(AG6="W",150+AF6,IF(AG6="T",100+AF6,IF(AG6="L",IF((AB8-AF6)&lt;80,80-(AB8-AF6),0),0)))</f>
        <v>1163.26</v>
      </c>
      <c r="AM6" s="15"/>
    </row>
    <row r="7">
      <c r="A7" s="15"/>
      <c r="B7" s="19" t="s">
        <v>34</v>
      </c>
      <c r="C7" s="41">
        <v>0.0</v>
      </c>
      <c r="D7" s="87" t="str">
        <f>if(K3&lt;C7,"W",if(K3&gt;C7,"L",if(isblank(C7),"","T")))</f>
        <v>L</v>
      </c>
      <c r="E7" s="41">
        <v>0.0</v>
      </c>
      <c r="F7" s="47" t="str">
        <f>if(K4&lt;E7,"W",if(K4&gt;E7,"L",if(isblank(E7),"","T")))</f>
        <v>L</v>
      </c>
      <c r="G7" s="90">
        <v>0.0</v>
      </c>
      <c r="H7" s="87" t="str">
        <f>if(K5&lt;G7,"W",if(K5&gt;G7,"L",if(isblank(G7),"","T")))</f>
        <v>L</v>
      </c>
      <c r="I7" s="41">
        <v>22.0</v>
      </c>
      <c r="J7" s="47" t="str">
        <f>if(K6&lt;I7,"W",if(K6&gt;I7,"L",if(isblank(I7),"","T")))</f>
        <v>L</v>
      </c>
      <c r="K7" s="37"/>
      <c r="L7" s="39"/>
      <c r="M7" s="41">
        <v>0.0</v>
      </c>
      <c r="N7" s="93" t="str">
        <f>if(M7&gt;K8,"W",if(M7&lt;K8,"L",if(isblank(M7),"","T")))</f>
        <v>L</v>
      </c>
      <c r="O7" s="58">
        <f t="shared" si="1"/>
        <v>22</v>
      </c>
      <c r="P7" s="58">
        <f t="shared" si="2"/>
        <v>0</v>
      </c>
      <c r="Q7" s="58">
        <f t="shared" si="3"/>
        <v>0</v>
      </c>
      <c r="R7" s="63">
        <f t="shared" si="4"/>
        <v>5</v>
      </c>
      <c r="S7" s="63">
        <f>0.015*SUM(O3:O8)+IF(D7="W",150+C7,IF(D7="T",100+C7,IF(D7="L",IF((K3-C7)&lt;80,80-(K3-C7),0),0)))+IF(F7="W",150+E7,IF(F7="T",100+E7,IF(F7="L",IF((K4-E7)&lt;80,80-(K4-E7),0),0)))+IF(H7="W",150+G7,IF(H7="T",100+G7,IF(H7="L",IF((K5-G7)&lt;80,80-(K5-G7),0),0)))+IF(J7="W",150+I7,IF(J7="T",100+I7,IF(J7="L",IF((K6-I7)&lt;80,80-(K6-I7),0),0)))+IF(N7="W",150+M7,IF(N7="T",100+M7,IF(N7="L",IF((K8-M7)&lt;80,80-(K8-M7),0),0)))</f>
        <v>117.76</v>
      </c>
      <c r="T7" s="15"/>
      <c r="U7" s="36" t="s">
        <v>54</v>
      </c>
      <c r="V7" s="104">
        <v>156.0</v>
      </c>
      <c r="W7" s="106" t="str">
        <f>if(AD3&lt;V7,"W",if(AD3&gt;V7,"L",if(isblank(V7),"","T")))</f>
        <v>W</v>
      </c>
      <c r="X7" s="104">
        <v>88.0</v>
      </c>
      <c r="Y7" s="106" t="str">
        <f>if(AD4&lt;X7,"W",if(AD4&gt;X7,"L",if(isblank(X7),"","T")))</f>
        <v>L</v>
      </c>
      <c r="Z7" s="104">
        <v>86.0</v>
      </c>
      <c r="AA7" s="106" t="str">
        <f>if(AD5&lt;Z7,"W",if(AD5&gt;Z7,"L",if(isblank(Z7),"","T")))</f>
        <v>W</v>
      </c>
      <c r="AB7" s="104">
        <v>84.0</v>
      </c>
      <c r="AC7" s="106" t="str">
        <f>if(AD6&lt;AB7,"W",if(AD6&gt;AB7,"L",if(isblank(AB7),"","T")))</f>
        <v>L</v>
      </c>
      <c r="AD7" s="69"/>
      <c r="AE7" s="70"/>
      <c r="AF7" s="104">
        <v>160.0</v>
      </c>
      <c r="AG7" s="76" t="str">
        <f>if(AF7&gt;AD8,"W",if(AF7&lt;AD8,"L",if(isblank(AF7),"","T")))</f>
        <v>W</v>
      </c>
      <c r="AH7" s="58">
        <f t="shared" si="5"/>
        <v>574</v>
      </c>
      <c r="AI7" s="58">
        <f t="shared" si="6"/>
        <v>3</v>
      </c>
      <c r="AJ7" s="58">
        <f t="shared" si="7"/>
        <v>0</v>
      </c>
      <c r="AK7" s="63">
        <f t="shared" si="8"/>
        <v>2</v>
      </c>
      <c r="AL7" s="63">
        <f>0.015*SUM(AH3:AH8)+IF(W7="W",150+V7,IF(W7="T",100+V7,IF(W7="L",IF((AD3-V7)&lt;80,80-(AD3-V7),0),0)))+IF(Y7="W",150+X7,IF(Y7="T",100+X7,IF(Y7="L",IF((AD4-X7)&lt;80,80-(AD4-X7),0),0)))+IF(AA7="W",150+Z7,IF(AA7="T",100+Z7,IF(AA7="L",IF((AD5-Z7)&lt;80,80-(AD5-Z7),0),0)))+IF(AC7="W",150+AB7,IF(AC7="T",100+AB7,IF(AC7="L",IF((AD6-AB7)&lt;80,80-(AD6-AB7),0),0)))+IF(AG7="W",150+AF7,IF(AG7="T",100+AF7,IF(AG7="L",IF((AD8-AF7)&lt;80,80-(AD8-AF7),0),0)))</f>
        <v>1011.26</v>
      </c>
      <c r="AM7" s="15"/>
    </row>
    <row r="8">
      <c r="A8" s="15"/>
      <c r="B8" s="19" t="s">
        <v>35</v>
      </c>
      <c r="C8" s="41">
        <v>130.0</v>
      </c>
      <c r="D8" s="87" t="str">
        <f>if(M3&lt;C8,"W",if(M3&gt;C8,"L",if(isblank(C8),"","T")))</f>
        <v>W</v>
      </c>
      <c r="E8" s="41">
        <v>208.0</v>
      </c>
      <c r="F8" s="47" t="str">
        <f>if(M4&lt;E8,"W",if(M4&gt;E8,"L",if(isblank(E8),"","T")))</f>
        <v>W</v>
      </c>
      <c r="G8" s="90">
        <v>130.0</v>
      </c>
      <c r="H8" s="87" t="str">
        <f>if(M5&lt;G8,"W",if(M5&gt;G8,"L",if(isblank(G8),"","T")))</f>
        <v>W</v>
      </c>
      <c r="I8" s="41">
        <v>72.0</v>
      </c>
      <c r="J8" s="47" t="str">
        <f>if(M6&lt;I8,"W",if(M6&gt;I8,"L",if(isblank(I8),"","T")))</f>
        <v>L</v>
      </c>
      <c r="K8" s="90">
        <v>178.0</v>
      </c>
      <c r="L8" s="87" t="str">
        <f>if(M7&lt;K8,"W",if(M7&gt;K8,"L",if(isblank(K8),"","T")))</f>
        <v>W</v>
      </c>
      <c r="M8" s="37"/>
      <c r="N8" s="89"/>
      <c r="O8" s="58">
        <f t="shared" si="1"/>
        <v>718</v>
      </c>
      <c r="P8" s="58">
        <f t="shared" si="2"/>
        <v>4</v>
      </c>
      <c r="Q8" s="58">
        <f t="shared" si="3"/>
        <v>0</v>
      </c>
      <c r="R8" s="63">
        <f t="shared" si="4"/>
        <v>1</v>
      </c>
      <c r="S8" s="63">
        <f>0.015*SUM(O3:O8)+IF(D8="W",150+C8,IF(D8="T",100+C8,IF(D8="L",IF((M3-C8)&lt;80,80-(M3-C8),0),0)))+IF(F8="W",150+E8,IF(F8="T",100+E8,IF(F8="L",IF((M4-E8)&lt;80,80-(M4-E8),0),0)))+IF(H8="W",150+G8,IF(H8="T",100+G8,IF(H8="L",IF((M5-G8)&lt;80,80-(M5-G8),0),0)))+IF(J8="W",150+I8,IF(J8="T",100+I8,IF(J8="L",IF((M6-I8)&lt;80,80-(M6-I8),0),0)))+IF(L8="W",150+K8,IF(L8="T",100+K8,IF(L8="L",IF((M7-K8)&lt;80,80-(M7-K8),0),0)))</f>
        <v>1299.76</v>
      </c>
      <c r="T8" s="15"/>
      <c r="U8" s="36" t="s">
        <v>55</v>
      </c>
      <c r="V8" s="104">
        <v>22.0</v>
      </c>
      <c r="W8" s="106" t="str">
        <f>if(AF3&lt;V8,"W",if(AF3&gt;V8,"L",if(isblank(V8),"","T")))</f>
        <v>L</v>
      </c>
      <c r="X8" s="104">
        <v>14.0</v>
      </c>
      <c r="Y8" s="106" t="str">
        <f>if(AF4&lt;X8,"W",if(AF4&gt;X8,"L",if(isblank(X8),"","T")))</f>
        <v>L</v>
      </c>
      <c r="Z8" s="104">
        <v>0.0</v>
      </c>
      <c r="AA8" s="106" t="str">
        <f>if(AF5&lt;Z8,"W",if(AF5&gt;Z8,"L",if(isblank(Z8),"","T")))</f>
        <v>L</v>
      </c>
      <c r="AB8" s="104">
        <v>40.0</v>
      </c>
      <c r="AC8" s="106" t="str">
        <f>if(AF6&lt;AB8,"W",if(AF6&gt;AB8,"L",if(isblank(AB8),"","T")))</f>
        <v>L</v>
      </c>
      <c r="AD8" s="104">
        <v>0.0</v>
      </c>
      <c r="AE8" s="106" t="str">
        <f>if(AF7&lt;AD8,"W",if(AF7&gt;AD8,"L",if(isblank(AD8),"","T")))</f>
        <v>L</v>
      </c>
      <c r="AF8" s="69"/>
      <c r="AG8" s="70"/>
      <c r="AH8" s="58">
        <f t="shared" si="5"/>
        <v>76</v>
      </c>
      <c r="AI8" s="58">
        <f t="shared" si="6"/>
        <v>0</v>
      </c>
      <c r="AJ8" s="58">
        <f t="shared" si="7"/>
        <v>0</v>
      </c>
      <c r="AK8" s="63">
        <f t="shared" si="8"/>
        <v>5</v>
      </c>
      <c r="AL8" s="63">
        <f>0.015*SUM(AH3:AH8)+IF(W8="W",150+V8,IF(W8="T",100+V8,IF(W8="L",IF((AF3-V8)&lt;80,80-(AF3-V8),0),0)))+IF(Y8="W",150+X8,IF(Y8="T",100+X8,IF(Y8="L",IF((AF4-X8)&lt;80,80-(AF4-X8),0),0)))+IF(AA8="W",150+Z8,IF(AA8="T",100+Z8,IF(AA8="L",IF((AF5-Z8)&lt;80,80-(AF5-Z8),0),0)))+IF(AC8="W",150+AB8,IF(AC8="T",100+AB8,IF(AC8="L",IF((AF6-AB8)&lt;80,80-(AF6-AB8),0),0)))+IF(AE8="W",150+AD8,IF(AE8="T",100+AD8,IF(AE8="L",IF((AF7-AD8)&lt;80,80-(AF7-AD8),0),0)))</f>
        <v>85.26</v>
      </c>
      <c r="AM8" s="15"/>
    </row>
    <row r="9">
      <c r="A9" s="135"/>
      <c r="B9" s="6"/>
      <c r="C9" s="6"/>
      <c r="D9" s="6"/>
      <c r="E9" s="6"/>
      <c r="F9" s="6"/>
      <c r="G9" s="20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13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139"/>
    </row>
    <row r="10">
      <c r="A10" s="15"/>
      <c r="B10" s="142" t="s">
        <v>182</v>
      </c>
      <c r="C10" s="145" t="s">
        <v>131</v>
      </c>
      <c r="D10" s="10"/>
      <c r="E10" s="145" t="s">
        <v>183</v>
      </c>
      <c r="F10" s="10"/>
      <c r="G10" s="145" t="s">
        <v>127</v>
      </c>
      <c r="H10" s="10"/>
      <c r="I10" s="145" t="s">
        <v>107</v>
      </c>
      <c r="J10" s="10"/>
      <c r="K10" s="145" t="s">
        <v>168</v>
      </c>
      <c r="L10" s="10"/>
      <c r="M10" s="145" t="s">
        <v>141</v>
      </c>
      <c r="N10" s="10"/>
      <c r="O10" s="148" t="s">
        <v>25</v>
      </c>
      <c r="P10" s="148" t="s">
        <v>26</v>
      </c>
      <c r="Q10" s="148" t="s">
        <v>27</v>
      </c>
      <c r="R10" s="148" t="s">
        <v>28</v>
      </c>
      <c r="S10" s="148" t="s">
        <v>29</v>
      </c>
      <c r="T10" s="15"/>
      <c r="U10" s="213" t="s">
        <v>185</v>
      </c>
      <c r="V10" s="216" t="s">
        <v>111</v>
      </c>
      <c r="W10" s="10"/>
      <c r="X10" s="216" t="s">
        <v>156</v>
      </c>
      <c r="Y10" s="10"/>
      <c r="Z10" s="216" t="s">
        <v>113</v>
      </c>
      <c r="AA10" s="10"/>
      <c r="AB10" s="216" t="s">
        <v>144</v>
      </c>
      <c r="AC10" s="10"/>
      <c r="AD10" s="216" t="s">
        <v>159</v>
      </c>
      <c r="AE10" s="10"/>
      <c r="AF10" s="216" t="s">
        <v>125</v>
      </c>
      <c r="AG10" s="10"/>
      <c r="AH10" s="219" t="s">
        <v>25</v>
      </c>
      <c r="AI10" s="219" t="s">
        <v>26</v>
      </c>
      <c r="AJ10" s="219" t="s">
        <v>27</v>
      </c>
      <c r="AK10" s="219" t="s">
        <v>28</v>
      </c>
      <c r="AL10" s="219" t="s">
        <v>29</v>
      </c>
      <c r="AM10" s="15"/>
    </row>
    <row r="11">
      <c r="A11" s="15"/>
      <c r="B11" s="145" t="s">
        <v>131</v>
      </c>
      <c r="C11" s="69"/>
      <c r="D11" s="70"/>
      <c r="E11" s="160">
        <v>68.0</v>
      </c>
      <c r="F11" s="163" t="str">
        <f>if(E11&gt;C12,"W",if(E11&lt;C12,"L",if(isblank(E11),"","T")))</f>
        <v>L</v>
      </c>
      <c r="G11" s="160">
        <v>78.0</v>
      </c>
      <c r="H11" s="163" t="str">
        <f>if(G11&gt;C13,"W",if(G11&lt;C13,"L",if(isblank(G11),"","T")))</f>
        <v>L</v>
      </c>
      <c r="I11" s="160">
        <v>72.0</v>
      </c>
      <c r="J11" s="163" t="str">
        <f>if(I11&gt;C14,"W",if(I11&lt;C14,"L",if(isblank(I11),"","T")))</f>
        <v>L</v>
      </c>
      <c r="K11" s="160">
        <v>152.0</v>
      </c>
      <c r="L11" s="163" t="str">
        <f>if(K11&gt;C15,"W",if(K11&lt;C15,"L",if(isblank(K11),"","T")))</f>
        <v>W</v>
      </c>
      <c r="M11" s="160">
        <v>106.0</v>
      </c>
      <c r="N11" s="163" t="str">
        <f>if(M11&gt;C16,"W",if(M11&lt;C16,"L",if(isblank(C16),"","T")))</f>
        <v>W</v>
      </c>
      <c r="O11" s="58">
        <f t="shared" ref="O11:O16" si="9">SUM(C11:N11)</f>
        <v>476</v>
      </c>
      <c r="P11" s="58">
        <f t="shared" ref="P11:P16" si="10">COUNTIF(C11:N11, "*W*")</f>
        <v>2</v>
      </c>
      <c r="Q11" s="58">
        <f t="shared" ref="Q11:Q16" si="11">COUNTIF(C11:N11, "*T*")</f>
        <v>0</v>
      </c>
      <c r="R11" s="63">
        <f t="shared" ref="R11:R16" si="12">COUNTIF(C11:N11, "*L*")</f>
        <v>3</v>
      </c>
      <c r="S11" s="63">
        <f>0.015*SUM(O11:O16)+IF(F11="W",150+E11,IF(F11="T",100+E11,IF(F11="L",IF((C12-E11)&lt;80,80-(C12-E11),0),0)))+IF(H11="W",150+G11,IF(H11="T",100+G11,IF(H11="L",IF((C13-G11)&lt;80,80-(C13-G11),0),0)))+IF(J11="W",150+I11,IF(J11="T",100+I11,IF(J11="L",IF((C14-I11)&lt;80,80-(C14-I11),0),0)))+IF(L11="W",150+K11,IF(L11="T",100+K11,IF(L11="L",IF((C15-K11)&lt;80,80-(C15-K11),0),0)))+IF(N11="W",150+M11,IF(N11="T",100+M11,IF(N11="L",IF((C16-M11)&lt;80,80-(C16-M11),0),0)))</f>
        <v>657.38</v>
      </c>
      <c r="T11" s="15"/>
      <c r="U11" s="216" t="s">
        <v>111</v>
      </c>
      <c r="V11" s="69"/>
      <c r="W11" s="70"/>
      <c r="X11" s="236">
        <v>114.0</v>
      </c>
      <c r="Y11" s="238" t="str">
        <f>if(X11&gt;V12,"W",if(X11&lt;V12,"L",if(isblank(X11),"","T")))</f>
        <v>W</v>
      </c>
      <c r="Z11" s="236">
        <v>68.0</v>
      </c>
      <c r="AA11" s="238" t="str">
        <f>if(Z11&gt;V13,"W",if(Z11&lt;V13,"L",if(isblank(Z11),"","T")))</f>
        <v>L</v>
      </c>
      <c r="AB11" s="236">
        <v>162.0</v>
      </c>
      <c r="AC11" s="238" t="str">
        <f>if(AB11&gt;V14,"W",if(AB11&lt;V14,"L",if(isblank(AB11),"","T")))</f>
        <v>W</v>
      </c>
      <c r="AD11" s="236">
        <v>160.0</v>
      </c>
      <c r="AE11" s="238" t="str">
        <f>if(AD11&gt;V15,"W",if(AD11&lt;V15,"L",if(isblank(AD11),"","T")))</f>
        <v>W</v>
      </c>
      <c r="AF11" s="236">
        <v>112.0</v>
      </c>
      <c r="AG11" s="238" t="str">
        <f>if(AF11&gt;V16,"W",if(AF11&lt;V16,"L",if(isblank(V16),"","T")))</f>
        <v>W</v>
      </c>
      <c r="AH11" s="58">
        <f t="shared" ref="AH11:AH16" si="13">SUM(V11:AG11)</f>
        <v>616</v>
      </c>
      <c r="AI11" s="58">
        <f t="shared" ref="AI11:AI16" si="14">COUNTIF(V11:AG11, "*W*")</f>
        <v>4</v>
      </c>
      <c r="AJ11" s="58">
        <f t="shared" ref="AJ11:AJ16" si="15">COUNTIF(V11:AG11, "*T*")</f>
        <v>0</v>
      </c>
      <c r="AK11" s="63">
        <f t="shared" ref="AK11:AK16" si="16">COUNTIF(V11:AG11, "*L*")</f>
        <v>1</v>
      </c>
      <c r="AL11" s="63">
        <f>0.015*SUM(AH11:AH16)+IF(Y11="W",150+X11,IF(Y11="T",100+X11,IF(Y11="L",IF((V12-X11)&lt;80,80-(V12-X11),0),0)))+IF(AA11="W",150+Z11,IF(AA11="T",100+Z11,IF(AA11="L",IF((V13-Z11)&lt;80,80-(V13-Z11),0),0)))+IF(AC11="W",150+AB11,IF(AC11="T",100+AB11,IF(AC11="L",IF((V14-AB11)&lt;80,80-(V14-AB11),0),0)))+IF(AE11="W",150+AD11,IF(AE11="T",100+AD11,IF(AE11="L",IF((V15-AD11)&lt;80,80-(V15-AD11),0),0)))+IF(AG11="W",150+AF11,IF(AG11="T",100+AF11,IF(AG11="L",IF((V16-AF11)&lt;80,80-(V16-AF11),0),0)))</f>
        <v>1215.33</v>
      </c>
      <c r="AM11" s="15"/>
    </row>
    <row r="12">
      <c r="A12" s="15"/>
      <c r="B12" s="145" t="s">
        <v>183</v>
      </c>
      <c r="C12" s="184">
        <v>148.0</v>
      </c>
      <c r="D12" s="187" t="str">
        <f>if(E11&lt;C12,"W",if(E11&gt;C12,"L",if(isblank(C12),"","T")))</f>
        <v>W</v>
      </c>
      <c r="E12" s="69"/>
      <c r="F12" s="70"/>
      <c r="G12" s="184">
        <v>140.0</v>
      </c>
      <c r="H12" s="163" t="str">
        <f>if(G12&gt;E13,"W",if(G12&lt;E13,"L",if(isblank(G12),"","T")))</f>
        <v>W</v>
      </c>
      <c r="I12" s="184">
        <v>90.0</v>
      </c>
      <c r="J12" s="163" t="str">
        <f>if(I12&gt;E14,"W",if(I12&lt;E14,"L",if(isblank(I12),"","T")))</f>
        <v>L</v>
      </c>
      <c r="K12" s="184">
        <v>140.0</v>
      </c>
      <c r="L12" s="163" t="str">
        <f>if(K12&gt;E15,"W",if(K12&lt;E15,"L",if(isblank(K12),"","T")))</f>
        <v>W</v>
      </c>
      <c r="M12" s="184">
        <v>102.0</v>
      </c>
      <c r="N12" s="163" t="str">
        <f>if(M12&gt;E16,"W",if(M12&lt;E16,"L",if(isblank(M12),"","T")))</f>
        <v>T</v>
      </c>
      <c r="O12" s="58">
        <f t="shared" si="9"/>
        <v>620</v>
      </c>
      <c r="P12" s="58">
        <f t="shared" si="10"/>
        <v>3</v>
      </c>
      <c r="Q12" s="58">
        <f t="shared" si="11"/>
        <v>1</v>
      </c>
      <c r="R12" s="63">
        <f t="shared" si="12"/>
        <v>1</v>
      </c>
      <c r="S12" s="63">
        <f>0.015*SUM(O11:O16)+IF(D12="W",150+C12,IF(D12="T",100+C12,IF(D12="L",IF((E11-C12)&lt;80,80-(E11-C12),0),0)))+IF(H12="W",150+G12,IF(H12="T",100+G12,IF(H12="L",IF((E13-G12)&lt;80,80-(E13-G12),0),0)))+IF(J12="W",150+I12,IF(J12="T",100+I12,IF(J12="L",IF((E14-I12)&lt;80,80-(E14-I12),0),0)))+IF(L12="W",150+K12,IF(L12="T",100+K12,IF(L12="L",IF((E15-K12)&lt;80,80-(E15-K12),0),0)))+IF(N12="W",150+M12,IF(N12="T",100+M12,IF(N12="L",IF((E16-M12)&lt;80,80-(E16-M12),0),0)))</f>
        <v>1189.38</v>
      </c>
      <c r="T12" s="15"/>
      <c r="U12" s="216" t="s">
        <v>156</v>
      </c>
      <c r="V12" s="260">
        <v>74.0</v>
      </c>
      <c r="W12" s="262" t="str">
        <f>if(X11&lt;V12,"W",if(X11&gt;V12,"L",if(isblank(V12),"","T")))</f>
        <v>L</v>
      </c>
      <c r="X12" s="69"/>
      <c r="Y12" s="70"/>
      <c r="Z12" s="260">
        <v>82.0</v>
      </c>
      <c r="AA12" s="238" t="str">
        <f>if(Z12&gt;X13,"W",if(Z12&lt;X13,"L",if(isblank(Z12),"","T")))</f>
        <v>L</v>
      </c>
      <c r="AB12" s="260">
        <v>120.0</v>
      </c>
      <c r="AC12" s="238" t="str">
        <f>if(AB12&gt;X14,"W",if(AB12&lt;X14,"L",if(isblank(AB12),"","T")))</f>
        <v>W</v>
      </c>
      <c r="AD12" s="260">
        <v>56.0</v>
      </c>
      <c r="AE12" s="238" t="str">
        <f>if(AD12&gt;X15,"W",if(AD12&lt;X15,"L",if(isblank(AD12),"","T")))</f>
        <v>L</v>
      </c>
      <c r="AF12" s="260">
        <v>42.0</v>
      </c>
      <c r="AG12" s="238" t="str">
        <f>if(AF12&gt;X16,"W",if(AF12&lt;X16,"L",if(isblank(AF12),"","T")))</f>
        <v>L</v>
      </c>
      <c r="AH12" s="58">
        <f t="shared" si="13"/>
        <v>374</v>
      </c>
      <c r="AI12" s="58">
        <f t="shared" si="14"/>
        <v>1</v>
      </c>
      <c r="AJ12" s="58">
        <f t="shared" si="15"/>
        <v>0</v>
      </c>
      <c r="AK12" s="63">
        <f t="shared" si="16"/>
        <v>4</v>
      </c>
      <c r="AL12" s="63">
        <f>0.015*SUM(AH11:AH16)+IF(W12="W",150+V12,IF(W12="T",100+V12,IF(W12="L",IF((X11-V12)&lt;80,80-(X11-V12),0),0)))+IF(AA12="W",150+Z12,IF(AA12="T",100+Z12,IF(AA12="L",IF((X13-Z12)&lt;80,80-(X13-Z12),0),0)))+IF(AC12="W",150+AB12,IF(AC12="T",100+AB12,IF(AC12="L",IF((X14-AB12)&lt;80,80-(X14-AB12),0),0)))+IF(AE12="W",150+AD12,IF(AE12="T",100+AD12,IF(AE12="L",IF((X15-AD12)&lt;80,80-(X15-AD12),0),0)))+IF(AG12="W",150+AF12,IF(AG12="T",100+AF12,IF(AG12="L",IF((X16-AF12)&lt;80,80-(X16-AF12),0),0)))</f>
        <v>473.33</v>
      </c>
      <c r="AM12" s="15"/>
    </row>
    <row r="13">
      <c r="A13" s="15"/>
      <c r="B13" s="145" t="s">
        <v>127</v>
      </c>
      <c r="C13" s="184">
        <v>106.0</v>
      </c>
      <c r="D13" s="187" t="str">
        <f>if(G11&lt;C13,"W",if(G11&gt;C13,"L",if(isblank(C13),"","T")))</f>
        <v>W</v>
      </c>
      <c r="E13" s="184">
        <v>86.0</v>
      </c>
      <c r="F13" s="187" t="str">
        <f>if(G12&lt;E13,"W",if(G12&gt;E13,"L",if(isblank(E13),"","T")))</f>
        <v>L</v>
      </c>
      <c r="G13" s="69"/>
      <c r="H13" s="70"/>
      <c r="I13" s="184">
        <v>88.0</v>
      </c>
      <c r="J13" s="163" t="str">
        <f>if(I13&gt;G14,"W",if(I13&lt;G14,"L",if(isblank(I13),"","T")))</f>
        <v>L</v>
      </c>
      <c r="K13" s="184">
        <v>164.0</v>
      </c>
      <c r="L13" s="163" t="str">
        <f>if(K13&gt;G15,"W",if(K13&lt;G15,"L",if(isblank(K13),"","T")))</f>
        <v>W</v>
      </c>
      <c r="M13" s="184">
        <v>130.0</v>
      </c>
      <c r="N13" s="163" t="str">
        <f>if(M13&gt;G16,"W",if(M13&lt;G16,"L",if(isblank(M13),"","T")))</f>
        <v>W</v>
      </c>
      <c r="O13" s="58">
        <f t="shared" si="9"/>
        <v>574</v>
      </c>
      <c r="P13" s="58">
        <f t="shared" si="10"/>
        <v>3</v>
      </c>
      <c r="Q13" s="58">
        <f t="shared" si="11"/>
        <v>0</v>
      </c>
      <c r="R13" s="63">
        <f t="shared" si="12"/>
        <v>2</v>
      </c>
      <c r="S13" s="63">
        <f>0.015*SUM(O11:O16)+IF(D13="W",150+C13,IF(D13="T",100+C13,IF(D13="L",IF((G11-C13)&lt;80,80-(G11-C13),0),0)))+IF(F13="W",150+E13,IF(F13="T",100+E13,IF(F13="L",IF((G12-E13)&lt;80,80-(G12-E13),0),0)))+IF(J13="W",150+I13,IF(J13="T",100+I13,IF(J13="L",IF((G14-I13)&lt;80,80-(G14-I13),0),0)))+IF(L13="W",150+K13,IF(L13="T",100+K13,IF(L13="L",IF((G15-K13)&lt;80,80-(G15-K13),0),0)))+IF(N13="W",150+M13,IF(N13="T",100+M13,IF(N13="L",IF((G16-M13)&lt;80,80-(G16-M13),0),0)))</f>
        <v>981.38</v>
      </c>
      <c r="T13" s="15"/>
      <c r="U13" s="216" t="s">
        <v>113</v>
      </c>
      <c r="V13" s="260">
        <v>120.0</v>
      </c>
      <c r="W13" s="262" t="str">
        <f>if(Z11&lt;V13,"W",if(Z11&gt;V13,"L",if(isblank(V13),"","T")))</f>
        <v>W</v>
      </c>
      <c r="X13" s="260">
        <v>100.0</v>
      </c>
      <c r="Y13" s="262" t="str">
        <f>if(Z12&lt;X13,"W",if(Z12&gt;X13,"L",if(isblank(X13),"","T")))</f>
        <v>W</v>
      </c>
      <c r="Z13" s="69"/>
      <c r="AA13" s="70"/>
      <c r="AB13" s="260">
        <v>84.0</v>
      </c>
      <c r="AC13" s="238" t="str">
        <f>if(AB13&gt;Z14,"W",if(AB13&lt;Z14,"L",if(isblank(AB13),"","T")))</f>
        <v>L</v>
      </c>
      <c r="AD13" s="260">
        <v>164.0</v>
      </c>
      <c r="AE13" s="238" t="str">
        <f>if(AD13&gt;Z15,"W",if(AD13&lt;Z15,"L",if(isblank(AD13),"","T")))</f>
        <v>W</v>
      </c>
      <c r="AF13" s="260">
        <v>140.0</v>
      </c>
      <c r="AG13" s="238" t="str">
        <f>if(AF13&gt;Z16,"W",if(AF13&lt;Z16,"L",if(isblank(AF13),"","T")))</f>
        <v>W</v>
      </c>
      <c r="AH13" s="58">
        <f t="shared" si="13"/>
        <v>608</v>
      </c>
      <c r="AI13" s="58">
        <f t="shared" si="14"/>
        <v>4</v>
      </c>
      <c r="AJ13" s="58">
        <f t="shared" si="15"/>
        <v>0</v>
      </c>
      <c r="AK13" s="63">
        <f t="shared" si="16"/>
        <v>1</v>
      </c>
      <c r="AL13" s="63">
        <f>0.015*SUM(AH11:AH16)+IF(W13="W",150+V13,IF(W13="T",100+V13,IF(W13="L",IF((Z11-V13)&lt;80,80-(Z11-V13),0),0)))+IF(Y13="W",150+X13,IF(Y13="T",100+X13,IF(Y13="L",IF((Z12-X13)&lt;80,80-(Z12-X13),0),0)))+IF(AC13="W",150+AB13,IF(AC13="T",100+AB13,IF(AC13="L",IF((Z14-AB13)&lt;80,80-(Z14-AB13),0),0)))+IF(AE13="W",150+AD13,IF(AE13="T",100+AD13,IF(AE13="L",IF((Z15-AD13)&lt;80,80-(Z15-AD13),0),0)))+IF(AG13="W",150+AF13,IF(AG13="T",100+AF13,IF(AG13="L",IF((Z16-AF13)&lt;80,80-(Z16-AF13),0),0)))</f>
        <v>1219.33</v>
      </c>
      <c r="AM13" s="15"/>
    </row>
    <row r="14">
      <c r="A14" s="15"/>
      <c r="B14" s="145" t="s">
        <v>107</v>
      </c>
      <c r="C14" s="184">
        <v>148.0</v>
      </c>
      <c r="D14" s="187" t="str">
        <f>if(I11&lt;C14,"W",if(I11&gt;C14,"L",if(isblank(C14),"","T")))</f>
        <v>W</v>
      </c>
      <c r="E14" s="184">
        <v>104.0</v>
      </c>
      <c r="F14" s="187" t="str">
        <f>if(I12&lt;E14,"W",if(I12&gt;E14,"L",if(isblank(E14),"","T")))</f>
        <v>W</v>
      </c>
      <c r="G14" s="184">
        <v>106.0</v>
      </c>
      <c r="H14" s="187" t="str">
        <f>if(I13&lt;G14,"W",if(I13&gt;G14,"L",if(isblank(G14),"","T")))</f>
        <v>W</v>
      </c>
      <c r="I14" s="69"/>
      <c r="J14" s="70"/>
      <c r="K14" s="184">
        <v>156.0</v>
      </c>
      <c r="L14" s="163" t="str">
        <f>if(K14&gt;I15,"W",if(K14&lt;I15,"L",if(isblank(K14),"","T")))</f>
        <v>W</v>
      </c>
      <c r="M14" s="184">
        <v>142.0</v>
      </c>
      <c r="N14" s="163" t="str">
        <f>if(M14&gt;I16,"W",if(M14&lt;I16,"L",if(isblank(M14),"","T")))</f>
        <v>W</v>
      </c>
      <c r="O14" s="58">
        <f t="shared" si="9"/>
        <v>656</v>
      </c>
      <c r="P14" s="58">
        <f t="shared" si="10"/>
        <v>5</v>
      </c>
      <c r="Q14" s="58">
        <f t="shared" si="11"/>
        <v>0</v>
      </c>
      <c r="R14" s="63">
        <f t="shared" si="12"/>
        <v>0</v>
      </c>
      <c r="S14" s="63">
        <f>0.015*SUM(O11:O16)+IF(D14="W",150+C14,IF(D14="T",100+C14,IF(D14="L",IF((I11-C14)&lt;80,80-(I11-C14),0),0)))+IF(F14="W",150+E14,IF(F14="T",100+E14,IF(F14="L",IF((I12-E14)&lt;80,80-(I12-E14),0),0)))+IF(H14="W",150+G14,IF(H14="T",100+G14,IF(H14="L",IF((I13-G14)&lt;80,80-(I13-G14),0),0)))+IF(L14="W",150+K14,IF(L14="T",100+K14,IF(L14="L",IF((I15-K14)&lt;80,80-(I15-K14),0),0)))+IF(N14="W",150+M14,IF(N14="T",100+M14,IF(N14="L",IF((I16-M14)&lt;80,80-(I16-M14),0),0)))</f>
        <v>1449.38</v>
      </c>
      <c r="T14" s="15"/>
      <c r="U14" s="216" t="s">
        <v>144</v>
      </c>
      <c r="V14" s="260">
        <v>38.0</v>
      </c>
      <c r="W14" s="262" t="str">
        <f>if(AB11&lt;V14,"W",if(AB11&gt;V14,"L",if(isblank(V14),"","T")))</f>
        <v>L</v>
      </c>
      <c r="X14" s="260">
        <v>36.0</v>
      </c>
      <c r="Y14" s="262" t="str">
        <f>if(AB12&lt;X14,"W",if(AB12&gt;X14,"L",if(isblank(X14),"","T")))</f>
        <v>L</v>
      </c>
      <c r="Z14" s="260">
        <v>108.0</v>
      </c>
      <c r="AA14" s="262" t="str">
        <f>if(AB13&lt;Z14,"W",if(AB13&gt;Z14,"L",if(isblank(Z14),"","T")))</f>
        <v>W</v>
      </c>
      <c r="AB14" s="69"/>
      <c r="AC14" s="70"/>
      <c r="AD14" s="260">
        <v>90.0</v>
      </c>
      <c r="AE14" s="238" t="str">
        <f>if(AD14&gt;AB15,"W",if(AD14&lt;AB15,"L",if(isblank(AD14),"","T")))</f>
        <v>W</v>
      </c>
      <c r="AF14" s="260">
        <v>6.0</v>
      </c>
      <c r="AG14" s="238" t="str">
        <f>if(AF14&gt;AB16,"W",if(AF14&lt;AB16,"L",if(isblank(AF14),"","T")))</f>
        <v>L</v>
      </c>
      <c r="AH14" s="58">
        <f t="shared" si="13"/>
        <v>278</v>
      </c>
      <c r="AI14" s="58">
        <f t="shared" si="14"/>
        <v>2</v>
      </c>
      <c r="AJ14" s="58">
        <f t="shared" si="15"/>
        <v>0</v>
      </c>
      <c r="AK14" s="63">
        <f t="shared" si="16"/>
        <v>3</v>
      </c>
      <c r="AL14" s="63">
        <f>0.015*SUM(AH11:AH16)+IF(W14="W",150+V14,IF(W14="T",100+V14,IF(W14="L",IF((AB11-V14)&lt;80,80-(AB11-V14),0),0)))+IF(Y14="W",150+X14,IF(Y14="T",100+X14,IF(Y14="L",IF((AB12-X14)&lt;80,80-(AB12-X14),0),0)))+IF(AA14="W",150+Z14,IF(AA14="T",100+Z14,IF(AA14="L",IF((AB13-Z14)&lt;80,80-(AB13-Z14),0),0)))+IF(AE14="W",150+AD14,IF(AE14="T",100+AD14,IF(AE14="L",IF((AB15-AD14)&lt;80,80-(AB15-AD14),0),0)))+IF(AG14="W",150+AF14,IF(AG14="T",100+AF14,IF(AG14="L",IF((AB16-AF14)&lt;80,80-(AB16-AF14),0),0)))</f>
        <v>537.33</v>
      </c>
      <c r="AM14" s="15"/>
    </row>
    <row r="15">
      <c r="A15" s="15"/>
      <c r="B15" s="145" t="s">
        <v>168</v>
      </c>
      <c r="C15" s="184">
        <v>36.0</v>
      </c>
      <c r="D15" s="187" t="str">
        <f>if(K11&lt;C15,"W",if(K11&gt;C15,"L",if(isblank(C15),"","T")))</f>
        <v>L</v>
      </c>
      <c r="E15" s="184">
        <v>8.0</v>
      </c>
      <c r="F15" s="187" t="str">
        <f>if(K12&lt;E15,"W",if(K12&gt;E15,"L",if(isblank(E15),"","T")))</f>
        <v>L</v>
      </c>
      <c r="G15" s="184">
        <v>28.0</v>
      </c>
      <c r="H15" s="187" t="str">
        <f>if(K13&lt;G15,"W",if(K13&gt;G15,"L",if(isblank(G15),"","T")))</f>
        <v>L</v>
      </c>
      <c r="I15" s="184">
        <v>36.0</v>
      </c>
      <c r="J15" s="187" t="str">
        <f>if(K14&lt;I15,"W",if(K14&gt;I15,"L",if(isblank(I15),"","T")))</f>
        <v>L</v>
      </c>
      <c r="K15" s="69"/>
      <c r="L15" s="70"/>
      <c r="M15" s="184">
        <v>44.0</v>
      </c>
      <c r="N15" s="163" t="str">
        <f>if(M15&gt;K16,"W",if(M15&lt;K16,"L",if(isblank(M15),"","T")))</f>
        <v>L</v>
      </c>
      <c r="O15" s="58">
        <f t="shared" si="9"/>
        <v>152</v>
      </c>
      <c r="P15" s="58">
        <f t="shared" si="10"/>
        <v>0</v>
      </c>
      <c r="Q15" s="58">
        <f t="shared" si="11"/>
        <v>0</v>
      </c>
      <c r="R15" s="63">
        <f t="shared" si="12"/>
        <v>5</v>
      </c>
      <c r="S15" s="63">
        <f>0.015*SUM(O11:O16)+IF(D15="W",150+C15,IF(D15="T",100+C15,IF(D15="L",IF((K11-C15)&lt;80,80-(K11-C15),0),0)))+IF(F15="W",150+E15,IF(F15="T",100+E15,IF(F15="L",IF((K12-E15)&lt;80,80-(K12-E15),0),0)))+IF(H15="W",150+G15,IF(H15="T",100+G15,IF(H15="L",IF((K13-G15)&lt;80,80-(K13-G15),0),0)))+IF(J15="W",150+I15,IF(J15="T",100+I15,IF(J15="L",IF((K14-I15)&lt;80,80-(K14-I15),0),0)))+IF(N15="W",150+M15,IF(N15="T",100+M15,IF(N15="L",IF((K16-M15)&lt;80,80-(K16-M15),0),0)))</f>
        <v>43.38</v>
      </c>
      <c r="T15" s="15"/>
      <c r="U15" s="216" t="s">
        <v>159</v>
      </c>
      <c r="V15" s="260">
        <v>16.0</v>
      </c>
      <c r="W15" s="262" t="str">
        <f>if(AD11&lt;V15,"W",if(AD11&gt;V15,"L",if(isblank(V15),"","T")))</f>
        <v>L</v>
      </c>
      <c r="X15" s="260">
        <v>74.0</v>
      </c>
      <c r="Y15" s="262" t="str">
        <f>if(AD12&lt;X15,"W",if(AD12&gt;X15,"L",if(isblank(X15),"","T")))</f>
        <v>W</v>
      </c>
      <c r="Z15" s="260">
        <v>48.0</v>
      </c>
      <c r="AA15" s="262" t="str">
        <f>if(AD13&lt;Z15,"W",if(AD13&gt;Z15,"L",if(isblank(Z15),"","T")))</f>
        <v>L</v>
      </c>
      <c r="AB15" s="260">
        <v>40.0</v>
      </c>
      <c r="AC15" s="262" t="str">
        <f>if(AD14&lt;AB15,"W",if(AD14&gt;AB15,"L",if(isblank(AB15),"","T")))</f>
        <v>L</v>
      </c>
      <c r="AD15" s="69"/>
      <c r="AE15" s="70"/>
      <c r="AF15" s="260">
        <v>14.0</v>
      </c>
      <c r="AG15" s="238" t="str">
        <f>if(AF15&gt;AD16,"W",if(AF15&lt;AD16,"L",if(isblank(AF15),"","T")))</f>
        <v>L</v>
      </c>
      <c r="AH15" s="58">
        <f t="shared" si="13"/>
        <v>192</v>
      </c>
      <c r="AI15" s="58">
        <f t="shared" si="14"/>
        <v>1</v>
      </c>
      <c r="AJ15" s="58">
        <f t="shared" si="15"/>
        <v>0</v>
      </c>
      <c r="AK15" s="63">
        <f t="shared" si="16"/>
        <v>4</v>
      </c>
      <c r="AL15" s="63">
        <f>0.015*SUM(AH11:AH16)+IF(W15="W",150+V15,IF(W15="T",100+V15,IF(W15="L",IF((AD11-V15)&lt;80,80-(AD11-V15),0),0)))+IF(Y15="W",150+X15,IF(Y15="T",100+X15,IF(Y15="L",IF((AD12-X15)&lt;80,80-(AD12-X15),0),0)))+IF(AA15="W",150+Z15,IF(AA15="T",100+Z15,IF(AA15="L",IF((AD13-Z15)&lt;80,80-(AD13-Z15),0),0)))+IF(AC15="W",150+AB15,IF(AC15="T",100+AB15,IF(AC15="L",IF((AD14-AB15)&lt;80,80-(AD14-AB15),0),0)))+IF(AG15="W",150+AF15,IF(AG15="T",100+AF15,IF(AG15="L",IF((AD16-AF15)&lt;80,80-(AD16-AF15),0),0)))</f>
        <v>293.33</v>
      </c>
      <c r="AM15" s="15"/>
    </row>
    <row r="16">
      <c r="A16" s="15"/>
      <c r="B16" s="145" t="s">
        <v>141</v>
      </c>
      <c r="C16" s="184">
        <v>68.0</v>
      </c>
      <c r="D16" s="187" t="str">
        <f>if(M11&lt;C16,"W",if(M11&gt;C16,"L",if(isblank(C16),"","T")))</f>
        <v>L</v>
      </c>
      <c r="E16" s="184">
        <v>102.0</v>
      </c>
      <c r="F16" s="187" t="str">
        <f>if(M12&lt;E16,"W",if(M12&gt;E16,"L",if(isblank(E16),"","T")))</f>
        <v>T</v>
      </c>
      <c r="G16" s="184">
        <v>58.0</v>
      </c>
      <c r="H16" s="187" t="str">
        <f>if(M13&lt;G16,"W",if(M13&gt;G16,"L",if(isblank(G16),"","T")))</f>
        <v>L</v>
      </c>
      <c r="I16" s="184">
        <v>38.0</v>
      </c>
      <c r="J16" s="187" t="str">
        <f>if(M14&lt;I16,"W",if(M14&gt;I16,"L",if(isblank(I16),"","T")))</f>
        <v>L</v>
      </c>
      <c r="K16" s="184">
        <v>148.0</v>
      </c>
      <c r="L16" s="187" t="str">
        <f>if(M15&lt;K16,"W",if(M15&gt;K16,"L",if(isblank(K16),"","T")))</f>
        <v>W</v>
      </c>
      <c r="M16" s="69"/>
      <c r="N16" s="70"/>
      <c r="O16" s="58">
        <f t="shared" si="9"/>
        <v>414</v>
      </c>
      <c r="P16" s="58">
        <f t="shared" si="10"/>
        <v>1</v>
      </c>
      <c r="Q16" s="58">
        <f t="shared" si="11"/>
        <v>1</v>
      </c>
      <c r="R16" s="63">
        <f t="shared" si="12"/>
        <v>3</v>
      </c>
      <c r="S16" s="63">
        <f>0.015*SUM(O11:O16)+IF(D16="W",150+C16,IF(D16="T",100+C16,IF(D16="L",IF((M11-C16)&lt;80,80-(M11-C16),0),0)))+IF(F16="W",150+E16,IF(F16="T",100+E16,IF(F16="L",IF((M12-E16)&lt;80,80-(M12-E16),0),0)))+IF(H16="W",150+G16,IF(H16="T",100+G16,IF(H16="L",IF((M13-G16)&lt;80,80-(M13-G16),0),0)))+IF(J16="W",150+I16,IF(J16="T",100+I16,IF(J16="L",IF((M14-I16)&lt;80,80-(M14-I16),0),0)))+IF(L16="W",150+K16,IF(L16="T",100+K16,IF(L16="L",IF((M15-K16)&lt;80,80-(M15-K16),0),0)))</f>
        <v>593.38</v>
      </c>
      <c r="T16" s="15"/>
      <c r="U16" s="216" t="s">
        <v>125</v>
      </c>
      <c r="V16" s="260">
        <v>-4.0</v>
      </c>
      <c r="W16" s="262" t="str">
        <f>if(AF11&lt;V16,"W",if(AF11&gt;V16,"L",if(isblank(V16),"","T")))</f>
        <v>L</v>
      </c>
      <c r="X16" s="260">
        <v>172.0</v>
      </c>
      <c r="Y16" s="262" t="str">
        <f>if(AF12&lt;X16,"W",if(AF12&gt;X16,"L",if(isblank(X16),"","T")))</f>
        <v>W</v>
      </c>
      <c r="Z16" s="260">
        <v>40.0</v>
      </c>
      <c r="AA16" s="262" t="str">
        <f>if(AF13&lt;Z16,"W",if(AF13&gt;Z16,"L",if(isblank(Z16),"","T")))</f>
        <v>L</v>
      </c>
      <c r="AB16" s="260">
        <v>190.0</v>
      </c>
      <c r="AC16" s="262" t="str">
        <f>if(AF14&lt;AB16,"W",if(AF14&gt;AB16,"L",if(isblank(AB16),"","T")))</f>
        <v>W</v>
      </c>
      <c r="AD16" s="260">
        <v>156.0</v>
      </c>
      <c r="AE16" s="262" t="str">
        <f>if(AF15&lt;AD16,"W",if(AF15&gt;AD16,"L",if(isblank(AD16),"","T")))</f>
        <v>W</v>
      </c>
      <c r="AF16" s="69"/>
      <c r="AG16" s="70"/>
      <c r="AH16" s="58">
        <f t="shared" si="13"/>
        <v>554</v>
      </c>
      <c r="AI16" s="58">
        <f t="shared" si="14"/>
        <v>3</v>
      </c>
      <c r="AJ16" s="58">
        <f t="shared" si="15"/>
        <v>0</v>
      </c>
      <c r="AK16" s="63">
        <f t="shared" si="16"/>
        <v>2</v>
      </c>
      <c r="AL16" s="63">
        <f>0.015*SUM(AH11:AH16)+IF(W16="W",150+V16,IF(W16="T",100+V16,IF(W16="L",IF((AF11-V16)&lt;80,80-(AF11-V16),0),0)))+IF(Y16="W",150+X16,IF(Y16="T",100+X16,IF(Y16="L",IF((AF12-X16)&lt;80,80-(AF12-X16),0),0)))+IF(AA16="W",150+Z16,IF(AA16="T",100+Z16,IF(AA16="L",IF((AF13-Z16)&lt;80,80-(AF13-Z16),0),0)))+IF(AC16="W",150+AB16,IF(AC16="T",100+AB16,IF(AC16="L",IF((AF14-AB16)&lt;80,80-(AF14-AB16),0),0)))+IF(AE16="W",150+AD16,IF(AE16="T",100+AD16,IF(AE16="L",IF((AF15-AD16)&lt;80,80-(AF15-AD16),0),0)))</f>
        <v>1007.33</v>
      </c>
      <c r="AM16" s="15"/>
    </row>
    <row r="17">
      <c r="A17" s="13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13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39"/>
    </row>
    <row r="18">
      <c r="A18" s="15"/>
      <c r="B18" s="26" t="s">
        <v>236</v>
      </c>
      <c r="C18" s="29" t="s">
        <v>130</v>
      </c>
      <c r="D18" s="10"/>
      <c r="E18" s="29" t="s">
        <v>105</v>
      </c>
      <c r="F18" s="10"/>
      <c r="G18" s="29" t="s">
        <v>153</v>
      </c>
      <c r="H18" s="10"/>
      <c r="I18" s="29" t="s">
        <v>147</v>
      </c>
      <c r="J18" s="10"/>
      <c r="K18" s="29" t="s">
        <v>129</v>
      </c>
      <c r="L18" s="10"/>
      <c r="M18" s="29" t="s">
        <v>139</v>
      </c>
      <c r="N18" s="10"/>
      <c r="O18" s="31" t="s">
        <v>25</v>
      </c>
      <c r="P18" s="31" t="s">
        <v>26</v>
      </c>
      <c r="Q18" s="31" t="s">
        <v>27</v>
      </c>
      <c r="R18" s="31" t="s">
        <v>28</v>
      </c>
      <c r="S18" s="31" t="s">
        <v>29</v>
      </c>
      <c r="T18" s="15"/>
      <c r="U18" s="319" t="s">
        <v>306</v>
      </c>
      <c r="V18" s="320" t="s">
        <v>91</v>
      </c>
      <c r="W18" s="10"/>
      <c r="X18" s="320" t="s">
        <v>165</v>
      </c>
      <c r="Y18" s="10"/>
      <c r="Z18" s="320" t="s">
        <v>126</v>
      </c>
      <c r="AA18" s="10"/>
      <c r="AB18" s="320" t="s">
        <v>158</v>
      </c>
      <c r="AC18" s="10"/>
      <c r="AD18" s="320" t="s">
        <v>92</v>
      </c>
      <c r="AE18" s="10"/>
      <c r="AF18" s="320" t="s">
        <v>143</v>
      </c>
      <c r="AG18" s="10"/>
      <c r="AH18" s="321" t="s">
        <v>25</v>
      </c>
      <c r="AI18" s="321" t="s">
        <v>26</v>
      </c>
      <c r="AJ18" s="321" t="s">
        <v>27</v>
      </c>
      <c r="AK18" s="321" t="s">
        <v>28</v>
      </c>
      <c r="AL18" s="321" t="s">
        <v>29</v>
      </c>
      <c r="AM18" s="15"/>
    </row>
    <row r="19">
      <c r="A19" s="15"/>
      <c r="B19" s="29" t="s">
        <v>130</v>
      </c>
      <c r="C19" s="69"/>
      <c r="D19" s="70"/>
      <c r="E19" s="75">
        <v>4.0</v>
      </c>
      <c r="F19" s="77" t="str">
        <f>if(E19&gt;C20,"W",if(E19&lt;C20,"L",if(isblank(E19),"","T")))</f>
        <v>L</v>
      </c>
      <c r="G19" s="75">
        <v>90.0</v>
      </c>
      <c r="H19" s="77" t="str">
        <f>if(G19&gt;C21,"W",if(G19&lt;C21,"L",if(isblank(G19),"","T")))</f>
        <v>T</v>
      </c>
      <c r="I19" s="75">
        <v>82.0</v>
      </c>
      <c r="J19" s="77" t="str">
        <f>if(I19&gt;C22,"W",if(I19&lt;C22,"L",if(isblank(I19),"","T")))</f>
        <v>L</v>
      </c>
      <c r="K19" s="75">
        <v>94.0</v>
      </c>
      <c r="L19" s="77" t="str">
        <f>if(K19&gt;C23,"W",if(K19&lt;C23,"L",if(isblank(K19),"","T")))</f>
        <v>W</v>
      </c>
      <c r="M19" s="75">
        <v>68.0</v>
      </c>
      <c r="N19" s="77" t="str">
        <f>if(M19&gt;C24,"W",if(M19&lt;C24,"L",if(isblank(C24),"","T")))</f>
        <v>W</v>
      </c>
      <c r="O19" s="58">
        <f t="shared" ref="O19:O24" si="17">SUM(C19:N19)</f>
        <v>338</v>
      </c>
      <c r="P19" s="58">
        <f t="shared" ref="P19:P24" si="18">COUNTIF(C19:N19, "*W*")</f>
        <v>2</v>
      </c>
      <c r="Q19" s="58">
        <f t="shared" ref="Q19:Q24" si="19">COUNTIF(C19:N19, "*T*")</f>
        <v>1</v>
      </c>
      <c r="R19" s="63">
        <f t="shared" ref="R19:R24" si="20">COUNTIF(C19:N19, "*L*")</f>
        <v>2</v>
      </c>
      <c r="S19" s="63">
        <f>0.015*SUM(O19:O24)+IF(F19="W",150+E19,IF(F19="T",100+E19,IF(F19="L",IF((C20-E19)&lt;80,80-(C20-E19),0),0)))+IF(H19="W",150+G19,IF(H19="T",100+G19,IF(H19="L",IF((C21-G19)&lt;80,80-(C21-G19),0),0)))+IF(J19="W",150+I19,IF(J19="T",100+I19,IF(J19="L",IF((C22-I19)&lt;80,80-(C22-I19),0),0)))+IF(L19="W",150+K19,IF(L19="T",100+K19,IF(L19="L",IF((C23-K19)&lt;80,80-(C23-K19),0),0)))+IF(N19="W",150+M19,IF(N19="T",100+M19,IF(N19="L",IF((C24-M19)&lt;80,80-(C24-M19),0),0)))</f>
        <v>765.46</v>
      </c>
      <c r="T19" s="15"/>
      <c r="U19" s="320" t="s">
        <v>91</v>
      </c>
      <c r="V19" s="69"/>
      <c r="W19" s="70"/>
      <c r="X19" s="322">
        <v>194.0</v>
      </c>
      <c r="Y19" s="323" t="str">
        <f>if(X19&gt;V20,"W",if(X19&lt;V20,"L",if(isblank(X19),"","T")))</f>
        <v>W</v>
      </c>
      <c r="Z19" s="322">
        <v>108.0</v>
      </c>
      <c r="AA19" s="323" t="str">
        <f>if(Z19&gt;V21,"W",if(Z19&lt;V21,"L",if(isblank(Z19),"","T")))</f>
        <v>W</v>
      </c>
      <c r="AB19" s="322">
        <v>242.0</v>
      </c>
      <c r="AC19" s="323" t="str">
        <f>if(AB19&gt;V22,"W",if(AB19&lt;V22,"L",if(isblank(AB19),"","T")))</f>
        <v>W</v>
      </c>
      <c r="AD19" s="322">
        <v>126.0</v>
      </c>
      <c r="AE19" s="323" t="str">
        <f>if(AD19&gt;V23,"W",if(AD19&lt;V23,"L",if(isblank(AD19),"","T")))</f>
        <v>W</v>
      </c>
      <c r="AF19" s="322">
        <v>156.0</v>
      </c>
      <c r="AG19" s="323" t="str">
        <f>if(AF19&gt;V24,"W",if(AF19&lt;V24,"L",if(isblank(V24),"","T")))</f>
        <v>W</v>
      </c>
      <c r="AH19" s="58">
        <f t="shared" ref="AH19:AH24" si="21">SUM(V19:AG19)</f>
        <v>826</v>
      </c>
      <c r="AI19" s="58">
        <f t="shared" ref="AI19:AI24" si="22">COUNTIF(V19:AG19, "*W*")</f>
        <v>5</v>
      </c>
      <c r="AJ19" s="58">
        <f t="shared" ref="AJ19:AJ24" si="23">COUNTIF(V19:AG19, "*T*")</f>
        <v>0</v>
      </c>
      <c r="AK19" s="63">
        <f t="shared" ref="AK19:AK24" si="24">COUNTIF(V19:AG19, "*L*")</f>
        <v>0</v>
      </c>
      <c r="AL19" s="63">
        <f>0.015*SUM(AH19:AH24)+IF(Y19="W",150+X19,IF(Y19="T",100+X19,IF(Y19="L",IF((V20-X19)&lt;80,80-(V20-X19),0),0)))+IF(AA19="W",150+Z19,IF(AA19="T",100+Z19,IF(AA19="L",IF((V21-Z19)&lt;80,80-(V21-Z19),0),0)))+IF(AC19="W",150+AB19,IF(AC19="T",100+AB19,IF(AC19="L",IF((V22-AB19)&lt;80,80-(V22-AB19),0),0)))+IF(AE19="W",150+AD19,IF(AE19="T",100+AD19,IF(AE19="L",IF((V23-AD19)&lt;80,80-(V23-AD19),0),0)))+IF(AG19="W",150+AF19,IF(AG19="T",100+AF19,IF(AG19="L",IF((V24-AF19)&lt;80,80-(V24-AF19),0),0)))</f>
        <v>1614.52</v>
      </c>
      <c r="AM19" s="15"/>
    </row>
    <row r="20">
      <c r="A20" s="15"/>
      <c r="B20" s="29" t="s">
        <v>105</v>
      </c>
      <c r="C20" s="98">
        <v>196.0</v>
      </c>
      <c r="D20" s="100" t="str">
        <f>if(E19&lt;C20,"W",if(E19&gt;C20,"L",if(isblank(C20),"","T")))</f>
        <v>W</v>
      </c>
      <c r="E20" s="69"/>
      <c r="F20" s="70"/>
      <c r="G20" s="98">
        <v>148.0</v>
      </c>
      <c r="H20" s="77" t="str">
        <f>if(G20&gt;E21,"W",if(G20&lt;E21,"L",if(isblank(G20),"","T")))</f>
        <v>W</v>
      </c>
      <c r="I20" s="98">
        <v>190.0</v>
      </c>
      <c r="J20" s="77" t="str">
        <f>if(I20&gt;E22,"W",if(I20&lt;E22,"L",if(isblank(I20),"","T")))</f>
        <v>W</v>
      </c>
      <c r="K20" s="98">
        <v>84.0</v>
      </c>
      <c r="L20" s="77" t="str">
        <f>if(K20&gt;E23,"W",if(K20&lt;E23,"L",if(isblank(K20),"","T")))</f>
        <v>W</v>
      </c>
      <c r="M20" s="98">
        <v>130.0</v>
      </c>
      <c r="N20" s="77" t="str">
        <f>if(M20&gt;E24,"W",if(M20&lt;E24,"L",if(isblank(M20),"","T")))</f>
        <v>W</v>
      </c>
      <c r="O20" s="58">
        <f t="shared" si="17"/>
        <v>748</v>
      </c>
      <c r="P20" s="58">
        <f t="shared" si="18"/>
        <v>5</v>
      </c>
      <c r="Q20" s="58">
        <f t="shared" si="19"/>
        <v>0</v>
      </c>
      <c r="R20" s="63">
        <f t="shared" si="20"/>
        <v>0</v>
      </c>
      <c r="S20" s="63">
        <f>0.015*SUM(O19:O24)+IF(D20="W",150+C20,IF(D20="T",100+C20,IF(D20="L",IF((E19-C20)&lt;80,80-(E19-C20),0),0)))+IF(H20="W",150+G20,IF(H20="T",100+G20,IF(H20="L",IF((E21-G20)&lt;80,80-(E21-G20),0),0)))+IF(J20="W",150+I20,IF(J20="T",100+I20,IF(J20="L",IF((E22-I20)&lt;80,80-(E22-I20),0),0)))+IF(L20="W",150+K20,IF(L20="T",100+K20,IF(L20="L",IF((E23-K20)&lt;80,80-(E23-K20),0),0)))+IF(N20="W",150+M20,IF(N20="T",100+M20,IF(N20="L",IF((E24-M20)&lt;80,80-(E24-M20),0),0)))</f>
        <v>1533.46</v>
      </c>
      <c r="T20" s="15"/>
      <c r="U20" s="320" t="s">
        <v>165</v>
      </c>
      <c r="V20" s="324">
        <v>16.0</v>
      </c>
      <c r="W20" s="325" t="str">
        <f>if(X19&lt;V20,"W",if(X19&gt;V20,"L",if(isblank(V20),"","T")))</f>
        <v>L</v>
      </c>
      <c r="X20" s="69"/>
      <c r="Y20" s="70"/>
      <c r="Z20" s="324">
        <v>10.0</v>
      </c>
      <c r="AA20" s="323" t="str">
        <f>if(Z20&gt;X21,"W",if(Z20&lt;X21,"L",if(isblank(Z20),"","T")))</f>
        <v>L</v>
      </c>
      <c r="AB20" s="324">
        <v>10.0</v>
      </c>
      <c r="AC20" s="323" t="str">
        <f>if(AB20&gt;X22,"W",if(AB20&lt;X22,"L",if(isblank(AB20),"","T")))</f>
        <v>L</v>
      </c>
      <c r="AD20" s="324">
        <v>20.0</v>
      </c>
      <c r="AE20" s="323" t="str">
        <f>if(AD20&gt;X23,"W",if(AD20&lt;X23,"L",if(isblank(AD20),"","T")))</f>
        <v>L</v>
      </c>
      <c r="AF20" s="324">
        <v>38.0</v>
      </c>
      <c r="AG20" s="323" t="str">
        <f>if(AF20&gt;X24,"W",if(AF20&lt;X24,"L",if(isblank(AF20),"","T")))</f>
        <v>L</v>
      </c>
      <c r="AH20" s="58">
        <f t="shared" si="21"/>
        <v>94</v>
      </c>
      <c r="AI20" s="58">
        <f t="shared" si="22"/>
        <v>0</v>
      </c>
      <c r="AJ20" s="58">
        <f t="shared" si="23"/>
        <v>0</v>
      </c>
      <c r="AK20" s="63">
        <f t="shared" si="24"/>
        <v>5</v>
      </c>
      <c r="AL20" s="63">
        <f>0.015*SUM(AH19:AH24)+IF(W20="W",150+V20,IF(W20="T",100+V20,IF(W20="L",IF((X19-V20)&lt;80,80-(X19-V20),0),0)))+IF(AA20="W",150+Z20,IF(AA20="T",100+Z20,IF(AA20="L",IF((X21-Z20)&lt;80,80-(X21-Z20),0),0)))+IF(AC20="W",150+AB20,IF(AC20="T",100+AB20,IF(AC20="L",IF((X22-AB20)&lt;80,80-(X22-AB20),0),0)))+IF(AE20="W",150+AD20,IF(AE20="T",100+AD20,IF(AE20="L",IF((X23-AD20)&lt;80,80-(X23-AD20),0),0)))+IF(AG20="W",150+AF20,IF(AG20="T",100+AF20,IF(AG20="L",IF((X24-AF20)&lt;80,80-(X24-AF20),0),0)))</f>
        <v>82.52</v>
      </c>
      <c r="AM20" s="15"/>
    </row>
    <row r="21">
      <c r="A21" s="15"/>
      <c r="B21" s="29" t="s">
        <v>153</v>
      </c>
      <c r="C21" s="98">
        <v>90.0</v>
      </c>
      <c r="D21" s="100" t="str">
        <f>if(G19&lt;C21,"W",if(G19&gt;C21,"L",if(isblank(C21),"","T")))</f>
        <v>T</v>
      </c>
      <c r="E21" s="98">
        <v>22.0</v>
      </c>
      <c r="F21" s="100" t="str">
        <f>if(G20&lt;E21,"W",if(G20&gt;E21,"L",if(isblank(E21),"","T")))</f>
        <v>L</v>
      </c>
      <c r="G21" s="69"/>
      <c r="H21" s="70"/>
      <c r="I21" s="98">
        <v>56.0</v>
      </c>
      <c r="J21" s="77" t="str">
        <f>if(I21&gt;G22,"W",if(I21&lt;G22,"L",if(isblank(I21),"","T")))</f>
        <v>T</v>
      </c>
      <c r="K21" s="98">
        <v>40.0</v>
      </c>
      <c r="L21" s="77" t="str">
        <f>if(K21&gt;G23,"W",if(K21&lt;G23,"L",if(isblank(K21),"","T")))</f>
        <v>L</v>
      </c>
      <c r="M21" s="98">
        <v>74.0</v>
      </c>
      <c r="N21" s="77" t="str">
        <f>if(M21&gt;G24,"W",if(M21&lt;G24,"L",if(isblank(M21),"","T")))</f>
        <v>L</v>
      </c>
      <c r="O21" s="58">
        <f t="shared" si="17"/>
        <v>282</v>
      </c>
      <c r="P21" s="58">
        <f t="shared" si="18"/>
        <v>0</v>
      </c>
      <c r="Q21" s="58">
        <f t="shared" si="19"/>
        <v>2</v>
      </c>
      <c r="R21" s="63">
        <f t="shared" si="20"/>
        <v>3</v>
      </c>
      <c r="S21" s="63">
        <f>0.015*SUM(O19:O24)+IF(D21="W",150+C21,IF(D21="T",100+C21,IF(D21="L",IF((G19-C21)&lt;80,80-(G19-C21),0),0)))+IF(F21="W",150+E21,IF(F21="T",100+E21,IF(F21="L",IF((G20-E21)&lt;80,80-(G20-E21),0),0)))+IF(J21="W",150+I21,IF(J21="T",100+I21,IF(J21="L",IF((G22-I21)&lt;80,80-(G22-I21),0),0)))+IF(L21="W",150+K21,IF(L21="T",100+K21,IF(L21="L",IF((G23-K21)&lt;80,80-(G23-K21),0),0)))+IF(N21="W",150+M21,IF(N21="T",100+M21,IF(N21="L",IF((G24-M21)&lt;80,80-(G24-M21),0),0)))</f>
        <v>493.46</v>
      </c>
      <c r="T21" s="15"/>
      <c r="U21" s="320" t="s">
        <v>126</v>
      </c>
      <c r="V21" s="324">
        <v>98.0</v>
      </c>
      <c r="W21" s="325" t="str">
        <f>if(Z19&lt;V21,"W",if(Z19&gt;V21,"L",if(isblank(V21),"","T")))</f>
        <v>L</v>
      </c>
      <c r="X21" s="324">
        <v>138.0</v>
      </c>
      <c r="Y21" s="325" t="str">
        <f>if(Z20&lt;X21,"W",if(Z20&gt;X21,"L",if(isblank(X21),"","T")))</f>
        <v>W</v>
      </c>
      <c r="Z21" s="69"/>
      <c r="AA21" s="70"/>
      <c r="AB21" s="324">
        <v>90.0</v>
      </c>
      <c r="AC21" s="323" t="str">
        <f>if(AB21&gt;Z22,"W",if(AB21&lt;Z22,"L",if(isblank(AB21),"","T")))</f>
        <v>W</v>
      </c>
      <c r="AD21" s="324">
        <v>78.0</v>
      </c>
      <c r="AE21" s="323" t="str">
        <f>if(AD21&gt;Z23,"W",if(AD21&lt;Z23,"L",if(isblank(AD21),"","T")))</f>
        <v>L</v>
      </c>
      <c r="AF21" s="324">
        <v>182.0</v>
      </c>
      <c r="AG21" s="323" t="str">
        <f>if(AF21&gt;Z24,"W",if(AF21&lt;Z24,"L",if(isblank(AF21),"","T")))</f>
        <v>W</v>
      </c>
      <c r="AH21" s="58">
        <f t="shared" si="21"/>
        <v>586</v>
      </c>
      <c r="AI21" s="58">
        <f t="shared" si="22"/>
        <v>3</v>
      </c>
      <c r="AJ21" s="58">
        <f t="shared" si="23"/>
        <v>0</v>
      </c>
      <c r="AK21" s="63">
        <f t="shared" si="24"/>
        <v>2</v>
      </c>
      <c r="AL21" s="63">
        <f>0.015*SUM(AH19:AH24)+IF(W21="W",150+V21,IF(W21="T",100+V21,IF(W21="L",IF((Z19-V21)&lt;80,80-(Z19-V21),0),0)))+IF(Y21="W",150+X21,IF(Y21="T",100+X21,IF(Y21="L",IF((Z20-X21)&lt;80,80-(Z20-X21),0),0)))+IF(AC21="W",150+AB21,IF(AC21="T",100+AB21,IF(AC21="L",IF((Z22-AB21)&lt;80,80-(Z22-AB21),0),0)))+IF(AE21="W",150+AD21,IF(AE21="T",100+AD21,IF(AE21="L",IF((Z23-AD21)&lt;80,80-(Z23-AD21),0),0)))+IF(AG21="W",150+AF21,IF(AG21="T",100+AF21,IF(AG21="L",IF((Z24-AF21)&lt;80,80-(Z24-AF21),0),0)))</f>
        <v>1006.52</v>
      </c>
      <c r="AM21" s="15"/>
    </row>
    <row r="22">
      <c r="A22" s="15"/>
      <c r="B22" s="29" t="s">
        <v>147</v>
      </c>
      <c r="C22" s="98">
        <v>84.0</v>
      </c>
      <c r="D22" s="100" t="str">
        <f>if(I19&lt;C22,"W",if(I19&gt;C22,"L",if(isblank(C22),"","T")))</f>
        <v>W</v>
      </c>
      <c r="E22" s="98">
        <v>6.0</v>
      </c>
      <c r="F22" s="100" t="str">
        <f>if(I20&lt;E22,"W",if(I20&gt;E22,"L",if(isblank(E22),"","T")))</f>
        <v>L</v>
      </c>
      <c r="G22" s="98">
        <v>56.0</v>
      </c>
      <c r="H22" s="100" t="str">
        <f>if(I21&lt;G22,"W",if(I21&gt;G22,"L",if(isblank(G22),"","T")))</f>
        <v>T</v>
      </c>
      <c r="I22" s="69"/>
      <c r="J22" s="70"/>
      <c r="K22" s="98">
        <v>64.0</v>
      </c>
      <c r="L22" s="77" t="str">
        <f>if(K22&gt;I23,"W",if(K22&lt;I23,"L",if(isblank(K22),"","T")))</f>
        <v>L</v>
      </c>
      <c r="M22" s="98">
        <v>42.0</v>
      </c>
      <c r="N22" s="77" t="str">
        <f>if(M22&gt;I24,"W",if(M22&lt;I24,"L",if(isblank(M22),"","T")))</f>
        <v>L</v>
      </c>
      <c r="O22" s="58">
        <f t="shared" si="17"/>
        <v>252</v>
      </c>
      <c r="P22" s="58">
        <f t="shared" si="18"/>
        <v>1</v>
      </c>
      <c r="Q22" s="58">
        <f t="shared" si="19"/>
        <v>1</v>
      </c>
      <c r="R22" s="63">
        <f t="shared" si="20"/>
        <v>3</v>
      </c>
      <c r="S22" s="63">
        <f>0.015*SUM(O19:O24)+IF(D22="W",150+C22,IF(D22="T",100+C22,IF(D22="L",IF((I19-C22)&lt;80,80-(I19-C22),0),0)))+IF(F22="W",150+E22,IF(F22="T",100+E22,IF(F22="L",IF((I20-E22)&lt;80,80-(I20-E22),0),0)))+IF(H22="W",150+G22,IF(H22="T",100+G22,IF(H22="L",IF((I21-G22)&lt;80,80-(I21-G22),0),0)))+IF(L22="W",150+K22,IF(L22="T",100+K22,IF(L22="L",IF((I23-K22)&lt;80,80-(I23-K22),0),0)))+IF(N22="W",150+M22,IF(N22="T",100+M22,IF(N22="L",IF((I24-M22)&lt;80,80-(I24-M22),0),0)))</f>
        <v>513.46</v>
      </c>
      <c r="T22" s="15"/>
      <c r="U22" s="320" t="s">
        <v>158</v>
      </c>
      <c r="V22" s="324">
        <v>-6.0</v>
      </c>
      <c r="W22" s="325" t="str">
        <f>if(AB19&lt;V22,"W",if(AB19&gt;V22,"L",if(isblank(V22),"","T")))</f>
        <v>L</v>
      </c>
      <c r="X22" s="324">
        <v>74.0</v>
      </c>
      <c r="Y22" s="325" t="str">
        <f>if(AB20&lt;X22,"W",if(AB20&gt;X22,"L",if(isblank(X22),"","T")))</f>
        <v>W</v>
      </c>
      <c r="Z22" s="324">
        <v>78.0</v>
      </c>
      <c r="AA22" s="325" t="str">
        <f>if(AB21&lt;Z22,"W",if(AB21&gt;Z22,"L",if(isblank(Z22),"","T")))</f>
        <v>L</v>
      </c>
      <c r="AB22" s="69"/>
      <c r="AC22" s="70"/>
      <c r="AD22" s="324">
        <v>36.0</v>
      </c>
      <c r="AE22" s="323" t="str">
        <f>if(AD22&gt;AB23,"W",if(AD22&lt;AB23,"L",if(isblank(AD22),"","T")))</f>
        <v>L</v>
      </c>
      <c r="AF22" s="324">
        <v>40.0</v>
      </c>
      <c r="AG22" s="323" t="str">
        <f>if(AF22&gt;AB24,"W",if(AF22&lt;AB24,"L",if(isblank(AF22),"","T")))</f>
        <v>L</v>
      </c>
      <c r="AH22" s="58">
        <f t="shared" si="21"/>
        <v>222</v>
      </c>
      <c r="AI22" s="58">
        <f t="shared" si="22"/>
        <v>1</v>
      </c>
      <c r="AJ22" s="58">
        <f t="shared" si="23"/>
        <v>0</v>
      </c>
      <c r="AK22" s="63">
        <f t="shared" si="24"/>
        <v>4</v>
      </c>
      <c r="AL22" s="63">
        <f>0.015*SUM(AH19:AH24)+IF(W22="W",150+V22,IF(W22="T",100+V22,IF(W22="L",IF((AB19-V22)&lt;80,80-(AB19-V22),0),0)))+IF(Y22="W",150+X22,IF(Y22="T",100+X22,IF(Y22="L",IF((AB20-X22)&lt;80,80-(AB20-X22),0),0)))+IF(AA22="W",150+Z22,IF(AA22="T",100+Z22,IF(AA22="L",IF((AB21-Z22)&lt;80,80-(AB21-Z22),0),0)))+IF(AE22="W",150+AD22,IF(AE22="T",100+AD22,IF(AE22="L",IF((AB23-AD22)&lt;80,80-(AB23-AD22),0),0)))+IF(AG22="W",150+AF22,IF(AG22="T",100+AF22,IF(AG22="L",IF((AB24-AF22)&lt;80,80-(AB24-AF22),0),0)))</f>
        <v>370.52</v>
      </c>
      <c r="AM22" s="15"/>
    </row>
    <row r="23">
      <c r="A23" s="15"/>
      <c r="B23" s="29" t="s">
        <v>129</v>
      </c>
      <c r="C23" s="98">
        <v>88.0</v>
      </c>
      <c r="D23" s="100" t="str">
        <f>if(K19&lt;C23,"W",if(K19&gt;C23,"L",if(isblank(C23),"","T")))</f>
        <v>L</v>
      </c>
      <c r="E23" s="98">
        <v>30.0</v>
      </c>
      <c r="F23" s="100" t="str">
        <f>if(K20&lt;E23,"W",if(K20&gt;E23,"L",if(isblank(E23),"","T")))</f>
        <v>L</v>
      </c>
      <c r="G23" s="98">
        <v>72.0</v>
      </c>
      <c r="H23" s="100" t="str">
        <f>if(K21&lt;G23,"W",if(K21&gt;G23,"L",if(isblank(G23),"","T")))</f>
        <v>W</v>
      </c>
      <c r="I23" s="98">
        <v>78.0</v>
      </c>
      <c r="J23" s="100" t="str">
        <f>if(K22&lt;I23,"W",if(K22&gt;I23,"L",if(isblank(I23),"","T")))</f>
        <v>W</v>
      </c>
      <c r="K23" s="69"/>
      <c r="L23" s="70"/>
      <c r="M23" s="98">
        <v>112.0</v>
      </c>
      <c r="N23" s="77" t="str">
        <f>if(M23&gt;K24,"W",if(M23&lt;K24,"L",if(isblank(M23),"","T")))</f>
        <v>W</v>
      </c>
      <c r="O23" s="58">
        <f t="shared" si="17"/>
        <v>380</v>
      </c>
      <c r="P23" s="58">
        <f t="shared" si="18"/>
        <v>3</v>
      </c>
      <c r="Q23" s="58">
        <f t="shared" si="19"/>
        <v>0</v>
      </c>
      <c r="R23" s="63">
        <f t="shared" si="20"/>
        <v>2</v>
      </c>
      <c r="S23" s="63">
        <f>0.015*SUM(O19:O24)+IF(D23="W",150+C23,IF(D23="T",100+C23,IF(D23="L",IF((K19-C23)&lt;80,80-(K19-C23),0),0)))+IF(F23="W",150+E23,IF(F23="T",100+E23,IF(F23="L",IF((K20-E23)&lt;80,80-(K20-E23),0),0)))+IF(H23="W",150+G23,IF(H23="T",100+G23,IF(H23="L",IF((K21-G23)&lt;80,80-(K21-G23),0),0)))+IF(J23="W",150+I23,IF(J23="T",100+I23,IF(J23="L",IF((K22-I23)&lt;80,80-(K22-I23),0),0)))+IF(N23="W",150+M23,IF(N23="T",100+M23,IF(N23="L",IF((K24-M23)&lt;80,80-(K24-M23),0),0)))</f>
        <v>847.46</v>
      </c>
      <c r="T23" s="15"/>
      <c r="U23" s="320" t="s">
        <v>92</v>
      </c>
      <c r="V23" s="324">
        <v>70.0</v>
      </c>
      <c r="W23" s="325" t="str">
        <f>if(AD19&lt;V23,"W",if(AD19&gt;V23,"L",if(isblank(V23),"","T")))</f>
        <v>L</v>
      </c>
      <c r="X23" s="324">
        <v>84.0</v>
      </c>
      <c r="Y23" s="325" t="str">
        <f>if(AD20&lt;X23,"W",if(AD20&gt;X23,"L",if(isblank(X23),"","T")))</f>
        <v>W</v>
      </c>
      <c r="Z23" s="324">
        <v>120.0</v>
      </c>
      <c r="AA23" s="325" t="str">
        <f>if(AD21&lt;Z23,"W",if(AD21&gt;Z23,"L",if(isblank(Z23),"","T")))</f>
        <v>W</v>
      </c>
      <c r="AB23" s="324">
        <v>106.0</v>
      </c>
      <c r="AC23" s="325" t="str">
        <f>if(AD22&lt;AB23,"W",if(AD22&gt;AB23,"L",if(isblank(AB23),"","T")))</f>
        <v>W</v>
      </c>
      <c r="AD23" s="69"/>
      <c r="AE23" s="70"/>
      <c r="AF23" s="324">
        <v>130.0</v>
      </c>
      <c r="AG23" s="323" t="str">
        <f>if(AF23&gt;AD24,"W",if(AF23&lt;AD24,"L",if(isblank(AF23),"","T")))</f>
        <v>W</v>
      </c>
      <c r="AH23" s="58">
        <f t="shared" si="21"/>
        <v>510</v>
      </c>
      <c r="AI23" s="58">
        <f t="shared" si="22"/>
        <v>4</v>
      </c>
      <c r="AJ23" s="58">
        <f t="shared" si="23"/>
        <v>0</v>
      </c>
      <c r="AK23" s="63">
        <f t="shared" si="24"/>
        <v>1</v>
      </c>
      <c r="AL23" s="63">
        <f>0.015*SUM(AH19:AH24)+IF(W23="W",150+V23,IF(W23="T",100+V23,IF(W23="L",IF((AD19-V23)&lt;80,80-(AD19-V23),0),0)))+IF(Y23="W",150+X23,IF(Y23="T",100+X23,IF(Y23="L",IF((AD20-X23)&lt;80,80-(AD20-X23),0),0)))+IF(AA23="W",150+Z23,IF(AA23="T",100+Z23,IF(AA23="L",IF((AD21-Z23)&lt;80,80-(AD21-Z23),0),0)))+IF(AC23="W",150+AB23,IF(AC23="T",100+AB23,IF(AC23="L",IF((AD22-AB23)&lt;80,80-(AD22-AB23),0),0)))+IF(AG23="W",150+AF23,IF(AG23="T",100+AF23,IF(AG23="L",IF((AD24-AF23)&lt;80,80-(AD24-AF23),0),0)))</f>
        <v>1102.52</v>
      </c>
      <c r="AM23" s="15"/>
    </row>
    <row r="24">
      <c r="A24" s="15"/>
      <c r="B24" s="29" t="s">
        <v>139</v>
      </c>
      <c r="C24" s="98">
        <v>32.0</v>
      </c>
      <c r="D24" s="100" t="str">
        <f>if(M19&lt;C24,"W",if(M19&gt;C24,"L",if(isblank(C24),"","T")))</f>
        <v>L</v>
      </c>
      <c r="E24" s="98">
        <v>60.0</v>
      </c>
      <c r="F24" s="100" t="str">
        <f>if(M20&lt;E24,"W",if(M20&gt;E24,"L",if(isblank(E24),"","T")))</f>
        <v>L</v>
      </c>
      <c r="G24" s="98">
        <v>90.0</v>
      </c>
      <c r="H24" s="100" t="str">
        <f>if(M21&lt;G24,"W",if(M21&gt;G24,"L",if(isblank(G24),"","T")))</f>
        <v>W</v>
      </c>
      <c r="I24" s="98">
        <v>100.0</v>
      </c>
      <c r="J24" s="100" t="str">
        <f>if(M22&lt;I24,"W",if(M22&gt;I24,"L",if(isblank(I24),"","T")))</f>
        <v>W</v>
      </c>
      <c r="K24" s="98">
        <v>82.0</v>
      </c>
      <c r="L24" s="100" t="str">
        <f>if(M23&lt;K24,"W",if(M23&gt;K24,"L",if(isblank(K24),"","T")))</f>
        <v>L</v>
      </c>
      <c r="M24" s="69"/>
      <c r="N24" s="70"/>
      <c r="O24" s="58">
        <f t="shared" si="17"/>
        <v>364</v>
      </c>
      <c r="P24" s="58">
        <f t="shared" si="18"/>
        <v>2</v>
      </c>
      <c r="Q24" s="58">
        <f t="shared" si="19"/>
        <v>0</v>
      </c>
      <c r="R24" s="63">
        <f t="shared" si="20"/>
        <v>3</v>
      </c>
      <c r="S24" s="63">
        <f>0.015*SUM(O19:O24)+IF(D24="W",150+C24,IF(D24="T",100+C24,IF(D24="L",IF((M19-C24)&lt;80,80-(M19-C24),0),0)))+IF(F24="W",150+E24,IF(F24="T",100+E24,IF(F24="L",IF((M20-E24)&lt;80,80-(M20-E24),0),0)))+IF(H24="W",150+G24,IF(H24="T",100+G24,IF(H24="L",IF((M21-G24)&lt;80,80-(M21-G24),0),0)))+IF(J24="W",150+I24,IF(J24="T",100+I24,IF(J24="L",IF((M22-I24)&lt;80,80-(M22-I24),0),0)))+IF(L24="W",150+K24,IF(L24="T",100+K24,IF(L24="L",IF((M23-K24)&lt;80,80-(M23-K24),0),0)))</f>
        <v>629.46</v>
      </c>
      <c r="T24" s="15"/>
      <c r="U24" s="320" t="s">
        <v>143</v>
      </c>
      <c r="V24" s="324">
        <v>22.0</v>
      </c>
      <c r="W24" s="325" t="str">
        <f>if(AF19&lt;V24,"W",if(AF19&gt;V24,"L",if(isblank(V24),"","T")))</f>
        <v>L</v>
      </c>
      <c r="X24" s="324">
        <v>106.0</v>
      </c>
      <c r="Y24" s="325" t="str">
        <f>if(AF20&lt;X24,"W",if(AF20&gt;X24,"L",if(isblank(X24),"","T")))</f>
        <v>W</v>
      </c>
      <c r="Z24" s="324">
        <v>32.0</v>
      </c>
      <c r="AA24" s="325" t="str">
        <f>if(AF21&lt;Z24,"W",if(AF21&gt;Z24,"L",if(isblank(Z24),"","T")))</f>
        <v>L</v>
      </c>
      <c r="AB24" s="324">
        <v>90.0</v>
      </c>
      <c r="AC24" s="325" t="str">
        <f>if(AF22&lt;AB24,"W",if(AF22&gt;AB24,"L",if(isblank(AB24),"","T")))</f>
        <v>W</v>
      </c>
      <c r="AD24" s="324">
        <v>80.0</v>
      </c>
      <c r="AE24" s="325" t="str">
        <f>if(AF23&lt;AD24,"W",if(AF23&gt;AD24,"L",if(isblank(AD24),"","T")))</f>
        <v>L</v>
      </c>
      <c r="AF24" s="69"/>
      <c r="AG24" s="70"/>
      <c r="AH24" s="58">
        <f t="shared" si="21"/>
        <v>330</v>
      </c>
      <c r="AI24" s="58">
        <f t="shared" si="22"/>
        <v>2</v>
      </c>
      <c r="AJ24" s="58">
        <f t="shared" si="23"/>
        <v>0</v>
      </c>
      <c r="AK24" s="63">
        <f t="shared" si="24"/>
        <v>3</v>
      </c>
      <c r="AL24" s="63">
        <f>0.015*SUM(AH19:AH24)+IF(W24="W",150+V24,IF(W24="T",100+V24,IF(W24="L",IF((AF19-V24)&lt;80,80-(AF19-V24),0),0)))+IF(Y24="W",150+X24,IF(Y24="T",100+X24,IF(Y24="L",IF((AF20-X24)&lt;80,80-(AF20-X24),0),0)))+IF(AA24="W",150+Z24,IF(AA24="T",100+Z24,IF(AA24="L",IF((AF21-Z24)&lt;80,80-(AF21-Z24),0),0)))+IF(AC24="W",150+AB24,IF(AC24="T",100+AB24,IF(AC24="L",IF((AF22-AB24)&lt;80,80-(AF22-AB24),0),0)))+IF(AE24="W",150+AD24,IF(AE24="T",100+AD24,IF(AE24="L",IF((AF23-AD24)&lt;80,80-(AF23-AD24),0),0)))</f>
        <v>564.52</v>
      </c>
      <c r="AM24" s="15"/>
    </row>
    <row r="25">
      <c r="A25" s="13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13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139"/>
    </row>
    <row r="26">
      <c r="A26" s="15"/>
      <c r="B26" s="326" t="s">
        <v>260</v>
      </c>
      <c r="C26" s="152" t="s">
        <v>150</v>
      </c>
      <c r="D26" s="10"/>
      <c r="E26" s="152" t="s">
        <v>117</v>
      </c>
      <c r="F26" s="10"/>
      <c r="G26" s="152" t="s">
        <v>145</v>
      </c>
      <c r="H26" s="10"/>
      <c r="I26" s="152" t="s">
        <v>169</v>
      </c>
      <c r="J26" s="10"/>
      <c r="K26" s="152" t="s">
        <v>112</v>
      </c>
      <c r="L26" s="10"/>
      <c r="M26" s="152" t="s">
        <v>109</v>
      </c>
      <c r="N26" s="10"/>
      <c r="O26" s="155" t="s">
        <v>25</v>
      </c>
      <c r="P26" s="155" t="s">
        <v>26</v>
      </c>
      <c r="Q26" s="155" t="s">
        <v>27</v>
      </c>
      <c r="R26" s="155" t="s">
        <v>28</v>
      </c>
      <c r="S26" s="155" t="s">
        <v>29</v>
      </c>
      <c r="T26" s="15"/>
      <c r="U26" s="327" t="s">
        <v>322</v>
      </c>
      <c r="V26" s="328" t="s">
        <v>146</v>
      </c>
      <c r="W26" s="10"/>
      <c r="X26" s="328" t="s">
        <v>106</v>
      </c>
      <c r="Y26" s="10"/>
      <c r="Z26" s="328" t="s">
        <v>104</v>
      </c>
      <c r="AA26" s="10"/>
      <c r="AB26" s="328" t="s">
        <v>136</v>
      </c>
      <c r="AC26" s="10"/>
      <c r="AD26" s="328" t="s">
        <v>174</v>
      </c>
      <c r="AE26" s="10"/>
      <c r="AF26" s="328" t="s">
        <v>167</v>
      </c>
      <c r="AG26" s="10"/>
      <c r="AH26" s="329" t="s">
        <v>25</v>
      </c>
      <c r="AI26" s="329" t="s">
        <v>26</v>
      </c>
      <c r="AJ26" s="329" t="s">
        <v>27</v>
      </c>
      <c r="AK26" s="329" t="s">
        <v>28</v>
      </c>
      <c r="AL26" s="329" t="s">
        <v>29</v>
      </c>
      <c r="AM26" s="15"/>
    </row>
    <row r="27">
      <c r="A27" s="15"/>
      <c r="B27" s="152" t="s">
        <v>150</v>
      </c>
      <c r="C27" s="69"/>
      <c r="D27" s="70"/>
      <c r="E27" s="172">
        <v>60.0</v>
      </c>
      <c r="F27" s="175" t="str">
        <f>if(E27&gt;C28,"W",if(E27&lt;C28,"L",if(isblank(E27),"","T")))</f>
        <v>L</v>
      </c>
      <c r="G27" s="172">
        <v>76.0</v>
      </c>
      <c r="H27" s="175" t="str">
        <f>if(G27&gt;C29,"W",if(G27&lt;C29,"L",if(isblank(G27),"","T")))</f>
        <v>L</v>
      </c>
      <c r="I27" s="172">
        <v>138.0</v>
      </c>
      <c r="J27" s="175" t="str">
        <f>if(I27&gt;C30,"W",if(I27&lt;C30,"L",if(isblank(I27),"","T")))</f>
        <v>W</v>
      </c>
      <c r="K27" s="172">
        <v>74.0</v>
      </c>
      <c r="L27" s="175" t="str">
        <f>if(K27&gt;C31,"W",if(K27&lt;C31,"L",if(isblank(K27),"","T")))</f>
        <v>L</v>
      </c>
      <c r="M27" s="172">
        <v>74.0</v>
      </c>
      <c r="N27" s="175" t="str">
        <f>if(M27&gt;C32,"W",if(M27&lt;C32,"L",if(isblank(C32),"","T")))</f>
        <v>L</v>
      </c>
      <c r="O27" s="58">
        <f t="shared" ref="O27:O32" si="25">SUM(C27:N27)</f>
        <v>422</v>
      </c>
      <c r="P27" s="58">
        <f t="shared" ref="P27:P32" si="26">COUNTIF(C27:N27, "*W*")</f>
        <v>1</v>
      </c>
      <c r="Q27" s="58">
        <f t="shared" ref="Q27:Q32" si="27">COUNTIF(C27:N27, "*T*")</f>
        <v>0</v>
      </c>
      <c r="R27" s="63">
        <f t="shared" ref="R27:R32" si="28">COUNTIF(C27:N27, "*L*")</f>
        <v>4</v>
      </c>
      <c r="S27" s="63">
        <f>0.015*SUM(O27:O32)+IF(F27="W",150+E27,IF(F27="T",100+E27,IF(F27="L",IF((C28-E27)&lt;80,80-(C28-E27),0),0)))+IF(H27="W",150+G27,IF(H27="T",100+G27,IF(H27="L",IF((C29-G27)&lt;80,80-(C29-G27),0),0)))+IF(J27="W",150+I27,IF(J27="T",100+I27,IF(J27="L",IF((C30-I27)&lt;80,80-(C30-I27),0),0)))+IF(L27="W",150+K27,IF(L27="T",100+K27,IF(L27="L",IF((C31-K27)&lt;80,80-(C31-K27),0),0)))+IF(N27="W",150+M27,IF(N27="T",100+M27,IF(N27="L",IF((C32-M27)&lt;80,80-(C32-M27),0),0)))</f>
        <v>504.32</v>
      </c>
      <c r="T27" s="15"/>
      <c r="U27" s="328" t="s">
        <v>146</v>
      </c>
      <c r="V27" s="69"/>
      <c r="W27" s="70"/>
      <c r="X27" s="330">
        <v>24.0</v>
      </c>
      <c r="Y27" s="331" t="str">
        <f>if(X27&gt;V28,"W",if(X27&lt;V28,"L",if(isblank(X27),"","T")))</f>
        <v>L</v>
      </c>
      <c r="Z27" s="330">
        <v>42.0</v>
      </c>
      <c r="AA27" s="331" t="str">
        <f>if(Z27&gt;V29,"W",if(Z27&lt;V29,"L",if(isblank(Z27),"","T")))</f>
        <v>L</v>
      </c>
      <c r="AB27" s="330">
        <v>78.0</v>
      </c>
      <c r="AC27" s="331" t="str">
        <f>if(AB27&gt;V30,"W",if(AB27&lt;V30,"L",if(isblank(AB27),"","T")))</f>
        <v>L</v>
      </c>
      <c r="AD27" s="330">
        <v>92.0</v>
      </c>
      <c r="AE27" s="331" t="str">
        <f>if(AD27&gt;V31,"W",if(AD27&lt;V31,"L",if(isblank(AD27),"","T")))</f>
        <v>W</v>
      </c>
      <c r="AF27" s="330">
        <v>70.0</v>
      </c>
      <c r="AG27" s="331" t="str">
        <f>if(AF27&gt;V32,"W",if(AF27&lt;V32,"L",if(isblank(V32),"","T")))</f>
        <v>W</v>
      </c>
      <c r="AH27" s="58">
        <f t="shared" ref="AH27:AH32" si="29">SUM(V27:AG27)</f>
        <v>306</v>
      </c>
      <c r="AI27" s="58">
        <f t="shared" ref="AI27:AI32" si="30">COUNTIF(V27:AG27, "*W*")</f>
        <v>2</v>
      </c>
      <c r="AJ27" s="58">
        <f t="shared" ref="AJ27:AJ32" si="31">COUNTIF(V27:AG27, "*T*")</f>
        <v>0</v>
      </c>
      <c r="AK27" s="63">
        <f t="shared" ref="AK27:AK32" si="32">COUNTIF(V27:AG27, "*L*")</f>
        <v>3</v>
      </c>
      <c r="AL27" s="63">
        <f>0.015*SUM(AH27:AH32)+IF(Y27="W",150+X27,IF(Y27="T",100+X27,IF(Y27="L",IF((V28-X27)&lt;80,80-(V28-X27),0),0)))+IF(AA27="W",150+Z27,IF(AA27="T",100+Z27,IF(AA27="L",IF((V29-Z27)&lt;80,80-(V29-Z27),0),0)))+IF(AC27="W",150+AB27,IF(AC27="T",100+AB27,IF(AC27="L",IF((V30-AB27)&lt;80,80-(V30-AB27),0),0)))+IF(AE27="W",150+AD27,IF(AE27="T",100+AD27,IF(AE27="L",IF((V31-AD27)&lt;80,80-(V31-AD27),0),0)))+IF(AG27="W",150+AF27,IF(AG27="T",100+AF27,IF(AG27="L",IF((V32-AF27)&lt;80,80-(V32-AF27),0),0)))</f>
        <v>532.23</v>
      </c>
      <c r="AM27" s="15"/>
    </row>
    <row r="28">
      <c r="A28" s="15"/>
      <c r="B28" s="152" t="s">
        <v>117</v>
      </c>
      <c r="C28" s="195">
        <v>94.0</v>
      </c>
      <c r="D28" s="199" t="str">
        <f>if(E27&lt;C28,"W",if(E27&gt;C28,"L",if(isblank(C28),"","T")))</f>
        <v>W</v>
      </c>
      <c r="E28" s="69"/>
      <c r="F28" s="70"/>
      <c r="G28" s="195">
        <v>154.0</v>
      </c>
      <c r="H28" s="175" t="str">
        <f>if(G28&gt;E29,"W",if(G28&lt;E29,"L",if(isblank(G28),"","T")))</f>
        <v>W</v>
      </c>
      <c r="I28" s="195">
        <v>160.0</v>
      </c>
      <c r="J28" s="175" t="str">
        <f>if(I28&gt;E30,"W",if(I28&lt;E30,"L",if(isblank(I28),"","T")))</f>
        <v>W</v>
      </c>
      <c r="K28" s="195">
        <v>78.0</v>
      </c>
      <c r="L28" s="175" t="str">
        <f>if(K28&gt;E31,"W",if(K28&lt;E31,"L",if(isblank(K28),"","T")))</f>
        <v>W</v>
      </c>
      <c r="M28" s="195">
        <v>58.0</v>
      </c>
      <c r="N28" s="175" t="str">
        <f>if(M28&gt;E32,"W",if(M28&lt;E32,"L",if(isblank(M28),"","T")))</f>
        <v>L</v>
      </c>
      <c r="O28" s="58">
        <f t="shared" si="25"/>
        <v>544</v>
      </c>
      <c r="P28" s="58">
        <f t="shared" si="26"/>
        <v>4</v>
      </c>
      <c r="Q28" s="58">
        <f t="shared" si="27"/>
        <v>0</v>
      </c>
      <c r="R28" s="63">
        <f t="shared" si="28"/>
        <v>1</v>
      </c>
      <c r="S28" s="63">
        <f>0.015*SUM(O27:O32)+IF(D28="W",150+C28,IF(D28="T",100+C28,IF(D28="L",IF((E27-C28)&lt;80,80-(E27-C28),0),0)))+IF(H28="W",150+G28,IF(H28="T",100+G28,IF(H28="L",IF((E29-G28)&lt;80,80-(E29-G28),0),0)))+IF(J28="W",150+I28,IF(J28="T",100+I28,IF(J28="L",IF((E30-I28)&lt;80,80-(E30-I28),0),0)))+IF(L28="W",150+K28,IF(L28="T",100+K28,IF(L28="L",IF((E31-K28)&lt;80,80-(E31-K28),0),0)))+IF(N28="W",150+M28,IF(N28="T",100+M28,IF(N28="L",IF((E32-M28)&lt;80,80-(E32-M28),0),0)))</f>
        <v>1126.32</v>
      </c>
      <c r="T28" s="15"/>
      <c r="U28" s="328" t="s">
        <v>106</v>
      </c>
      <c r="V28" s="332">
        <v>182.0</v>
      </c>
      <c r="W28" s="333" t="str">
        <f>if(X27&lt;V28,"W",if(X27&gt;V28,"L",if(isblank(V28),"","T")))</f>
        <v>W</v>
      </c>
      <c r="X28" s="69"/>
      <c r="Y28" s="70"/>
      <c r="Z28" s="334">
        <v>58.0</v>
      </c>
      <c r="AA28" s="331" t="str">
        <f>if(Z28&gt;X29,"W",if(Z28&lt;X29,"L",if(isblank(Z28),"","T")))</f>
        <v>L</v>
      </c>
      <c r="AB28" s="334">
        <v>194.0</v>
      </c>
      <c r="AC28" s="331" t="str">
        <f>if(AB28&gt;X30,"W",if(AB28&lt;X30,"L",if(isblank(AB28),"","T")))</f>
        <v>W</v>
      </c>
      <c r="AD28" s="334">
        <v>120.0</v>
      </c>
      <c r="AE28" s="331" t="str">
        <f>if(AD28&gt;X31,"W",if(AD28&lt;X31,"L",if(isblank(AD28),"","T")))</f>
        <v>W</v>
      </c>
      <c r="AF28" s="334">
        <v>214.0</v>
      </c>
      <c r="AG28" s="331" t="str">
        <f>if(AF28&gt;X32,"W",if(AF28&lt;X32,"L",if(isblank(AF28),"","T")))</f>
        <v>W</v>
      </c>
      <c r="AH28" s="58">
        <f t="shared" si="29"/>
        <v>768</v>
      </c>
      <c r="AI28" s="58">
        <f t="shared" si="30"/>
        <v>4</v>
      </c>
      <c r="AJ28" s="58">
        <f t="shared" si="31"/>
        <v>0</v>
      </c>
      <c r="AK28" s="63">
        <f t="shared" si="32"/>
        <v>1</v>
      </c>
      <c r="AL28" s="63">
        <f>0.015*SUM(AH27:AH32)+IF(W28="W",150+V28,IF(W28="T",100+V28,IF(W28="L",IF((X27-V28)&lt;80,80-(X27-V28),0),0)))+IF(AA28="W",150+Z28,IF(AA28="T",100+Z28,IF(AA28="L",IF((X29-Z28)&lt;80,80-(X29-Z28),0),0)))+IF(AC28="W",150+AB28,IF(AC28="T",100+AB28,IF(AC28="L",IF((X30-AB28)&lt;80,80-(X30-AB28),0),0)))+IF(AE28="W",150+AD28,IF(AE28="T",100+AD28,IF(AE28="L",IF((X31-AD28)&lt;80,80-(X31-AD28),0),0)))+IF(AG28="W",150+AF28,IF(AG28="T",100+AF28,IF(AG28="L",IF((X32-AF28)&lt;80,80-(X32-AF28),0),0)))</f>
        <v>1350.23</v>
      </c>
      <c r="AM28" s="15"/>
    </row>
    <row r="29">
      <c r="A29" s="15"/>
      <c r="B29" s="152" t="s">
        <v>145</v>
      </c>
      <c r="C29" s="195">
        <v>106.0</v>
      </c>
      <c r="D29" s="199" t="str">
        <f>if(G27&lt;C29,"W",if(G27&gt;C29,"L",if(isblank(C29),"","T")))</f>
        <v>W</v>
      </c>
      <c r="E29" s="195">
        <v>84.0</v>
      </c>
      <c r="F29" s="199" t="str">
        <f>if(G28&lt;E29,"W",if(G28&gt;E29,"L",if(isblank(E29),"","T")))</f>
        <v>L</v>
      </c>
      <c r="G29" s="69"/>
      <c r="H29" s="70"/>
      <c r="I29" s="195">
        <v>80.0</v>
      </c>
      <c r="J29" s="175" t="str">
        <f>if(I29&gt;G30,"W",if(I29&lt;G30,"L",if(isblank(I29),"","T")))</f>
        <v>W</v>
      </c>
      <c r="K29" s="195">
        <v>62.0</v>
      </c>
      <c r="L29" s="175" t="str">
        <f>if(K29&gt;G31,"W",if(K29&lt;G31,"L",if(isblank(K29),"","T")))</f>
        <v>L</v>
      </c>
      <c r="M29" s="195">
        <v>38.0</v>
      </c>
      <c r="N29" s="175" t="str">
        <f>if(M29&gt;G32,"W",if(M29&lt;G32,"L",if(isblank(M29),"","T")))</f>
        <v>L</v>
      </c>
      <c r="O29" s="58">
        <f t="shared" si="25"/>
        <v>370</v>
      </c>
      <c r="P29" s="58">
        <f t="shared" si="26"/>
        <v>2</v>
      </c>
      <c r="Q29" s="58">
        <f t="shared" si="27"/>
        <v>0</v>
      </c>
      <c r="R29" s="63">
        <f t="shared" si="28"/>
        <v>3</v>
      </c>
      <c r="S29" s="63">
        <f>0.015*SUM(O27:O32)+IF(D29="W",150+C29,IF(D29="T",100+C29,IF(D29="L",IF((G27-C29)&lt;80,80-(G27-C29),0),0)))+IF(F29="W",150+E29,IF(F29="T",100+E29,IF(F29="L",IF((G28-E29)&lt;80,80-(G28-E29),0),0)))+IF(J29="W",150+I29,IF(J29="T",100+I29,IF(J29="L",IF((G30-I29)&lt;80,80-(G30-I29),0),0)))+IF(L29="W",150+K29,IF(L29="T",100+K29,IF(L29="L",IF((G31-K29)&lt;80,80-(G31-K29),0),0)))+IF(N29="W",150+M29,IF(N29="T",100+M29,IF(N29="L",IF((G32-M29)&lt;80,80-(G32-M29),0),0)))</f>
        <v>536.32</v>
      </c>
      <c r="T29" s="15"/>
      <c r="U29" s="328" t="s">
        <v>104</v>
      </c>
      <c r="V29" s="332">
        <v>168.0</v>
      </c>
      <c r="W29" s="333" t="str">
        <f>if(Z27&lt;V29,"W",if(Z27&gt;V29,"L",if(isblank(V29),"","T")))</f>
        <v>W</v>
      </c>
      <c r="X29" s="334">
        <v>160.0</v>
      </c>
      <c r="Y29" s="335" t="str">
        <f>if(Z28&lt;X29,"W",if(Z28&gt;X29,"L",if(isblank(X29),"","T")))</f>
        <v>W</v>
      </c>
      <c r="Z29" s="69"/>
      <c r="AA29" s="70"/>
      <c r="AB29" s="334">
        <v>134.0</v>
      </c>
      <c r="AC29" s="331" t="str">
        <f>if(AB29&gt;Z30,"W",if(AB29&lt;Z30,"L",if(isblank(AB29),"","T")))</f>
        <v>W</v>
      </c>
      <c r="AD29" s="334">
        <v>146.0</v>
      </c>
      <c r="AE29" s="331" t="str">
        <f>if(AD29&gt;Z31,"W",if(AD29&lt;Z31,"L",if(isblank(AD29),"","T")))</f>
        <v>W</v>
      </c>
      <c r="AF29" s="334">
        <v>156.0</v>
      </c>
      <c r="AG29" s="331" t="str">
        <f>if(AF29&gt;Z32,"W",if(AF29&lt;Z32,"L",if(isblank(AF29),"","T")))</f>
        <v>W</v>
      </c>
      <c r="AH29" s="58">
        <f t="shared" si="29"/>
        <v>764</v>
      </c>
      <c r="AI29" s="58">
        <f t="shared" si="30"/>
        <v>5</v>
      </c>
      <c r="AJ29" s="58">
        <f t="shared" si="31"/>
        <v>0</v>
      </c>
      <c r="AK29" s="63">
        <f t="shared" si="32"/>
        <v>0</v>
      </c>
      <c r="AL29" s="63">
        <f>0.015*SUM(AH27:AH32)+IF(W29="W",150+V29,IF(W29="T",100+V29,IF(W29="L",IF((Z27-V29)&lt;80,80-(Z27-V29),0),0)))+IF(Y29="W",150+X29,IF(Y29="T",100+X29,IF(Y29="L",IF((Z28-X29)&lt;80,80-(Z28-X29),0),0)))+IF(AC29="W",150+AB29,IF(AC29="T",100+AB29,IF(AC29="L",IF((Z30-AB29)&lt;80,80-(Z30-AB29),0),0)))+IF(AE29="W",150+AD29,IF(AE29="T",100+AD29,IF(AE29="L",IF((Z31-AD29)&lt;80,80-(Z31-AD29),0),0)))+IF(AG29="W",150+AF29,IF(AG29="T",100+AF29,IF(AG29="L",IF((Z32-AF29)&lt;80,80-(Z32-AF29),0),0)))</f>
        <v>1554.23</v>
      </c>
      <c r="AM29" s="15"/>
    </row>
    <row r="30">
      <c r="A30" s="15"/>
      <c r="B30" s="152" t="s">
        <v>169</v>
      </c>
      <c r="C30" s="195">
        <v>0.0</v>
      </c>
      <c r="D30" s="199" t="str">
        <f>if(I27&lt;C30,"W",if(I27&gt;C30,"L",if(isblank(C30),"","T")))</f>
        <v>L</v>
      </c>
      <c r="E30" s="195">
        <v>0.0</v>
      </c>
      <c r="F30" s="199" t="str">
        <f>if(I28&lt;E30,"W",if(I28&gt;E30,"L",if(isblank(E30),"","T")))</f>
        <v>L</v>
      </c>
      <c r="G30" s="195">
        <v>0.0</v>
      </c>
      <c r="H30" s="199" t="str">
        <f>if(I29&lt;G30,"W",if(I29&gt;G30,"L",if(isblank(G30),"","T")))</f>
        <v>L</v>
      </c>
      <c r="I30" s="69"/>
      <c r="J30" s="70"/>
      <c r="K30" s="195">
        <v>22.0</v>
      </c>
      <c r="L30" s="175" t="str">
        <f>if(K30&gt;I31,"W",if(K30&lt;I31,"L",if(isblank(K30),"","T")))</f>
        <v>L</v>
      </c>
      <c r="M30" s="195">
        <v>0.0</v>
      </c>
      <c r="N30" s="175" t="str">
        <f>if(M30&gt;I32,"W",if(M30&lt;I32,"L",if(isblank(M30),"","T")))</f>
        <v>L</v>
      </c>
      <c r="O30" s="58">
        <f t="shared" si="25"/>
        <v>22</v>
      </c>
      <c r="P30" s="58">
        <f t="shared" si="26"/>
        <v>0</v>
      </c>
      <c r="Q30" s="58">
        <f t="shared" si="27"/>
        <v>0</v>
      </c>
      <c r="R30" s="63">
        <f t="shared" si="28"/>
        <v>5</v>
      </c>
      <c r="S30" s="63">
        <f>0.015*SUM(O27:O32)+IF(D30="W",150+C30,IF(D30="T",100+C30,IF(D30="L",IF((I27-C30)&lt;80,80-(I27-C30),0),0)))+IF(F30="W",150+E30,IF(F30="T",100+E30,IF(F30="L",IF((I28-E30)&lt;80,80-(I28-E30),0),0)))+IF(H30="W",150+G30,IF(H30="T",100+G30,IF(H30="L",IF((I29-G30)&lt;80,80-(I29-G30),0),0)))+IF(L30="W",150+K30,IF(L30="T",100+K30,IF(L30="L",IF((I31-K30)&lt;80,80-(I31-K30),0),0)))+IF(N30="W",150+M30,IF(N30="T",100+M30,IF(N30="L",IF((I32-M30)&lt;80,80-(I32-M30),0),0)))</f>
        <v>40.32</v>
      </c>
      <c r="T30" s="15"/>
      <c r="U30" s="328" t="s">
        <v>136</v>
      </c>
      <c r="V30" s="332">
        <v>128.0</v>
      </c>
      <c r="W30" s="333" t="str">
        <f>if(AB27&lt;V30,"W",if(AB27&gt;V30,"L",if(isblank(V30),"","T")))</f>
        <v>W</v>
      </c>
      <c r="X30" s="334">
        <v>50.0</v>
      </c>
      <c r="Y30" s="335" t="str">
        <f>if(AB28&lt;X30,"W",if(AB28&gt;X30,"L",if(isblank(X30),"","T")))</f>
        <v>L</v>
      </c>
      <c r="Z30" s="334">
        <v>28.0</v>
      </c>
      <c r="AA30" s="335" t="str">
        <f>if(AB29&lt;Z30,"W",if(AB29&gt;Z30,"L",if(isblank(Z30),"","T")))</f>
        <v>L</v>
      </c>
      <c r="AB30" s="69"/>
      <c r="AC30" s="70"/>
      <c r="AD30" s="334">
        <v>50.0</v>
      </c>
      <c r="AE30" s="331" t="str">
        <f>if(AD30&gt;AB31,"W",if(AD30&lt;AB31,"L",if(isblank(AD30),"","T")))</f>
        <v>L</v>
      </c>
      <c r="AF30" s="334">
        <v>132.0</v>
      </c>
      <c r="AG30" s="331" t="str">
        <f>if(AF30&gt;AB32,"W",if(AF30&lt;AB32,"L",if(isblank(AF30),"","T")))</f>
        <v>W</v>
      </c>
      <c r="AH30" s="58">
        <f t="shared" si="29"/>
        <v>388</v>
      </c>
      <c r="AI30" s="58">
        <f t="shared" si="30"/>
        <v>2</v>
      </c>
      <c r="AJ30" s="58">
        <f t="shared" si="31"/>
        <v>0</v>
      </c>
      <c r="AK30" s="63">
        <f t="shared" si="32"/>
        <v>3</v>
      </c>
      <c r="AL30" s="63">
        <f>0.015*SUM(AH27:AH32)+IF(W30="W",150+V30,IF(W30="T",100+V30,IF(W30="L",IF((AB27-V30)&lt;80,80-(AB27-V30),0),0)))+IF(Y30="W",150+X30,IF(Y30="T",100+X30,IF(Y30="L",IF((AB28-X30)&lt;80,80-(AB28-X30),0),0)))+IF(AA30="W",150+Z30,IF(AA30="T",100+Z30,IF(AA30="L",IF((AB29-Z30)&lt;80,80-(AB29-Z30),0),0)))+IF(AE30="W",150+AD30,IF(AE30="T",100+AD30,IF(AE30="L",IF((AB31-AD30)&lt;80,80-(AB31-AD30),0),0)))+IF(AG30="W",150+AF30,IF(AG30="T",100+AF30,IF(AG30="L",IF((AB32-AF30)&lt;80,80-(AB32-AF30),0),0)))</f>
        <v>650.23</v>
      </c>
      <c r="AM30" s="15"/>
    </row>
    <row r="31">
      <c r="A31" s="15"/>
      <c r="B31" s="152" t="s">
        <v>112</v>
      </c>
      <c r="C31" s="195">
        <v>104.0</v>
      </c>
      <c r="D31" s="199" t="str">
        <f>if(K27&lt;C31,"W",if(K27&gt;C31,"L",if(isblank(C31),"","T")))</f>
        <v>W</v>
      </c>
      <c r="E31" s="195">
        <v>68.0</v>
      </c>
      <c r="F31" s="199" t="str">
        <f>if(K28&lt;E31,"W",if(K28&gt;E31,"L",if(isblank(E31),"","T")))</f>
        <v>L</v>
      </c>
      <c r="G31" s="195">
        <v>164.0</v>
      </c>
      <c r="H31" s="199" t="str">
        <f>if(K29&lt;G31,"W",if(K29&gt;G31,"L",if(isblank(G31),"","T")))</f>
        <v>W</v>
      </c>
      <c r="I31" s="195">
        <v>138.0</v>
      </c>
      <c r="J31" s="199" t="str">
        <f>if(K30&lt;I31,"W",if(K30&gt;I31,"L",if(isblank(I31),"","T")))</f>
        <v>W</v>
      </c>
      <c r="K31" s="69"/>
      <c r="L31" s="70"/>
      <c r="M31" s="195">
        <v>108.0</v>
      </c>
      <c r="N31" s="175" t="str">
        <f>if(M31&gt;K32,"W",if(M31&lt;K32,"L",if(isblank(M31),"","T")))</f>
        <v>W</v>
      </c>
      <c r="O31" s="58">
        <f t="shared" si="25"/>
        <v>582</v>
      </c>
      <c r="P31" s="58">
        <f t="shared" si="26"/>
        <v>4</v>
      </c>
      <c r="Q31" s="58">
        <f t="shared" si="27"/>
        <v>0</v>
      </c>
      <c r="R31" s="63">
        <f t="shared" si="28"/>
        <v>1</v>
      </c>
      <c r="S31" s="63">
        <f>0.015*SUM(O27:O32)+IF(D31="W",150+C31,IF(D31="T",100+C31,IF(D31="L",IF((K27-C31)&lt;80,80-(K27-C31),0),0)))+IF(F31="W",150+E31,IF(F31="T",100+E31,IF(F31="L",IF((K28-E31)&lt;80,80-(K28-E31),0),0)))+IF(H31="W",150+G31,IF(H31="T",100+G31,IF(H31="L",IF((K29-G31)&lt;80,80-(K29-G31),0),0)))+IF(J31="W",150+I31,IF(J31="T",100+I31,IF(J31="L",IF((K30-I31)&lt;80,80-(K30-I31),0),0)))+IF(N31="W",150+M31,IF(N31="T",100+M31,IF(N31="L",IF((K32-M31)&lt;80,80-(K32-M31),0),0)))</f>
        <v>1224.32</v>
      </c>
      <c r="T31" s="15"/>
      <c r="U31" s="328" t="s">
        <v>138</v>
      </c>
      <c r="V31" s="332">
        <v>90.0</v>
      </c>
      <c r="W31" s="333" t="str">
        <f>if(AD27&lt;V31,"W",if(AD27&gt;V31,"L",if(isblank(V31),"","T")))</f>
        <v>L</v>
      </c>
      <c r="X31" s="334">
        <v>40.0</v>
      </c>
      <c r="Y31" s="335" t="str">
        <f>if(AD28&lt;X31,"W",if(AD28&gt;X31,"L",if(isblank(X31),"","T")))</f>
        <v>L</v>
      </c>
      <c r="Z31" s="334">
        <v>34.0</v>
      </c>
      <c r="AA31" s="335" t="str">
        <f>if(AD29&lt;Z31,"W",if(AD29&gt;Z31,"L",if(isblank(Z31),"","T")))</f>
        <v>L</v>
      </c>
      <c r="AB31" s="334">
        <v>80.0</v>
      </c>
      <c r="AC31" s="335" t="str">
        <f>if(AD30&lt;AB31,"W",if(AD30&gt;AB31,"L",if(isblank(AB31),"","T")))</f>
        <v>W</v>
      </c>
      <c r="AD31" s="69"/>
      <c r="AE31" s="70"/>
      <c r="AF31" s="334">
        <v>146.0</v>
      </c>
      <c r="AG31" s="331" t="str">
        <f>if(AF31&gt;AD32,"W",if(AF31&lt;AD32,"L",if(isblank(AF31),"","T")))</f>
        <v>W</v>
      </c>
      <c r="AH31" s="58">
        <f t="shared" si="29"/>
        <v>390</v>
      </c>
      <c r="AI31" s="58">
        <f t="shared" si="30"/>
        <v>2</v>
      </c>
      <c r="AJ31" s="58">
        <f t="shared" si="31"/>
        <v>0</v>
      </c>
      <c r="AK31" s="63">
        <f t="shared" si="32"/>
        <v>3</v>
      </c>
      <c r="AL31" s="63">
        <f>0.015*SUM(AH27:AH32)+IF(W31="W",150+V31,IF(W31="T",100+V31,IF(W31="L",IF((AD27-V31)&lt;80,80-(AD27-V31),0),0)))+IF(Y31="W",150+X31,IF(Y31="T",100+X31,IF(Y31="L",IF((AD28-X31)&lt;80,80-(AD28-X31),0),0)))+IF(AA31="W",150+Z31,IF(AA31="T",100+Z31,IF(AA31="L",IF((AD29-Z31)&lt;80,80-(AD29-Z31),0),0)))+IF(AC31="W",150+AB31,IF(AC31="T",100+AB31,IF(AC31="L",IF((AD30-AB31)&lt;80,80-(AD30-AB31),0),0)))+IF(AG31="W",150+AF31,IF(AG31="T",100+AF31,IF(AG31="L",IF((AD32-AF31)&lt;80,80-(AD32-AF31),0),0)))</f>
        <v>644.23</v>
      </c>
      <c r="AM31" s="15"/>
    </row>
    <row r="32">
      <c r="A32" s="15"/>
      <c r="B32" s="152" t="s">
        <v>109</v>
      </c>
      <c r="C32" s="195">
        <v>124.0</v>
      </c>
      <c r="D32" s="199" t="str">
        <f>if(M27&lt;C32,"W",if(M27&gt;C32,"L",if(isblank(C32),"","T")))</f>
        <v>W</v>
      </c>
      <c r="E32" s="195">
        <v>160.0</v>
      </c>
      <c r="F32" s="199" t="str">
        <f>if(M28&lt;E32,"W",if(M28&gt;E32,"L",if(isblank(E32),"","T")))</f>
        <v>W</v>
      </c>
      <c r="G32" s="195">
        <v>160.0</v>
      </c>
      <c r="H32" s="199" t="str">
        <f>if(M29&lt;G32,"W",if(M29&gt;G32,"L",if(isblank(G32),"","T")))</f>
        <v>W</v>
      </c>
      <c r="I32" s="195">
        <v>202.0</v>
      </c>
      <c r="J32" s="199" t="str">
        <f>if(M30&lt;I32,"W",if(M30&gt;I32,"L",if(isblank(I32),"","T")))</f>
        <v>W</v>
      </c>
      <c r="K32" s="195">
        <v>102.0</v>
      </c>
      <c r="L32" s="199" t="str">
        <f>if(M31&lt;K32,"W",if(M31&gt;K32,"L",if(isblank(K32),"","T")))</f>
        <v>L</v>
      </c>
      <c r="M32" s="69"/>
      <c r="N32" s="70"/>
      <c r="O32" s="58">
        <f t="shared" si="25"/>
        <v>748</v>
      </c>
      <c r="P32" s="58">
        <f t="shared" si="26"/>
        <v>4</v>
      </c>
      <c r="Q32" s="58">
        <f t="shared" si="27"/>
        <v>0</v>
      </c>
      <c r="R32" s="63">
        <f t="shared" si="28"/>
        <v>1</v>
      </c>
      <c r="S32" s="63">
        <f>0.015*SUM(O27:O32)+IF(D32="W",150+C32,IF(D32="T",100+C32,IF(D32="L",IF((M27-C32)&lt;80,80-(M27-C32),0),0)))+IF(F32="W",150+E32,IF(F32="T",100+E32,IF(F32="L",IF((M28-E32)&lt;80,80-(M28-E32),0),0)))+IF(H32="W",150+G32,IF(H32="T",100+G32,IF(H32="L",IF((M29-G32)&lt;80,80-(M29-G32),0),0)))+IF(J32="W",150+I32,IF(J32="T",100+I32,IF(J32="L",IF((M30-I32)&lt;80,80-(M30-I32),0),0)))+IF(L32="W",150+K32,IF(L32="T",100+K32,IF(L32="L",IF((M31-K32)&lt;80,80-(M31-K32),0),0)))</f>
        <v>1360.32</v>
      </c>
      <c r="T32" s="336"/>
      <c r="U32" s="328" t="s">
        <v>167</v>
      </c>
      <c r="V32" s="332">
        <v>16.0</v>
      </c>
      <c r="W32" s="333" t="str">
        <f>if(AF27&lt;V32,"W",if(AF27&gt;V32,"L",if(isblank(V32),"","T")))</f>
        <v>L</v>
      </c>
      <c r="X32" s="334">
        <v>14.0</v>
      </c>
      <c r="Y32" s="335" t="str">
        <f>if(AF28&lt;X32,"W",if(AF28&gt;X32,"L",if(isblank(X32),"","T")))</f>
        <v>L</v>
      </c>
      <c r="Z32" s="334">
        <v>-4.0</v>
      </c>
      <c r="AA32" s="335" t="str">
        <f>if(AF29&lt;Z32,"W",if(AF29&gt;Z32,"L",if(isblank(Z32),"","T")))</f>
        <v>L</v>
      </c>
      <c r="AB32" s="334">
        <v>14.0</v>
      </c>
      <c r="AC32" s="335" t="str">
        <f>if(AF30&lt;AB32,"W",if(AF30&gt;AB32,"L",if(isblank(AB32),"","T")))</f>
        <v>L</v>
      </c>
      <c r="AD32" s="334">
        <v>26.0</v>
      </c>
      <c r="AE32" s="335" t="str">
        <f>if(AF31&lt;AD32,"W",if(AF31&gt;AD32,"L",if(isblank(AD32),"","T")))</f>
        <v>L</v>
      </c>
      <c r="AF32" s="69"/>
      <c r="AG32" s="70"/>
      <c r="AH32" s="58">
        <f t="shared" si="29"/>
        <v>66</v>
      </c>
      <c r="AI32" s="58">
        <f t="shared" si="30"/>
        <v>0</v>
      </c>
      <c r="AJ32" s="58">
        <f t="shared" si="31"/>
        <v>0</v>
      </c>
      <c r="AK32" s="63">
        <f t="shared" si="32"/>
        <v>5</v>
      </c>
      <c r="AL32" s="63">
        <f>0.015*SUM(AH27:AH32)+IF(W32="W",150+V32,IF(W32="T",100+V32,IF(W32="L",IF((AF27-V32)&lt;80,80-(AF27-V32),0),0)))+IF(Y32="W",150+X32,IF(Y32="T",100+X32,IF(Y32="L",IF((AF28-X32)&lt;80,80-(AF28-X32),0),0)))+IF(AA32="W",150+Z32,IF(AA32="T",100+Z32,IF(AA32="L",IF((AF29-Z32)&lt;80,80-(AF29-Z32),0),0)))+IF(AC32="W",150+AB32,IF(AC32="T",100+AB32,IF(AC32="L",IF((AF30-AB32)&lt;80,80-(AF30-AB32),0),0)))+IF(AE32="W",150+AD32,IF(AE32="T",100+AD32,IF(AE32="L",IF((AF31-AD32)&lt;80,80-(AF31-AD32),0),0)))</f>
        <v>66.23</v>
      </c>
      <c r="AM32" s="15"/>
    </row>
    <row r="33">
      <c r="A33" s="337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338"/>
    </row>
  </sheetData>
  <mergeCells count="48">
    <mergeCell ref="X2:Y2"/>
    <mergeCell ref="Z2:AA2"/>
    <mergeCell ref="AB2:AC2"/>
    <mergeCell ref="AD2:AE2"/>
    <mergeCell ref="AF2:AG2"/>
    <mergeCell ref="C2:D2"/>
    <mergeCell ref="E2:F2"/>
    <mergeCell ref="G2:H2"/>
    <mergeCell ref="I2:J2"/>
    <mergeCell ref="K2:L2"/>
    <mergeCell ref="M2:N2"/>
    <mergeCell ref="V2:W2"/>
    <mergeCell ref="X10:Y10"/>
    <mergeCell ref="Z10:AA10"/>
    <mergeCell ref="AB10:AC10"/>
    <mergeCell ref="AD10:AE10"/>
    <mergeCell ref="AF10:AG10"/>
    <mergeCell ref="C10:D10"/>
    <mergeCell ref="E10:F10"/>
    <mergeCell ref="G10:H10"/>
    <mergeCell ref="I10:J10"/>
    <mergeCell ref="K10:L10"/>
    <mergeCell ref="M10:N10"/>
    <mergeCell ref="V10:W10"/>
    <mergeCell ref="X18:Y18"/>
    <mergeCell ref="Z18:AA18"/>
    <mergeCell ref="AB18:AC18"/>
    <mergeCell ref="AD18:AE18"/>
    <mergeCell ref="AF18:AG18"/>
    <mergeCell ref="C18:D18"/>
    <mergeCell ref="E18:F18"/>
    <mergeCell ref="G18:H18"/>
    <mergeCell ref="I18:J18"/>
    <mergeCell ref="K18:L18"/>
    <mergeCell ref="M18:N18"/>
    <mergeCell ref="V18:W18"/>
    <mergeCell ref="X26:Y26"/>
    <mergeCell ref="Z26:AA26"/>
    <mergeCell ref="AB26:AC26"/>
    <mergeCell ref="AD26:AE26"/>
    <mergeCell ref="AF26:AG26"/>
    <mergeCell ref="C26:D26"/>
    <mergeCell ref="E26:F26"/>
    <mergeCell ref="G26:H26"/>
    <mergeCell ref="I26:J26"/>
    <mergeCell ref="K26:L26"/>
    <mergeCell ref="M26:N26"/>
    <mergeCell ref="V26:W26"/>
  </mergeCells>
  <conditionalFormatting sqref="A1:AM33">
    <cfRule type="cellIs" dxfId="0" priority="1" operator="equal">
      <formula>"W"</formula>
    </cfRule>
  </conditionalFormatting>
  <conditionalFormatting sqref="A1:AM33">
    <cfRule type="cellIs" dxfId="1" priority="2" operator="equal">
      <formula>"L"</formula>
    </cfRule>
  </conditionalFormatting>
  <conditionalFormatting sqref="A1:AM33">
    <cfRule type="cellIs" dxfId="2" priority="3" operator="equal">
      <formula>"T"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88"/>
    <col customWidth="1" min="3" max="4" width="15.13"/>
    <col customWidth="1" min="5" max="5" width="2.88"/>
    <col customWidth="1" min="6" max="6" width="15.13"/>
    <col customWidth="1" min="7" max="7" width="5.13"/>
    <col customWidth="1" min="8" max="8" width="15.13"/>
    <col customWidth="1" min="9" max="9" width="5.13"/>
    <col customWidth="1" min="10" max="10" width="15.13"/>
    <col customWidth="1" min="11" max="11" width="5.13"/>
    <col customWidth="1" min="12" max="12" width="15.13"/>
    <col customWidth="1" min="13" max="13" width="5.13"/>
    <col customWidth="1" min="14" max="14" width="15.13"/>
    <col customWidth="1" min="15" max="15" width="5.13"/>
    <col customWidth="1" min="16" max="16" width="15.13"/>
    <col customWidth="1" min="17" max="17" width="5.13"/>
    <col customWidth="1" min="18" max="18" width="15.13"/>
    <col customWidth="1" min="19" max="19" width="5.13"/>
    <col customWidth="1" min="20" max="20" width="15.13"/>
    <col customWidth="1" min="21" max="21" width="5.13"/>
    <col customWidth="1" min="22" max="22" width="15.13"/>
    <col customWidth="1" min="23" max="24" width="5.13"/>
    <col customWidth="1" min="25" max="25" width="22.63"/>
    <col customWidth="1" min="26" max="26" width="2.88"/>
  </cols>
  <sheetData>
    <row r="1">
      <c r="A1" s="5"/>
      <c r="B1" s="5"/>
      <c r="C1" s="5"/>
      <c r="D1" s="5"/>
      <c r="E1" s="5"/>
      <c r="F1" s="7" t="s">
        <v>0</v>
      </c>
      <c r="G1" s="10"/>
      <c r="H1" s="7" t="s">
        <v>2</v>
      </c>
      <c r="I1" s="10"/>
      <c r="J1" s="7" t="s">
        <v>3</v>
      </c>
      <c r="K1" s="10"/>
      <c r="L1" s="7" t="s">
        <v>4</v>
      </c>
      <c r="M1" s="10"/>
      <c r="N1" s="7" t="s">
        <v>5</v>
      </c>
      <c r="O1" s="10"/>
      <c r="P1" s="7" t="s">
        <v>6</v>
      </c>
      <c r="Q1" s="10"/>
      <c r="R1" s="7" t="s">
        <v>7</v>
      </c>
      <c r="S1" s="10"/>
      <c r="T1" s="7" t="s">
        <v>8</v>
      </c>
      <c r="U1" s="10"/>
      <c r="V1" s="7" t="s">
        <v>9</v>
      </c>
      <c r="W1" s="13"/>
      <c r="X1" s="10"/>
      <c r="Y1" s="20"/>
      <c r="Z1" s="20"/>
    </row>
    <row r="2">
      <c r="A2" s="20"/>
      <c r="B2" s="22" t="s">
        <v>20</v>
      </c>
      <c r="C2" s="13"/>
      <c r="D2" s="1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8"/>
      <c r="B3" s="34" t="s">
        <v>39</v>
      </c>
      <c r="C3" s="34" t="s">
        <v>45</v>
      </c>
      <c r="D3" s="34" t="s">
        <v>29</v>
      </c>
      <c r="E3" s="28"/>
      <c r="F3" s="38" t="s">
        <v>33</v>
      </c>
      <c r="G3" s="43">
        <v>180.0</v>
      </c>
      <c r="H3" s="44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>
      <c r="A4" s="5"/>
      <c r="B4" s="46">
        <v>1.0</v>
      </c>
      <c r="C4" s="49" t="str">
        <f t="array" ref="C4:D52">SORT(Calculation!B3:C69, 2, FALSE)</f>
        <v>Clang! Cloom! Clash!</v>
      </c>
      <c r="D4" s="49">
        <v>1637.76</v>
      </c>
      <c r="E4" s="5"/>
      <c r="F4" s="52" t="s">
        <v>65</v>
      </c>
      <c r="G4" s="28"/>
      <c r="H4" s="54" t="s">
        <v>78</v>
      </c>
      <c r="I4" s="55"/>
      <c r="J4" s="38" t="s">
        <v>33</v>
      </c>
      <c r="K4" s="43">
        <v>138.0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8"/>
      <c r="B5" s="57">
        <v>2.0</v>
      </c>
      <c r="C5" s="59" t="s">
        <v>91</v>
      </c>
      <c r="D5" s="49">
        <v>1614.52</v>
      </c>
      <c r="E5" s="28"/>
      <c r="F5" s="61" t="s">
        <v>92</v>
      </c>
      <c r="G5" s="43">
        <v>30.0</v>
      </c>
      <c r="H5" s="62"/>
      <c r="I5" s="65"/>
      <c r="J5" s="65"/>
      <c r="K5" s="28"/>
      <c r="L5" s="67"/>
      <c r="M5" s="72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0"/>
      <c r="B6" s="57">
        <v>3.0</v>
      </c>
      <c r="C6" s="49" t="s">
        <v>104</v>
      </c>
      <c r="D6" s="59">
        <v>1554.23</v>
      </c>
      <c r="E6" s="20"/>
      <c r="F6" s="28"/>
      <c r="G6" s="28"/>
      <c r="H6" s="28"/>
      <c r="I6" s="28"/>
      <c r="J6" s="52" t="s">
        <v>65</v>
      </c>
      <c r="K6" s="28"/>
      <c r="L6" s="78" t="s">
        <v>78</v>
      </c>
      <c r="M6" s="55"/>
      <c r="N6" s="38" t="s">
        <v>33</v>
      </c>
      <c r="O6" s="43">
        <v>126.0</v>
      </c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8"/>
      <c r="B7" s="57">
        <v>4.0</v>
      </c>
      <c r="C7" s="49" t="s">
        <v>105</v>
      </c>
      <c r="D7" s="49">
        <v>1533.46</v>
      </c>
      <c r="E7" s="28"/>
      <c r="F7" s="80" t="s">
        <v>106</v>
      </c>
      <c r="G7" s="43">
        <v>82.0</v>
      </c>
      <c r="H7" s="28"/>
      <c r="I7" s="28"/>
      <c r="J7" s="28"/>
      <c r="K7" s="28"/>
      <c r="L7" s="67"/>
      <c r="M7" s="28"/>
      <c r="N7" s="28"/>
      <c r="O7" s="28"/>
      <c r="P7" s="67"/>
      <c r="Q7" s="72"/>
      <c r="R7" s="28"/>
      <c r="S7" s="28"/>
      <c r="T7" s="28"/>
      <c r="U7" s="28"/>
      <c r="V7" s="28"/>
      <c r="W7" s="28"/>
      <c r="X7" s="28"/>
      <c r="Y7" s="28"/>
      <c r="Z7" s="28"/>
    </row>
    <row r="8">
      <c r="A8" s="5"/>
      <c r="B8" s="57">
        <v>5.0</v>
      </c>
      <c r="C8" s="49" t="s">
        <v>107</v>
      </c>
      <c r="D8" s="49">
        <v>1449.38</v>
      </c>
      <c r="E8" s="5"/>
      <c r="F8" s="52" t="s">
        <v>108</v>
      </c>
      <c r="G8" s="28"/>
      <c r="H8" s="54" t="s">
        <v>78</v>
      </c>
      <c r="I8" s="55"/>
      <c r="J8" s="61" t="s">
        <v>35</v>
      </c>
      <c r="K8" s="43">
        <v>46.0</v>
      </c>
      <c r="L8" s="67"/>
      <c r="M8" s="28"/>
      <c r="N8" s="28"/>
      <c r="O8" s="28"/>
      <c r="P8" s="67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8"/>
      <c r="B9" s="57">
        <v>6.0</v>
      </c>
      <c r="C9" s="49" t="s">
        <v>48</v>
      </c>
      <c r="D9" s="49">
        <v>1435.26</v>
      </c>
      <c r="E9" s="28"/>
      <c r="F9" s="81" t="s">
        <v>35</v>
      </c>
      <c r="G9" s="43">
        <v>108.0</v>
      </c>
      <c r="H9" s="62"/>
      <c r="I9" s="65"/>
      <c r="J9" s="65"/>
      <c r="K9" s="28"/>
      <c r="L9" s="28"/>
      <c r="M9" s="72"/>
      <c r="N9" s="28"/>
      <c r="O9" s="28"/>
      <c r="P9" s="67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0"/>
      <c r="B10" s="57">
        <v>7.0</v>
      </c>
      <c r="C10" s="49" t="s">
        <v>109</v>
      </c>
      <c r="D10" s="49">
        <v>1360.32</v>
      </c>
      <c r="E10" s="20"/>
      <c r="F10" s="28"/>
      <c r="G10" s="28"/>
      <c r="H10" s="28"/>
      <c r="I10" s="28"/>
      <c r="J10" s="82"/>
      <c r="K10" s="28"/>
      <c r="L10" s="28"/>
      <c r="M10" s="28"/>
      <c r="N10" s="5" t="s">
        <v>65</v>
      </c>
      <c r="O10" s="28"/>
      <c r="P10" s="78" t="s">
        <v>78</v>
      </c>
      <c r="Q10" s="55"/>
      <c r="R10" s="38" t="s">
        <v>33</v>
      </c>
      <c r="S10" s="43">
        <v>46.0</v>
      </c>
      <c r="T10" s="28"/>
      <c r="U10" s="28"/>
      <c r="V10" s="28"/>
      <c r="W10" s="28"/>
      <c r="X10" s="28"/>
      <c r="Y10" s="28"/>
      <c r="Z10" s="28"/>
    </row>
    <row r="11">
      <c r="A11" s="28"/>
      <c r="B11" s="57">
        <v>8.0</v>
      </c>
      <c r="C11" s="49" t="s">
        <v>106</v>
      </c>
      <c r="D11" s="49">
        <v>1350.23</v>
      </c>
      <c r="E11" s="28"/>
      <c r="F11" s="83" t="s">
        <v>107</v>
      </c>
      <c r="G11" s="43">
        <v>100.0</v>
      </c>
      <c r="H11" s="28"/>
      <c r="I11" s="28"/>
      <c r="J11" s="28"/>
      <c r="K11" s="28"/>
      <c r="L11" s="28"/>
      <c r="M11" s="28"/>
      <c r="N11" s="28"/>
      <c r="O11" s="28"/>
      <c r="P11" s="67"/>
      <c r="Q11" s="28"/>
      <c r="R11" s="28"/>
      <c r="S11" s="84"/>
      <c r="T11" s="28"/>
      <c r="U11" s="72"/>
      <c r="V11" s="28"/>
      <c r="W11" s="28"/>
      <c r="X11" s="28"/>
      <c r="Y11" s="28"/>
      <c r="Z11" s="28"/>
    </row>
    <row r="12">
      <c r="A12" s="82"/>
      <c r="B12" s="57">
        <v>9.0</v>
      </c>
      <c r="C12" s="49" t="s">
        <v>35</v>
      </c>
      <c r="D12" s="49">
        <v>1299.76</v>
      </c>
      <c r="E12" s="82"/>
      <c r="F12" s="85" t="s">
        <v>110</v>
      </c>
      <c r="G12" s="28"/>
      <c r="H12" s="54" t="s">
        <v>78</v>
      </c>
      <c r="I12" s="55"/>
      <c r="J12" s="80" t="s">
        <v>111</v>
      </c>
      <c r="K12" s="43">
        <v>74.0</v>
      </c>
      <c r="L12" s="28"/>
      <c r="M12" s="28"/>
      <c r="N12" s="28"/>
      <c r="O12" s="28"/>
      <c r="P12" s="67"/>
      <c r="Q12" s="28"/>
      <c r="R12" s="28"/>
      <c r="S12" s="84"/>
      <c r="T12" s="28"/>
      <c r="U12" s="28"/>
      <c r="V12" s="28"/>
      <c r="W12" s="28"/>
      <c r="X12" s="28"/>
      <c r="Y12" s="28"/>
      <c r="Z12" s="28"/>
    </row>
    <row r="13">
      <c r="A13" s="28"/>
      <c r="B13" s="86">
        <v>10.0</v>
      </c>
      <c r="C13" s="49" t="s">
        <v>112</v>
      </c>
      <c r="D13" s="49">
        <v>1224.32</v>
      </c>
      <c r="E13" s="28"/>
      <c r="F13" s="88" t="s">
        <v>111</v>
      </c>
      <c r="G13" s="43">
        <v>108.0</v>
      </c>
      <c r="H13" s="62"/>
      <c r="I13" s="65"/>
      <c r="J13" s="65"/>
      <c r="K13" s="28"/>
      <c r="L13" s="67"/>
      <c r="M13" s="72"/>
      <c r="N13" s="28"/>
      <c r="O13" s="28"/>
      <c r="P13" s="67"/>
      <c r="Q13" s="28"/>
      <c r="R13" s="28"/>
      <c r="S13" s="84"/>
      <c r="T13" s="28"/>
      <c r="U13" s="28"/>
      <c r="V13" s="28"/>
      <c r="W13" s="28"/>
      <c r="X13" s="28"/>
      <c r="Y13" s="28"/>
      <c r="Z13" s="28"/>
    </row>
    <row r="14">
      <c r="A14" s="20"/>
      <c r="B14" s="57">
        <v>11.0</v>
      </c>
      <c r="C14" s="49" t="s">
        <v>113</v>
      </c>
      <c r="D14" s="49">
        <v>1219.33</v>
      </c>
      <c r="E14" s="20"/>
      <c r="F14" s="28"/>
      <c r="G14" s="28"/>
      <c r="H14" s="28"/>
      <c r="I14" s="28"/>
      <c r="J14" s="52" t="s">
        <v>108</v>
      </c>
      <c r="K14" s="28"/>
      <c r="L14" s="78" t="s">
        <v>78</v>
      </c>
      <c r="M14" s="55"/>
      <c r="N14" s="61" t="s">
        <v>111</v>
      </c>
      <c r="O14" s="43">
        <v>36.0</v>
      </c>
      <c r="P14" s="67"/>
      <c r="Q14" s="28"/>
      <c r="R14" s="28"/>
      <c r="S14" s="84"/>
      <c r="T14" s="28"/>
      <c r="U14" s="28"/>
      <c r="V14" s="28"/>
      <c r="W14" s="28"/>
      <c r="X14" s="28"/>
      <c r="Y14" s="28"/>
      <c r="Z14" s="28"/>
    </row>
    <row r="15">
      <c r="A15" s="28"/>
      <c r="B15" s="57">
        <v>12.0</v>
      </c>
      <c r="C15" s="49" t="s">
        <v>111</v>
      </c>
      <c r="D15" s="49">
        <v>1215.33</v>
      </c>
      <c r="E15" s="28"/>
      <c r="F15" s="91" t="s">
        <v>105</v>
      </c>
      <c r="G15" s="43">
        <v>100.0</v>
      </c>
      <c r="H15" s="28"/>
      <c r="I15" s="28"/>
      <c r="J15" s="28"/>
      <c r="K15" s="28"/>
      <c r="L15" s="67"/>
      <c r="M15" s="28"/>
      <c r="N15" s="28"/>
      <c r="O15" s="28"/>
      <c r="P15" s="28"/>
      <c r="Q15" s="72"/>
      <c r="R15" s="28"/>
      <c r="S15" s="84"/>
      <c r="T15" s="28"/>
      <c r="U15" s="28"/>
      <c r="V15" s="28"/>
      <c r="W15" s="28"/>
      <c r="X15" s="28"/>
      <c r="Y15" s="28"/>
      <c r="Z15" s="28"/>
    </row>
    <row r="16">
      <c r="A16" s="5"/>
      <c r="B16" s="57">
        <v>13.0</v>
      </c>
      <c r="C16" s="49" t="s">
        <v>114</v>
      </c>
      <c r="D16" s="49">
        <v>1189.38</v>
      </c>
      <c r="E16" s="5"/>
      <c r="F16" s="52" t="s">
        <v>115</v>
      </c>
      <c r="G16" s="28"/>
      <c r="H16" s="54" t="s">
        <v>78</v>
      </c>
      <c r="I16" s="55"/>
      <c r="J16" s="81" t="s">
        <v>105</v>
      </c>
      <c r="K16" s="43">
        <v>38.0</v>
      </c>
      <c r="L16" s="67"/>
      <c r="M16" s="28"/>
      <c r="N16" s="28"/>
      <c r="O16" s="28"/>
      <c r="P16" s="28"/>
      <c r="Q16" s="28"/>
      <c r="R16" s="28"/>
      <c r="S16" s="84"/>
      <c r="T16" s="28"/>
      <c r="U16" s="28"/>
      <c r="V16" s="28"/>
      <c r="W16" s="28"/>
      <c r="X16" s="28"/>
      <c r="Y16" s="28"/>
      <c r="Z16" s="28"/>
    </row>
    <row r="17">
      <c r="A17" s="28"/>
      <c r="B17" s="57">
        <v>14.0</v>
      </c>
      <c r="C17" s="49" t="s">
        <v>53</v>
      </c>
      <c r="D17" s="49">
        <v>1163.26</v>
      </c>
      <c r="E17" s="28"/>
      <c r="F17" s="95" t="s">
        <v>114</v>
      </c>
      <c r="G17" s="43">
        <v>64.0</v>
      </c>
      <c r="H17" s="62"/>
      <c r="I17" s="65"/>
      <c r="J17" s="65"/>
      <c r="K17" s="28"/>
      <c r="L17" s="28"/>
      <c r="M17" s="72"/>
      <c r="N17" s="28"/>
      <c r="O17" s="28"/>
      <c r="P17" s="28"/>
      <c r="Q17" s="28"/>
      <c r="R17" s="28"/>
      <c r="S17" s="84"/>
      <c r="T17" s="28"/>
      <c r="U17" s="28"/>
      <c r="V17" s="28"/>
      <c r="W17" s="28"/>
      <c r="X17" s="28"/>
      <c r="Y17" s="28"/>
      <c r="Z17" s="28"/>
    </row>
    <row r="18">
      <c r="A18" s="20"/>
      <c r="B18" s="57">
        <v>15.0</v>
      </c>
      <c r="C18" s="49" t="s">
        <v>117</v>
      </c>
      <c r="D18" s="49">
        <v>1126.32</v>
      </c>
      <c r="E18" s="20"/>
      <c r="F18" s="28"/>
      <c r="G18" s="28"/>
      <c r="H18" s="28"/>
      <c r="I18" s="28"/>
      <c r="J18" s="82"/>
      <c r="K18" s="28"/>
      <c r="L18" s="28"/>
      <c r="M18" s="28"/>
      <c r="N18" s="28"/>
      <c r="O18" s="28"/>
      <c r="P18" s="28"/>
      <c r="Q18" s="28"/>
      <c r="R18" s="5" t="s">
        <v>65</v>
      </c>
      <c r="S18" s="84"/>
      <c r="T18" s="78" t="s">
        <v>78</v>
      </c>
      <c r="U18" s="55"/>
      <c r="V18" s="38" t="s">
        <v>104</v>
      </c>
      <c r="W18" s="43">
        <v>-12.0</v>
      </c>
      <c r="X18" s="43">
        <v>18.0</v>
      </c>
      <c r="Y18" s="28"/>
      <c r="Z18" s="28"/>
    </row>
    <row r="19">
      <c r="A19" s="28"/>
      <c r="B19" s="57">
        <v>16.0</v>
      </c>
      <c r="C19" s="49" t="s">
        <v>92</v>
      </c>
      <c r="D19" s="49">
        <v>1102.52</v>
      </c>
      <c r="E19" s="28"/>
      <c r="F19" s="38" t="s">
        <v>104</v>
      </c>
      <c r="G19" s="43">
        <v>142.0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84"/>
      <c r="T19" s="28"/>
      <c r="U19" s="28"/>
      <c r="V19" s="28"/>
      <c r="W19" s="28"/>
      <c r="X19" s="84"/>
      <c r="Y19" s="72"/>
      <c r="Z19" s="28"/>
    </row>
    <row r="20">
      <c r="A20" s="52"/>
      <c r="B20" s="46">
        <v>17.0</v>
      </c>
      <c r="C20" s="97" t="s">
        <v>31</v>
      </c>
      <c r="D20" s="97">
        <v>1023.76</v>
      </c>
      <c r="E20" s="52"/>
      <c r="F20" s="52" t="s">
        <v>120</v>
      </c>
      <c r="G20" s="28"/>
      <c r="H20" s="54" t="s">
        <v>78</v>
      </c>
      <c r="I20" s="55"/>
      <c r="J20" s="83" t="s">
        <v>104</v>
      </c>
      <c r="K20" s="43">
        <v>112.0</v>
      </c>
      <c r="L20" s="28"/>
      <c r="M20" s="28"/>
      <c r="N20" s="28"/>
      <c r="O20" s="28"/>
      <c r="P20" s="28"/>
      <c r="Q20" s="28"/>
      <c r="R20" s="28"/>
      <c r="S20" s="84"/>
      <c r="T20" s="28"/>
      <c r="U20" s="28"/>
      <c r="V20" s="28"/>
      <c r="W20" s="28"/>
      <c r="X20" s="84"/>
      <c r="Y20" s="28"/>
      <c r="Z20" s="28"/>
    </row>
    <row r="21">
      <c r="A21" s="28"/>
      <c r="B21" s="57">
        <v>18.0</v>
      </c>
      <c r="C21" s="97" t="s">
        <v>54</v>
      </c>
      <c r="D21" s="97">
        <v>1011.26</v>
      </c>
      <c r="E21" s="28"/>
      <c r="F21" s="61" t="s">
        <v>122</v>
      </c>
      <c r="G21" s="43">
        <v>104.0</v>
      </c>
      <c r="H21" s="62"/>
      <c r="I21" s="65"/>
      <c r="J21" s="65"/>
      <c r="K21" s="28"/>
      <c r="L21" s="67"/>
      <c r="M21" s="72"/>
      <c r="N21" s="28"/>
      <c r="O21" s="28"/>
      <c r="P21" s="28"/>
      <c r="Q21" s="28"/>
      <c r="R21" s="28"/>
      <c r="S21" s="84"/>
      <c r="T21" s="28"/>
      <c r="U21" s="28"/>
      <c r="V21" s="28"/>
      <c r="W21" s="28"/>
      <c r="X21" s="84"/>
      <c r="Y21" s="28"/>
      <c r="Z21" s="28"/>
    </row>
    <row r="22">
      <c r="A22" s="20"/>
      <c r="B22" s="57">
        <v>19.0</v>
      </c>
      <c r="C22" s="97" t="s">
        <v>125</v>
      </c>
      <c r="D22" s="97">
        <v>1007.3299999999999</v>
      </c>
      <c r="E22" s="20"/>
      <c r="F22" s="28"/>
      <c r="G22" s="28"/>
      <c r="H22" s="28"/>
      <c r="I22" s="28"/>
      <c r="J22" s="52" t="s">
        <v>110</v>
      </c>
      <c r="K22" s="28"/>
      <c r="L22" s="78" t="s">
        <v>78</v>
      </c>
      <c r="M22" s="55"/>
      <c r="N22" s="80" t="s">
        <v>104</v>
      </c>
      <c r="O22" s="43">
        <v>98.0</v>
      </c>
      <c r="P22" s="28"/>
      <c r="Q22" s="28"/>
      <c r="R22" s="28"/>
      <c r="S22" s="84"/>
      <c r="T22" s="28"/>
      <c r="U22" s="28"/>
      <c r="V22" s="28"/>
      <c r="W22" s="28"/>
      <c r="X22" s="84"/>
      <c r="Y22" s="28"/>
      <c r="Z22" s="28"/>
    </row>
    <row r="23">
      <c r="A23" s="28"/>
      <c r="B23" s="57">
        <v>20.0</v>
      </c>
      <c r="C23" s="97" t="s">
        <v>126</v>
      </c>
      <c r="D23" s="97">
        <v>1006.52</v>
      </c>
      <c r="E23" s="28"/>
      <c r="F23" s="80" t="s">
        <v>48</v>
      </c>
      <c r="G23" s="43">
        <v>84.0</v>
      </c>
      <c r="H23" s="28"/>
      <c r="I23" s="28"/>
      <c r="J23" s="28"/>
      <c r="K23" s="28"/>
      <c r="L23" s="67"/>
      <c r="M23" s="28"/>
      <c r="N23" s="28"/>
      <c r="O23" s="28"/>
      <c r="P23" s="67"/>
      <c r="Q23" s="72"/>
      <c r="R23" s="28"/>
      <c r="S23" s="84"/>
      <c r="T23" s="28"/>
      <c r="U23" s="28"/>
      <c r="V23" s="28"/>
      <c r="W23" s="28"/>
      <c r="X23" s="84"/>
      <c r="Y23" s="28"/>
      <c r="Z23" s="28"/>
    </row>
    <row r="24">
      <c r="A24" s="52"/>
      <c r="B24" s="57">
        <v>21.0</v>
      </c>
      <c r="C24" s="97" t="s">
        <v>127</v>
      </c>
      <c r="D24" s="97">
        <v>981.38</v>
      </c>
      <c r="E24" s="52"/>
      <c r="F24" s="52" t="s">
        <v>128</v>
      </c>
      <c r="G24" s="28"/>
      <c r="H24" s="54" t="s">
        <v>78</v>
      </c>
      <c r="I24" s="55"/>
      <c r="J24" s="88" t="s">
        <v>113</v>
      </c>
      <c r="K24" s="43">
        <v>54.0</v>
      </c>
      <c r="L24" s="67"/>
      <c r="M24" s="28"/>
      <c r="N24" s="28"/>
      <c r="O24" s="28"/>
      <c r="P24" s="67"/>
      <c r="Q24" s="28"/>
      <c r="R24" s="28"/>
      <c r="S24" s="84"/>
      <c r="T24" s="28"/>
      <c r="U24" s="28"/>
      <c r="V24" s="28"/>
      <c r="W24" s="28"/>
      <c r="X24" s="84"/>
      <c r="Y24" s="28"/>
      <c r="Z24" s="28"/>
    </row>
    <row r="25">
      <c r="A25" s="28"/>
      <c r="B25" s="57">
        <v>22.0</v>
      </c>
      <c r="C25" s="97" t="s">
        <v>129</v>
      </c>
      <c r="D25" s="97">
        <v>847.46</v>
      </c>
      <c r="E25" s="28"/>
      <c r="F25" s="81" t="s">
        <v>113</v>
      </c>
      <c r="G25" s="43">
        <v>122.0</v>
      </c>
      <c r="H25" s="62"/>
      <c r="I25" s="65"/>
      <c r="J25" s="65"/>
      <c r="K25" s="28"/>
      <c r="L25" s="28"/>
      <c r="M25" s="72"/>
      <c r="N25" s="28"/>
      <c r="O25" s="28"/>
      <c r="P25" s="67"/>
      <c r="Q25" s="28"/>
      <c r="R25" s="28"/>
      <c r="S25" s="84"/>
      <c r="T25" s="28"/>
      <c r="U25" s="28"/>
      <c r="V25" s="28"/>
      <c r="W25" s="28"/>
      <c r="X25" s="84"/>
      <c r="Y25" s="28"/>
      <c r="Z25" s="28"/>
    </row>
    <row r="26">
      <c r="A26" s="20"/>
      <c r="B26" s="57">
        <v>23.0</v>
      </c>
      <c r="C26" s="97" t="s">
        <v>130</v>
      </c>
      <c r="D26" s="97">
        <v>765.46</v>
      </c>
      <c r="E26" s="20"/>
      <c r="F26" s="28"/>
      <c r="G26" s="28"/>
      <c r="H26" s="28"/>
      <c r="I26" s="28"/>
      <c r="J26" s="82"/>
      <c r="K26" s="28"/>
      <c r="L26" s="28"/>
      <c r="M26" s="28"/>
      <c r="N26" s="5" t="s">
        <v>108</v>
      </c>
      <c r="O26" s="28"/>
      <c r="P26" s="78" t="s">
        <v>78</v>
      </c>
      <c r="Q26" s="55"/>
      <c r="R26" s="61" t="s">
        <v>104</v>
      </c>
      <c r="S26" s="103">
        <v>58.0</v>
      </c>
      <c r="T26" s="28"/>
      <c r="U26" s="28"/>
      <c r="V26" s="28"/>
      <c r="W26" s="28"/>
      <c r="X26" s="84"/>
      <c r="Y26" s="28"/>
      <c r="Z26" s="28"/>
    </row>
    <row r="27">
      <c r="A27" s="28"/>
      <c r="B27" s="57">
        <v>24.0</v>
      </c>
      <c r="C27" s="97" t="s">
        <v>50</v>
      </c>
      <c r="D27" s="97">
        <v>717.26</v>
      </c>
      <c r="E27" s="28"/>
      <c r="F27" s="83" t="s">
        <v>109</v>
      </c>
      <c r="G27" s="43">
        <v>144.0</v>
      </c>
      <c r="H27" s="28"/>
      <c r="I27" s="28"/>
      <c r="J27" s="28"/>
      <c r="K27" s="28"/>
      <c r="L27" s="28"/>
      <c r="M27" s="28"/>
      <c r="N27" s="28"/>
      <c r="O27" s="28"/>
      <c r="P27" s="67"/>
      <c r="Q27" s="28"/>
      <c r="R27" s="28"/>
      <c r="S27" s="28"/>
      <c r="T27" s="28"/>
      <c r="U27" s="72"/>
      <c r="V27" s="28"/>
      <c r="W27" s="28"/>
      <c r="X27" s="84"/>
      <c r="Y27" s="28"/>
      <c r="Z27" s="28"/>
    </row>
    <row r="28">
      <c r="A28" s="85"/>
      <c r="B28" s="57">
        <v>25.0</v>
      </c>
      <c r="C28" s="97" t="s">
        <v>131</v>
      </c>
      <c r="D28" s="97">
        <v>657.38</v>
      </c>
      <c r="E28" s="85"/>
      <c r="F28" s="85" t="s">
        <v>132</v>
      </c>
      <c r="G28" s="28"/>
      <c r="H28" s="54" t="s">
        <v>78</v>
      </c>
      <c r="I28" s="55"/>
      <c r="J28" s="91" t="s">
        <v>109</v>
      </c>
      <c r="K28" s="43">
        <v>126.0</v>
      </c>
      <c r="L28" s="28"/>
      <c r="M28" s="28"/>
      <c r="N28" s="28"/>
      <c r="O28" s="28"/>
      <c r="P28" s="67"/>
      <c r="Q28" s="28"/>
      <c r="R28" s="28"/>
      <c r="S28" s="28"/>
      <c r="T28" s="28"/>
      <c r="U28" s="28"/>
      <c r="V28" s="52" t="s">
        <v>133</v>
      </c>
      <c r="W28" s="28"/>
      <c r="X28" s="84"/>
      <c r="Y28" s="117" t="s">
        <v>109</v>
      </c>
      <c r="Z28" s="28"/>
    </row>
    <row r="29">
      <c r="A29" s="28"/>
      <c r="B29" s="86">
        <v>26.0</v>
      </c>
      <c r="C29" s="97" t="s">
        <v>136</v>
      </c>
      <c r="D29" s="97">
        <v>650.23</v>
      </c>
      <c r="E29" s="28"/>
      <c r="F29" s="88" t="s">
        <v>112</v>
      </c>
      <c r="G29" s="43">
        <v>56.0</v>
      </c>
      <c r="H29" s="62"/>
      <c r="I29" s="65"/>
      <c r="J29" s="65"/>
      <c r="K29" s="28"/>
      <c r="L29" s="67"/>
      <c r="M29" s="72"/>
      <c r="N29" s="28"/>
      <c r="O29" s="28"/>
      <c r="P29" s="67"/>
      <c r="Q29" s="28"/>
      <c r="R29" s="28"/>
      <c r="S29" s="28"/>
      <c r="T29" s="28"/>
      <c r="U29" s="28"/>
      <c r="V29" s="52"/>
      <c r="W29" s="28"/>
      <c r="X29" s="28"/>
      <c r="Y29" s="122" t="s">
        <v>137</v>
      </c>
      <c r="Z29" s="28"/>
    </row>
    <row r="30">
      <c r="A30" s="20"/>
      <c r="B30" s="57">
        <v>27.0</v>
      </c>
      <c r="C30" s="97" t="s">
        <v>138</v>
      </c>
      <c r="D30" s="97">
        <v>644.23</v>
      </c>
      <c r="E30" s="20"/>
      <c r="F30" s="28"/>
      <c r="G30" s="28"/>
      <c r="H30" s="28"/>
      <c r="I30" s="28"/>
      <c r="J30" s="52" t="s">
        <v>115</v>
      </c>
      <c r="K30" s="28"/>
      <c r="L30" s="78" t="s">
        <v>78</v>
      </c>
      <c r="M30" s="55"/>
      <c r="N30" s="81" t="s">
        <v>109</v>
      </c>
      <c r="O30" s="43">
        <v>66.0</v>
      </c>
      <c r="P30" s="67"/>
      <c r="Q30" s="28"/>
      <c r="R30" s="28"/>
      <c r="S30" s="28"/>
      <c r="T30" s="38" t="s">
        <v>33</v>
      </c>
      <c r="U30" s="43">
        <v>26.0</v>
      </c>
      <c r="V30" s="28"/>
      <c r="W30" s="28"/>
      <c r="X30" s="84"/>
      <c r="Y30" s="5"/>
      <c r="Z30" s="28"/>
    </row>
    <row r="31">
      <c r="A31" s="28"/>
      <c r="B31" s="57">
        <v>28.0</v>
      </c>
      <c r="C31" s="97" t="s">
        <v>139</v>
      </c>
      <c r="D31" s="97">
        <v>629.46</v>
      </c>
      <c r="E31" s="28"/>
      <c r="F31" s="91" t="s">
        <v>140</v>
      </c>
      <c r="G31" s="43">
        <v>30.0</v>
      </c>
      <c r="H31" s="28"/>
      <c r="I31" s="28"/>
      <c r="J31" s="28"/>
      <c r="K31" s="28"/>
      <c r="L31" s="67"/>
      <c r="M31" s="28"/>
      <c r="N31" s="28"/>
      <c r="O31" s="28"/>
      <c r="P31" s="28"/>
      <c r="Q31" s="72"/>
      <c r="R31" s="28"/>
      <c r="S31" s="28"/>
      <c r="T31" s="28"/>
      <c r="U31" s="84"/>
      <c r="V31" s="28"/>
      <c r="W31" s="28"/>
      <c r="X31" s="84"/>
      <c r="Y31" s="28"/>
      <c r="Z31" s="28"/>
    </row>
    <row r="32">
      <c r="A32" s="52"/>
      <c r="B32" s="57">
        <v>29.0</v>
      </c>
      <c r="C32" s="97" t="s">
        <v>141</v>
      </c>
      <c r="D32" s="97">
        <v>593.38</v>
      </c>
      <c r="E32" s="52"/>
      <c r="F32" s="52" t="s">
        <v>142</v>
      </c>
      <c r="G32" s="28"/>
      <c r="H32" s="54" t="s">
        <v>78</v>
      </c>
      <c r="I32" s="55"/>
      <c r="J32" s="95" t="s">
        <v>117</v>
      </c>
      <c r="K32" s="43">
        <v>64.0</v>
      </c>
      <c r="L32" s="67"/>
      <c r="M32" s="28"/>
      <c r="N32" s="28"/>
      <c r="O32" s="28"/>
      <c r="P32" s="28"/>
      <c r="Q32" s="28"/>
      <c r="R32" s="28"/>
      <c r="S32" s="28"/>
      <c r="T32" s="28"/>
      <c r="U32" s="84"/>
      <c r="V32" s="28"/>
      <c r="W32" s="28"/>
      <c r="X32" s="84"/>
      <c r="Y32" s="28"/>
      <c r="Z32" s="28"/>
    </row>
    <row r="33">
      <c r="A33" s="28"/>
      <c r="B33" s="57">
        <v>30.0</v>
      </c>
      <c r="C33" s="97" t="s">
        <v>143</v>
      </c>
      <c r="D33" s="97">
        <v>564.52</v>
      </c>
      <c r="E33" s="28"/>
      <c r="F33" s="95" t="s">
        <v>117</v>
      </c>
      <c r="G33" s="43">
        <v>156.0</v>
      </c>
      <c r="H33" s="62"/>
      <c r="I33" s="65"/>
      <c r="J33" s="65"/>
      <c r="K33" s="28"/>
      <c r="L33" s="28"/>
      <c r="M33" s="72"/>
      <c r="N33" s="28"/>
      <c r="O33" s="28"/>
      <c r="P33" s="28"/>
      <c r="Q33" s="28"/>
      <c r="R33" s="28"/>
      <c r="S33" s="28"/>
      <c r="T33" s="28"/>
      <c r="U33" s="84"/>
      <c r="V33" s="28"/>
      <c r="W33" s="28"/>
      <c r="X33" s="84"/>
      <c r="Y33" s="28"/>
      <c r="Z33" s="28"/>
    </row>
    <row r="34">
      <c r="A34" s="20"/>
      <c r="B34" s="57">
        <v>31.0</v>
      </c>
      <c r="C34" s="97" t="s">
        <v>144</v>
      </c>
      <c r="D34" s="97">
        <v>537.3299999999999</v>
      </c>
      <c r="E34" s="20"/>
      <c r="F34" s="28"/>
      <c r="G34" s="28"/>
      <c r="H34" s="28"/>
      <c r="I34" s="28"/>
      <c r="J34" s="5"/>
      <c r="K34" s="28"/>
      <c r="L34" s="28"/>
      <c r="M34" s="28"/>
      <c r="N34" s="28"/>
      <c r="O34" s="28"/>
      <c r="P34" s="80" t="s">
        <v>109</v>
      </c>
      <c r="Q34" s="43">
        <v>102.0</v>
      </c>
      <c r="R34" s="28"/>
      <c r="S34" s="28"/>
      <c r="T34" s="28"/>
      <c r="U34" s="84"/>
      <c r="V34" s="28"/>
      <c r="W34" s="28"/>
      <c r="X34" s="84"/>
      <c r="Y34" s="28"/>
      <c r="Z34" s="28"/>
    </row>
    <row r="35">
      <c r="A35" s="20"/>
      <c r="B35" s="57">
        <v>32.0</v>
      </c>
      <c r="C35" s="97" t="s">
        <v>145</v>
      </c>
      <c r="D35" s="97">
        <v>536.3199999999999</v>
      </c>
      <c r="E35" s="20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84"/>
      <c r="R35" s="28"/>
      <c r="S35" s="72"/>
      <c r="T35" s="28"/>
      <c r="U35" s="84"/>
      <c r="V35" s="28"/>
      <c r="W35" s="72"/>
      <c r="X35" s="84"/>
      <c r="Y35" s="28"/>
      <c r="Z35" s="28"/>
    </row>
    <row r="36">
      <c r="A36" s="20"/>
      <c r="B36" s="57">
        <v>33.0</v>
      </c>
      <c r="C36" s="129" t="s">
        <v>146</v>
      </c>
      <c r="D36" s="129">
        <v>532.23</v>
      </c>
      <c r="E36" s="20"/>
      <c r="F36" s="28"/>
      <c r="G36" s="28"/>
      <c r="H36" s="28"/>
      <c r="I36" s="28"/>
      <c r="J36" s="28"/>
      <c r="K36" s="28"/>
      <c r="L36" s="38" t="s">
        <v>113</v>
      </c>
      <c r="M36" s="43">
        <v>36.0</v>
      </c>
      <c r="N36" s="28"/>
      <c r="O36" s="72"/>
      <c r="P36" s="28"/>
      <c r="Q36" s="84"/>
      <c r="R36" s="28"/>
      <c r="S36" s="28"/>
      <c r="T36" s="28"/>
      <c r="U36" s="84"/>
      <c r="V36" s="28"/>
      <c r="W36" s="28"/>
      <c r="X36" s="84"/>
      <c r="Y36" s="28"/>
      <c r="Z36" s="28"/>
    </row>
    <row r="37">
      <c r="A37" s="20"/>
      <c r="B37" s="57">
        <v>34.0</v>
      </c>
      <c r="C37" s="129" t="s">
        <v>147</v>
      </c>
      <c r="D37" s="129">
        <v>513.46</v>
      </c>
      <c r="E37" s="20"/>
      <c r="F37" s="28"/>
      <c r="G37" s="28"/>
      <c r="H37" s="38" t="s">
        <v>92</v>
      </c>
      <c r="I37" s="43">
        <v>68.0</v>
      </c>
      <c r="J37" s="28"/>
      <c r="K37" s="28"/>
      <c r="L37" s="28"/>
      <c r="M37" s="138"/>
      <c r="N37" s="44"/>
      <c r="O37" s="28"/>
      <c r="P37" s="28"/>
      <c r="Q37" s="138"/>
      <c r="R37" s="28"/>
      <c r="S37" s="28"/>
      <c r="T37" s="28"/>
      <c r="U37" s="138"/>
      <c r="V37" s="28"/>
      <c r="W37" s="28"/>
      <c r="X37" s="84"/>
      <c r="Y37" s="28"/>
      <c r="Z37" s="28"/>
    </row>
    <row r="38">
      <c r="A38" s="20"/>
      <c r="B38" s="57">
        <v>35.0</v>
      </c>
      <c r="C38" s="129" t="s">
        <v>150</v>
      </c>
      <c r="D38" s="129">
        <v>504.32</v>
      </c>
      <c r="E38" s="20"/>
      <c r="F38" s="38" t="s">
        <v>31</v>
      </c>
      <c r="G38" s="44">
        <v>84.0</v>
      </c>
      <c r="H38" s="52" t="s">
        <v>65</v>
      </c>
      <c r="I38" s="84"/>
      <c r="J38" s="38" t="s">
        <v>31</v>
      </c>
      <c r="K38" s="44">
        <v>102.0</v>
      </c>
      <c r="L38" s="5" t="s">
        <v>65</v>
      </c>
      <c r="M38" s="84"/>
      <c r="N38" s="83" t="s">
        <v>31</v>
      </c>
      <c r="O38" s="141">
        <v>46.0</v>
      </c>
      <c r="P38" s="5" t="s">
        <v>65</v>
      </c>
      <c r="Q38" s="84"/>
      <c r="R38" s="80" t="s">
        <v>109</v>
      </c>
      <c r="S38" s="43">
        <v>78.0</v>
      </c>
      <c r="T38" s="5" t="s">
        <v>65</v>
      </c>
      <c r="U38" s="84"/>
      <c r="V38" s="61" t="s">
        <v>109</v>
      </c>
      <c r="W38" s="43">
        <v>20.0</v>
      </c>
      <c r="X38" s="103">
        <v>22.0</v>
      </c>
      <c r="Y38" s="72"/>
      <c r="Z38" s="28"/>
    </row>
    <row r="39">
      <c r="A39" s="20"/>
      <c r="B39" s="57">
        <v>36.0</v>
      </c>
      <c r="C39" s="129" t="s">
        <v>153</v>
      </c>
      <c r="D39" s="129">
        <v>493.46000000000004</v>
      </c>
      <c r="E39" s="20"/>
      <c r="F39" s="52" t="s">
        <v>154</v>
      </c>
      <c r="G39" s="143"/>
      <c r="H39" s="61" t="s">
        <v>31</v>
      </c>
      <c r="I39" s="103">
        <v>104.0</v>
      </c>
      <c r="J39" s="65"/>
      <c r="K39" s="143"/>
      <c r="L39" s="28"/>
      <c r="M39" s="138"/>
      <c r="N39" s="28"/>
      <c r="O39" s="84"/>
      <c r="P39" s="28"/>
      <c r="Q39" s="84"/>
      <c r="R39" s="28"/>
      <c r="S39" s="138"/>
      <c r="T39" s="28"/>
      <c r="U39" s="84"/>
      <c r="V39" s="28"/>
      <c r="W39" s="28"/>
      <c r="X39" s="28"/>
      <c r="Y39" s="28"/>
      <c r="Z39" s="28"/>
    </row>
    <row r="40">
      <c r="A40" s="20"/>
      <c r="B40" s="57">
        <v>37.0</v>
      </c>
      <c r="C40" s="129" t="s">
        <v>156</v>
      </c>
      <c r="D40" s="129">
        <v>473.33</v>
      </c>
      <c r="E40" s="20"/>
      <c r="F40" s="61" t="s">
        <v>145</v>
      </c>
      <c r="G40" s="103">
        <v>52.0</v>
      </c>
      <c r="H40" s="28"/>
      <c r="I40" s="28"/>
      <c r="J40" s="52" t="s">
        <v>120</v>
      </c>
      <c r="K40" s="84"/>
      <c r="L40" s="146" t="s">
        <v>31</v>
      </c>
      <c r="M40" s="103">
        <v>90.0</v>
      </c>
      <c r="N40" s="28"/>
      <c r="O40" s="138"/>
      <c r="P40" s="28"/>
      <c r="Q40" s="84"/>
      <c r="R40" s="28"/>
      <c r="S40" s="84"/>
      <c r="T40" s="28"/>
      <c r="U40" s="84"/>
      <c r="V40" s="28"/>
      <c r="W40" s="28"/>
      <c r="X40" s="28"/>
      <c r="Y40" s="28"/>
      <c r="Z40" s="28"/>
    </row>
    <row r="41">
      <c r="A41" s="20"/>
      <c r="B41" s="57">
        <v>38.0</v>
      </c>
      <c r="C41" s="129" t="s">
        <v>15</v>
      </c>
      <c r="D41" s="129">
        <v>421.76</v>
      </c>
      <c r="E41" s="20"/>
      <c r="F41" s="28"/>
      <c r="G41" s="28"/>
      <c r="H41" s="80" t="s">
        <v>106</v>
      </c>
      <c r="I41" s="43">
        <v>74.0</v>
      </c>
      <c r="J41" s="28"/>
      <c r="K41" s="84"/>
      <c r="L41" s="62"/>
      <c r="M41" s="72"/>
      <c r="N41" s="28"/>
      <c r="O41" s="84"/>
      <c r="P41" s="28"/>
      <c r="Q41" s="138"/>
      <c r="R41" s="28"/>
      <c r="S41" s="84"/>
      <c r="T41" s="28"/>
      <c r="U41" s="84"/>
      <c r="V41" s="28"/>
      <c r="W41" s="72"/>
      <c r="X41" s="28"/>
      <c r="Y41" s="28"/>
      <c r="Z41" s="28"/>
    </row>
    <row r="42">
      <c r="A42" s="20"/>
      <c r="B42" s="57">
        <v>39.0</v>
      </c>
      <c r="C42" s="129" t="s">
        <v>158</v>
      </c>
      <c r="D42" s="129">
        <v>370.52</v>
      </c>
      <c r="E42" s="20"/>
      <c r="F42" s="80" t="s">
        <v>50</v>
      </c>
      <c r="G42" s="44">
        <v>92.0</v>
      </c>
      <c r="H42" s="52" t="s">
        <v>108</v>
      </c>
      <c r="I42" s="84"/>
      <c r="J42" s="146" t="s">
        <v>106</v>
      </c>
      <c r="K42" s="103">
        <v>96.0</v>
      </c>
      <c r="L42" s="28"/>
      <c r="M42" s="28"/>
      <c r="N42" s="5" t="s">
        <v>110</v>
      </c>
      <c r="O42" s="138"/>
      <c r="P42" s="61" t="s">
        <v>126</v>
      </c>
      <c r="Q42" s="103">
        <v>54.0</v>
      </c>
      <c r="R42" s="28"/>
      <c r="S42" s="84"/>
      <c r="T42" s="28"/>
      <c r="U42" s="84"/>
      <c r="V42" s="28"/>
      <c r="W42" s="28"/>
      <c r="X42" s="28"/>
      <c r="Y42" s="28"/>
      <c r="Z42" s="28"/>
    </row>
    <row r="43">
      <c r="A43" s="20"/>
      <c r="B43" s="57">
        <v>40.0</v>
      </c>
      <c r="C43" s="129" t="s">
        <v>159</v>
      </c>
      <c r="D43" s="129">
        <v>293.33</v>
      </c>
      <c r="E43" s="20"/>
      <c r="F43" s="52" t="s">
        <v>160</v>
      </c>
      <c r="G43" s="143"/>
      <c r="H43" s="81" t="s">
        <v>131</v>
      </c>
      <c r="I43" s="103">
        <v>70.0</v>
      </c>
      <c r="J43" s="151"/>
      <c r="K43" s="28"/>
      <c r="L43" s="28"/>
      <c r="M43" s="72"/>
      <c r="N43" s="28"/>
      <c r="O43" s="84"/>
      <c r="P43" s="28"/>
      <c r="Q43" s="28"/>
      <c r="R43" s="28"/>
      <c r="S43" s="138"/>
      <c r="T43" s="28"/>
      <c r="U43" s="84"/>
      <c r="V43" s="28"/>
      <c r="W43" s="28"/>
      <c r="X43" s="28"/>
      <c r="Y43" s="28"/>
      <c r="Z43" s="28"/>
    </row>
    <row r="44">
      <c r="A44" s="20"/>
      <c r="B44" s="57">
        <v>41.0</v>
      </c>
      <c r="C44" s="129" t="s">
        <v>19</v>
      </c>
      <c r="D44" s="129">
        <v>261.76</v>
      </c>
      <c r="E44" s="20"/>
      <c r="F44" s="81" t="s">
        <v>131</v>
      </c>
      <c r="G44" s="103">
        <v>98.0</v>
      </c>
      <c r="H44" s="28"/>
      <c r="I44" s="28"/>
      <c r="J44" s="72"/>
      <c r="K44" s="28"/>
      <c r="L44" s="80" t="s">
        <v>105</v>
      </c>
      <c r="M44" s="43">
        <v>28.0</v>
      </c>
      <c r="N44" s="28"/>
      <c r="O44" s="138"/>
      <c r="P44" s="28"/>
      <c r="Q44" s="28"/>
      <c r="R44" s="28"/>
      <c r="S44" s="84"/>
      <c r="T44" s="28"/>
      <c r="U44" s="84"/>
      <c r="V44" s="28"/>
      <c r="W44" s="28"/>
      <c r="X44" s="28"/>
      <c r="Y44" s="28"/>
      <c r="Z44" s="28"/>
    </row>
    <row r="45">
      <c r="A45" s="20"/>
      <c r="B45" s="57">
        <v>42.0</v>
      </c>
      <c r="C45" s="129" t="s">
        <v>43</v>
      </c>
      <c r="D45" s="129">
        <v>251.26</v>
      </c>
      <c r="E45" s="20"/>
      <c r="F45" s="28"/>
      <c r="G45" s="28"/>
      <c r="H45" s="83" t="s">
        <v>107</v>
      </c>
      <c r="I45" s="43">
        <v>46.0</v>
      </c>
      <c r="J45" s="154"/>
      <c r="K45" s="28"/>
      <c r="L45" s="28"/>
      <c r="M45" s="138"/>
      <c r="N45" s="28"/>
      <c r="O45" s="84"/>
      <c r="P45" s="28"/>
      <c r="Q45" s="72"/>
      <c r="R45" s="28"/>
      <c r="S45" s="84"/>
      <c r="T45" s="28"/>
      <c r="U45" s="138"/>
      <c r="V45" s="28"/>
      <c r="W45" s="28"/>
      <c r="X45" s="28"/>
      <c r="Y45" s="28"/>
      <c r="Z45" s="28"/>
    </row>
    <row r="46">
      <c r="A46" s="20"/>
      <c r="B46" s="57">
        <v>43.0</v>
      </c>
      <c r="C46" s="129" t="s">
        <v>34</v>
      </c>
      <c r="D46" s="129">
        <v>117.75999999999999</v>
      </c>
      <c r="E46" s="20"/>
      <c r="F46" s="83" t="s">
        <v>127</v>
      </c>
      <c r="G46" s="44">
        <v>34.0</v>
      </c>
      <c r="H46" s="85" t="s">
        <v>110</v>
      </c>
      <c r="I46" s="84"/>
      <c r="J46" s="156" t="s">
        <v>139</v>
      </c>
      <c r="K46" s="44">
        <v>32.0</v>
      </c>
      <c r="L46" s="5" t="s">
        <v>108</v>
      </c>
      <c r="M46" s="84"/>
      <c r="N46" s="88" t="s">
        <v>126</v>
      </c>
      <c r="O46" s="158">
        <v>126.0</v>
      </c>
      <c r="P46" s="28"/>
      <c r="Q46" s="28"/>
      <c r="R46" s="5" t="s">
        <v>108</v>
      </c>
      <c r="S46" s="84"/>
      <c r="T46" s="61" t="s">
        <v>109</v>
      </c>
      <c r="U46" s="103">
        <v>34.0</v>
      </c>
      <c r="V46" s="28"/>
      <c r="W46" s="28"/>
      <c r="X46" s="28"/>
      <c r="Y46" s="28"/>
      <c r="Z46" s="28"/>
    </row>
    <row r="47">
      <c r="A47" s="20"/>
      <c r="B47" s="57">
        <v>44.0</v>
      </c>
      <c r="C47" s="129" t="s">
        <v>55</v>
      </c>
      <c r="D47" s="129">
        <v>85.25999999999999</v>
      </c>
      <c r="E47" s="20"/>
      <c r="F47" s="85" t="s">
        <v>164</v>
      </c>
      <c r="G47" s="143"/>
      <c r="H47" s="88" t="s">
        <v>139</v>
      </c>
      <c r="I47" s="103">
        <v>104.0</v>
      </c>
      <c r="J47" s="62"/>
      <c r="K47" s="143"/>
      <c r="L47" s="28"/>
      <c r="M47" s="138"/>
      <c r="N47" s="28"/>
      <c r="O47" s="28"/>
      <c r="P47" s="28"/>
      <c r="Q47" s="28"/>
      <c r="R47" s="28"/>
      <c r="S47" s="138"/>
      <c r="T47" s="28"/>
      <c r="U47" s="28"/>
      <c r="V47" s="28"/>
      <c r="W47" s="28"/>
      <c r="X47" s="28"/>
      <c r="Y47" s="28"/>
      <c r="Z47" s="28"/>
    </row>
    <row r="48">
      <c r="A48" s="20"/>
      <c r="B48" s="57">
        <v>45.0</v>
      </c>
      <c r="C48" s="129" t="s">
        <v>165</v>
      </c>
      <c r="D48" s="129">
        <v>82.52</v>
      </c>
      <c r="E48" s="20"/>
      <c r="F48" s="88" t="s">
        <v>139</v>
      </c>
      <c r="G48" s="103">
        <v>132.0</v>
      </c>
      <c r="H48" s="28"/>
      <c r="I48" s="28"/>
      <c r="J48" s="52" t="s">
        <v>128</v>
      </c>
      <c r="K48" s="84"/>
      <c r="L48" s="161" t="s">
        <v>126</v>
      </c>
      <c r="M48" s="103">
        <v>76.0</v>
      </c>
      <c r="N48" s="28"/>
      <c r="O48" s="72"/>
      <c r="P48" s="28"/>
      <c r="Q48" s="28"/>
      <c r="R48" s="28"/>
      <c r="S48" s="84"/>
      <c r="T48" s="28"/>
      <c r="U48" s="28"/>
      <c r="V48" s="28"/>
      <c r="W48" s="28"/>
      <c r="X48" s="28"/>
      <c r="Y48" s="28"/>
      <c r="Z48" s="28"/>
    </row>
    <row r="49">
      <c r="A49" s="20"/>
      <c r="B49" s="57">
        <v>46.0</v>
      </c>
      <c r="C49" s="129" t="s">
        <v>167</v>
      </c>
      <c r="D49" s="129">
        <v>66.22999999999999</v>
      </c>
      <c r="E49" s="20"/>
      <c r="F49" s="28"/>
      <c r="G49" s="28"/>
      <c r="H49" s="91" t="s">
        <v>114</v>
      </c>
      <c r="I49" s="43">
        <v>44.0</v>
      </c>
      <c r="J49" s="28"/>
      <c r="K49" s="84"/>
      <c r="L49" s="62"/>
      <c r="M49" s="72"/>
      <c r="N49" s="28"/>
      <c r="O49" s="28"/>
      <c r="P49" s="164"/>
      <c r="Q49" s="72"/>
      <c r="R49" s="28"/>
      <c r="S49" s="84"/>
      <c r="T49" s="28"/>
      <c r="U49" s="28"/>
      <c r="V49" s="28"/>
      <c r="W49" s="28"/>
      <c r="X49" s="28"/>
      <c r="Y49" s="28"/>
      <c r="Z49" s="28"/>
    </row>
    <row r="50">
      <c r="A50" s="20"/>
      <c r="B50" s="57">
        <v>47.0</v>
      </c>
      <c r="C50" s="129" t="s">
        <v>168</v>
      </c>
      <c r="D50" s="129">
        <v>43.379999999999995</v>
      </c>
      <c r="E50" s="20"/>
      <c r="F50" s="91" t="s">
        <v>126</v>
      </c>
      <c r="G50" s="44">
        <v>132.0</v>
      </c>
      <c r="H50" s="52" t="s">
        <v>115</v>
      </c>
      <c r="I50" s="84"/>
      <c r="J50" s="161" t="s">
        <v>126</v>
      </c>
      <c r="K50" s="103">
        <v>110.0</v>
      </c>
      <c r="L50" s="28"/>
      <c r="M50" s="28"/>
      <c r="N50" s="28"/>
      <c r="O50" s="72"/>
      <c r="P50" s="38" t="s">
        <v>111</v>
      </c>
      <c r="Q50" s="43">
        <v>50.0</v>
      </c>
      <c r="R50" s="28"/>
      <c r="S50" s="84"/>
      <c r="T50" s="28"/>
      <c r="U50" s="28"/>
      <c r="V50" s="28"/>
      <c r="W50" s="28"/>
      <c r="X50" s="28"/>
      <c r="Y50" s="28"/>
      <c r="Z50" s="28"/>
    </row>
    <row r="51">
      <c r="A51" s="20"/>
      <c r="B51" s="166">
        <v>48.0</v>
      </c>
      <c r="C51" s="167" t="s">
        <v>169</v>
      </c>
      <c r="D51" s="167">
        <v>40.32</v>
      </c>
      <c r="E51" s="20"/>
      <c r="F51" s="52" t="s">
        <v>170</v>
      </c>
      <c r="G51" s="143"/>
      <c r="H51" s="95" t="s">
        <v>126</v>
      </c>
      <c r="I51" s="103">
        <v>124.0</v>
      </c>
      <c r="J51" s="62"/>
      <c r="K51" s="28"/>
      <c r="L51" s="28"/>
      <c r="M51" s="72"/>
      <c r="N51" s="28"/>
      <c r="O51" s="28"/>
      <c r="P51" s="28"/>
      <c r="Q51" s="84"/>
      <c r="R51" s="28"/>
      <c r="S51" s="84"/>
      <c r="T51" s="28"/>
      <c r="U51" s="28"/>
      <c r="V51" s="28"/>
      <c r="W51" s="28"/>
      <c r="X51" s="28"/>
      <c r="Y51" s="28"/>
      <c r="Z51" s="28"/>
    </row>
    <row r="52">
      <c r="A52" s="20"/>
      <c r="B52" s="169"/>
      <c r="C52" s="169"/>
      <c r="D52" s="169"/>
      <c r="E52" s="20"/>
      <c r="F52" s="95" t="s">
        <v>141</v>
      </c>
      <c r="G52" s="103">
        <v>66.0</v>
      </c>
      <c r="H52" s="28"/>
      <c r="I52" s="28"/>
      <c r="J52" s="72"/>
      <c r="K52" s="28"/>
      <c r="L52" s="83" t="s">
        <v>117</v>
      </c>
      <c r="M52" s="43">
        <v>104.0</v>
      </c>
      <c r="N52" s="28"/>
      <c r="O52" s="28"/>
      <c r="P52" s="28"/>
      <c r="Q52" s="84"/>
      <c r="R52" s="28"/>
      <c r="S52" s="84"/>
      <c r="T52" s="28"/>
      <c r="U52" s="28"/>
      <c r="V52" s="28"/>
      <c r="W52" s="28"/>
      <c r="X52" s="28"/>
      <c r="Y52" s="28"/>
      <c r="Z52" s="28"/>
    </row>
    <row r="53">
      <c r="A53" s="20"/>
      <c r="B53" s="20"/>
      <c r="C53" s="20"/>
      <c r="D53" s="20"/>
      <c r="E53" s="20"/>
      <c r="F53" s="28"/>
      <c r="G53" s="28"/>
      <c r="H53" s="38" t="s">
        <v>122</v>
      </c>
      <c r="I53" s="43">
        <v>88.0</v>
      </c>
      <c r="J53" s="28"/>
      <c r="K53" s="28"/>
      <c r="L53" s="28"/>
      <c r="M53" s="84"/>
      <c r="N53" s="28"/>
      <c r="O53" s="28"/>
      <c r="P53" s="28"/>
      <c r="Q53" s="84"/>
      <c r="R53" s="28"/>
      <c r="S53" s="84"/>
      <c r="T53" s="28"/>
      <c r="U53" s="28"/>
      <c r="V53" s="28"/>
      <c r="W53" s="28"/>
      <c r="X53" s="28"/>
      <c r="Y53" s="28"/>
      <c r="Z53" s="28"/>
    </row>
    <row r="54">
      <c r="A54" s="20"/>
      <c r="B54" s="20"/>
      <c r="C54" s="20"/>
      <c r="D54" s="20"/>
      <c r="E54" s="20"/>
      <c r="F54" s="38" t="s">
        <v>125</v>
      </c>
      <c r="G54" s="44">
        <v>98.0</v>
      </c>
      <c r="H54" s="52" t="s">
        <v>120</v>
      </c>
      <c r="I54" s="84"/>
      <c r="J54" s="173" t="s">
        <v>122</v>
      </c>
      <c r="K54" s="44">
        <v>70.0</v>
      </c>
      <c r="L54" s="5" t="s">
        <v>110</v>
      </c>
      <c r="M54" s="84"/>
      <c r="N54" s="91" t="s">
        <v>117</v>
      </c>
      <c r="O54" s="43">
        <v>76.0</v>
      </c>
      <c r="P54" s="5" t="s">
        <v>108</v>
      </c>
      <c r="Q54" s="84"/>
      <c r="R54" s="81" t="s">
        <v>111</v>
      </c>
      <c r="S54" s="103">
        <v>40.0</v>
      </c>
      <c r="T54" s="28"/>
      <c r="U54" s="28"/>
      <c r="V54" s="28"/>
      <c r="W54" s="28"/>
      <c r="X54" s="28"/>
      <c r="Y54" s="28"/>
      <c r="Z54" s="28"/>
    </row>
    <row r="55">
      <c r="A55" s="20"/>
      <c r="B55" s="20"/>
      <c r="C55" s="20"/>
      <c r="D55" s="20"/>
      <c r="E55" s="20"/>
      <c r="F55" s="52" t="s">
        <v>171</v>
      </c>
      <c r="G55" s="143"/>
      <c r="H55" s="61" t="s">
        <v>125</v>
      </c>
      <c r="I55" s="103">
        <v>74.0</v>
      </c>
      <c r="J55" s="62"/>
      <c r="K55" s="143"/>
      <c r="L55" s="28"/>
      <c r="M55" s="84"/>
      <c r="N55" s="28"/>
      <c r="O55" s="84"/>
      <c r="P55" s="28"/>
      <c r="Q55" s="84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0"/>
      <c r="B56" s="20"/>
      <c r="C56" s="20"/>
      <c r="D56" s="20"/>
      <c r="E56" s="20"/>
      <c r="F56" s="61" t="s">
        <v>143</v>
      </c>
      <c r="G56" s="103">
        <v>36.0</v>
      </c>
      <c r="H56" s="28"/>
      <c r="I56" s="28"/>
      <c r="J56" s="52" t="s">
        <v>132</v>
      </c>
      <c r="K56" s="84"/>
      <c r="L56" s="176" t="s">
        <v>48</v>
      </c>
      <c r="M56" s="103">
        <v>52.0</v>
      </c>
      <c r="N56" s="28"/>
      <c r="O56" s="84"/>
      <c r="P56" s="28"/>
      <c r="Q56" s="84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0"/>
      <c r="B57" s="20"/>
      <c r="C57" s="20"/>
      <c r="D57" s="20"/>
      <c r="E57" s="20"/>
      <c r="F57" s="28"/>
      <c r="G57" s="28"/>
      <c r="H57" s="80" t="s">
        <v>48</v>
      </c>
      <c r="I57" s="43">
        <v>96.0</v>
      </c>
      <c r="J57" s="28"/>
      <c r="K57" s="84"/>
      <c r="L57" s="62"/>
      <c r="M57" s="28"/>
      <c r="N57" s="28"/>
      <c r="O57" s="84"/>
      <c r="P57" s="28"/>
      <c r="Q57" s="84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0"/>
      <c r="B58" s="20"/>
      <c r="C58" s="20"/>
      <c r="D58" s="20"/>
      <c r="E58" s="20"/>
      <c r="F58" s="80" t="s">
        <v>172</v>
      </c>
      <c r="G58" s="44">
        <v>30.0</v>
      </c>
      <c r="H58" s="52" t="s">
        <v>128</v>
      </c>
      <c r="I58" s="84"/>
      <c r="J58" s="176" t="s">
        <v>48</v>
      </c>
      <c r="K58" s="103">
        <v>98.0</v>
      </c>
      <c r="L58" s="28"/>
      <c r="M58" s="28"/>
      <c r="N58" s="5" t="s">
        <v>115</v>
      </c>
      <c r="O58" s="84"/>
      <c r="P58" s="91" t="s">
        <v>117</v>
      </c>
      <c r="Q58" s="103">
        <v>42.0</v>
      </c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0"/>
      <c r="B59" s="20"/>
      <c r="C59" s="20"/>
      <c r="D59" s="20"/>
      <c r="E59" s="20"/>
      <c r="F59" s="52" t="s">
        <v>173</v>
      </c>
      <c r="G59" s="143"/>
      <c r="H59" s="81" t="s">
        <v>174</v>
      </c>
      <c r="I59" s="103">
        <v>34.0</v>
      </c>
      <c r="J59" s="62"/>
      <c r="K59" s="28"/>
      <c r="L59" s="28"/>
      <c r="M59" s="28"/>
      <c r="N59" s="28"/>
      <c r="O59" s="84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0"/>
      <c r="B60" s="20"/>
      <c r="C60" s="20"/>
      <c r="D60" s="20"/>
      <c r="E60" s="20"/>
      <c r="F60" s="81" t="s">
        <v>174</v>
      </c>
      <c r="G60" s="103">
        <v>108.0</v>
      </c>
      <c r="H60" s="28"/>
      <c r="I60" s="28"/>
      <c r="J60" s="72"/>
      <c r="K60" s="28"/>
      <c r="L60" s="91" t="s">
        <v>35</v>
      </c>
      <c r="M60" s="43">
        <v>50.0</v>
      </c>
      <c r="N60" s="28"/>
      <c r="O60" s="84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0"/>
      <c r="B61" s="20"/>
      <c r="C61" s="20"/>
      <c r="D61" s="20"/>
      <c r="E61" s="20"/>
      <c r="F61" s="28"/>
      <c r="G61" s="28"/>
      <c r="H61" s="83" t="s">
        <v>112</v>
      </c>
      <c r="I61" s="43">
        <v>62.0</v>
      </c>
      <c r="J61" s="28"/>
      <c r="K61" s="28"/>
      <c r="L61" s="28"/>
      <c r="M61" s="84"/>
      <c r="N61" s="28"/>
      <c r="O61" s="84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0"/>
      <c r="B62" s="20"/>
      <c r="C62" s="20"/>
      <c r="D62" s="20"/>
      <c r="E62" s="20"/>
      <c r="F62" s="83" t="s">
        <v>130</v>
      </c>
      <c r="G62" s="44">
        <v>52.0</v>
      </c>
      <c r="H62" s="85" t="s">
        <v>132</v>
      </c>
      <c r="I62" s="84"/>
      <c r="J62" s="178" t="s">
        <v>112</v>
      </c>
      <c r="K62" s="44">
        <v>102.0</v>
      </c>
      <c r="L62" s="5" t="s">
        <v>115</v>
      </c>
      <c r="M62" s="84"/>
      <c r="N62" s="95" t="s">
        <v>112</v>
      </c>
      <c r="O62" s="103">
        <v>28.0</v>
      </c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0"/>
      <c r="B63" s="20"/>
      <c r="C63" s="20"/>
      <c r="D63" s="20"/>
      <c r="E63" s="20"/>
      <c r="F63" s="85" t="s">
        <v>175</v>
      </c>
      <c r="G63" s="143"/>
      <c r="H63" s="88" t="s">
        <v>130</v>
      </c>
      <c r="I63" s="103">
        <v>8.0</v>
      </c>
      <c r="J63" s="62"/>
      <c r="K63" s="143"/>
      <c r="L63" s="28"/>
      <c r="M63" s="84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0"/>
      <c r="B64" s="20"/>
      <c r="C64" s="20"/>
      <c r="D64" s="20"/>
      <c r="E64" s="20"/>
      <c r="F64" s="88" t="s">
        <v>136</v>
      </c>
      <c r="G64" s="103">
        <v>34.0</v>
      </c>
      <c r="H64" s="28"/>
      <c r="I64" s="28"/>
      <c r="J64" s="52" t="s">
        <v>142</v>
      </c>
      <c r="K64" s="84"/>
      <c r="L64" s="180" t="s">
        <v>112</v>
      </c>
      <c r="M64" s="103">
        <v>58.0</v>
      </c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0"/>
      <c r="B65" s="20"/>
      <c r="C65" s="20"/>
      <c r="D65" s="20"/>
      <c r="E65" s="20"/>
      <c r="F65" s="28"/>
      <c r="G65" s="28"/>
      <c r="H65" s="91" t="s">
        <v>140</v>
      </c>
      <c r="I65" s="43">
        <v>40.0</v>
      </c>
      <c r="J65" s="28"/>
      <c r="K65" s="84"/>
      <c r="L65" s="62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0"/>
      <c r="B66" s="20"/>
      <c r="C66" s="20"/>
      <c r="D66" s="20"/>
      <c r="E66" s="20"/>
      <c r="F66" s="91" t="s">
        <v>54</v>
      </c>
      <c r="G66" s="44">
        <v>128.0</v>
      </c>
      <c r="H66" s="52" t="s">
        <v>142</v>
      </c>
      <c r="I66" s="84"/>
      <c r="J66" s="182" t="s">
        <v>54</v>
      </c>
      <c r="K66" s="103">
        <v>42.0</v>
      </c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0"/>
      <c r="B67" s="20"/>
      <c r="C67" s="20"/>
      <c r="D67" s="20"/>
      <c r="E67" s="20"/>
      <c r="F67" s="52" t="s">
        <v>176</v>
      </c>
      <c r="G67" s="143"/>
      <c r="H67" s="95" t="s">
        <v>54</v>
      </c>
      <c r="I67" s="103">
        <v>42.0</v>
      </c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0"/>
      <c r="B68" s="20"/>
      <c r="C68" s="20"/>
      <c r="D68" s="20"/>
      <c r="E68" s="20"/>
      <c r="F68" s="95" t="s">
        <v>144</v>
      </c>
      <c r="G68" s="103">
        <v>30.0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8"/>
      <c r="G69" s="28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</sheetData>
  <mergeCells count="11">
    <mergeCell ref="T1:U1"/>
    <mergeCell ref="V1:X1"/>
    <mergeCell ref="Y3:Z3"/>
    <mergeCell ref="F1:G1"/>
    <mergeCell ref="H1:I1"/>
    <mergeCell ref="J1:K1"/>
    <mergeCell ref="L1:M1"/>
    <mergeCell ref="N1:O1"/>
    <mergeCell ref="P1:Q1"/>
    <mergeCell ref="R1:S1"/>
    <mergeCell ref="B2:D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5.13"/>
    <col customWidth="1" min="3" max="3" width="12.38"/>
    <col customWidth="1" min="4" max="4" width="2.88"/>
    <col customWidth="1" min="5" max="5" width="12.38"/>
    <col customWidth="1" min="6" max="6" width="2.88"/>
    <col customWidth="1" min="7" max="7" width="12.38"/>
    <col customWidth="1" min="8" max="8" width="2.88"/>
    <col customWidth="1" min="9" max="9" width="12.38"/>
    <col customWidth="1" min="10" max="10" width="2.88"/>
    <col customWidth="1" min="11" max="15" width="6.38"/>
    <col customWidth="1" min="16" max="16" width="2.88"/>
    <col customWidth="1" min="17" max="17" width="15.13"/>
    <col customWidth="1" min="18" max="18" width="12.38"/>
    <col customWidth="1" min="19" max="19" width="2.88"/>
    <col customWidth="1" min="20" max="20" width="12.38"/>
    <col customWidth="1" min="21" max="21" width="2.88"/>
    <col customWidth="1" min="22" max="22" width="12.38"/>
    <col customWidth="1" min="23" max="23" width="2.88"/>
    <col customWidth="1" min="24" max="24" width="12.38"/>
    <col customWidth="1" min="25" max="25" width="2.88"/>
    <col customWidth="1" min="26" max="30" width="6.38"/>
    <col customWidth="1" min="31" max="31" width="6.0"/>
  </cols>
  <sheetData>
    <row r="1">
      <c r="A1" s="1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11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14"/>
    </row>
    <row r="2">
      <c r="A2" s="15"/>
      <c r="B2" s="16" t="s">
        <v>11</v>
      </c>
      <c r="C2" s="19" t="s">
        <v>12</v>
      </c>
      <c r="D2" s="10"/>
      <c r="E2" s="23" t="s">
        <v>22</v>
      </c>
      <c r="F2" s="24"/>
      <c r="G2" s="19" t="s">
        <v>23</v>
      </c>
      <c r="H2" s="10"/>
      <c r="I2" s="19" t="s">
        <v>24</v>
      </c>
      <c r="J2" s="10"/>
      <c r="K2" s="25" t="s">
        <v>25</v>
      </c>
      <c r="L2" s="25" t="s">
        <v>26</v>
      </c>
      <c r="M2" s="25" t="s">
        <v>27</v>
      </c>
      <c r="N2" s="25" t="s">
        <v>28</v>
      </c>
      <c r="O2" s="25" t="s">
        <v>29</v>
      </c>
      <c r="P2" s="15"/>
      <c r="Q2" s="26" t="s">
        <v>30</v>
      </c>
      <c r="R2" s="29" t="s">
        <v>32</v>
      </c>
      <c r="S2" s="10"/>
      <c r="T2" s="29" t="s">
        <v>40</v>
      </c>
      <c r="U2" s="10"/>
      <c r="V2" s="29" t="s">
        <v>41</v>
      </c>
      <c r="W2" s="10"/>
      <c r="X2" s="29" t="s">
        <v>42</v>
      </c>
      <c r="Y2" s="10"/>
      <c r="Z2" s="31" t="s">
        <v>25</v>
      </c>
      <c r="AA2" s="31" t="s">
        <v>26</v>
      </c>
      <c r="AB2" s="31" t="s">
        <v>27</v>
      </c>
      <c r="AC2" s="31" t="s">
        <v>28</v>
      </c>
      <c r="AD2" s="31" t="s">
        <v>29</v>
      </c>
      <c r="AE2" s="32"/>
    </row>
    <row r="3">
      <c r="A3" s="15"/>
      <c r="B3" s="19" t="s">
        <v>12</v>
      </c>
      <c r="C3" s="37"/>
      <c r="D3" s="39"/>
      <c r="E3" s="41">
        <v>104.0</v>
      </c>
      <c r="F3" s="47" t="str">
        <f>if(E3&gt;C4,"W",if(E3&lt;C4,"L",if(isblank(E3),"","T")))</f>
        <v>L</v>
      </c>
      <c r="G3" s="50">
        <v>98.0</v>
      </c>
      <c r="H3" s="53" t="str">
        <f>if(G3&gt;C5,"W",if(G3&lt;C5,"L",if(isblank(G3),"","T")))</f>
        <v>L</v>
      </c>
      <c r="I3" s="41">
        <v>142.0</v>
      </c>
      <c r="J3" s="47" t="str">
        <f>if(I3&gt;C6,"W",if(I3&lt;C6,"L",if(isblank(I3),"","T")))</f>
        <v>W</v>
      </c>
      <c r="K3" s="58">
        <f t="shared" ref="K3:K6" si="1">SUM(C3:J3)</f>
        <v>344</v>
      </c>
      <c r="L3" s="58">
        <f t="shared" ref="L3:L6" si="2">COUNTIF(C3:J3, "*W*")</f>
        <v>1</v>
      </c>
      <c r="M3" s="58">
        <f t="shared" ref="M3:M6" si="3">COUNTIF(C3:J3, "*T*")</f>
        <v>0</v>
      </c>
      <c r="N3" s="63">
        <f t="shared" ref="N3:N6" si="4">COUNTIF(C3:J3, "*L*")</f>
        <v>2</v>
      </c>
      <c r="O3" s="63">
        <f>0.015*SUM(K3:K6)+IF(F3="W",150+E3,IF(F3="T",100+E3,IF(F3="L",IF((C4-E3)&lt;80,80-(C4-E3),0),0)))+IF(H3="W",150+G3,IF(H3="T",100+G3,IF(H3="L",IF((C5-G3)&lt;80,80-(C5-G3),0),0)))+IF(J3="W",150+I3,IF(J3="T",100+I3,IF(J3="L",IF((C6-I3)&lt;80,80-(C6-I3),0),0)))</f>
        <v>450.24</v>
      </c>
      <c r="P3" s="15"/>
      <c r="Q3" s="29" t="s">
        <v>32</v>
      </c>
      <c r="R3" s="69"/>
      <c r="S3" s="70"/>
      <c r="T3" s="75">
        <v>0.0</v>
      </c>
      <c r="U3" s="77" t="str">
        <f>if(T3&gt;R4,"W",if(T3&lt;R4,"L",if(isblank(T3),"","T")))</f>
        <v>L</v>
      </c>
      <c r="V3" s="75">
        <v>-12.0</v>
      </c>
      <c r="W3" s="77" t="str">
        <f>if(V3&gt;R5,"W",if(V3&lt;R5,"L",if(isblank(V3),"","T")))</f>
        <v>L</v>
      </c>
      <c r="X3" s="75">
        <v>46.0</v>
      </c>
      <c r="Y3" s="77" t="str">
        <f>if(X3&gt;R6,"W",if(X3&lt;R6,"L",if(isblank(X3),"","T")))</f>
        <v>W</v>
      </c>
      <c r="Z3" s="58">
        <f t="shared" ref="Z3:Z6" si="5">SUM(R3:Y3)</f>
        <v>34</v>
      </c>
      <c r="AA3" s="58">
        <f t="shared" ref="AA3:AA6" si="6">COUNTIF(R3:Y3, "*W*")</f>
        <v>1</v>
      </c>
      <c r="AB3" s="58">
        <f t="shared" ref="AB3:AB6" si="7">COUNTIF(R3:Y3, "*T*")</f>
        <v>0</v>
      </c>
      <c r="AC3" s="63">
        <f t="shared" ref="AC3:AC6" si="8">COUNTIF(R3:Y3, "*L*")</f>
        <v>2</v>
      </c>
      <c r="AD3" s="63">
        <f>0.015*SUM(Z3:Z6)+IF(U3="W",150+T3,IF(U3="T",100+T3,IF(U3="L",IF((R4-T3)&lt;80,80-(R4-T3),0),0)))+IF(W3="W",150+V3,IF(W3="T",100+V3,IF(W3="L",IF((R5-V3)&lt;80,80-(R5-V3),0),0)))+IF(Y3="W",150+X3,IF(Y3="T",100+X3,IF(Y3="L",IF((R6-X3)&lt;80,80-(R6-X3),0),0)))</f>
        <v>212.2</v>
      </c>
      <c r="AE3" s="32"/>
    </row>
    <row r="4">
      <c r="A4" s="15"/>
      <c r="B4" s="19" t="s">
        <v>22</v>
      </c>
      <c r="C4" s="41">
        <v>106.0</v>
      </c>
      <c r="D4" s="87" t="str">
        <f>if(E3&lt;C4,"W",if(E3&gt;C4,"L",if(isblank(C4),"","T")))</f>
        <v>W</v>
      </c>
      <c r="E4" s="37"/>
      <c r="F4" s="89"/>
      <c r="G4" s="90">
        <v>110.0</v>
      </c>
      <c r="H4" s="53" t="str">
        <f>if(G4&gt;E5,"W",if(G4&lt;E5,"L",if(isblank(G4),"","T")))</f>
        <v>L</v>
      </c>
      <c r="I4" s="41">
        <v>204.0</v>
      </c>
      <c r="J4" s="93" t="str">
        <f>if(I4&gt;E6,"W",if(I4&lt;E6,"L",if(isblank(I4),"","T")))</f>
        <v>W</v>
      </c>
      <c r="K4" s="58">
        <f t="shared" si="1"/>
        <v>420</v>
      </c>
      <c r="L4" s="58">
        <f t="shared" si="2"/>
        <v>2</v>
      </c>
      <c r="M4" s="58">
        <f t="shared" si="3"/>
        <v>0</v>
      </c>
      <c r="N4" s="63">
        <f t="shared" si="4"/>
        <v>1</v>
      </c>
      <c r="O4" s="63">
        <f>0.015*SUM(K3:K6)+IF(D4="W",150+C4,IF(D4="T",100+C4,IF(D4="L",IF((E3-C4)&lt;80,80-(E3-C4),0),0)))+IF(H4="W",150+G4,IF(H4="T",100+G4,IF(H4="L",IF((E5-G4)&lt;80,80-(E5-G4),0),0)))+IF(J4="W",150+I4,IF(J4="T",100+I4,IF(J4="L",IF((E6-I4)&lt;80,80-(E6-I4),0),0)))</f>
        <v>704.24</v>
      </c>
      <c r="P4" s="15"/>
      <c r="Q4" s="29" t="s">
        <v>40</v>
      </c>
      <c r="R4" s="98">
        <v>178.0</v>
      </c>
      <c r="S4" s="100" t="str">
        <f>if(T3&lt;R4,"W",if(T3&gt;R4,"L",if(isblank(R4),"","T")))</f>
        <v>W</v>
      </c>
      <c r="T4" s="69"/>
      <c r="U4" s="70"/>
      <c r="V4" s="98">
        <v>84.0</v>
      </c>
      <c r="W4" s="77" t="str">
        <f>if(V4&gt;T5,"W",if(V4&lt;T5,"L",if(isblank(V4),"","T")))</f>
        <v>L</v>
      </c>
      <c r="X4" s="98">
        <v>154.0</v>
      </c>
      <c r="Y4" s="77" t="str">
        <f>if(X4&gt;T6,"W",if(X4&lt;T6,"L",if(isblank(X4),"","T")))</f>
        <v>W</v>
      </c>
      <c r="Z4" s="58">
        <f t="shared" si="5"/>
        <v>416</v>
      </c>
      <c r="AA4" s="58">
        <f t="shared" si="6"/>
        <v>2</v>
      </c>
      <c r="AB4" s="58">
        <f t="shared" si="7"/>
        <v>0</v>
      </c>
      <c r="AC4" s="63">
        <f t="shared" si="8"/>
        <v>1</v>
      </c>
      <c r="AD4" s="63">
        <f>0.015*SUM(Z3:Z6)+IF(S4="W",150+R4,IF(S4="T",100+R4,IF(S4="L",IF((T3-R4)&lt;80,80-(T3-R4),0),0)))+IF(W4="W",150+V4,IF(W4="T",100+V4,IF(W4="L",IF((T5-V4)&lt;80,80-(T5-V4),0),0)))+IF(Y4="W",150+X4,IF(Y4="T",100+X4,IF(Y4="L",IF((T6-X4)&lt;80,80-(T6-X4),0),0)))</f>
        <v>698.2</v>
      </c>
      <c r="AE4" s="15"/>
    </row>
    <row r="5">
      <c r="A5" s="15"/>
      <c r="B5" s="19" t="s">
        <v>134</v>
      </c>
      <c r="C5" s="41">
        <v>116.0</v>
      </c>
      <c r="D5" s="87" t="str">
        <f>if(G3&lt;C5,"W",if(G3&gt;C5,"L",if(isblank(C5),"","T")))</f>
        <v>W</v>
      </c>
      <c r="E5" s="41">
        <v>114.0</v>
      </c>
      <c r="F5" s="47" t="str">
        <f>if(G4&lt;E5,"W",if(G4&gt;E5,"L",if(isblank(E5),"","T")))</f>
        <v>W</v>
      </c>
      <c r="G5" s="118"/>
      <c r="H5" s="39"/>
      <c r="I5" s="41">
        <v>160.0</v>
      </c>
      <c r="J5" s="93" t="str">
        <f>if(I5&gt;G6,"W",if(I5&lt;G6,"L",if(isblank(I5),"","T")))</f>
        <v>W</v>
      </c>
      <c r="K5" s="58">
        <f t="shared" si="1"/>
        <v>390</v>
      </c>
      <c r="L5" s="58">
        <f t="shared" si="2"/>
        <v>3</v>
      </c>
      <c r="M5" s="58">
        <f t="shared" si="3"/>
        <v>0</v>
      </c>
      <c r="N5" s="63">
        <f t="shared" si="4"/>
        <v>0</v>
      </c>
      <c r="O5" s="63">
        <f>0.015*SUM(K3:K6)+IF(D5="W",150+C5,IF(D5="T",100+C5,IF(D5="L",IF((G3-C5)&lt;80,80-(G3-C5),0),0)))+IF(F5="W",150+E5,IF(F5="T",100+E5,IF(F5="L",IF((G4-E5)&lt;80,80-(G4-E5),0),0)))+IF(J5="W",150+I5,IF(J5="T",100+I5,IF(J5="L",IF((G6-I5)&lt;80,80-(G6-I5),0),0)))</f>
        <v>858.24</v>
      </c>
      <c r="P5" s="15"/>
      <c r="Q5" s="29" t="s">
        <v>41</v>
      </c>
      <c r="R5" s="98">
        <v>234.0</v>
      </c>
      <c r="S5" s="100" t="str">
        <f>if(V3&lt;R5,"W",if(V3&gt;R5,"L",if(isblank(R5),"","T")))</f>
        <v>W</v>
      </c>
      <c r="T5" s="98">
        <v>114.0</v>
      </c>
      <c r="U5" s="100" t="str">
        <f>if(V4&lt;T5,"W",if(V4&gt;T5,"L",if(isblank(T5),"","T")))</f>
        <v>W</v>
      </c>
      <c r="V5" s="69"/>
      <c r="W5" s="70"/>
      <c r="X5" s="98">
        <v>220.0</v>
      </c>
      <c r="Y5" s="77" t="str">
        <f>if(X5&gt;V6,"W",if(X5&lt;V6,"L",if(isblank(X5),"","T")))</f>
        <v>W</v>
      </c>
      <c r="Z5" s="58">
        <f t="shared" si="5"/>
        <v>568</v>
      </c>
      <c r="AA5" s="58">
        <f t="shared" si="6"/>
        <v>3</v>
      </c>
      <c r="AB5" s="58">
        <f t="shared" si="7"/>
        <v>0</v>
      </c>
      <c r="AC5" s="63">
        <f t="shared" si="8"/>
        <v>0</v>
      </c>
      <c r="AD5" s="63">
        <f>0.015*SUM(Z3:Z6)+IF(S5="W",150+R5,IF(S5="T",100+R5,IF(S5="L",IF((V3-R5)&lt;80,80-(V3-R5),0),0)))+IF(U5="W",150+T5,IF(U5="T",100+T5,IF(U5="L",IF((V4-T5)&lt;80,80-(V4-T5),0),0)))+IF(Y5="W",150+X5,IF(Y5="T",100+X5,IF(Y5="L",IF((V6-X5)&lt;80,80-(V6-X5),0),0)))</f>
        <v>1034.2</v>
      </c>
      <c r="AE5" s="15"/>
    </row>
    <row r="6">
      <c r="A6" s="15"/>
      <c r="B6" s="19" t="s">
        <v>24</v>
      </c>
      <c r="C6" s="41">
        <v>18.0</v>
      </c>
      <c r="D6" s="87" t="str">
        <f>if(I3&lt;C6,"W",if(I3&gt;C6,"L",if(isblank(C6),"","T")))</f>
        <v>L</v>
      </c>
      <c r="E6" s="41">
        <v>-4.0</v>
      </c>
      <c r="F6" s="47" t="str">
        <f>if(I4&lt;E6,"W",if(I4&gt;E6,"L",if(isblank(E6),"","T")))</f>
        <v>L</v>
      </c>
      <c r="G6" s="90">
        <v>48.0</v>
      </c>
      <c r="H6" s="87" t="str">
        <f>if(I5&lt;G6,"W",if(I5&gt;G6,"L",if(isblank(G6),"","T")))</f>
        <v>L</v>
      </c>
      <c r="I6" s="37"/>
      <c r="J6" s="89"/>
      <c r="K6" s="58">
        <f t="shared" si="1"/>
        <v>62</v>
      </c>
      <c r="L6" s="58">
        <f t="shared" si="2"/>
        <v>0</v>
      </c>
      <c r="M6" s="58">
        <f t="shared" si="3"/>
        <v>0</v>
      </c>
      <c r="N6" s="63">
        <f t="shared" si="4"/>
        <v>3</v>
      </c>
      <c r="O6" s="63">
        <f>0.015*SUM(K3:K6)+IF(D6="W",150+C6,IF(D6="T",100+C6,IF(D6="L",IF((I3-C6)&lt;80,80-(I3-C6),0),0)))+IF(F6="W",150+E6,IF(F6="T",100+E6,IF(F6="L",IF((I4-E6)&lt;80,80-(I4-E6),0),0)))+IF(H6="W",150+G6,IF(H6="T",100+G6,IF(H6="L",IF((I5-G6)&lt;80,80-(I5-G6),0),0)))</f>
        <v>18.24</v>
      </c>
      <c r="P6" s="15"/>
      <c r="Q6" s="29" t="s">
        <v>42</v>
      </c>
      <c r="R6" s="98">
        <v>28.0</v>
      </c>
      <c r="S6" s="100" t="str">
        <f>if(X3&lt;R6,"W",if(X3&gt;R6,"L",if(isblank(R6),"","T")))</f>
        <v>L</v>
      </c>
      <c r="T6" s="98">
        <v>18.0</v>
      </c>
      <c r="U6" s="100" t="str">
        <f>if(X4&lt;T6,"W",if(X4&gt;T6,"L",if(isblank(T6),"","T")))</f>
        <v>L</v>
      </c>
      <c r="V6" s="98">
        <v>16.0</v>
      </c>
      <c r="W6" s="100" t="str">
        <f>if(X5&lt;V6,"W",if(X5&gt;V6,"L",if(isblank(V6),"","T")))</f>
        <v>L</v>
      </c>
      <c r="X6" s="69"/>
      <c r="Y6" s="70"/>
      <c r="Z6" s="58">
        <f t="shared" si="5"/>
        <v>62</v>
      </c>
      <c r="AA6" s="58">
        <f t="shared" si="6"/>
        <v>0</v>
      </c>
      <c r="AB6" s="58">
        <f t="shared" si="7"/>
        <v>0</v>
      </c>
      <c r="AC6" s="63">
        <f t="shared" si="8"/>
        <v>3</v>
      </c>
      <c r="AD6" s="63">
        <f>0.015*SUM(Z3:Z6)+IF(S6="W",150+R6,IF(S6="T",100+R6,IF(S6="L",IF((X3-R6)&lt;80,80-(X3-R6),0),0)))+IF(U6="W",150+T6,IF(U6="T",100+T6,IF(U6="L",IF((X4-T6)&lt;80,80-(X4-T6),0),0)))+IF(W6="W",150+V6,IF(W6="T",100+V6,IF(W6="L",IF((X5-V6)&lt;80,80-(X5-V6),0),0)))</f>
        <v>78.2</v>
      </c>
      <c r="AE6" s="15"/>
    </row>
    <row r="7">
      <c r="A7" s="13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3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139"/>
    </row>
    <row r="8">
      <c r="A8" s="15"/>
      <c r="B8" s="142" t="s">
        <v>151</v>
      </c>
      <c r="C8" s="145" t="s">
        <v>155</v>
      </c>
      <c r="D8" s="10"/>
      <c r="E8" s="145" t="s">
        <v>149</v>
      </c>
      <c r="F8" s="10"/>
      <c r="G8" s="145" t="s">
        <v>157</v>
      </c>
      <c r="H8" s="10"/>
      <c r="I8" s="145" t="s">
        <v>152</v>
      </c>
      <c r="J8" s="10"/>
      <c r="K8" s="148" t="s">
        <v>25</v>
      </c>
      <c r="L8" s="148" t="s">
        <v>26</v>
      </c>
      <c r="M8" s="148" t="s">
        <v>27</v>
      </c>
      <c r="N8" s="148" t="s">
        <v>28</v>
      </c>
      <c r="O8" s="148" t="s">
        <v>29</v>
      </c>
      <c r="P8" s="15"/>
      <c r="Q8" s="149" t="s">
        <v>161</v>
      </c>
      <c r="R8" s="152" t="s">
        <v>148</v>
      </c>
      <c r="S8" s="10"/>
      <c r="T8" s="152" t="s">
        <v>135</v>
      </c>
      <c r="U8" s="10"/>
      <c r="V8" s="152" t="s">
        <v>162</v>
      </c>
      <c r="W8" s="10"/>
      <c r="X8" s="152" t="s">
        <v>163</v>
      </c>
      <c r="Y8" s="10"/>
      <c r="Z8" s="155" t="s">
        <v>25</v>
      </c>
      <c r="AA8" s="155" t="s">
        <v>26</v>
      </c>
      <c r="AB8" s="155" t="s">
        <v>27</v>
      </c>
      <c r="AC8" s="155" t="s">
        <v>28</v>
      </c>
      <c r="AD8" s="155" t="s">
        <v>29</v>
      </c>
      <c r="AE8" s="15"/>
    </row>
    <row r="9">
      <c r="A9" s="15"/>
      <c r="B9" s="145" t="s">
        <v>155</v>
      </c>
      <c r="C9" s="69"/>
      <c r="D9" s="70"/>
      <c r="E9" s="160">
        <v>42.0</v>
      </c>
      <c r="F9" s="163" t="str">
        <f>if(E9&gt;C10,"W",if(E9&lt;C10,"L",if(isblank(E9),"","T")))</f>
        <v>L</v>
      </c>
      <c r="G9" s="160">
        <v>120.0</v>
      </c>
      <c r="H9" s="163" t="str">
        <f>if(G9&gt;C11,"W",if(G9&lt;C11,"L",if(isblank(G9),"","T")))</f>
        <v>W</v>
      </c>
      <c r="I9" s="160">
        <v>82.0</v>
      </c>
      <c r="J9" s="163" t="str">
        <f>if(I9&gt;C12,"W",if(I9&lt;C12,"L",if(isblank(I9),"","T")))</f>
        <v>L</v>
      </c>
      <c r="K9" s="58">
        <f t="shared" ref="K9:K12" si="9">SUM(C9:J9)</f>
        <v>244</v>
      </c>
      <c r="L9" s="58">
        <f t="shared" ref="L9:L12" si="10">COUNTIF(C9:J9, "*W*")</f>
        <v>1</v>
      </c>
      <c r="M9" s="58">
        <f t="shared" ref="M9:M12" si="11">COUNTIF(C9:J9, "*T*")</f>
        <v>0</v>
      </c>
      <c r="N9" s="63">
        <f t="shared" ref="N9:N12" si="12">COUNTIF(C9:J9, "*L*")</f>
        <v>2</v>
      </c>
      <c r="O9" s="63">
        <f>0.015*SUM(K9:K12)+IF(F9="W",150+E9,IF(F9="T",100+E9,IF(F9="L",IF((C10-E9)&lt;80,80-(C10-E9),0),0)))+IF(H9="W",150+G9,IF(H9="T",100+G9,IF(H9="L",IF((C11-G9)&lt;80,80-(C11-G9),0),0)))+IF(J9="W",150+I9,IF(J9="T",100+I9,IF(J9="L",IF((C12-I9)&lt;80,80-(C12-I9),0),0)))</f>
        <v>356.51</v>
      </c>
      <c r="P9" s="15"/>
      <c r="Q9" s="152" t="s">
        <v>148</v>
      </c>
      <c r="R9" s="69"/>
      <c r="S9" s="70"/>
      <c r="T9" s="172">
        <v>60.0</v>
      </c>
      <c r="U9" s="175" t="str">
        <f>if(T9&gt;R10,"W",if(T9&lt;R10,"L",if(isblank(T9),"","T")))</f>
        <v>L</v>
      </c>
      <c r="V9" s="172">
        <v>90.0</v>
      </c>
      <c r="W9" s="175" t="str">
        <f>if(V9&gt;R11,"W",if(V9&lt;R11,"L",if(isblank(V9),"","T")))</f>
        <v>W</v>
      </c>
      <c r="X9" s="172">
        <v>104.0</v>
      </c>
      <c r="Y9" s="175" t="str">
        <f>if(X9&gt;R12,"W",if(X9&lt;R12,"L",if(isblank(X9),"","T")))</f>
        <v>W</v>
      </c>
      <c r="Z9" s="58">
        <f t="shared" ref="Z9:Z12" si="13">SUM(R9:Y9)</f>
        <v>254</v>
      </c>
      <c r="AA9" s="58">
        <f t="shared" ref="AA9:AA12" si="14">COUNTIF(R9:Y9, "*W*")</f>
        <v>2</v>
      </c>
      <c r="AB9" s="58">
        <f t="shared" ref="AB9:AB12" si="15">COUNTIF(R9:Y9, "*T*")</f>
        <v>0</v>
      </c>
      <c r="AC9" s="63">
        <f t="shared" ref="AC9:AC12" si="16">COUNTIF(R9:Y9, "*L*")</f>
        <v>1</v>
      </c>
      <c r="AD9" s="63">
        <f>0.015*SUM(Z9:Z12)+IF(U9="W",150+T9,IF(U9="T",100+T9,IF(U9="L",IF((R10-T9)&lt;80,80-(R10-T9),0),0)))+IF(W9="W",150+V9,IF(W9="T",100+V9,IF(W9="L",IF((R11-V9)&lt;80,80-(R11-V9),0),0)))+IF(Y9="W",150+X9,IF(Y9="T",100+X9,IF(Y9="L",IF((R12-X9)&lt;80,80-(R12-X9),0),0)))</f>
        <v>513.05</v>
      </c>
      <c r="AE9" s="15"/>
    </row>
    <row r="10">
      <c r="A10" s="15"/>
      <c r="B10" s="145" t="s">
        <v>149</v>
      </c>
      <c r="C10" s="184">
        <v>216.0</v>
      </c>
      <c r="D10" s="187" t="str">
        <f>if(E9&lt;C10,"W",if(E9&gt;C10,"L",if(isblank(C10),"","T")))</f>
        <v>W</v>
      </c>
      <c r="E10" s="69"/>
      <c r="F10" s="70"/>
      <c r="G10" s="184">
        <v>110.0</v>
      </c>
      <c r="H10" s="163" t="str">
        <f>if(G10&gt;E11,"W",if(G10&lt;E11,"L",if(isblank(G10),"","T")))</f>
        <v>W</v>
      </c>
      <c r="I10" s="184">
        <v>194.0</v>
      </c>
      <c r="J10" s="163" t="str">
        <f>if(I10&gt;E12,"W",if(I10&lt;E12,"L",if(isblank(I10),"","T")))</f>
        <v>W</v>
      </c>
      <c r="K10" s="58">
        <f t="shared" si="9"/>
        <v>520</v>
      </c>
      <c r="L10" s="58">
        <f t="shared" si="10"/>
        <v>3</v>
      </c>
      <c r="M10" s="58">
        <f t="shared" si="11"/>
        <v>0</v>
      </c>
      <c r="N10" s="63">
        <f t="shared" si="12"/>
        <v>0</v>
      </c>
      <c r="O10" s="63">
        <f>0.015*SUM(K9:K12)+IF(D10="W",150+C10,IF(D10="T",100+C10,IF(D10="L",IF((E9-C10)&lt;80,80-(E9-C10),0),0)))+IF(H10="W",150+G10,IF(H10="T",100+G10,IF(H10="L",IF((E11-G10)&lt;80,80-(E11-G10),0),0)))+IF(J10="W",150+I10,IF(J10="T",100+I10,IF(J10="L",IF((E12-I10)&lt;80,80-(E12-I10),0),0)))</f>
        <v>988.51</v>
      </c>
      <c r="P10" s="15"/>
      <c r="Q10" s="152" t="s">
        <v>135</v>
      </c>
      <c r="R10" s="195">
        <v>180.0</v>
      </c>
      <c r="S10" s="199" t="str">
        <f>if(T9&lt;R10,"W",if(T9&gt;R10,"L",if(isblank(R10),"","T")))</f>
        <v>W</v>
      </c>
      <c r="T10" s="69"/>
      <c r="U10" s="70"/>
      <c r="V10" s="195">
        <v>214.0</v>
      </c>
      <c r="W10" s="175" t="str">
        <f>if(V10&gt;T11,"W",if(V10&lt;T11,"L",if(isblank(V10),"","T")))</f>
        <v>W</v>
      </c>
      <c r="X10" s="195">
        <v>192.0</v>
      </c>
      <c r="Y10" s="175" t="str">
        <f>if(X10&gt;T12,"W",if(X10&lt;T12,"L",if(isblank(X10),"","T")))</f>
        <v>W</v>
      </c>
      <c r="Z10" s="58">
        <f t="shared" si="13"/>
        <v>586</v>
      </c>
      <c r="AA10" s="58">
        <f t="shared" si="14"/>
        <v>3</v>
      </c>
      <c r="AB10" s="58">
        <f t="shared" si="15"/>
        <v>0</v>
      </c>
      <c r="AC10" s="63">
        <f t="shared" si="16"/>
        <v>0</v>
      </c>
      <c r="AD10" s="63">
        <f>0.015*SUM(Z9:Z12)+IF(S10="W",150+R10,IF(S10="T",100+R10,IF(S10="L",IF((T9-R10)&lt;80,80-(T9-R10),0),0)))+IF(W10="W",150+V10,IF(W10="T",100+V10,IF(W10="L",IF((T11-V10)&lt;80,80-(T11-V10),0),0)))+IF(Y10="W",150+X10,IF(Y10="T",100+X10,IF(Y10="L",IF((T12-X10)&lt;80,80-(T12-X10),0),0)))</f>
        <v>1055.05</v>
      </c>
      <c r="AE10" s="15"/>
    </row>
    <row r="11">
      <c r="A11" s="15"/>
      <c r="B11" s="145" t="s">
        <v>157</v>
      </c>
      <c r="C11" s="184">
        <v>88.0</v>
      </c>
      <c r="D11" s="187" t="str">
        <f>if(G9&lt;C11,"W",if(G9&gt;C11,"L",if(isblank(C11),"","T")))</f>
        <v>L</v>
      </c>
      <c r="E11" s="184">
        <v>42.0</v>
      </c>
      <c r="F11" s="187" t="str">
        <f>if(G10&lt;E11,"W",if(G10&gt;E11,"L",if(isblank(E11),"","T")))</f>
        <v>L</v>
      </c>
      <c r="G11" s="69"/>
      <c r="H11" s="70"/>
      <c r="I11" s="184">
        <v>40.0</v>
      </c>
      <c r="J11" s="163" t="str">
        <f>if(I11&gt;G12,"W",if(I11&lt;G12,"L",if(isblank(I11),"","T")))</f>
        <v>L</v>
      </c>
      <c r="K11" s="58">
        <f t="shared" si="9"/>
        <v>170</v>
      </c>
      <c r="L11" s="58">
        <f t="shared" si="10"/>
        <v>0</v>
      </c>
      <c r="M11" s="58">
        <f t="shared" si="11"/>
        <v>0</v>
      </c>
      <c r="N11" s="63">
        <f t="shared" si="12"/>
        <v>3</v>
      </c>
      <c r="O11" s="63">
        <f>0.015*SUM(K9:K12)+IF(D11="W",150+C11,IF(D11="T",100+C11,IF(D11="L",IF((G9-C11)&lt;80,80-(G9-C11),0),0)))+IF(F11="W",150+E11,IF(F11="T",100+E11,IF(F11="L",IF((G10-E11)&lt;80,80-(G10-E11),0),0)))+IF(J11="W",150+I11,IF(J11="T",100+I11,IF(J11="L",IF((G12-I11)&lt;80,80-(G12-I11),0),0)))</f>
        <v>78.51</v>
      </c>
      <c r="P11" s="15"/>
      <c r="Q11" s="152" t="s">
        <v>162</v>
      </c>
      <c r="R11" s="195">
        <v>42.0</v>
      </c>
      <c r="S11" s="199" t="str">
        <f>if(V9&lt;R11,"W",if(V9&gt;R11,"L",if(isblank(R11),"","T")))</f>
        <v>L</v>
      </c>
      <c r="T11" s="195">
        <v>44.0</v>
      </c>
      <c r="U11" s="199" t="str">
        <f>if(V10&lt;T11,"W",if(V10&gt;T11,"L",if(isblank(T11),"","T")))</f>
        <v>L</v>
      </c>
      <c r="V11" s="69"/>
      <c r="W11" s="70"/>
      <c r="X11" s="195">
        <v>88.0</v>
      </c>
      <c r="Y11" s="175" t="str">
        <f>if(X11&gt;V12,"W",if(X11&lt;V12,"L",if(isblank(X11),"","T")))</f>
        <v>L</v>
      </c>
      <c r="Z11" s="58">
        <f t="shared" si="13"/>
        <v>174</v>
      </c>
      <c r="AA11" s="58">
        <f t="shared" si="14"/>
        <v>0</v>
      </c>
      <c r="AB11" s="58">
        <f t="shared" si="15"/>
        <v>0</v>
      </c>
      <c r="AC11" s="63">
        <f t="shared" si="16"/>
        <v>3</v>
      </c>
      <c r="AD11" s="63">
        <f>0.015*SUM(Z9:Z12)+IF(S11="W",150+R11,IF(S11="T",100+R11,IF(S11="L",IF((V9-R11)&lt;80,80-(V9-R11),0),0)))+IF(U11="W",150+T11,IF(U11="T",100+T11,IF(U11="L",IF((V10-T11)&lt;80,80-(V10-T11),0),0)))+IF(Y11="W",150+X11,IF(Y11="T",100+X11,IF(Y11="L",IF((V12-X11)&lt;80,80-(V12-X11),0),0)))</f>
        <v>97.05</v>
      </c>
      <c r="AE11" s="15"/>
    </row>
    <row r="12">
      <c r="A12" s="15"/>
      <c r="B12" s="145" t="s">
        <v>152</v>
      </c>
      <c r="C12" s="184">
        <v>94.0</v>
      </c>
      <c r="D12" s="187" t="str">
        <f>if(I9&lt;C12,"W",if(I9&gt;C12,"L",if(isblank(C12),"","T")))</f>
        <v>W</v>
      </c>
      <c r="E12" s="184">
        <v>48.0</v>
      </c>
      <c r="F12" s="187" t="str">
        <f>if(I10&lt;E12,"W",if(I10&gt;E12,"L",if(isblank(E12),"","T")))</f>
        <v>L</v>
      </c>
      <c r="G12" s="184">
        <v>158.0</v>
      </c>
      <c r="H12" s="187" t="str">
        <f>if(I11&lt;G12,"W",if(I11&gt;G12,"L",if(isblank(G12),"","T")))</f>
        <v>W</v>
      </c>
      <c r="I12" s="69"/>
      <c r="J12" s="70"/>
      <c r="K12" s="58">
        <f t="shared" si="9"/>
        <v>300</v>
      </c>
      <c r="L12" s="58">
        <f t="shared" si="10"/>
        <v>2</v>
      </c>
      <c r="M12" s="58">
        <f t="shared" si="11"/>
        <v>0</v>
      </c>
      <c r="N12" s="63">
        <f t="shared" si="12"/>
        <v>1</v>
      </c>
      <c r="O12" s="63">
        <f>0.015*SUM(K9:K12)+IF(D12="W",150+C12,IF(D12="T",100+C12,IF(D12="L",IF((I9-C12)&lt;80,80-(I9-C12),0),0)))+IF(F12="W",150+E12,IF(F12="T",100+E12,IF(F12="L",IF((I10-E12)&lt;80,80-(I10-E12),0),0)))+IF(H12="W",150+G12,IF(H12="T",100+G12,IF(H12="L",IF((I11-G12)&lt;80,80-(I11-G12),0),0)))</f>
        <v>570.51</v>
      </c>
      <c r="P12" s="15"/>
      <c r="Q12" s="152" t="s">
        <v>163</v>
      </c>
      <c r="R12" s="195">
        <v>70.0</v>
      </c>
      <c r="S12" s="199" t="str">
        <f>if(X9&lt;R12,"W",if(X9&gt;R12,"L",if(isblank(R12),"","T")))</f>
        <v>L</v>
      </c>
      <c r="T12" s="195">
        <v>64.0</v>
      </c>
      <c r="U12" s="199" t="str">
        <f>if(X10&lt;T12,"W",if(X10&gt;T12,"L",if(isblank(T12),"","T")))</f>
        <v>L</v>
      </c>
      <c r="V12" s="195">
        <v>122.0</v>
      </c>
      <c r="W12" s="199" t="str">
        <f>if(X11&lt;V12,"W",if(X11&gt;V12,"L",if(isblank(V12),"","T")))</f>
        <v>W</v>
      </c>
      <c r="X12" s="69"/>
      <c r="Y12" s="70"/>
      <c r="Z12" s="58">
        <f t="shared" si="13"/>
        <v>256</v>
      </c>
      <c r="AA12" s="58">
        <f t="shared" si="14"/>
        <v>1</v>
      </c>
      <c r="AB12" s="58">
        <f t="shared" si="15"/>
        <v>0</v>
      </c>
      <c r="AC12" s="63">
        <f t="shared" si="16"/>
        <v>2</v>
      </c>
      <c r="AD12" s="63">
        <f>0.015*SUM(Z9:Z12)+IF(S12="W",150+R12,IF(S12="T",100+R12,IF(S12="L",IF((X9-R12)&lt;80,80-(X9-R12),0),0)))+IF(U12="W",150+T12,IF(U12="T",100+T12,IF(U12="L",IF((X10-T12)&lt;80,80-(X10-T12),0),0)))+IF(W12="W",150+V12,IF(W12="T",100+V12,IF(W12="L",IF((X11-V12)&lt;80,80-(X11-V12),0),0)))</f>
        <v>337.05</v>
      </c>
      <c r="AE12" s="15"/>
    </row>
    <row r="13">
      <c r="A13" s="13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3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139"/>
    </row>
  </sheetData>
  <mergeCells count="16">
    <mergeCell ref="E2:F2"/>
    <mergeCell ref="G2:H2"/>
    <mergeCell ref="I2:J2"/>
    <mergeCell ref="R2:S2"/>
    <mergeCell ref="T2:U2"/>
    <mergeCell ref="V2:W2"/>
    <mergeCell ref="X2:Y2"/>
    <mergeCell ref="V8:W8"/>
    <mergeCell ref="X8:Y8"/>
    <mergeCell ref="C2:D2"/>
    <mergeCell ref="C8:D8"/>
    <mergeCell ref="E8:F8"/>
    <mergeCell ref="G8:H8"/>
    <mergeCell ref="I8:J8"/>
    <mergeCell ref="R8:S8"/>
    <mergeCell ref="T8:U8"/>
  </mergeCells>
  <conditionalFormatting sqref="A1:AE13">
    <cfRule type="cellIs" dxfId="0" priority="1" operator="equal">
      <formula>"W"</formula>
    </cfRule>
  </conditionalFormatting>
  <conditionalFormatting sqref="A1:AE13">
    <cfRule type="cellIs" dxfId="1" priority="2" operator="equal">
      <formula>"L"</formula>
    </cfRule>
  </conditionalFormatting>
  <conditionalFormatting sqref="A1:AE13">
    <cfRule type="cellIs" dxfId="2" priority="3" operator="equal">
      <formula>"T"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88"/>
    <col customWidth="1" min="3" max="3" width="15.13"/>
    <col customWidth="1" min="4" max="4" width="6.38"/>
    <col customWidth="1" min="5" max="6" width="2.88"/>
    <col customWidth="1" min="7" max="7" width="12.38"/>
    <col customWidth="1" min="8" max="8" width="5.13"/>
    <col customWidth="1" min="9" max="10" width="2.88"/>
    <col customWidth="1" min="11" max="11" width="12.38"/>
    <col customWidth="1" min="12" max="12" width="5.13"/>
    <col customWidth="1" min="13" max="14" width="2.88"/>
    <col customWidth="1" min="15" max="15" width="12.38"/>
    <col customWidth="1" min="16" max="16" width="5.13"/>
    <col customWidth="1" min="17" max="18" width="2.88"/>
    <col customWidth="1" min="19" max="19" width="12.38"/>
    <col customWidth="1" min="20" max="20" width="5.13"/>
    <col customWidth="1" min="21" max="22" width="2.88"/>
    <col customWidth="1" min="23" max="23" width="12.38"/>
    <col customWidth="1" min="24" max="24" width="5.13"/>
    <col customWidth="1" min="25" max="25" width="2.88"/>
    <col customWidth="1" min="26" max="26" width="15.13"/>
    <col customWidth="1" min="27" max="27" width="5.13"/>
    <col customWidth="1" min="28" max="28" width="24.75"/>
    <col customWidth="1" min="29" max="29" width="2.88"/>
  </cols>
  <sheetData>
    <row r="1">
      <c r="A1" s="92"/>
      <c r="B1" s="92"/>
      <c r="C1" s="92"/>
      <c r="D1" s="92"/>
      <c r="E1" s="92"/>
      <c r="F1" s="94" t="s">
        <v>116</v>
      </c>
      <c r="G1" s="13"/>
      <c r="H1" s="10"/>
      <c r="I1" s="96"/>
      <c r="J1" s="94" t="s">
        <v>118</v>
      </c>
      <c r="K1" s="13"/>
      <c r="L1" s="10"/>
      <c r="M1" s="96"/>
      <c r="N1" s="94" t="s">
        <v>119</v>
      </c>
      <c r="O1" s="13"/>
      <c r="P1" s="10"/>
      <c r="Q1" s="99"/>
      <c r="R1" s="94" t="s">
        <v>121</v>
      </c>
      <c r="S1" s="13"/>
      <c r="T1" s="10"/>
      <c r="U1" s="96"/>
      <c r="V1" s="94" t="s">
        <v>123</v>
      </c>
      <c r="W1" s="13"/>
      <c r="X1" s="10"/>
      <c r="Y1" s="96"/>
      <c r="Z1" s="101" t="s">
        <v>124</v>
      </c>
      <c r="AA1" s="10"/>
      <c r="AB1" s="102"/>
      <c r="AC1" s="102"/>
    </row>
    <row r="2">
      <c r="A2" s="102"/>
      <c r="B2" s="105" t="s">
        <v>20</v>
      </c>
      <c r="C2" s="13"/>
      <c r="D2" s="10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</row>
    <row r="3">
      <c r="A3" s="107"/>
      <c r="B3" s="108" t="s">
        <v>39</v>
      </c>
      <c r="C3" s="108" t="s">
        <v>45</v>
      </c>
      <c r="D3" s="108" t="s">
        <v>29</v>
      </c>
      <c r="E3" s="107"/>
      <c r="F3" s="109" t="s">
        <v>135</v>
      </c>
      <c r="G3" s="110"/>
      <c r="H3" s="111">
        <v>124.0</v>
      </c>
      <c r="I3" s="102"/>
      <c r="J3" s="109" t="s">
        <v>41</v>
      </c>
      <c r="K3" s="110"/>
      <c r="L3" s="111">
        <v>54.0</v>
      </c>
      <c r="M3" s="102"/>
      <c r="N3" s="109" t="s">
        <v>135</v>
      </c>
      <c r="O3" s="110"/>
      <c r="P3" s="111">
        <v>136.0</v>
      </c>
      <c r="Q3" s="102"/>
      <c r="R3" s="112" t="s">
        <v>135</v>
      </c>
      <c r="T3" s="113">
        <v>110.0</v>
      </c>
      <c r="U3" s="102"/>
      <c r="V3" s="112" t="s">
        <v>135</v>
      </c>
      <c r="X3" s="113">
        <v>94.0</v>
      </c>
      <c r="Y3" s="102"/>
      <c r="Z3" s="114" t="s">
        <v>135</v>
      </c>
      <c r="AA3" s="115">
        <v>72.0</v>
      </c>
      <c r="AB3" s="102"/>
    </row>
    <row r="4">
      <c r="A4" s="92"/>
      <c r="B4" s="116">
        <v>1.0</v>
      </c>
      <c r="C4" s="119" t="str">
        <f t="array" ref="C4:D52">SORT(Calculation!E3:F551, 2, FALSE)</f>
        <v>Quail Valley</v>
      </c>
      <c r="D4" s="119">
        <v>1055.05</v>
      </c>
      <c r="E4" s="92"/>
      <c r="F4" s="121" t="s">
        <v>65</v>
      </c>
      <c r="H4" s="123"/>
      <c r="I4" s="107"/>
      <c r="J4" s="121" t="s">
        <v>65</v>
      </c>
      <c r="L4" s="123"/>
      <c r="M4" s="102"/>
      <c r="N4" s="121" t="s">
        <v>65</v>
      </c>
      <c r="P4" s="123"/>
      <c r="Q4" s="102"/>
      <c r="R4" s="125"/>
      <c r="S4" s="125"/>
      <c r="T4" s="126"/>
      <c r="U4" s="102"/>
      <c r="V4" s="125"/>
      <c r="W4" s="125"/>
      <c r="X4" s="126"/>
      <c r="Y4" s="102"/>
      <c r="Z4" s="127"/>
      <c r="AA4" s="128"/>
      <c r="AB4" s="102"/>
      <c r="AC4" s="102"/>
    </row>
    <row r="5">
      <c r="A5" s="107"/>
      <c r="B5" s="130">
        <v>2.0</v>
      </c>
      <c r="C5" s="131" t="s">
        <v>41</v>
      </c>
      <c r="D5" s="131">
        <v>1034.2</v>
      </c>
      <c r="E5" s="107"/>
      <c r="F5" s="132" t="s">
        <v>148</v>
      </c>
      <c r="G5" s="110"/>
      <c r="H5" s="133">
        <v>36.0</v>
      </c>
      <c r="I5" s="102"/>
      <c r="J5" s="132" t="s">
        <v>135</v>
      </c>
      <c r="K5" s="110"/>
      <c r="L5" s="133">
        <v>158.0</v>
      </c>
      <c r="M5" s="102"/>
      <c r="N5" s="132" t="s">
        <v>134</v>
      </c>
      <c r="O5" s="110"/>
      <c r="P5" s="133">
        <v>40.0</v>
      </c>
      <c r="Q5" s="102"/>
      <c r="R5" s="107"/>
      <c r="S5" s="107"/>
      <c r="T5" s="134"/>
      <c r="U5" s="102"/>
      <c r="V5" s="107"/>
      <c r="W5" s="107"/>
      <c r="X5" s="134"/>
      <c r="Y5" s="102"/>
      <c r="Z5" s="102"/>
      <c r="AA5" s="123"/>
      <c r="AB5" s="102"/>
      <c r="AC5" s="102"/>
    </row>
    <row r="6">
      <c r="A6" s="102"/>
      <c r="B6" s="130">
        <v>3.0</v>
      </c>
      <c r="C6" s="131" t="s">
        <v>149</v>
      </c>
      <c r="D6" s="131">
        <v>988.51</v>
      </c>
      <c r="E6" s="102"/>
      <c r="F6" s="102"/>
      <c r="G6" s="102"/>
      <c r="H6" s="102"/>
      <c r="I6" s="92"/>
      <c r="J6" s="102"/>
      <c r="K6" s="102"/>
      <c r="L6" s="102"/>
      <c r="M6" s="92"/>
      <c r="N6" s="102"/>
      <c r="O6" s="102"/>
      <c r="P6" s="102"/>
      <c r="Q6" s="107"/>
      <c r="R6" s="121" t="s">
        <v>65</v>
      </c>
      <c r="T6" s="134"/>
      <c r="U6" s="102"/>
      <c r="V6" s="121" t="s">
        <v>65</v>
      </c>
      <c r="X6" s="134"/>
      <c r="Y6" s="102"/>
      <c r="Z6" s="102"/>
      <c r="AA6" s="123"/>
      <c r="AB6" s="102"/>
      <c r="AC6" s="102"/>
    </row>
    <row r="7">
      <c r="A7" s="107"/>
      <c r="B7" s="130">
        <v>4.0</v>
      </c>
      <c r="C7" s="131" t="s">
        <v>134</v>
      </c>
      <c r="D7" s="131">
        <v>858.24</v>
      </c>
      <c r="E7" s="107"/>
      <c r="F7" s="137" t="s">
        <v>134</v>
      </c>
      <c r="G7" s="110"/>
      <c r="H7" s="111">
        <v>96.0</v>
      </c>
      <c r="I7" s="102"/>
      <c r="J7" s="137" t="s">
        <v>149</v>
      </c>
      <c r="K7" s="110"/>
      <c r="L7" s="111">
        <v>62.0</v>
      </c>
      <c r="M7" s="102"/>
      <c r="N7" s="137" t="s">
        <v>149</v>
      </c>
      <c r="O7" s="110"/>
      <c r="P7" s="111">
        <v>122.0</v>
      </c>
      <c r="Q7" s="102"/>
      <c r="R7" s="107"/>
      <c r="S7" s="107"/>
      <c r="T7" s="134"/>
      <c r="U7" s="102"/>
      <c r="V7" s="107"/>
      <c r="W7" s="107"/>
      <c r="X7" s="134"/>
      <c r="Y7" s="102"/>
      <c r="Z7" s="102"/>
      <c r="AA7" s="123"/>
      <c r="AB7" s="102"/>
      <c r="AC7" s="102"/>
    </row>
    <row r="8">
      <c r="A8" s="92"/>
      <c r="B8" s="130">
        <v>5.0</v>
      </c>
      <c r="C8" s="131" t="s">
        <v>22</v>
      </c>
      <c r="D8" s="131">
        <v>704.24</v>
      </c>
      <c r="E8" s="92"/>
      <c r="F8" s="121" t="s">
        <v>108</v>
      </c>
      <c r="H8" s="123"/>
      <c r="I8" s="107"/>
      <c r="J8" s="121" t="s">
        <v>108</v>
      </c>
      <c r="L8" s="123"/>
      <c r="M8" s="102"/>
      <c r="N8" s="121" t="s">
        <v>108</v>
      </c>
      <c r="P8" s="123"/>
      <c r="Q8" s="102"/>
      <c r="R8" s="107"/>
      <c r="S8" s="107"/>
      <c r="T8" s="134"/>
      <c r="U8" s="102"/>
      <c r="V8" s="107"/>
      <c r="W8" s="107"/>
      <c r="X8" s="134"/>
      <c r="Y8" s="102"/>
      <c r="Z8" s="102"/>
      <c r="AA8" s="123"/>
      <c r="AB8" s="102"/>
      <c r="AC8" s="102"/>
    </row>
    <row r="9">
      <c r="A9" s="107"/>
      <c r="B9" s="130">
        <v>6.0</v>
      </c>
      <c r="C9" s="131" t="s">
        <v>40</v>
      </c>
      <c r="D9" s="131">
        <v>698.2</v>
      </c>
      <c r="E9" s="107"/>
      <c r="F9" s="140" t="s">
        <v>22</v>
      </c>
      <c r="G9" s="110"/>
      <c r="H9" s="133">
        <v>74.0</v>
      </c>
      <c r="I9" s="102"/>
      <c r="J9" s="140" t="s">
        <v>134</v>
      </c>
      <c r="K9" s="110"/>
      <c r="L9" s="133">
        <v>102.0</v>
      </c>
      <c r="M9" s="102"/>
      <c r="N9" s="140" t="s">
        <v>41</v>
      </c>
      <c r="O9" s="110"/>
      <c r="P9" s="133">
        <v>54.0</v>
      </c>
      <c r="Q9" s="102"/>
      <c r="R9" s="132" t="s">
        <v>149</v>
      </c>
      <c r="S9" s="110"/>
      <c r="T9" s="133">
        <v>106.0</v>
      </c>
      <c r="U9" s="102"/>
      <c r="V9" s="132" t="s">
        <v>134</v>
      </c>
      <c r="W9" s="110"/>
      <c r="X9" s="133">
        <v>46.0</v>
      </c>
      <c r="Y9" s="102"/>
      <c r="Z9" s="102"/>
      <c r="AA9" s="123"/>
      <c r="AB9" s="102"/>
      <c r="AC9" s="102"/>
    </row>
    <row r="10">
      <c r="A10" s="102"/>
      <c r="B10" s="130">
        <v>7.0</v>
      </c>
      <c r="C10" s="131" t="s">
        <v>152</v>
      </c>
      <c r="D10" s="131">
        <v>570.51</v>
      </c>
      <c r="E10" s="102"/>
      <c r="F10" s="102"/>
      <c r="G10" s="102"/>
      <c r="H10" s="102"/>
      <c r="I10" s="144"/>
      <c r="J10" s="102"/>
      <c r="K10" s="102"/>
      <c r="L10" s="102"/>
      <c r="M10" s="102"/>
      <c r="N10" s="102"/>
      <c r="O10" s="102"/>
      <c r="P10" s="102"/>
      <c r="Q10" s="92"/>
      <c r="R10" s="107"/>
      <c r="S10" s="107"/>
      <c r="T10" s="107"/>
      <c r="U10" s="107"/>
      <c r="V10" s="107"/>
      <c r="W10" s="107"/>
      <c r="X10" s="107"/>
      <c r="Y10" s="102"/>
      <c r="Z10" s="121" t="s">
        <v>133</v>
      </c>
      <c r="AA10" s="123"/>
      <c r="AB10" s="147" t="s">
        <v>135</v>
      </c>
      <c r="AC10" s="102"/>
    </row>
    <row r="11">
      <c r="A11" s="107"/>
      <c r="B11" s="150">
        <v>8.0</v>
      </c>
      <c r="C11" s="153" t="s">
        <v>148</v>
      </c>
      <c r="D11" s="153">
        <v>513.05</v>
      </c>
      <c r="E11" s="107"/>
      <c r="F11" s="157" t="s">
        <v>149</v>
      </c>
      <c r="G11" s="110"/>
      <c r="H11" s="111">
        <v>116.0</v>
      </c>
      <c r="I11" s="102"/>
      <c r="J11" s="157" t="s">
        <v>22</v>
      </c>
      <c r="K11" s="110"/>
      <c r="L11" s="111">
        <v>28.0</v>
      </c>
      <c r="M11" s="102"/>
      <c r="N11" s="157" t="s">
        <v>152</v>
      </c>
      <c r="O11" s="110"/>
      <c r="P11" s="111">
        <v>104.0</v>
      </c>
      <c r="Q11" s="102"/>
      <c r="R11" s="159" t="s">
        <v>134</v>
      </c>
      <c r="T11" s="113">
        <v>56.0</v>
      </c>
      <c r="U11" s="102"/>
      <c r="V11" s="159" t="s">
        <v>149</v>
      </c>
      <c r="X11" s="113">
        <v>22.0</v>
      </c>
      <c r="Y11" s="144"/>
      <c r="Z11" s="102"/>
      <c r="AA11" s="123"/>
      <c r="AB11" s="121" t="s">
        <v>166</v>
      </c>
      <c r="AC11" s="102"/>
    </row>
    <row r="12">
      <c r="A12" s="162"/>
      <c r="B12" s="116">
        <v>9.0</v>
      </c>
      <c r="C12" s="165" t="s">
        <v>12</v>
      </c>
      <c r="D12" s="165">
        <v>450.24</v>
      </c>
      <c r="E12" s="162"/>
      <c r="F12" s="168" t="s">
        <v>110</v>
      </c>
      <c r="H12" s="123"/>
      <c r="I12" s="107"/>
      <c r="J12" s="168" t="s">
        <v>110</v>
      </c>
      <c r="L12" s="123"/>
      <c r="M12" s="102"/>
      <c r="N12" s="168" t="s">
        <v>110</v>
      </c>
      <c r="P12" s="123"/>
      <c r="Q12" s="102"/>
      <c r="R12" s="125"/>
      <c r="S12" s="125"/>
      <c r="T12" s="126"/>
      <c r="U12" s="102"/>
      <c r="V12" s="125"/>
      <c r="W12" s="125"/>
      <c r="X12" s="126"/>
      <c r="Y12" s="102"/>
      <c r="Z12" s="102"/>
      <c r="AA12" s="123"/>
      <c r="AB12" s="102"/>
      <c r="AC12" s="102"/>
    </row>
    <row r="13">
      <c r="A13" s="107"/>
      <c r="B13" s="170">
        <v>10.0</v>
      </c>
      <c r="C13" s="171" t="s">
        <v>155</v>
      </c>
      <c r="D13" s="171">
        <v>356.51</v>
      </c>
      <c r="E13" s="107"/>
      <c r="F13" s="174" t="s">
        <v>40</v>
      </c>
      <c r="G13" s="110"/>
      <c r="H13" s="133">
        <v>32.0</v>
      </c>
      <c r="I13" s="102"/>
      <c r="J13" s="174" t="s">
        <v>152</v>
      </c>
      <c r="K13" s="110"/>
      <c r="L13" s="133">
        <v>112.0</v>
      </c>
      <c r="M13" s="102"/>
      <c r="N13" s="174" t="s">
        <v>148</v>
      </c>
      <c r="O13" s="110"/>
      <c r="P13" s="133">
        <v>4.0</v>
      </c>
      <c r="Q13" s="102"/>
      <c r="R13" s="107"/>
      <c r="S13" s="107"/>
      <c r="T13" s="134"/>
      <c r="U13" s="102"/>
      <c r="V13" s="107"/>
      <c r="W13" s="107"/>
      <c r="X13" s="134"/>
      <c r="Y13" s="102"/>
      <c r="Z13" s="102"/>
      <c r="AA13" s="123"/>
      <c r="AB13" s="102"/>
      <c r="AC13" s="102"/>
    </row>
    <row r="14">
      <c r="A14" s="102"/>
      <c r="B14" s="130">
        <v>11.0</v>
      </c>
      <c r="C14" s="171" t="s">
        <v>163</v>
      </c>
      <c r="D14" s="171">
        <v>337.05</v>
      </c>
      <c r="E14" s="102"/>
      <c r="F14" s="102"/>
      <c r="G14" s="102"/>
      <c r="H14" s="102"/>
      <c r="I14" s="92"/>
      <c r="J14" s="102"/>
      <c r="K14" s="102"/>
      <c r="L14" s="102"/>
      <c r="M14" s="92"/>
      <c r="N14" s="102"/>
      <c r="O14" s="102"/>
      <c r="P14" s="102"/>
      <c r="Q14" s="107"/>
      <c r="R14" s="121" t="s">
        <v>108</v>
      </c>
      <c r="T14" s="134"/>
      <c r="U14" s="102"/>
      <c r="V14" s="121" t="s">
        <v>108</v>
      </c>
      <c r="X14" s="134"/>
      <c r="Y14" s="102"/>
      <c r="Z14" s="102"/>
      <c r="AA14" s="123"/>
      <c r="AB14" s="102"/>
      <c r="AC14" s="102"/>
    </row>
    <row r="15">
      <c r="A15" s="107"/>
      <c r="B15" s="130">
        <v>12.0</v>
      </c>
      <c r="C15" s="171" t="s">
        <v>32</v>
      </c>
      <c r="D15" s="171">
        <v>212.2</v>
      </c>
      <c r="E15" s="107"/>
      <c r="F15" s="177" t="s">
        <v>41</v>
      </c>
      <c r="G15" s="110"/>
      <c r="H15" s="111">
        <v>136.0</v>
      </c>
      <c r="I15" s="102"/>
      <c r="J15" s="177" t="s">
        <v>148</v>
      </c>
      <c r="K15" s="110"/>
      <c r="L15" s="111">
        <v>90.0</v>
      </c>
      <c r="M15" s="102"/>
      <c r="N15" s="177" t="s">
        <v>22</v>
      </c>
      <c r="O15" s="110"/>
      <c r="P15" s="111">
        <v>44.0</v>
      </c>
      <c r="Q15" s="102"/>
      <c r="R15" s="107"/>
      <c r="S15" s="107"/>
      <c r="T15" s="134"/>
      <c r="U15" s="102"/>
      <c r="V15" s="107"/>
      <c r="W15" s="107"/>
      <c r="X15" s="134"/>
      <c r="Y15" s="102"/>
      <c r="Z15" s="102"/>
      <c r="AA15" s="123"/>
      <c r="AB15" s="102"/>
      <c r="AC15" s="102"/>
    </row>
    <row r="16">
      <c r="A16" s="92"/>
      <c r="B16" s="130">
        <v>13.0</v>
      </c>
      <c r="C16" s="171" t="s">
        <v>162</v>
      </c>
      <c r="D16" s="171">
        <v>97.05</v>
      </c>
      <c r="E16" s="92"/>
      <c r="F16" s="121" t="s">
        <v>115</v>
      </c>
      <c r="H16" s="123"/>
      <c r="I16" s="107"/>
      <c r="J16" s="121" t="s">
        <v>115</v>
      </c>
      <c r="L16" s="123"/>
      <c r="M16" s="102"/>
      <c r="N16" s="121" t="s">
        <v>115</v>
      </c>
      <c r="P16" s="123"/>
      <c r="Q16" s="102"/>
      <c r="R16" s="107"/>
      <c r="S16" s="107"/>
      <c r="T16" s="134"/>
      <c r="U16" s="102"/>
      <c r="V16" s="107"/>
      <c r="W16" s="107"/>
      <c r="X16" s="134"/>
      <c r="Y16" s="102"/>
      <c r="Z16" s="102"/>
      <c r="AA16" s="123"/>
      <c r="AB16" s="102"/>
      <c r="AC16" s="102"/>
    </row>
    <row r="17">
      <c r="A17" s="107"/>
      <c r="B17" s="130">
        <v>14.0</v>
      </c>
      <c r="C17" s="171" t="s">
        <v>157</v>
      </c>
      <c r="D17" s="171">
        <v>78.50999999999999</v>
      </c>
      <c r="E17" s="107"/>
      <c r="F17" s="179" t="s">
        <v>152</v>
      </c>
      <c r="G17" s="110"/>
      <c r="H17" s="133">
        <v>54.0</v>
      </c>
      <c r="I17" s="102"/>
      <c r="J17" s="179" t="s">
        <v>40</v>
      </c>
      <c r="K17" s="110"/>
      <c r="L17" s="133">
        <v>40.0</v>
      </c>
      <c r="M17" s="102"/>
      <c r="N17" s="179" t="s">
        <v>40</v>
      </c>
      <c r="O17" s="110"/>
      <c r="P17" s="133">
        <v>58.0</v>
      </c>
      <c r="Q17" s="102"/>
      <c r="R17" s="140" t="s">
        <v>152</v>
      </c>
      <c r="S17" s="110"/>
      <c r="T17" s="133">
        <v>52.0</v>
      </c>
      <c r="U17" s="102"/>
      <c r="V17" s="140" t="s">
        <v>152</v>
      </c>
      <c r="W17" s="110"/>
      <c r="X17" s="133">
        <v>98.0</v>
      </c>
      <c r="Y17" s="102"/>
      <c r="Z17" s="181" t="s">
        <v>152</v>
      </c>
      <c r="AA17" s="183">
        <v>34.0</v>
      </c>
      <c r="AB17" s="102"/>
      <c r="AC17" s="102"/>
    </row>
    <row r="18">
      <c r="A18" s="102"/>
      <c r="B18" s="130">
        <v>15.0</v>
      </c>
      <c r="C18" s="171" t="s">
        <v>42</v>
      </c>
      <c r="D18" s="171">
        <v>78.2</v>
      </c>
      <c r="E18" s="102"/>
      <c r="F18" s="102"/>
      <c r="G18" s="102"/>
      <c r="H18" s="102"/>
      <c r="I18" s="144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92"/>
      <c r="V18" s="92"/>
      <c r="W18" s="92"/>
      <c r="X18" s="102"/>
      <c r="Y18" s="102"/>
      <c r="Z18" s="107"/>
      <c r="AA18" s="102"/>
      <c r="AB18" s="102"/>
      <c r="AC18" s="102"/>
    </row>
    <row r="19">
      <c r="A19" s="107"/>
      <c r="B19" s="185">
        <v>16.0</v>
      </c>
      <c r="C19" s="186" t="s">
        <v>24</v>
      </c>
      <c r="D19" s="188">
        <v>18.24</v>
      </c>
      <c r="E19" s="107"/>
      <c r="F19" s="189" t="s">
        <v>177</v>
      </c>
      <c r="G19" s="13"/>
      <c r="H19" s="10"/>
      <c r="I19" s="102"/>
      <c r="J19" s="189" t="s">
        <v>178</v>
      </c>
      <c r="K19" s="13"/>
      <c r="L19" s="10"/>
      <c r="M19" s="102"/>
      <c r="N19" s="189" t="s">
        <v>179</v>
      </c>
      <c r="O19" s="13"/>
      <c r="P19" s="10"/>
      <c r="Q19" s="102"/>
      <c r="R19" s="189" t="s">
        <v>180</v>
      </c>
      <c r="S19" s="13"/>
      <c r="T19" s="10"/>
      <c r="U19" s="102"/>
      <c r="V19" s="189" t="s">
        <v>181</v>
      </c>
      <c r="W19" s="13"/>
      <c r="X19" s="10"/>
      <c r="Y19" s="102"/>
      <c r="Z19" s="102"/>
      <c r="AA19" s="102"/>
      <c r="AB19" s="144"/>
      <c r="AC19" s="102"/>
    </row>
    <row r="20">
      <c r="A20" s="121"/>
      <c r="B20" s="190"/>
      <c r="C20" s="191"/>
      <c r="D20" s="192"/>
      <c r="E20" s="121"/>
      <c r="F20" s="108" t="s">
        <v>39</v>
      </c>
      <c r="G20" s="108" t="s">
        <v>45</v>
      </c>
      <c r="H20" s="108" t="s">
        <v>29</v>
      </c>
      <c r="I20" s="107"/>
      <c r="J20" s="108" t="s">
        <v>39</v>
      </c>
      <c r="K20" s="108" t="s">
        <v>45</v>
      </c>
      <c r="L20" s="108" t="s">
        <v>29</v>
      </c>
      <c r="M20" s="102"/>
      <c r="N20" s="108" t="s">
        <v>39</v>
      </c>
      <c r="O20" s="108" t="s">
        <v>45</v>
      </c>
      <c r="P20" s="108" t="s">
        <v>29</v>
      </c>
      <c r="Q20" s="102"/>
      <c r="R20" s="108" t="s">
        <v>39</v>
      </c>
      <c r="S20" s="108" t="s">
        <v>45</v>
      </c>
      <c r="T20" s="108" t="s">
        <v>29</v>
      </c>
      <c r="U20" s="102"/>
      <c r="V20" s="108" t="s">
        <v>39</v>
      </c>
      <c r="W20" s="108" t="s">
        <v>45</v>
      </c>
      <c r="X20" s="108" t="s">
        <v>29</v>
      </c>
      <c r="Y20" s="102"/>
      <c r="Z20" s="102"/>
      <c r="AA20" s="102"/>
      <c r="AB20" s="102"/>
      <c r="AC20" s="102"/>
    </row>
    <row r="21">
      <c r="A21" s="107"/>
      <c r="B21" s="121"/>
      <c r="C21" s="121"/>
      <c r="D21" s="121"/>
      <c r="E21" s="107"/>
      <c r="F21" s="193">
        <v>1.0</v>
      </c>
      <c r="G21" s="196" t="s">
        <v>41</v>
      </c>
      <c r="H21" s="196">
        <v>286.0</v>
      </c>
      <c r="I21" s="115"/>
      <c r="J21" s="193">
        <v>1.0</v>
      </c>
      <c r="K21" s="196" t="s">
        <v>135</v>
      </c>
      <c r="L21" s="196">
        <v>582.0</v>
      </c>
      <c r="M21" s="115"/>
      <c r="N21" s="198">
        <v>1.0</v>
      </c>
      <c r="O21" s="201" t="s">
        <v>135</v>
      </c>
      <c r="P21" s="201">
        <v>868.0</v>
      </c>
      <c r="Q21" s="102"/>
      <c r="R21" s="193">
        <v>1.0</v>
      </c>
      <c r="S21" s="196" t="s">
        <v>135</v>
      </c>
      <c r="T21" s="196">
        <v>1028.0</v>
      </c>
      <c r="U21" s="115"/>
      <c r="V21" s="198">
        <v>1.0</v>
      </c>
      <c r="W21" s="201" t="s">
        <v>135</v>
      </c>
      <c r="X21" s="201">
        <v>1272.0</v>
      </c>
      <c r="Y21" s="102"/>
      <c r="Z21" s="102"/>
      <c r="AA21" s="102"/>
      <c r="AB21" s="102"/>
      <c r="AC21" s="102"/>
    </row>
    <row r="22">
      <c r="A22" s="102"/>
      <c r="B22" s="113"/>
      <c r="C22" s="204"/>
      <c r="D22" s="113"/>
      <c r="E22" s="102"/>
      <c r="F22" s="206">
        <v>2.0</v>
      </c>
      <c r="G22" s="208" t="s">
        <v>135</v>
      </c>
      <c r="H22" s="208">
        <v>274.0</v>
      </c>
      <c r="I22" s="113"/>
      <c r="J22" s="206">
        <v>2.0</v>
      </c>
      <c r="K22" s="208" t="s">
        <v>134</v>
      </c>
      <c r="L22" s="208">
        <v>498.0</v>
      </c>
      <c r="M22" s="113"/>
      <c r="N22" s="214">
        <v>2.0</v>
      </c>
      <c r="O22" s="217" t="s">
        <v>149</v>
      </c>
      <c r="P22" s="217">
        <v>578.0</v>
      </c>
      <c r="Q22" s="107"/>
      <c r="R22" s="206">
        <v>2.0</v>
      </c>
      <c r="S22" s="208" t="s">
        <v>134</v>
      </c>
      <c r="T22" s="208">
        <v>704.0</v>
      </c>
      <c r="U22" s="115"/>
      <c r="V22" s="220">
        <v>2.0</v>
      </c>
      <c r="W22" s="222" t="s">
        <v>152</v>
      </c>
      <c r="X22" s="222">
        <v>740.0</v>
      </c>
      <c r="Y22" s="102"/>
      <c r="Z22" s="102"/>
      <c r="AA22" s="102"/>
      <c r="AB22" s="102"/>
      <c r="AC22" s="102"/>
    </row>
    <row r="23">
      <c r="A23" s="107"/>
      <c r="B23" s="113"/>
      <c r="C23" s="224"/>
      <c r="D23" s="224"/>
      <c r="E23" s="107"/>
      <c r="F23" s="206">
        <v>3.0</v>
      </c>
      <c r="G23" s="208" t="s">
        <v>149</v>
      </c>
      <c r="H23" s="208">
        <v>266.0</v>
      </c>
      <c r="I23" s="115"/>
      <c r="J23" s="206">
        <v>3.0</v>
      </c>
      <c r="K23" s="208" t="s">
        <v>149</v>
      </c>
      <c r="L23" s="208">
        <v>306.0</v>
      </c>
      <c r="M23" s="115"/>
      <c r="N23" s="214">
        <v>3.0</v>
      </c>
      <c r="O23" s="217" t="s">
        <v>134</v>
      </c>
      <c r="P23" s="217">
        <v>498.0</v>
      </c>
      <c r="Q23" s="115"/>
      <c r="R23" s="206">
        <v>3.0</v>
      </c>
      <c r="S23" s="208" t="s">
        <v>149</v>
      </c>
      <c r="T23" s="208">
        <v>654.0</v>
      </c>
      <c r="U23" s="115"/>
      <c r="V23" s="226">
        <v>3.0</v>
      </c>
      <c r="W23" s="227" t="s">
        <v>134</v>
      </c>
      <c r="X23" s="227">
        <v>736.0</v>
      </c>
      <c r="Y23" s="102"/>
      <c r="Z23" s="102"/>
      <c r="AA23" s="102"/>
      <c r="AB23" s="102"/>
      <c r="AC23" s="102"/>
    </row>
    <row r="24">
      <c r="A24" s="121"/>
      <c r="B24" s="113"/>
      <c r="C24" s="224"/>
      <c r="D24" s="224"/>
      <c r="E24" s="121"/>
      <c r="F24" s="206">
        <v>4.0</v>
      </c>
      <c r="G24" s="208" t="s">
        <v>134</v>
      </c>
      <c r="H24" s="208">
        <v>246.0</v>
      </c>
      <c r="I24" s="115"/>
      <c r="J24" s="206">
        <v>4.0</v>
      </c>
      <c r="K24" s="208" t="s">
        <v>41</v>
      </c>
      <c r="L24" s="208">
        <v>286.0</v>
      </c>
      <c r="M24" s="115"/>
      <c r="N24" s="220">
        <v>4.0</v>
      </c>
      <c r="O24" s="222" t="s">
        <v>152</v>
      </c>
      <c r="P24" s="222">
        <v>316.0</v>
      </c>
      <c r="Q24" s="115"/>
      <c r="R24" s="229">
        <v>4.0</v>
      </c>
      <c r="S24" s="231" t="s">
        <v>152</v>
      </c>
      <c r="T24" s="231">
        <v>392.0</v>
      </c>
      <c r="U24" s="115"/>
      <c r="V24" s="232">
        <v>4.0</v>
      </c>
      <c r="W24" s="234" t="s">
        <v>149</v>
      </c>
      <c r="X24" s="234">
        <v>658.0</v>
      </c>
      <c r="Y24" s="102"/>
      <c r="Z24" s="102"/>
      <c r="AA24" s="102"/>
      <c r="AB24" s="102"/>
      <c r="AC24" s="102"/>
    </row>
    <row r="25">
      <c r="A25" s="107"/>
      <c r="B25" s="113"/>
      <c r="C25" s="224"/>
      <c r="D25" s="224"/>
      <c r="E25" s="107"/>
      <c r="F25" s="206">
        <v>5.0</v>
      </c>
      <c r="G25" s="208" t="s">
        <v>22</v>
      </c>
      <c r="H25" s="208">
        <v>58.0</v>
      </c>
      <c r="I25" s="115"/>
      <c r="J25" s="206">
        <v>5.0</v>
      </c>
      <c r="K25" s="208" t="s">
        <v>152</v>
      </c>
      <c r="L25" s="208">
        <v>262.0</v>
      </c>
      <c r="M25" s="115"/>
      <c r="N25" s="226">
        <v>5.0</v>
      </c>
      <c r="O25" s="227" t="s">
        <v>41</v>
      </c>
      <c r="P25" s="227">
        <v>296.0</v>
      </c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</row>
    <row r="26">
      <c r="A26" s="102"/>
      <c r="B26" s="113"/>
      <c r="C26" s="224"/>
      <c r="D26" s="224"/>
      <c r="E26" s="102"/>
      <c r="F26" s="206">
        <v>6.0</v>
      </c>
      <c r="G26" s="208" t="s">
        <v>152</v>
      </c>
      <c r="H26" s="208">
        <v>0.0</v>
      </c>
      <c r="I26" s="239"/>
      <c r="J26" s="206">
        <v>6.0</v>
      </c>
      <c r="K26" s="208" t="s">
        <v>148</v>
      </c>
      <c r="L26" s="208">
        <v>240.0</v>
      </c>
      <c r="M26" s="115"/>
      <c r="N26" s="241">
        <v>6.0</v>
      </c>
      <c r="O26" s="244" t="s">
        <v>148</v>
      </c>
      <c r="P26" s="244">
        <v>240.0</v>
      </c>
      <c r="Q26" s="92"/>
      <c r="R26" s="92"/>
      <c r="S26" s="92"/>
      <c r="T26" s="102"/>
      <c r="U26" s="107"/>
      <c r="V26" s="107"/>
      <c r="W26" s="107"/>
      <c r="X26" s="107"/>
      <c r="Y26" s="102"/>
      <c r="Z26" s="102"/>
      <c r="AA26" s="102"/>
      <c r="AB26" s="102"/>
      <c r="AC26" s="102"/>
    </row>
    <row r="27">
      <c r="A27" s="107"/>
      <c r="B27" s="113"/>
      <c r="C27" s="224"/>
      <c r="D27" s="224"/>
      <c r="E27" s="107"/>
      <c r="F27" s="206">
        <v>7.0</v>
      </c>
      <c r="G27" s="208" t="s">
        <v>148</v>
      </c>
      <c r="H27" s="208">
        <v>0.0</v>
      </c>
      <c r="I27" s="115"/>
      <c r="J27" s="206">
        <v>7.0</v>
      </c>
      <c r="K27" s="208" t="s">
        <v>22</v>
      </c>
      <c r="L27" s="208">
        <v>58.0</v>
      </c>
      <c r="M27" s="115"/>
      <c r="N27" s="241">
        <v>7.0</v>
      </c>
      <c r="O27" s="244" t="s">
        <v>40</v>
      </c>
      <c r="P27" s="244">
        <v>238.0</v>
      </c>
      <c r="Q27" s="102"/>
      <c r="R27" s="102"/>
      <c r="S27" s="102"/>
      <c r="T27" s="102"/>
      <c r="U27" s="102"/>
      <c r="V27" s="102"/>
      <c r="W27" s="102"/>
      <c r="X27" s="102"/>
      <c r="Y27" s="144"/>
      <c r="Z27" s="102"/>
      <c r="AA27" s="102"/>
      <c r="AB27" s="102"/>
      <c r="AC27" s="102"/>
    </row>
    <row r="28">
      <c r="A28" s="168"/>
      <c r="B28" s="113"/>
      <c r="C28" s="224"/>
      <c r="D28" s="224"/>
      <c r="E28" s="168"/>
      <c r="F28" s="229">
        <v>8.0</v>
      </c>
      <c r="G28" s="231" t="s">
        <v>40</v>
      </c>
      <c r="H28" s="231">
        <v>0.0</v>
      </c>
      <c r="I28" s="113"/>
      <c r="J28" s="229">
        <v>8.0</v>
      </c>
      <c r="K28" s="231" t="s">
        <v>40</v>
      </c>
      <c r="L28" s="231">
        <v>30.0</v>
      </c>
      <c r="M28" s="115"/>
      <c r="N28" s="232">
        <v>8.0</v>
      </c>
      <c r="O28" s="234" t="s">
        <v>22</v>
      </c>
      <c r="P28" s="234">
        <v>124.0</v>
      </c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</row>
    <row r="29">
      <c r="A29" s="107"/>
      <c r="B29" s="113"/>
      <c r="C29" s="224"/>
      <c r="D29" s="224"/>
      <c r="E29" s="107"/>
      <c r="F29" s="107"/>
      <c r="G29" s="107"/>
      <c r="H29" s="251"/>
      <c r="I29" s="102"/>
      <c r="J29" s="102"/>
      <c r="K29" s="102"/>
      <c r="L29" s="102"/>
      <c r="M29" s="102"/>
      <c r="N29" s="102"/>
      <c r="O29" s="102"/>
      <c r="P29" s="144"/>
      <c r="Q29" s="102"/>
      <c r="R29" s="102"/>
      <c r="S29" s="102"/>
      <c r="T29" s="102"/>
      <c r="U29" s="102"/>
      <c r="V29" s="102"/>
      <c r="W29" s="102"/>
      <c r="X29" s="102"/>
      <c r="Y29" s="102"/>
      <c r="Z29" s="121"/>
      <c r="AA29" s="102"/>
      <c r="AB29" s="107"/>
      <c r="AC29" s="102"/>
    </row>
    <row r="30">
      <c r="A30" s="107"/>
      <c r="B30" s="113"/>
      <c r="C30" s="224"/>
      <c r="D30" s="224"/>
      <c r="E30" s="107"/>
      <c r="F30" s="107"/>
      <c r="G30" s="107"/>
      <c r="H30" s="251"/>
      <c r="I30" s="102"/>
      <c r="J30" s="102"/>
      <c r="K30" s="102"/>
      <c r="L30" s="102"/>
      <c r="M30" s="102"/>
      <c r="N30" s="102"/>
      <c r="O30" s="102"/>
      <c r="P30" s="144"/>
      <c r="Q30" s="102"/>
      <c r="R30" s="102"/>
      <c r="S30" s="102"/>
      <c r="T30" s="102"/>
      <c r="U30" s="102"/>
      <c r="V30" s="102"/>
      <c r="W30" s="102"/>
      <c r="X30" s="102"/>
      <c r="Y30" s="102"/>
      <c r="Z30" s="121"/>
      <c r="AA30" s="102"/>
      <c r="AB30" s="107"/>
      <c r="AC30" s="102"/>
    </row>
    <row r="31">
      <c r="A31" s="107"/>
      <c r="B31" s="113"/>
      <c r="C31" s="224"/>
      <c r="D31" s="224"/>
      <c r="E31" s="107"/>
      <c r="F31" s="107"/>
      <c r="G31" s="107"/>
      <c r="H31" s="251"/>
      <c r="I31" s="102"/>
      <c r="J31" s="102"/>
      <c r="K31" s="102"/>
      <c r="L31" s="102"/>
      <c r="M31" s="102"/>
      <c r="N31" s="102"/>
      <c r="O31" s="102"/>
      <c r="P31" s="144"/>
      <c r="Q31" s="102"/>
      <c r="R31" s="102"/>
      <c r="S31" s="102"/>
      <c r="T31" s="102"/>
      <c r="U31" s="102"/>
      <c r="V31" s="102"/>
      <c r="W31" s="102"/>
      <c r="X31" s="102"/>
      <c r="Y31" s="102"/>
      <c r="Z31" s="121"/>
      <c r="AA31" s="102"/>
      <c r="AB31" s="107"/>
      <c r="AC31" s="102"/>
    </row>
    <row r="32">
      <c r="A32" s="107"/>
      <c r="B32" s="113"/>
      <c r="C32" s="224"/>
      <c r="D32" s="224"/>
      <c r="E32" s="107"/>
      <c r="F32" s="107"/>
      <c r="G32" s="107"/>
      <c r="H32" s="251"/>
      <c r="I32" s="102"/>
      <c r="J32" s="102"/>
      <c r="K32" s="102"/>
      <c r="L32" s="102"/>
      <c r="M32" s="102"/>
      <c r="N32" s="102"/>
      <c r="O32" s="102"/>
      <c r="P32" s="144"/>
      <c r="Q32" s="102"/>
      <c r="R32" s="102"/>
      <c r="S32" s="102"/>
      <c r="T32" s="102"/>
      <c r="U32" s="102"/>
      <c r="V32" s="102"/>
      <c r="W32" s="102"/>
      <c r="X32" s="102"/>
      <c r="Y32" s="102"/>
      <c r="Z32" s="121"/>
      <c r="AA32" s="102"/>
      <c r="AB32" s="107"/>
      <c r="AC32" s="102"/>
    </row>
    <row r="33">
      <c r="A33" s="107"/>
      <c r="B33" s="113"/>
      <c r="C33" s="224"/>
      <c r="D33" s="224"/>
      <c r="E33" s="107"/>
      <c r="F33" s="107"/>
      <c r="G33" s="107"/>
      <c r="H33" s="251"/>
      <c r="I33" s="102"/>
      <c r="J33" s="102"/>
      <c r="K33" s="102"/>
      <c r="L33" s="102"/>
      <c r="M33" s="102"/>
      <c r="N33" s="102"/>
      <c r="O33" s="102"/>
      <c r="P33" s="144"/>
      <c r="Q33" s="102"/>
      <c r="R33" s="102"/>
      <c r="S33" s="102"/>
      <c r="T33" s="102"/>
      <c r="U33" s="102"/>
      <c r="V33" s="102"/>
      <c r="W33" s="102"/>
      <c r="X33" s="102"/>
      <c r="Y33" s="102"/>
      <c r="Z33" s="121"/>
      <c r="AA33" s="102"/>
      <c r="AB33" s="107"/>
      <c r="AC33" s="102"/>
    </row>
    <row r="34">
      <c r="A34" s="107"/>
      <c r="B34" s="113"/>
      <c r="C34" s="224"/>
      <c r="D34" s="224"/>
      <c r="E34" s="107"/>
      <c r="F34" s="107"/>
      <c r="G34" s="107"/>
      <c r="H34" s="251"/>
      <c r="I34" s="102"/>
      <c r="J34" s="102"/>
      <c r="K34" s="102"/>
      <c r="L34" s="102"/>
      <c r="M34" s="102"/>
      <c r="N34" s="102"/>
      <c r="O34" s="102"/>
      <c r="P34" s="144"/>
      <c r="Q34" s="102"/>
      <c r="R34" s="102"/>
      <c r="S34" s="102"/>
      <c r="T34" s="102"/>
      <c r="U34" s="102"/>
      <c r="V34" s="102"/>
      <c r="W34" s="102"/>
      <c r="X34" s="102"/>
      <c r="Y34" s="102"/>
      <c r="Z34" s="121"/>
      <c r="AA34" s="102"/>
      <c r="AB34" s="107"/>
      <c r="AC34" s="102"/>
    </row>
    <row r="35">
      <c r="A35" s="107"/>
      <c r="B35" s="113"/>
      <c r="C35" s="224"/>
      <c r="D35" s="224"/>
      <c r="E35" s="107"/>
      <c r="F35" s="107"/>
      <c r="G35" s="107"/>
      <c r="H35" s="251"/>
      <c r="I35" s="102"/>
      <c r="J35" s="102"/>
      <c r="K35" s="102"/>
      <c r="L35" s="102"/>
      <c r="M35" s="102"/>
      <c r="N35" s="102"/>
      <c r="O35" s="102"/>
      <c r="P35" s="144"/>
      <c r="Q35" s="102"/>
      <c r="R35" s="102"/>
      <c r="S35" s="102"/>
      <c r="T35" s="102"/>
      <c r="U35" s="102"/>
      <c r="V35" s="102"/>
      <c r="W35" s="102"/>
      <c r="X35" s="102"/>
      <c r="Y35" s="102"/>
      <c r="Z35" s="121"/>
      <c r="AA35" s="102"/>
      <c r="AB35" s="107"/>
      <c r="AC35" s="102"/>
    </row>
    <row r="36">
      <c r="A36" s="107"/>
      <c r="B36" s="113"/>
      <c r="C36" s="224"/>
      <c r="D36" s="224"/>
      <c r="E36" s="107"/>
      <c r="F36" s="107"/>
      <c r="G36" s="107"/>
      <c r="H36" s="251"/>
      <c r="I36" s="102"/>
      <c r="J36" s="102"/>
      <c r="K36" s="102"/>
      <c r="L36" s="102"/>
      <c r="M36" s="102"/>
      <c r="N36" s="102"/>
      <c r="O36" s="102"/>
      <c r="P36" s="144"/>
      <c r="Q36" s="102"/>
      <c r="R36" s="102"/>
      <c r="S36" s="102"/>
      <c r="T36" s="102"/>
      <c r="U36" s="102"/>
      <c r="V36" s="102"/>
      <c r="W36" s="102"/>
      <c r="X36" s="102"/>
      <c r="Y36" s="102"/>
      <c r="Z36" s="121"/>
      <c r="AA36" s="102"/>
      <c r="AB36" s="107"/>
      <c r="AC36" s="102"/>
    </row>
    <row r="37">
      <c r="A37" s="107"/>
      <c r="B37" s="113"/>
      <c r="C37" s="224"/>
      <c r="D37" s="224"/>
      <c r="E37" s="107"/>
      <c r="F37" s="107"/>
      <c r="G37" s="107"/>
      <c r="H37" s="251"/>
      <c r="I37" s="102"/>
      <c r="J37" s="102"/>
      <c r="K37" s="102"/>
      <c r="L37" s="102"/>
      <c r="M37" s="102"/>
      <c r="N37" s="102"/>
      <c r="O37" s="102"/>
      <c r="P37" s="144"/>
      <c r="Q37" s="102"/>
      <c r="R37" s="102"/>
      <c r="S37" s="102"/>
      <c r="T37" s="102"/>
      <c r="U37" s="102"/>
      <c r="V37" s="102"/>
      <c r="W37" s="102"/>
      <c r="X37" s="102"/>
      <c r="Y37" s="102"/>
      <c r="Z37" s="121"/>
      <c r="AA37" s="102"/>
      <c r="AB37" s="107"/>
      <c r="AC37" s="102"/>
    </row>
    <row r="38">
      <c r="A38" s="107"/>
      <c r="B38" s="113"/>
      <c r="C38" s="224"/>
      <c r="D38" s="224"/>
      <c r="E38" s="107"/>
      <c r="F38" s="107"/>
      <c r="G38" s="107"/>
      <c r="H38" s="251"/>
      <c r="I38" s="102"/>
      <c r="J38" s="102"/>
      <c r="K38" s="102"/>
      <c r="L38" s="102"/>
      <c r="M38" s="102"/>
      <c r="N38" s="102"/>
      <c r="O38" s="102"/>
      <c r="P38" s="144"/>
      <c r="Q38" s="102"/>
      <c r="R38" s="102"/>
      <c r="S38" s="102"/>
      <c r="T38" s="102"/>
      <c r="U38" s="102"/>
      <c r="V38" s="102"/>
      <c r="W38" s="102"/>
      <c r="X38" s="102"/>
      <c r="Y38" s="102"/>
      <c r="Z38" s="121"/>
      <c r="AA38" s="102"/>
      <c r="AB38" s="107"/>
      <c r="AC38" s="102"/>
    </row>
    <row r="39">
      <c r="A39" s="107"/>
      <c r="B39" s="113"/>
      <c r="C39" s="224"/>
      <c r="D39" s="224"/>
      <c r="E39" s="107"/>
      <c r="F39" s="107"/>
      <c r="G39" s="107"/>
      <c r="H39" s="251"/>
      <c r="I39" s="102"/>
      <c r="J39" s="102"/>
      <c r="K39" s="102"/>
      <c r="L39" s="102"/>
      <c r="M39" s="102"/>
      <c r="N39" s="102"/>
      <c r="O39" s="102"/>
      <c r="P39" s="144"/>
      <c r="Q39" s="102"/>
      <c r="R39" s="102"/>
      <c r="S39" s="102"/>
      <c r="T39" s="102"/>
      <c r="U39" s="102"/>
      <c r="V39" s="102"/>
      <c r="W39" s="102"/>
      <c r="X39" s="102"/>
      <c r="Y39" s="102"/>
      <c r="Z39" s="121"/>
      <c r="AA39" s="102"/>
      <c r="AB39" s="107"/>
      <c r="AC39" s="102"/>
    </row>
    <row r="40">
      <c r="A40" s="107"/>
      <c r="B40" s="113"/>
      <c r="C40" s="224"/>
      <c r="D40" s="224"/>
      <c r="E40" s="107"/>
      <c r="F40" s="107"/>
      <c r="G40" s="107"/>
      <c r="H40" s="251"/>
      <c r="I40" s="102"/>
      <c r="J40" s="102"/>
      <c r="K40" s="102"/>
      <c r="L40" s="102"/>
      <c r="M40" s="102"/>
      <c r="N40" s="102"/>
      <c r="O40" s="102"/>
      <c r="P40" s="144"/>
      <c r="Q40" s="102"/>
      <c r="R40" s="102"/>
      <c r="S40" s="102"/>
      <c r="T40" s="102"/>
      <c r="U40" s="102"/>
      <c r="V40" s="102"/>
      <c r="W40" s="102"/>
      <c r="X40" s="102"/>
      <c r="Y40" s="102"/>
      <c r="Z40" s="121"/>
      <c r="AA40" s="102"/>
      <c r="AB40" s="107"/>
      <c r="AC40" s="102"/>
    </row>
    <row r="41">
      <c r="A41" s="107"/>
      <c r="B41" s="113"/>
      <c r="C41" s="224"/>
      <c r="D41" s="224"/>
      <c r="E41" s="107"/>
      <c r="F41" s="107"/>
      <c r="G41" s="107"/>
      <c r="H41" s="251"/>
      <c r="I41" s="102"/>
      <c r="J41" s="102"/>
      <c r="K41" s="102"/>
      <c r="L41" s="102"/>
      <c r="M41" s="102"/>
      <c r="N41" s="102"/>
      <c r="O41" s="102"/>
      <c r="P41" s="144"/>
      <c r="Q41" s="102"/>
      <c r="R41" s="102"/>
      <c r="S41" s="102"/>
      <c r="T41" s="102"/>
      <c r="U41" s="102"/>
      <c r="V41" s="102"/>
      <c r="W41" s="102"/>
      <c r="X41" s="102"/>
      <c r="Y41" s="102"/>
      <c r="Z41" s="121"/>
      <c r="AA41" s="102"/>
      <c r="AB41" s="107"/>
      <c r="AC41" s="102"/>
    </row>
    <row r="42">
      <c r="A42" s="107"/>
      <c r="B42" s="113"/>
      <c r="C42" s="224"/>
      <c r="D42" s="224"/>
      <c r="E42" s="107"/>
      <c r="F42" s="107"/>
      <c r="G42" s="107"/>
      <c r="H42" s="251"/>
      <c r="I42" s="102"/>
      <c r="J42" s="102"/>
      <c r="K42" s="102"/>
      <c r="L42" s="102"/>
      <c r="M42" s="102"/>
      <c r="N42" s="102"/>
      <c r="O42" s="102"/>
      <c r="P42" s="144"/>
      <c r="Q42" s="102"/>
      <c r="R42" s="102"/>
      <c r="S42" s="102"/>
      <c r="T42" s="102"/>
      <c r="U42" s="102"/>
      <c r="V42" s="102"/>
      <c r="W42" s="102"/>
      <c r="X42" s="102"/>
      <c r="Y42" s="102"/>
      <c r="Z42" s="121"/>
      <c r="AA42" s="102"/>
      <c r="AB42" s="107"/>
      <c r="AC42" s="102"/>
    </row>
    <row r="43">
      <c r="A43" s="107"/>
      <c r="B43" s="113"/>
      <c r="C43" s="224"/>
      <c r="D43" s="224"/>
      <c r="E43" s="107"/>
      <c r="F43" s="107"/>
      <c r="G43" s="107"/>
      <c r="H43" s="251"/>
      <c r="I43" s="102"/>
      <c r="J43" s="102"/>
      <c r="K43" s="102"/>
      <c r="L43" s="102"/>
      <c r="M43" s="102"/>
      <c r="N43" s="102"/>
      <c r="O43" s="102"/>
      <c r="P43" s="144"/>
      <c r="Q43" s="102"/>
      <c r="R43" s="102"/>
      <c r="S43" s="102"/>
      <c r="T43" s="102"/>
      <c r="U43" s="102"/>
      <c r="V43" s="102"/>
      <c r="W43" s="102"/>
      <c r="X43" s="102"/>
      <c r="Y43" s="102"/>
      <c r="Z43" s="121"/>
      <c r="AA43" s="102"/>
      <c r="AB43" s="107"/>
      <c r="AC43" s="102"/>
    </row>
    <row r="44">
      <c r="A44" s="107"/>
      <c r="B44" s="113"/>
      <c r="C44" s="224"/>
      <c r="D44" s="224"/>
      <c r="E44" s="107"/>
      <c r="F44" s="107"/>
      <c r="G44" s="107"/>
      <c r="H44" s="251"/>
      <c r="I44" s="102"/>
      <c r="J44" s="102"/>
      <c r="K44" s="102"/>
      <c r="L44" s="102"/>
      <c r="M44" s="102"/>
      <c r="N44" s="102"/>
      <c r="O44" s="102"/>
      <c r="P44" s="144"/>
      <c r="Q44" s="102"/>
      <c r="R44" s="102"/>
      <c r="S44" s="102"/>
      <c r="T44" s="102"/>
      <c r="U44" s="102"/>
      <c r="V44" s="102"/>
      <c r="W44" s="102"/>
      <c r="X44" s="102"/>
      <c r="Y44" s="102"/>
      <c r="Z44" s="121"/>
      <c r="AA44" s="102"/>
      <c r="AB44" s="107"/>
      <c r="AC44" s="102"/>
    </row>
    <row r="45">
      <c r="A45" s="107"/>
      <c r="B45" s="113"/>
      <c r="C45" s="224"/>
      <c r="D45" s="224"/>
      <c r="E45" s="107"/>
      <c r="F45" s="107"/>
      <c r="G45" s="107"/>
      <c r="H45" s="251"/>
      <c r="I45" s="102"/>
      <c r="J45" s="102"/>
      <c r="K45" s="102"/>
      <c r="L45" s="102"/>
      <c r="M45" s="102"/>
      <c r="N45" s="102"/>
      <c r="O45" s="102"/>
      <c r="P45" s="144"/>
      <c r="Q45" s="102"/>
      <c r="R45" s="102"/>
      <c r="S45" s="102"/>
      <c r="T45" s="102"/>
      <c r="U45" s="102"/>
      <c r="V45" s="102"/>
      <c r="W45" s="102"/>
      <c r="X45" s="102"/>
      <c r="Y45" s="102"/>
      <c r="Z45" s="121"/>
      <c r="AA45" s="102"/>
      <c r="AB45" s="107"/>
      <c r="AC45" s="102"/>
    </row>
    <row r="46">
      <c r="A46" s="107"/>
      <c r="B46" s="113"/>
      <c r="C46" s="224"/>
      <c r="D46" s="224"/>
      <c r="E46" s="107"/>
      <c r="F46" s="107"/>
      <c r="G46" s="107"/>
      <c r="H46" s="251"/>
      <c r="I46" s="102"/>
      <c r="J46" s="102"/>
      <c r="K46" s="102"/>
      <c r="L46" s="102"/>
      <c r="M46" s="102"/>
      <c r="N46" s="102"/>
      <c r="O46" s="102"/>
      <c r="P46" s="144"/>
      <c r="Q46" s="102"/>
      <c r="R46" s="102"/>
      <c r="S46" s="102"/>
      <c r="T46" s="102"/>
      <c r="U46" s="102"/>
      <c r="V46" s="102"/>
      <c r="W46" s="102"/>
      <c r="X46" s="102"/>
      <c r="Y46" s="102"/>
      <c r="Z46" s="121"/>
      <c r="AA46" s="102"/>
      <c r="AB46" s="107"/>
      <c r="AC46" s="102"/>
    </row>
    <row r="47">
      <c r="A47" s="107"/>
      <c r="B47" s="113"/>
      <c r="C47" s="224"/>
      <c r="D47" s="224"/>
      <c r="E47" s="107"/>
      <c r="F47" s="107"/>
      <c r="G47" s="107"/>
      <c r="H47" s="251"/>
      <c r="I47" s="102"/>
      <c r="J47" s="102"/>
      <c r="K47" s="102"/>
      <c r="L47" s="102"/>
      <c r="M47" s="102"/>
      <c r="N47" s="102"/>
      <c r="O47" s="102"/>
      <c r="P47" s="144"/>
      <c r="Q47" s="102"/>
      <c r="R47" s="102"/>
      <c r="S47" s="102"/>
      <c r="T47" s="102"/>
      <c r="U47" s="102"/>
      <c r="V47" s="102"/>
      <c r="W47" s="102"/>
      <c r="X47" s="102"/>
      <c r="Y47" s="102"/>
      <c r="Z47" s="121"/>
      <c r="AA47" s="102"/>
      <c r="AB47" s="107"/>
      <c r="AC47" s="102"/>
    </row>
    <row r="48">
      <c r="A48" s="107"/>
      <c r="B48" s="113"/>
      <c r="C48" s="224"/>
      <c r="D48" s="224"/>
      <c r="E48" s="107"/>
      <c r="F48" s="107"/>
      <c r="G48" s="107"/>
      <c r="H48" s="251"/>
      <c r="I48" s="102"/>
      <c r="J48" s="102"/>
      <c r="K48" s="102"/>
      <c r="L48" s="102"/>
      <c r="M48" s="102"/>
      <c r="N48" s="102"/>
      <c r="O48" s="102"/>
      <c r="P48" s="144"/>
      <c r="Q48" s="102"/>
      <c r="R48" s="102"/>
      <c r="S48" s="102"/>
      <c r="T48" s="102"/>
      <c r="U48" s="102"/>
      <c r="V48" s="102"/>
      <c r="W48" s="102"/>
      <c r="X48" s="102"/>
      <c r="Y48" s="102"/>
      <c r="Z48" s="121"/>
      <c r="AA48" s="102"/>
      <c r="AB48" s="107"/>
      <c r="AC48" s="102"/>
    </row>
    <row r="49">
      <c r="A49" s="107"/>
      <c r="B49" s="113"/>
      <c r="C49" s="224"/>
      <c r="D49" s="224"/>
      <c r="E49" s="107"/>
      <c r="F49" s="107"/>
      <c r="G49" s="107"/>
      <c r="H49" s="251"/>
      <c r="I49" s="102"/>
      <c r="J49" s="102"/>
      <c r="K49" s="102"/>
      <c r="L49" s="102"/>
      <c r="M49" s="102"/>
      <c r="N49" s="102"/>
      <c r="O49" s="102"/>
      <c r="P49" s="144"/>
      <c r="Q49" s="102"/>
      <c r="R49" s="102"/>
      <c r="S49" s="102"/>
      <c r="T49" s="102"/>
      <c r="U49" s="102"/>
      <c r="V49" s="102"/>
      <c r="W49" s="102"/>
      <c r="X49" s="102"/>
      <c r="Y49" s="102"/>
      <c r="Z49" s="121"/>
      <c r="AA49" s="102"/>
      <c r="AB49" s="107"/>
      <c r="AC49" s="102"/>
    </row>
    <row r="50">
      <c r="A50" s="107"/>
      <c r="B50" s="113"/>
      <c r="C50" s="224"/>
      <c r="D50" s="224"/>
      <c r="E50" s="107"/>
      <c r="F50" s="107"/>
      <c r="G50" s="107"/>
      <c r="H50" s="251"/>
      <c r="I50" s="102"/>
      <c r="J50" s="102"/>
      <c r="K50" s="102"/>
      <c r="L50" s="102"/>
      <c r="M50" s="102"/>
      <c r="N50" s="102"/>
      <c r="O50" s="102"/>
      <c r="P50" s="144"/>
      <c r="Q50" s="102"/>
      <c r="R50" s="102"/>
      <c r="S50" s="102"/>
      <c r="T50" s="102"/>
      <c r="U50" s="102"/>
      <c r="V50" s="102"/>
      <c r="W50" s="102"/>
      <c r="X50" s="102"/>
      <c r="Y50" s="102"/>
      <c r="Z50" s="121"/>
      <c r="AA50" s="102"/>
      <c r="AB50" s="107"/>
      <c r="AC50" s="102"/>
    </row>
    <row r="51">
      <c r="A51" s="107"/>
      <c r="B51" s="113"/>
      <c r="C51" s="224"/>
      <c r="D51" s="224"/>
      <c r="E51" s="107"/>
      <c r="F51" s="107"/>
      <c r="G51" s="107"/>
      <c r="H51" s="251"/>
      <c r="I51" s="102"/>
      <c r="J51" s="102"/>
      <c r="K51" s="102"/>
      <c r="L51" s="102"/>
      <c r="M51" s="102"/>
      <c r="N51" s="102"/>
      <c r="O51" s="102"/>
      <c r="P51" s="144"/>
      <c r="Q51" s="102"/>
      <c r="R51" s="102"/>
      <c r="S51" s="102"/>
      <c r="T51" s="102"/>
      <c r="U51" s="102"/>
      <c r="V51" s="102"/>
      <c r="W51" s="102"/>
      <c r="X51" s="102"/>
      <c r="Y51" s="102"/>
      <c r="Z51" s="121"/>
      <c r="AA51" s="102"/>
      <c r="AB51" s="107"/>
      <c r="AC51" s="102"/>
    </row>
    <row r="52">
      <c r="A52" s="107"/>
      <c r="B52" s="113"/>
      <c r="C52" s="224"/>
      <c r="D52" s="224"/>
      <c r="E52" s="107"/>
      <c r="F52" s="107"/>
      <c r="G52" s="107"/>
      <c r="H52" s="251"/>
      <c r="I52" s="102"/>
      <c r="J52" s="102"/>
      <c r="K52" s="102"/>
      <c r="L52" s="102"/>
      <c r="M52" s="102"/>
      <c r="N52" s="102"/>
      <c r="O52" s="102"/>
      <c r="P52" s="144"/>
      <c r="Q52" s="102"/>
      <c r="R52" s="102"/>
      <c r="S52" s="102"/>
      <c r="T52" s="102"/>
      <c r="U52" s="102"/>
      <c r="V52" s="102"/>
      <c r="W52" s="102"/>
      <c r="X52" s="102"/>
      <c r="Y52" s="102"/>
      <c r="Z52" s="121"/>
      <c r="AA52" s="102"/>
      <c r="AB52" s="107"/>
      <c r="AC52" s="102"/>
    </row>
    <row r="53">
      <c r="A53" s="107"/>
      <c r="B53" s="113"/>
      <c r="C53" s="224"/>
      <c r="D53" s="224"/>
      <c r="E53" s="107"/>
      <c r="F53" s="107"/>
      <c r="G53" s="107"/>
      <c r="H53" s="251"/>
      <c r="I53" s="102"/>
      <c r="J53" s="102"/>
      <c r="K53" s="102"/>
      <c r="L53" s="102"/>
      <c r="M53" s="102"/>
      <c r="N53" s="102"/>
      <c r="O53" s="102"/>
      <c r="P53" s="144"/>
      <c r="Q53" s="102"/>
      <c r="R53" s="102"/>
      <c r="S53" s="102"/>
      <c r="T53" s="102"/>
      <c r="U53" s="102"/>
      <c r="V53" s="102"/>
      <c r="W53" s="102"/>
      <c r="X53" s="102"/>
      <c r="Y53" s="102"/>
      <c r="Z53" s="121"/>
      <c r="AA53" s="102"/>
      <c r="AB53" s="107"/>
      <c r="AC53" s="102"/>
    </row>
    <row r="54">
      <c r="A54" s="107"/>
      <c r="B54" s="113"/>
      <c r="C54" s="224"/>
      <c r="D54" s="224"/>
      <c r="E54" s="107"/>
      <c r="F54" s="107"/>
      <c r="G54" s="107"/>
      <c r="H54" s="251"/>
      <c r="I54" s="102"/>
      <c r="J54" s="102"/>
      <c r="K54" s="102"/>
      <c r="L54" s="102"/>
      <c r="M54" s="102"/>
      <c r="N54" s="102"/>
      <c r="O54" s="102"/>
      <c r="P54" s="144"/>
      <c r="Q54" s="102"/>
      <c r="R54" s="102"/>
      <c r="S54" s="102"/>
      <c r="T54" s="102"/>
      <c r="U54" s="102"/>
      <c r="V54" s="102"/>
      <c r="W54" s="102"/>
      <c r="X54" s="102"/>
      <c r="Y54" s="102"/>
      <c r="Z54" s="121"/>
      <c r="AA54" s="102"/>
      <c r="AB54" s="107"/>
      <c r="AC54" s="102"/>
    </row>
    <row r="55">
      <c r="A55" s="107"/>
      <c r="B55" s="113"/>
      <c r="C55" s="224"/>
      <c r="D55" s="224"/>
      <c r="E55" s="107"/>
      <c r="F55" s="107"/>
      <c r="G55" s="107"/>
      <c r="H55" s="251"/>
      <c r="I55" s="102"/>
      <c r="J55" s="102"/>
      <c r="K55" s="102"/>
      <c r="L55" s="102"/>
      <c r="M55" s="102"/>
      <c r="N55" s="102"/>
      <c r="O55" s="102"/>
      <c r="P55" s="144"/>
      <c r="Q55" s="102"/>
      <c r="R55" s="102"/>
      <c r="S55" s="102"/>
      <c r="T55" s="102"/>
      <c r="U55" s="102"/>
      <c r="V55" s="102"/>
      <c r="W55" s="102"/>
      <c r="X55" s="102"/>
      <c r="Y55" s="102"/>
      <c r="Z55" s="121"/>
      <c r="AA55" s="102"/>
      <c r="AB55" s="107"/>
      <c r="AC55" s="102"/>
    </row>
    <row r="56">
      <c r="A56" s="107"/>
      <c r="B56" s="113"/>
      <c r="C56" s="224"/>
      <c r="D56" s="224"/>
      <c r="E56" s="107"/>
      <c r="F56" s="107"/>
      <c r="G56" s="107"/>
      <c r="H56" s="251"/>
      <c r="I56" s="102"/>
      <c r="J56" s="102"/>
      <c r="K56" s="102"/>
      <c r="L56" s="102"/>
      <c r="M56" s="102"/>
      <c r="N56" s="102"/>
      <c r="O56" s="102"/>
      <c r="P56" s="144"/>
      <c r="Q56" s="102"/>
      <c r="R56" s="102"/>
      <c r="S56" s="102"/>
      <c r="T56" s="102"/>
      <c r="U56" s="102"/>
      <c r="V56" s="102"/>
      <c r="W56" s="102"/>
      <c r="X56" s="102"/>
      <c r="Y56" s="102"/>
      <c r="Z56" s="121"/>
      <c r="AA56" s="102"/>
      <c r="AB56" s="107"/>
      <c r="AC56" s="102"/>
    </row>
    <row r="57">
      <c r="A57" s="107"/>
      <c r="B57" s="113"/>
      <c r="C57" s="224"/>
      <c r="D57" s="224"/>
      <c r="E57" s="107"/>
      <c r="F57" s="107"/>
      <c r="G57" s="107"/>
      <c r="H57" s="251"/>
      <c r="I57" s="102"/>
      <c r="J57" s="102"/>
      <c r="K57" s="102"/>
      <c r="L57" s="102"/>
      <c r="M57" s="102"/>
      <c r="N57" s="102"/>
      <c r="O57" s="102"/>
      <c r="P57" s="144"/>
      <c r="Q57" s="102"/>
      <c r="R57" s="102"/>
      <c r="S57" s="102"/>
      <c r="T57" s="102"/>
      <c r="U57" s="102"/>
      <c r="V57" s="102"/>
      <c r="W57" s="102"/>
      <c r="X57" s="102"/>
      <c r="Y57" s="102"/>
      <c r="Z57" s="121"/>
      <c r="AA57" s="102"/>
      <c r="AB57" s="107"/>
      <c r="AC57" s="102"/>
    </row>
    <row r="58">
      <c r="A58" s="107"/>
      <c r="B58" s="113"/>
      <c r="C58" s="224"/>
      <c r="D58" s="224"/>
      <c r="E58" s="107"/>
      <c r="F58" s="107"/>
      <c r="G58" s="107"/>
      <c r="H58" s="251"/>
      <c r="I58" s="102"/>
      <c r="J58" s="102"/>
      <c r="K58" s="102"/>
      <c r="L58" s="102"/>
      <c r="M58" s="102"/>
      <c r="N58" s="102"/>
      <c r="O58" s="102"/>
      <c r="P58" s="144"/>
      <c r="Q58" s="102"/>
      <c r="R58" s="102"/>
      <c r="S58" s="102"/>
      <c r="T58" s="102"/>
      <c r="U58" s="102"/>
      <c r="V58" s="102"/>
      <c r="W58" s="102"/>
      <c r="X58" s="102"/>
      <c r="Y58" s="102"/>
      <c r="Z58" s="121"/>
      <c r="AA58" s="102"/>
      <c r="AB58" s="107"/>
      <c r="AC58" s="102"/>
    </row>
    <row r="59">
      <c r="A59" s="107"/>
      <c r="B59" s="113"/>
      <c r="C59" s="224"/>
      <c r="D59" s="224"/>
      <c r="E59" s="107"/>
      <c r="F59" s="107"/>
      <c r="G59" s="107"/>
      <c r="H59" s="251"/>
      <c r="I59" s="102"/>
      <c r="J59" s="102"/>
      <c r="K59" s="102"/>
      <c r="L59" s="102"/>
      <c r="M59" s="102"/>
      <c r="N59" s="102"/>
      <c r="O59" s="102"/>
      <c r="P59" s="144"/>
      <c r="Q59" s="102"/>
      <c r="R59" s="102"/>
      <c r="S59" s="102"/>
      <c r="T59" s="102"/>
      <c r="U59" s="102"/>
      <c r="V59" s="102"/>
      <c r="W59" s="102"/>
      <c r="X59" s="102"/>
      <c r="Y59" s="102"/>
      <c r="Z59" s="121"/>
      <c r="AA59" s="102"/>
      <c r="AB59" s="107"/>
      <c r="AC59" s="102"/>
    </row>
    <row r="60">
      <c r="A60" s="107"/>
      <c r="B60" s="113"/>
      <c r="C60" s="224"/>
      <c r="D60" s="224"/>
      <c r="E60" s="107"/>
      <c r="F60" s="107"/>
      <c r="G60" s="107"/>
      <c r="H60" s="251"/>
      <c r="I60" s="102"/>
      <c r="J60" s="102"/>
      <c r="K60" s="102"/>
      <c r="L60" s="102"/>
      <c r="M60" s="102"/>
      <c r="N60" s="102"/>
      <c r="O60" s="102"/>
      <c r="P60" s="144"/>
      <c r="Q60" s="102"/>
      <c r="R60" s="102"/>
      <c r="S60" s="102"/>
      <c r="T60" s="102"/>
      <c r="U60" s="102"/>
      <c r="V60" s="102"/>
      <c r="W60" s="102"/>
      <c r="X60" s="102"/>
      <c r="Y60" s="102"/>
      <c r="Z60" s="121"/>
      <c r="AA60" s="102"/>
      <c r="AB60" s="107"/>
      <c r="AC60" s="102"/>
    </row>
    <row r="61">
      <c r="A61" s="107"/>
      <c r="B61" s="113"/>
      <c r="C61" s="224"/>
      <c r="D61" s="224"/>
      <c r="E61" s="107"/>
      <c r="F61" s="107"/>
      <c r="G61" s="107"/>
      <c r="H61" s="251"/>
      <c r="I61" s="102"/>
      <c r="J61" s="102"/>
      <c r="K61" s="102"/>
      <c r="L61" s="102"/>
      <c r="M61" s="102"/>
      <c r="N61" s="102"/>
      <c r="O61" s="102"/>
      <c r="P61" s="144"/>
      <c r="Q61" s="102"/>
      <c r="R61" s="102"/>
      <c r="S61" s="102"/>
      <c r="T61" s="102"/>
      <c r="U61" s="102"/>
      <c r="V61" s="102"/>
      <c r="W61" s="102"/>
      <c r="X61" s="102"/>
      <c r="Y61" s="102"/>
      <c r="Z61" s="121"/>
      <c r="AA61" s="102"/>
      <c r="AB61" s="107"/>
      <c r="AC61" s="102"/>
    </row>
    <row r="62">
      <c r="A62" s="107"/>
      <c r="B62" s="113"/>
      <c r="C62" s="224"/>
      <c r="D62" s="224"/>
      <c r="E62" s="107"/>
      <c r="F62" s="107"/>
      <c r="G62" s="107"/>
      <c r="H62" s="251"/>
      <c r="I62" s="102"/>
      <c r="J62" s="102"/>
      <c r="K62" s="102"/>
      <c r="L62" s="102"/>
      <c r="M62" s="102"/>
      <c r="N62" s="102"/>
      <c r="O62" s="102"/>
      <c r="P62" s="144"/>
      <c r="Q62" s="102"/>
      <c r="R62" s="102"/>
      <c r="S62" s="102"/>
      <c r="T62" s="102"/>
      <c r="U62" s="102"/>
      <c r="V62" s="102"/>
      <c r="W62" s="102"/>
      <c r="X62" s="102"/>
      <c r="Y62" s="102"/>
      <c r="Z62" s="121"/>
      <c r="AA62" s="102"/>
      <c r="AB62" s="107"/>
      <c r="AC62" s="102"/>
    </row>
    <row r="63">
      <c r="A63" s="107"/>
      <c r="B63" s="113"/>
      <c r="C63" s="224"/>
      <c r="D63" s="224"/>
      <c r="E63" s="107"/>
      <c r="F63" s="107"/>
      <c r="G63" s="107"/>
      <c r="H63" s="251"/>
      <c r="I63" s="102"/>
      <c r="J63" s="102"/>
      <c r="K63" s="102"/>
      <c r="L63" s="102"/>
      <c r="M63" s="102"/>
      <c r="N63" s="102"/>
      <c r="O63" s="102"/>
      <c r="P63" s="144"/>
      <c r="Q63" s="102"/>
      <c r="R63" s="102"/>
      <c r="S63" s="102"/>
      <c r="T63" s="102"/>
      <c r="U63" s="102"/>
      <c r="V63" s="102"/>
      <c r="W63" s="102"/>
      <c r="X63" s="102"/>
      <c r="Y63" s="102"/>
      <c r="Z63" s="121"/>
      <c r="AA63" s="102"/>
      <c r="AB63" s="107"/>
      <c r="AC63" s="102"/>
    </row>
    <row r="64">
      <c r="A64" s="107"/>
      <c r="B64" s="113"/>
      <c r="C64" s="224"/>
      <c r="D64" s="224"/>
      <c r="E64" s="107"/>
      <c r="F64" s="107"/>
      <c r="G64" s="107"/>
      <c r="H64" s="251"/>
      <c r="I64" s="102"/>
      <c r="J64" s="102"/>
      <c r="K64" s="102"/>
      <c r="L64" s="102"/>
      <c r="M64" s="102"/>
      <c r="N64" s="102"/>
      <c r="O64" s="102"/>
      <c r="P64" s="144"/>
      <c r="Q64" s="102"/>
      <c r="R64" s="102"/>
      <c r="S64" s="102"/>
      <c r="T64" s="102"/>
      <c r="U64" s="102"/>
      <c r="V64" s="102"/>
      <c r="W64" s="102"/>
      <c r="X64" s="102"/>
      <c r="Y64" s="102"/>
      <c r="Z64" s="121"/>
      <c r="AA64" s="102"/>
      <c r="AB64" s="107"/>
      <c r="AC64" s="102"/>
    </row>
    <row r="65">
      <c r="A65" s="107"/>
      <c r="B65" s="113"/>
      <c r="C65" s="224"/>
      <c r="D65" s="224"/>
      <c r="E65" s="107"/>
      <c r="F65" s="107"/>
      <c r="G65" s="107"/>
      <c r="H65" s="251"/>
      <c r="I65" s="102"/>
      <c r="J65" s="102"/>
      <c r="K65" s="102"/>
      <c r="L65" s="102"/>
      <c r="M65" s="102"/>
      <c r="N65" s="102"/>
      <c r="O65" s="102"/>
      <c r="P65" s="144"/>
      <c r="Q65" s="102"/>
      <c r="R65" s="102"/>
      <c r="S65" s="102"/>
      <c r="T65" s="102"/>
      <c r="U65" s="102"/>
      <c r="V65" s="102"/>
      <c r="W65" s="102"/>
      <c r="X65" s="102"/>
      <c r="Y65" s="102"/>
      <c r="Z65" s="121"/>
      <c r="AA65" s="102"/>
      <c r="AB65" s="107"/>
      <c r="AC65" s="102"/>
    </row>
    <row r="66">
      <c r="A66" s="107"/>
      <c r="B66" s="113"/>
      <c r="C66" s="224"/>
      <c r="D66" s="224"/>
      <c r="E66" s="107"/>
      <c r="F66" s="107"/>
      <c r="G66" s="107"/>
      <c r="H66" s="251"/>
      <c r="I66" s="102"/>
      <c r="J66" s="102"/>
      <c r="K66" s="102"/>
      <c r="L66" s="102"/>
      <c r="M66" s="102"/>
      <c r="N66" s="102"/>
      <c r="O66" s="102"/>
      <c r="P66" s="144"/>
      <c r="Q66" s="102"/>
      <c r="R66" s="102"/>
      <c r="S66" s="102"/>
      <c r="T66" s="102"/>
      <c r="U66" s="102"/>
      <c r="V66" s="102"/>
      <c r="W66" s="102"/>
      <c r="X66" s="102"/>
      <c r="Y66" s="102"/>
      <c r="Z66" s="121"/>
      <c r="AA66" s="102"/>
      <c r="AB66" s="107"/>
      <c r="AC66" s="102"/>
    </row>
    <row r="67">
      <c r="A67" s="107"/>
      <c r="B67" s="113"/>
      <c r="C67" s="224"/>
      <c r="D67" s="224"/>
      <c r="E67" s="107"/>
      <c r="F67" s="107"/>
      <c r="G67" s="107"/>
      <c r="H67" s="251"/>
      <c r="I67" s="102"/>
      <c r="J67" s="102"/>
      <c r="K67" s="102"/>
      <c r="L67" s="102"/>
      <c r="M67" s="102"/>
      <c r="N67" s="102"/>
      <c r="O67" s="102"/>
      <c r="P67" s="144"/>
      <c r="Q67" s="102"/>
      <c r="R67" s="102"/>
      <c r="S67" s="102"/>
      <c r="T67" s="102"/>
      <c r="U67" s="102"/>
      <c r="V67" s="102"/>
      <c r="W67" s="102"/>
      <c r="X67" s="102"/>
      <c r="Y67" s="102"/>
      <c r="Z67" s="121"/>
      <c r="AA67" s="102"/>
      <c r="AB67" s="107"/>
      <c r="AC67" s="102"/>
    </row>
    <row r="68">
      <c r="A68" s="107"/>
      <c r="B68" s="113"/>
      <c r="C68" s="224"/>
      <c r="D68" s="224"/>
      <c r="E68" s="107"/>
      <c r="F68" s="107"/>
      <c r="G68" s="107"/>
      <c r="H68" s="251"/>
      <c r="I68" s="102"/>
      <c r="J68" s="102"/>
      <c r="K68" s="102"/>
      <c r="L68" s="102"/>
      <c r="M68" s="102"/>
      <c r="N68" s="102"/>
      <c r="O68" s="102"/>
      <c r="P68" s="144"/>
      <c r="Q68" s="102"/>
      <c r="R68" s="102"/>
      <c r="S68" s="102"/>
      <c r="T68" s="102"/>
      <c r="U68" s="102"/>
      <c r="V68" s="102"/>
      <c r="W68" s="102"/>
      <c r="X68" s="102"/>
      <c r="Y68" s="102"/>
      <c r="Z68" s="121"/>
      <c r="AA68" s="102"/>
      <c r="AB68" s="107"/>
      <c r="AC68" s="102"/>
    </row>
    <row r="69">
      <c r="A69" s="107"/>
      <c r="B69" s="113"/>
      <c r="C69" s="224"/>
      <c r="D69" s="224"/>
      <c r="E69" s="107"/>
      <c r="F69" s="107"/>
      <c r="G69" s="107"/>
      <c r="H69" s="251"/>
      <c r="I69" s="102"/>
      <c r="J69" s="102"/>
      <c r="K69" s="102"/>
      <c r="L69" s="102"/>
      <c r="M69" s="102"/>
      <c r="N69" s="102"/>
      <c r="O69" s="102"/>
      <c r="P69" s="144"/>
      <c r="Q69" s="102"/>
      <c r="R69" s="102"/>
      <c r="S69" s="102"/>
      <c r="T69" s="102"/>
      <c r="U69" s="102"/>
      <c r="V69" s="102"/>
      <c r="W69" s="102"/>
      <c r="X69" s="102"/>
      <c r="Y69" s="102"/>
      <c r="Z69" s="121"/>
      <c r="AA69" s="102"/>
      <c r="AB69" s="107"/>
      <c r="AC69" s="102"/>
    </row>
    <row r="70">
      <c r="A70" s="107"/>
      <c r="B70" s="113"/>
      <c r="C70" s="224"/>
      <c r="D70" s="224"/>
      <c r="E70" s="107"/>
      <c r="F70" s="107"/>
      <c r="G70" s="107"/>
      <c r="H70" s="251"/>
      <c r="I70" s="102"/>
      <c r="J70" s="102"/>
      <c r="K70" s="102"/>
      <c r="L70" s="102"/>
      <c r="M70" s="102"/>
      <c r="N70" s="102"/>
      <c r="O70" s="102"/>
      <c r="P70" s="144"/>
      <c r="Q70" s="102"/>
      <c r="R70" s="102"/>
      <c r="S70" s="102"/>
      <c r="T70" s="102"/>
      <c r="U70" s="102"/>
      <c r="V70" s="102"/>
      <c r="W70" s="102"/>
      <c r="X70" s="102"/>
      <c r="Y70" s="102"/>
      <c r="Z70" s="121"/>
      <c r="AA70" s="102"/>
      <c r="AB70" s="107"/>
      <c r="AC70" s="102"/>
    </row>
    <row r="71">
      <c r="A71" s="107"/>
      <c r="B71" s="113"/>
      <c r="C71" s="224"/>
      <c r="D71" s="224"/>
      <c r="E71" s="107"/>
      <c r="F71" s="107"/>
      <c r="G71" s="107"/>
      <c r="H71" s="251"/>
      <c r="I71" s="102"/>
      <c r="J71" s="102"/>
      <c r="K71" s="102"/>
      <c r="L71" s="102"/>
      <c r="M71" s="102"/>
      <c r="N71" s="102"/>
      <c r="O71" s="102"/>
      <c r="P71" s="144"/>
      <c r="Q71" s="102"/>
      <c r="R71" s="102"/>
      <c r="S71" s="102"/>
      <c r="T71" s="102"/>
      <c r="U71" s="102"/>
      <c r="V71" s="102"/>
      <c r="W71" s="102"/>
      <c r="X71" s="102"/>
      <c r="Y71" s="102"/>
      <c r="Z71" s="121"/>
      <c r="AA71" s="102"/>
      <c r="AB71" s="107"/>
      <c r="AC71" s="102"/>
    </row>
    <row r="72">
      <c r="A72" s="107"/>
      <c r="B72" s="113"/>
      <c r="C72" s="224"/>
      <c r="D72" s="224"/>
      <c r="E72" s="107"/>
      <c r="F72" s="107"/>
      <c r="G72" s="107"/>
      <c r="H72" s="251"/>
      <c r="I72" s="102"/>
      <c r="J72" s="102"/>
      <c r="K72" s="102"/>
      <c r="L72" s="102"/>
      <c r="M72" s="102"/>
      <c r="N72" s="102"/>
      <c r="O72" s="102"/>
      <c r="P72" s="144"/>
      <c r="Q72" s="102"/>
      <c r="R72" s="102"/>
      <c r="S72" s="102"/>
      <c r="T72" s="102"/>
      <c r="U72" s="102"/>
      <c r="V72" s="102"/>
      <c r="W72" s="102"/>
      <c r="X72" s="102"/>
      <c r="Y72" s="102"/>
      <c r="Z72" s="121"/>
      <c r="AA72" s="102"/>
      <c r="AB72" s="107"/>
      <c r="AC72" s="102"/>
    </row>
    <row r="73">
      <c r="A73" s="107"/>
      <c r="B73" s="113"/>
      <c r="C73" s="224"/>
      <c r="D73" s="224"/>
      <c r="E73" s="107"/>
      <c r="F73" s="107"/>
      <c r="G73" s="107"/>
      <c r="H73" s="251"/>
      <c r="I73" s="102"/>
      <c r="J73" s="102"/>
      <c r="K73" s="102"/>
      <c r="L73" s="102"/>
      <c r="M73" s="102"/>
      <c r="N73" s="102"/>
      <c r="O73" s="102"/>
      <c r="P73" s="144"/>
      <c r="Q73" s="102"/>
      <c r="R73" s="102"/>
      <c r="S73" s="102"/>
      <c r="T73" s="102"/>
      <c r="U73" s="102"/>
      <c r="V73" s="102"/>
      <c r="W73" s="102"/>
      <c r="X73" s="102"/>
      <c r="Y73" s="102"/>
      <c r="Z73" s="121"/>
      <c r="AA73" s="102"/>
      <c r="AB73" s="107"/>
      <c r="AC73" s="102"/>
    </row>
    <row r="74">
      <c r="A74" s="107"/>
      <c r="B74" s="113"/>
      <c r="C74" s="224"/>
      <c r="D74" s="224"/>
      <c r="E74" s="107"/>
      <c r="F74" s="107"/>
      <c r="G74" s="107"/>
      <c r="H74" s="251"/>
      <c r="I74" s="102"/>
      <c r="J74" s="102"/>
      <c r="K74" s="102"/>
      <c r="L74" s="102"/>
      <c r="M74" s="102"/>
      <c r="N74" s="102"/>
      <c r="O74" s="102"/>
      <c r="P74" s="144"/>
      <c r="Q74" s="102"/>
      <c r="R74" s="102"/>
      <c r="S74" s="102"/>
      <c r="T74" s="102"/>
      <c r="U74" s="102"/>
      <c r="V74" s="102"/>
      <c r="W74" s="102"/>
      <c r="X74" s="102"/>
      <c r="Y74" s="102"/>
      <c r="Z74" s="121"/>
      <c r="AA74" s="102"/>
      <c r="AB74" s="107"/>
      <c r="AC74" s="102"/>
    </row>
    <row r="75">
      <c r="A75" s="107"/>
      <c r="B75" s="113"/>
      <c r="C75" s="224"/>
      <c r="D75" s="224"/>
      <c r="E75" s="107"/>
      <c r="F75" s="107"/>
      <c r="G75" s="107"/>
      <c r="H75" s="251"/>
      <c r="I75" s="102"/>
      <c r="J75" s="102"/>
      <c r="K75" s="102"/>
      <c r="L75" s="102"/>
      <c r="M75" s="102"/>
      <c r="N75" s="102"/>
      <c r="O75" s="102"/>
      <c r="P75" s="144"/>
      <c r="Q75" s="102"/>
      <c r="R75" s="102"/>
      <c r="S75" s="102"/>
      <c r="T75" s="102"/>
      <c r="U75" s="102"/>
      <c r="V75" s="102"/>
      <c r="W75" s="102"/>
      <c r="X75" s="102"/>
      <c r="Y75" s="102"/>
      <c r="Z75" s="121"/>
      <c r="AA75" s="102"/>
      <c r="AB75" s="107"/>
      <c r="AC75" s="102"/>
    </row>
    <row r="76">
      <c r="A76" s="107"/>
      <c r="B76" s="113"/>
      <c r="C76" s="224"/>
      <c r="D76" s="224"/>
      <c r="E76" s="107"/>
      <c r="F76" s="107"/>
      <c r="G76" s="107"/>
      <c r="H76" s="251"/>
      <c r="I76" s="102"/>
      <c r="J76" s="102"/>
      <c r="K76" s="102"/>
      <c r="L76" s="102"/>
      <c r="M76" s="102"/>
      <c r="N76" s="102"/>
      <c r="O76" s="102"/>
      <c r="P76" s="144"/>
      <c r="Q76" s="102"/>
      <c r="R76" s="102"/>
      <c r="S76" s="102"/>
      <c r="T76" s="102"/>
      <c r="U76" s="102"/>
      <c r="V76" s="102"/>
      <c r="W76" s="102"/>
      <c r="X76" s="102"/>
      <c r="Y76" s="102"/>
      <c r="Z76" s="121"/>
      <c r="AA76" s="102"/>
      <c r="AB76" s="107"/>
      <c r="AC76" s="102"/>
    </row>
    <row r="77">
      <c r="A77" s="107"/>
      <c r="B77" s="113"/>
      <c r="C77" s="224"/>
      <c r="D77" s="224"/>
      <c r="E77" s="107"/>
      <c r="F77" s="107"/>
      <c r="G77" s="107"/>
      <c r="H77" s="251"/>
      <c r="I77" s="102"/>
      <c r="J77" s="102"/>
      <c r="K77" s="102"/>
      <c r="L77" s="102"/>
      <c r="M77" s="102"/>
      <c r="N77" s="102"/>
      <c r="O77" s="102"/>
      <c r="P77" s="144"/>
      <c r="Q77" s="102"/>
      <c r="R77" s="102"/>
      <c r="S77" s="102"/>
      <c r="T77" s="102"/>
      <c r="U77" s="102"/>
      <c r="V77" s="102"/>
      <c r="W77" s="102"/>
      <c r="X77" s="102"/>
      <c r="Y77" s="102"/>
      <c r="Z77" s="121"/>
      <c r="AA77" s="102"/>
      <c r="AB77" s="107"/>
      <c r="AC77" s="102"/>
    </row>
    <row r="78">
      <c r="A78" s="107"/>
      <c r="B78" s="113"/>
      <c r="C78" s="224"/>
      <c r="D78" s="224"/>
      <c r="E78" s="107"/>
      <c r="F78" s="107"/>
      <c r="G78" s="107"/>
      <c r="H78" s="251"/>
      <c r="I78" s="102"/>
      <c r="J78" s="102"/>
      <c r="K78" s="102"/>
      <c r="L78" s="102"/>
      <c r="M78" s="102"/>
      <c r="N78" s="102"/>
      <c r="O78" s="102"/>
      <c r="P78" s="144"/>
      <c r="Q78" s="102"/>
      <c r="R78" s="102"/>
      <c r="S78" s="102"/>
      <c r="T78" s="102"/>
      <c r="U78" s="102"/>
      <c r="V78" s="102"/>
      <c r="W78" s="102"/>
      <c r="X78" s="102"/>
      <c r="Y78" s="102"/>
      <c r="Z78" s="121"/>
      <c r="AA78" s="102"/>
      <c r="AB78" s="107"/>
      <c r="AC78" s="102"/>
    </row>
    <row r="79">
      <c r="A79" s="107"/>
      <c r="B79" s="113"/>
      <c r="C79" s="224"/>
      <c r="D79" s="224"/>
      <c r="E79" s="107"/>
      <c r="F79" s="107"/>
      <c r="G79" s="107"/>
      <c r="H79" s="251"/>
      <c r="I79" s="102"/>
      <c r="J79" s="102"/>
      <c r="K79" s="102"/>
      <c r="L79" s="102"/>
      <c r="M79" s="102"/>
      <c r="N79" s="102"/>
      <c r="O79" s="102"/>
      <c r="P79" s="144"/>
      <c r="Q79" s="102"/>
      <c r="R79" s="102"/>
      <c r="S79" s="102"/>
      <c r="T79" s="102"/>
      <c r="U79" s="102"/>
      <c r="V79" s="102"/>
      <c r="W79" s="102"/>
      <c r="X79" s="102"/>
      <c r="Y79" s="102"/>
      <c r="Z79" s="121"/>
      <c r="AA79" s="102"/>
      <c r="AB79" s="107"/>
      <c r="AC79" s="102"/>
    </row>
    <row r="80">
      <c r="A80" s="107"/>
      <c r="B80" s="113"/>
      <c r="C80" s="224"/>
      <c r="D80" s="224"/>
      <c r="E80" s="107"/>
      <c r="F80" s="107"/>
      <c r="G80" s="107"/>
      <c r="H80" s="251"/>
      <c r="I80" s="102"/>
      <c r="J80" s="102"/>
      <c r="K80" s="102"/>
      <c r="L80" s="102"/>
      <c r="M80" s="102"/>
      <c r="N80" s="102"/>
      <c r="O80" s="102"/>
      <c r="P80" s="144"/>
      <c r="Q80" s="102"/>
      <c r="R80" s="102"/>
      <c r="S80" s="102"/>
      <c r="T80" s="102"/>
      <c r="U80" s="102"/>
      <c r="V80" s="102"/>
      <c r="W80" s="102"/>
      <c r="X80" s="102"/>
      <c r="Y80" s="102"/>
      <c r="Z80" s="121"/>
      <c r="AA80" s="102"/>
      <c r="AB80" s="107"/>
      <c r="AC80" s="102"/>
    </row>
    <row r="81">
      <c r="A81" s="107"/>
      <c r="B81" s="113"/>
      <c r="C81" s="224"/>
      <c r="D81" s="224"/>
      <c r="E81" s="107"/>
      <c r="F81" s="107"/>
      <c r="G81" s="107"/>
      <c r="H81" s="251"/>
      <c r="I81" s="102"/>
      <c r="J81" s="102"/>
      <c r="K81" s="102"/>
      <c r="L81" s="102"/>
      <c r="M81" s="102"/>
      <c r="N81" s="102"/>
      <c r="O81" s="102"/>
      <c r="P81" s="144"/>
      <c r="Q81" s="102"/>
      <c r="R81" s="102"/>
      <c r="S81" s="102"/>
      <c r="T81" s="102"/>
      <c r="U81" s="102"/>
      <c r="V81" s="102"/>
      <c r="W81" s="102"/>
      <c r="X81" s="102"/>
      <c r="Y81" s="102"/>
      <c r="Z81" s="121"/>
      <c r="AA81" s="102"/>
      <c r="AB81" s="107"/>
      <c r="AC81" s="102"/>
    </row>
    <row r="82">
      <c r="A82" s="107"/>
      <c r="B82" s="113"/>
      <c r="C82" s="224"/>
      <c r="D82" s="224"/>
      <c r="E82" s="107"/>
      <c r="F82" s="107"/>
      <c r="G82" s="107"/>
      <c r="H82" s="251"/>
      <c r="I82" s="102"/>
      <c r="J82" s="102"/>
      <c r="K82" s="102"/>
      <c r="L82" s="102"/>
      <c r="M82" s="102"/>
      <c r="N82" s="102"/>
      <c r="O82" s="102"/>
      <c r="P82" s="144"/>
      <c r="Q82" s="102"/>
      <c r="R82" s="102"/>
      <c r="S82" s="102"/>
      <c r="T82" s="102"/>
      <c r="U82" s="102"/>
      <c r="V82" s="102"/>
      <c r="W82" s="102"/>
      <c r="X82" s="102"/>
      <c r="Y82" s="102"/>
      <c r="Z82" s="121"/>
      <c r="AA82" s="102"/>
      <c r="AB82" s="107"/>
      <c r="AC82" s="102"/>
    </row>
    <row r="83">
      <c r="A83" s="107"/>
      <c r="B83" s="113"/>
      <c r="C83" s="224"/>
      <c r="D83" s="224"/>
      <c r="E83" s="107"/>
      <c r="F83" s="107"/>
      <c r="G83" s="107"/>
      <c r="H83" s="251"/>
      <c r="I83" s="102"/>
      <c r="J83" s="102"/>
      <c r="K83" s="102"/>
      <c r="L83" s="102"/>
      <c r="M83" s="102"/>
      <c r="N83" s="102"/>
      <c r="O83" s="102"/>
      <c r="P83" s="144"/>
      <c r="Q83" s="102"/>
      <c r="R83" s="102"/>
      <c r="S83" s="102"/>
      <c r="T83" s="102"/>
      <c r="U83" s="102"/>
      <c r="V83" s="102"/>
      <c r="W83" s="102"/>
      <c r="X83" s="102"/>
      <c r="Y83" s="102"/>
      <c r="Z83" s="121"/>
      <c r="AA83" s="102"/>
      <c r="AB83" s="107"/>
      <c r="AC83" s="102"/>
    </row>
    <row r="84">
      <c r="A84" s="107"/>
      <c r="B84" s="113"/>
      <c r="C84" s="224"/>
      <c r="D84" s="224"/>
      <c r="E84" s="107"/>
      <c r="F84" s="107"/>
      <c r="G84" s="107"/>
      <c r="H84" s="251"/>
      <c r="I84" s="102"/>
      <c r="J84" s="102"/>
      <c r="K84" s="102"/>
      <c r="L84" s="102"/>
      <c r="M84" s="102"/>
      <c r="N84" s="102"/>
      <c r="O84" s="102"/>
      <c r="P84" s="144"/>
      <c r="Q84" s="102"/>
      <c r="R84" s="102"/>
      <c r="S84" s="102"/>
      <c r="T84" s="102"/>
      <c r="U84" s="102"/>
      <c r="V84" s="102"/>
      <c r="W84" s="102"/>
      <c r="X84" s="102"/>
      <c r="Y84" s="102"/>
      <c r="Z84" s="121"/>
      <c r="AA84" s="102"/>
      <c r="AB84" s="107"/>
      <c r="AC84" s="102"/>
    </row>
    <row r="85">
      <c r="A85" s="107"/>
      <c r="B85" s="113"/>
      <c r="C85" s="224"/>
      <c r="D85" s="224"/>
      <c r="E85" s="107"/>
      <c r="F85" s="107"/>
      <c r="G85" s="107"/>
      <c r="H85" s="251"/>
      <c r="I85" s="102"/>
      <c r="J85" s="102"/>
      <c r="K85" s="102"/>
      <c r="L85" s="102"/>
      <c r="M85" s="102"/>
      <c r="N85" s="102"/>
      <c r="O85" s="102"/>
      <c r="P85" s="144"/>
      <c r="Q85" s="102"/>
      <c r="R85" s="102"/>
      <c r="S85" s="102"/>
      <c r="T85" s="102"/>
      <c r="U85" s="102"/>
      <c r="V85" s="102"/>
      <c r="W85" s="102"/>
      <c r="X85" s="102"/>
      <c r="Y85" s="102"/>
      <c r="Z85" s="121"/>
      <c r="AA85" s="102"/>
      <c r="AB85" s="107"/>
      <c r="AC85" s="102"/>
    </row>
    <row r="86">
      <c r="A86" s="107"/>
      <c r="B86" s="113"/>
      <c r="C86" s="224"/>
      <c r="D86" s="224"/>
      <c r="E86" s="107"/>
      <c r="F86" s="107"/>
      <c r="G86" s="107"/>
      <c r="H86" s="251"/>
      <c r="I86" s="102"/>
      <c r="J86" s="102"/>
      <c r="K86" s="102"/>
      <c r="L86" s="102"/>
      <c r="M86" s="102"/>
      <c r="N86" s="102"/>
      <c r="O86" s="102"/>
      <c r="P86" s="144"/>
      <c r="Q86" s="102"/>
      <c r="R86" s="102"/>
      <c r="S86" s="102"/>
      <c r="T86" s="102"/>
      <c r="U86" s="102"/>
      <c r="V86" s="102"/>
      <c r="W86" s="102"/>
      <c r="X86" s="102"/>
      <c r="Y86" s="102"/>
      <c r="Z86" s="121"/>
      <c r="AA86" s="102"/>
      <c r="AB86" s="107"/>
      <c r="AC86" s="102"/>
    </row>
    <row r="87">
      <c r="A87" s="107"/>
      <c r="B87" s="113"/>
      <c r="C87" s="224"/>
      <c r="D87" s="224"/>
      <c r="E87" s="107"/>
      <c r="F87" s="107"/>
      <c r="G87" s="107"/>
      <c r="H87" s="251"/>
      <c r="I87" s="102"/>
      <c r="J87" s="102"/>
      <c r="K87" s="102"/>
      <c r="L87" s="102"/>
      <c r="M87" s="102"/>
      <c r="N87" s="102"/>
      <c r="O87" s="102"/>
      <c r="P87" s="144"/>
      <c r="Q87" s="102"/>
      <c r="R87" s="102"/>
      <c r="S87" s="102"/>
      <c r="T87" s="102"/>
      <c r="U87" s="102"/>
      <c r="V87" s="102"/>
      <c r="W87" s="102"/>
      <c r="X87" s="102"/>
      <c r="Y87" s="102"/>
      <c r="Z87" s="121"/>
      <c r="AA87" s="102"/>
      <c r="AB87" s="107"/>
      <c r="AC87" s="102"/>
    </row>
    <row r="88">
      <c r="A88" s="107"/>
      <c r="B88" s="113"/>
      <c r="C88" s="224"/>
      <c r="D88" s="224"/>
      <c r="E88" s="107"/>
      <c r="F88" s="107"/>
      <c r="G88" s="107"/>
      <c r="H88" s="251"/>
      <c r="I88" s="102"/>
      <c r="J88" s="102"/>
      <c r="K88" s="102"/>
      <c r="L88" s="102"/>
      <c r="M88" s="102"/>
      <c r="N88" s="102"/>
      <c r="O88" s="102"/>
      <c r="P88" s="144"/>
      <c r="Q88" s="102"/>
      <c r="R88" s="102"/>
      <c r="S88" s="102"/>
      <c r="T88" s="102"/>
      <c r="U88" s="102"/>
      <c r="V88" s="102"/>
      <c r="W88" s="102"/>
      <c r="X88" s="102"/>
      <c r="Y88" s="102"/>
      <c r="Z88" s="121"/>
      <c r="AA88" s="102"/>
      <c r="AB88" s="107"/>
      <c r="AC88" s="102"/>
    </row>
    <row r="89">
      <c r="A89" s="107"/>
      <c r="B89" s="113"/>
      <c r="C89" s="224"/>
      <c r="D89" s="224"/>
      <c r="E89" s="107"/>
      <c r="F89" s="107"/>
      <c r="G89" s="107"/>
      <c r="H89" s="251"/>
      <c r="I89" s="102"/>
      <c r="J89" s="102"/>
      <c r="K89" s="102"/>
      <c r="L89" s="102"/>
      <c r="M89" s="102"/>
      <c r="N89" s="102"/>
      <c r="O89" s="102"/>
      <c r="P89" s="144"/>
      <c r="Q89" s="102"/>
      <c r="R89" s="102"/>
      <c r="S89" s="102"/>
      <c r="T89" s="102"/>
      <c r="U89" s="102"/>
      <c r="V89" s="102"/>
      <c r="W89" s="102"/>
      <c r="X89" s="102"/>
      <c r="Y89" s="102"/>
      <c r="Z89" s="121"/>
      <c r="AA89" s="102"/>
      <c r="AB89" s="107"/>
      <c r="AC89" s="102"/>
    </row>
    <row r="90">
      <c r="A90" s="107"/>
      <c r="B90" s="113"/>
      <c r="C90" s="224"/>
      <c r="D90" s="224"/>
      <c r="E90" s="107"/>
      <c r="F90" s="107"/>
      <c r="G90" s="107"/>
      <c r="H90" s="251"/>
      <c r="I90" s="102"/>
      <c r="J90" s="102"/>
      <c r="K90" s="102"/>
      <c r="L90" s="102"/>
      <c r="M90" s="102"/>
      <c r="N90" s="102"/>
      <c r="O90" s="102"/>
      <c r="P90" s="144"/>
      <c r="Q90" s="102"/>
      <c r="R90" s="102"/>
      <c r="S90" s="102"/>
      <c r="T90" s="102"/>
      <c r="U90" s="102"/>
      <c r="V90" s="102"/>
      <c r="W90" s="102"/>
      <c r="X90" s="102"/>
      <c r="Y90" s="102"/>
      <c r="Z90" s="121"/>
      <c r="AA90" s="102"/>
      <c r="AB90" s="107"/>
      <c r="AC90" s="102"/>
    </row>
    <row r="91">
      <c r="A91" s="107"/>
      <c r="B91" s="113"/>
      <c r="C91" s="224"/>
      <c r="D91" s="224"/>
      <c r="E91" s="107"/>
      <c r="F91" s="107"/>
      <c r="G91" s="107"/>
      <c r="H91" s="251"/>
      <c r="I91" s="102"/>
      <c r="J91" s="102"/>
      <c r="K91" s="102"/>
      <c r="L91" s="102"/>
      <c r="M91" s="102"/>
      <c r="N91" s="102"/>
      <c r="O91" s="102"/>
      <c r="P91" s="144"/>
      <c r="Q91" s="102"/>
      <c r="R91" s="102"/>
      <c r="S91" s="102"/>
      <c r="T91" s="102"/>
      <c r="U91" s="102"/>
      <c r="V91" s="102"/>
      <c r="W91" s="102"/>
      <c r="X91" s="102"/>
      <c r="Y91" s="102"/>
      <c r="Z91" s="121"/>
      <c r="AA91" s="102"/>
      <c r="AB91" s="107"/>
      <c r="AC91" s="102"/>
    </row>
    <row r="92">
      <c r="A92" s="107"/>
      <c r="B92" s="113"/>
      <c r="C92" s="224"/>
      <c r="D92" s="224"/>
      <c r="E92" s="107"/>
      <c r="F92" s="107"/>
      <c r="G92" s="107"/>
      <c r="H92" s="251"/>
      <c r="I92" s="102"/>
      <c r="J92" s="102"/>
      <c r="K92" s="102"/>
      <c r="L92" s="102"/>
      <c r="M92" s="102"/>
      <c r="N92" s="102"/>
      <c r="O92" s="102"/>
      <c r="P92" s="144"/>
      <c r="Q92" s="102"/>
      <c r="R92" s="102"/>
      <c r="S92" s="102"/>
      <c r="T92" s="102"/>
      <c r="U92" s="102"/>
      <c r="V92" s="102"/>
      <c r="W92" s="102"/>
      <c r="X92" s="102"/>
      <c r="Y92" s="102"/>
      <c r="Z92" s="121"/>
      <c r="AA92" s="102"/>
      <c r="AB92" s="107"/>
      <c r="AC92" s="102"/>
    </row>
    <row r="93">
      <c r="A93" s="107"/>
      <c r="B93" s="113"/>
      <c r="C93" s="224"/>
      <c r="D93" s="224"/>
      <c r="E93" s="107"/>
      <c r="F93" s="107"/>
      <c r="G93" s="107"/>
      <c r="H93" s="251"/>
      <c r="I93" s="102"/>
      <c r="J93" s="102"/>
      <c r="K93" s="102"/>
      <c r="L93" s="102"/>
      <c r="M93" s="102"/>
      <c r="N93" s="102"/>
      <c r="O93" s="102"/>
      <c r="P93" s="144"/>
      <c r="Q93" s="102"/>
      <c r="R93" s="102"/>
      <c r="S93" s="102"/>
      <c r="T93" s="102"/>
      <c r="U93" s="102"/>
      <c r="V93" s="102"/>
      <c r="W93" s="102"/>
      <c r="X93" s="102"/>
      <c r="Y93" s="102"/>
      <c r="Z93" s="121"/>
      <c r="AA93" s="102"/>
      <c r="AB93" s="107"/>
      <c r="AC93" s="102"/>
    </row>
    <row r="94">
      <c r="A94" s="107"/>
      <c r="B94" s="113"/>
      <c r="C94" s="224"/>
      <c r="D94" s="224"/>
      <c r="E94" s="107"/>
      <c r="F94" s="107"/>
      <c r="G94" s="107"/>
      <c r="H94" s="251"/>
      <c r="I94" s="102"/>
      <c r="J94" s="102"/>
      <c r="K94" s="102"/>
      <c r="L94" s="102"/>
      <c r="M94" s="102"/>
      <c r="N94" s="102"/>
      <c r="O94" s="102"/>
      <c r="P94" s="144"/>
      <c r="Q94" s="102"/>
      <c r="R94" s="102"/>
      <c r="S94" s="102"/>
      <c r="T94" s="102"/>
      <c r="U94" s="102"/>
      <c r="V94" s="102"/>
      <c r="W94" s="102"/>
      <c r="X94" s="102"/>
      <c r="Y94" s="102"/>
      <c r="Z94" s="121"/>
      <c r="AA94" s="102"/>
      <c r="AB94" s="107"/>
      <c r="AC94" s="102"/>
    </row>
    <row r="95">
      <c r="A95" s="107"/>
      <c r="B95" s="113"/>
      <c r="C95" s="224"/>
      <c r="D95" s="224"/>
      <c r="E95" s="107"/>
      <c r="F95" s="107"/>
      <c r="G95" s="107"/>
      <c r="H95" s="251"/>
      <c r="I95" s="102"/>
      <c r="J95" s="102"/>
      <c r="K95" s="102"/>
      <c r="L95" s="102"/>
      <c r="M95" s="102"/>
      <c r="N95" s="102"/>
      <c r="O95" s="102"/>
      <c r="P95" s="144"/>
      <c r="Q95" s="102"/>
      <c r="R95" s="102"/>
      <c r="S95" s="102"/>
      <c r="T95" s="102"/>
      <c r="U95" s="102"/>
      <c r="V95" s="102"/>
      <c r="W95" s="102"/>
      <c r="X95" s="102"/>
      <c r="Y95" s="102"/>
      <c r="Z95" s="121"/>
      <c r="AA95" s="102"/>
      <c r="AB95" s="107"/>
      <c r="AC95" s="102"/>
    </row>
    <row r="96">
      <c r="A96" s="107"/>
      <c r="B96" s="113"/>
      <c r="C96" s="224"/>
      <c r="D96" s="224"/>
      <c r="E96" s="107"/>
      <c r="F96" s="107"/>
      <c r="G96" s="107"/>
      <c r="H96" s="251"/>
      <c r="I96" s="102"/>
      <c r="J96" s="102"/>
      <c r="K96" s="102"/>
      <c r="L96" s="102"/>
      <c r="M96" s="102"/>
      <c r="N96" s="102"/>
      <c r="O96" s="102"/>
      <c r="P96" s="144"/>
      <c r="Q96" s="102"/>
      <c r="R96" s="102"/>
      <c r="S96" s="102"/>
      <c r="T96" s="102"/>
      <c r="U96" s="102"/>
      <c r="V96" s="102"/>
      <c r="W96" s="102"/>
      <c r="X96" s="102"/>
      <c r="Y96" s="102"/>
      <c r="Z96" s="121"/>
      <c r="AA96" s="102"/>
      <c r="AB96" s="107"/>
      <c r="AC96" s="102"/>
    </row>
    <row r="97">
      <c r="A97" s="107"/>
      <c r="B97" s="113"/>
      <c r="C97" s="224"/>
      <c r="D97" s="224"/>
      <c r="E97" s="107"/>
      <c r="F97" s="107"/>
      <c r="G97" s="107"/>
      <c r="H97" s="251"/>
      <c r="I97" s="102"/>
      <c r="J97" s="102"/>
      <c r="K97" s="102"/>
      <c r="L97" s="102"/>
      <c r="M97" s="102"/>
      <c r="N97" s="102"/>
      <c r="O97" s="102"/>
      <c r="P97" s="144"/>
      <c r="Q97" s="102"/>
      <c r="R97" s="102"/>
      <c r="S97" s="102"/>
      <c r="T97" s="102"/>
      <c r="U97" s="102"/>
      <c r="V97" s="102"/>
      <c r="W97" s="102"/>
      <c r="X97" s="102"/>
      <c r="Y97" s="102"/>
      <c r="Z97" s="121"/>
      <c r="AA97" s="102"/>
      <c r="AB97" s="107"/>
      <c r="AC97" s="102"/>
    </row>
    <row r="98">
      <c r="A98" s="107"/>
      <c r="B98" s="113"/>
      <c r="C98" s="224"/>
      <c r="D98" s="224"/>
      <c r="E98" s="107"/>
      <c r="F98" s="107"/>
      <c r="G98" s="107"/>
      <c r="H98" s="251"/>
      <c r="I98" s="102"/>
      <c r="J98" s="102"/>
      <c r="K98" s="102"/>
      <c r="L98" s="102"/>
      <c r="M98" s="102"/>
      <c r="N98" s="102"/>
      <c r="O98" s="102"/>
      <c r="P98" s="144"/>
      <c r="Q98" s="102"/>
      <c r="R98" s="102"/>
      <c r="S98" s="102"/>
      <c r="T98" s="102"/>
      <c r="U98" s="102"/>
      <c r="V98" s="102"/>
      <c r="W98" s="102"/>
      <c r="X98" s="102"/>
      <c r="Y98" s="102"/>
      <c r="Z98" s="121"/>
      <c r="AA98" s="102"/>
      <c r="AB98" s="107"/>
      <c r="AC98" s="102"/>
    </row>
    <row r="99">
      <c r="A99" s="107"/>
      <c r="B99" s="113"/>
      <c r="C99" s="224"/>
      <c r="D99" s="224"/>
      <c r="E99" s="107"/>
      <c r="F99" s="107"/>
      <c r="G99" s="107"/>
      <c r="H99" s="251"/>
      <c r="I99" s="102"/>
      <c r="J99" s="102"/>
      <c r="K99" s="102"/>
      <c r="L99" s="102"/>
      <c r="M99" s="102"/>
      <c r="N99" s="102"/>
      <c r="O99" s="102"/>
      <c r="P99" s="144"/>
      <c r="Q99" s="102"/>
      <c r="R99" s="102"/>
      <c r="S99" s="102"/>
      <c r="T99" s="102"/>
      <c r="U99" s="102"/>
      <c r="V99" s="102"/>
      <c r="W99" s="102"/>
      <c r="X99" s="102"/>
      <c r="Y99" s="102"/>
      <c r="Z99" s="121"/>
      <c r="AA99" s="102"/>
      <c r="AB99" s="107"/>
      <c r="AC99" s="102"/>
    </row>
    <row r="100">
      <c r="A100" s="107"/>
      <c r="B100" s="113"/>
      <c r="C100" s="224"/>
      <c r="D100" s="224"/>
      <c r="E100" s="107"/>
      <c r="F100" s="107"/>
      <c r="G100" s="107"/>
      <c r="H100" s="251"/>
      <c r="I100" s="102"/>
      <c r="J100" s="102"/>
      <c r="K100" s="102"/>
      <c r="L100" s="102"/>
      <c r="M100" s="102"/>
      <c r="N100" s="102"/>
      <c r="O100" s="102"/>
      <c r="P100" s="144"/>
      <c r="Q100" s="102"/>
      <c r="R100" s="102"/>
      <c r="S100" s="102"/>
      <c r="T100" s="102"/>
      <c r="U100" s="102"/>
      <c r="V100" s="102"/>
      <c r="W100" s="102"/>
      <c r="X100" s="102"/>
      <c r="Y100" s="102"/>
      <c r="Z100" s="121"/>
      <c r="AA100" s="102"/>
      <c r="AB100" s="107"/>
      <c r="AC100" s="102"/>
    </row>
    <row r="101">
      <c r="A101" s="107"/>
      <c r="B101" s="113"/>
      <c r="C101" s="224"/>
      <c r="D101" s="224"/>
      <c r="E101" s="107"/>
      <c r="F101" s="107"/>
      <c r="G101" s="107"/>
      <c r="H101" s="251"/>
      <c r="I101" s="102"/>
      <c r="J101" s="102"/>
      <c r="K101" s="102"/>
      <c r="L101" s="102"/>
      <c r="M101" s="102"/>
      <c r="N101" s="102"/>
      <c r="O101" s="102"/>
      <c r="P101" s="144"/>
      <c r="Q101" s="102"/>
      <c r="R101" s="102"/>
      <c r="S101" s="102"/>
      <c r="T101" s="102"/>
      <c r="U101" s="102"/>
      <c r="V101" s="102"/>
      <c r="W101" s="102"/>
      <c r="X101" s="102"/>
      <c r="Y101" s="102"/>
      <c r="Z101" s="121"/>
      <c r="AA101" s="102"/>
      <c r="AB101" s="107"/>
      <c r="AC101" s="102"/>
    </row>
    <row r="102">
      <c r="A102" s="107"/>
      <c r="B102" s="113"/>
      <c r="C102" s="224"/>
      <c r="D102" s="224"/>
      <c r="E102" s="107"/>
      <c r="F102" s="107"/>
      <c r="G102" s="107"/>
      <c r="H102" s="251"/>
      <c r="I102" s="102"/>
      <c r="J102" s="102"/>
      <c r="K102" s="102"/>
      <c r="L102" s="102"/>
      <c r="M102" s="102"/>
      <c r="N102" s="102"/>
      <c r="O102" s="102"/>
      <c r="P102" s="144"/>
      <c r="Q102" s="102"/>
      <c r="R102" s="102"/>
      <c r="S102" s="102"/>
      <c r="T102" s="102"/>
      <c r="U102" s="102"/>
      <c r="V102" s="102"/>
      <c r="W102" s="102"/>
      <c r="X102" s="102"/>
      <c r="Y102" s="102"/>
      <c r="Z102" s="121"/>
      <c r="AA102" s="102"/>
      <c r="AB102" s="107"/>
      <c r="AC102" s="102"/>
    </row>
    <row r="103">
      <c r="A103" s="107"/>
      <c r="B103" s="113"/>
      <c r="C103" s="224"/>
      <c r="D103" s="224"/>
      <c r="E103" s="107"/>
      <c r="F103" s="107"/>
      <c r="G103" s="107"/>
      <c r="H103" s="251"/>
      <c r="I103" s="102"/>
      <c r="J103" s="102"/>
      <c r="K103" s="102"/>
      <c r="L103" s="102"/>
      <c r="M103" s="102"/>
      <c r="N103" s="102"/>
      <c r="O103" s="102"/>
      <c r="P103" s="144"/>
      <c r="Q103" s="102"/>
      <c r="R103" s="102"/>
      <c r="S103" s="102"/>
      <c r="T103" s="102"/>
      <c r="U103" s="102"/>
      <c r="V103" s="102"/>
      <c r="W103" s="102"/>
      <c r="X103" s="102"/>
      <c r="Y103" s="102"/>
      <c r="Z103" s="121"/>
      <c r="AA103" s="102"/>
      <c r="AB103" s="107"/>
      <c r="AC103" s="102"/>
    </row>
    <row r="104">
      <c r="A104" s="107"/>
      <c r="B104" s="113"/>
      <c r="C104" s="224"/>
      <c r="D104" s="224"/>
      <c r="E104" s="107"/>
      <c r="F104" s="107"/>
      <c r="G104" s="107"/>
      <c r="H104" s="251"/>
      <c r="I104" s="102"/>
      <c r="J104" s="102"/>
      <c r="K104" s="102"/>
      <c r="L104" s="102"/>
      <c r="M104" s="102"/>
      <c r="N104" s="102"/>
      <c r="O104" s="102"/>
      <c r="P104" s="144"/>
      <c r="Q104" s="102"/>
      <c r="R104" s="102"/>
      <c r="S104" s="102"/>
      <c r="T104" s="102"/>
      <c r="U104" s="102"/>
      <c r="V104" s="102"/>
      <c r="W104" s="102"/>
      <c r="X104" s="102"/>
      <c r="Y104" s="102"/>
      <c r="Z104" s="121"/>
      <c r="AA104" s="102"/>
      <c r="AB104" s="107"/>
      <c r="AC104" s="102"/>
    </row>
    <row r="105">
      <c r="A105" s="107"/>
      <c r="B105" s="113"/>
      <c r="C105" s="224"/>
      <c r="D105" s="224"/>
      <c r="E105" s="107"/>
      <c r="F105" s="107"/>
      <c r="G105" s="107"/>
      <c r="H105" s="251"/>
      <c r="I105" s="102"/>
      <c r="J105" s="102"/>
      <c r="K105" s="102"/>
      <c r="L105" s="102"/>
      <c r="M105" s="102"/>
      <c r="N105" s="102"/>
      <c r="O105" s="102"/>
      <c r="P105" s="144"/>
      <c r="Q105" s="102"/>
      <c r="R105" s="102"/>
      <c r="S105" s="102"/>
      <c r="T105" s="102"/>
      <c r="U105" s="102"/>
      <c r="V105" s="102"/>
      <c r="W105" s="102"/>
      <c r="X105" s="102"/>
      <c r="Y105" s="102"/>
      <c r="Z105" s="121"/>
      <c r="AA105" s="102"/>
      <c r="AB105" s="107"/>
      <c r="AC105" s="102"/>
    </row>
    <row r="106">
      <c r="A106" s="107"/>
      <c r="B106" s="113"/>
      <c r="C106" s="224"/>
      <c r="D106" s="224"/>
      <c r="E106" s="107"/>
      <c r="F106" s="107"/>
      <c r="G106" s="107"/>
      <c r="H106" s="251"/>
      <c r="I106" s="102"/>
      <c r="J106" s="102"/>
      <c r="K106" s="102"/>
      <c r="L106" s="102"/>
      <c r="M106" s="102"/>
      <c r="N106" s="102"/>
      <c r="O106" s="102"/>
      <c r="P106" s="144"/>
      <c r="Q106" s="102"/>
      <c r="R106" s="102"/>
      <c r="S106" s="102"/>
      <c r="T106" s="102"/>
      <c r="U106" s="102"/>
      <c r="V106" s="102"/>
      <c r="W106" s="102"/>
      <c r="X106" s="102"/>
      <c r="Y106" s="102"/>
      <c r="Z106" s="121"/>
      <c r="AA106" s="102"/>
      <c r="AB106" s="107"/>
      <c r="AC106" s="102"/>
    </row>
    <row r="107">
      <c r="A107" s="107"/>
      <c r="B107" s="113"/>
      <c r="C107" s="224"/>
      <c r="D107" s="224"/>
      <c r="E107" s="107"/>
      <c r="F107" s="107"/>
      <c r="G107" s="107"/>
      <c r="H107" s="251"/>
      <c r="I107" s="102"/>
      <c r="J107" s="102"/>
      <c r="K107" s="102"/>
      <c r="L107" s="102"/>
      <c r="M107" s="102"/>
      <c r="N107" s="102"/>
      <c r="O107" s="102"/>
      <c r="P107" s="144"/>
      <c r="Q107" s="102"/>
      <c r="R107" s="102"/>
      <c r="S107" s="102"/>
      <c r="T107" s="102"/>
      <c r="U107" s="102"/>
      <c r="V107" s="102"/>
      <c r="W107" s="102"/>
      <c r="X107" s="102"/>
      <c r="Y107" s="102"/>
      <c r="Z107" s="121"/>
      <c r="AA107" s="102"/>
      <c r="AB107" s="107"/>
      <c r="AC107" s="102"/>
    </row>
    <row r="108">
      <c r="A108" s="107"/>
      <c r="B108" s="113"/>
      <c r="C108" s="224"/>
      <c r="D108" s="224"/>
      <c r="E108" s="107"/>
      <c r="F108" s="107"/>
      <c r="G108" s="107"/>
      <c r="H108" s="251"/>
      <c r="I108" s="102"/>
      <c r="J108" s="102"/>
      <c r="K108" s="102"/>
      <c r="L108" s="102"/>
      <c r="M108" s="102"/>
      <c r="N108" s="102"/>
      <c r="O108" s="102"/>
      <c r="P108" s="144"/>
      <c r="Q108" s="102"/>
      <c r="R108" s="102"/>
      <c r="S108" s="102"/>
      <c r="T108" s="102"/>
      <c r="U108" s="102"/>
      <c r="V108" s="102"/>
      <c r="W108" s="102"/>
      <c r="X108" s="102"/>
      <c r="Y108" s="102"/>
      <c r="Z108" s="121"/>
      <c r="AA108" s="102"/>
      <c r="AB108" s="107"/>
      <c r="AC108" s="102"/>
    </row>
    <row r="109">
      <c r="A109" s="107"/>
      <c r="B109" s="113"/>
      <c r="C109" s="224"/>
      <c r="D109" s="224"/>
      <c r="E109" s="107"/>
      <c r="F109" s="107"/>
      <c r="G109" s="107"/>
      <c r="H109" s="251"/>
      <c r="I109" s="102"/>
      <c r="J109" s="102"/>
      <c r="K109" s="102"/>
      <c r="L109" s="102"/>
      <c r="M109" s="102"/>
      <c r="N109" s="102"/>
      <c r="O109" s="102"/>
      <c r="P109" s="144"/>
      <c r="Q109" s="102"/>
      <c r="R109" s="102"/>
      <c r="S109" s="102"/>
      <c r="T109" s="102"/>
      <c r="U109" s="102"/>
      <c r="V109" s="102"/>
      <c r="W109" s="102"/>
      <c r="X109" s="102"/>
      <c r="Y109" s="102"/>
      <c r="Z109" s="121"/>
      <c r="AA109" s="102"/>
      <c r="AB109" s="107"/>
      <c r="AC109" s="102"/>
    </row>
    <row r="110">
      <c r="A110" s="107"/>
      <c r="B110" s="113"/>
      <c r="C110" s="224"/>
      <c r="D110" s="224"/>
      <c r="E110" s="107"/>
      <c r="F110" s="107"/>
      <c r="G110" s="107"/>
      <c r="H110" s="251"/>
      <c r="I110" s="102"/>
      <c r="J110" s="102"/>
      <c r="K110" s="102"/>
      <c r="L110" s="102"/>
      <c r="M110" s="102"/>
      <c r="N110" s="102"/>
      <c r="O110" s="102"/>
      <c r="P110" s="144"/>
      <c r="Q110" s="102"/>
      <c r="R110" s="102"/>
      <c r="S110" s="102"/>
      <c r="T110" s="102"/>
      <c r="U110" s="102"/>
      <c r="V110" s="102"/>
      <c r="W110" s="102"/>
      <c r="X110" s="102"/>
      <c r="Y110" s="102"/>
      <c r="Z110" s="121"/>
      <c r="AA110" s="102"/>
      <c r="AB110" s="107"/>
      <c r="AC110" s="102"/>
    </row>
    <row r="111">
      <c r="A111" s="107"/>
      <c r="B111" s="113"/>
      <c r="C111" s="224"/>
      <c r="D111" s="224"/>
      <c r="E111" s="107"/>
      <c r="F111" s="107"/>
      <c r="G111" s="107"/>
      <c r="H111" s="251"/>
      <c r="I111" s="102"/>
      <c r="J111" s="102"/>
      <c r="K111" s="102"/>
      <c r="L111" s="102"/>
      <c r="M111" s="102"/>
      <c r="N111" s="102"/>
      <c r="O111" s="102"/>
      <c r="P111" s="144"/>
      <c r="Q111" s="102"/>
      <c r="R111" s="102"/>
      <c r="S111" s="102"/>
      <c r="T111" s="102"/>
      <c r="U111" s="102"/>
      <c r="V111" s="102"/>
      <c r="W111" s="102"/>
      <c r="X111" s="102"/>
      <c r="Y111" s="102"/>
      <c r="Z111" s="121"/>
      <c r="AA111" s="102"/>
      <c r="AB111" s="107"/>
      <c r="AC111" s="102"/>
    </row>
    <row r="112">
      <c r="A112" s="107"/>
      <c r="B112" s="113"/>
      <c r="C112" s="224"/>
      <c r="D112" s="224"/>
      <c r="E112" s="107"/>
      <c r="F112" s="107"/>
      <c r="G112" s="107"/>
      <c r="H112" s="251"/>
      <c r="I112" s="102"/>
      <c r="J112" s="102"/>
      <c r="K112" s="102"/>
      <c r="L112" s="102"/>
      <c r="M112" s="102"/>
      <c r="N112" s="102"/>
      <c r="O112" s="102"/>
      <c r="P112" s="144"/>
      <c r="Q112" s="102"/>
      <c r="R112" s="102"/>
      <c r="S112" s="102"/>
      <c r="T112" s="102"/>
      <c r="U112" s="102"/>
      <c r="V112" s="102"/>
      <c r="W112" s="102"/>
      <c r="X112" s="102"/>
      <c r="Y112" s="102"/>
      <c r="Z112" s="121"/>
      <c r="AA112" s="102"/>
      <c r="AB112" s="107"/>
      <c r="AC112" s="102"/>
    </row>
    <row r="113">
      <c r="A113" s="107"/>
      <c r="B113" s="113"/>
      <c r="C113" s="224"/>
      <c r="D113" s="224"/>
      <c r="E113" s="107"/>
      <c r="F113" s="107"/>
      <c r="G113" s="107"/>
      <c r="H113" s="251"/>
      <c r="I113" s="102"/>
      <c r="J113" s="102"/>
      <c r="K113" s="102"/>
      <c r="L113" s="102"/>
      <c r="M113" s="102"/>
      <c r="N113" s="102"/>
      <c r="O113" s="102"/>
      <c r="P113" s="144"/>
      <c r="Q113" s="102"/>
      <c r="R113" s="102"/>
      <c r="S113" s="102"/>
      <c r="T113" s="102"/>
      <c r="U113" s="102"/>
      <c r="V113" s="102"/>
      <c r="W113" s="102"/>
      <c r="X113" s="102"/>
      <c r="Y113" s="102"/>
      <c r="Z113" s="121"/>
      <c r="AA113" s="102"/>
      <c r="AB113" s="107"/>
      <c r="AC113" s="102"/>
    </row>
    <row r="114">
      <c r="A114" s="107"/>
      <c r="B114" s="113"/>
      <c r="C114" s="224"/>
      <c r="D114" s="224"/>
      <c r="E114" s="107"/>
      <c r="F114" s="107"/>
      <c r="G114" s="107"/>
      <c r="H114" s="251"/>
      <c r="I114" s="102"/>
      <c r="J114" s="102"/>
      <c r="K114" s="102"/>
      <c r="L114" s="102"/>
      <c r="M114" s="102"/>
      <c r="N114" s="102"/>
      <c r="O114" s="102"/>
      <c r="P114" s="144"/>
      <c r="Q114" s="102"/>
      <c r="R114" s="102"/>
      <c r="S114" s="102"/>
      <c r="T114" s="102"/>
      <c r="U114" s="102"/>
      <c r="V114" s="102"/>
      <c r="W114" s="102"/>
      <c r="X114" s="102"/>
      <c r="Y114" s="102"/>
      <c r="Z114" s="121"/>
      <c r="AA114" s="102"/>
      <c r="AB114" s="107"/>
      <c r="AC114" s="102"/>
    </row>
    <row r="115">
      <c r="A115" s="107"/>
      <c r="B115" s="113"/>
      <c r="C115" s="224"/>
      <c r="D115" s="224"/>
      <c r="E115" s="107"/>
      <c r="F115" s="107"/>
      <c r="G115" s="107"/>
      <c r="H115" s="251"/>
      <c r="I115" s="102"/>
      <c r="J115" s="102"/>
      <c r="K115" s="102"/>
      <c r="L115" s="102"/>
      <c r="M115" s="102"/>
      <c r="N115" s="102"/>
      <c r="O115" s="102"/>
      <c r="P115" s="144"/>
      <c r="Q115" s="102"/>
      <c r="R115" s="102"/>
      <c r="S115" s="102"/>
      <c r="T115" s="102"/>
      <c r="U115" s="102"/>
      <c r="V115" s="102"/>
      <c r="W115" s="102"/>
      <c r="X115" s="102"/>
      <c r="Y115" s="102"/>
      <c r="Z115" s="121"/>
      <c r="AA115" s="102"/>
      <c r="AB115" s="107"/>
      <c r="AC115" s="102"/>
    </row>
    <row r="116">
      <c r="A116" s="107"/>
      <c r="B116" s="113"/>
      <c r="C116" s="224"/>
      <c r="D116" s="224"/>
      <c r="E116" s="107"/>
      <c r="F116" s="107"/>
      <c r="G116" s="107"/>
      <c r="H116" s="251"/>
      <c r="I116" s="102"/>
      <c r="J116" s="102"/>
      <c r="K116" s="102"/>
      <c r="L116" s="102"/>
      <c r="M116" s="102"/>
      <c r="N116" s="102"/>
      <c r="O116" s="102"/>
      <c r="P116" s="144"/>
      <c r="Q116" s="102"/>
      <c r="R116" s="102"/>
      <c r="S116" s="102"/>
      <c r="T116" s="102"/>
      <c r="U116" s="102"/>
      <c r="V116" s="102"/>
      <c r="W116" s="102"/>
      <c r="X116" s="102"/>
      <c r="Y116" s="102"/>
      <c r="Z116" s="121"/>
      <c r="AA116" s="102"/>
      <c r="AB116" s="107"/>
      <c r="AC116" s="102"/>
    </row>
    <row r="117">
      <c r="A117" s="107"/>
      <c r="B117" s="113"/>
      <c r="C117" s="224"/>
      <c r="D117" s="224"/>
      <c r="E117" s="107"/>
      <c r="F117" s="107"/>
      <c r="G117" s="107"/>
      <c r="H117" s="251"/>
      <c r="I117" s="102"/>
      <c r="J117" s="102"/>
      <c r="K117" s="102"/>
      <c r="L117" s="102"/>
      <c r="M117" s="102"/>
      <c r="N117" s="102"/>
      <c r="O117" s="102"/>
      <c r="P117" s="144"/>
      <c r="Q117" s="102"/>
      <c r="R117" s="102"/>
      <c r="S117" s="102"/>
      <c r="T117" s="102"/>
      <c r="U117" s="102"/>
      <c r="V117" s="102"/>
      <c r="W117" s="102"/>
      <c r="X117" s="102"/>
      <c r="Y117" s="102"/>
      <c r="Z117" s="121"/>
      <c r="AA117" s="102"/>
      <c r="AB117" s="107"/>
      <c r="AC117" s="102"/>
    </row>
    <row r="118">
      <c r="A118" s="107"/>
      <c r="B118" s="113"/>
      <c r="C118" s="224"/>
      <c r="D118" s="224"/>
      <c r="E118" s="107"/>
      <c r="F118" s="107"/>
      <c r="G118" s="107"/>
      <c r="H118" s="251"/>
      <c r="I118" s="102"/>
      <c r="J118" s="102"/>
      <c r="K118" s="102"/>
      <c r="L118" s="102"/>
      <c r="M118" s="102"/>
      <c r="N118" s="102"/>
      <c r="O118" s="102"/>
      <c r="P118" s="144"/>
      <c r="Q118" s="102"/>
      <c r="R118" s="102"/>
      <c r="S118" s="102"/>
      <c r="T118" s="102"/>
      <c r="U118" s="102"/>
      <c r="V118" s="102"/>
      <c r="W118" s="102"/>
      <c r="X118" s="102"/>
      <c r="Y118" s="102"/>
      <c r="Z118" s="121"/>
      <c r="AA118" s="102"/>
      <c r="AB118" s="107"/>
      <c r="AC118" s="102"/>
    </row>
    <row r="119">
      <c r="A119" s="107"/>
      <c r="B119" s="113"/>
      <c r="C119" s="224"/>
      <c r="D119" s="224"/>
      <c r="E119" s="107"/>
      <c r="F119" s="107"/>
      <c r="G119" s="107"/>
      <c r="H119" s="251"/>
      <c r="I119" s="102"/>
      <c r="J119" s="102"/>
      <c r="K119" s="102"/>
      <c r="L119" s="102"/>
      <c r="M119" s="102"/>
      <c r="N119" s="102"/>
      <c r="O119" s="102"/>
      <c r="P119" s="144"/>
      <c r="Q119" s="102"/>
      <c r="R119" s="102"/>
      <c r="S119" s="102"/>
      <c r="T119" s="102"/>
      <c r="U119" s="102"/>
      <c r="V119" s="102"/>
      <c r="W119" s="102"/>
      <c r="X119" s="102"/>
      <c r="Y119" s="102"/>
      <c r="Z119" s="121"/>
      <c r="AA119" s="102"/>
      <c r="AB119" s="107"/>
      <c r="AC119" s="102"/>
    </row>
    <row r="120">
      <c r="A120" s="107"/>
      <c r="B120" s="113"/>
      <c r="C120" s="224"/>
      <c r="D120" s="224"/>
      <c r="E120" s="107"/>
      <c r="F120" s="107"/>
      <c r="G120" s="107"/>
      <c r="H120" s="251"/>
      <c r="I120" s="102"/>
      <c r="J120" s="102"/>
      <c r="K120" s="102"/>
      <c r="L120" s="102"/>
      <c r="M120" s="102"/>
      <c r="N120" s="102"/>
      <c r="O120" s="102"/>
      <c r="P120" s="144"/>
      <c r="Q120" s="102"/>
      <c r="R120" s="102"/>
      <c r="S120" s="102"/>
      <c r="T120" s="102"/>
      <c r="U120" s="102"/>
      <c r="V120" s="102"/>
      <c r="W120" s="102"/>
      <c r="X120" s="102"/>
      <c r="Y120" s="102"/>
      <c r="Z120" s="121"/>
      <c r="AA120" s="102"/>
      <c r="AB120" s="107"/>
      <c r="AC120" s="102"/>
    </row>
    <row r="121">
      <c r="A121" s="107"/>
      <c r="B121" s="113"/>
      <c r="C121" s="224"/>
      <c r="D121" s="224"/>
      <c r="E121" s="107"/>
      <c r="F121" s="107"/>
      <c r="G121" s="107"/>
      <c r="H121" s="251"/>
      <c r="I121" s="102"/>
      <c r="J121" s="102"/>
      <c r="K121" s="102"/>
      <c r="L121" s="102"/>
      <c r="M121" s="102"/>
      <c r="N121" s="102"/>
      <c r="O121" s="102"/>
      <c r="P121" s="144"/>
      <c r="Q121" s="102"/>
      <c r="R121" s="102"/>
      <c r="S121" s="102"/>
      <c r="T121" s="102"/>
      <c r="U121" s="102"/>
      <c r="V121" s="102"/>
      <c r="W121" s="102"/>
      <c r="X121" s="102"/>
      <c r="Y121" s="102"/>
      <c r="Z121" s="121"/>
      <c r="AA121" s="102"/>
      <c r="AB121" s="107"/>
      <c r="AC121" s="102"/>
    </row>
    <row r="122">
      <c r="A122" s="107"/>
      <c r="B122" s="113"/>
      <c r="C122" s="224"/>
      <c r="D122" s="224"/>
      <c r="E122" s="107"/>
      <c r="F122" s="107"/>
      <c r="G122" s="107"/>
      <c r="H122" s="251"/>
      <c r="I122" s="102"/>
      <c r="J122" s="102"/>
      <c r="K122" s="102"/>
      <c r="L122" s="102"/>
      <c r="M122" s="102"/>
      <c r="N122" s="102"/>
      <c r="O122" s="102"/>
      <c r="P122" s="144"/>
      <c r="Q122" s="102"/>
      <c r="R122" s="102"/>
      <c r="S122" s="102"/>
      <c r="T122" s="102"/>
      <c r="U122" s="102"/>
      <c r="V122" s="102"/>
      <c r="W122" s="102"/>
      <c r="X122" s="102"/>
      <c r="Y122" s="102"/>
      <c r="Z122" s="121"/>
      <c r="AA122" s="102"/>
      <c r="AB122" s="107"/>
      <c r="AC122" s="102"/>
    </row>
    <row r="123">
      <c r="A123" s="107"/>
      <c r="B123" s="113"/>
      <c r="C123" s="224"/>
      <c r="D123" s="224"/>
      <c r="E123" s="107"/>
      <c r="F123" s="107"/>
      <c r="G123" s="107"/>
      <c r="H123" s="251"/>
      <c r="I123" s="102"/>
      <c r="J123" s="102"/>
      <c r="K123" s="102"/>
      <c r="L123" s="102"/>
      <c r="M123" s="102"/>
      <c r="N123" s="102"/>
      <c r="O123" s="102"/>
      <c r="P123" s="144"/>
      <c r="Q123" s="102"/>
      <c r="R123" s="102"/>
      <c r="S123" s="102"/>
      <c r="T123" s="102"/>
      <c r="U123" s="102"/>
      <c r="V123" s="102"/>
      <c r="W123" s="102"/>
      <c r="X123" s="102"/>
      <c r="Y123" s="102"/>
      <c r="Z123" s="121"/>
      <c r="AA123" s="102"/>
      <c r="AB123" s="107"/>
      <c r="AC123" s="102"/>
    </row>
    <row r="124">
      <c r="A124" s="107"/>
      <c r="B124" s="113"/>
      <c r="C124" s="224"/>
      <c r="D124" s="224"/>
      <c r="E124" s="107"/>
      <c r="F124" s="107"/>
      <c r="G124" s="107"/>
      <c r="H124" s="251"/>
      <c r="I124" s="102"/>
      <c r="J124" s="102"/>
      <c r="K124" s="102"/>
      <c r="L124" s="102"/>
      <c r="M124" s="102"/>
      <c r="N124" s="102"/>
      <c r="O124" s="102"/>
      <c r="P124" s="144"/>
      <c r="Q124" s="102"/>
      <c r="R124" s="102"/>
      <c r="S124" s="102"/>
      <c r="T124" s="102"/>
      <c r="U124" s="102"/>
      <c r="V124" s="102"/>
      <c r="W124" s="102"/>
      <c r="X124" s="102"/>
      <c r="Y124" s="102"/>
      <c r="Z124" s="121"/>
      <c r="AA124" s="102"/>
      <c r="AB124" s="107"/>
      <c r="AC124" s="102"/>
    </row>
    <row r="125">
      <c r="A125" s="107"/>
      <c r="B125" s="113"/>
      <c r="C125" s="224"/>
      <c r="D125" s="224"/>
      <c r="E125" s="107"/>
      <c r="F125" s="107"/>
      <c r="G125" s="107"/>
      <c r="H125" s="251"/>
      <c r="I125" s="102"/>
      <c r="J125" s="102"/>
      <c r="K125" s="102"/>
      <c r="L125" s="102"/>
      <c r="M125" s="102"/>
      <c r="N125" s="102"/>
      <c r="O125" s="102"/>
      <c r="P125" s="144"/>
      <c r="Q125" s="102"/>
      <c r="R125" s="102"/>
      <c r="S125" s="102"/>
      <c r="T125" s="102"/>
      <c r="U125" s="102"/>
      <c r="V125" s="102"/>
      <c r="W125" s="102"/>
      <c r="X125" s="102"/>
      <c r="Y125" s="102"/>
      <c r="Z125" s="121"/>
      <c r="AA125" s="102"/>
      <c r="AB125" s="107"/>
      <c r="AC125" s="102"/>
    </row>
    <row r="126">
      <c r="A126" s="107"/>
      <c r="B126" s="113"/>
      <c r="C126" s="224"/>
      <c r="D126" s="224"/>
      <c r="E126" s="107"/>
      <c r="F126" s="107"/>
      <c r="G126" s="107"/>
      <c r="H126" s="251"/>
      <c r="I126" s="102"/>
      <c r="J126" s="102"/>
      <c r="K126" s="102"/>
      <c r="L126" s="102"/>
      <c r="M126" s="102"/>
      <c r="N126" s="102"/>
      <c r="O126" s="102"/>
      <c r="P126" s="144"/>
      <c r="Q126" s="102"/>
      <c r="R126" s="102"/>
      <c r="S126" s="102"/>
      <c r="T126" s="102"/>
      <c r="U126" s="102"/>
      <c r="V126" s="102"/>
      <c r="W126" s="102"/>
      <c r="X126" s="102"/>
      <c r="Y126" s="102"/>
      <c r="Z126" s="121"/>
      <c r="AA126" s="102"/>
      <c r="AB126" s="107"/>
      <c r="AC126" s="102"/>
    </row>
    <row r="127">
      <c r="A127" s="107"/>
      <c r="B127" s="113"/>
      <c r="C127" s="224"/>
      <c r="D127" s="224"/>
      <c r="E127" s="107"/>
      <c r="F127" s="107"/>
      <c r="G127" s="107"/>
      <c r="H127" s="251"/>
      <c r="I127" s="102"/>
      <c r="J127" s="102"/>
      <c r="K127" s="102"/>
      <c r="L127" s="102"/>
      <c r="M127" s="102"/>
      <c r="N127" s="102"/>
      <c r="O127" s="102"/>
      <c r="P127" s="144"/>
      <c r="Q127" s="102"/>
      <c r="R127" s="102"/>
      <c r="S127" s="102"/>
      <c r="T127" s="102"/>
      <c r="U127" s="102"/>
      <c r="V127" s="102"/>
      <c r="W127" s="102"/>
      <c r="X127" s="102"/>
      <c r="Y127" s="102"/>
      <c r="Z127" s="121"/>
      <c r="AA127" s="102"/>
      <c r="AB127" s="107"/>
      <c r="AC127" s="102"/>
    </row>
    <row r="128">
      <c r="A128" s="107"/>
      <c r="B128" s="113"/>
      <c r="C128" s="224"/>
      <c r="D128" s="224"/>
      <c r="E128" s="107"/>
      <c r="F128" s="107"/>
      <c r="G128" s="107"/>
      <c r="H128" s="251"/>
      <c r="I128" s="102"/>
      <c r="J128" s="102"/>
      <c r="K128" s="102"/>
      <c r="L128" s="102"/>
      <c r="M128" s="102"/>
      <c r="N128" s="102"/>
      <c r="O128" s="102"/>
      <c r="P128" s="144"/>
      <c r="Q128" s="102"/>
      <c r="R128" s="102"/>
      <c r="S128" s="102"/>
      <c r="T128" s="102"/>
      <c r="U128" s="102"/>
      <c r="V128" s="102"/>
      <c r="W128" s="102"/>
      <c r="X128" s="102"/>
      <c r="Y128" s="102"/>
      <c r="Z128" s="121"/>
      <c r="AA128" s="102"/>
      <c r="AB128" s="107"/>
      <c r="AC128" s="102"/>
    </row>
    <row r="129">
      <c r="A129" s="107"/>
      <c r="B129" s="113"/>
      <c r="C129" s="224"/>
      <c r="D129" s="224"/>
      <c r="E129" s="107"/>
      <c r="F129" s="107"/>
      <c r="G129" s="107"/>
      <c r="H129" s="251"/>
      <c r="I129" s="102"/>
      <c r="J129" s="102"/>
      <c r="K129" s="102"/>
      <c r="L129" s="102"/>
      <c r="M129" s="102"/>
      <c r="N129" s="102"/>
      <c r="O129" s="102"/>
      <c r="P129" s="144"/>
      <c r="Q129" s="102"/>
      <c r="R129" s="102"/>
      <c r="S129" s="102"/>
      <c r="T129" s="102"/>
      <c r="U129" s="102"/>
      <c r="V129" s="102"/>
      <c r="W129" s="102"/>
      <c r="X129" s="102"/>
      <c r="Y129" s="102"/>
      <c r="Z129" s="121"/>
      <c r="AA129" s="102"/>
      <c r="AB129" s="107"/>
      <c r="AC129" s="102"/>
    </row>
    <row r="130">
      <c r="A130" s="107"/>
      <c r="B130" s="113"/>
      <c r="C130" s="224"/>
      <c r="D130" s="224"/>
      <c r="E130" s="107"/>
      <c r="F130" s="107"/>
      <c r="G130" s="107"/>
      <c r="H130" s="251"/>
      <c r="I130" s="102"/>
      <c r="J130" s="102"/>
      <c r="K130" s="102"/>
      <c r="L130" s="102"/>
      <c r="M130" s="102"/>
      <c r="N130" s="102"/>
      <c r="O130" s="102"/>
      <c r="P130" s="144"/>
      <c r="Q130" s="102"/>
      <c r="R130" s="102"/>
      <c r="S130" s="102"/>
      <c r="T130" s="102"/>
      <c r="U130" s="102"/>
      <c r="V130" s="102"/>
      <c r="W130" s="102"/>
      <c r="X130" s="102"/>
      <c r="Y130" s="102"/>
      <c r="Z130" s="121"/>
      <c r="AA130" s="102"/>
      <c r="AB130" s="107"/>
      <c r="AC130" s="102"/>
    </row>
    <row r="131">
      <c r="A131" s="107"/>
      <c r="B131" s="113"/>
      <c r="C131" s="224"/>
      <c r="D131" s="224"/>
      <c r="E131" s="107"/>
      <c r="F131" s="107"/>
      <c r="G131" s="107"/>
      <c r="H131" s="251"/>
      <c r="I131" s="102"/>
      <c r="J131" s="102"/>
      <c r="K131" s="102"/>
      <c r="L131" s="102"/>
      <c r="M131" s="102"/>
      <c r="N131" s="102"/>
      <c r="O131" s="102"/>
      <c r="P131" s="144"/>
      <c r="Q131" s="102"/>
      <c r="R131" s="102"/>
      <c r="S131" s="102"/>
      <c r="T131" s="102"/>
      <c r="U131" s="102"/>
      <c r="V131" s="102"/>
      <c r="W131" s="102"/>
      <c r="X131" s="102"/>
      <c r="Y131" s="102"/>
      <c r="Z131" s="121"/>
      <c r="AA131" s="102"/>
      <c r="AB131" s="107"/>
      <c r="AC131" s="102"/>
    </row>
    <row r="132">
      <c r="A132" s="107"/>
      <c r="B132" s="113"/>
      <c r="C132" s="224"/>
      <c r="D132" s="224"/>
      <c r="E132" s="107"/>
      <c r="F132" s="107"/>
      <c r="G132" s="107"/>
      <c r="H132" s="251"/>
      <c r="I132" s="102"/>
      <c r="J132" s="102"/>
      <c r="K132" s="102"/>
      <c r="L132" s="102"/>
      <c r="M132" s="102"/>
      <c r="N132" s="102"/>
      <c r="O132" s="102"/>
      <c r="P132" s="144"/>
      <c r="Q132" s="102"/>
      <c r="R132" s="102"/>
      <c r="S132" s="102"/>
      <c r="T132" s="102"/>
      <c r="U132" s="102"/>
      <c r="V132" s="102"/>
      <c r="W132" s="102"/>
      <c r="X132" s="102"/>
      <c r="Y132" s="102"/>
      <c r="Z132" s="121"/>
      <c r="AA132" s="102"/>
      <c r="AB132" s="107"/>
      <c r="AC132" s="102"/>
    </row>
    <row r="133">
      <c r="A133" s="107"/>
      <c r="B133" s="113"/>
      <c r="C133" s="224"/>
      <c r="D133" s="224"/>
      <c r="E133" s="107"/>
      <c r="F133" s="107"/>
      <c r="G133" s="107"/>
      <c r="H133" s="251"/>
      <c r="I133" s="102"/>
      <c r="J133" s="102"/>
      <c r="K133" s="102"/>
      <c r="L133" s="102"/>
      <c r="M133" s="102"/>
      <c r="N133" s="102"/>
      <c r="O133" s="102"/>
      <c r="P133" s="144"/>
      <c r="Q133" s="102"/>
      <c r="R133" s="102"/>
      <c r="S133" s="102"/>
      <c r="T133" s="102"/>
      <c r="U133" s="102"/>
      <c r="V133" s="102"/>
      <c r="W133" s="102"/>
      <c r="X133" s="102"/>
      <c r="Y133" s="102"/>
      <c r="Z133" s="121"/>
      <c r="AA133" s="102"/>
      <c r="AB133" s="107"/>
      <c r="AC133" s="102"/>
    </row>
    <row r="134">
      <c r="A134" s="107"/>
      <c r="B134" s="113"/>
      <c r="C134" s="224"/>
      <c r="D134" s="224"/>
      <c r="E134" s="107"/>
      <c r="F134" s="107"/>
      <c r="G134" s="107"/>
      <c r="H134" s="251"/>
      <c r="I134" s="102"/>
      <c r="J134" s="102"/>
      <c r="K134" s="102"/>
      <c r="L134" s="102"/>
      <c r="M134" s="102"/>
      <c r="N134" s="102"/>
      <c r="O134" s="102"/>
      <c r="P134" s="144"/>
      <c r="Q134" s="102"/>
      <c r="R134" s="102"/>
      <c r="S134" s="102"/>
      <c r="T134" s="102"/>
      <c r="U134" s="102"/>
      <c r="V134" s="102"/>
      <c r="W134" s="102"/>
      <c r="X134" s="102"/>
      <c r="Y134" s="102"/>
      <c r="Z134" s="121"/>
      <c r="AA134" s="102"/>
      <c r="AB134" s="107"/>
      <c r="AC134" s="102"/>
    </row>
    <row r="135">
      <c r="A135" s="107"/>
      <c r="B135" s="113"/>
      <c r="C135" s="224"/>
      <c r="D135" s="224"/>
      <c r="E135" s="107"/>
      <c r="F135" s="107"/>
      <c r="G135" s="107"/>
      <c r="H135" s="251"/>
      <c r="I135" s="102"/>
      <c r="J135" s="102"/>
      <c r="K135" s="102"/>
      <c r="L135" s="102"/>
      <c r="M135" s="102"/>
      <c r="N135" s="102"/>
      <c r="O135" s="102"/>
      <c r="P135" s="144"/>
      <c r="Q135" s="102"/>
      <c r="R135" s="102"/>
      <c r="S135" s="102"/>
      <c r="T135" s="102"/>
      <c r="U135" s="102"/>
      <c r="V135" s="102"/>
      <c r="W135" s="102"/>
      <c r="X135" s="102"/>
      <c r="Y135" s="102"/>
      <c r="Z135" s="121"/>
      <c r="AA135" s="102"/>
      <c r="AB135" s="107"/>
      <c r="AC135" s="102"/>
    </row>
    <row r="136">
      <c r="A136" s="107"/>
      <c r="B136" s="113"/>
      <c r="C136" s="224"/>
      <c r="D136" s="224"/>
      <c r="E136" s="107"/>
      <c r="F136" s="107"/>
      <c r="G136" s="107"/>
      <c r="H136" s="251"/>
      <c r="I136" s="102"/>
      <c r="J136" s="102"/>
      <c r="K136" s="102"/>
      <c r="L136" s="102"/>
      <c r="M136" s="102"/>
      <c r="N136" s="102"/>
      <c r="O136" s="102"/>
      <c r="P136" s="144"/>
      <c r="Q136" s="102"/>
      <c r="R136" s="102"/>
      <c r="S136" s="102"/>
      <c r="T136" s="102"/>
      <c r="U136" s="102"/>
      <c r="V136" s="102"/>
      <c r="W136" s="102"/>
      <c r="X136" s="102"/>
      <c r="Y136" s="102"/>
      <c r="Z136" s="121"/>
      <c r="AA136" s="102"/>
      <c r="AB136" s="107"/>
      <c r="AC136" s="102"/>
    </row>
    <row r="137">
      <c r="A137" s="107"/>
      <c r="B137" s="113"/>
      <c r="C137" s="224"/>
      <c r="D137" s="224"/>
      <c r="E137" s="107"/>
      <c r="F137" s="107"/>
      <c r="G137" s="107"/>
      <c r="H137" s="251"/>
      <c r="I137" s="102"/>
      <c r="J137" s="102"/>
      <c r="K137" s="102"/>
      <c r="L137" s="102"/>
      <c r="M137" s="102"/>
      <c r="N137" s="102"/>
      <c r="O137" s="102"/>
      <c r="P137" s="144"/>
      <c r="Q137" s="102"/>
      <c r="R137" s="102"/>
      <c r="S137" s="102"/>
      <c r="T137" s="102"/>
      <c r="U137" s="102"/>
      <c r="V137" s="102"/>
      <c r="W137" s="102"/>
      <c r="X137" s="102"/>
      <c r="Y137" s="102"/>
      <c r="Z137" s="121"/>
      <c r="AA137" s="102"/>
      <c r="AB137" s="107"/>
      <c r="AC137" s="102"/>
    </row>
    <row r="138">
      <c r="A138" s="107"/>
      <c r="B138" s="113"/>
      <c r="C138" s="224"/>
      <c r="D138" s="224"/>
      <c r="E138" s="107"/>
      <c r="F138" s="107"/>
      <c r="G138" s="107"/>
      <c r="H138" s="251"/>
      <c r="I138" s="102"/>
      <c r="J138" s="102"/>
      <c r="K138" s="102"/>
      <c r="L138" s="102"/>
      <c r="M138" s="102"/>
      <c r="N138" s="102"/>
      <c r="O138" s="102"/>
      <c r="P138" s="144"/>
      <c r="Q138" s="102"/>
      <c r="R138" s="102"/>
      <c r="S138" s="102"/>
      <c r="T138" s="102"/>
      <c r="U138" s="102"/>
      <c r="V138" s="102"/>
      <c r="W138" s="102"/>
      <c r="X138" s="102"/>
      <c r="Y138" s="102"/>
      <c r="Z138" s="121"/>
      <c r="AA138" s="102"/>
      <c r="AB138" s="107"/>
      <c r="AC138" s="102"/>
    </row>
    <row r="139">
      <c r="A139" s="107"/>
      <c r="B139" s="113"/>
      <c r="C139" s="224"/>
      <c r="D139" s="224"/>
      <c r="E139" s="107"/>
      <c r="F139" s="107"/>
      <c r="G139" s="107"/>
      <c r="H139" s="251"/>
      <c r="I139" s="102"/>
      <c r="J139" s="102"/>
      <c r="K139" s="102"/>
      <c r="L139" s="102"/>
      <c r="M139" s="102"/>
      <c r="N139" s="102"/>
      <c r="O139" s="102"/>
      <c r="P139" s="144"/>
      <c r="Q139" s="102"/>
      <c r="R139" s="102"/>
      <c r="S139" s="102"/>
      <c r="T139" s="102"/>
      <c r="U139" s="102"/>
      <c r="V139" s="102"/>
      <c r="W139" s="102"/>
      <c r="X139" s="102"/>
      <c r="Y139" s="102"/>
      <c r="Z139" s="121"/>
      <c r="AA139" s="102"/>
      <c r="AB139" s="107"/>
      <c r="AC139" s="102"/>
    </row>
    <row r="140">
      <c r="A140" s="107"/>
      <c r="B140" s="113"/>
      <c r="C140" s="224"/>
      <c r="D140" s="224"/>
      <c r="E140" s="107"/>
      <c r="F140" s="107"/>
      <c r="G140" s="107"/>
      <c r="H140" s="251"/>
      <c r="I140" s="102"/>
      <c r="J140" s="102"/>
      <c r="K140" s="102"/>
      <c r="L140" s="102"/>
      <c r="M140" s="102"/>
      <c r="N140" s="102"/>
      <c r="O140" s="102"/>
      <c r="P140" s="144"/>
      <c r="Q140" s="102"/>
      <c r="R140" s="102"/>
      <c r="S140" s="102"/>
      <c r="T140" s="102"/>
      <c r="U140" s="102"/>
      <c r="V140" s="102"/>
      <c r="W140" s="102"/>
      <c r="X140" s="102"/>
      <c r="Y140" s="102"/>
      <c r="Z140" s="121"/>
      <c r="AA140" s="102"/>
      <c r="AB140" s="107"/>
      <c r="AC140" s="102"/>
    </row>
    <row r="141">
      <c r="A141" s="107"/>
      <c r="B141" s="113"/>
      <c r="C141" s="224"/>
      <c r="D141" s="224"/>
      <c r="E141" s="107"/>
      <c r="F141" s="107"/>
      <c r="G141" s="107"/>
      <c r="H141" s="251"/>
      <c r="I141" s="102"/>
      <c r="J141" s="102"/>
      <c r="K141" s="102"/>
      <c r="L141" s="102"/>
      <c r="M141" s="102"/>
      <c r="N141" s="102"/>
      <c r="O141" s="102"/>
      <c r="P141" s="144"/>
      <c r="Q141" s="102"/>
      <c r="R141" s="102"/>
      <c r="S141" s="102"/>
      <c r="T141" s="102"/>
      <c r="U141" s="102"/>
      <c r="V141" s="102"/>
      <c r="W141" s="102"/>
      <c r="X141" s="102"/>
      <c r="Y141" s="102"/>
      <c r="Z141" s="121"/>
      <c r="AA141" s="102"/>
      <c r="AB141" s="107"/>
      <c r="AC141" s="102"/>
    </row>
    <row r="142">
      <c r="A142" s="107"/>
      <c r="B142" s="113"/>
      <c r="C142" s="224"/>
      <c r="D142" s="224"/>
      <c r="E142" s="107"/>
      <c r="F142" s="107"/>
      <c r="G142" s="107"/>
      <c r="H142" s="251"/>
      <c r="I142" s="102"/>
      <c r="J142" s="102"/>
      <c r="K142" s="102"/>
      <c r="L142" s="102"/>
      <c r="M142" s="102"/>
      <c r="N142" s="102"/>
      <c r="O142" s="102"/>
      <c r="P142" s="144"/>
      <c r="Q142" s="102"/>
      <c r="R142" s="102"/>
      <c r="S142" s="102"/>
      <c r="T142" s="102"/>
      <c r="U142" s="102"/>
      <c r="V142" s="102"/>
      <c r="W142" s="102"/>
      <c r="X142" s="102"/>
      <c r="Y142" s="102"/>
      <c r="Z142" s="121"/>
      <c r="AA142" s="102"/>
      <c r="AB142" s="107"/>
      <c r="AC142" s="102"/>
    </row>
    <row r="143">
      <c r="A143" s="107"/>
      <c r="B143" s="113"/>
      <c r="C143" s="224"/>
      <c r="D143" s="224"/>
      <c r="E143" s="107"/>
      <c r="F143" s="107"/>
      <c r="G143" s="107"/>
      <c r="H143" s="251"/>
      <c r="I143" s="102"/>
      <c r="J143" s="102"/>
      <c r="K143" s="102"/>
      <c r="L143" s="102"/>
      <c r="M143" s="102"/>
      <c r="N143" s="102"/>
      <c r="O143" s="102"/>
      <c r="P143" s="144"/>
      <c r="Q143" s="102"/>
      <c r="R143" s="102"/>
      <c r="S143" s="102"/>
      <c r="T143" s="102"/>
      <c r="U143" s="102"/>
      <c r="V143" s="102"/>
      <c r="W143" s="102"/>
      <c r="X143" s="102"/>
      <c r="Y143" s="102"/>
      <c r="Z143" s="121"/>
      <c r="AA143" s="102"/>
      <c r="AB143" s="107"/>
      <c r="AC143" s="102"/>
    </row>
    <row r="144">
      <c r="A144" s="107"/>
      <c r="B144" s="113"/>
      <c r="C144" s="224"/>
      <c r="D144" s="224"/>
      <c r="E144" s="107"/>
      <c r="F144" s="107"/>
      <c r="G144" s="107"/>
      <c r="H144" s="251"/>
      <c r="I144" s="102"/>
      <c r="J144" s="102"/>
      <c r="K144" s="102"/>
      <c r="L144" s="102"/>
      <c r="M144" s="102"/>
      <c r="N144" s="102"/>
      <c r="O144" s="102"/>
      <c r="P144" s="144"/>
      <c r="Q144" s="102"/>
      <c r="R144" s="102"/>
      <c r="S144" s="102"/>
      <c r="T144" s="102"/>
      <c r="U144" s="102"/>
      <c r="V144" s="102"/>
      <c r="W144" s="102"/>
      <c r="X144" s="102"/>
      <c r="Y144" s="102"/>
      <c r="Z144" s="121"/>
      <c r="AA144" s="102"/>
      <c r="AB144" s="107"/>
      <c r="AC144" s="102"/>
    </row>
    <row r="145">
      <c r="A145" s="107"/>
      <c r="B145" s="113"/>
      <c r="C145" s="224"/>
      <c r="D145" s="224"/>
      <c r="E145" s="107"/>
      <c r="F145" s="107"/>
      <c r="G145" s="107"/>
      <c r="H145" s="251"/>
      <c r="I145" s="102"/>
      <c r="J145" s="102"/>
      <c r="K145" s="102"/>
      <c r="L145" s="102"/>
      <c r="M145" s="102"/>
      <c r="N145" s="102"/>
      <c r="O145" s="102"/>
      <c r="P145" s="144"/>
      <c r="Q145" s="102"/>
      <c r="R145" s="102"/>
      <c r="S145" s="102"/>
      <c r="T145" s="102"/>
      <c r="U145" s="102"/>
      <c r="V145" s="102"/>
      <c r="W145" s="102"/>
      <c r="X145" s="102"/>
      <c r="Y145" s="102"/>
      <c r="Z145" s="121"/>
      <c r="AA145" s="102"/>
      <c r="AB145" s="107"/>
      <c r="AC145" s="102"/>
    </row>
    <row r="146">
      <c r="A146" s="107"/>
      <c r="B146" s="113"/>
      <c r="C146" s="224"/>
      <c r="D146" s="224"/>
      <c r="E146" s="107"/>
      <c r="F146" s="107"/>
      <c r="G146" s="107"/>
      <c r="H146" s="251"/>
      <c r="I146" s="102"/>
      <c r="J146" s="102"/>
      <c r="K146" s="102"/>
      <c r="L146" s="102"/>
      <c r="M146" s="102"/>
      <c r="N146" s="102"/>
      <c r="O146" s="102"/>
      <c r="P146" s="144"/>
      <c r="Q146" s="102"/>
      <c r="R146" s="102"/>
      <c r="S146" s="102"/>
      <c r="T146" s="102"/>
      <c r="U146" s="102"/>
      <c r="V146" s="102"/>
      <c r="W146" s="102"/>
      <c r="X146" s="102"/>
      <c r="Y146" s="102"/>
      <c r="Z146" s="121"/>
      <c r="AA146" s="102"/>
      <c r="AB146" s="107"/>
      <c r="AC146" s="102"/>
    </row>
    <row r="147">
      <c r="A147" s="107"/>
      <c r="B147" s="113"/>
      <c r="C147" s="224"/>
      <c r="D147" s="224"/>
      <c r="E147" s="107"/>
      <c r="F147" s="107"/>
      <c r="G147" s="107"/>
      <c r="H147" s="251"/>
      <c r="I147" s="102"/>
      <c r="J147" s="102"/>
      <c r="K147" s="102"/>
      <c r="L147" s="102"/>
      <c r="M147" s="102"/>
      <c r="N147" s="102"/>
      <c r="O147" s="102"/>
      <c r="P147" s="144"/>
      <c r="Q147" s="102"/>
      <c r="R147" s="102"/>
      <c r="S147" s="102"/>
      <c r="T147" s="102"/>
      <c r="U147" s="102"/>
      <c r="V147" s="102"/>
      <c r="W147" s="102"/>
      <c r="X147" s="102"/>
      <c r="Y147" s="102"/>
      <c r="Z147" s="121"/>
      <c r="AA147" s="102"/>
      <c r="AB147" s="107"/>
      <c r="AC147" s="102"/>
    </row>
    <row r="148">
      <c r="A148" s="107"/>
      <c r="B148" s="113"/>
      <c r="C148" s="224"/>
      <c r="D148" s="224"/>
      <c r="E148" s="107"/>
      <c r="F148" s="107"/>
      <c r="G148" s="107"/>
      <c r="H148" s="251"/>
      <c r="I148" s="102"/>
      <c r="J148" s="102"/>
      <c r="K148" s="102"/>
      <c r="L148" s="102"/>
      <c r="M148" s="102"/>
      <c r="N148" s="102"/>
      <c r="O148" s="102"/>
      <c r="P148" s="144"/>
      <c r="Q148" s="102"/>
      <c r="R148" s="102"/>
      <c r="S148" s="102"/>
      <c r="T148" s="102"/>
      <c r="U148" s="102"/>
      <c r="V148" s="102"/>
      <c r="W148" s="102"/>
      <c r="X148" s="102"/>
      <c r="Y148" s="102"/>
      <c r="Z148" s="121"/>
      <c r="AA148" s="102"/>
      <c r="AB148" s="107"/>
      <c r="AC148" s="102"/>
    </row>
    <row r="149">
      <c r="A149" s="107"/>
      <c r="B149" s="113"/>
      <c r="C149" s="224"/>
      <c r="D149" s="224"/>
      <c r="E149" s="107"/>
      <c r="F149" s="107"/>
      <c r="G149" s="107"/>
      <c r="H149" s="251"/>
      <c r="I149" s="102"/>
      <c r="J149" s="102"/>
      <c r="K149" s="102"/>
      <c r="L149" s="102"/>
      <c r="M149" s="102"/>
      <c r="N149" s="102"/>
      <c r="O149" s="102"/>
      <c r="P149" s="144"/>
      <c r="Q149" s="102"/>
      <c r="R149" s="102"/>
      <c r="S149" s="102"/>
      <c r="T149" s="102"/>
      <c r="U149" s="102"/>
      <c r="V149" s="102"/>
      <c r="W149" s="102"/>
      <c r="X149" s="102"/>
      <c r="Y149" s="102"/>
      <c r="Z149" s="121"/>
      <c r="AA149" s="102"/>
      <c r="AB149" s="107"/>
      <c r="AC149" s="102"/>
    </row>
    <row r="150">
      <c r="A150" s="107"/>
      <c r="B150" s="113"/>
      <c r="C150" s="224"/>
      <c r="D150" s="224"/>
      <c r="E150" s="107"/>
      <c r="F150" s="107"/>
      <c r="G150" s="107"/>
      <c r="H150" s="251"/>
      <c r="I150" s="102"/>
      <c r="J150" s="102"/>
      <c r="K150" s="102"/>
      <c r="L150" s="102"/>
      <c r="M150" s="102"/>
      <c r="N150" s="102"/>
      <c r="O150" s="102"/>
      <c r="P150" s="144"/>
      <c r="Q150" s="102"/>
      <c r="R150" s="102"/>
      <c r="S150" s="102"/>
      <c r="T150" s="102"/>
      <c r="U150" s="102"/>
      <c r="V150" s="102"/>
      <c r="W150" s="102"/>
      <c r="X150" s="102"/>
      <c r="Y150" s="102"/>
      <c r="Z150" s="121"/>
      <c r="AA150" s="102"/>
      <c r="AB150" s="107"/>
      <c r="AC150" s="102"/>
    </row>
    <row r="151">
      <c r="A151" s="107"/>
      <c r="B151" s="113"/>
      <c r="C151" s="224"/>
      <c r="D151" s="224"/>
      <c r="E151" s="107"/>
      <c r="F151" s="107"/>
      <c r="G151" s="107"/>
      <c r="H151" s="251"/>
      <c r="I151" s="102"/>
      <c r="J151" s="102"/>
      <c r="K151" s="102"/>
      <c r="L151" s="102"/>
      <c r="M151" s="102"/>
      <c r="N151" s="102"/>
      <c r="O151" s="102"/>
      <c r="P151" s="144"/>
      <c r="Q151" s="102"/>
      <c r="R151" s="102"/>
      <c r="S151" s="102"/>
      <c r="T151" s="102"/>
      <c r="U151" s="102"/>
      <c r="V151" s="102"/>
      <c r="W151" s="102"/>
      <c r="X151" s="102"/>
      <c r="Y151" s="102"/>
      <c r="Z151" s="121"/>
      <c r="AA151" s="102"/>
      <c r="AB151" s="107"/>
      <c r="AC151" s="102"/>
    </row>
    <row r="152">
      <c r="A152" s="107"/>
      <c r="B152" s="113"/>
      <c r="C152" s="224"/>
      <c r="D152" s="224"/>
      <c r="E152" s="107"/>
      <c r="F152" s="107"/>
      <c r="G152" s="107"/>
      <c r="H152" s="251"/>
      <c r="I152" s="102"/>
      <c r="J152" s="102"/>
      <c r="K152" s="102"/>
      <c r="L152" s="102"/>
      <c r="M152" s="102"/>
      <c r="N152" s="102"/>
      <c r="O152" s="102"/>
      <c r="P152" s="144"/>
      <c r="Q152" s="102"/>
      <c r="R152" s="102"/>
      <c r="S152" s="102"/>
      <c r="T152" s="102"/>
      <c r="U152" s="102"/>
      <c r="V152" s="102"/>
      <c r="W152" s="102"/>
      <c r="X152" s="102"/>
      <c r="Y152" s="102"/>
      <c r="Z152" s="121"/>
      <c r="AA152" s="102"/>
      <c r="AB152" s="107"/>
      <c r="AC152" s="102"/>
    </row>
    <row r="153">
      <c r="A153" s="107"/>
      <c r="B153" s="113"/>
      <c r="C153" s="224"/>
      <c r="D153" s="224"/>
      <c r="E153" s="107"/>
      <c r="F153" s="107"/>
      <c r="G153" s="107"/>
      <c r="H153" s="251"/>
      <c r="I153" s="102"/>
      <c r="J153" s="102"/>
      <c r="K153" s="102"/>
      <c r="L153" s="102"/>
      <c r="M153" s="102"/>
      <c r="N153" s="102"/>
      <c r="O153" s="102"/>
      <c r="P153" s="144"/>
      <c r="Q153" s="102"/>
      <c r="R153" s="102"/>
      <c r="S153" s="102"/>
      <c r="T153" s="102"/>
      <c r="U153" s="102"/>
      <c r="V153" s="102"/>
      <c r="W153" s="102"/>
      <c r="X153" s="102"/>
      <c r="Y153" s="102"/>
      <c r="Z153" s="121"/>
      <c r="AA153" s="102"/>
      <c r="AB153" s="107"/>
      <c r="AC153" s="102"/>
    </row>
    <row r="154">
      <c r="A154" s="107"/>
      <c r="B154" s="113"/>
      <c r="C154" s="224"/>
      <c r="D154" s="224"/>
      <c r="E154" s="107"/>
      <c r="F154" s="107"/>
      <c r="G154" s="107"/>
      <c r="H154" s="251"/>
      <c r="I154" s="102"/>
      <c r="J154" s="102"/>
      <c r="K154" s="102"/>
      <c r="L154" s="102"/>
      <c r="M154" s="102"/>
      <c r="N154" s="102"/>
      <c r="O154" s="102"/>
      <c r="P154" s="144"/>
      <c r="Q154" s="102"/>
      <c r="R154" s="102"/>
      <c r="S154" s="102"/>
      <c r="T154" s="102"/>
      <c r="U154" s="102"/>
      <c r="V154" s="102"/>
      <c r="W154" s="102"/>
      <c r="X154" s="102"/>
      <c r="Y154" s="102"/>
      <c r="Z154" s="121"/>
      <c r="AA154" s="102"/>
      <c r="AB154" s="107"/>
      <c r="AC154" s="102"/>
    </row>
    <row r="155">
      <c r="A155" s="107"/>
      <c r="B155" s="113"/>
      <c r="C155" s="224"/>
      <c r="D155" s="224"/>
      <c r="E155" s="107"/>
      <c r="F155" s="107"/>
      <c r="G155" s="107"/>
      <c r="H155" s="251"/>
      <c r="I155" s="102"/>
      <c r="J155" s="102"/>
      <c r="K155" s="102"/>
      <c r="L155" s="102"/>
      <c r="M155" s="102"/>
      <c r="N155" s="102"/>
      <c r="O155" s="102"/>
      <c r="P155" s="144"/>
      <c r="Q155" s="102"/>
      <c r="R155" s="102"/>
      <c r="S155" s="102"/>
      <c r="T155" s="102"/>
      <c r="U155" s="102"/>
      <c r="V155" s="102"/>
      <c r="W155" s="102"/>
      <c r="X155" s="102"/>
      <c r="Y155" s="102"/>
      <c r="Z155" s="121"/>
      <c r="AA155" s="102"/>
      <c r="AB155" s="107"/>
      <c r="AC155" s="102"/>
    </row>
    <row r="156">
      <c r="A156" s="107"/>
      <c r="B156" s="113"/>
      <c r="C156" s="224"/>
      <c r="D156" s="224"/>
      <c r="E156" s="107"/>
      <c r="F156" s="107"/>
      <c r="G156" s="107"/>
      <c r="H156" s="251"/>
      <c r="I156" s="102"/>
      <c r="J156" s="102"/>
      <c r="K156" s="102"/>
      <c r="L156" s="102"/>
      <c r="M156" s="102"/>
      <c r="N156" s="102"/>
      <c r="O156" s="102"/>
      <c r="P156" s="144"/>
      <c r="Q156" s="102"/>
      <c r="R156" s="102"/>
      <c r="S156" s="102"/>
      <c r="T156" s="102"/>
      <c r="U156" s="102"/>
      <c r="V156" s="102"/>
      <c r="W156" s="102"/>
      <c r="X156" s="102"/>
      <c r="Y156" s="102"/>
      <c r="Z156" s="121"/>
      <c r="AA156" s="102"/>
      <c r="AB156" s="107"/>
      <c r="AC156" s="102"/>
    </row>
    <row r="157">
      <c r="A157" s="107"/>
      <c r="B157" s="113"/>
      <c r="C157" s="224"/>
      <c r="D157" s="224"/>
      <c r="E157" s="107"/>
      <c r="F157" s="107"/>
      <c r="G157" s="107"/>
      <c r="H157" s="251"/>
      <c r="I157" s="102"/>
      <c r="J157" s="102"/>
      <c r="K157" s="102"/>
      <c r="L157" s="102"/>
      <c r="M157" s="102"/>
      <c r="N157" s="102"/>
      <c r="O157" s="102"/>
      <c r="P157" s="144"/>
      <c r="Q157" s="102"/>
      <c r="R157" s="102"/>
      <c r="S157" s="102"/>
      <c r="T157" s="102"/>
      <c r="U157" s="102"/>
      <c r="V157" s="102"/>
      <c r="W157" s="102"/>
      <c r="X157" s="102"/>
      <c r="Y157" s="102"/>
      <c r="Z157" s="121"/>
      <c r="AA157" s="102"/>
      <c r="AB157" s="107"/>
      <c r="AC157" s="102"/>
    </row>
    <row r="158">
      <c r="A158" s="107"/>
      <c r="B158" s="113"/>
      <c r="C158" s="224"/>
      <c r="D158" s="224"/>
      <c r="E158" s="107"/>
      <c r="F158" s="107"/>
      <c r="G158" s="107"/>
      <c r="H158" s="251"/>
      <c r="I158" s="102"/>
      <c r="J158" s="102"/>
      <c r="K158" s="102"/>
      <c r="L158" s="102"/>
      <c r="M158" s="102"/>
      <c r="N158" s="102"/>
      <c r="O158" s="102"/>
      <c r="P158" s="144"/>
      <c r="Q158" s="102"/>
      <c r="R158" s="102"/>
      <c r="S158" s="102"/>
      <c r="T158" s="102"/>
      <c r="U158" s="102"/>
      <c r="V158" s="102"/>
      <c r="W158" s="102"/>
      <c r="X158" s="102"/>
      <c r="Y158" s="102"/>
      <c r="Z158" s="121"/>
      <c r="AA158" s="102"/>
      <c r="AB158" s="107"/>
      <c r="AC158" s="102"/>
    </row>
    <row r="159">
      <c r="A159" s="107"/>
      <c r="B159" s="113"/>
      <c r="C159" s="224"/>
      <c r="D159" s="224"/>
      <c r="E159" s="107"/>
      <c r="F159" s="107"/>
      <c r="G159" s="107"/>
      <c r="H159" s="251"/>
      <c r="I159" s="102"/>
      <c r="J159" s="102"/>
      <c r="K159" s="102"/>
      <c r="L159" s="102"/>
      <c r="M159" s="102"/>
      <c r="N159" s="102"/>
      <c r="O159" s="102"/>
      <c r="P159" s="144"/>
      <c r="Q159" s="102"/>
      <c r="R159" s="102"/>
      <c r="S159" s="102"/>
      <c r="T159" s="102"/>
      <c r="U159" s="102"/>
      <c r="V159" s="102"/>
      <c r="W159" s="102"/>
      <c r="X159" s="102"/>
      <c r="Y159" s="102"/>
      <c r="Z159" s="121"/>
      <c r="AA159" s="102"/>
      <c r="AB159" s="107"/>
      <c r="AC159" s="102"/>
    </row>
    <row r="160">
      <c r="A160" s="107"/>
      <c r="B160" s="113"/>
      <c r="C160" s="224"/>
      <c r="D160" s="224"/>
      <c r="E160" s="107"/>
      <c r="F160" s="107"/>
      <c r="G160" s="107"/>
      <c r="H160" s="251"/>
      <c r="I160" s="102"/>
      <c r="J160" s="102"/>
      <c r="K160" s="102"/>
      <c r="L160" s="102"/>
      <c r="M160" s="102"/>
      <c r="N160" s="102"/>
      <c r="O160" s="102"/>
      <c r="P160" s="144"/>
      <c r="Q160" s="102"/>
      <c r="R160" s="102"/>
      <c r="S160" s="102"/>
      <c r="T160" s="102"/>
      <c r="U160" s="102"/>
      <c r="V160" s="102"/>
      <c r="W160" s="102"/>
      <c r="X160" s="102"/>
      <c r="Y160" s="102"/>
      <c r="Z160" s="121"/>
      <c r="AA160" s="102"/>
      <c r="AB160" s="107"/>
      <c r="AC160" s="102"/>
    </row>
    <row r="161">
      <c r="A161" s="107"/>
      <c r="B161" s="113"/>
      <c r="C161" s="224"/>
      <c r="D161" s="224"/>
      <c r="E161" s="107"/>
      <c r="F161" s="107"/>
      <c r="G161" s="107"/>
      <c r="H161" s="251"/>
      <c r="I161" s="102"/>
      <c r="J161" s="102"/>
      <c r="K161" s="102"/>
      <c r="L161" s="102"/>
      <c r="M161" s="102"/>
      <c r="N161" s="102"/>
      <c r="O161" s="102"/>
      <c r="P161" s="144"/>
      <c r="Q161" s="102"/>
      <c r="R161" s="102"/>
      <c r="S161" s="102"/>
      <c r="T161" s="102"/>
      <c r="U161" s="102"/>
      <c r="V161" s="102"/>
      <c r="W161" s="102"/>
      <c r="X161" s="102"/>
      <c r="Y161" s="102"/>
      <c r="Z161" s="121"/>
      <c r="AA161" s="102"/>
      <c r="AB161" s="107"/>
      <c r="AC161" s="102"/>
    </row>
    <row r="162">
      <c r="A162" s="107"/>
      <c r="B162" s="113"/>
      <c r="C162" s="224"/>
      <c r="D162" s="224"/>
      <c r="E162" s="107"/>
      <c r="F162" s="107"/>
      <c r="G162" s="107"/>
      <c r="H162" s="251"/>
      <c r="I162" s="102"/>
      <c r="J162" s="102"/>
      <c r="K162" s="102"/>
      <c r="L162" s="102"/>
      <c r="M162" s="102"/>
      <c r="N162" s="102"/>
      <c r="O162" s="102"/>
      <c r="P162" s="144"/>
      <c r="Q162" s="102"/>
      <c r="R162" s="102"/>
      <c r="S162" s="102"/>
      <c r="T162" s="102"/>
      <c r="U162" s="102"/>
      <c r="V162" s="102"/>
      <c r="W162" s="102"/>
      <c r="X162" s="102"/>
      <c r="Y162" s="102"/>
      <c r="Z162" s="121"/>
      <c r="AA162" s="102"/>
      <c r="AB162" s="107"/>
      <c r="AC162" s="102"/>
    </row>
    <row r="163">
      <c r="A163" s="107"/>
      <c r="B163" s="113"/>
      <c r="C163" s="224"/>
      <c r="D163" s="224"/>
      <c r="E163" s="107"/>
      <c r="F163" s="107"/>
      <c r="G163" s="107"/>
      <c r="H163" s="251"/>
      <c r="I163" s="102"/>
      <c r="J163" s="102"/>
      <c r="K163" s="102"/>
      <c r="L163" s="102"/>
      <c r="M163" s="102"/>
      <c r="N163" s="102"/>
      <c r="O163" s="102"/>
      <c r="P163" s="144"/>
      <c r="Q163" s="102"/>
      <c r="R163" s="102"/>
      <c r="S163" s="102"/>
      <c r="T163" s="102"/>
      <c r="U163" s="102"/>
      <c r="V163" s="102"/>
      <c r="W163" s="102"/>
      <c r="X163" s="102"/>
      <c r="Y163" s="102"/>
      <c r="Z163" s="121"/>
      <c r="AA163" s="102"/>
      <c r="AB163" s="107"/>
      <c r="AC163" s="102"/>
    </row>
    <row r="164">
      <c r="A164" s="107"/>
      <c r="B164" s="113"/>
      <c r="C164" s="224"/>
      <c r="D164" s="224"/>
      <c r="E164" s="107"/>
      <c r="F164" s="107"/>
      <c r="G164" s="107"/>
      <c r="H164" s="251"/>
      <c r="I164" s="102"/>
      <c r="J164" s="102"/>
      <c r="K164" s="102"/>
      <c r="L164" s="102"/>
      <c r="M164" s="102"/>
      <c r="N164" s="102"/>
      <c r="O164" s="102"/>
      <c r="P164" s="144"/>
      <c r="Q164" s="102"/>
      <c r="R164" s="102"/>
      <c r="S164" s="102"/>
      <c r="T164" s="102"/>
      <c r="U164" s="102"/>
      <c r="V164" s="102"/>
      <c r="W164" s="102"/>
      <c r="X164" s="102"/>
      <c r="Y164" s="102"/>
      <c r="Z164" s="121"/>
      <c r="AA164" s="102"/>
      <c r="AB164" s="107"/>
      <c r="AC164" s="102"/>
    </row>
    <row r="165">
      <c r="A165" s="107"/>
      <c r="B165" s="113"/>
      <c r="C165" s="224"/>
      <c r="D165" s="224"/>
      <c r="E165" s="107"/>
      <c r="F165" s="107"/>
      <c r="G165" s="107"/>
      <c r="H165" s="251"/>
      <c r="I165" s="102"/>
      <c r="J165" s="102"/>
      <c r="K165" s="102"/>
      <c r="L165" s="102"/>
      <c r="M165" s="102"/>
      <c r="N165" s="102"/>
      <c r="O165" s="102"/>
      <c r="P165" s="144"/>
      <c r="Q165" s="102"/>
      <c r="R165" s="102"/>
      <c r="S165" s="102"/>
      <c r="T165" s="102"/>
      <c r="U165" s="102"/>
      <c r="V165" s="102"/>
      <c r="W165" s="102"/>
      <c r="X165" s="102"/>
      <c r="Y165" s="102"/>
      <c r="Z165" s="121"/>
      <c r="AA165" s="102"/>
      <c r="AB165" s="107"/>
      <c r="AC165" s="102"/>
    </row>
    <row r="166">
      <c r="A166" s="107"/>
      <c r="B166" s="113"/>
      <c r="C166" s="224"/>
      <c r="D166" s="224"/>
      <c r="E166" s="107"/>
      <c r="F166" s="107"/>
      <c r="G166" s="107"/>
      <c r="H166" s="251"/>
      <c r="I166" s="102"/>
      <c r="J166" s="102"/>
      <c r="K166" s="102"/>
      <c r="L166" s="102"/>
      <c r="M166" s="102"/>
      <c r="N166" s="102"/>
      <c r="O166" s="102"/>
      <c r="P166" s="144"/>
      <c r="Q166" s="102"/>
      <c r="R166" s="102"/>
      <c r="S166" s="102"/>
      <c r="T166" s="102"/>
      <c r="U166" s="102"/>
      <c r="V166" s="102"/>
      <c r="W166" s="102"/>
      <c r="X166" s="102"/>
      <c r="Y166" s="102"/>
      <c r="Z166" s="121"/>
      <c r="AA166" s="102"/>
      <c r="AB166" s="107"/>
      <c r="AC166" s="102"/>
    </row>
    <row r="167">
      <c r="A167" s="107"/>
      <c r="B167" s="113"/>
      <c r="C167" s="224"/>
      <c r="D167" s="224"/>
      <c r="E167" s="107"/>
      <c r="F167" s="107"/>
      <c r="G167" s="107"/>
      <c r="H167" s="251"/>
      <c r="I167" s="102"/>
      <c r="J167" s="102"/>
      <c r="K167" s="102"/>
      <c r="L167" s="102"/>
      <c r="M167" s="102"/>
      <c r="N167" s="102"/>
      <c r="O167" s="102"/>
      <c r="P167" s="144"/>
      <c r="Q167" s="102"/>
      <c r="R167" s="102"/>
      <c r="S167" s="102"/>
      <c r="T167" s="102"/>
      <c r="U167" s="102"/>
      <c r="V167" s="102"/>
      <c r="W167" s="102"/>
      <c r="X167" s="102"/>
      <c r="Y167" s="102"/>
      <c r="Z167" s="121"/>
      <c r="AA167" s="102"/>
      <c r="AB167" s="107"/>
      <c r="AC167" s="102"/>
    </row>
    <row r="168">
      <c r="A168" s="107"/>
      <c r="B168" s="113"/>
      <c r="C168" s="224"/>
      <c r="D168" s="224"/>
      <c r="E168" s="107"/>
      <c r="F168" s="107"/>
      <c r="G168" s="107"/>
      <c r="H168" s="251"/>
      <c r="I168" s="102"/>
      <c r="J168" s="102"/>
      <c r="K168" s="102"/>
      <c r="L168" s="102"/>
      <c r="M168" s="102"/>
      <c r="N168" s="102"/>
      <c r="O168" s="102"/>
      <c r="P168" s="144"/>
      <c r="Q168" s="102"/>
      <c r="R168" s="102"/>
      <c r="S168" s="102"/>
      <c r="T168" s="102"/>
      <c r="U168" s="102"/>
      <c r="V168" s="102"/>
      <c r="W168" s="102"/>
      <c r="X168" s="102"/>
      <c r="Y168" s="102"/>
      <c r="Z168" s="121"/>
      <c r="AA168" s="102"/>
      <c r="AB168" s="107"/>
      <c r="AC168" s="102"/>
    </row>
    <row r="169">
      <c r="A169" s="107"/>
      <c r="B169" s="113"/>
      <c r="C169" s="224"/>
      <c r="D169" s="224"/>
      <c r="E169" s="107"/>
      <c r="F169" s="107"/>
      <c r="G169" s="107"/>
      <c r="H169" s="251"/>
      <c r="I169" s="102"/>
      <c r="J169" s="102"/>
      <c r="K169" s="102"/>
      <c r="L169" s="102"/>
      <c r="M169" s="102"/>
      <c r="N169" s="102"/>
      <c r="O169" s="102"/>
      <c r="P169" s="144"/>
      <c r="Q169" s="102"/>
      <c r="R169" s="102"/>
      <c r="S169" s="102"/>
      <c r="T169" s="102"/>
      <c r="U169" s="102"/>
      <c r="V169" s="102"/>
      <c r="W169" s="102"/>
      <c r="X169" s="102"/>
      <c r="Y169" s="102"/>
      <c r="Z169" s="121"/>
      <c r="AA169" s="102"/>
      <c r="AB169" s="107"/>
      <c r="AC169" s="102"/>
    </row>
    <row r="170">
      <c r="A170" s="107"/>
      <c r="B170" s="113"/>
      <c r="C170" s="224"/>
      <c r="D170" s="224"/>
      <c r="E170" s="107"/>
      <c r="F170" s="107"/>
      <c r="G170" s="107"/>
      <c r="H170" s="251"/>
      <c r="I170" s="102"/>
      <c r="J170" s="102"/>
      <c r="K170" s="102"/>
      <c r="L170" s="102"/>
      <c r="M170" s="102"/>
      <c r="N170" s="102"/>
      <c r="O170" s="102"/>
      <c r="P170" s="144"/>
      <c r="Q170" s="102"/>
      <c r="R170" s="102"/>
      <c r="S170" s="102"/>
      <c r="T170" s="102"/>
      <c r="U170" s="102"/>
      <c r="V170" s="102"/>
      <c r="W170" s="102"/>
      <c r="X170" s="102"/>
      <c r="Y170" s="102"/>
      <c r="Z170" s="121"/>
      <c r="AA170" s="102"/>
      <c r="AB170" s="107"/>
      <c r="AC170" s="102"/>
    </row>
    <row r="171">
      <c r="A171" s="107"/>
      <c r="B171" s="113"/>
      <c r="C171" s="224"/>
      <c r="D171" s="224"/>
      <c r="E171" s="107"/>
      <c r="F171" s="107"/>
      <c r="G171" s="107"/>
      <c r="H171" s="251"/>
      <c r="I171" s="102"/>
      <c r="J171" s="102"/>
      <c r="K171" s="102"/>
      <c r="L171" s="102"/>
      <c r="M171" s="102"/>
      <c r="N171" s="102"/>
      <c r="O171" s="102"/>
      <c r="P171" s="144"/>
      <c r="Q171" s="102"/>
      <c r="R171" s="102"/>
      <c r="S171" s="102"/>
      <c r="T171" s="102"/>
      <c r="U171" s="102"/>
      <c r="V171" s="102"/>
      <c r="W171" s="102"/>
      <c r="X171" s="102"/>
      <c r="Y171" s="102"/>
      <c r="Z171" s="121"/>
      <c r="AA171" s="102"/>
      <c r="AB171" s="107"/>
      <c r="AC171" s="102"/>
    </row>
    <row r="172">
      <c r="A172" s="107"/>
      <c r="B172" s="113"/>
      <c r="C172" s="224"/>
      <c r="D172" s="224"/>
      <c r="E172" s="107"/>
      <c r="F172" s="107"/>
      <c r="G172" s="107"/>
      <c r="H172" s="251"/>
      <c r="I172" s="102"/>
      <c r="J172" s="102"/>
      <c r="K172" s="102"/>
      <c r="L172" s="102"/>
      <c r="M172" s="102"/>
      <c r="N172" s="102"/>
      <c r="O172" s="102"/>
      <c r="P172" s="144"/>
      <c r="Q172" s="102"/>
      <c r="R172" s="102"/>
      <c r="S172" s="102"/>
      <c r="T172" s="102"/>
      <c r="U172" s="102"/>
      <c r="V172" s="102"/>
      <c r="W172" s="102"/>
      <c r="X172" s="102"/>
      <c r="Y172" s="102"/>
      <c r="Z172" s="121"/>
      <c r="AA172" s="102"/>
      <c r="AB172" s="107"/>
      <c r="AC172" s="102"/>
    </row>
    <row r="173">
      <c r="A173" s="107"/>
      <c r="B173" s="113"/>
      <c r="C173" s="224"/>
      <c r="D173" s="224"/>
      <c r="E173" s="107"/>
      <c r="F173" s="107"/>
      <c r="G173" s="107"/>
      <c r="H173" s="251"/>
      <c r="I173" s="102"/>
      <c r="J173" s="102"/>
      <c r="K173" s="102"/>
      <c r="L173" s="102"/>
      <c r="M173" s="102"/>
      <c r="N173" s="102"/>
      <c r="O173" s="102"/>
      <c r="P173" s="144"/>
      <c r="Q173" s="102"/>
      <c r="R173" s="102"/>
      <c r="S173" s="102"/>
      <c r="T173" s="102"/>
      <c r="U173" s="102"/>
      <c r="V173" s="102"/>
      <c r="W173" s="102"/>
      <c r="X173" s="102"/>
      <c r="Y173" s="102"/>
      <c r="Z173" s="121"/>
      <c r="AA173" s="102"/>
      <c r="AB173" s="107"/>
      <c r="AC173" s="102"/>
    </row>
    <row r="174">
      <c r="A174" s="107"/>
      <c r="B174" s="113"/>
      <c r="C174" s="224"/>
      <c r="D174" s="224"/>
      <c r="E174" s="107"/>
      <c r="F174" s="107"/>
      <c r="G174" s="107"/>
      <c r="H174" s="251"/>
      <c r="I174" s="102"/>
      <c r="J174" s="102"/>
      <c r="K174" s="102"/>
      <c r="L174" s="102"/>
      <c r="M174" s="102"/>
      <c r="N174" s="102"/>
      <c r="O174" s="102"/>
      <c r="P174" s="144"/>
      <c r="Q174" s="102"/>
      <c r="R174" s="102"/>
      <c r="S174" s="102"/>
      <c r="T174" s="102"/>
      <c r="U174" s="102"/>
      <c r="V174" s="102"/>
      <c r="W174" s="102"/>
      <c r="X174" s="102"/>
      <c r="Y174" s="102"/>
      <c r="Z174" s="121"/>
      <c r="AA174" s="102"/>
      <c r="AB174" s="107"/>
      <c r="AC174" s="102"/>
    </row>
    <row r="175">
      <c r="A175" s="107"/>
      <c r="B175" s="113"/>
      <c r="C175" s="224"/>
      <c r="D175" s="224"/>
      <c r="E175" s="107"/>
      <c r="F175" s="107"/>
      <c r="G175" s="107"/>
      <c r="H175" s="251"/>
      <c r="I175" s="102"/>
      <c r="J175" s="102"/>
      <c r="K175" s="102"/>
      <c r="L175" s="102"/>
      <c r="M175" s="102"/>
      <c r="N175" s="102"/>
      <c r="O175" s="102"/>
      <c r="P175" s="144"/>
      <c r="Q175" s="102"/>
      <c r="R175" s="102"/>
      <c r="S175" s="102"/>
      <c r="T175" s="102"/>
      <c r="U175" s="102"/>
      <c r="V175" s="102"/>
      <c r="W175" s="102"/>
      <c r="X175" s="102"/>
      <c r="Y175" s="102"/>
      <c r="Z175" s="121"/>
      <c r="AA175" s="102"/>
      <c r="AB175" s="107"/>
      <c r="AC175" s="102"/>
    </row>
    <row r="176">
      <c r="A176" s="107"/>
      <c r="B176" s="113"/>
      <c r="C176" s="224"/>
      <c r="D176" s="224"/>
      <c r="E176" s="107"/>
      <c r="F176" s="107"/>
      <c r="G176" s="107"/>
      <c r="H176" s="251"/>
      <c r="I176" s="102"/>
      <c r="J176" s="102"/>
      <c r="K176" s="102"/>
      <c r="L176" s="102"/>
      <c r="M176" s="102"/>
      <c r="N176" s="102"/>
      <c r="O176" s="102"/>
      <c r="P176" s="144"/>
      <c r="Q176" s="102"/>
      <c r="R176" s="102"/>
      <c r="S176" s="102"/>
      <c r="T176" s="102"/>
      <c r="U176" s="102"/>
      <c r="V176" s="102"/>
      <c r="W176" s="102"/>
      <c r="X176" s="102"/>
      <c r="Y176" s="102"/>
      <c r="Z176" s="121"/>
      <c r="AA176" s="102"/>
      <c r="AB176" s="107"/>
      <c r="AC176" s="102"/>
    </row>
    <row r="177">
      <c r="A177" s="107"/>
      <c r="B177" s="113"/>
      <c r="C177" s="224"/>
      <c r="D177" s="224"/>
      <c r="E177" s="107"/>
      <c r="F177" s="107"/>
      <c r="G177" s="107"/>
      <c r="H177" s="251"/>
      <c r="I177" s="102"/>
      <c r="J177" s="102"/>
      <c r="K177" s="102"/>
      <c r="L177" s="102"/>
      <c r="M177" s="102"/>
      <c r="N177" s="102"/>
      <c r="O177" s="102"/>
      <c r="P177" s="144"/>
      <c r="Q177" s="102"/>
      <c r="R177" s="102"/>
      <c r="S177" s="102"/>
      <c r="T177" s="102"/>
      <c r="U177" s="102"/>
      <c r="V177" s="102"/>
      <c r="W177" s="102"/>
      <c r="X177" s="102"/>
      <c r="Y177" s="102"/>
      <c r="Z177" s="121"/>
      <c r="AA177" s="102"/>
      <c r="AB177" s="107"/>
      <c r="AC177" s="102"/>
    </row>
    <row r="178">
      <c r="A178" s="107"/>
      <c r="B178" s="113"/>
      <c r="C178" s="224"/>
      <c r="D178" s="224"/>
      <c r="E178" s="107"/>
      <c r="F178" s="107"/>
      <c r="G178" s="107"/>
      <c r="H178" s="251"/>
      <c r="I178" s="102"/>
      <c r="J178" s="102"/>
      <c r="K178" s="102"/>
      <c r="L178" s="102"/>
      <c r="M178" s="102"/>
      <c r="N178" s="102"/>
      <c r="O178" s="102"/>
      <c r="P178" s="144"/>
      <c r="Q178" s="102"/>
      <c r="R178" s="102"/>
      <c r="S178" s="102"/>
      <c r="T178" s="102"/>
      <c r="U178" s="102"/>
      <c r="V178" s="102"/>
      <c r="W178" s="102"/>
      <c r="X178" s="102"/>
      <c r="Y178" s="102"/>
      <c r="Z178" s="121"/>
      <c r="AA178" s="102"/>
      <c r="AB178" s="107"/>
      <c r="AC178" s="102"/>
    </row>
    <row r="179">
      <c r="A179" s="107"/>
      <c r="B179" s="113"/>
      <c r="C179" s="224"/>
      <c r="D179" s="224"/>
      <c r="E179" s="107"/>
      <c r="F179" s="107"/>
      <c r="G179" s="107"/>
      <c r="H179" s="251"/>
      <c r="I179" s="102"/>
      <c r="J179" s="102"/>
      <c r="K179" s="102"/>
      <c r="L179" s="102"/>
      <c r="M179" s="102"/>
      <c r="N179" s="102"/>
      <c r="O179" s="102"/>
      <c r="P179" s="144"/>
      <c r="Q179" s="102"/>
      <c r="R179" s="102"/>
      <c r="S179" s="102"/>
      <c r="T179" s="102"/>
      <c r="U179" s="102"/>
      <c r="V179" s="102"/>
      <c r="W179" s="102"/>
      <c r="X179" s="102"/>
      <c r="Y179" s="102"/>
      <c r="Z179" s="121"/>
      <c r="AA179" s="102"/>
      <c r="AB179" s="107"/>
      <c r="AC179" s="102"/>
    </row>
    <row r="180">
      <c r="A180" s="107"/>
      <c r="B180" s="113"/>
      <c r="C180" s="224"/>
      <c r="D180" s="224"/>
      <c r="E180" s="107"/>
      <c r="F180" s="107"/>
      <c r="G180" s="107"/>
      <c r="H180" s="251"/>
      <c r="I180" s="102"/>
      <c r="J180" s="102"/>
      <c r="K180" s="102"/>
      <c r="L180" s="102"/>
      <c r="M180" s="102"/>
      <c r="N180" s="102"/>
      <c r="O180" s="102"/>
      <c r="P180" s="144"/>
      <c r="Q180" s="102"/>
      <c r="R180" s="102"/>
      <c r="S180" s="102"/>
      <c r="T180" s="102"/>
      <c r="U180" s="102"/>
      <c r="V180" s="102"/>
      <c r="W180" s="102"/>
      <c r="X180" s="102"/>
      <c r="Y180" s="102"/>
      <c r="Z180" s="121"/>
      <c r="AA180" s="102"/>
      <c r="AB180" s="107"/>
      <c r="AC180" s="102"/>
    </row>
    <row r="181">
      <c r="A181" s="107"/>
      <c r="B181" s="113"/>
      <c r="C181" s="224"/>
      <c r="D181" s="224"/>
      <c r="E181" s="107"/>
      <c r="F181" s="107"/>
      <c r="G181" s="107"/>
      <c r="H181" s="251"/>
      <c r="I181" s="102"/>
      <c r="J181" s="102"/>
      <c r="K181" s="102"/>
      <c r="L181" s="102"/>
      <c r="M181" s="102"/>
      <c r="N181" s="102"/>
      <c r="O181" s="102"/>
      <c r="P181" s="144"/>
      <c r="Q181" s="102"/>
      <c r="R181" s="102"/>
      <c r="S181" s="102"/>
      <c r="T181" s="102"/>
      <c r="U181" s="102"/>
      <c r="V181" s="102"/>
      <c r="W181" s="102"/>
      <c r="X181" s="102"/>
      <c r="Y181" s="102"/>
      <c r="Z181" s="121"/>
      <c r="AA181" s="102"/>
      <c r="AB181" s="107"/>
      <c r="AC181" s="102"/>
    </row>
    <row r="182">
      <c r="A182" s="107"/>
      <c r="B182" s="113"/>
      <c r="C182" s="224"/>
      <c r="D182" s="224"/>
      <c r="E182" s="107"/>
      <c r="F182" s="107"/>
      <c r="G182" s="107"/>
      <c r="H182" s="251"/>
      <c r="I182" s="102"/>
      <c r="J182" s="102"/>
      <c r="K182" s="102"/>
      <c r="L182" s="102"/>
      <c r="M182" s="102"/>
      <c r="N182" s="102"/>
      <c r="O182" s="102"/>
      <c r="P182" s="144"/>
      <c r="Q182" s="102"/>
      <c r="R182" s="102"/>
      <c r="S182" s="102"/>
      <c r="T182" s="102"/>
      <c r="U182" s="102"/>
      <c r="V182" s="102"/>
      <c r="W182" s="102"/>
      <c r="X182" s="102"/>
      <c r="Y182" s="102"/>
      <c r="Z182" s="121"/>
      <c r="AA182" s="102"/>
      <c r="AB182" s="107"/>
      <c r="AC182" s="102"/>
    </row>
    <row r="183">
      <c r="A183" s="107"/>
      <c r="B183" s="113"/>
      <c r="C183" s="224"/>
      <c r="D183" s="224"/>
      <c r="E183" s="107"/>
      <c r="F183" s="107"/>
      <c r="G183" s="107"/>
      <c r="H183" s="251"/>
      <c r="I183" s="102"/>
      <c r="J183" s="102"/>
      <c r="K183" s="102"/>
      <c r="L183" s="102"/>
      <c r="M183" s="102"/>
      <c r="N183" s="102"/>
      <c r="O183" s="102"/>
      <c r="P183" s="144"/>
      <c r="Q183" s="102"/>
      <c r="R183" s="102"/>
      <c r="S183" s="102"/>
      <c r="T183" s="102"/>
      <c r="U183" s="102"/>
      <c r="V183" s="102"/>
      <c r="W183" s="102"/>
      <c r="X183" s="102"/>
      <c r="Y183" s="102"/>
      <c r="Z183" s="121"/>
      <c r="AA183" s="102"/>
      <c r="AB183" s="107"/>
      <c r="AC183" s="102"/>
    </row>
    <row r="184">
      <c r="A184" s="107"/>
      <c r="B184" s="113"/>
      <c r="C184" s="224"/>
      <c r="D184" s="224"/>
      <c r="E184" s="107"/>
      <c r="F184" s="107"/>
      <c r="G184" s="107"/>
      <c r="H184" s="251"/>
      <c r="I184" s="102"/>
      <c r="J184" s="102"/>
      <c r="K184" s="102"/>
      <c r="L184" s="102"/>
      <c r="M184" s="102"/>
      <c r="N184" s="102"/>
      <c r="O184" s="102"/>
      <c r="P184" s="144"/>
      <c r="Q184" s="102"/>
      <c r="R184" s="102"/>
      <c r="S184" s="102"/>
      <c r="T184" s="102"/>
      <c r="U184" s="102"/>
      <c r="V184" s="102"/>
      <c r="W184" s="102"/>
      <c r="X184" s="102"/>
      <c r="Y184" s="102"/>
      <c r="Z184" s="121"/>
      <c r="AA184" s="102"/>
      <c r="AB184" s="107"/>
      <c r="AC184" s="102"/>
    </row>
    <row r="185">
      <c r="A185" s="107"/>
      <c r="B185" s="113"/>
      <c r="C185" s="224"/>
      <c r="D185" s="224"/>
      <c r="E185" s="107"/>
      <c r="F185" s="107"/>
      <c r="G185" s="107"/>
      <c r="H185" s="251"/>
      <c r="I185" s="102"/>
      <c r="J185" s="102"/>
      <c r="K185" s="102"/>
      <c r="L185" s="102"/>
      <c r="M185" s="102"/>
      <c r="N185" s="102"/>
      <c r="O185" s="102"/>
      <c r="P185" s="144"/>
      <c r="Q185" s="102"/>
      <c r="R185" s="102"/>
      <c r="S185" s="102"/>
      <c r="T185" s="102"/>
      <c r="U185" s="102"/>
      <c r="V185" s="102"/>
      <c r="W185" s="102"/>
      <c r="X185" s="102"/>
      <c r="Y185" s="102"/>
      <c r="Z185" s="121"/>
      <c r="AA185" s="102"/>
      <c r="AB185" s="107"/>
      <c r="AC185" s="102"/>
    </row>
    <row r="186">
      <c r="A186" s="107"/>
      <c r="B186" s="113"/>
      <c r="C186" s="224"/>
      <c r="D186" s="224"/>
      <c r="E186" s="107"/>
      <c r="F186" s="107"/>
      <c r="G186" s="107"/>
      <c r="H186" s="251"/>
      <c r="I186" s="102"/>
      <c r="J186" s="102"/>
      <c r="K186" s="102"/>
      <c r="L186" s="102"/>
      <c r="M186" s="102"/>
      <c r="N186" s="102"/>
      <c r="O186" s="102"/>
      <c r="P186" s="144"/>
      <c r="Q186" s="102"/>
      <c r="R186" s="102"/>
      <c r="S186" s="102"/>
      <c r="T186" s="102"/>
      <c r="U186" s="102"/>
      <c r="V186" s="102"/>
      <c r="W186" s="102"/>
      <c r="X186" s="102"/>
      <c r="Y186" s="102"/>
      <c r="Z186" s="121"/>
      <c r="AA186" s="102"/>
      <c r="AB186" s="107"/>
      <c r="AC186" s="102"/>
    </row>
    <row r="187">
      <c r="A187" s="107"/>
      <c r="B187" s="113"/>
      <c r="C187" s="224"/>
      <c r="D187" s="224"/>
      <c r="E187" s="107"/>
      <c r="F187" s="107"/>
      <c r="G187" s="107"/>
      <c r="H187" s="251"/>
      <c r="I187" s="102"/>
      <c r="J187" s="102"/>
      <c r="K187" s="102"/>
      <c r="L187" s="102"/>
      <c r="M187" s="102"/>
      <c r="N187" s="102"/>
      <c r="O187" s="102"/>
      <c r="P187" s="144"/>
      <c r="Q187" s="102"/>
      <c r="R187" s="102"/>
      <c r="S187" s="102"/>
      <c r="T187" s="102"/>
      <c r="U187" s="102"/>
      <c r="V187" s="102"/>
      <c r="W187" s="102"/>
      <c r="X187" s="102"/>
      <c r="Y187" s="102"/>
      <c r="Z187" s="121"/>
      <c r="AA187" s="102"/>
      <c r="AB187" s="107"/>
      <c r="AC187" s="102"/>
    </row>
    <row r="188">
      <c r="A188" s="107"/>
      <c r="B188" s="113"/>
      <c r="C188" s="224"/>
      <c r="D188" s="224"/>
      <c r="E188" s="107"/>
      <c r="F188" s="107"/>
      <c r="G188" s="107"/>
      <c r="H188" s="251"/>
      <c r="I188" s="102"/>
      <c r="J188" s="102"/>
      <c r="K188" s="102"/>
      <c r="L188" s="102"/>
      <c r="M188" s="102"/>
      <c r="N188" s="102"/>
      <c r="O188" s="102"/>
      <c r="P188" s="144"/>
      <c r="Q188" s="102"/>
      <c r="R188" s="102"/>
      <c r="S188" s="102"/>
      <c r="T188" s="102"/>
      <c r="U188" s="102"/>
      <c r="V188" s="102"/>
      <c r="W188" s="102"/>
      <c r="X188" s="102"/>
      <c r="Y188" s="102"/>
      <c r="Z188" s="121"/>
      <c r="AA188" s="102"/>
      <c r="AB188" s="107"/>
      <c r="AC188" s="102"/>
    </row>
    <row r="189">
      <c r="A189" s="107"/>
      <c r="B189" s="113"/>
      <c r="C189" s="224"/>
      <c r="D189" s="224"/>
      <c r="E189" s="107"/>
      <c r="F189" s="107"/>
      <c r="G189" s="107"/>
      <c r="H189" s="251"/>
      <c r="I189" s="102"/>
      <c r="J189" s="102"/>
      <c r="K189" s="102"/>
      <c r="L189" s="102"/>
      <c r="M189" s="102"/>
      <c r="N189" s="102"/>
      <c r="O189" s="102"/>
      <c r="P189" s="144"/>
      <c r="Q189" s="102"/>
      <c r="R189" s="102"/>
      <c r="S189" s="102"/>
      <c r="T189" s="102"/>
      <c r="U189" s="102"/>
      <c r="V189" s="102"/>
      <c r="W189" s="102"/>
      <c r="X189" s="102"/>
      <c r="Y189" s="102"/>
      <c r="Z189" s="121"/>
      <c r="AA189" s="102"/>
      <c r="AB189" s="107"/>
      <c r="AC189" s="102"/>
    </row>
    <row r="190">
      <c r="A190" s="107"/>
      <c r="B190" s="113"/>
      <c r="C190" s="224"/>
      <c r="D190" s="224"/>
      <c r="E190" s="107"/>
      <c r="F190" s="107"/>
      <c r="G190" s="107"/>
      <c r="H190" s="251"/>
      <c r="I190" s="102"/>
      <c r="J190" s="102"/>
      <c r="K190" s="102"/>
      <c r="L190" s="102"/>
      <c r="M190" s="102"/>
      <c r="N190" s="102"/>
      <c r="O190" s="102"/>
      <c r="P190" s="144"/>
      <c r="Q190" s="102"/>
      <c r="R190" s="102"/>
      <c r="S190" s="102"/>
      <c r="T190" s="102"/>
      <c r="U190" s="102"/>
      <c r="V190" s="102"/>
      <c r="W190" s="102"/>
      <c r="X190" s="102"/>
      <c r="Y190" s="102"/>
      <c r="Z190" s="121"/>
      <c r="AA190" s="102"/>
      <c r="AB190" s="107"/>
      <c r="AC190" s="102"/>
    </row>
    <row r="191">
      <c r="A191" s="107"/>
      <c r="B191" s="113"/>
      <c r="C191" s="224"/>
      <c r="D191" s="224"/>
      <c r="E191" s="107"/>
      <c r="F191" s="107"/>
      <c r="G191" s="107"/>
      <c r="H191" s="251"/>
      <c r="I191" s="102"/>
      <c r="J191" s="102"/>
      <c r="K191" s="102"/>
      <c r="L191" s="102"/>
      <c r="M191" s="102"/>
      <c r="N191" s="102"/>
      <c r="O191" s="102"/>
      <c r="P191" s="144"/>
      <c r="Q191" s="102"/>
      <c r="R191" s="102"/>
      <c r="S191" s="102"/>
      <c r="T191" s="102"/>
      <c r="U191" s="102"/>
      <c r="V191" s="102"/>
      <c r="W191" s="102"/>
      <c r="X191" s="102"/>
      <c r="Y191" s="102"/>
      <c r="Z191" s="121"/>
      <c r="AA191" s="102"/>
      <c r="AB191" s="107"/>
      <c r="AC191" s="102"/>
    </row>
    <row r="192">
      <c r="A192" s="107"/>
      <c r="B192" s="113"/>
      <c r="C192" s="224"/>
      <c r="D192" s="224"/>
      <c r="E192" s="107"/>
      <c r="F192" s="107"/>
      <c r="G192" s="107"/>
      <c r="H192" s="251"/>
      <c r="I192" s="102"/>
      <c r="J192" s="102"/>
      <c r="K192" s="102"/>
      <c r="L192" s="102"/>
      <c r="M192" s="102"/>
      <c r="N192" s="102"/>
      <c r="O192" s="102"/>
      <c r="P192" s="144"/>
      <c r="Q192" s="102"/>
      <c r="R192" s="102"/>
      <c r="S192" s="102"/>
      <c r="T192" s="102"/>
      <c r="U192" s="102"/>
      <c r="V192" s="102"/>
      <c r="W192" s="102"/>
      <c r="X192" s="102"/>
      <c r="Y192" s="102"/>
      <c r="Z192" s="121"/>
      <c r="AA192" s="102"/>
      <c r="AB192" s="107"/>
      <c r="AC192" s="102"/>
    </row>
    <row r="193">
      <c r="A193" s="107"/>
      <c r="B193" s="113"/>
      <c r="C193" s="224"/>
      <c r="D193" s="224"/>
      <c r="E193" s="107"/>
      <c r="F193" s="107"/>
      <c r="G193" s="107"/>
      <c r="H193" s="251"/>
      <c r="I193" s="102"/>
      <c r="J193" s="102"/>
      <c r="K193" s="102"/>
      <c r="L193" s="102"/>
      <c r="M193" s="102"/>
      <c r="N193" s="102"/>
      <c r="O193" s="102"/>
      <c r="P193" s="144"/>
      <c r="Q193" s="102"/>
      <c r="R193" s="102"/>
      <c r="S193" s="102"/>
      <c r="T193" s="102"/>
      <c r="U193" s="102"/>
      <c r="V193" s="102"/>
      <c r="W193" s="102"/>
      <c r="X193" s="102"/>
      <c r="Y193" s="102"/>
      <c r="Z193" s="121"/>
      <c r="AA193" s="102"/>
      <c r="AB193" s="107"/>
      <c r="AC193" s="102"/>
    </row>
    <row r="194">
      <c r="A194" s="107"/>
      <c r="B194" s="113"/>
      <c r="C194" s="224"/>
      <c r="D194" s="224"/>
      <c r="E194" s="107"/>
      <c r="F194" s="107"/>
      <c r="G194" s="107"/>
      <c r="H194" s="251"/>
      <c r="I194" s="102"/>
      <c r="J194" s="102"/>
      <c r="K194" s="102"/>
      <c r="L194" s="102"/>
      <c r="M194" s="102"/>
      <c r="N194" s="102"/>
      <c r="O194" s="102"/>
      <c r="P194" s="144"/>
      <c r="Q194" s="102"/>
      <c r="R194" s="102"/>
      <c r="S194" s="102"/>
      <c r="T194" s="102"/>
      <c r="U194" s="102"/>
      <c r="V194" s="102"/>
      <c r="W194" s="102"/>
      <c r="X194" s="102"/>
      <c r="Y194" s="102"/>
      <c r="Z194" s="121"/>
      <c r="AA194" s="102"/>
      <c r="AB194" s="107"/>
      <c r="AC194" s="102"/>
    </row>
    <row r="195">
      <c r="A195" s="107"/>
      <c r="B195" s="113"/>
      <c r="C195" s="224"/>
      <c r="D195" s="224"/>
      <c r="E195" s="107"/>
      <c r="F195" s="107"/>
      <c r="G195" s="107"/>
      <c r="H195" s="251"/>
      <c r="I195" s="102"/>
      <c r="J195" s="102"/>
      <c r="K195" s="102"/>
      <c r="L195" s="102"/>
      <c r="M195" s="102"/>
      <c r="N195" s="102"/>
      <c r="O195" s="102"/>
      <c r="P195" s="144"/>
      <c r="Q195" s="102"/>
      <c r="R195" s="102"/>
      <c r="S195" s="102"/>
      <c r="T195" s="102"/>
      <c r="U195" s="102"/>
      <c r="V195" s="102"/>
      <c r="W195" s="102"/>
      <c r="X195" s="102"/>
      <c r="Y195" s="102"/>
      <c r="Z195" s="121"/>
      <c r="AA195" s="102"/>
      <c r="AB195" s="107"/>
      <c r="AC195" s="102"/>
    </row>
    <row r="196">
      <c r="A196" s="107"/>
      <c r="B196" s="113"/>
      <c r="C196" s="224"/>
      <c r="D196" s="224"/>
      <c r="E196" s="107"/>
      <c r="F196" s="107"/>
      <c r="G196" s="107"/>
      <c r="H196" s="251"/>
      <c r="I196" s="102"/>
      <c r="J196" s="102"/>
      <c r="K196" s="102"/>
      <c r="L196" s="102"/>
      <c r="M196" s="102"/>
      <c r="N196" s="102"/>
      <c r="O196" s="102"/>
      <c r="P196" s="144"/>
      <c r="Q196" s="102"/>
      <c r="R196" s="102"/>
      <c r="S196" s="102"/>
      <c r="T196" s="102"/>
      <c r="U196" s="102"/>
      <c r="V196" s="102"/>
      <c r="W196" s="102"/>
      <c r="X196" s="102"/>
      <c r="Y196" s="102"/>
      <c r="Z196" s="121"/>
      <c r="AA196" s="102"/>
      <c r="AB196" s="107"/>
      <c r="AC196" s="102"/>
    </row>
    <row r="197">
      <c r="A197" s="107"/>
      <c r="B197" s="113"/>
      <c r="C197" s="224"/>
      <c r="D197" s="224"/>
      <c r="E197" s="107"/>
      <c r="F197" s="107"/>
      <c r="G197" s="107"/>
      <c r="H197" s="251"/>
      <c r="I197" s="102"/>
      <c r="J197" s="102"/>
      <c r="K197" s="102"/>
      <c r="L197" s="102"/>
      <c r="M197" s="102"/>
      <c r="N197" s="102"/>
      <c r="O197" s="102"/>
      <c r="P197" s="144"/>
      <c r="Q197" s="102"/>
      <c r="R197" s="102"/>
      <c r="S197" s="102"/>
      <c r="T197" s="102"/>
      <c r="U197" s="102"/>
      <c r="V197" s="102"/>
      <c r="W197" s="102"/>
      <c r="X197" s="102"/>
      <c r="Y197" s="102"/>
      <c r="Z197" s="121"/>
      <c r="AA197" s="102"/>
      <c r="AB197" s="107"/>
      <c r="AC197" s="102"/>
    </row>
    <row r="198">
      <c r="A198" s="107"/>
      <c r="B198" s="113"/>
      <c r="C198" s="224"/>
      <c r="D198" s="224"/>
      <c r="E198" s="107"/>
      <c r="F198" s="107"/>
      <c r="G198" s="107"/>
      <c r="H198" s="251"/>
      <c r="I198" s="102"/>
      <c r="J198" s="102"/>
      <c r="K198" s="102"/>
      <c r="L198" s="102"/>
      <c r="M198" s="102"/>
      <c r="N198" s="102"/>
      <c r="O198" s="102"/>
      <c r="P198" s="144"/>
      <c r="Q198" s="102"/>
      <c r="R198" s="102"/>
      <c r="S198" s="102"/>
      <c r="T198" s="102"/>
      <c r="U198" s="102"/>
      <c r="V198" s="102"/>
      <c r="W198" s="102"/>
      <c r="X198" s="102"/>
      <c r="Y198" s="102"/>
      <c r="Z198" s="121"/>
      <c r="AA198" s="102"/>
      <c r="AB198" s="107"/>
      <c r="AC198" s="102"/>
    </row>
    <row r="199">
      <c r="A199" s="107"/>
      <c r="B199" s="113"/>
      <c r="C199" s="224"/>
      <c r="D199" s="224"/>
      <c r="E199" s="107"/>
      <c r="F199" s="107"/>
      <c r="G199" s="107"/>
      <c r="H199" s="251"/>
      <c r="I199" s="102"/>
      <c r="J199" s="102"/>
      <c r="K199" s="102"/>
      <c r="L199" s="102"/>
      <c r="M199" s="102"/>
      <c r="N199" s="102"/>
      <c r="O199" s="102"/>
      <c r="P199" s="144"/>
      <c r="Q199" s="102"/>
      <c r="R199" s="102"/>
      <c r="S199" s="102"/>
      <c r="T199" s="102"/>
      <c r="U199" s="102"/>
      <c r="V199" s="102"/>
      <c r="W199" s="102"/>
      <c r="X199" s="102"/>
      <c r="Y199" s="102"/>
      <c r="Z199" s="121"/>
      <c r="AA199" s="102"/>
      <c r="AB199" s="107"/>
      <c r="AC199" s="102"/>
    </row>
    <row r="200">
      <c r="A200" s="107"/>
      <c r="B200" s="113"/>
      <c r="C200" s="224"/>
      <c r="D200" s="224"/>
      <c r="E200" s="107"/>
      <c r="F200" s="107"/>
      <c r="G200" s="107"/>
      <c r="H200" s="251"/>
      <c r="I200" s="102"/>
      <c r="J200" s="102"/>
      <c r="K200" s="102"/>
      <c r="L200" s="102"/>
      <c r="M200" s="102"/>
      <c r="N200" s="102"/>
      <c r="O200" s="102"/>
      <c r="P200" s="144"/>
      <c r="Q200" s="102"/>
      <c r="R200" s="102"/>
      <c r="S200" s="102"/>
      <c r="T200" s="102"/>
      <c r="U200" s="102"/>
      <c r="V200" s="102"/>
      <c r="W200" s="102"/>
      <c r="X200" s="102"/>
      <c r="Y200" s="102"/>
      <c r="Z200" s="121"/>
      <c r="AA200" s="102"/>
      <c r="AB200" s="107"/>
      <c r="AC200" s="102"/>
    </row>
    <row r="201">
      <c r="A201" s="107"/>
      <c r="B201" s="113"/>
      <c r="C201" s="224"/>
      <c r="D201" s="224"/>
      <c r="E201" s="107"/>
      <c r="F201" s="107"/>
      <c r="G201" s="107"/>
      <c r="H201" s="251"/>
      <c r="I201" s="102"/>
      <c r="J201" s="102"/>
      <c r="K201" s="102"/>
      <c r="L201" s="102"/>
      <c r="M201" s="102"/>
      <c r="N201" s="102"/>
      <c r="O201" s="102"/>
      <c r="P201" s="144"/>
      <c r="Q201" s="102"/>
      <c r="R201" s="102"/>
      <c r="S201" s="102"/>
      <c r="T201" s="102"/>
      <c r="U201" s="102"/>
      <c r="V201" s="102"/>
      <c r="W201" s="102"/>
      <c r="X201" s="102"/>
      <c r="Y201" s="102"/>
      <c r="Z201" s="121"/>
      <c r="AA201" s="102"/>
      <c r="AB201" s="107"/>
      <c r="AC201" s="102"/>
    </row>
    <row r="202">
      <c r="A202" s="107"/>
      <c r="B202" s="113"/>
      <c r="C202" s="224"/>
      <c r="D202" s="224"/>
      <c r="E202" s="107"/>
      <c r="F202" s="107"/>
      <c r="G202" s="107"/>
      <c r="H202" s="251"/>
      <c r="I202" s="102"/>
      <c r="J202" s="102"/>
      <c r="K202" s="102"/>
      <c r="L202" s="102"/>
      <c r="M202" s="102"/>
      <c r="N202" s="102"/>
      <c r="O202" s="102"/>
      <c r="P202" s="144"/>
      <c r="Q202" s="102"/>
      <c r="R202" s="102"/>
      <c r="S202" s="102"/>
      <c r="T202" s="102"/>
      <c r="U202" s="102"/>
      <c r="V202" s="102"/>
      <c r="W202" s="102"/>
      <c r="X202" s="102"/>
      <c r="Y202" s="102"/>
      <c r="Z202" s="121"/>
      <c r="AA202" s="102"/>
      <c r="AB202" s="107"/>
      <c r="AC202" s="102"/>
    </row>
    <row r="203">
      <c r="A203" s="107"/>
      <c r="B203" s="113"/>
      <c r="C203" s="224"/>
      <c r="D203" s="224"/>
      <c r="E203" s="107"/>
      <c r="F203" s="107"/>
      <c r="G203" s="107"/>
      <c r="H203" s="251"/>
      <c r="I203" s="102"/>
      <c r="J203" s="102"/>
      <c r="K203" s="102"/>
      <c r="L203" s="102"/>
      <c r="M203" s="102"/>
      <c r="N203" s="102"/>
      <c r="O203" s="102"/>
      <c r="P203" s="144"/>
      <c r="Q203" s="102"/>
      <c r="R203" s="102"/>
      <c r="S203" s="102"/>
      <c r="T203" s="102"/>
      <c r="U203" s="102"/>
      <c r="V203" s="102"/>
      <c r="W203" s="102"/>
      <c r="X203" s="102"/>
      <c r="Y203" s="102"/>
      <c r="Z203" s="121"/>
      <c r="AA203" s="102"/>
      <c r="AB203" s="107"/>
      <c r="AC203" s="102"/>
    </row>
    <row r="204">
      <c r="A204" s="107"/>
      <c r="B204" s="113"/>
      <c r="C204" s="224"/>
      <c r="D204" s="224"/>
      <c r="E204" s="107"/>
      <c r="F204" s="107"/>
      <c r="G204" s="107"/>
      <c r="H204" s="251"/>
      <c r="I204" s="102"/>
      <c r="J204" s="102"/>
      <c r="K204" s="102"/>
      <c r="L204" s="102"/>
      <c r="M204" s="102"/>
      <c r="N204" s="102"/>
      <c r="O204" s="102"/>
      <c r="P204" s="144"/>
      <c r="Q204" s="102"/>
      <c r="R204" s="102"/>
      <c r="S204" s="102"/>
      <c r="T204" s="102"/>
      <c r="U204" s="102"/>
      <c r="V204" s="102"/>
      <c r="W204" s="102"/>
      <c r="X204" s="102"/>
      <c r="Y204" s="102"/>
      <c r="Z204" s="121"/>
      <c r="AA204" s="102"/>
      <c r="AB204" s="107"/>
      <c r="AC204" s="102"/>
    </row>
    <row r="205">
      <c r="A205" s="107"/>
      <c r="B205" s="113"/>
      <c r="C205" s="224"/>
      <c r="D205" s="224"/>
      <c r="E205" s="107"/>
      <c r="F205" s="107"/>
      <c r="G205" s="107"/>
      <c r="H205" s="251"/>
      <c r="I205" s="102"/>
      <c r="J205" s="102"/>
      <c r="K205" s="102"/>
      <c r="L205" s="102"/>
      <c r="M205" s="102"/>
      <c r="N205" s="102"/>
      <c r="O205" s="102"/>
      <c r="P205" s="144"/>
      <c r="Q205" s="102"/>
      <c r="R205" s="102"/>
      <c r="S205" s="102"/>
      <c r="T205" s="102"/>
      <c r="U205" s="102"/>
      <c r="V205" s="102"/>
      <c r="W205" s="102"/>
      <c r="X205" s="102"/>
      <c r="Y205" s="102"/>
      <c r="Z205" s="121"/>
      <c r="AA205" s="102"/>
      <c r="AB205" s="107"/>
      <c r="AC205" s="102"/>
    </row>
    <row r="206">
      <c r="A206" s="107"/>
      <c r="B206" s="113"/>
      <c r="C206" s="224"/>
      <c r="D206" s="224"/>
      <c r="E206" s="107"/>
      <c r="F206" s="107"/>
      <c r="G206" s="107"/>
      <c r="H206" s="251"/>
      <c r="I206" s="102"/>
      <c r="J206" s="102"/>
      <c r="K206" s="102"/>
      <c r="L206" s="102"/>
      <c r="M206" s="102"/>
      <c r="N206" s="102"/>
      <c r="O206" s="102"/>
      <c r="P206" s="144"/>
      <c r="Q206" s="102"/>
      <c r="R206" s="102"/>
      <c r="S206" s="102"/>
      <c r="T206" s="102"/>
      <c r="U206" s="102"/>
      <c r="V206" s="102"/>
      <c r="W206" s="102"/>
      <c r="X206" s="102"/>
      <c r="Y206" s="102"/>
      <c r="Z206" s="121"/>
      <c r="AA206" s="102"/>
      <c r="AB206" s="107"/>
      <c r="AC206" s="102"/>
    </row>
    <row r="207">
      <c r="A207" s="107"/>
      <c r="B207" s="113"/>
      <c r="C207" s="224"/>
      <c r="D207" s="224"/>
      <c r="E207" s="107"/>
      <c r="F207" s="107"/>
      <c r="G207" s="107"/>
      <c r="H207" s="251"/>
      <c r="I207" s="102"/>
      <c r="J207" s="102"/>
      <c r="K207" s="102"/>
      <c r="L207" s="102"/>
      <c r="M207" s="102"/>
      <c r="N207" s="102"/>
      <c r="O207" s="102"/>
      <c r="P207" s="144"/>
      <c r="Q207" s="102"/>
      <c r="R207" s="102"/>
      <c r="S207" s="102"/>
      <c r="T207" s="102"/>
      <c r="U207" s="102"/>
      <c r="V207" s="102"/>
      <c r="W207" s="102"/>
      <c r="X207" s="102"/>
      <c r="Y207" s="102"/>
      <c r="Z207" s="121"/>
      <c r="AA207" s="102"/>
      <c r="AB207" s="107"/>
      <c r="AC207" s="102"/>
    </row>
    <row r="208">
      <c r="A208" s="107"/>
      <c r="B208" s="113"/>
      <c r="C208" s="224"/>
      <c r="D208" s="224"/>
      <c r="E208" s="107"/>
      <c r="F208" s="107"/>
      <c r="G208" s="107"/>
      <c r="H208" s="251"/>
      <c r="I208" s="102"/>
      <c r="J208" s="102"/>
      <c r="K208" s="102"/>
      <c r="L208" s="102"/>
      <c r="M208" s="102"/>
      <c r="N208" s="102"/>
      <c r="O208" s="102"/>
      <c r="P208" s="144"/>
      <c r="Q208" s="102"/>
      <c r="R208" s="102"/>
      <c r="S208" s="102"/>
      <c r="T208" s="102"/>
      <c r="U208" s="102"/>
      <c r="V208" s="102"/>
      <c r="W208" s="102"/>
      <c r="X208" s="102"/>
      <c r="Y208" s="102"/>
      <c r="Z208" s="121"/>
      <c r="AA208" s="102"/>
      <c r="AB208" s="107"/>
      <c r="AC208" s="102"/>
    </row>
    <row r="209">
      <c r="A209" s="107"/>
      <c r="B209" s="113"/>
      <c r="C209" s="224"/>
      <c r="D209" s="224"/>
      <c r="E209" s="107"/>
      <c r="F209" s="107"/>
      <c r="G209" s="107"/>
      <c r="H209" s="251"/>
      <c r="I209" s="102"/>
      <c r="J209" s="102"/>
      <c r="K209" s="102"/>
      <c r="L209" s="102"/>
      <c r="M209" s="102"/>
      <c r="N209" s="102"/>
      <c r="O209" s="102"/>
      <c r="P209" s="144"/>
      <c r="Q209" s="102"/>
      <c r="R209" s="102"/>
      <c r="S209" s="102"/>
      <c r="T209" s="102"/>
      <c r="U209" s="102"/>
      <c r="V209" s="102"/>
      <c r="W209" s="102"/>
      <c r="X209" s="102"/>
      <c r="Y209" s="102"/>
      <c r="Z209" s="121"/>
      <c r="AA209" s="102"/>
      <c r="AB209" s="107"/>
      <c r="AC209" s="102"/>
    </row>
    <row r="210">
      <c r="A210" s="107"/>
      <c r="B210" s="113"/>
      <c r="C210" s="224"/>
      <c r="D210" s="224"/>
      <c r="E210" s="107"/>
      <c r="F210" s="107"/>
      <c r="G210" s="107"/>
      <c r="H210" s="251"/>
      <c r="I210" s="102"/>
      <c r="J210" s="102"/>
      <c r="K210" s="102"/>
      <c r="L210" s="102"/>
      <c r="M210" s="102"/>
      <c r="N210" s="102"/>
      <c r="O210" s="102"/>
      <c r="P210" s="144"/>
      <c r="Q210" s="102"/>
      <c r="R210" s="102"/>
      <c r="S210" s="102"/>
      <c r="T210" s="102"/>
      <c r="U210" s="102"/>
      <c r="V210" s="102"/>
      <c r="W210" s="102"/>
      <c r="X210" s="102"/>
      <c r="Y210" s="102"/>
      <c r="Z210" s="121"/>
      <c r="AA210" s="102"/>
      <c r="AB210" s="107"/>
      <c r="AC210" s="102"/>
    </row>
    <row r="211">
      <c r="A211" s="107"/>
      <c r="B211" s="113"/>
      <c r="C211" s="224"/>
      <c r="D211" s="224"/>
      <c r="E211" s="107"/>
      <c r="F211" s="107"/>
      <c r="G211" s="107"/>
      <c r="H211" s="251"/>
      <c r="I211" s="102"/>
      <c r="J211" s="102"/>
      <c r="K211" s="102"/>
      <c r="L211" s="102"/>
      <c r="M211" s="102"/>
      <c r="N211" s="102"/>
      <c r="O211" s="102"/>
      <c r="P211" s="144"/>
      <c r="Q211" s="102"/>
      <c r="R211" s="102"/>
      <c r="S211" s="102"/>
      <c r="T211" s="102"/>
      <c r="U211" s="102"/>
      <c r="V211" s="102"/>
      <c r="W211" s="102"/>
      <c r="X211" s="102"/>
      <c r="Y211" s="102"/>
      <c r="Z211" s="121"/>
      <c r="AA211" s="102"/>
      <c r="AB211" s="107"/>
      <c r="AC211" s="102"/>
    </row>
    <row r="212">
      <c r="A212" s="107"/>
      <c r="B212" s="113"/>
      <c r="C212" s="224"/>
      <c r="D212" s="224"/>
      <c r="E212" s="107"/>
      <c r="F212" s="107"/>
      <c r="G212" s="107"/>
      <c r="H212" s="251"/>
      <c r="I212" s="102"/>
      <c r="J212" s="102"/>
      <c r="K212" s="102"/>
      <c r="L212" s="102"/>
      <c r="M212" s="102"/>
      <c r="N212" s="102"/>
      <c r="O212" s="102"/>
      <c r="P212" s="144"/>
      <c r="Q212" s="102"/>
      <c r="R212" s="102"/>
      <c r="S212" s="102"/>
      <c r="T212" s="102"/>
      <c r="U212" s="102"/>
      <c r="V212" s="102"/>
      <c r="W212" s="102"/>
      <c r="X212" s="102"/>
      <c r="Y212" s="102"/>
      <c r="Z212" s="121"/>
      <c r="AA212" s="102"/>
      <c r="AB212" s="107"/>
      <c r="AC212" s="102"/>
    </row>
    <row r="213">
      <c r="A213" s="107"/>
      <c r="B213" s="113"/>
      <c r="C213" s="224"/>
      <c r="D213" s="224"/>
      <c r="E213" s="107"/>
      <c r="F213" s="107"/>
      <c r="G213" s="107"/>
      <c r="H213" s="251"/>
      <c r="I213" s="102"/>
      <c r="J213" s="102"/>
      <c r="K213" s="102"/>
      <c r="L213" s="102"/>
      <c r="M213" s="102"/>
      <c r="N213" s="102"/>
      <c r="O213" s="102"/>
      <c r="P213" s="144"/>
      <c r="Q213" s="102"/>
      <c r="R213" s="102"/>
      <c r="S213" s="102"/>
      <c r="T213" s="102"/>
      <c r="U213" s="102"/>
      <c r="V213" s="102"/>
      <c r="W213" s="102"/>
      <c r="X213" s="102"/>
      <c r="Y213" s="102"/>
      <c r="Z213" s="121"/>
      <c r="AA213" s="102"/>
      <c r="AB213" s="107"/>
      <c r="AC213" s="102"/>
    </row>
    <row r="214">
      <c r="A214" s="107"/>
      <c r="B214" s="113"/>
      <c r="C214" s="224"/>
      <c r="D214" s="224"/>
      <c r="E214" s="107"/>
      <c r="F214" s="107"/>
      <c r="G214" s="107"/>
      <c r="H214" s="251"/>
      <c r="I214" s="102"/>
      <c r="J214" s="102"/>
      <c r="K214" s="102"/>
      <c r="L214" s="102"/>
      <c r="M214" s="102"/>
      <c r="N214" s="102"/>
      <c r="O214" s="102"/>
      <c r="P214" s="144"/>
      <c r="Q214" s="102"/>
      <c r="R214" s="102"/>
      <c r="S214" s="102"/>
      <c r="T214" s="102"/>
      <c r="U214" s="102"/>
      <c r="V214" s="102"/>
      <c r="W214" s="102"/>
      <c r="X214" s="102"/>
      <c r="Y214" s="102"/>
      <c r="Z214" s="121"/>
      <c r="AA214" s="102"/>
      <c r="AB214" s="107"/>
      <c r="AC214" s="102"/>
    </row>
    <row r="215">
      <c r="A215" s="107"/>
      <c r="B215" s="113"/>
      <c r="C215" s="224"/>
      <c r="D215" s="224"/>
      <c r="E215" s="107"/>
      <c r="F215" s="107"/>
      <c r="G215" s="107"/>
      <c r="H215" s="251"/>
      <c r="I215" s="102"/>
      <c r="J215" s="102"/>
      <c r="K215" s="102"/>
      <c r="L215" s="102"/>
      <c r="M215" s="102"/>
      <c r="N215" s="102"/>
      <c r="O215" s="102"/>
      <c r="P215" s="144"/>
      <c r="Q215" s="102"/>
      <c r="R215" s="102"/>
      <c r="S215" s="102"/>
      <c r="T215" s="102"/>
      <c r="U215" s="102"/>
      <c r="V215" s="102"/>
      <c r="W215" s="102"/>
      <c r="X215" s="102"/>
      <c r="Y215" s="102"/>
      <c r="Z215" s="121"/>
      <c r="AA215" s="102"/>
      <c r="AB215" s="107"/>
      <c r="AC215" s="102"/>
    </row>
    <row r="216">
      <c r="A216" s="107"/>
      <c r="B216" s="113"/>
      <c r="C216" s="224"/>
      <c r="D216" s="224"/>
      <c r="E216" s="107"/>
      <c r="F216" s="107"/>
      <c r="G216" s="107"/>
      <c r="H216" s="251"/>
      <c r="I216" s="102"/>
      <c r="J216" s="102"/>
      <c r="K216" s="102"/>
      <c r="L216" s="102"/>
      <c r="M216" s="102"/>
      <c r="N216" s="102"/>
      <c r="O216" s="102"/>
      <c r="P216" s="144"/>
      <c r="Q216" s="102"/>
      <c r="R216" s="102"/>
      <c r="S216" s="102"/>
      <c r="T216" s="102"/>
      <c r="U216" s="102"/>
      <c r="V216" s="102"/>
      <c r="W216" s="102"/>
      <c r="X216" s="102"/>
      <c r="Y216" s="102"/>
      <c r="Z216" s="121"/>
      <c r="AA216" s="102"/>
      <c r="AB216" s="107"/>
      <c r="AC216" s="102"/>
    </row>
    <row r="217">
      <c r="A217" s="107"/>
      <c r="B217" s="113"/>
      <c r="C217" s="224"/>
      <c r="D217" s="224"/>
      <c r="E217" s="107"/>
      <c r="F217" s="107"/>
      <c r="G217" s="107"/>
      <c r="H217" s="251"/>
      <c r="I217" s="102"/>
      <c r="J217" s="102"/>
      <c r="K217" s="102"/>
      <c r="L217" s="102"/>
      <c r="M217" s="102"/>
      <c r="N217" s="102"/>
      <c r="O217" s="102"/>
      <c r="P217" s="144"/>
      <c r="Q217" s="102"/>
      <c r="R217" s="102"/>
      <c r="S217" s="102"/>
      <c r="T217" s="102"/>
      <c r="U217" s="102"/>
      <c r="V217" s="102"/>
      <c r="W217" s="102"/>
      <c r="X217" s="102"/>
      <c r="Y217" s="102"/>
      <c r="Z217" s="121"/>
      <c r="AA217" s="102"/>
      <c r="AB217" s="107"/>
      <c r="AC217" s="102"/>
    </row>
    <row r="218">
      <c r="A218" s="107"/>
      <c r="B218" s="113"/>
      <c r="C218" s="224"/>
      <c r="D218" s="224"/>
      <c r="E218" s="107"/>
      <c r="F218" s="107"/>
      <c r="G218" s="107"/>
      <c r="H218" s="251"/>
      <c r="I218" s="102"/>
      <c r="J218" s="102"/>
      <c r="K218" s="102"/>
      <c r="L218" s="102"/>
      <c r="M218" s="102"/>
      <c r="N218" s="102"/>
      <c r="O218" s="102"/>
      <c r="P218" s="144"/>
      <c r="Q218" s="102"/>
      <c r="R218" s="102"/>
      <c r="S218" s="102"/>
      <c r="T218" s="102"/>
      <c r="U218" s="102"/>
      <c r="V218" s="102"/>
      <c r="W218" s="102"/>
      <c r="X218" s="102"/>
      <c r="Y218" s="102"/>
      <c r="Z218" s="121"/>
      <c r="AA218" s="102"/>
      <c r="AB218" s="107"/>
      <c r="AC218" s="102"/>
    </row>
    <row r="219">
      <c r="A219" s="107"/>
      <c r="B219" s="113"/>
      <c r="C219" s="224"/>
      <c r="D219" s="224"/>
      <c r="E219" s="107"/>
      <c r="F219" s="107"/>
      <c r="G219" s="107"/>
      <c r="H219" s="251"/>
      <c r="I219" s="102"/>
      <c r="J219" s="102"/>
      <c r="K219" s="102"/>
      <c r="L219" s="102"/>
      <c r="M219" s="102"/>
      <c r="N219" s="102"/>
      <c r="O219" s="102"/>
      <c r="P219" s="144"/>
      <c r="Q219" s="102"/>
      <c r="R219" s="102"/>
      <c r="S219" s="102"/>
      <c r="T219" s="102"/>
      <c r="U219" s="102"/>
      <c r="V219" s="102"/>
      <c r="W219" s="102"/>
      <c r="X219" s="102"/>
      <c r="Y219" s="102"/>
      <c r="Z219" s="121"/>
      <c r="AA219" s="102"/>
      <c r="AB219" s="107"/>
      <c r="AC219" s="102"/>
    </row>
    <row r="220">
      <c r="A220" s="107"/>
      <c r="B220" s="113"/>
      <c r="C220" s="224"/>
      <c r="D220" s="224"/>
      <c r="E220" s="107"/>
      <c r="F220" s="107"/>
      <c r="G220" s="107"/>
      <c r="H220" s="251"/>
      <c r="I220" s="102"/>
      <c r="J220" s="102"/>
      <c r="K220" s="102"/>
      <c r="L220" s="102"/>
      <c r="M220" s="102"/>
      <c r="N220" s="102"/>
      <c r="O220" s="102"/>
      <c r="P220" s="144"/>
      <c r="Q220" s="102"/>
      <c r="R220" s="102"/>
      <c r="S220" s="102"/>
      <c r="T220" s="102"/>
      <c r="U220" s="102"/>
      <c r="V220" s="102"/>
      <c r="W220" s="102"/>
      <c r="X220" s="102"/>
      <c r="Y220" s="102"/>
      <c r="Z220" s="121"/>
      <c r="AA220" s="102"/>
      <c r="AB220" s="107"/>
      <c r="AC220" s="102"/>
    </row>
    <row r="221">
      <c r="A221" s="107"/>
      <c r="B221" s="113"/>
      <c r="C221" s="224"/>
      <c r="D221" s="224"/>
      <c r="E221" s="107"/>
      <c r="F221" s="107"/>
      <c r="G221" s="107"/>
      <c r="H221" s="251"/>
      <c r="I221" s="102"/>
      <c r="J221" s="102"/>
      <c r="K221" s="102"/>
      <c r="L221" s="102"/>
      <c r="M221" s="102"/>
      <c r="N221" s="102"/>
      <c r="O221" s="102"/>
      <c r="P221" s="144"/>
      <c r="Q221" s="102"/>
      <c r="R221" s="102"/>
      <c r="S221" s="102"/>
      <c r="T221" s="102"/>
      <c r="U221" s="102"/>
      <c r="V221" s="102"/>
      <c r="W221" s="102"/>
      <c r="X221" s="102"/>
      <c r="Y221" s="102"/>
      <c r="Z221" s="121"/>
      <c r="AA221" s="102"/>
      <c r="AB221" s="107"/>
      <c r="AC221" s="102"/>
    </row>
    <row r="222">
      <c r="A222" s="107"/>
      <c r="B222" s="113"/>
      <c r="C222" s="224"/>
      <c r="D222" s="224"/>
      <c r="E222" s="107"/>
      <c r="F222" s="107"/>
      <c r="G222" s="107"/>
      <c r="H222" s="251"/>
      <c r="I222" s="102"/>
      <c r="J222" s="102"/>
      <c r="K222" s="102"/>
      <c r="L222" s="102"/>
      <c r="M222" s="102"/>
      <c r="N222" s="102"/>
      <c r="O222" s="102"/>
      <c r="P222" s="144"/>
      <c r="Q222" s="102"/>
      <c r="R222" s="102"/>
      <c r="S222" s="102"/>
      <c r="T222" s="102"/>
      <c r="U222" s="102"/>
      <c r="V222" s="102"/>
      <c r="W222" s="102"/>
      <c r="X222" s="102"/>
      <c r="Y222" s="102"/>
      <c r="Z222" s="121"/>
      <c r="AA222" s="102"/>
      <c r="AB222" s="107"/>
      <c r="AC222" s="102"/>
    </row>
    <row r="223">
      <c r="A223" s="107"/>
      <c r="B223" s="113"/>
      <c r="C223" s="224"/>
      <c r="D223" s="224"/>
      <c r="E223" s="107"/>
      <c r="F223" s="107"/>
      <c r="G223" s="107"/>
      <c r="H223" s="251"/>
      <c r="I223" s="102"/>
      <c r="J223" s="102"/>
      <c r="K223" s="102"/>
      <c r="L223" s="102"/>
      <c r="M223" s="102"/>
      <c r="N223" s="102"/>
      <c r="O223" s="102"/>
      <c r="P223" s="144"/>
      <c r="Q223" s="102"/>
      <c r="R223" s="102"/>
      <c r="S223" s="102"/>
      <c r="T223" s="102"/>
      <c r="U223" s="102"/>
      <c r="V223" s="102"/>
      <c r="W223" s="102"/>
      <c r="X223" s="102"/>
      <c r="Y223" s="102"/>
      <c r="Z223" s="121"/>
      <c r="AA223" s="102"/>
      <c r="AB223" s="107"/>
      <c r="AC223" s="102"/>
    </row>
    <row r="224">
      <c r="A224" s="107"/>
      <c r="B224" s="113"/>
      <c r="C224" s="224"/>
      <c r="D224" s="224"/>
      <c r="E224" s="107"/>
      <c r="F224" s="107"/>
      <c r="G224" s="107"/>
      <c r="H224" s="251"/>
      <c r="I224" s="102"/>
      <c r="J224" s="102"/>
      <c r="K224" s="102"/>
      <c r="L224" s="102"/>
      <c r="M224" s="102"/>
      <c r="N224" s="102"/>
      <c r="O224" s="102"/>
      <c r="P224" s="144"/>
      <c r="Q224" s="102"/>
      <c r="R224" s="102"/>
      <c r="S224" s="102"/>
      <c r="T224" s="102"/>
      <c r="U224" s="102"/>
      <c r="V224" s="102"/>
      <c r="W224" s="102"/>
      <c r="X224" s="102"/>
      <c r="Y224" s="102"/>
      <c r="Z224" s="121"/>
      <c r="AA224" s="102"/>
      <c r="AB224" s="107"/>
      <c r="AC224" s="102"/>
    </row>
    <row r="225">
      <c r="A225" s="107"/>
      <c r="B225" s="113"/>
      <c r="C225" s="224"/>
      <c r="D225" s="224"/>
      <c r="E225" s="107"/>
      <c r="F225" s="107"/>
      <c r="G225" s="107"/>
      <c r="H225" s="251"/>
      <c r="I225" s="102"/>
      <c r="J225" s="102"/>
      <c r="K225" s="102"/>
      <c r="L225" s="102"/>
      <c r="M225" s="102"/>
      <c r="N225" s="102"/>
      <c r="O225" s="102"/>
      <c r="P225" s="144"/>
      <c r="Q225" s="102"/>
      <c r="R225" s="102"/>
      <c r="S225" s="102"/>
      <c r="T225" s="102"/>
      <c r="U225" s="102"/>
      <c r="V225" s="102"/>
      <c r="W225" s="102"/>
      <c r="X225" s="102"/>
      <c r="Y225" s="102"/>
      <c r="Z225" s="121"/>
      <c r="AA225" s="102"/>
      <c r="AB225" s="107"/>
      <c r="AC225" s="102"/>
    </row>
    <row r="226">
      <c r="A226" s="107"/>
      <c r="B226" s="113"/>
      <c r="C226" s="224"/>
      <c r="D226" s="224"/>
      <c r="E226" s="107"/>
      <c r="F226" s="107"/>
      <c r="G226" s="107"/>
      <c r="H226" s="251"/>
      <c r="I226" s="102"/>
      <c r="J226" s="102"/>
      <c r="K226" s="102"/>
      <c r="L226" s="102"/>
      <c r="M226" s="102"/>
      <c r="N226" s="102"/>
      <c r="O226" s="102"/>
      <c r="P226" s="144"/>
      <c r="Q226" s="102"/>
      <c r="R226" s="102"/>
      <c r="S226" s="102"/>
      <c r="T226" s="102"/>
      <c r="U226" s="102"/>
      <c r="V226" s="102"/>
      <c r="W226" s="102"/>
      <c r="X226" s="102"/>
      <c r="Y226" s="102"/>
      <c r="Z226" s="121"/>
      <c r="AA226" s="102"/>
      <c r="AB226" s="107"/>
      <c r="AC226" s="102"/>
    </row>
    <row r="227">
      <c r="A227" s="107"/>
      <c r="B227" s="113"/>
      <c r="C227" s="224"/>
      <c r="D227" s="224"/>
      <c r="E227" s="107"/>
      <c r="F227" s="107"/>
      <c r="G227" s="107"/>
      <c r="H227" s="251"/>
      <c r="I227" s="102"/>
      <c r="J227" s="102"/>
      <c r="K227" s="102"/>
      <c r="L227" s="102"/>
      <c r="M227" s="102"/>
      <c r="N227" s="102"/>
      <c r="O227" s="102"/>
      <c r="P227" s="144"/>
      <c r="Q227" s="102"/>
      <c r="R227" s="102"/>
      <c r="S227" s="102"/>
      <c r="T227" s="102"/>
      <c r="U227" s="102"/>
      <c r="V227" s="102"/>
      <c r="W227" s="102"/>
      <c r="X227" s="102"/>
      <c r="Y227" s="102"/>
      <c r="Z227" s="121"/>
      <c r="AA227" s="102"/>
      <c r="AB227" s="107"/>
      <c r="AC227" s="102"/>
    </row>
    <row r="228">
      <c r="A228" s="107"/>
      <c r="B228" s="113"/>
      <c r="C228" s="224"/>
      <c r="D228" s="224"/>
      <c r="E228" s="107"/>
      <c r="F228" s="107"/>
      <c r="G228" s="107"/>
      <c r="H228" s="251"/>
      <c r="I228" s="102"/>
      <c r="J228" s="102"/>
      <c r="K228" s="102"/>
      <c r="L228" s="102"/>
      <c r="M228" s="102"/>
      <c r="N228" s="102"/>
      <c r="O228" s="102"/>
      <c r="P228" s="144"/>
      <c r="Q228" s="102"/>
      <c r="R228" s="102"/>
      <c r="S228" s="102"/>
      <c r="T228" s="102"/>
      <c r="U228" s="102"/>
      <c r="V228" s="102"/>
      <c r="W228" s="102"/>
      <c r="X228" s="102"/>
      <c r="Y228" s="102"/>
      <c r="Z228" s="121"/>
      <c r="AA228" s="102"/>
      <c r="AB228" s="107"/>
      <c r="AC228" s="102"/>
    </row>
    <row r="229">
      <c r="A229" s="107"/>
      <c r="B229" s="113"/>
      <c r="C229" s="224"/>
      <c r="D229" s="224"/>
      <c r="E229" s="107"/>
      <c r="F229" s="107"/>
      <c r="G229" s="107"/>
      <c r="H229" s="251"/>
      <c r="I229" s="102"/>
      <c r="J229" s="102"/>
      <c r="K229" s="102"/>
      <c r="L229" s="102"/>
      <c r="M229" s="102"/>
      <c r="N229" s="102"/>
      <c r="O229" s="102"/>
      <c r="P229" s="144"/>
      <c r="Q229" s="102"/>
      <c r="R229" s="102"/>
      <c r="S229" s="102"/>
      <c r="T229" s="102"/>
      <c r="U229" s="102"/>
      <c r="V229" s="102"/>
      <c r="W229" s="102"/>
      <c r="X229" s="102"/>
      <c r="Y229" s="102"/>
      <c r="Z229" s="121"/>
      <c r="AA229" s="102"/>
      <c r="AB229" s="107"/>
      <c r="AC229" s="102"/>
    </row>
    <row r="230">
      <c r="A230" s="107"/>
      <c r="B230" s="113"/>
      <c r="C230" s="224"/>
      <c r="D230" s="224"/>
      <c r="E230" s="107"/>
      <c r="F230" s="107"/>
      <c r="G230" s="107"/>
      <c r="H230" s="251"/>
      <c r="I230" s="102"/>
      <c r="J230" s="102"/>
      <c r="K230" s="102"/>
      <c r="L230" s="102"/>
      <c r="M230" s="102"/>
      <c r="N230" s="102"/>
      <c r="O230" s="102"/>
      <c r="P230" s="144"/>
      <c r="Q230" s="102"/>
      <c r="R230" s="102"/>
      <c r="S230" s="102"/>
      <c r="T230" s="102"/>
      <c r="U230" s="102"/>
      <c r="V230" s="102"/>
      <c r="W230" s="102"/>
      <c r="X230" s="102"/>
      <c r="Y230" s="102"/>
      <c r="Z230" s="121"/>
      <c r="AA230" s="102"/>
      <c r="AB230" s="107"/>
      <c r="AC230" s="102"/>
    </row>
    <row r="231">
      <c r="A231" s="107"/>
      <c r="B231" s="113"/>
      <c r="C231" s="224"/>
      <c r="D231" s="224"/>
      <c r="E231" s="107"/>
      <c r="F231" s="107"/>
      <c r="G231" s="107"/>
      <c r="H231" s="251"/>
      <c r="I231" s="102"/>
      <c r="J231" s="102"/>
      <c r="K231" s="102"/>
      <c r="L231" s="102"/>
      <c r="M231" s="102"/>
      <c r="N231" s="102"/>
      <c r="O231" s="102"/>
      <c r="P231" s="144"/>
      <c r="Q231" s="102"/>
      <c r="R231" s="102"/>
      <c r="S231" s="102"/>
      <c r="T231" s="102"/>
      <c r="U231" s="102"/>
      <c r="V231" s="102"/>
      <c r="W231" s="102"/>
      <c r="X231" s="102"/>
      <c r="Y231" s="102"/>
      <c r="Z231" s="121"/>
      <c r="AA231" s="102"/>
      <c r="AB231" s="107"/>
      <c r="AC231" s="102"/>
    </row>
    <row r="232">
      <c r="A232" s="107"/>
      <c r="B232" s="113"/>
      <c r="C232" s="224"/>
      <c r="D232" s="224"/>
      <c r="E232" s="107"/>
      <c r="F232" s="107"/>
      <c r="G232" s="107"/>
      <c r="H232" s="251"/>
      <c r="I232" s="102"/>
      <c r="J232" s="102"/>
      <c r="K232" s="102"/>
      <c r="L232" s="102"/>
      <c r="M232" s="102"/>
      <c r="N232" s="102"/>
      <c r="O232" s="102"/>
      <c r="P232" s="144"/>
      <c r="Q232" s="102"/>
      <c r="R232" s="102"/>
      <c r="S232" s="102"/>
      <c r="T232" s="102"/>
      <c r="U232" s="102"/>
      <c r="V232" s="102"/>
      <c r="W232" s="102"/>
      <c r="X232" s="102"/>
      <c r="Y232" s="102"/>
      <c r="Z232" s="121"/>
      <c r="AA232" s="102"/>
      <c r="AB232" s="107"/>
      <c r="AC232" s="102"/>
    </row>
    <row r="233">
      <c r="A233" s="107"/>
      <c r="B233" s="113"/>
      <c r="C233" s="224"/>
      <c r="D233" s="224"/>
      <c r="E233" s="107"/>
      <c r="F233" s="107"/>
      <c r="G233" s="107"/>
      <c r="H233" s="251"/>
      <c r="I233" s="102"/>
      <c r="J233" s="102"/>
      <c r="K233" s="102"/>
      <c r="L233" s="102"/>
      <c r="M233" s="102"/>
      <c r="N233" s="102"/>
      <c r="O233" s="102"/>
      <c r="P233" s="144"/>
      <c r="Q233" s="102"/>
      <c r="R233" s="102"/>
      <c r="S233" s="102"/>
      <c r="T233" s="102"/>
      <c r="U233" s="102"/>
      <c r="V233" s="102"/>
      <c r="W233" s="102"/>
      <c r="X233" s="102"/>
      <c r="Y233" s="102"/>
      <c r="Z233" s="121"/>
      <c r="AA233" s="102"/>
      <c r="AB233" s="107"/>
      <c r="AC233" s="102"/>
    </row>
    <row r="234">
      <c r="A234" s="107"/>
      <c r="B234" s="113"/>
      <c r="C234" s="224"/>
      <c r="D234" s="224"/>
      <c r="E234" s="107"/>
      <c r="F234" s="107"/>
      <c r="G234" s="107"/>
      <c r="H234" s="251"/>
      <c r="I234" s="102"/>
      <c r="J234" s="102"/>
      <c r="K234" s="102"/>
      <c r="L234" s="102"/>
      <c r="M234" s="102"/>
      <c r="N234" s="102"/>
      <c r="O234" s="102"/>
      <c r="P234" s="144"/>
      <c r="Q234" s="102"/>
      <c r="R234" s="102"/>
      <c r="S234" s="102"/>
      <c r="T234" s="102"/>
      <c r="U234" s="102"/>
      <c r="V234" s="102"/>
      <c r="W234" s="102"/>
      <c r="X234" s="102"/>
      <c r="Y234" s="102"/>
      <c r="Z234" s="121"/>
      <c r="AA234" s="102"/>
      <c r="AB234" s="107"/>
      <c r="AC234" s="102"/>
    </row>
    <row r="235">
      <c r="A235" s="107"/>
      <c r="B235" s="113"/>
      <c r="C235" s="224"/>
      <c r="D235" s="224"/>
      <c r="E235" s="107"/>
      <c r="F235" s="107"/>
      <c r="G235" s="107"/>
      <c r="H235" s="251"/>
      <c r="I235" s="102"/>
      <c r="J235" s="102"/>
      <c r="K235" s="102"/>
      <c r="L235" s="102"/>
      <c r="M235" s="102"/>
      <c r="N235" s="102"/>
      <c r="O235" s="102"/>
      <c r="P235" s="144"/>
      <c r="Q235" s="102"/>
      <c r="R235" s="102"/>
      <c r="S235" s="102"/>
      <c r="T235" s="102"/>
      <c r="U235" s="102"/>
      <c r="V235" s="102"/>
      <c r="W235" s="102"/>
      <c r="X235" s="102"/>
      <c r="Y235" s="102"/>
      <c r="Z235" s="121"/>
      <c r="AA235" s="102"/>
      <c r="AB235" s="107"/>
      <c r="AC235" s="102"/>
    </row>
    <row r="236">
      <c r="A236" s="107"/>
      <c r="B236" s="113"/>
      <c r="C236" s="224"/>
      <c r="D236" s="224"/>
      <c r="E236" s="107"/>
      <c r="F236" s="107"/>
      <c r="G236" s="107"/>
      <c r="H236" s="251"/>
      <c r="I236" s="102"/>
      <c r="J236" s="102"/>
      <c r="K236" s="102"/>
      <c r="L236" s="102"/>
      <c r="M236" s="102"/>
      <c r="N236" s="102"/>
      <c r="O236" s="102"/>
      <c r="P236" s="144"/>
      <c r="Q236" s="102"/>
      <c r="R236" s="102"/>
      <c r="S236" s="102"/>
      <c r="T236" s="102"/>
      <c r="U236" s="102"/>
      <c r="V236" s="102"/>
      <c r="W236" s="102"/>
      <c r="X236" s="102"/>
      <c r="Y236" s="102"/>
      <c r="Z236" s="121"/>
      <c r="AA236" s="102"/>
      <c r="AB236" s="107"/>
      <c r="AC236" s="102"/>
    </row>
    <row r="237">
      <c r="A237" s="107"/>
      <c r="B237" s="113"/>
      <c r="C237" s="224"/>
      <c r="D237" s="224"/>
      <c r="E237" s="107"/>
      <c r="F237" s="107"/>
      <c r="G237" s="107"/>
      <c r="H237" s="251"/>
      <c r="I237" s="102"/>
      <c r="J237" s="102"/>
      <c r="K237" s="102"/>
      <c r="L237" s="102"/>
      <c r="M237" s="102"/>
      <c r="N237" s="102"/>
      <c r="O237" s="102"/>
      <c r="P237" s="144"/>
      <c r="Q237" s="102"/>
      <c r="R237" s="102"/>
      <c r="S237" s="102"/>
      <c r="T237" s="102"/>
      <c r="U237" s="102"/>
      <c r="V237" s="102"/>
      <c r="W237" s="102"/>
      <c r="X237" s="102"/>
      <c r="Y237" s="102"/>
      <c r="Z237" s="121"/>
      <c r="AA237" s="102"/>
      <c r="AB237" s="107"/>
      <c r="AC237" s="102"/>
    </row>
    <row r="238">
      <c r="A238" s="107"/>
      <c r="B238" s="113"/>
      <c r="C238" s="224"/>
      <c r="D238" s="224"/>
      <c r="E238" s="107"/>
      <c r="F238" s="107"/>
      <c r="G238" s="107"/>
      <c r="H238" s="251"/>
      <c r="I238" s="102"/>
      <c r="J238" s="102"/>
      <c r="K238" s="102"/>
      <c r="L238" s="102"/>
      <c r="M238" s="102"/>
      <c r="N238" s="102"/>
      <c r="O238" s="102"/>
      <c r="P238" s="144"/>
      <c r="Q238" s="102"/>
      <c r="R238" s="102"/>
      <c r="S238" s="102"/>
      <c r="T238" s="102"/>
      <c r="U238" s="102"/>
      <c r="V238" s="102"/>
      <c r="W238" s="102"/>
      <c r="X238" s="102"/>
      <c r="Y238" s="102"/>
      <c r="Z238" s="121"/>
      <c r="AA238" s="102"/>
      <c r="AB238" s="107"/>
      <c r="AC238" s="102"/>
    </row>
    <row r="239">
      <c r="A239" s="107"/>
      <c r="B239" s="113"/>
      <c r="C239" s="224"/>
      <c r="D239" s="224"/>
      <c r="E239" s="107"/>
      <c r="F239" s="107"/>
      <c r="G239" s="107"/>
      <c r="H239" s="251"/>
      <c r="I239" s="102"/>
      <c r="J239" s="102"/>
      <c r="K239" s="102"/>
      <c r="L239" s="102"/>
      <c r="M239" s="102"/>
      <c r="N239" s="102"/>
      <c r="O239" s="102"/>
      <c r="P239" s="144"/>
      <c r="Q239" s="102"/>
      <c r="R239" s="102"/>
      <c r="S239" s="102"/>
      <c r="T239" s="102"/>
      <c r="U239" s="102"/>
      <c r="V239" s="102"/>
      <c r="W239" s="102"/>
      <c r="X239" s="102"/>
      <c r="Y239" s="102"/>
      <c r="Z239" s="121"/>
      <c r="AA239" s="102"/>
      <c r="AB239" s="107"/>
      <c r="AC239" s="102"/>
    </row>
    <row r="240">
      <c r="A240" s="107"/>
      <c r="B240" s="113"/>
      <c r="C240" s="224"/>
      <c r="D240" s="224"/>
      <c r="E240" s="107"/>
      <c r="F240" s="107"/>
      <c r="G240" s="107"/>
      <c r="H240" s="251"/>
      <c r="I240" s="102"/>
      <c r="J240" s="102"/>
      <c r="K240" s="102"/>
      <c r="L240" s="102"/>
      <c r="M240" s="102"/>
      <c r="N240" s="102"/>
      <c r="O240" s="102"/>
      <c r="P240" s="144"/>
      <c r="Q240" s="102"/>
      <c r="R240" s="102"/>
      <c r="S240" s="102"/>
      <c r="T240" s="102"/>
      <c r="U240" s="102"/>
      <c r="V240" s="102"/>
      <c r="W240" s="102"/>
      <c r="X240" s="102"/>
      <c r="Y240" s="102"/>
      <c r="Z240" s="121"/>
      <c r="AA240" s="102"/>
      <c r="AB240" s="107"/>
      <c r="AC240" s="102"/>
    </row>
    <row r="241">
      <c r="A241" s="107"/>
      <c r="B241" s="113"/>
      <c r="C241" s="224"/>
      <c r="D241" s="224"/>
      <c r="E241" s="107"/>
      <c r="F241" s="107"/>
      <c r="G241" s="107"/>
      <c r="H241" s="251"/>
      <c r="I241" s="102"/>
      <c r="J241" s="102"/>
      <c r="K241" s="102"/>
      <c r="L241" s="102"/>
      <c r="M241" s="102"/>
      <c r="N241" s="102"/>
      <c r="O241" s="102"/>
      <c r="P241" s="144"/>
      <c r="Q241" s="102"/>
      <c r="R241" s="102"/>
      <c r="S241" s="102"/>
      <c r="T241" s="102"/>
      <c r="U241" s="102"/>
      <c r="V241" s="102"/>
      <c r="W241" s="102"/>
      <c r="X241" s="102"/>
      <c r="Y241" s="102"/>
      <c r="Z241" s="121"/>
      <c r="AA241" s="102"/>
      <c r="AB241" s="107"/>
      <c r="AC241" s="102"/>
    </row>
    <row r="242">
      <c r="A242" s="107"/>
      <c r="B242" s="113"/>
      <c r="C242" s="224"/>
      <c r="D242" s="224"/>
      <c r="E242" s="107"/>
      <c r="F242" s="107"/>
      <c r="G242" s="107"/>
      <c r="H242" s="251"/>
      <c r="I242" s="102"/>
      <c r="J242" s="102"/>
      <c r="K242" s="102"/>
      <c r="L242" s="102"/>
      <c r="M242" s="102"/>
      <c r="N242" s="102"/>
      <c r="O242" s="102"/>
      <c r="P242" s="144"/>
      <c r="Q242" s="102"/>
      <c r="R242" s="102"/>
      <c r="S242" s="102"/>
      <c r="T242" s="102"/>
      <c r="U242" s="102"/>
      <c r="V242" s="102"/>
      <c r="W242" s="102"/>
      <c r="X242" s="102"/>
      <c r="Y242" s="102"/>
      <c r="Z242" s="121"/>
      <c r="AA242" s="102"/>
      <c r="AB242" s="107"/>
      <c r="AC242" s="102"/>
    </row>
    <row r="243">
      <c r="A243" s="107"/>
      <c r="B243" s="113"/>
      <c r="C243" s="224"/>
      <c r="D243" s="224"/>
      <c r="E243" s="107"/>
      <c r="F243" s="107"/>
      <c r="G243" s="107"/>
      <c r="H243" s="251"/>
      <c r="I243" s="102"/>
      <c r="J243" s="102"/>
      <c r="K243" s="102"/>
      <c r="L243" s="102"/>
      <c r="M243" s="102"/>
      <c r="N243" s="102"/>
      <c r="O243" s="102"/>
      <c r="P243" s="144"/>
      <c r="Q243" s="102"/>
      <c r="R243" s="102"/>
      <c r="S243" s="102"/>
      <c r="T243" s="102"/>
      <c r="U243" s="102"/>
      <c r="V243" s="102"/>
      <c r="W243" s="102"/>
      <c r="X243" s="102"/>
      <c r="Y243" s="102"/>
      <c r="Z243" s="121"/>
      <c r="AA243" s="102"/>
      <c r="AB243" s="107"/>
      <c r="AC243" s="102"/>
    </row>
    <row r="244">
      <c r="A244" s="107"/>
      <c r="B244" s="113"/>
      <c r="C244" s="224"/>
      <c r="D244" s="224"/>
      <c r="E244" s="107"/>
      <c r="F244" s="107"/>
      <c r="G244" s="107"/>
      <c r="H244" s="251"/>
      <c r="I244" s="102"/>
      <c r="J244" s="102"/>
      <c r="K244" s="102"/>
      <c r="L244" s="102"/>
      <c r="M244" s="102"/>
      <c r="N244" s="102"/>
      <c r="O244" s="102"/>
      <c r="P244" s="144"/>
      <c r="Q244" s="102"/>
      <c r="R244" s="102"/>
      <c r="S244" s="102"/>
      <c r="T244" s="102"/>
      <c r="U244" s="102"/>
      <c r="V244" s="102"/>
      <c r="W244" s="102"/>
      <c r="X244" s="102"/>
      <c r="Y244" s="102"/>
      <c r="Z244" s="121"/>
      <c r="AA244" s="102"/>
      <c r="AB244" s="107"/>
      <c r="AC244" s="102"/>
    </row>
    <row r="245">
      <c r="A245" s="107"/>
      <c r="B245" s="113"/>
      <c r="C245" s="224"/>
      <c r="D245" s="224"/>
      <c r="E245" s="107"/>
      <c r="F245" s="107"/>
      <c r="G245" s="107"/>
      <c r="H245" s="251"/>
      <c r="I245" s="102"/>
      <c r="J245" s="102"/>
      <c r="K245" s="102"/>
      <c r="L245" s="102"/>
      <c r="M245" s="102"/>
      <c r="N245" s="102"/>
      <c r="O245" s="102"/>
      <c r="P245" s="144"/>
      <c r="Q245" s="102"/>
      <c r="R245" s="102"/>
      <c r="S245" s="102"/>
      <c r="T245" s="102"/>
      <c r="U245" s="102"/>
      <c r="V245" s="102"/>
      <c r="W245" s="102"/>
      <c r="X245" s="102"/>
      <c r="Y245" s="102"/>
      <c r="Z245" s="121"/>
      <c r="AA245" s="102"/>
      <c r="AB245" s="107"/>
      <c r="AC245" s="102"/>
    </row>
    <row r="246">
      <c r="A246" s="107"/>
      <c r="B246" s="113"/>
      <c r="C246" s="224"/>
      <c r="D246" s="224"/>
      <c r="E246" s="107"/>
      <c r="F246" s="107"/>
      <c r="G246" s="107"/>
      <c r="H246" s="251"/>
      <c r="I246" s="102"/>
      <c r="J246" s="102"/>
      <c r="K246" s="102"/>
      <c r="L246" s="102"/>
      <c r="M246" s="102"/>
      <c r="N246" s="102"/>
      <c r="O246" s="102"/>
      <c r="P246" s="144"/>
      <c r="Q246" s="102"/>
      <c r="R246" s="102"/>
      <c r="S246" s="102"/>
      <c r="T246" s="102"/>
      <c r="U246" s="102"/>
      <c r="V246" s="102"/>
      <c r="W246" s="102"/>
      <c r="X246" s="102"/>
      <c r="Y246" s="102"/>
      <c r="Z246" s="121"/>
      <c r="AA246" s="102"/>
      <c r="AB246" s="107"/>
      <c r="AC246" s="102"/>
    </row>
    <row r="247">
      <c r="A247" s="107"/>
      <c r="B247" s="113"/>
      <c r="C247" s="224"/>
      <c r="D247" s="224"/>
      <c r="E247" s="107"/>
      <c r="F247" s="107"/>
      <c r="G247" s="107"/>
      <c r="H247" s="251"/>
      <c r="I247" s="102"/>
      <c r="J247" s="102"/>
      <c r="K247" s="102"/>
      <c r="L247" s="102"/>
      <c r="M247" s="102"/>
      <c r="N247" s="102"/>
      <c r="O247" s="102"/>
      <c r="P247" s="144"/>
      <c r="Q247" s="102"/>
      <c r="R247" s="102"/>
      <c r="S247" s="102"/>
      <c r="T247" s="102"/>
      <c r="U247" s="102"/>
      <c r="V247" s="102"/>
      <c r="W247" s="102"/>
      <c r="X247" s="102"/>
      <c r="Y247" s="102"/>
      <c r="Z247" s="121"/>
      <c r="AA247" s="102"/>
      <c r="AB247" s="107"/>
      <c r="AC247" s="102"/>
    </row>
    <row r="248">
      <c r="A248" s="107"/>
      <c r="B248" s="113"/>
      <c r="C248" s="224"/>
      <c r="D248" s="224"/>
      <c r="E248" s="107"/>
      <c r="F248" s="107"/>
      <c r="G248" s="107"/>
      <c r="H248" s="251"/>
      <c r="I248" s="102"/>
      <c r="J248" s="102"/>
      <c r="K248" s="102"/>
      <c r="L248" s="102"/>
      <c r="M248" s="102"/>
      <c r="N248" s="102"/>
      <c r="O248" s="102"/>
      <c r="P248" s="144"/>
      <c r="Q248" s="102"/>
      <c r="R248" s="102"/>
      <c r="S248" s="102"/>
      <c r="T248" s="102"/>
      <c r="U248" s="102"/>
      <c r="V248" s="102"/>
      <c r="W248" s="102"/>
      <c r="X248" s="102"/>
      <c r="Y248" s="102"/>
      <c r="Z248" s="121"/>
      <c r="AA248" s="102"/>
      <c r="AB248" s="107"/>
      <c r="AC248" s="102"/>
    </row>
    <row r="249">
      <c r="A249" s="107"/>
      <c r="B249" s="113"/>
      <c r="C249" s="224"/>
      <c r="D249" s="224"/>
      <c r="E249" s="107"/>
      <c r="F249" s="107"/>
      <c r="G249" s="107"/>
      <c r="H249" s="251"/>
      <c r="I249" s="102"/>
      <c r="J249" s="102"/>
      <c r="K249" s="102"/>
      <c r="L249" s="102"/>
      <c r="M249" s="102"/>
      <c r="N249" s="102"/>
      <c r="O249" s="102"/>
      <c r="P249" s="144"/>
      <c r="Q249" s="102"/>
      <c r="R249" s="102"/>
      <c r="S249" s="102"/>
      <c r="T249" s="102"/>
      <c r="U249" s="102"/>
      <c r="V249" s="102"/>
      <c r="W249" s="102"/>
      <c r="X249" s="102"/>
      <c r="Y249" s="102"/>
      <c r="Z249" s="121"/>
      <c r="AA249" s="102"/>
      <c r="AB249" s="107"/>
      <c r="AC249" s="102"/>
    </row>
    <row r="250">
      <c r="A250" s="107"/>
      <c r="B250" s="113"/>
      <c r="C250" s="224"/>
      <c r="D250" s="224"/>
      <c r="E250" s="107"/>
      <c r="F250" s="107"/>
      <c r="G250" s="107"/>
      <c r="H250" s="251"/>
      <c r="I250" s="102"/>
      <c r="J250" s="102"/>
      <c r="K250" s="102"/>
      <c r="L250" s="102"/>
      <c r="M250" s="102"/>
      <c r="N250" s="102"/>
      <c r="O250" s="102"/>
      <c r="P250" s="144"/>
      <c r="Q250" s="102"/>
      <c r="R250" s="102"/>
      <c r="S250" s="102"/>
      <c r="T250" s="102"/>
      <c r="U250" s="102"/>
      <c r="V250" s="102"/>
      <c r="W250" s="102"/>
      <c r="X250" s="102"/>
      <c r="Y250" s="102"/>
      <c r="Z250" s="121"/>
      <c r="AA250" s="102"/>
      <c r="AB250" s="107"/>
      <c r="AC250" s="102"/>
    </row>
    <row r="251">
      <c r="A251" s="107"/>
      <c r="B251" s="113"/>
      <c r="C251" s="224"/>
      <c r="D251" s="224"/>
      <c r="E251" s="107"/>
      <c r="F251" s="107"/>
      <c r="G251" s="107"/>
      <c r="H251" s="251"/>
      <c r="I251" s="102"/>
      <c r="J251" s="102"/>
      <c r="K251" s="102"/>
      <c r="L251" s="102"/>
      <c r="M251" s="102"/>
      <c r="N251" s="102"/>
      <c r="O251" s="102"/>
      <c r="P251" s="144"/>
      <c r="Q251" s="102"/>
      <c r="R251" s="102"/>
      <c r="S251" s="102"/>
      <c r="T251" s="102"/>
      <c r="U251" s="102"/>
      <c r="V251" s="102"/>
      <c r="W251" s="102"/>
      <c r="X251" s="102"/>
      <c r="Y251" s="102"/>
      <c r="Z251" s="121"/>
      <c r="AA251" s="102"/>
      <c r="AB251" s="107"/>
      <c r="AC251" s="102"/>
    </row>
    <row r="252">
      <c r="A252" s="107"/>
      <c r="B252" s="113"/>
      <c r="C252" s="224"/>
      <c r="D252" s="224"/>
      <c r="E252" s="107"/>
      <c r="F252" s="107"/>
      <c r="G252" s="107"/>
      <c r="H252" s="251"/>
      <c r="I252" s="102"/>
      <c r="J252" s="102"/>
      <c r="K252" s="102"/>
      <c r="L252" s="102"/>
      <c r="M252" s="102"/>
      <c r="N252" s="102"/>
      <c r="O252" s="102"/>
      <c r="P252" s="144"/>
      <c r="Q252" s="102"/>
      <c r="R252" s="102"/>
      <c r="S252" s="102"/>
      <c r="T252" s="102"/>
      <c r="U252" s="102"/>
      <c r="V252" s="102"/>
      <c r="W252" s="102"/>
      <c r="X252" s="102"/>
      <c r="Y252" s="102"/>
      <c r="Z252" s="121"/>
      <c r="AA252" s="102"/>
      <c r="AB252" s="107"/>
      <c r="AC252" s="102"/>
    </row>
    <row r="253">
      <c r="A253" s="107"/>
      <c r="B253" s="113"/>
      <c r="C253" s="224"/>
      <c r="D253" s="224"/>
      <c r="E253" s="107"/>
      <c r="F253" s="107"/>
      <c r="G253" s="107"/>
      <c r="H253" s="251"/>
      <c r="I253" s="102"/>
      <c r="J253" s="102"/>
      <c r="K253" s="102"/>
      <c r="L253" s="102"/>
      <c r="M253" s="102"/>
      <c r="N253" s="102"/>
      <c r="O253" s="102"/>
      <c r="P253" s="144"/>
      <c r="Q253" s="102"/>
      <c r="R253" s="102"/>
      <c r="S253" s="102"/>
      <c r="T253" s="102"/>
      <c r="U253" s="102"/>
      <c r="V253" s="102"/>
      <c r="W253" s="102"/>
      <c r="X253" s="102"/>
      <c r="Y253" s="102"/>
      <c r="Z253" s="121"/>
      <c r="AA253" s="102"/>
      <c r="AB253" s="107"/>
      <c r="AC253" s="102"/>
    </row>
    <row r="254">
      <c r="A254" s="107"/>
      <c r="B254" s="113"/>
      <c r="C254" s="224"/>
      <c r="D254" s="224"/>
      <c r="E254" s="107"/>
      <c r="F254" s="107"/>
      <c r="G254" s="107"/>
      <c r="H254" s="251"/>
      <c r="I254" s="102"/>
      <c r="J254" s="102"/>
      <c r="K254" s="102"/>
      <c r="L254" s="102"/>
      <c r="M254" s="102"/>
      <c r="N254" s="102"/>
      <c r="O254" s="102"/>
      <c r="P254" s="144"/>
      <c r="Q254" s="102"/>
      <c r="R254" s="102"/>
      <c r="S254" s="102"/>
      <c r="T254" s="102"/>
      <c r="U254" s="102"/>
      <c r="V254" s="102"/>
      <c r="W254" s="102"/>
      <c r="X254" s="102"/>
      <c r="Y254" s="102"/>
      <c r="Z254" s="121"/>
      <c r="AA254" s="102"/>
      <c r="AB254" s="107"/>
      <c r="AC254" s="102"/>
    </row>
    <row r="255">
      <c r="A255" s="107"/>
      <c r="B255" s="113"/>
      <c r="C255" s="224"/>
      <c r="D255" s="224"/>
      <c r="E255" s="107"/>
      <c r="F255" s="107"/>
      <c r="G255" s="107"/>
      <c r="H255" s="251"/>
      <c r="I255" s="102"/>
      <c r="J255" s="102"/>
      <c r="K255" s="102"/>
      <c r="L255" s="102"/>
      <c r="M255" s="102"/>
      <c r="N255" s="102"/>
      <c r="O255" s="102"/>
      <c r="P255" s="144"/>
      <c r="Q255" s="102"/>
      <c r="R255" s="102"/>
      <c r="S255" s="102"/>
      <c r="T255" s="102"/>
      <c r="U255" s="102"/>
      <c r="V255" s="102"/>
      <c r="W255" s="102"/>
      <c r="X255" s="102"/>
      <c r="Y255" s="102"/>
      <c r="Z255" s="121"/>
      <c r="AA255" s="102"/>
      <c r="AB255" s="107"/>
      <c r="AC255" s="102"/>
    </row>
    <row r="256">
      <c r="A256" s="107"/>
      <c r="B256" s="113"/>
      <c r="C256" s="224"/>
      <c r="D256" s="224"/>
      <c r="E256" s="107"/>
      <c r="F256" s="107"/>
      <c r="G256" s="107"/>
      <c r="H256" s="251"/>
      <c r="I256" s="102"/>
      <c r="J256" s="102"/>
      <c r="K256" s="102"/>
      <c r="L256" s="102"/>
      <c r="M256" s="102"/>
      <c r="N256" s="102"/>
      <c r="O256" s="102"/>
      <c r="P256" s="144"/>
      <c r="Q256" s="102"/>
      <c r="R256" s="102"/>
      <c r="S256" s="102"/>
      <c r="T256" s="102"/>
      <c r="U256" s="102"/>
      <c r="V256" s="102"/>
      <c r="W256" s="102"/>
      <c r="X256" s="102"/>
      <c r="Y256" s="102"/>
      <c r="Z256" s="121"/>
      <c r="AA256" s="102"/>
      <c r="AB256" s="107"/>
      <c r="AC256" s="102"/>
    </row>
    <row r="257">
      <c r="A257" s="107"/>
      <c r="B257" s="113"/>
      <c r="C257" s="224"/>
      <c r="D257" s="224"/>
      <c r="E257" s="107"/>
      <c r="F257" s="107"/>
      <c r="G257" s="107"/>
      <c r="H257" s="251"/>
      <c r="I257" s="102"/>
      <c r="J257" s="102"/>
      <c r="K257" s="102"/>
      <c r="L257" s="102"/>
      <c r="M257" s="102"/>
      <c r="N257" s="102"/>
      <c r="O257" s="102"/>
      <c r="P257" s="144"/>
      <c r="Q257" s="102"/>
      <c r="R257" s="102"/>
      <c r="S257" s="102"/>
      <c r="T257" s="102"/>
      <c r="U257" s="102"/>
      <c r="V257" s="102"/>
      <c r="W257" s="102"/>
      <c r="X257" s="102"/>
      <c r="Y257" s="102"/>
      <c r="Z257" s="121"/>
      <c r="AA257" s="102"/>
      <c r="AB257" s="107"/>
      <c r="AC257" s="102"/>
    </row>
    <row r="258">
      <c r="A258" s="107"/>
      <c r="B258" s="113"/>
      <c r="C258" s="224"/>
      <c r="D258" s="224"/>
      <c r="E258" s="107"/>
      <c r="F258" s="107"/>
      <c r="G258" s="107"/>
      <c r="H258" s="251"/>
      <c r="I258" s="102"/>
      <c r="J258" s="102"/>
      <c r="K258" s="102"/>
      <c r="L258" s="102"/>
      <c r="M258" s="102"/>
      <c r="N258" s="102"/>
      <c r="O258" s="102"/>
      <c r="P258" s="144"/>
      <c r="Q258" s="102"/>
      <c r="R258" s="102"/>
      <c r="S258" s="102"/>
      <c r="T258" s="102"/>
      <c r="U258" s="102"/>
      <c r="V258" s="102"/>
      <c r="W258" s="102"/>
      <c r="X258" s="102"/>
      <c r="Y258" s="102"/>
      <c r="Z258" s="121"/>
      <c r="AA258" s="102"/>
      <c r="AB258" s="107"/>
      <c r="AC258" s="102"/>
    </row>
    <row r="259">
      <c r="A259" s="107"/>
      <c r="B259" s="113"/>
      <c r="C259" s="224"/>
      <c r="D259" s="224"/>
      <c r="E259" s="107"/>
      <c r="F259" s="107"/>
      <c r="G259" s="107"/>
      <c r="H259" s="251"/>
      <c r="I259" s="102"/>
      <c r="J259" s="102"/>
      <c r="K259" s="102"/>
      <c r="L259" s="102"/>
      <c r="M259" s="102"/>
      <c r="N259" s="102"/>
      <c r="O259" s="102"/>
      <c r="P259" s="144"/>
      <c r="Q259" s="102"/>
      <c r="R259" s="102"/>
      <c r="S259" s="102"/>
      <c r="T259" s="102"/>
      <c r="U259" s="102"/>
      <c r="V259" s="102"/>
      <c r="W259" s="102"/>
      <c r="X259" s="102"/>
      <c r="Y259" s="102"/>
      <c r="Z259" s="121"/>
      <c r="AA259" s="102"/>
      <c r="AB259" s="107"/>
      <c r="AC259" s="102"/>
    </row>
    <row r="260">
      <c r="A260" s="107"/>
      <c r="B260" s="113"/>
      <c r="C260" s="224"/>
      <c r="D260" s="224"/>
      <c r="E260" s="107"/>
      <c r="F260" s="107"/>
      <c r="G260" s="107"/>
      <c r="H260" s="251"/>
      <c r="I260" s="102"/>
      <c r="J260" s="102"/>
      <c r="K260" s="102"/>
      <c r="L260" s="102"/>
      <c r="M260" s="102"/>
      <c r="N260" s="102"/>
      <c r="O260" s="102"/>
      <c r="P260" s="144"/>
      <c r="Q260" s="102"/>
      <c r="R260" s="102"/>
      <c r="S260" s="102"/>
      <c r="T260" s="102"/>
      <c r="U260" s="102"/>
      <c r="V260" s="102"/>
      <c r="W260" s="102"/>
      <c r="X260" s="102"/>
      <c r="Y260" s="102"/>
      <c r="Z260" s="121"/>
      <c r="AA260" s="102"/>
      <c r="AB260" s="107"/>
      <c r="AC260" s="102"/>
    </row>
    <row r="261">
      <c r="A261" s="107"/>
      <c r="B261" s="113"/>
      <c r="C261" s="224"/>
      <c r="D261" s="224"/>
      <c r="E261" s="107"/>
      <c r="F261" s="107"/>
      <c r="G261" s="107"/>
      <c r="H261" s="251"/>
      <c r="I261" s="102"/>
      <c r="J261" s="102"/>
      <c r="K261" s="102"/>
      <c r="L261" s="102"/>
      <c r="M261" s="102"/>
      <c r="N261" s="102"/>
      <c r="O261" s="102"/>
      <c r="P261" s="144"/>
      <c r="Q261" s="102"/>
      <c r="R261" s="102"/>
      <c r="S261" s="102"/>
      <c r="T261" s="102"/>
      <c r="U261" s="102"/>
      <c r="V261" s="102"/>
      <c r="W261" s="102"/>
      <c r="X261" s="102"/>
      <c r="Y261" s="102"/>
      <c r="Z261" s="121"/>
      <c r="AA261" s="102"/>
      <c r="AB261" s="107"/>
      <c r="AC261" s="102"/>
    </row>
    <row r="262">
      <c r="A262" s="107"/>
      <c r="B262" s="113"/>
      <c r="C262" s="224"/>
      <c r="D262" s="224"/>
      <c r="E262" s="107"/>
      <c r="F262" s="107"/>
      <c r="G262" s="107"/>
      <c r="H262" s="251"/>
      <c r="I262" s="102"/>
      <c r="J262" s="102"/>
      <c r="K262" s="102"/>
      <c r="L262" s="102"/>
      <c r="M262" s="102"/>
      <c r="N262" s="102"/>
      <c r="O262" s="102"/>
      <c r="P262" s="144"/>
      <c r="Q262" s="102"/>
      <c r="R262" s="102"/>
      <c r="S262" s="102"/>
      <c r="T262" s="102"/>
      <c r="U262" s="102"/>
      <c r="V262" s="102"/>
      <c r="W262" s="102"/>
      <c r="X262" s="102"/>
      <c r="Y262" s="102"/>
      <c r="Z262" s="121"/>
      <c r="AA262" s="102"/>
      <c r="AB262" s="107"/>
      <c r="AC262" s="102"/>
    </row>
    <row r="263">
      <c r="A263" s="107"/>
      <c r="B263" s="113"/>
      <c r="C263" s="224"/>
      <c r="D263" s="224"/>
      <c r="E263" s="107"/>
      <c r="F263" s="107"/>
      <c r="G263" s="107"/>
      <c r="H263" s="251"/>
      <c r="I263" s="102"/>
      <c r="J263" s="102"/>
      <c r="K263" s="102"/>
      <c r="L263" s="102"/>
      <c r="M263" s="102"/>
      <c r="N263" s="102"/>
      <c r="O263" s="102"/>
      <c r="P263" s="144"/>
      <c r="Q263" s="102"/>
      <c r="R263" s="102"/>
      <c r="S263" s="102"/>
      <c r="T263" s="102"/>
      <c r="U263" s="102"/>
      <c r="V263" s="102"/>
      <c r="W263" s="102"/>
      <c r="X263" s="102"/>
      <c r="Y263" s="102"/>
      <c r="Z263" s="121"/>
      <c r="AA263" s="102"/>
      <c r="AB263" s="107"/>
      <c r="AC263" s="102"/>
    </row>
    <row r="264">
      <c r="A264" s="107"/>
      <c r="B264" s="113"/>
      <c r="C264" s="224"/>
      <c r="D264" s="224"/>
      <c r="E264" s="107"/>
      <c r="F264" s="107"/>
      <c r="G264" s="107"/>
      <c r="H264" s="251"/>
      <c r="I264" s="102"/>
      <c r="J264" s="102"/>
      <c r="K264" s="102"/>
      <c r="L264" s="102"/>
      <c r="M264" s="102"/>
      <c r="N264" s="102"/>
      <c r="O264" s="102"/>
      <c r="P264" s="144"/>
      <c r="Q264" s="102"/>
      <c r="R264" s="102"/>
      <c r="S264" s="102"/>
      <c r="T264" s="102"/>
      <c r="U264" s="102"/>
      <c r="V264" s="102"/>
      <c r="W264" s="102"/>
      <c r="X264" s="102"/>
      <c r="Y264" s="102"/>
      <c r="Z264" s="121"/>
      <c r="AA264" s="102"/>
      <c r="AB264" s="107"/>
      <c r="AC264" s="102"/>
    </row>
    <row r="265">
      <c r="A265" s="107"/>
      <c r="B265" s="113"/>
      <c r="C265" s="224"/>
      <c r="D265" s="224"/>
      <c r="E265" s="107"/>
      <c r="F265" s="107"/>
      <c r="G265" s="107"/>
      <c r="H265" s="251"/>
      <c r="I265" s="102"/>
      <c r="J265" s="102"/>
      <c r="K265" s="102"/>
      <c r="L265" s="102"/>
      <c r="M265" s="102"/>
      <c r="N265" s="102"/>
      <c r="O265" s="102"/>
      <c r="P265" s="144"/>
      <c r="Q265" s="102"/>
      <c r="R265" s="102"/>
      <c r="S265" s="102"/>
      <c r="T265" s="102"/>
      <c r="U265" s="102"/>
      <c r="V265" s="102"/>
      <c r="W265" s="102"/>
      <c r="X265" s="102"/>
      <c r="Y265" s="102"/>
      <c r="Z265" s="121"/>
      <c r="AA265" s="102"/>
      <c r="AB265" s="107"/>
      <c r="AC265" s="102"/>
    </row>
    <row r="266">
      <c r="A266" s="107"/>
      <c r="B266" s="113"/>
      <c r="C266" s="224"/>
      <c r="D266" s="224"/>
      <c r="E266" s="107"/>
      <c r="F266" s="107"/>
      <c r="G266" s="107"/>
      <c r="H266" s="251"/>
      <c r="I266" s="102"/>
      <c r="J266" s="102"/>
      <c r="K266" s="102"/>
      <c r="L266" s="102"/>
      <c r="M266" s="102"/>
      <c r="N266" s="102"/>
      <c r="O266" s="102"/>
      <c r="P266" s="144"/>
      <c r="Q266" s="102"/>
      <c r="R266" s="102"/>
      <c r="S266" s="102"/>
      <c r="T266" s="102"/>
      <c r="U266" s="102"/>
      <c r="V266" s="102"/>
      <c r="W266" s="102"/>
      <c r="X266" s="102"/>
      <c r="Y266" s="102"/>
      <c r="Z266" s="121"/>
      <c r="AA266" s="102"/>
      <c r="AB266" s="107"/>
      <c r="AC266" s="102"/>
    </row>
    <row r="267">
      <c r="A267" s="107"/>
      <c r="B267" s="113"/>
      <c r="C267" s="224"/>
      <c r="D267" s="224"/>
      <c r="E267" s="107"/>
      <c r="F267" s="107"/>
      <c r="G267" s="107"/>
      <c r="H267" s="251"/>
      <c r="I267" s="102"/>
      <c r="J267" s="102"/>
      <c r="K267" s="102"/>
      <c r="L267" s="102"/>
      <c r="M267" s="102"/>
      <c r="N267" s="102"/>
      <c r="O267" s="102"/>
      <c r="P267" s="144"/>
      <c r="Q267" s="102"/>
      <c r="R267" s="102"/>
      <c r="S267" s="102"/>
      <c r="T267" s="102"/>
      <c r="U267" s="102"/>
      <c r="V267" s="102"/>
      <c r="W267" s="102"/>
      <c r="X267" s="102"/>
      <c r="Y267" s="102"/>
      <c r="Z267" s="121"/>
      <c r="AA267" s="102"/>
      <c r="AB267" s="107"/>
      <c r="AC267" s="102"/>
    </row>
    <row r="268">
      <c r="A268" s="107"/>
      <c r="B268" s="113"/>
      <c r="C268" s="224"/>
      <c r="D268" s="224"/>
      <c r="E268" s="107"/>
      <c r="F268" s="107"/>
      <c r="G268" s="107"/>
      <c r="H268" s="251"/>
      <c r="I268" s="102"/>
      <c r="J268" s="102"/>
      <c r="K268" s="102"/>
      <c r="L268" s="102"/>
      <c r="M268" s="102"/>
      <c r="N268" s="102"/>
      <c r="O268" s="102"/>
      <c r="P268" s="144"/>
      <c r="Q268" s="102"/>
      <c r="R268" s="102"/>
      <c r="S268" s="102"/>
      <c r="T268" s="102"/>
      <c r="U268" s="102"/>
      <c r="V268" s="102"/>
      <c r="W268" s="102"/>
      <c r="X268" s="102"/>
      <c r="Y268" s="102"/>
      <c r="Z268" s="121"/>
      <c r="AA268" s="102"/>
      <c r="AB268" s="107"/>
      <c r="AC268" s="102"/>
    </row>
    <row r="269">
      <c r="A269" s="107"/>
      <c r="B269" s="113"/>
      <c r="C269" s="224"/>
      <c r="D269" s="224"/>
      <c r="E269" s="107"/>
      <c r="F269" s="107"/>
      <c r="G269" s="107"/>
      <c r="H269" s="251"/>
      <c r="I269" s="102"/>
      <c r="J269" s="102"/>
      <c r="K269" s="102"/>
      <c r="L269" s="102"/>
      <c r="M269" s="102"/>
      <c r="N269" s="102"/>
      <c r="O269" s="102"/>
      <c r="P269" s="144"/>
      <c r="Q269" s="102"/>
      <c r="R269" s="102"/>
      <c r="S269" s="102"/>
      <c r="T269" s="102"/>
      <c r="U269" s="102"/>
      <c r="V269" s="102"/>
      <c r="W269" s="102"/>
      <c r="X269" s="102"/>
      <c r="Y269" s="102"/>
      <c r="Z269" s="121"/>
      <c r="AA269" s="102"/>
      <c r="AB269" s="107"/>
      <c r="AC269" s="102"/>
    </row>
    <row r="270">
      <c r="A270" s="107"/>
      <c r="B270" s="113"/>
      <c r="C270" s="224"/>
      <c r="D270" s="224"/>
      <c r="E270" s="107"/>
      <c r="F270" s="107"/>
      <c r="G270" s="107"/>
      <c r="H270" s="251"/>
      <c r="I270" s="102"/>
      <c r="J270" s="102"/>
      <c r="K270" s="102"/>
      <c r="L270" s="102"/>
      <c r="M270" s="102"/>
      <c r="N270" s="102"/>
      <c r="O270" s="102"/>
      <c r="P270" s="144"/>
      <c r="Q270" s="102"/>
      <c r="R270" s="102"/>
      <c r="S270" s="102"/>
      <c r="T270" s="102"/>
      <c r="U270" s="102"/>
      <c r="V270" s="102"/>
      <c r="W270" s="102"/>
      <c r="X270" s="102"/>
      <c r="Y270" s="102"/>
      <c r="Z270" s="121"/>
      <c r="AA270" s="102"/>
      <c r="AB270" s="107"/>
      <c r="AC270" s="102"/>
    </row>
    <row r="271">
      <c r="A271" s="107"/>
      <c r="B271" s="113"/>
      <c r="C271" s="224"/>
      <c r="D271" s="224"/>
      <c r="E271" s="107"/>
      <c r="F271" s="107"/>
      <c r="G271" s="107"/>
      <c r="H271" s="251"/>
      <c r="I271" s="102"/>
      <c r="J271" s="102"/>
      <c r="K271" s="102"/>
      <c r="L271" s="102"/>
      <c r="M271" s="102"/>
      <c r="N271" s="102"/>
      <c r="O271" s="102"/>
      <c r="P271" s="144"/>
      <c r="Q271" s="102"/>
      <c r="R271" s="102"/>
      <c r="S271" s="102"/>
      <c r="T271" s="102"/>
      <c r="U271" s="102"/>
      <c r="V271" s="102"/>
      <c r="W271" s="102"/>
      <c r="X271" s="102"/>
      <c r="Y271" s="102"/>
      <c r="Z271" s="121"/>
      <c r="AA271" s="102"/>
      <c r="AB271" s="107"/>
      <c r="AC271" s="102"/>
    </row>
    <row r="272">
      <c r="A272" s="107"/>
      <c r="B272" s="113"/>
      <c r="C272" s="224"/>
      <c r="D272" s="224"/>
      <c r="E272" s="107"/>
      <c r="F272" s="107"/>
      <c r="G272" s="107"/>
      <c r="H272" s="251"/>
      <c r="I272" s="102"/>
      <c r="J272" s="102"/>
      <c r="K272" s="102"/>
      <c r="L272" s="102"/>
      <c r="M272" s="102"/>
      <c r="N272" s="102"/>
      <c r="O272" s="102"/>
      <c r="P272" s="144"/>
      <c r="Q272" s="102"/>
      <c r="R272" s="102"/>
      <c r="S272" s="102"/>
      <c r="T272" s="102"/>
      <c r="U272" s="102"/>
      <c r="V272" s="102"/>
      <c r="W272" s="102"/>
      <c r="X272" s="102"/>
      <c r="Y272" s="102"/>
      <c r="Z272" s="121"/>
      <c r="AA272" s="102"/>
      <c r="AB272" s="107"/>
      <c r="AC272" s="102"/>
    </row>
    <row r="273">
      <c r="A273" s="107"/>
      <c r="B273" s="113"/>
      <c r="C273" s="224"/>
      <c r="D273" s="224"/>
      <c r="E273" s="107"/>
      <c r="F273" s="107"/>
      <c r="G273" s="107"/>
      <c r="H273" s="251"/>
      <c r="I273" s="102"/>
      <c r="J273" s="102"/>
      <c r="K273" s="102"/>
      <c r="L273" s="102"/>
      <c r="M273" s="102"/>
      <c r="N273" s="102"/>
      <c r="O273" s="102"/>
      <c r="P273" s="144"/>
      <c r="Q273" s="102"/>
      <c r="R273" s="102"/>
      <c r="S273" s="102"/>
      <c r="T273" s="102"/>
      <c r="U273" s="102"/>
      <c r="V273" s="102"/>
      <c r="W273" s="102"/>
      <c r="X273" s="102"/>
      <c r="Y273" s="102"/>
      <c r="Z273" s="121"/>
      <c r="AA273" s="102"/>
      <c r="AB273" s="107"/>
      <c r="AC273" s="102"/>
    </row>
    <row r="274">
      <c r="A274" s="107"/>
      <c r="B274" s="113"/>
      <c r="C274" s="224"/>
      <c r="D274" s="224"/>
      <c r="E274" s="107"/>
      <c r="F274" s="107"/>
      <c r="G274" s="107"/>
      <c r="H274" s="251"/>
      <c r="I274" s="102"/>
      <c r="J274" s="102"/>
      <c r="K274" s="102"/>
      <c r="L274" s="102"/>
      <c r="M274" s="102"/>
      <c r="N274" s="102"/>
      <c r="O274" s="102"/>
      <c r="P274" s="144"/>
      <c r="Q274" s="102"/>
      <c r="R274" s="102"/>
      <c r="S274" s="102"/>
      <c r="T274" s="102"/>
      <c r="U274" s="102"/>
      <c r="V274" s="102"/>
      <c r="W274" s="102"/>
      <c r="X274" s="102"/>
      <c r="Y274" s="102"/>
      <c r="Z274" s="121"/>
      <c r="AA274" s="102"/>
      <c r="AB274" s="107"/>
      <c r="AC274" s="102"/>
    </row>
    <row r="275">
      <c r="A275" s="107"/>
      <c r="B275" s="113"/>
      <c r="C275" s="224"/>
      <c r="D275" s="224"/>
      <c r="E275" s="107"/>
      <c r="F275" s="107"/>
      <c r="G275" s="107"/>
      <c r="H275" s="251"/>
      <c r="I275" s="102"/>
      <c r="J275" s="102"/>
      <c r="K275" s="102"/>
      <c r="L275" s="102"/>
      <c r="M275" s="102"/>
      <c r="N275" s="102"/>
      <c r="O275" s="102"/>
      <c r="P275" s="144"/>
      <c r="Q275" s="102"/>
      <c r="R275" s="102"/>
      <c r="S275" s="102"/>
      <c r="T275" s="102"/>
      <c r="U275" s="102"/>
      <c r="V275" s="102"/>
      <c r="W275" s="102"/>
      <c r="X275" s="102"/>
      <c r="Y275" s="102"/>
      <c r="Z275" s="121"/>
      <c r="AA275" s="102"/>
      <c r="AB275" s="107"/>
      <c r="AC275" s="102"/>
    </row>
    <row r="276">
      <c r="A276" s="107"/>
      <c r="B276" s="113"/>
      <c r="C276" s="224"/>
      <c r="D276" s="224"/>
      <c r="E276" s="107"/>
      <c r="F276" s="107"/>
      <c r="G276" s="107"/>
      <c r="H276" s="251"/>
      <c r="I276" s="102"/>
      <c r="J276" s="102"/>
      <c r="K276" s="102"/>
      <c r="L276" s="102"/>
      <c r="M276" s="102"/>
      <c r="N276" s="102"/>
      <c r="O276" s="102"/>
      <c r="P276" s="144"/>
      <c r="Q276" s="102"/>
      <c r="R276" s="102"/>
      <c r="S276" s="102"/>
      <c r="T276" s="102"/>
      <c r="U276" s="102"/>
      <c r="V276" s="102"/>
      <c r="W276" s="102"/>
      <c r="X276" s="102"/>
      <c r="Y276" s="102"/>
      <c r="Z276" s="121"/>
      <c r="AA276" s="102"/>
      <c r="AB276" s="107"/>
      <c r="AC276" s="102"/>
    </row>
    <row r="277">
      <c r="A277" s="107"/>
      <c r="B277" s="113"/>
      <c r="C277" s="224"/>
      <c r="D277" s="224"/>
      <c r="E277" s="107"/>
      <c r="F277" s="107"/>
      <c r="G277" s="107"/>
      <c r="H277" s="251"/>
      <c r="I277" s="102"/>
      <c r="J277" s="102"/>
      <c r="K277" s="102"/>
      <c r="L277" s="102"/>
      <c r="M277" s="102"/>
      <c r="N277" s="102"/>
      <c r="O277" s="102"/>
      <c r="P277" s="144"/>
      <c r="Q277" s="102"/>
      <c r="R277" s="102"/>
      <c r="S277" s="102"/>
      <c r="T277" s="102"/>
      <c r="U277" s="102"/>
      <c r="V277" s="102"/>
      <c r="W277" s="102"/>
      <c r="X277" s="102"/>
      <c r="Y277" s="102"/>
      <c r="Z277" s="121"/>
      <c r="AA277" s="102"/>
      <c r="AB277" s="107"/>
      <c r="AC277" s="102"/>
    </row>
    <row r="278">
      <c r="A278" s="107"/>
      <c r="B278" s="113"/>
      <c r="C278" s="224"/>
      <c r="D278" s="224"/>
      <c r="E278" s="107"/>
      <c r="F278" s="107"/>
      <c r="G278" s="107"/>
      <c r="H278" s="251"/>
      <c r="I278" s="102"/>
      <c r="J278" s="102"/>
      <c r="K278" s="102"/>
      <c r="L278" s="102"/>
      <c r="M278" s="102"/>
      <c r="N278" s="102"/>
      <c r="O278" s="102"/>
      <c r="P278" s="144"/>
      <c r="Q278" s="102"/>
      <c r="R278" s="102"/>
      <c r="S278" s="102"/>
      <c r="T278" s="102"/>
      <c r="U278" s="102"/>
      <c r="V278" s="102"/>
      <c r="W278" s="102"/>
      <c r="X278" s="102"/>
      <c r="Y278" s="102"/>
      <c r="Z278" s="121"/>
      <c r="AA278" s="102"/>
      <c r="AB278" s="107"/>
      <c r="AC278" s="102"/>
    </row>
    <row r="279">
      <c r="A279" s="107"/>
      <c r="B279" s="113"/>
      <c r="C279" s="224"/>
      <c r="D279" s="224"/>
      <c r="E279" s="107"/>
      <c r="F279" s="107"/>
      <c r="G279" s="107"/>
      <c r="H279" s="251"/>
      <c r="I279" s="102"/>
      <c r="J279" s="102"/>
      <c r="K279" s="102"/>
      <c r="L279" s="102"/>
      <c r="M279" s="102"/>
      <c r="N279" s="102"/>
      <c r="O279" s="102"/>
      <c r="P279" s="144"/>
      <c r="Q279" s="102"/>
      <c r="R279" s="102"/>
      <c r="S279" s="102"/>
      <c r="T279" s="102"/>
      <c r="U279" s="102"/>
      <c r="V279" s="102"/>
      <c r="W279" s="102"/>
      <c r="X279" s="102"/>
      <c r="Y279" s="102"/>
      <c r="Z279" s="121"/>
      <c r="AA279" s="102"/>
      <c r="AB279" s="107"/>
      <c r="AC279" s="102"/>
    </row>
    <row r="280">
      <c r="A280" s="107"/>
      <c r="B280" s="113"/>
      <c r="C280" s="224"/>
      <c r="D280" s="224"/>
      <c r="E280" s="107"/>
      <c r="F280" s="107"/>
      <c r="G280" s="107"/>
      <c r="H280" s="251"/>
      <c r="I280" s="102"/>
      <c r="J280" s="102"/>
      <c r="K280" s="102"/>
      <c r="L280" s="102"/>
      <c r="M280" s="102"/>
      <c r="N280" s="102"/>
      <c r="O280" s="102"/>
      <c r="P280" s="144"/>
      <c r="Q280" s="102"/>
      <c r="R280" s="102"/>
      <c r="S280" s="102"/>
      <c r="T280" s="102"/>
      <c r="U280" s="102"/>
      <c r="V280" s="102"/>
      <c r="W280" s="102"/>
      <c r="X280" s="102"/>
      <c r="Y280" s="102"/>
      <c r="Z280" s="121"/>
      <c r="AA280" s="102"/>
      <c r="AB280" s="107"/>
      <c r="AC280" s="102"/>
    </row>
    <row r="281">
      <c r="A281" s="107"/>
      <c r="B281" s="113"/>
      <c r="C281" s="224"/>
      <c r="D281" s="224"/>
      <c r="E281" s="107"/>
      <c r="F281" s="107"/>
      <c r="G281" s="107"/>
      <c r="H281" s="251"/>
      <c r="I281" s="102"/>
      <c r="J281" s="102"/>
      <c r="K281" s="102"/>
      <c r="L281" s="102"/>
      <c r="M281" s="102"/>
      <c r="N281" s="102"/>
      <c r="O281" s="102"/>
      <c r="P281" s="144"/>
      <c r="Q281" s="102"/>
      <c r="R281" s="102"/>
      <c r="S281" s="102"/>
      <c r="T281" s="102"/>
      <c r="U281" s="102"/>
      <c r="V281" s="102"/>
      <c r="W281" s="102"/>
      <c r="X281" s="102"/>
      <c r="Y281" s="102"/>
      <c r="Z281" s="121"/>
      <c r="AA281" s="102"/>
      <c r="AB281" s="107"/>
      <c r="AC281" s="102"/>
    </row>
    <row r="282">
      <c r="A282" s="107"/>
      <c r="B282" s="113"/>
      <c r="C282" s="224"/>
      <c r="D282" s="224"/>
      <c r="E282" s="107"/>
      <c r="F282" s="107"/>
      <c r="G282" s="107"/>
      <c r="H282" s="251"/>
      <c r="I282" s="102"/>
      <c r="J282" s="102"/>
      <c r="K282" s="102"/>
      <c r="L282" s="102"/>
      <c r="M282" s="102"/>
      <c r="N282" s="102"/>
      <c r="O282" s="102"/>
      <c r="P282" s="144"/>
      <c r="Q282" s="102"/>
      <c r="R282" s="102"/>
      <c r="S282" s="102"/>
      <c r="T282" s="102"/>
      <c r="U282" s="102"/>
      <c r="V282" s="102"/>
      <c r="W282" s="102"/>
      <c r="X282" s="102"/>
      <c r="Y282" s="102"/>
      <c r="Z282" s="121"/>
      <c r="AA282" s="102"/>
      <c r="AB282" s="107"/>
      <c r="AC282" s="102"/>
    </row>
    <row r="283">
      <c r="A283" s="107"/>
      <c r="B283" s="113"/>
      <c r="C283" s="224"/>
      <c r="D283" s="224"/>
      <c r="E283" s="107"/>
      <c r="F283" s="107"/>
      <c r="G283" s="107"/>
      <c r="H283" s="251"/>
      <c r="I283" s="102"/>
      <c r="J283" s="102"/>
      <c r="K283" s="102"/>
      <c r="L283" s="102"/>
      <c r="M283" s="102"/>
      <c r="N283" s="102"/>
      <c r="O283" s="102"/>
      <c r="P283" s="144"/>
      <c r="Q283" s="102"/>
      <c r="R283" s="102"/>
      <c r="S283" s="102"/>
      <c r="T283" s="102"/>
      <c r="U283" s="102"/>
      <c r="V283" s="102"/>
      <c r="W283" s="102"/>
      <c r="X283" s="102"/>
      <c r="Y283" s="102"/>
      <c r="Z283" s="121"/>
      <c r="AA283" s="102"/>
      <c r="AB283" s="107"/>
      <c r="AC283" s="102"/>
    </row>
    <row r="284">
      <c r="A284" s="107"/>
      <c r="B284" s="113"/>
      <c r="C284" s="224"/>
      <c r="D284" s="224"/>
      <c r="E284" s="107"/>
      <c r="F284" s="107"/>
      <c r="G284" s="107"/>
      <c r="H284" s="251"/>
      <c r="I284" s="102"/>
      <c r="J284" s="102"/>
      <c r="K284" s="102"/>
      <c r="L284" s="102"/>
      <c r="M284" s="102"/>
      <c r="N284" s="102"/>
      <c r="O284" s="102"/>
      <c r="P284" s="144"/>
      <c r="Q284" s="102"/>
      <c r="R284" s="102"/>
      <c r="S284" s="102"/>
      <c r="T284" s="102"/>
      <c r="U284" s="102"/>
      <c r="V284" s="102"/>
      <c r="W284" s="102"/>
      <c r="X284" s="102"/>
      <c r="Y284" s="102"/>
      <c r="Z284" s="121"/>
      <c r="AA284" s="102"/>
      <c r="AB284" s="107"/>
      <c r="AC284" s="102"/>
    </row>
    <row r="285">
      <c r="A285" s="107"/>
      <c r="B285" s="113"/>
      <c r="C285" s="224"/>
      <c r="D285" s="224"/>
      <c r="E285" s="107"/>
      <c r="F285" s="107"/>
      <c r="G285" s="107"/>
      <c r="H285" s="251"/>
      <c r="I285" s="102"/>
      <c r="J285" s="102"/>
      <c r="K285" s="102"/>
      <c r="L285" s="102"/>
      <c r="M285" s="102"/>
      <c r="N285" s="102"/>
      <c r="O285" s="102"/>
      <c r="P285" s="144"/>
      <c r="Q285" s="102"/>
      <c r="R285" s="102"/>
      <c r="S285" s="102"/>
      <c r="T285" s="102"/>
      <c r="U285" s="102"/>
      <c r="V285" s="102"/>
      <c r="W285" s="102"/>
      <c r="X285" s="102"/>
      <c r="Y285" s="102"/>
      <c r="Z285" s="121"/>
      <c r="AA285" s="102"/>
      <c r="AB285" s="107"/>
      <c r="AC285" s="102"/>
    </row>
    <row r="286">
      <c r="A286" s="107"/>
      <c r="B286" s="113"/>
      <c r="C286" s="224"/>
      <c r="D286" s="224"/>
      <c r="E286" s="107"/>
      <c r="F286" s="107"/>
      <c r="G286" s="107"/>
      <c r="H286" s="251"/>
      <c r="I286" s="102"/>
      <c r="J286" s="102"/>
      <c r="K286" s="102"/>
      <c r="L286" s="102"/>
      <c r="M286" s="102"/>
      <c r="N286" s="102"/>
      <c r="O286" s="102"/>
      <c r="P286" s="144"/>
      <c r="Q286" s="102"/>
      <c r="R286" s="102"/>
      <c r="S286" s="102"/>
      <c r="T286" s="102"/>
      <c r="U286" s="102"/>
      <c r="V286" s="102"/>
      <c r="W286" s="102"/>
      <c r="X286" s="102"/>
      <c r="Y286" s="102"/>
      <c r="Z286" s="121"/>
      <c r="AA286" s="102"/>
      <c r="AB286" s="107"/>
      <c r="AC286" s="102"/>
    </row>
    <row r="287">
      <c r="A287" s="107"/>
      <c r="B287" s="113"/>
      <c r="C287" s="224"/>
      <c r="D287" s="224"/>
      <c r="E287" s="107"/>
      <c r="F287" s="107"/>
      <c r="G287" s="107"/>
      <c r="H287" s="251"/>
      <c r="I287" s="102"/>
      <c r="J287" s="102"/>
      <c r="K287" s="102"/>
      <c r="L287" s="102"/>
      <c r="M287" s="102"/>
      <c r="N287" s="102"/>
      <c r="O287" s="102"/>
      <c r="P287" s="144"/>
      <c r="Q287" s="102"/>
      <c r="R287" s="102"/>
      <c r="S287" s="102"/>
      <c r="T287" s="102"/>
      <c r="U287" s="102"/>
      <c r="V287" s="102"/>
      <c r="W287" s="102"/>
      <c r="X287" s="102"/>
      <c r="Y287" s="102"/>
      <c r="Z287" s="121"/>
      <c r="AA287" s="102"/>
      <c r="AB287" s="107"/>
      <c r="AC287" s="102"/>
    </row>
    <row r="288">
      <c r="A288" s="107"/>
      <c r="B288" s="113"/>
      <c r="C288" s="224"/>
      <c r="D288" s="224"/>
      <c r="E288" s="107"/>
      <c r="F288" s="107"/>
      <c r="G288" s="107"/>
      <c r="H288" s="251"/>
      <c r="I288" s="102"/>
      <c r="J288" s="102"/>
      <c r="K288" s="102"/>
      <c r="L288" s="102"/>
      <c r="M288" s="102"/>
      <c r="N288" s="102"/>
      <c r="O288" s="102"/>
      <c r="P288" s="144"/>
      <c r="Q288" s="102"/>
      <c r="R288" s="102"/>
      <c r="S288" s="102"/>
      <c r="T288" s="102"/>
      <c r="U288" s="102"/>
      <c r="V288" s="102"/>
      <c r="W288" s="102"/>
      <c r="X288" s="102"/>
      <c r="Y288" s="102"/>
      <c r="Z288" s="121"/>
      <c r="AA288" s="102"/>
      <c r="AB288" s="107"/>
      <c r="AC288" s="102"/>
    </row>
    <row r="289">
      <c r="A289" s="107"/>
      <c r="B289" s="113"/>
      <c r="C289" s="224"/>
      <c r="D289" s="224"/>
      <c r="E289" s="107"/>
      <c r="F289" s="107"/>
      <c r="G289" s="107"/>
      <c r="H289" s="251"/>
      <c r="I289" s="102"/>
      <c r="J289" s="102"/>
      <c r="K289" s="102"/>
      <c r="L289" s="102"/>
      <c r="M289" s="102"/>
      <c r="N289" s="102"/>
      <c r="O289" s="102"/>
      <c r="P289" s="144"/>
      <c r="Q289" s="102"/>
      <c r="R289" s="102"/>
      <c r="S289" s="102"/>
      <c r="T289" s="102"/>
      <c r="U289" s="102"/>
      <c r="V289" s="102"/>
      <c r="W289" s="102"/>
      <c r="X289" s="102"/>
      <c r="Y289" s="102"/>
      <c r="Z289" s="121"/>
      <c r="AA289" s="102"/>
      <c r="AB289" s="107"/>
      <c r="AC289" s="102"/>
    </row>
    <row r="290">
      <c r="A290" s="107"/>
      <c r="B290" s="113"/>
      <c r="C290" s="224"/>
      <c r="D290" s="224"/>
      <c r="E290" s="107"/>
      <c r="F290" s="107"/>
      <c r="G290" s="107"/>
      <c r="H290" s="251"/>
      <c r="I290" s="102"/>
      <c r="J290" s="102"/>
      <c r="K290" s="102"/>
      <c r="L290" s="102"/>
      <c r="M290" s="102"/>
      <c r="N290" s="102"/>
      <c r="O290" s="102"/>
      <c r="P290" s="144"/>
      <c r="Q290" s="102"/>
      <c r="R290" s="102"/>
      <c r="S290" s="102"/>
      <c r="T290" s="102"/>
      <c r="U290" s="102"/>
      <c r="V290" s="102"/>
      <c r="W290" s="102"/>
      <c r="X290" s="102"/>
      <c r="Y290" s="102"/>
      <c r="Z290" s="121"/>
      <c r="AA290" s="102"/>
      <c r="AB290" s="107"/>
      <c r="AC290" s="102"/>
    </row>
    <row r="291">
      <c r="A291" s="107"/>
      <c r="B291" s="113"/>
      <c r="C291" s="224"/>
      <c r="D291" s="224"/>
      <c r="E291" s="107"/>
      <c r="F291" s="107"/>
      <c r="G291" s="107"/>
      <c r="H291" s="251"/>
      <c r="I291" s="102"/>
      <c r="J291" s="102"/>
      <c r="K291" s="102"/>
      <c r="L291" s="102"/>
      <c r="M291" s="102"/>
      <c r="N291" s="102"/>
      <c r="O291" s="102"/>
      <c r="P291" s="144"/>
      <c r="Q291" s="102"/>
      <c r="R291" s="102"/>
      <c r="S291" s="102"/>
      <c r="T291" s="102"/>
      <c r="U291" s="102"/>
      <c r="V291" s="102"/>
      <c r="W291" s="102"/>
      <c r="X291" s="102"/>
      <c r="Y291" s="102"/>
      <c r="Z291" s="121"/>
      <c r="AA291" s="102"/>
      <c r="AB291" s="107"/>
      <c r="AC291" s="102"/>
    </row>
    <row r="292">
      <c r="A292" s="107"/>
      <c r="B292" s="113"/>
      <c r="C292" s="224"/>
      <c r="D292" s="224"/>
      <c r="E292" s="107"/>
      <c r="F292" s="107"/>
      <c r="G292" s="107"/>
      <c r="H292" s="251"/>
      <c r="I292" s="102"/>
      <c r="J292" s="102"/>
      <c r="K292" s="102"/>
      <c r="L292" s="102"/>
      <c r="M292" s="102"/>
      <c r="N292" s="102"/>
      <c r="O292" s="102"/>
      <c r="P292" s="144"/>
      <c r="Q292" s="102"/>
      <c r="R292" s="102"/>
      <c r="S292" s="102"/>
      <c r="T292" s="102"/>
      <c r="U292" s="102"/>
      <c r="V292" s="102"/>
      <c r="W292" s="102"/>
      <c r="X292" s="102"/>
      <c r="Y292" s="102"/>
      <c r="Z292" s="121"/>
      <c r="AA292" s="102"/>
      <c r="AB292" s="107"/>
      <c r="AC292" s="102"/>
    </row>
    <row r="293">
      <c r="A293" s="107"/>
      <c r="B293" s="113"/>
      <c r="C293" s="224"/>
      <c r="D293" s="224"/>
      <c r="E293" s="107"/>
      <c r="F293" s="107"/>
      <c r="G293" s="107"/>
      <c r="H293" s="251"/>
      <c r="I293" s="102"/>
      <c r="J293" s="102"/>
      <c r="K293" s="102"/>
      <c r="L293" s="102"/>
      <c r="M293" s="102"/>
      <c r="N293" s="102"/>
      <c r="O293" s="102"/>
      <c r="P293" s="144"/>
      <c r="Q293" s="102"/>
      <c r="R293" s="102"/>
      <c r="S293" s="102"/>
      <c r="T293" s="102"/>
      <c r="U293" s="102"/>
      <c r="V293" s="102"/>
      <c r="W293" s="102"/>
      <c r="X293" s="102"/>
      <c r="Y293" s="102"/>
      <c r="Z293" s="121"/>
      <c r="AA293" s="102"/>
      <c r="AB293" s="107"/>
      <c r="AC293" s="102"/>
    </row>
    <row r="294">
      <c r="A294" s="107"/>
      <c r="B294" s="113"/>
      <c r="C294" s="224"/>
      <c r="D294" s="224"/>
      <c r="E294" s="107"/>
      <c r="F294" s="107"/>
      <c r="G294" s="107"/>
      <c r="H294" s="251"/>
      <c r="I294" s="102"/>
      <c r="J294" s="102"/>
      <c r="K294" s="102"/>
      <c r="L294" s="102"/>
      <c r="M294" s="102"/>
      <c r="N294" s="102"/>
      <c r="O294" s="102"/>
      <c r="P294" s="144"/>
      <c r="Q294" s="102"/>
      <c r="R294" s="102"/>
      <c r="S294" s="102"/>
      <c r="T294" s="102"/>
      <c r="U294" s="102"/>
      <c r="V294" s="102"/>
      <c r="W294" s="102"/>
      <c r="X294" s="102"/>
      <c r="Y294" s="102"/>
      <c r="Z294" s="121"/>
      <c r="AA294" s="102"/>
      <c r="AB294" s="107"/>
      <c r="AC294" s="102"/>
    </row>
    <row r="295">
      <c r="A295" s="107"/>
      <c r="B295" s="113"/>
      <c r="C295" s="224"/>
      <c r="D295" s="224"/>
      <c r="E295" s="107"/>
      <c r="F295" s="107"/>
      <c r="G295" s="107"/>
      <c r="H295" s="251"/>
      <c r="I295" s="102"/>
      <c r="J295" s="102"/>
      <c r="K295" s="102"/>
      <c r="L295" s="102"/>
      <c r="M295" s="102"/>
      <c r="N295" s="102"/>
      <c r="O295" s="102"/>
      <c r="P295" s="144"/>
      <c r="Q295" s="102"/>
      <c r="R295" s="102"/>
      <c r="S295" s="102"/>
      <c r="T295" s="102"/>
      <c r="U295" s="102"/>
      <c r="V295" s="102"/>
      <c r="W295" s="102"/>
      <c r="X295" s="102"/>
      <c r="Y295" s="102"/>
      <c r="Z295" s="121"/>
      <c r="AA295" s="102"/>
      <c r="AB295" s="107"/>
      <c r="AC295" s="102"/>
    </row>
    <row r="296">
      <c r="A296" s="107"/>
      <c r="B296" s="113"/>
      <c r="C296" s="224"/>
      <c r="D296" s="224"/>
      <c r="E296" s="107"/>
      <c r="F296" s="107"/>
      <c r="G296" s="107"/>
      <c r="H296" s="251"/>
      <c r="I296" s="102"/>
      <c r="J296" s="102"/>
      <c r="K296" s="102"/>
      <c r="L296" s="102"/>
      <c r="M296" s="102"/>
      <c r="N296" s="102"/>
      <c r="O296" s="102"/>
      <c r="P296" s="144"/>
      <c r="Q296" s="102"/>
      <c r="R296" s="102"/>
      <c r="S296" s="102"/>
      <c r="T296" s="102"/>
      <c r="U296" s="102"/>
      <c r="V296" s="102"/>
      <c r="W296" s="102"/>
      <c r="X296" s="102"/>
      <c r="Y296" s="102"/>
      <c r="Z296" s="121"/>
      <c r="AA296" s="102"/>
      <c r="AB296" s="107"/>
      <c r="AC296" s="102"/>
    </row>
    <row r="297">
      <c r="A297" s="107"/>
      <c r="B297" s="113"/>
      <c r="C297" s="224"/>
      <c r="D297" s="224"/>
      <c r="E297" s="107"/>
      <c r="F297" s="107"/>
      <c r="G297" s="107"/>
      <c r="H297" s="251"/>
      <c r="I297" s="102"/>
      <c r="J297" s="102"/>
      <c r="K297" s="102"/>
      <c r="L297" s="102"/>
      <c r="M297" s="102"/>
      <c r="N297" s="102"/>
      <c r="O297" s="102"/>
      <c r="P297" s="144"/>
      <c r="Q297" s="102"/>
      <c r="R297" s="102"/>
      <c r="S297" s="102"/>
      <c r="T297" s="102"/>
      <c r="U297" s="102"/>
      <c r="V297" s="102"/>
      <c r="W297" s="102"/>
      <c r="X297" s="102"/>
      <c r="Y297" s="102"/>
      <c r="Z297" s="121"/>
      <c r="AA297" s="102"/>
      <c r="AB297" s="107"/>
      <c r="AC297" s="102"/>
    </row>
    <row r="298">
      <c r="A298" s="107"/>
      <c r="B298" s="113"/>
      <c r="C298" s="224"/>
      <c r="D298" s="224"/>
      <c r="E298" s="107"/>
      <c r="F298" s="107"/>
      <c r="G298" s="107"/>
      <c r="H298" s="251"/>
      <c r="I298" s="102"/>
      <c r="J298" s="102"/>
      <c r="K298" s="102"/>
      <c r="L298" s="102"/>
      <c r="M298" s="102"/>
      <c r="N298" s="102"/>
      <c r="O298" s="102"/>
      <c r="P298" s="144"/>
      <c r="Q298" s="102"/>
      <c r="R298" s="102"/>
      <c r="S298" s="102"/>
      <c r="T298" s="102"/>
      <c r="U298" s="102"/>
      <c r="V298" s="102"/>
      <c r="W298" s="102"/>
      <c r="X298" s="102"/>
      <c r="Y298" s="102"/>
      <c r="Z298" s="121"/>
      <c r="AA298" s="102"/>
      <c r="AB298" s="107"/>
      <c r="AC298" s="102"/>
    </row>
    <row r="299">
      <c r="A299" s="107"/>
      <c r="B299" s="113"/>
      <c r="C299" s="224"/>
      <c r="D299" s="224"/>
      <c r="E299" s="107"/>
      <c r="F299" s="107"/>
      <c r="G299" s="107"/>
      <c r="H299" s="251"/>
      <c r="I299" s="102"/>
      <c r="J299" s="102"/>
      <c r="K299" s="102"/>
      <c r="L299" s="102"/>
      <c r="M299" s="102"/>
      <c r="N299" s="102"/>
      <c r="O299" s="102"/>
      <c r="P299" s="144"/>
      <c r="Q299" s="102"/>
      <c r="R299" s="102"/>
      <c r="S299" s="102"/>
      <c r="T299" s="102"/>
      <c r="U299" s="102"/>
      <c r="V299" s="102"/>
      <c r="W299" s="102"/>
      <c r="X299" s="102"/>
      <c r="Y299" s="102"/>
      <c r="Z299" s="121"/>
      <c r="AA299" s="102"/>
      <c r="AB299" s="107"/>
      <c r="AC299" s="102"/>
    </row>
    <row r="300">
      <c r="A300" s="107"/>
      <c r="B300" s="113"/>
      <c r="C300" s="224"/>
      <c r="D300" s="224"/>
      <c r="E300" s="107"/>
      <c r="F300" s="107"/>
      <c r="G300" s="107"/>
      <c r="H300" s="251"/>
      <c r="I300" s="102"/>
      <c r="J300" s="102"/>
      <c r="K300" s="102"/>
      <c r="L300" s="102"/>
      <c r="M300" s="102"/>
      <c r="N300" s="102"/>
      <c r="O300" s="102"/>
      <c r="P300" s="144"/>
      <c r="Q300" s="102"/>
      <c r="R300" s="102"/>
      <c r="S300" s="102"/>
      <c r="T300" s="102"/>
      <c r="U300" s="102"/>
      <c r="V300" s="102"/>
      <c r="W300" s="102"/>
      <c r="X300" s="102"/>
      <c r="Y300" s="102"/>
      <c r="Z300" s="121"/>
      <c r="AA300" s="102"/>
      <c r="AB300" s="107"/>
      <c r="AC300" s="102"/>
    </row>
    <row r="301">
      <c r="A301" s="107"/>
      <c r="B301" s="113"/>
      <c r="C301" s="224"/>
      <c r="D301" s="224"/>
      <c r="E301" s="107"/>
      <c r="F301" s="107"/>
      <c r="G301" s="107"/>
      <c r="H301" s="251"/>
      <c r="I301" s="102"/>
      <c r="J301" s="102"/>
      <c r="K301" s="102"/>
      <c r="L301" s="102"/>
      <c r="M301" s="102"/>
      <c r="N301" s="102"/>
      <c r="O301" s="102"/>
      <c r="P301" s="144"/>
      <c r="Q301" s="102"/>
      <c r="R301" s="102"/>
      <c r="S301" s="102"/>
      <c r="T301" s="102"/>
      <c r="U301" s="102"/>
      <c r="V301" s="102"/>
      <c r="W301" s="102"/>
      <c r="X301" s="102"/>
      <c r="Y301" s="102"/>
      <c r="Z301" s="121"/>
      <c r="AA301" s="102"/>
      <c r="AB301" s="107"/>
      <c r="AC301" s="102"/>
    </row>
    <row r="302">
      <c r="A302" s="107"/>
      <c r="B302" s="113"/>
      <c r="C302" s="224"/>
      <c r="D302" s="224"/>
      <c r="E302" s="107"/>
      <c r="F302" s="107"/>
      <c r="G302" s="107"/>
      <c r="H302" s="251"/>
      <c r="I302" s="102"/>
      <c r="J302" s="102"/>
      <c r="K302" s="102"/>
      <c r="L302" s="102"/>
      <c r="M302" s="102"/>
      <c r="N302" s="102"/>
      <c r="O302" s="102"/>
      <c r="P302" s="144"/>
      <c r="Q302" s="102"/>
      <c r="R302" s="102"/>
      <c r="S302" s="102"/>
      <c r="T302" s="102"/>
      <c r="U302" s="102"/>
      <c r="V302" s="102"/>
      <c r="W302" s="102"/>
      <c r="X302" s="102"/>
      <c r="Y302" s="102"/>
      <c r="Z302" s="121"/>
      <c r="AA302" s="102"/>
      <c r="AB302" s="107"/>
      <c r="AC302" s="102"/>
    </row>
    <row r="303">
      <c r="A303" s="107"/>
      <c r="B303" s="113"/>
      <c r="C303" s="224"/>
      <c r="D303" s="224"/>
      <c r="E303" s="107"/>
      <c r="F303" s="107"/>
      <c r="G303" s="107"/>
      <c r="H303" s="251"/>
      <c r="I303" s="102"/>
      <c r="J303" s="102"/>
      <c r="K303" s="102"/>
      <c r="L303" s="102"/>
      <c r="M303" s="102"/>
      <c r="N303" s="102"/>
      <c r="O303" s="102"/>
      <c r="P303" s="144"/>
      <c r="Q303" s="102"/>
      <c r="R303" s="102"/>
      <c r="S303" s="102"/>
      <c r="T303" s="102"/>
      <c r="U303" s="102"/>
      <c r="V303" s="102"/>
      <c r="W303" s="102"/>
      <c r="X303" s="102"/>
      <c r="Y303" s="102"/>
      <c r="Z303" s="121"/>
      <c r="AA303" s="102"/>
      <c r="AB303" s="107"/>
      <c r="AC303" s="102"/>
    </row>
    <row r="304">
      <c r="A304" s="107"/>
      <c r="B304" s="113"/>
      <c r="C304" s="224"/>
      <c r="D304" s="224"/>
      <c r="E304" s="107"/>
      <c r="F304" s="107"/>
      <c r="G304" s="107"/>
      <c r="H304" s="251"/>
      <c r="I304" s="102"/>
      <c r="J304" s="102"/>
      <c r="K304" s="102"/>
      <c r="L304" s="102"/>
      <c r="M304" s="102"/>
      <c r="N304" s="102"/>
      <c r="O304" s="102"/>
      <c r="P304" s="144"/>
      <c r="Q304" s="102"/>
      <c r="R304" s="102"/>
      <c r="S304" s="102"/>
      <c r="T304" s="102"/>
      <c r="U304" s="102"/>
      <c r="V304" s="102"/>
      <c r="W304" s="102"/>
      <c r="X304" s="102"/>
      <c r="Y304" s="102"/>
      <c r="Z304" s="121"/>
      <c r="AA304" s="102"/>
      <c r="AB304" s="107"/>
      <c r="AC304" s="102"/>
    </row>
    <row r="305">
      <c r="A305" s="107"/>
      <c r="B305" s="113"/>
      <c r="C305" s="224"/>
      <c r="D305" s="224"/>
      <c r="E305" s="107"/>
      <c r="F305" s="107"/>
      <c r="G305" s="107"/>
      <c r="H305" s="251"/>
      <c r="I305" s="102"/>
      <c r="J305" s="102"/>
      <c r="K305" s="102"/>
      <c r="L305" s="102"/>
      <c r="M305" s="102"/>
      <c r="N305" s="102"/>
      <c r="O305" s="102"/>
      <c r="P305" s="144"/>
      <c r="Q305" s="102"/>
      <c r="R305" s="102"/>
      <c r="S305" s="102"/>
      <c r="T305" s="102"/>
      <c r="U305" s="102"/>
      <c r="V305" s="102"/>
      <c r="W305" s="102"/>
      <c r="X305" s="102"/>
      <c r="Y305" s="102"/>
      <c r="Z305" s="121"/>
      <c r="AA305" s="102"/>
      <c r="AB305" s="107"/>
      <c r="AC305" s="102"/>
    </row>
    <row r="306">
      <c r="A306" s="107"/>
      <c r="B306" s="113"/>
      <c r="C306" s="224"/>
      <c r="D306" s="224"/>
      <c r="E306" s="107"/>
      <c r="F306" s="107"/>
      <c r="G306" s="107"/>
      <c r="H306" s="251"/>
      <c r="I306" s="102"/>
      <c r="J306" s="102"/>
      <c r="K306" s="102"/>
      <c r="L306" s="102"/>
      <c r="M306" s="102"/>
      <c r="N306" s="102"/>
      <c r="O306" s="102"/>
      <c r="P306" s="144"/>
      <c r="Q306" s="102"/>
      <c r="R306" s="102"/>
      <c r="S306" s="102"/>
      <c r="T306" s="102"/>
      <c r="U306" s="102"/>
      <c r="V306" s="102"/>
      <c r="W306" s="102"/>
      <c r="X306" s="102"/>
      <c r="Y306" s="102"/>
      <c r="Z306" s="121"/>
      <c r="AA306" s="102"/>
      <c r="AB306" s="107"/>
      <c r="AC306" s="102"/>
    </row>
    <row r="307">
      <c r="A307" s="107"/>
      <c r="B307" s="113"/>
      <c r="C307" s="224"/>
      <c r="D307" s="224"/>
      <c r="E307" s="107"/>
      <c r="F307" s="107"/>
      <c r="G307" s="107"/>
      <c r="H307" s="251"/>
      <c r="I307" s="102"/>
      <c r="J307" s="102"/>
      <c r="K307" s="102"/>
      <c r="L307" s="102"/>
      <c r="M307" s="102"/>
      <c r="N307" s="102"/>
      <c r="O307" s="102"/>
      <c r="P307" s="144"/>
      <c r="Q307" s="102"/>
      <c r="R307" s="102"/>
      <c r="S307" s="102"/>
      <c r="T307" s="102"/>
      <c r="U307" s="102"/>
      <c r="V307" s="102"/>
      <c r="W307" s="102"/>
      <c r="X307" s="102"/>
      <c r="Y307" s="102"/>
      <c r="Z307" s="121"/>
      <c r="AA307" s="102"/>
      <c r="AB307" s="107"/>
      <c r="AC307" s="102"/>
    </row>
    <row r="308">
      <c r="A308" s="107"/>
      <c r="B308" s="113"/>
      <c r="C308" s="224"/>
      <c r="D308" s="224"/>
      <c r="E308" s="107"/>
      <c r="F308" s="107"/>
      <c r="G308" s="107"/>
      <c r="H308" s="251"/>
      <c r="I308" s="102"/>
      <c r="J308" s="102"/>
      <c r="K308" s="102"/>
      <c r="L308" s="102"/>
      <c r="M308" s="102"/>
      <c r="N308" s="102"/>
      <c r="O308" s="102"/>
      <c r="P308" s="144"/>
      <c r="Q308" s="102"/>
      <c r="R308" s="102"/>
      <c r="S308" s="102"/>
      <c r="T308" s="102"/>
      <c r="U308" s="102"/>
      <c r="V308" s="102"/>
      <c r="W308" s="102"/>
      <c r="X308" s="102"/>
      <c r="Y308" s="102"/>
      <c r="Z308" s="121"/>
      <c r="AA308" s="102"/>
      <c r="AB308" s="107"/>
      <c r="AC308" s="102"/>
    </row>
    <row r="309">
      <c r="A309" s="107"/>
      <c r="B309" s="113"/>
      <c r="C309" s="224"/>
      <c r="D309" s="224"/>
      <c r="E309" s="107"/>
      <c r="F309" s="107"/>
      <c r="G309" s="107"/>
      <c r="H309" s="251"/>
      <c r="I309" s="102"/>
      <c r="J309" s="102"/>
      <c r="K309" s="102"/>
      <c r="L309" s="102"/>
      <c r="M309" s="102"/>
      <c r="N309" s="102"/>
      <c r="O309" s="102"/>
      <c r="P309" s="144"/>
      <c r="Q309" s="102"/>
      <c r="R309" s="102"/>
      <c r="S309" s="102"/>
      <c r="T309" s="102"/>
      <c r="U309" s="102"/>
      <c r="V309" s="102"/>
      <c r="W309" s="102"/>
      <c r="X309" s="102"/>
      <c r="Y309" s="102"/>
      <c r="Z309" s="121"/>
      <c r="AA309" s="102"/>
      <c r="AB309" s="107"/>
      <c r="AC309" s="102"/>
    </row>
    <row r="310">
      <c r="A310" s="107"/>
      <c r="B310" s="113"/>
      <c r="C310" s="224"/>
      <c r="D310" s="224"/>
      <c r="E310" s="107"/>
      <c r="F310" s="107"/>
      <c r="G310" s="107"/>
      <c r="H310" s="251"/>
      <c r="I310" s="102"/>
      <c r="J310" s="102"/>
      <c r="K310" s="102"/>
      <c r="L310" s="102"/>
      <c r="M310" s="102"/>
      <c r="N310" s="102"/>
      <c r="O310" s="102"/>
      <c r="P310" s="144"/>
      <c r="Q310" s="102"/>
      <c r="R310" s="102"/>
      <c r="S310" s="102"/>
      <c r="T310" s="102"/>
      <c r="U310" s="102"/>
      <c r="V310" s="102"/>
      <c r="W310" s="102"/>
      <c r="X310" s="102"/>
      <c r="Y310" s="102"/>
      <c r="Z310" s="121"/>
      <c r="AA310" s="102"/>
      <c r="AB310" s="107"/>
      <c r="AC310" s="102"/>
    </row>
    <row r="311">
      <c r="A311" s="107"/>
      <c r="B311" s="113"/>
      <c r="C311" s="224"/>
      <c r="D311" s="224"/>
      <c r="E311" s="107"/>
      <c r="F311" s="107"/>
      <c r="G311" s="107"/>
      <c r="H311" s="251"/>
      <c r="I311" s="102"/>
      <c r="J311" s="102"/>
      <c r="K311" s="102"/>
      <c r="L311" s="102"/>
      <c r="M311" s="102"/>
      <c r="N311" s="102"/>
      <c r="O311" s="102"/>
      <c r="P311" s="144"/>
      <c r="Q311" s="102"/>
      <c r="R311" s="102"/>
      <c r="S311" s="102"/>
      <c r="T311" s="102"/>
      <c r="U311" s="102"/>
      <c r="V311" s="102"/>
      <c r="W311" s="102"/>
      <c r="X311" s="102"/>
      <c r="Y311" s="102"/>
      <c r="Z311" s="121"/>
      <c r="AA311" s="102"/>
      <c r="AB311" s="107"/>
      <c r="AC311" s="102"/>
    </row>
    <row r="312">
      <c r="A312" s="107"/>
      <c r="B312" s="113"/>
      <c r="C312" s="224"/>
      <c r="D312" s="224"/>
      <c r="E312" s="107"/>
      <c r="F312" s="107"/>
      <c r="G312" s="107"/>
      <c r="H312" s="251"/>
      <c r="I312" s="102"/>
      <c r="J312" s="102"/>
      <c r="K312" s="102"/>
      <c r="L312" s="102"/>
      <c r="M312" s="102"/>
      <c r="N312" s="102"/>
      <c r="O312" s="102"/>
      <c r="P312" s="144"/>
      <c r="Q312" s="102"/>
      <c r="R312" s="102"/>
      <c r="S312" s="102"/>
      <c r="T312" s="102"/>
      <c r="U312" s="102"/>
      <c r="V312" s="102"/>
      <c r="W312" s="102"/>
      <c r="X312" s="102"/>
      <c r="Y312" s="102"/>
      <c r="Z312" s="121"/>
      <c r="AA312" s="102"/>
      <c r="AB312" s="107"/>
      <c r="AC312" s="102"/>
    </row>
    <row r="313">
      <c r="A313" s="107"/>
      <c r="B313" s="113"/>
      <c r="C313" s="224"/>
      <c r="D313" s="224"/>
      <c r="E313" s="107"/>
      <c r="F313" s="107"/>
      <c r="G313" s="107"/>
      <c r="H313" s="251"/>
      <c r="I313" s="102"/>
      <c r="J313" s="102"/>
      <c r="K313" s="102"/>
      <c r="L313" s="102"/>
      <c r="M313" s="102"/>
      <c r="N313" s="102"/>
      <c r="O313" s="102"/>
      <c r="P313" s="144"/>
      <c r="Q313" s="102"/>
      <c r="R313" s="102"/>
      <c r="S313" s="102"/>
      <c r="T313" s="102"/>
      <c r="U313" s="102"/>
      <c r="V313" s="102"/>
      <c r="W313" s="102"/>
      <c r="X313" s="102"/>
      <c r="Y313" s="102"/>
      <c r="Z313" s="121"/>
      <c r="AA313" s="102"/>
      <c r="AB313" s="107"/>
      <c r="AC313" s="102"/>
    </row>
    <row r="314">
      <c r="A314" s="107"/>
      <c r="B314" s="113"/>
      <c r="C314" s="224"/>
      <c r="D314" s="224"/>
      <c r="E314" s="107"/>
      <c r="F314" s="107"/>
      <c r="G314" s="107"/>
      <c r="H314" s="251"/>
      <c r="I314" s="102"/>
      <c r="J314" s="102"/>
      <c r="K314" s="102"/>
      <c r="L314" s="102"/>
      <c r="M314" s="102"/>
      <c r="N314" s="102"/>
      <c r="O314" s="102"/>
      <c r="P314" s="144"/>
      <c r="Q314" s="102"/>
      <c r="R314" s="102"/>
      <c r="S314" s="102"/>
      <c r="T314" s="102"/>
      <c r="U314" s="102"/>
      <c r="V314" s="102"/>
      <c r="W314" s="102"/>
      <c r="X314" s="102"/>
      <c r="Y314" s="102"/>
      <c r="Z314" s="121"/>
      <c r="AA314" s="102"/>
      <c r="AB314" s="107"/>
      <c r="AC314" s="102"/>
    </row>
    <row r="315">
      <c r="A315" s="107"/>
      <c r="B315" s="113"/>
      <c r="C315" s="224"/>
      <c r="D315" s="224"/>
      <c r="E315" s="107"/>
      <c r="F315" s="107"/>
      <c r="G315" s="107"/>
      <c r="H315" s="251"/>
      <c r="I315" s="102"/>
      <c r="J315" s="102"/>
      <c r="K315" s="102"/>
      <c r="L315" s="102"/>
      <c r="M315" s="102"/>
      <c r="N315" s="102"/>
      <c r="O315" s="102"/>
      <c r="P315" s="144"/>
      <c r="Q315" s="102"/>
      <c r="R315" s="102"/>
      <c r="S315" s="102"/>
      <c r="T315" s="102"/>
      <c r="U315" s="102"/>
      <c r="V315" s="102"/>
      <c r="W315" s="102"/>
      <c r="X315" s="102"/>
      <c r="Y315" s="102"/>
      <c r="Z315" s="121"/>
      <c r="AA315" s="102"/>
      <c r="AB315" s="107"/>
      <c r="AC315" s="102"/>
    </row>
    <row r="316">
      <c r="A316" s="107"/>
      <c r="B316" s="113"/>
      <c r="C316" s="224"/>
      <c r="D316" s="224"/>
      <c r="E316" s="107"/>
      <c r="F316" s="107"/>
      <c r="G316" s="107"/>
      <c r="H316" s="251"/>
      <c r="I316" s="102"/>
      <c r="J316" s="102"/>
      <c r="K316" s="102"/>
      <c r="L316" s="102"/>
      <c r="M316" s="102"/>
      <c r="N316" s="102"/>
      <c r="O316" s="102"/>
      <c r="P316" s="144"/>
      <c r="Q316" s="102"/>
      <c r="R316" s="102"/>
      <c r="S316" s="102"/>
      <c r="T316" s="102"/>
      <c r="U316" s="102"/>
      <c r="V316" s="102"/>
      <c r="W316" s="102"/>
      <c r="X316" s="102"/>
      <c r="Y316" s="102"/>
      <c r="Z316" s="121"/>
      <c r="AA316" s="102"/>
      <c r="AB316" s="107"/>
      <c r="AC316" s="102"/>
    </row>
    <row r="317">
      <c r="A317" s="107"/>
      <c r="B317" s="113"/>
      <c r="C317" s="224"/>
      <c r="D317" s="224"/>
      <c r="E317" s="107"/>
      <c r="F317" s="107"/>
      <c r="G317" s="107"/>
      <c r="H317" s="251"/>
      <c r="I317" s="102"/>
      <c r="J317" s="102"/>
      <c r="K317" s="102"/>
      <c r="L317" s="102"/>
      <c r="M317" s="102"/>
      <c r="N317" s="102"/>
      <c r="O317" s="102"/>
      <c r="P317" s="144"/>
      <c r="Q317" s="102"/>
      <c r="R317" s="102"/>
      <c r="S317" s="102"/>
      <c r="T317" s="102"/>
      <c r="U317" s="102"/>
      <c r="V317" s="102"/>
      <c r="W317" s="102"/>
      <c r="X317" s="102"/>
      <c r="Y317" s="102"/>
      <c r="Z317" s="121"/>
      <c r="AA317" s="102"/>
      <c r="AB317" s="107"/>
      <c r="AC317" s="102"/>
    </row>
    <row r="318">
      <c r="A318" s="107"/>
      <c r="B318" s="113"/>
      <c r="C318" s="224"/>
      <c r="D318" s="224"/>
      <c r="E318" s="107"/>
      <c r="F318" s="107"/>
      <c r="G318" s="107"/>
      <c r="H318" s="251"/>
      <c r="I318" s="102"/>
      <c r="J318" s="102"/>
      <c r="K318" s="102"/>
      <c r="L318" s="102"/>
      <c r="M318" s="102"/>
      <c r="N318" s="102"/>
      <c r="O318" s="102"/>
      <c r="P318" s="144"/>
      <c r="Q318" s="102"/>
      <c r="R318" s="102"/>
      <c r="S318" s="102"/>
      <c r="T318" s="102"/>
      <c r="U318" s="102"/>
      <c r="V318" s="102"/>
      <c r="W318" s="102"/>
      <c r="X318" s="102"/>
      <c r="Y318" s="102"/>
      <c r="Z318" s="121"/>
      <c r="AA318" s="102"/>
      <c r="AB318" s="107"/>
      <c r="AC318" s="102"/>
    </row>
    <row r="319">
      <c r="A319" s="107"/>
      <c r="B319" s="113"/>
      <c r="C319" s="224"/>
      <c r="D319" s="224"/>
      <c r="E319" s="107"/>
      <c r="F319" s="107"/>
      <c r="G319" s="107"/>
      <c r="H319" s="251"/>
      <c r="I319" s="102"/>
      <c r="J319" s="102"/>
      <c r="K319" s="102"/>
      <c r="L319" s="102"/>
      <c r="M319" s="102"/>
      <c r="N319" s="102"/>
      <c r="O319" s="102"/>
      <c r="P319" s="144"/>
      <c r="Q319" s="102"/>
      <c r="R319" s="102"/>
      <c r="S319" s="102"/>
      <c r="T319" s="102"/>
      <c r="U319" s="102"/>
      <c r="V319" s="102"/>
      <c r="W319" s="102"/>
      <c r="X319" s="102"/>
      <c r="Y319" s="102"/>
      <c r="Z319" s="121"/>
      <c r="AA319" s="102"/>
      <c r="AB319" s="107"/>
      <c r="AC319" s="102"/>
    </row>
    <row r="320">
      <c r="A320" s="107"/>
      <c r="B320" s="113"/>
      <c r="C320" s="224"/>
      <c r="D320" s="224"/>
      <c r="E320" s="107"/>
      <c r="F320" s="107"/>
      <c r="G320" s="107"/>
      <c r="H320" s="251"/>
      <c r="I320" s="102"/>
      <c r="J320" s="102"/>
      <c r="K320" s="102"/>
      <c r="L320" s="102"/>
      <c r="M320" s="102"/>
      <c r="N320" s="102"/>
      <c r="O320" s="102"/>
      <c r="P320" s="144"/>
      <c r="Q320" s="102"/>
      <c r="R320" s="102"/>
      <c r="S320" s="102"/>
      <c r="T320" s="102"/>
      <c r="U320" s="102"/>
      <c r="V320" s="102"/>
      <c r="W320" s="102"/>
      <c r="X320" s="102"/>
      <c r="Y320" s="102"/>
      <c r="Z320" s="121"/>
      <c r="AA320" s="102"/>
      <c r="AB320" s="107"/>
      <c r="AC320" s="102"/>
    </row>
    <row r="321">
      <c r="A321" s="107"/>
      <c r="B321" s="113"/>
      <c r="C321" s="224"/>
      <c r="D321" s="224"/>
      <c r="E321" s="107"/>
      <c r="F321" s="107"/>
      <c r="G321" s="107"/>
      <c r="H321" s="251"/>
      <c r="I321" s="102"/>
      <c r="J321" s="102"/>
      <c r="K321" s="102"/>
      <c r="L321" s="102"/>
      <c r="M321" s="102"/>
      <c r="N321" s="102"/>
      <c r="O321" s="102"/>
      <c r="P321" s="144"/>
      <c r="Q321" s="102"/>
      <c r="R321" s="102"/>
      <c r="S321" s="102"/>
      <c r="T321" s="102"/>
      <c r="U321" s="102"/>
      <c r="V321" s="102"/>
      <c r="W321" s="102"/>
      <c r="X321" s="102"/>
      <c r="Y321" s="102"/>
      <c r="Z321" s="121"/>
      <c r="AA321" s="102"/>
      <c r="AB321" s="107"/>
      <c r="AC321" s="102"/>
    </row>
    <row r="322">
      <c r="A322" s="107"/>
      <c r="B322" s="113"/>
      <c r="C322" s="224"/>
      <c r="D322" s="224"/>
      <c r="E322" s="107"/>
      <c r="F322" s="107"/>
      <c r="G322" s="107"/>
      <c r="H322" s="251"/>
      <c r="I322" s="102"/>
      <c r="J322" s="102"/>
      <c r="K322" s="102"/>
      <c r="L322" s="102"/>
      <c r="M322" s="102"/>
      <c r="N322" s="102"/>
      <c r="O322" s="102"/>
      <c r="P322" s="144"/>
      <c r="Q322" s="102"/>
      <c r="R322" s="102"/>
      <c r="S322" s="102"/>
      <c r="T322" s="102"/>
      <c r="U322" s="102"/>
      <c r="V322" s="102"/>
      <c r="W322" s="102"/>
      <c r="X322" s="102"/>
      <c r="Y322" s="102"/>
      <c r="Z322" s="121"/>
      <c r="AA322" s="102"/>
      <c r="AB322" s="107"/>
      <c r="AC322" s="102"/>
    </row>
    <row r="323">
      <c r="A323" s="107"/>
      <c r="B323" s="113"/>
      <c r="C323" s="224"/>
      <c r="D323" s="224"/>
      <c r="E323" s="107"/>
      <c r="F323" s="107"/>
      <c r="G323" s="107"/>
      <c r="H323" s="251"/>
      <c r="I323" s="102"/>
      <c r="J323" s="102"/>
      <c r="K323" s="102"/>
      <c r="L323" s="102"/>
      <c r="M323" s="102"/>
      <c r="N323" s="102"/>
      <c r="O323" s="102"/>
      <c r="P323" s="144"/>
      <c r="Q323" s="102"/>
      <c r="R323" s="102"/>
      <c r="S323" s="102"/>
      <c r="T323" s="102"/>
      <c r="U323" s="102"/>
      <c r="V323" s="102"/>
      <c r="W323" s="102"/>
      <c r="X323" s="102"/>
      <c r="Y323" s="102"/>
      <c r="Z323" s="121"/>
      <c r="AA323" s="102"/>
      <c r="AB323" s="107"/>
      <c r="AC323" s="102"/>
    </row>
    <row r="324">
      <c r="A324" s="107"/>
      <c r="B324" s="113"/>
      <c r="C324" s="224"/>
      <c r="D324" s="224"/>
      <c r="E324" s="107"/>
      <c r="F324" s="107"/>
      <c r="G324" s="107"/>
      <c r="H324" s="251"/>
      <c r="I324" s="102"/>
      <c r="J324" s="102"/>
      <c r="K324" s="102"/>
      <c r="L324" s="102"/>
      <c r="M324" s="102"/>
      <c r="N324" s="102"/>
      <c r="O324" s="102"/>
      <c r="P324" s="144"/>
      <c r="Q324" s="102"/>
      <c r="R324" s="102"/>
      <c r="S324" s="102"/>
      <c r="T324" s="102"/>
      <c r="U324" s="102"/>
      <c r="V324" s="102"/>
      <c r="W324" s="102"/>
      <c r="X324" s="102"/>
      <c r="Y324" s="102"/>
      <c r="Z324" s="121"/>
      <c r="AA324" s="102"/>
      <c r="AB324" s="107"/>
      <c r="AC324" s="102"/>
    </row>
    <row r="325">
      <c r="A325" s="107"/>
      <c r="B325" s="113"/>
      <c r="C325" s="224"/>
      <c r="D325" s="224"/>
      <c r="E325" s="107"/>
      <c r="F325" s="107"/>
      <c r="G325" s="107"/>
      <c r="H325" s="251"/>
      <c r="I325" s="102"/>
      <c r="J325" s="102"/>
      <c r="K325" s="102"/>
      <c r="L325" s="102"/>
      <c r="M325" s="102"/>
      <c r="N325" s="102"/>
      <c r="O325" s="102"/>
      <c r="P325" s="144"/>
      <c r="Q325" s="102"/>
      <c r="R325" s="102"/>
      <c r="S325" s="102"/>
      <c r="T325" s="102"/>
      <c r="U325" s="102"/>
      <c r="V325" s="102"/>
      <c r="W325" s="102"/>
      <c r="X325" s="102"/>
      <c r="Y325" s="102"/>
      <c r="Z325" s="121"/>
      <c r="AA325" s="102"/>
      <c r="AB325" s="107"/>
      <c r="AC325" s="102"/>
    </row>
    <row r="326">
      <c r="A326" s="107"/>
      <c r="B326" s="113"/>
      <c r="C326" s="224"/>
      <c r="D326" s="224"/>
      <c r="E326" s="107"/>
      <c r="F326" s="107"/>
      <c r="G326" s="107"/>
      <c r="H326" s="251"/>
      <c r="I326" s="102"/>
      <c r="J326" s="102"/>
      <c r="K326" s="102"/>
      <c r="L326" s="102"/>
      <c r="M326" s="102"/>
      <c r="N326" s="102"/>
      <c r="O326" s="102"/>
      <c r="P326" s="144"/>
      <c r="Q326" s="102"/>
      <c r="R326" s="102"/>
      <c r="S326" s="102"/>
      <c r="T326" s="102"/>
      <c r="U326" s="102"/>
      <c r="V326" s="102"/>
      <c r="W326" s="102"/>
      <c r="X326" s="102"/>
      <c r="Y326" s="102"/>
      <c r="Z326" s="121"/>
      <c r="AA326" s="102"/>
      <c r="AB326" s="107"/>
      <c r="AC326" s="102"/>
    </row>
    <row r="327">
      <c r="A327" s="107"/>
      <c r="B327" s="113"/>
      <c r="C327" s="224"/>
      <c r="D327" s="224"/>
      <c r="E327" s="107"/>
      <c r="F327" s="107"/>
      <c r="G327" s="107"/>
      <c r="H327" s="251"/>
      <c r="I327" s="102"/>
      <c r="J327" s="102"/>
      <c r="K327" s="102"/>
      <c r="L327" s="102"/>
      <c r="M327" s="102"/>
      <c r="N327" s="102"/>
      <c r="O327" s="102"/>
      <c r="P327" s="144"/>
      <c r="Q327" s="102"/>
      <c r="R327" s="102"/>
      <c r="S327" s="102"/>
      <c r="T327" s="102"/>
      <c r="U327" s="102"/>
      <c r="V327" s="102"/>
      <c r="W327" s="102"/>
      <c r="X327" s="102"/>
      <c r="Y327" s="102"/>
      <c r="Z327" s="121"/>
      <c r="AA327" s="102"/>
      <c r="AB327" s="107"/>
      <c r="AC327" s="102"/>
    </row>
    <row r="328">
      <c r="A328" s="107"/>
      <c r="B328" s="113"/>
      <c r="C328" s="224"/>
      <c r="D328" s="224"/>
      <c r="E328" s="107"/>
      <c r="F328" s="107"/>
      <c r="G328" s="107"/>
      <c r="H328" s="251"/>
      <c r="I328" s="102"/>
      <c r="J328" s="102"/>
      <c r="K328" s="102"/>
      <c r="L328" s="102"/>
      <c r="M328" s="102"/>
      <c r="N328" s="102"/>
      <c r="O328" s="102"/>
      <c r="P328" s="144"/>
      <c r="Q328" s="102"/>
      <c r="R328" s="102"/>
      <c r="S328" s="102"/>
      <c r="T328" s="102"/>
      <c r="U328" s="102"/>
      <c r="V328" s="102"/>
      <c r="W328" s="102"/>
      <c r="X328" s="102"/>
      <c r="Y328" s="102"/>
      <c r="Z328" s="121"/>
      <c r="AA328" s="102"/>
      <c r="AB328" s="107"/>
      <c r="AC328" s="102"/>
    </row>
    <row r="329">
      <c r="A329" s="107"/>
      <c r="B329" s="113"/>
      <c r="C329" s="224"/>
      <c r="D329" s="224"/>
      <c r="E329" s="107"/>
      <c r="F329" s="107"/>
      <c r="G329" s="107"/>
      <c r="H329" s="251"/>
      <c r="I329" s="102"/>
      <c r="J329" s="102"/>
      <c r="K329" s="102"/>
      <c r="L329" s="102"/>
      <c r="M329" s="102"/>
      <c r="N329" s="102"/>
      <c r="O329" s="102"/>
      <c r="P329" s="144"/>
      <c r="Q329" s="102"/>
      <c r="R329" s="102"/>
      <c r="S329" s="102"/>
      <c r="T329" s="102"/>
      <c r="U329" s="102"/>
      <c r="V329" s="102"/>
      <c r="W329" s="102"/>
      <c r="X329" s="102"/>
      <c r="Y329" s="102"/>
      <c r="Z329" s="121"/>
      <c r="AA329" s="102"/>
      <c r="AB329" s="107"/>
      <c r="AC329" s="102"/>
    </row>
    <row r="330">
      <c r="A330" s="107"/>
      <c r="B330" s="113"/>
      <c r="C330" s="224"/>
      <c r="D330" s="224"/>
      <c r="E330" s="107"/>
      <c r="F330" s="107"/>
      <c r="G330" s="107"/>
      <c r="H330" s="251"/>
      <c r="I330" s="102"/>
      <c r="J330" s="102"/>
      <c r="K330" s="102"/>
      <c r="L330" s="102"/>
      <c r="M330" s="102"/>
      <c r="N330" s="102"/>
      <c r="O330" s="102"/>
      <c r="P330" s="144"/>
      <c r="Q330" s="102"/>
      <c r="R330" s="102"/>
      <c r="S330" s="102"/>
      <c r="T330" s="102"/>
      <c r="U330" s="102"/>
      <c r="V330" s="102"/>
      <c r="W330" s="102"/>
      <c r="X330" s="102"/>
      <c r="Y330" s="102"/>
      <c r="Z330" s="121"/>
      <c r="AA330" s="102"/>
      <c r="AB330" s="107"/>
      <c r="AC330" s="102"/>
    </row>
    <row r="331">
      <c r="A331" s="107"/>
      <c r="B331" s="113"/>
      <c r="C331" s="224"/>
      <c r="D331" s="224"/>
      <c r="E331" s="107"/>
      <c r="F331" s="107"/>
      <c r="G331" s="107"/>
      <c r="H331" s="251"/>
      <c r="I331" s="102"/>
      <c r="J331" s="102"/>
      <c r="K331" s="102"/>
      <c r="L331" s="102"/>
      <c r="M331" s="102"/>
      <c r="N331" s="102"/>
      <c r="O331" s="102"/>
      <c r="P331" s="144"/>
      <c r="Q331" s="102"/>
      <c r="R331" s="102"/>
      <c r="S331" s="102"/>
      <c r="T331" s="102"/>
      <c r="U331" s="102"/>
      <c r="V331" s="102"/>
      <c r="W331" s="102"/>
      <c r="X331" s="102"/>
      <c r="Y331" s="102"/>
      <c r="Z331" s="121"/>
      <c r="AA331" s="102"/>
      <c r="AB331" s="107"/>
      <c r="AC331" s="102"/>
    </row>
    <row r="332">
      <c r="A332" s="107"/>
      <c r="B332" s="113"/>
      <c r="C332" s="224"/>
      <c r="D332" s="224"/>
      <c r="E332" s="107"/>
      <c r="F332" s="107"/>
      <c r="G332" s="107"/>
      <c r="H332" s="251"/>
      <c r="I332" s="102"/>
      <c r="J332" s="102"/>
      <c r="K332" s="102"/>
      <c r="L332" s="102"/>
      <c r="M332" s="102"/>
      <c r="N332" s="102"/>
      <c r="O332" s="102"/>
      <c r="P332" s="144"/>
      <c r="Q332" s="102"/>
      <c r="R332" s="102"/>
      <c r="S332" s="102"/>
      <c r="T332" s="102"/>
      <c r="U332" s="102"/>
      <c r="V332" s="102"/>
      <c r="W332" s="102"/>
      <c r="X332" s="102"/>
      <c r="Y332" s="102"/>
      <c r="Z332" s="121"/>
      <c r="AA332" s="102"/>
      <c r="AB332" s="107"/>
      <c r="AC332" s="102"/>
    </row>
    <row r="333">
      <c r="A333" s="107"/>
      <c r="B333" s="113"/>
      <c r="C333" s="224"/>
      <c r="D333" s="224"/>
      <c r="E333" s="107"/>
      <c r="F333" s="107"/>
      <c r="G333" s="107"/>
      <c r="H333" s="251"/>
      <c r="I333" s="102"/>
      <c r="J333" s="102"/>
      <c r="K333" s="102"/>
      <c r="L333" s="102"/>
      <c r="M333" s="102"/>
      <c r="N333" s="102"/>
      <c r="O333" s="102"/>
      <c r="P333" s="144"/>
      <c r="Q333" s="102"/>
      <c r="R333" s="102"/>
      <c r="S333" s="102"/>
      <c r="T333" s="102"/>
      <c r="U333" s="102"/>
      <c r="V333" s="102"/>
      <c r="W333" s="102"/>
      <c r="X333" s="102"/>
      <c r="Y333" s="102"/>
      <c r="Z333" s="121"/>
      <c r="AA333" s="102"/>
      <c r="AB333" s="107"/>
      <c r="AC333" s="102"/>
    </row>
    <row r="334">
      <c r="A334" s="107"/>
      <c r="B334" s="113"/>
      <c r="C334" s="224"/>
      <c r="D334" s="224"/>
      <c r="E334" s="107"/>
      <c r="F334" s="107"/>
      <c r="G334" s="107"/>
      <c r="H334" s="251"/>
      <c r="I334" s="102"/>
      <c r="J334" s="102"/>
      <c r="K334" s="102"/>
      <c r="L334" s="102"/>
      <c r="M334" s="102"/>
      <c r="N334" s="102"/>
      <c r="O334" s="102"/>
      <c r="P334" s="144"/>
      <c r="Q334" s="102"/>
      <c r="R334" s="102"/>
      <c r="S334" s="102"/>
      <c r="T334" s="102"/>
      <c r="U334" s="102"/>
      <c r="V334" s="102"/>
      <c r="W334" s="102"/>
      <c r="X334" s="102"/>
      <c r="Y334" s="102"/>
      <c r="Z334" s="121"/>
      <c r="AA334" s="102"/>
      <c r="AB334" s="107"/>
      <c r="AC334" s="102"/>
    </row>
    <row r="335">
      <c r="A335" s="107"/>
      <c r="B335" s="113"/>
      <c r="C335" s="224"/>
      <c r="D335" s="224"/>
      <c r="E335" s="107"/>
      <c r="F335" s="107"/>
      <c r="G335" s="107"/>
      <c r="H335" s="251"/>
      <c r="I335" s="102"/>
      <c r="J335" s="102"/>
      <c r="K335" s="102"/>
      <c r="L335" s="102"/>
      <c r="M335" s="102"/>
      <c r="N335" s="102"/>
      <c r="O335" s="102"/>
      <c r="P335" s="144"/>
      <c r="Q335" s="102"/>
      <c r="R335" s="102"/>
      <c r="S335" s="102"/>
      <c r="T335" s="102"/>
      <c r="U335" s="102"/>
      <c r="V335" s="102"/>
      <c r="W335" s="102"/>
      <c r="X335" s="102"/>
      <c r="Y335" s="102"/>
      <c r="Z335" s="121"/>
      <c r="AA335" s="102"/>
      <c r="AB335" s="107"/>
      <c r="AC335" s="102"/>
    </row>
    <row r="336">
      <c r="A336" s="107"/>
      <c r="B336" s="113"/>
      <c r="C336" s="224"/>
      <c r="D336" s="224"/>
      <c r="E336" s="107"/>
      <c r="F336" s="107"/>
      <c r="G336" s="107"/>
      <c r="H336" s="251"/>
      <c r="I336" s="102"/>
      <c r="J336" s="102"/>
      <c r="K336" s="102"/>
      <c r="L336" s="102"/>
      <c r="M336" s="102"/>
      <c r="N336" s="102"/>
      <c r="O336" s="102"/>
      <c r="P336" s="144"/>
      <c r="Q336" s="102"/>
      <c r="R336" s="102"/>
      <c r="S336" s="102"/>
      <c r="T336" s="102"/>
      <c r="U336" s="102"/>
      <c r="V336" s="102"/>
      <c r="W336" s="102"/>
      <c r="X336" s="102"/>
      <c r="Y336" s="102"/>
      <c r="Z336" s="121"/>
      <c r="AA336" s="102"/>
      <c r="AB336" s="107"/>
      <c r="AC336" s="102"/>
    </row>
    <row r="337">
      <c r="A337" s="107"/>
      <c r="B337" s="113"/>
      <c r="C337" s="224"/>
      <c r="D337" s="224"/>
      <c r="E337" s="107"/>
      <c r="F337" s="107"/>
      <c r="G337" s="107"/>
      <c r="H337" s="251"/>
      <c r="I337" s="102"/>
      <c r="J337" s="102"/>
      <c r="K337" s="102"/>
      <c r="L337" s="102"/>
      <c r="M337" s="102"/>
      <c r="N337" s="102"/>
      <c r="O337" s="102"/>
      <c r="P337" s="144"/>
      <c r="Q337" s="102"/>
      <c r="R337" s="102"/>
      <c r="S337" s="102"/>
      <c r="T337" s="102"/>
      <c r="U337" s="102"/>
      <c r="V337" s="102"/>
      <c r="W337" s="102"/>
      <c r="X337" s="102"/>
      <c r="Y337" s="102"/>
      <c r="Z337" s="121"/>
      <c r="AA337" s="102"/>
      <c r="AB337" s="107"/>
      <c r="AC337" s="102"/>
    </row>
    <row r="338">
      <c r="A338" s="107"/>
      <c r="B338" s="113"/>
      <c r="C338" s="224"/>
      <c r="D338" s="224"/>
      <c r="E338" s="107"/>
      <c r="F338" s="107"/>
      <c r="G338" s="107"/>
      <c r="H338" s="251"/>
      <c r="I338" s="102"/>
      <c r="J338" s="102"/>
      <c r="K338" s="102"/>
      <c r="L338" s="102"/>
      <c r="M338" s="102"/>
      <c r="N338" s="102"/>
      <c r="O338" s="102"/>
      <c r="P338" s="144"/>
      <c r="Q338" s="102"/>
      <c r="R338" s="102"/>
      <c r="S338" s="102"/>
      <c r="T338" s="102"/>
      <c r="U338" s="102"/>
      <c r="V338" s="102"/>
      <c r="W338" s="102"/>
      <c r="X338" s="102"/>
      <c r="Y338" s="102"/>
      <c r="Z338" s="121"/>
      <c r="AA338" s="102"/>
      <c r="AB338" s="107"/>
      <c r="AC338" s="102"/>
    </row>
    <row r="339">
      <c r="A339" s="107"/>
      <c r="B339" s="113"/>
      <c r="C339" s="224"/>
      <c r="D339" s="224"/>
      <c r="E339" s="107"/>
      <c r="F339" s="107"/>
      <c r="G339" s="107"/>
      <c r="H339" s="251"/>
      <c r="I339" s="102"/>
      <c r="J339" s="102"/>
      <c r="K339" s="102"/>
      <c r="L339" s="102"/>
      <c r="M339" s="102"/>
      <c r="N339" s="102"/>
      <c r="O339" s="102"/>
      <c r="P339" s="144"/>
      <c r="Q339" s="102"/>
      <c r="R339" s="102"/>
      <c r="S339" s="102"/>
      <c r="T339" s="102"/>
      <c r="U339" s="102"/>
      <c r="V339" s="102"/>
      <c r="W339" s="102"/>
      <c r="X339" s="102"/>
      <c r="Y339" s="102"/>
      <c r="Z339" s="121"/>
      <c r="AA339" s="102"/>
      <c r="AB339" s="107"/>
      <c r="AC339" s="102"/>
    </row>
    <row r="340">
      <c r="A340" s="107"/>
      <c r="B340" s="113"/>
      <c r="C340" s="224"/>
      <c r="D340" s="224"/>
      <c r="E340" s="107"/>
      <c r="F340" s="107"/>
      <c r="G340" s="107"/>
      <c r="H340" s="251"/>
      <c r="I340" s="102"/>
      <c r="J340" s="102"/>
      <c r="K340" s="102"/>
      <c r="L340" s="102"/>
      <c r="M340" s="102"/>
      <c r="N340" s="102"/>
      <c r="O340" s="102"/>
      <c r="P340" s="144"/>
      <c r="Q340" s="102"/>
      <c r="R340" s="102"/>
      <c r="S340" s="102"/>
      <c r="T340" s="102"/>
      <c r="U340" s="102"/>
      <c r="V340" s="102"/>
      <c r="W340" s="102"/>
      <c r="X340" s="102"/>
      <c r="Y340" s="102"/>
      <c r="Z340" s="121"/>
      <c r="AA340" s="102"/>
      <c r="AB340" s="107"/>
      <c r="AC340" s="102"/>
    </row>
    <row r="341">
      <c r="A341" s="107"/>
      <c r="B341" s="113"/>
      <c r="C341" s="224"/>
      <c r="D341" s="224"/>
      <c r="E341" s="107"/>
      <c r="F341" s="107"/>
      <c r="G341" s="107"/>
      <c r="H341" s="251"/>
      <c r="I341" s="102"/>
      <c r="J341" s="102"/>
      <c r="K341" s="102"/>
      <c r="L341" s="102"/>
      <c r="M341" s="102"/>
      <c r="N341" s="102"/>
      <c r="O341" s="102"/>
      <c r="P341" s="144"/>
      <c r="Q341" s="102"/>
      <c r="R341" s="102"/>
      <c r="S341" s="102"/>
      <c r="T341" s="102"/>
      <c r="U341" s="102"/>
      <c r="V341" s="102"/>
      <c r="W341" s="102"/>
      <c r="X341" s="102"/>
      <c r="Y341" s="102"/>
      <c r="Z341" s="121"/>
      <c r="AA341" s="102"/>
      <c r="AB341" s="107"/>
      <c r="AC341" s="102"/>
    </row>
    <row r="342">
      <c r="A342" s="107"/>
      <c r="B342" s="113"/>
      <c r="C342" s="224"/>
      <c r="D342" s="224"/>
      <c r="E342" s="107"/>
      <c r="F342" s="107"/>
      <c r="G342" s="107"/>
      <c r="H342" s="251"/>
      <c r="I342" s="102"/>
      <c r="J342" s="102"/>
      <c r="K342" s="102"/>
      <c r="L342" s="102"/>
      <c r="M342" s="102"/>
      <c r="N342" s="102"/>
      <c r="O342" s="102"/>
      <c r="P342" s="144"/>
      <c r="Q342" s="102"/>
      <c r="R342" s="102"/>
      <c r="S342" s="102"/>
      <c r="T342" s="102"/>
      <c r="U342" s="102"/>
      <c r="V342" s="102"/>
      <c r="W342" s="102"/>
      <c r="X342" s="102"/>
      <c r="Y342" s="102"/>
      <c r="Z342" s="121"/>
      <c r="AA342" s="102"/>
      <c r="AB342" s="107"/>
      <c r="AC342" s="102"/>
    </row>
    <row r="343">
      <c r="A343" s="107"/>
      <c r="B343" s="113"/>
      <c r="C343" s="224"/>
      <c r="D343" s="224"/>
      <c r="E343" s="107"/>
      <c r="F343" s="107"/>
      <c r="G343" s="107"/>
      <c r="H343" s="251"/>
      <c r="I343" s="102"/>
      <c r="J343" s="102"/>
      <c r="K343" s="102"/>
      <c r="L343" s="102"/>
      <c r="M343" s="102"/>
      <c r="N343" s="102"/>
      <c r="O343" s="102"/>
      <c r="P343" s="144"/>
      <c r="Q343" s="102"/>
      <c r="R343" s="102"/>
      <c r="S343" s="102"/>
      <c r="T343" s="102"/>
      <c r="U343" s="102"/>
      <c r="V343" s="102"/>
      <c r="W343" s="102"/>
      <c r="X343" s="102"/>
      <c r="Y343" s="102"/>
      <c r="Z343" s="121"/>
      <c r="AA343" s="102"/>
      <c r="AB343" s="107"/>
      <c r="AC343" s="102"/>
    </row>
    <row r="344">
      <c r="A344" s="107"/>
      <c r="B344" s="113"/>
      <c r="C344" s="224"/>
      <c r="D344" s="224"/>
      <c r="E344" s="107"/>
      <c r="F344" s="107"/>
      <c r="G344" s="107"/>
      <c r="H344" s="251"/>
      <c r="I344" s="102"/>
      <c r="J344" s="102"/>
      <c r="K344" s="102"/>
      <c r="L344" s="102"/>
      <c r="M344" s="102"/>
      <c r="N344" s="102"/>
      <c r="O344" s="102"/>
      <c r="P344" s="144"/>
      <c r="Q344" s="102"/>
      <c r="R344" s="102"/>
      <c r="S344" s="102"/>
      <c r="T344" s="102"/>
      <c r="U344" s="102"/>
      <c r="V344" s="102"/>
      <c r="W344" s="102"/>
      <c r="X344" s="102"/>
      <c r="Y344" s="102"/>
      <c r="Z344" s="121"/>
      <c r="AA344" s="102"/>
      <c r="AB344" s="107"/>
      <c r="AC344" s="102"/>
    </row>
    <row r="345">
      <c r="A345" s="107"/>
      <c r="B345" s="113"/>
      <c r="C345" s="224"/>
      <c r="D345" s="224"/>
      <c r="E345" s="107"/>
      <c r="F345" s="107"/>
      <c r="G345" s="107"/>
      <c r="H345" s="251"/>
      <c r="I345" s="102"/>
      <c r="J345" s="102"/>
      <c r="K345" s="102"/>
      <c r="L345" s="102"/>
      <c r="M345" s="102"/>
      <c r="N345" s="102"/>
      <c r="O345" s="102"/>
      <c r="P345" s="144"/>
      <c r="Q345" s="102"/>
      <c r="R345" s="102"/>
      <c r="S345" s="102"/>
      <c r="T345" s="102"/>
      <c r="U345" s="102"/>
      <c r="V345" s="102"/>
      <c r="W345" s="102"/>
      <c r="X345" s="102"/>
      <c r="Y345" s="102"/>
      <c r="Z345" s="121"/>
      <c r="AA345" s="102"/>
      <c r="AB345" s="107"/>
      <c r="AC345" s="102"/>
    </row>
    <row r="346">
      <c r="A346" s="107"/>
      <c r="B346" s="113"/>
      <c r="C346" s="224"/>
      <c r="D346" s="224"/>
      <c r="E346" s="107"/>
      <c r="F346" s="107"/>
      <c r="G346" s="107"/>
      <c r="H346" s="251"/>
      <c r="I346" s="102"/>
      <c r="J346" s="102"/>
      <c r="K346" s="102"/>
      <c r="L346" s="102"/>
      <c r="M346" s="102"/>
      <c r="N346" s="102"/>
      <c r="O346" s="102"/>
      <c r="P346" s="144"/>
      <c r="Q346" s="102"/>
      <c r="R346" s="102"/>
      <c r="S346" s="102"/>
      <c r="T346" s="102"/>
      <c r="U346" s="102"/>
      <c r="V346" s="102"/>
      <c r="W346" s="102"/>
      <c r="X346" s="102"/>
      <c r="Y346" s="102"/>
      <c r="Z346" s="121"/>
      <c r="AA346" s="102"/>
      <c r="AB346" s="107"/>
      <c r="AC346" s="102"/>
    </row>
    <row r="347">
      <c r="A347" s="107"/>
      <c r="B347" s="113"/>
      <c r="C347" s="224"/>
      <c r="D347" s="224"/>
      <c r="E347" s="107"/>
      <c r="F347" s="107"/>
      <c r="G347" s="107"/>
      <c r="H347" s="251"/>
      <c r="I347" s="102"/>
      <c r="J347" s="102"/>
      <c r="K347" s="102"/>
      <c r="L347" s="102"/>
      <c r="M347" s="102"/>
      <c r="N347" s="102"/>
      <c r="O347" s="102"/>
      <c r="P347" s="144"/>
      <c r="Q347" s="102"/>
      <c r="R347" s="102"/>
      <c r="S347" s="102"/>
      <c r="T347" s="102"/>
      <c r="U347" s="102"/>
      <c r="V347" s="102"/>
      <c r="W347" s="102"/>
      <c r="X347" s="102"/>
      <c r="Y347" s="102"/>
      <c r="Z347" s="121"/>
      <c r="AA347" s="102"/>
      <c r="AB347" s="107"/>
      <c r="AC347" s="102"/>
    </row>
    <row r="348">
      <c r="A348" s="107"/>
      <c r="B348" s="113"/>
      <c r="C348" s="224"/>
      <c r="D348" s="224"/>
      <c r="E348" s="107"/>
      <c r="F348" s="107"/>
      <c r="G348" s="107"/>
      <c r="H348" s="251"/>
      <c r="I348" s="102"/>
      <c r="J348" s="102"/>
      <c r="K348" s="102"/>
      <c r="L348" s="102"/>
      <c r="M348" s="102"/>
      <c r="N348" s="102"/>
      <c r="O348" s="102"/>
      <c r="P348" s="144"/>
      <c r="Q348" s="102"/>
      <c r="R348" s="102"/>
      <c r="S348" s="102"/>
      <c r="T348" s="102"/>
      <c r="U348" s="102"/>
      <c r="V348" s="102"/>
      <c r="W348" s="102"/>
      <c r="X348" s="102"/>
      <c r="Y348" s="102"/>
      <c r="Z348" s="121"/>
      <c r="AA348" s="102"/>
      <c r="AB348" s="107"/>
      <c r="AC348" s="102"/>
    </row>
    <row r="349">
      <c r="A349" s="107"/>
      <c r="B349" s="113"/>
      <c r="C349" s="224"/>
      <c r="D349" s="224"/>
      <c r="E349" s="107"/>
      <c r="F349" s="107"/>
      <c r="G349" s="107"/>
      <c r="H349" s="251"/>
      <c r="I349" s="102"/>
      <c r="J349" s="102"/>
      <c r="K349" s="102"/>
      <c r="L349" s="102"/>
      <c r="M349" s="102"/>
      <c r="N349" s="102"/>
      <c r="O349" s="102"/>
      <c r="P349" s="144"/>
      <c r="Q349" s="102"/>
      <c r="R349" s="102"/>
      <c r="S349" s="102"/>
      <c r="T349" s="102"/>
      <c r="U349" s="102"/>
      <c r="V349" s="102"/>
      <c r="W349" s="102"/>
      <c r="X349" s="102"/>
      <c r="Y349" s="102"/>
      <c r="Z349" s="121"/>
      <c r="AA349" s="102"/>
      <c r="AB349" s="107"/>
      <c r="AC349" s="102"/>
    </row>
    <row r="350">
      <c r="A350" s="107"/>
      <c r="B350" s="113"/>
      <c r="C350" s="224"/>
      <c r="D350" s="224"/>
      <c r="E350" s="107"/>
      <c r="F350" s="107"/>
      <c r="G350" s="107"/>
      <c r="H350" s="251"/>
      <c r="I350" s="102"/>
      <c r="J350" s="102"/>
      <c r="K350" s="102"/>
      <c r="L350" s="102"/>
      <c r="M350" s="102"/>
      <c r="N350" s="102"/>
      <c r="O350" s="102"/>
      <c r="P350" s="144"/>
      <c r="Q350" s="102"/>
      <c r="R350" s="102"/>
      <c r="S350" s="102"/>
      <c r="T350" s="102"/>
      <c r="U350" s="102"/>
      <c r="V350" s="102"/>
      <c r="W350" s="102"/>
      <c r="X350" s="102"/>
      <c r="Y350" s="102"/>
      <c r="Z350" s="121"/>
      <c r="AA350" s="102"/>
      <c r="AB350" s="107"/>
      <c r="AC350" s="102"/>
    </row>
    <row r="351">
      <c r="A351" s="107"/>
      <c r="B351" s="113"/>
      <c r="C351" s="224"/>
      <c r="D351" s="224"/>
      <c r="E351" s="107"/>
      <c r="F351" s="107"/>
      <c r="G351" s="107"/>
      <c r="H351" s="251"/>
      <c r="I351" s="102"/>
      <c r="J351" s="102"/>
      <c r="K351" s="102"/>
      <c r="L351" s="102"/>
      <c r="M351" s="102"/>
      <c r="N351" s="102"/>
      <c r="O351" s="102"/>
      <c r="P351" s="144"/>
      <c r="Q351" s="102"/>
      <c r="R351" s="102"/>
      <c r="S351" s="102"/>
      <c r="T351" s="102"/>
      <c r="U351" s="102"/>
      <c r="V351" s="102"/>
      <c r="W351" s="102"/>
      <c r="X351" s="102"/>
      <c r="Y351" s="102"/>
      <c r="Z351" s="121"/>
      <c r="AA351" s="102"/>
      <c r="AB351" s="107"/>
      <c r="AC351" s="102"/>
    </row>
    <row r="352">
      <c r="A352" s="107"/>
      <c r="B352" s="113"/>
      <c r="C352" s="224"/>
      <c r="D352" s="224"/>
      <c r="E352" s="107"/>
      <c r="F352" s="107"/>
      <c r="G352" s="107"/>
      <c r="H352" s="251"/>
      <c r="I352" s="102"/>
      <c r="J352" s="102"/>
      <c r="K352" s="102"/>
      <c r="L352" s="102"/>
      <c r="M352" s="102"/>
      <c r="N352" s="102"/>
      <c r="O352" s="102"/>
      <c r="P352" s="144"/>
      <c r="Q352" s="102"/>
      <c r="R352" s="102"/>
      <c r="S352" s="102"/>
      <c r="T352" s="102"/>
      <c r="U352" s="102"/>
      <c r="V352" s="102"/>
      <c r="W352" s="102"/>
      <c r="X352" s="102"/>
      <c r="Y352" s="102"/>
      <c r="Z352" s="121"/>
      <c r="AA352" s="102"/>
      <c r="AB352" s="107"/>
      <c r="AC352" s="102"/>
    </row>
    <row r="353">
      <c r="A353" s="107"/>
      <c r="B353" s="113"/>
      <c r="C353" s="224"/>
      <c r="D353" s="224"/>
      <c r="E353" s="107"/>
      <c r="F353" s="107"/>
      <c r="G353" s="107"/>
      <c r="H353" s="251"/>
      <c r="I353" s="102"/>
      <c r="J353" s="102"/>
      <c r="K353" s="102"/>
      <c r="L353" s="102"/>
      <c r="M353" s="102"/>
      <c r="N353" s="102"/>
      <c r="O353" s="102"/>
      <c r="P353" s="144"/>
      <c r="Q353" s="102"/>
      <c r="R353" s="102"/>
      <c r="S353" s="102"/>
      <c r="T353" s="102"/>
      <c r="U353" s="102"/>
      <c r="V353" s="102"/>
      <c r="W353" s="102"/>
      <c r="X353" s="102"/>
      <c r="Y353" s="102"/>
      <c r="Z353" s="121"/>
      <c r="AA353" s="102"/>
      <c r="AB353" s="107"/>
      <c r="AC353" s="102"/>
    </row>
    <row r="354">
      <c r="A354" s="107"/>
      <c r="B354" s="113"/>
      <c r="C354" s="224"/>
      <c r="D354" s="224"/>
      <c r="E354" s="107"/>
      <c r="F354" s="107"/>
      <c r="G354" s="107"/>
      <c r="H354" s="251"/>
      <c r="I354" s="102"/>
      <c r="J354" s="102"/>
      <c r="K354" s="102"/>
      <c r="L354" s="102"/>
      <c r="M354" s="102"/>
      <c r="N354" s="102"/>
      <c r="O354" s="102"/>
      <c r="P354" s="144"/>
      <c r="Q354" s="102"/>
      <c r="R354" s="102"/>
      <c r="S354" s="102"/>
      <c r="T354" s="102"/>
      <c r="U354" s="102"/>
      <c r="V354" s="102"/>
      <c r="W354" s="102"/>
      <c r="X354" s="102"/>
      <c r="Y354" s="102"/>
      <c r="Z354" s="121"/>
      <c r="AA354" s="102"/>
      <c r="AB354" s="107"/>
      <c r="AC354" s="102"/>
    </row>
    <row r="355">
      <c r="A355" s="107"/>
      <c r="B355" s="113"/>
      <c r="C355" s="224"/>
      <c r="D355" s="224"/>
      <c r="E355" s="107"/>
      <c r="F355" s="107"/>
      <c r="G355" s="107"/>
      <c r="H355" s="251"/>
      <c r="I355" s="102"/>
      <c r="J355" s="102"/>
      <c r="K355" s="102"/>
      <c r="L355" s="102"/>
      <c r="M355" s="102"/>
      <c r="N355" s="102"/>
      <c r="O355" s="102"/>
      <c r="P355" s="144"/>
      <c r="Q355" s="102"/>
      <c r="R355" s="102"/>
      <c r="S355" s="102"/>
      <c r="T355" s="102"/>
      <c r="U355" s="102"/>
      <c r="V355" s="102"/>
      <c r="W355" s="102"/>
      <c r="X355" s="102"/>
      <c r="Y355" s="102"/>
      <c r="Z355" s="121"/>
      <c r="AA355" s="102"/>
      <c r="AB355" s="107"/>
      <c r="AC355" s="102"/>
    </row>
    <row r="356">
      <c r="A356" s="107"/>
      <c r="B356" s="113"/>
      <c r="C356" s="224"/>
      <c r="D356" s="224"/>
      <c r="E356" s="107"/>
      <c r="F356" s="107"/>
      <c r="G356" s="107"/>
      <c r="H356" s="251"/>
      <c r="I356" s="102"/>
      <c r="J356" s="102"/>
      <c r="K356" s="102"/>
      <c r="L356" s="102"/>
      <c r="M356" s="102"/>
      <c r="N356" s="102"/>
      <c r="O356" s="102"/>
      <c r="P356" s="144"/>
      <c r="Q356" s="102"/>
      <c r="R356" s="102"/>
      <c r="S356" s="102"/>
      <c r="T356" s="102"/>
      <c r="U356" s="102"/>
      <c r="V356" s="102"/>
      <c r="W356" s="102"/>
      <c r="X356" s="102"/>
      <c r="Y356" s="102"/>
      <c r="Z356" s="121"/>
      <c r="AA356" s="102"/>
      <c r="AB356" s="107"/>
      <c r="AC356" s="102"/>
    </row>
    <row r="357">
      <c r="A357" s="107"/>
      <c r="B357" s="113"/>
      <c r="C357" s="224"/>
      <c r="D357" s="224"/>
      <c r="E357" s="107"/>
      <c r="F357" s="107"/>
      <c r="G357" s="107"/>
      <c r="H357" s="251"/>
      <c r="I357" s="102"/>
      <c r="J357" s="102"/>
      <c r="K357" s="102"/>
      <c r="L357" s="102"/>
      <c r="M357" s="102"/>
      <c r="N357" s="102"/>
      <c r="O357" s="102"/>
      <c r="P357" s="144"/>
      <c r="Q357" s="102"/>
      <c r="R357" s="102"/>
      <c r="S357" s="102"/>
      <c r="T357" s="102"/>
      <c r="U357" s="102"/>
      <c r="V357" s="102"/>
      <c r="W357" s="102"/>
      <c r="X357" s="102"/>
      <c r="Y357" s="102"/>
      <c r="Z357" s="121"/>
      <c r="AA357" s="102"/>
      <c r="AB357" s="107"/>
      <c r="AC357" s="102"/>
    </row>
    <row r="358">
      <c r="A358" s="107"/>
      <c r="B358" s="113"/>
      <c r="C358" s="224"/>
      <c r="D358" s="224"/>
      <c r="E358" s="107"/>
      <c r="F358" s="107"/>
      <c r="G358" s="107"/>
      <c r="H358" s="251"/>
      <c r="I358" s="102"/>
      <c r="J358" s="102"/>
      <c r="K358" s="102"/>
      <c r="L358" s="102"/>
      <c r="M358" s="102"/>
      <c r="N358" s="102"/>
      <c r="O358" s="102"/>
      <c r="P358" s="144"/>
      <c r="Q358" s="102"/>
      <c r="R358" s="102"/>
      <c r="S358" s="102"/>
      <c r="T358" s="102"/>
      <c r="U358" s="102"/>
      <c r="V358" s="102"/>
      <c r="W358" s="102"/>
      <c r="X358" s="102"/>
      <c r="Y358" s="102"/>
      <c r="Z358" s="121"/>
      <c r="AA358" s="102"/>
      <c r="AB358" s="107"/>
      <c r="AC358" s="102"/>
    </row>
    <row r="359">
      <c r="A359" s="107"/>
      <c r="B359" s="113"/>
      <c r="C359" s="224"/>
      <c r="D359" s="224"/>
      <c r="E359" s="107"/>
      <c r="F359" s="107"/>
      <c r="G359" s="107"/>
      <c r="H359" s="251"/>
      <c r="I359" s="102"/>
      <c r="J359" s="102"/>
      <c r="K359" s="102"/>
      <c r="L359" s="102"/>
      <c r="M359" s="102"/>
      <c r="N359" s="102"/>
      <c r="O359" s="102"/>
      <c r="P359" s="144"/>
      <c r="Q359" s="102"/>
      <c r="R359" s="102"/>
      <c r="S359" s="102"/>
      <c r="T359" s="102"/>
      <c r="U359" s="102"/>
      <c r="V359" s="102"/>
      <c r="W359" s="102"/>
      <c r="X359" s="102"/>
      <c r="Y359" s="102"/>
      <c r="Z359" s="121"/>
      <c r="AA359" s="102"/>
      <c r="AB359" s="107"/>
      <c r="AC359" s="102"/>
    </row>
    <row r="360">
      <c r="A360" s="107"/>
      <c r="B360" s="113"/>
      <c r="C360" s="224"/>
      <c r="D360" s="224"/>
      <c r="E360" s="107"/>
      <c r="F360" s="107"/>
      <c r="G360" s="107"/>
      <c r="H360" s="251"/>
      <c r="I360" s="102"/>
      <c r="J360" s="102"/>
      <c r="K360" s="102"/>
      <c r="L360" s="102"/>
      <c r="M360" s="102"/>
      <c r="N360" s="102"/>
      <c r="O360" s="102"/>
      <c r="P360" s="144"/>
      <c r="Q360" s="102"/>
      <c r="R360" s="102"/>
      <c r="S360" s="102"/>
      <c r="T360" s="102"/>
      <c r="U360" s="102"/>
      <c r="V360" s="102"/>
      <c r="W360" s="102"/>
      <c r="X360" s="102"/>
      <c r="Y360" s="102"/>
      <c r="Z360" s="121"/>
      <c r="AA360" s="102"/>
      <c r="AB360" s="107"/>
      <c r="AC360" s="102"/>
    </row>
    <row r="361">
      <c r="A361" s="107"/>
      <c r="B361" s="113"/>
      <c r="C361" s="224"/>
      <c r="D361" s="224"/>
      <c r="E361" s="107"/>
      <c r="F361" s="107"/>
      <c r="G361" s="107"/>
      <c r="H361" s="251"/>
      <c r="I361" s="102"/>
      <c r="J361" s="102"/>
      <c r="K361" s="102"/>
      <c r="L361" s="102"/>
      <c r="M361" s="102"/>
      <c r="N361" s="102"/>
      <c r="O361" s="102"/>
      <c r="P361" s="144"/>
      <c r="Q361" s="102"/>
      <c r="R361" s="102"/>
      <c r="S361" s="102"/>
      <c r="T361" s="102"/>
      <c r="U361" s="102"/>
      <c r="V361" s="102"/>
      <c r="W361" s="102"/>
      <c r="X361" s="102"/>
      <c r="Y361" s="102"/>
      <c r="Z361" s="121"/>
      <c r="AA361" s="102"/>
      <c r="AB361" s="107"/>
      <c r="AC361" s="102"/>
    </row>
    <row r="362">
      <c r="A362" s="107"/>
      <c r="B362" s="113"/>
      <c r="C362" s="224"/>
      <c r="D362" s="224"/>
      <c r="E362" s="107"/>
      <c r="F362" s="107"/>
      <c r="G362" s="107"/>
      <c r="H362" s="251"/>
      <c r="I362" s="102"/>
      <c r="J362" s="102"/>
      <c r="K362" s="102"/>
      <c r="L362" s="102"/>
      <c r="M362" s="102"/>
      <c r="N362" s="102"/>
      <c r="O362" s="102"/>
      <c r="P362" s="144"/>
      <c r="Q362" s="102"/>
      <c r="R362" s="102"/>
      <c r="S362" s="102"/>
      <c r="T362" s="102"/>
      <c r="U362" s="102"/>
      <c r="V362" s="102"/>
      <c r="W362" s="102"/>
      <c r="X362" s="102"/>
      <c r="Y362" s="102"/>
      <c r="Z362" s="121"/>
      <c r="AA362" s="102"/>
      <c r="AB362" s="107"/>
      <c r="AC362" s="102"/>
    </row>
    <row r="363">
      <c r="A363" s="107"/>
      <c r="B363" s="113"/>
      <c r="C363" s="224"/>
      <c r="D363" s="224"/>
      <c r="E363" s="107"/>
      <c r="F363" s="107"/>
      <c r="G363" s="107"/>
      <c r="H363" s="251"/>
      <c r="I363" s="102"/>
      <c r="J363" s="102"/>
      <c r="K363" s="102"/>
      <c r="L363" s="102"/>
      <c r="M363" s="102"/>
      <c r="N363" s="102"/>
      <c r="O363" s="102"/>
      <c r="P363" s="144"/>
      <c r="Q363" s="102"/>
      <c r="R363" s="102"/>
      <c r="S363" s="102"/>
      <c r="T363" s="102"/>
      <c r="U363" s="102"/>
      <c r="V363" s="102"/>
      <c r="W363" s="102"/>
      <c r="X363" s="102"/>
      <c r="Y363" s="102"/>
      <c r="Z363" s="121"/>
      <c r="AA363" s="102"/>
      <c r="AB363" s="107"/>
      <c r="AC363" s="102"/>
    </row>
    <row r="364">
      <c r="A364" s="107"/>
      <c r="B364" s="113"/>
      <c r="C364" s="224"/>
      <c r="D364" s="224"/>
      <c r="E364" s="107"/>
      <c r="F364" s="107"/>
      <c r="G364" s="107"/>
      <c r="H364" s="251"/>
      <c r="I364" s="102"/>
      <c r="J364" s="102"/>
      <c r="K364" s="102"/>
      <c r="L364" s="102"/>
      <c r="M364" s="102"/>
      <c r="N364" s="102"/>
      <c r="O364" s="102"/>
      <c r="P364" s="144"/>
      <c r="Q364" s="102"/>
      <c r="R364" s="102"/>
      <c r="S364" s="102"/>
      <c r="T364" s="102"/>
      <c r="U364" s="102"/>
      <c r="V364" s="102"/>
      <c r="W364" s="102"/>
      <c r="X364" s="102"/>
      <c r="Y364" s="102"/>
      <c r="Z364" s="121"/>
      <c r="AA364" s="102"/>
      <c r="AB364" s="107"/>
      <c r="AC364" s="102"/>
    </row>
    <row r="365">
      <c r="A365" s="107"/>
      <c r="B365" s="113"/>
      <c r="C365" s="224"/>
      <c r="D365" s="224"/>
      <c r="E365" s="107"/>
      <c r="F365" s="107"/>
      <c r="G365" s="107"/>
      <c r="H365" s="251"/>
      <c r="I365" s="102"/>
      <c r="J365" s="102"/>
      <c r="K365" s="102"/>
      <c r="L365" s="102"/>
      <c r="M365" s="102"/>
      <c r="N365" s="102"/>
      <c r="O365" s="102"/>
      <c r="P365" s="144"/>
      <c r="Q365" s="102"/>
      <c r="R365" s="102"/>
      <c r="S365" s="102"/>
      <c r="T365" s="102"/>
      <c r="U365" s="102"/>
      <c r="V365" s="102"/>
      <c r="W365" s="102"/>
      <c r="X365" s="102"/>
      <c r="Y365" s="102"/>
      <c r="Z365" s="121"/>
      <c r="AA365" s="102"/>
      <c r="AB365" s="107"/>
      <c r="AC365" s="102"/>
    </row>
    <row r="366">
      <c r="A366" s="107"/>
      <c r="B366" s="113"/>
      <c r="C366" s="224"/>
      <c r="D366" s="224"/>
      <c r="E366" s="107"/>
      <c r="F366" s="107"/>
      <c r="G366" s="107"/>
      <c r="H366" s="251"/>
      <c r="I366" s="102"/>
      <c r="J366" s="102"/>
      <c r="K366" s="102"/>
      <c r="L366" s="102"/>
      <c r="M366" s="102"/>
      <c r="N366" s="102"/>
      <c r="O366" s="102"/>
      <c r="P366" s="144"/>
      <c r="Q366" s="102"/>
      <c r="R366" s="102"/>
      <c r="S366" s="102"/>
      <c r="T366" s="102"/>
      <c r="U366" s="102"/>
      <c r="V366" s="102"/>
      <c r="W366" s="102"/>
      <c r="X366" s="102"/>
      <c r="Y366" s="102"/>
      <c r="Z366" s="121"/>
      <c r="AA366" s="102"/>
      <c r="AB366" s="107"/>
      <c r="AC366" s="102"/>
    </row>
    <row r="367">
      <c r="A367" s="107"/>
      <c r="B367" s="113"/>
      <c r="C367" s="224"/>
      <c r="D367" s="224"/>
      <c r="E367" s="107"/>
      <c r="F367" s="107"/>
      <c r="G367" s="107"/>
      <c r="H367" s="251"/>
      <c r="I367" s="102"/>
      <c r="J367" s="102"/>
      <c r="K367" s="102"/>
      <c r="L367" s="102"/>
      <c r="M367" s="102"/>
      <c r="N367" s="102"/>
      <c r="O367" s="102"/>
      <c r="P367" s="144"/>
      <c r="Q367" s="102"/>
      <c r="R367" s="102"/>
      <c r="S367" s="102"/>
      <c r="T367" s="102"/>
      <c r="U367" s="102"/>
      <c r="V367" s="102"/>
      <c r="W367" s="102"/>
      <c r="X367" s="102"/>
      <c r="Y367" s="102"/>
      <c r="Z367" s="121"/>
      <c r="AA367" s="102"/>
      <c r="AB367" s="107"/>
      <c r="AC367" s="102"/>
    </row>
    <row r="368">
      <c r="A368" s="107"/>
      <c r="B368" s="113"/>
      <c r="C368" s="224"/>
      <c r="D368" s="224"/>
      <c r="E368" s="107"/>
      <c r="F368" s="107"/>
      <c r="G368" s="107"/>
      <c r="H368" s="251"/>
      <c r="I368" s="102"/>
      <c r="J368" s="102"/>
      <c r="K368" s="102"/>
      <c r="L368" s="102"/>
      <c r="M368" s="102"/>
      <c r="N368" s="102"/>
      <c r="O368" s="102"/>
      <c r="P368" s="144"/>
      <c r="Q368" s="102"/>
      <c r="R368" s="102"/>
      <c r="S368" s="102"/>
      <c r="T368" s="102"/>
      <c r="U368" s="102"/>
      <c r="V368" s="102"/>
      <c r="W368" s="102"/>
      <c r="X368" s="102"/>
      <c r="Y368" s="102"/>
      <c r="Z368" s="121"/>
      <c r="AA368" s="102"/>
      <c r="AB368" s="107"/>
      <c r="AC368" s="102"/>
    </row>
    <row r="369">
      <c r="A369" s="107"/>
      <c r="B369" s="113"/>
      <c r="C369" s="224"/>
      <c r="D369" s="224"/>
      <c r="E369" s="107"/>
      <c r="F369" s="107"/>
      <c r="G369" s="107"/>
      <c r="H369" s="251"/>
      <c r="I369" s="102"/>
      <c r="J369" s="102"/>
      <c r="K369" s="102"/>
      <c r="L369" s="102"/>
      <c r="M369" s="102"/>
      <c r="N369" s="102"/>
      <c r="O369" s="102"/>
      <c r="P369" s="144"/>
      <c r="Q369" s="102"/>
      <c r="R369" s="102"/>
      <c r="S369" s="102"/>
      <c r="T369" s="102"/>
      <c r="U369" s="102"/>
      <c r="V369" s="102"/>
      <c r="W369" s="102"/>
      <c r="X369" s="102"/>
      <c r="Y369" s="102"/>
      <c r="Z369" s="121"/>
      <c r="AA369" s="102"/>
      <c r="AB369" s="107"/>
      <c r="AC369" s="102"/>
    </row>
    <row r="370">
      <c r="A370" s="107"/>
      <c r="B370" s="113"/>
      <c r="C370" s="224"/>
      <c r="D370" s="224"/>
      <c r="E370" s="107"/>
      <c r="F370" s="107"/>
      <c r="G370" s="107"/>
      <c r="H370" s="251"/>
      <c r="I370" s="102"/>
      <c r="J370" s="102"/>
      <c r="K370" s="102"/>
      <c r="L370" s="102"/>
      <c r="M370" s="102"/>
      <c r="N370" s="102"/>
      <c r="O370" s="102"/>
      <c r="P370" s="144"/>
      <c r="Q370" s="102"/>
      <c r="R370" s="102"/>
      <c r="S370" s="102"/>
      <c r="T370" s="102"/>
      <c r="U370" s="102"/>
      <c r="V370" s="102"/>
      <c r="W370" s="102"/>
      <c r="X370" s="102"/>
      <c r="Y370" s="102"/>
      <c r="Z370" s="121"/>
      <c r="AA370" s="102"/>
      <c r="AB370" s="107"/>
      <c r="AC370" s="102"/>
    </row>
    <row r="371">
      <c r="A371" s="107"/>
      <c r="B371" s="113"/>
      <c r="C371" s="224"/>
      <c r="D371" s="224"/>
      <c r="E371" s="107"/>
      <c r="F371" s="107"/>
      <c r="G371" s="107"/>
      <c r="H371" s="251"/>
      <c r="I371" s="102"/>
      <c r="J371" s="102"/>
      <c r="K371" s="102"/>
      <c r="L371" s="102"/>
      <c r="M371" s="102"/>
      <c r="N371" s="102"/>
      <c r="O371" s="102"/>
      <c r="P371" s="144"/>
      <c r="Q371" s="102"/>
      <c r="R371" s="102"/>
      <c r="S371" s="102"/>
      <c r="T371" s="102"/>
      <c r="U371" s="102"/>
      <c r="V371" s="102"/>
      <c r="W371" s="102"/>
      <c r="X371" s="102"/>
      <c r="Y371" s="102"/>
      <c r="Z371" s="121"/>
      <c r="AA371" s="102"/>
      <c r="AB371" s="107"/>
      <c r="AC371" s="102"/>
    </row>
    <row r="372">
      <c r="A372" s="107"/>
      <c r="B372" s="113"/>
      <c r="C372" s="224"/>
      <c r="D372" s="224"/>
      <c r="E372" s="107"/>
      <c r="F372" s="107"/>
      <c r="G372" s="107"/>
      <c r="H372" s="251"/>
      <c r="I372" s="102"/>
      <c r="J372" s="102"/>
      <c r="K372" s="102"/>
      <c r="L372" s="102"/>
      <c r="M372" s="102"/>
      <c r="N372" s="102"/>
      <c r="O372" s="102"/>
      <c r="P372" s="144"/>
      <c r="Q372" s="102"/>
      <c r="R372" s="102"/>
      <c r="S372" s="102"/>
      <c r="T372" s="102"/>
      <c r="U372" s="102"/>
      <c r="V372" s="102"/>
      <c r="W372" s="102"/>
      <c r="X372" s="102"/>
      <c r="Y372" s="102"/>
      <c r="Z372" s="121"/>
      <c r="AA372" s="102"/>
      <c r="AB372" s="107"/>
      <c r="AC372" s="102"/>
    </row>
    <row r="373">
      <c r="A373" s="107"/>
      <c r="B373" s="113"/>
      <c r="C373" s="224"/>
      <c r="D373" s="224"/>
      <c r="E373" s="107"/>
      <c r="F373" s="107"/>
      <c r="G373" s="107"/>
      <c r="H373" s="251"/>
      <c r="I373" s="102"/>
      <c r="J373" s="102"/>
      <c r="K373" s="102"/>
      <c r="L373" s="102"/>
      <c r="M373" s="102"/>
      <c r="N373" s="102"/>
      <c r="O373" s="102"/>
      <c r="P373" s="144"/>
      <c r="Q373" s="102"/>
      <c r="R373" s="102"/>
      <c r="S373" s="102"/>
      <c r="T373" s="102"/>
      <c r="U373" s="102"/>
      <c r="V373" s="102"/>
      <c r="W373" s="102"/>
      <c r="X373" s="102"/>
      <c r="Y373" s="102"/>
      <c r="Z373" s="121"/>
      <c r="AA373" s="102"/>
      <c r="AB373" s="107"/>
      <c r="AC373" s="102"/>
    </row>
    <row r="374">
      <c r="A374" s="107"/>
      <c r="B374" s="113"/>
      <c r="C374" s="224"/>
      <c r="D374" s="224"/>
      <c r="E374" s="107"/>
      <c r="F374" s="107"/>
      <c r="G374" s="107"/>
      <c r="H374" s="251"/>
      <c r="I374" s="102"/>
      <c r="J374" s="102"/>
      <c r="K374" s="102"/>
      <c r="L374" s="102"/>
      <c r="M374" s="102"/>
      <c r="N374" s="102"/>
      <c r="O374" s="102"/>
      <c r="P374" s="144"/>
      <c r="Q374" s="102"/>
      <c r="R374" s="102"/>
      <c r="S374" s="102"/>
      <c r="T374" s="102"/>
      <c r="U374" s="102"/>
      <c r="V374" s="102"/>
      <c r="W374" s="102"/>
      <c r="X374" s="102"/>
      <c r="Y374" s="102"/>
      <c r="Z374" s="121"/>
      <c r="AA374" s="102"/>
      <c r="AB374" s="107"/>
      <c r="AC374" s="102"/>
    </row>
    <row r="375">
      <c r="A375" s="107"/>
      <c r="B375" s="113"/>
      <c r="C375" s="224"/>
      <c r="D375" s="224"/>
      <c r="E375" s="107"/>
      <c r="F375" s="107"/>
      <c r="G375" s="107"/>
      <c r="H375" s="251"/>
      <c r="I375" s="102"/>
      <c r="J375" s="102"/>
      <c r="K375" s="102"/>
      <c r="L375" s="102"/>
      <c r="M375" s="102"/>
      <c r="N375" s="102"/>
      <c r="O375" s="102"/>
      <c r="P375" s="144"/>
      <c r="Q375" s="102"/>
      <c r="R375" s="102"/>
      <c r="S375" s="102"/>
      <c r="T375" s="102"/>
      <c r="U375" s="102"/>
      <c r="V375" s="102"/>
      <c r="W375" s="102"/>
      <c r="X375" s="102"/>
      <c r="Y375" s="102"/>
      <c r="Z375" s="121"/>
      <c r="AA375" s="102"/>
      <c r="AB375" s="107"/>
      <c r="AC375" s="102"/>
    </row>
    <row r="376">
      <c r="A376" s="107"/>
      <c r="B376" s="113"/>
      <c r="C376" s="224"/>
      <c r="D376" s="224"/>
      <c r="E376" s="107"/>
      <c r="F376" s="107"/>
      <c r="G376" s="107"/>
      <c r="H376" s="251"/>
      <c r="I376" s="102"/>
      <c r="J376" s="102"/>
      <c r="K376" s="102"/>
      <c r="L376" s="102"/>
      <c r="M376" s="102"/>
      <c r="N376" s="102"/>
      <c r="O376" s="102"/>
      <c r="P376" s="144"/>
      <c r="Q376" s="102"/>
      <c r="R376" s="102"/>
      <c r="S376" s="102"/>
      <c r="T376" s="102"/>
      <c r="U376" s="102"/>
      <c r="V376" s="102"/>
      <c r="W376" s="102"/>
      <c r="X376" s="102"/>
      <c r="Y376" s="102"/>
      <c r="Z376" s="121"/>
      <c r="AA376" s="102"/>
      <c r="AB376" s="107"/>
      <c r="AC376" s="102"/>
    </row>
    <row r="377">
      <c r="A377" s="107"/>
      <c r="B377" s="113"/>
      <c r="C377" s="224"/>
      <c r="D377" s="224"/>
      <c r="E377" s="107"/>
      <c r="F377" s="107"/>
      <c r="G377" s="107"/>
      <c r="H377" s="251"/>
      <c r="I377" s="102"/>
      <c r="J377" s="102"/>
      <c r="K377" s="102"/>
      <c r="L377" s="102"/>
      <c r="M377" s="102"/>
      <c r="N377" s="102"/>
      <c r="O377" s="102"/>
      <c r="P377" s="144"/>
      <c r="Q377" s="102"/>
      <c r="R377" s="102"/>
      <c r="S377" s="102"/>
      <c r="T377" s="102"/>
      <c r="U377" s="102"/>
      <c r="V377" s="102"/>
      <c r="W377" s="102"/>
      <c r="X377" s="102"/>
      <c r="Y377" s="102"/>
      <c r="Z377" s="121"/>
      <c r="AA377" s="102"/>
      <c r="AB377" s="107"/>
      <c r="AC377" s="102"/>
    </row>
    <row r="378">
      <c r="A378" s="107"/>
      <c r="B378" s="113"/>
      <c r="C378" s="224"/>
      <c r="D378" s="224"/>
      <c r="E378" s="107"/>
      <c r="F378" s="107"/>
      <c r="G378" s="107"/>
      <c r="H378" s="251"/>
      <c r="I378" s="102"/>
      <c r="J378" s="102"/>
      <c r="K378" s="102"/>
      <c r="L378" s="102"/>
      <c r="M378" s="102"/>
      <c r="N378" s="102"/>
      <c r="O378" s="102"/>
      <c r="P378" s="144"/>
      <c r="Q378" s="102"/>
      <c r="R378" s="102"/>
      <c r="S378" s="102"/>
      <c r="T378" s="102"/>
      <c r="U378" s="102"/>
      <c r="V378" s="102"/>
      <c r="W378" s="102"/>
      <c r="X378" s="102"/>
      <c r="Y378" s="102"/>
      <c r="Z378" s="121"/>
      <c r="AA378" s="102"/>
      <c r="AB378" s="107"/>
      <c r="AC378" s="102"/>
    </row>
    <row r="379">
      <c r="A379" s="107"/>
      <c r="B379" s="113"/>
      <c r="C379" s="224"/>
      <c r="D379" s="224"/>
      <c r="E379" s="107"/>
      <c r="F379" s="107"/>
      <c r="G379" s="107"/>
      <c r="H379" s="251"/>
      <c r="I379" s="102"/>
      <c r="J379" s="102"/>
      <c r="K379" s="102"/>
      <c r="L379" s="102"/>
      <c r="M379" s="102"/>
      <c r="N379" s="102"/>
      <c r="O379" s="102"/>
      <c r="P379" s="144"/>
      <c r="Q379" s="102"/>
      <c r="R379" s="102"/>
      <c r="S379" s="102"/>
      <c r="T379" s="102"/>
      <c r="U379" s="102"/>
      <c r="V379" s="102"/>
      <c r="W379" s="102"/>
      <c r="X379" s="102"/>
      <c r="Y379" s="102"/>
      <c r="Z379" s="121"/>
      <c r="AA379" s="102"/>
      <c r="AB379" s="107"/>
      <c r="AC379" s="102"/>
    </row>
    <row r="380">
      <c r="A380" s="107"/>
      <c r="B380" s="113"/>
      <c r="C380" s="224"/>
      <c r="D380" s="224"/>
      <c r="E380" s="107"/>
      <c r="F380" s="107"/>
      <c r="G380" s="107"/>
      <c r="H380" s="251"/>
      <c r="I380" s="102"/>
      <c r="J380" s="102"/>
      <c r="K380" s="102"/>
      <c r="L380" s="102"/>
      <c r="M380" s="102"/>
      <c r="N380" s="102"/>
      <c r="O380" s="102"/>
      <c r="P380" s="144"/>
      <c r="Q380" s="102"/>
      <c r="R380" s="102"/>
      <c r="S380" s="102"/>
      <c r="T380" s="102"/>
      <c r="U380" s="102"/>
      <c r="V380" s="102"/>
      <c r="W380" s="102"/>
      <c r="X380" s="102"/>
      <c r="Y380" s="102"/>
      <c r="Z380" s="121"/>
      <c r="AA380" s="102"/>
      <c r="AB380" s="107"/>
      <c r="AC380" s="102"/>
    </row>
    <row r="381">
      <c r="A381" s="107"/>
      <c r="B381" s="113"/>
      <c r="C381" s="224"/>
      <c r="D381" s="224"/>
      <c r="E381" s="107"/>
      <c r="F381" s="107"/>
      <c r="G381" s="107"/>
      <c r="H381" s="251"/>
      <c r="I381" s="102"/>
      <c r="J381" s="102"/>
      <c r="K381" s="102"/>
      <c r="L381" s="102"/>
      <c r="M381" s="102"/>
      <c r="N381" s="102"/>
      <c r="O381" s="102"/>
      <c r="P381" s="144"/>
      <c r="Q381" s="102"/>
      <c r="R381" s="102"/>
      <c r="S381" s="102"/>
      <c r="T381" s="102"/>
      <c r="U381" s="102"/>
      <c r="V381" s="102"/>
      <c r="W381" s="102"/>
      <c r="X381" s="102"/>
      <c r="Y381" s="102"/>
      <c r="Z381" s="121"/>
      <c r="AA381" s="102"/>
      <c r="AB381" s="107"/>
      <c r="AC381" s="102"/>
    </row>
    <row r="382">
      <c r="A382" s="107"/>
      <c r="B382" s="113"/>
      <c r="C382" s="224"/>
      <c r="D382" s="224"/>
      <c r="E382" s="107"/>
      <c r="F382" s="107"/>
      <c r="G382" s="107"/>
      <c r="H382" s="251"/>
      <c r="I382" s="102"/>
      <c r="J382" s="102"/>
      <c r="K382" s="102"/>
      <c r="L382" s="102"/>
      <c r="M382" s="102"/>
      <c r="N382" s="102"/>
      <c r="O382" s="102"/>
      <c r="P382" s="144"/>
      <c r="Q382" s="102"/>
      <c r="R382" s="102"/>
      <c r="S382" s="102"/>
      <c r="T382" s="102"/>
      <c r="U382" s="102"/>
      <c r="V382" s="102"/>
      <c r="W382" s="102"/>
      <c r="X382" s="102"/>
      <c r="Y382" s="102"/>
      <c r="Z382" s="121"/>
      <c r="AA382" s="102"/>
      <c r="AB382" s="107"/>
      <c r="AC382" s="102"/>
    </row>
    <row r="383">
      <c r="A383" s="107"/>
      <c r="B383" s="113"/>
      <c r="C383" s="224"/>
      <c r="D383" s="224"/>
      <c r="E383" s="107"/>
      <c r="F383" s="107"/>
      <c r="G383" s="107"/>
      <c r="H383" s="251"/>
      <c r="I383" s="102"/>
      <c r="J383" s="102"/>
      <c r="K383" s="102"/>
      <c r="L383" s="102"/>
      <c r="M383" s="102"/>
      <c r="N383" s="102"/>
      <c r="O383" s="102"/>
      <c r="P383" s="144"/>
      <c r="Q383" s="102"/>
      <c r="R383" s="102"/>
      <c r="S383" s="102"/>
      <c r="T383" s="102"/>
      <c r="U383" s="102"/>
      <c r="V383" s="102"/>
      <c r="W383" s="102"/>
      <c r="X383" s="102"/>
      <c r="Y383" s="102"/>
      <c r="Z383" s="121"/>
      <c r="AA383" s="102"/>
      <c r="AB383" s="107"/>
      <c r="AC383" s="102"/>
    </row>
    <row r="384">
      <c r="A384" s="107"/>
      <c r="B384" s="113"/>
      <c r="C384" s="224"/>
      <c r="D384" s="224"/>
      <c r="E384" s="107"/>
      <c r="F384" s="107"/>
      <c r="G384" s="107"/>
      <c r="H384" s="251"/>
      <c r="I384" s="102"/>
      <c r="J384" s="102"/>
      <c r="K384" s="102"/>
      <c r="L384" s="102"/>
      <c r="M384" s="102"/>
      <c r="N384" s="102"/>
      <c r="O384" s="102"/>
      <c r="P384" s="144"/>
      <c r="Q384" s="102"/>
      <c r="R384" s="102"/>
      <c r="S384" s="102"/>
      <c r="T384" s="102"/>
      <c r="U384" s="102"/>
      <c r="V384" s="102"/>
      <c r="W384" s="102"/>
      <c r="X384" s="102"/>
      <c r="Y384" s="102"/>
      <c r="Z384" s="121"/>
      <c r="AA384" s="102"/>
      <c r="AB384" s="107"/>
      <c r="AC384" s="102"/>
    </row>
    <row r="385">
      <c r="A385" s="107"/>
      <c r="B385" s="113"/>
      <c r="C385" s="224"/>
      <c r="D385" s="224"/>
      <c r="E385" s="107"/>
      <c r="F385" s="107"/>
      <c r="G385" s="107"/>
      <c r="H385" s="251"/>
      <c r="I385" s="102"/>
      <c r="J385" s="102"/>
      <c r="K385" s="102"/>
      <c r="L385" s="102"/>
      <c r="M385" s="102"/>
      <c r="N385" s="102"/>
      <c r="O385" s="102"/>
      <c r="P385" s="144"/>
      <c r="Q385" s="102"/>
      <c r="R385" s="102"/>
      <c r="S385" s="102"/>
      <c r="T385" s="102"/>
      <c r="U385" s="102"/>
      <c r="V385" s="102"/>
      <c r="W385" s="102"/>
      <c r="X385" s="102"/>
      <c r="Y385" s="102"/>
      <c r="Z385" s="121"/>
      <c r="AA385" s="102"/>
      <c r="AB385" s="107"/>
      <c r="AC385" s="102"/>
    </row>
    <row r="386">
      <c r="A386" s="107"/>
      <c r="B386" s="113"/>
      <c r="C386" s="224"/>
      <c r="D386" s="224"/>
      <c r="E386" s="107"/>
      <c r="F386" s="107"/>
      <c r="G386" s="107"/>
      <c r="H386" s="251"/>
      <c r="I386" s="102"/>
      <c r="J386" s="102"/>
      <c r="K386" s="102"/>
      <c r="L386" s="102"/>
      <c r="M386" s="102"/>
      <c r="N386" s="102"/>
      <c r="O386" s="102"/>
      <c r="P386" s="144"/>
      <c r="Q386" s="102"/>
      <c r="R386" s="102"/>
      <c r="S386" s="102"/>
      <c r="T386" s="102"/>
      <c r="U386" s="102"/>
      <c r="V386" s="102"/>
      <c r="W386" s="102"/>
      <c r="X386" s="102"/>
      <c r="Y386" s="102"/>
      <c r="Z386" s="121"/>
      <c r="AA386" s="102"/>
      <c r="AB386" s="107"/>
      <c r="AC386" s="102"/>
    </row>
    <row r="387">
      <c r="A387" s="107"/>
      <c r="B387" s="113"/>
      <c r="C387" s="224"/>
      <c r="D387" s="224"/>
      <c r="E387" s="107"/>
      <c r="F387" s="107"/>
      <c r="G387" s="107"/>
      <c r="H387" s="251"/>
      <c r="I387" s="102"/>
      <c r="J387" s="102"/>
      <c r="K387" s="102"/>
      <c r="L387" s="102"/>
      <c r="M387" s="102"/>
      <c r="N387" s="102"/>
      <c r="O387" s="102"/>
      <c r="P387" s="144"/>
      <c r="Q387" s="102"/>
      <c r="R387" s="102"/>
      <c r="S387" s="102"/>
      <c r="T387" s="102"/>
      <c r="U387" s="102"/>
      <c r="V387" s="102"/>
      <c r="W387" s="102"/>
      <c r="X387" s="102"/>
      <c r="Y387" s="102"/>
      <c r="Z387" s="121"/>
      <c r="AA387" s="102"/>
      <c r="AB387" s="107"/>
      <c r="AC387" s="102"/>
    </row>
    <row r="388">
      <c r="A388" s="107"/>
      <c r="B388" s="113"/>
      <c r="C388" s="224"/>
      <c r="D388" s="224"/>
      <c r="E388" s="107"/>
      <c r="F388" s="107"/>
      <c r="G388" s="107"/>
      <c r="H388" s="251"/>
      <c r="I388" s="102"/>
      <c r="J388" s="102"/>
      <c r="K388" s="102"/>
      <c r="L388" s="102"/>
      <c r="M388" s="102"/>
      <c r="N388" s="102"/>
      <c r="O388" s="102"/>
      <c r="P388" s="144"/>
      <c r="Q388" s="102"/>
      <c r="R388" s="102"/>
      <c r="S388" s="102"/>
      <c r="T388" s="102"/>
      <c r="U388" s="102"/>
      <c r="V388" s="102"/>
      <c r="W388" s="102"/>
      <c r="X388" s="102"/>
      <c r="Y388" s="102"/>
      <c r="Z388" s="121"/>
      <c r="AA388" s="102"/>
      <c r="AB388" s="107"/>
      <c r="AC388" s="102"/>
    </row>
    <row r="389">
      <c r="A389" s="107"/>
      <c r="B389" s="113"/>
      <c r="C389" s="224"/>
      <c r="D389" s="224"/>
      <c r="E389" s="107"/>
      <c r="F389" s="107"/>
      <c r="G389" s="107"/>
      <c r="H389" s="251"/>
      <c r="I389" s="102"/>
      <c r="J389" s="102"/>
      <c r="K389" s="102"/>
      <c r="L389" s="102"/>
      <c r="M389" s="102"/>
      <c r="N389" s="102"/>
      <c r="O389" s="102"/>
      <c r="P389" s="144"/>
      <c r="Q389" s="102"/>
      <c r="R389" s="102"/>
      <c r="S389" s="102"/>
      <c r="T389" s="102"/>
      <c r="U389" s="102"/>
      <c r="V389" s="102"/>
      <c r="W389" s="102"/>
      <c r="X389" s="102"/>
      <c r="Y389" s="102"/>
      <c r="Z389" s="121"/>
      <c r="AA389" s="102"/>
      <c r="AB389" s="107"/>
      <c r="AC389" s="102"/>
    </row>
    <row r="390">
      <c r="A390" s="107"/>
      <c r="B390" s="113"/>
      <c r="C390" s="224"/>
      <c r="D390" s="224"/>
      <c r="E390" s="107"/>
      <c r="F390" s="107"/>
      <c r="G390" s="107"/>
      <c r="H390" s="251"/>
      <c r="I390" s="102"/>
      <c r="J390" s="102"/>
      <c r="K390" s="102"/>
      <c r="L390" s="102"/>
      <c r="M390" s="102"/>
      <c r="N390" s="102"/>
      <c r="O390" s="102"/>
      <c r="P390" s="144"/>
      <c r="Q390" s="102"/>
      <c r="R390" s="102"/>
      <c r="S390" s="102"/>
      <c r="T390" s="102"/>
      <c r="U390" s="102"/>
      <c r="V390" s="102"/>
      <c r="W390" s="102"/>
      <c r="X390" s="102"/>
      <c r="Y390" s="102"/>
      <c r="Z390" s="121"/>
      <c r="AA390" s="102"/>
      <c r="AB390" s="107"/>
      <c r="AC390" s="102"/>
    </row>
    <row r="391">
      <c r="A391" s="107"/>
      <c r="B391" s="113"/>
      <c r="C391" s="224"/>
      <c r="D391" s="224"/>
      <c r="E391" s="107"/>
      <c r="F391" s="107"/>
      <c r="G391" s="107"/>
      <c r="H391" s="251"/>
      <c r="I391" s="102"/>
      <c r="J391" s="102"/>
      <c r="K391" s="102"/>
      <c r="L391" s="102"/>
      <c r="M391" s="102"/>
      <c r="N391" s="102"/>
      <c r="O391" s="102"/>
      <c r="P391" s="144"/>
      <c r="Q391" s="102"/>
      <c r="R391" s="102"/>
      <c r="S391" s="102"/>
      <c r="T391" s="102"/>
      <c r="U391" s="102"/>
      <c r="V391" s="102"/>
      <c r="W391" s="102"/>
      <c r="X391" s="102"/>
      <c r="Y391" s="102"/>
      <c r="Z391" s="121"/>
      <c r="AA391" s="102"/>
      <c r="AB391" s="107"/>
      <c r="AC391" s="102"/>
    </row>
    <row r="392">
      <c r="A392" s="107"/>
      <c r="B392" s="113"/>
      <c r="C392" s="224"/>
      <c r="D392" s="224"/>
      <c r="E392" s="107"/>
      <c r="F392" s="107"/>
      <c r="G392" s="107"/>
      <c r="H392" s="251"/>
      <c r="I392" s="102"/>
      <c r="J392" s="102"/>
      <c r="K392" s="102"/>
      <c r="L392" s="102"/>
      <c r="M392" s="102"/>
      <c r="N392" s="102"/>
      <c r="O392" s="102"/>
      <c r="P392" s="144"/>
      <c r="Q392" s="102"/>
      <c r="R392" s="102"/>
      <c r="S392" s="102"/>
      <c r="T392" s="102"/>
      <c r="U392" s="102"/>
      <c r="V392" s="102"/>
      <c r="W392" s="102"/>
      <c r="X392" s="102"/>
      <c r="Y392" s="102"/>
      <c r="Z392" s="121"/>
      <c r="AA392" s="102"/>
      <c r="AB392" s="107"/>
      <c r="AC392" s="102"/>
    </row>
    <row r="393">
      <c r="A393" s="107"/>
      <c r="B393" s="113"/>
      <c r="C393" s="224"/>
      <c r="D393" s="224"/>
      <c r="E393" s="107"/>
      <c r="F393" s="107"/>
      <c r="G393" s="107"/>
      <c r="H393" s="251"/>
      <c r="I393" s="102"/>
      <c r="J393" s="102"/>
      <c r="K393" s="102"/>
      <c r="L393" s="102"/>
      <c r="M393" s="102"/>
      <c r="N393" s="102"/>
      <c r="O393" s="102"/>
      <c r="P393" s="144"/>
      <c r="Q393" s="102"/>
      <c r="R393" s="102"/>
      <c r="S393" s="102"/>
      <c r="T393" s="102"/>
      <c r="U393" s="102"/>
      <c r="V393" s="102"/>
      <c r="W393" s="102"/>
      <c r="X393" s="102"/>
      <c r="Y393" s="102"/>
      <c r="Z393" s="121"/>
      <c r="AA393" s="102"/>
      <c r="AB393" s="107"/>
      <c r="AC393" s="102"/>
    </row>
    <row r="394">
      <c r="A394" s="107"/>
      <c r="B394" s="113"/>
      <c r="C394" s="224"/>
      <c r="D394" s="224"/>
      <c r="E394" s="107"/>
      <c r="F394" s="107"/>
      <c r="G394" s="107"/>
      <c r="H394" s="251"/>
      <c r="I394" s="102"/>
      <c r="J394" s="102"/>
      <c r="K394" s="102"/>
      <c r="L394" s="102"/>
      <c r="M394" s="102"/>
      <c r="N394" s="102"/>
      <c r="O394" s="102"/>
      <c r="P394" s="144"/>
      <c r="Q394" s="102"/>
      <c r="R394" s="102"/>
      <c r="S394" s="102"/>
      <c r="T394" s="102"/>
      <c r="U394" s="102"/>
      <c r="V394" s="102"/>
      <c r="W394" s="102"/>
      <c r="X394" s="102"/>
      <c r="Y394" s="102"/>
      <c r="Z394" s="121"/>
      <c r="AA394" s="102"/>
      <c r="AB394" s="107"/>
      <c r="AC394" s="102"/>
    </row>
    <row r="395">
      <c r="A395" s="107"/>
      <c r="B395" s="113"/>
      <c r="C395" s="224"/>
      <c r="D395" s="224"/>
      <c r="E395" s="107"/>
      <c r="F395" s="107"/>
      <c r="G395" s="107"/>
      <c r="H395" s="251"/>
      <c r="I395" s="102"/>
      <c r="J395" s="102"/>
      <c r="K395" s="102"/>
      <c r="L395" s="102"/>
      <c r="M395" s="102"/>
      <c r="N395" s="102"/>
      <c r="O395" s="102"/>
      <c r="P395" s="144"/>
      <c r="Q395" s="102"/>
      <c r="R395" s="102"/>
      <c r="S395" s="102"/>
      <c r="T395" s="102"/>
      <c r="U395" s="102"/>
      <c r="V395" s="102"/>
      <c r="W395" s="102"/>
      <c r="X395" s="102"/>
      <c r="Y395" s="102"/>
      <c r="Z395" s="121"/>
      <c r="AA395" s="102"/>
      <c r="AB395" s="107"/>
      <c r="AC395" s="102"/>
    </row>
    <row r="396">
      <c r="A396" s="107"/>
      <c r="B396" s="113"/>
      <c r="C396" s="224"/>
      <c r="D396" s="224"/>
      <c r="E396" s="107"/>
      <c r="F396" s="107"/>
      <c r="G396" s="107"/>
      <c r="H396" s="251"/>
      <c r="I396" s="102"/>
      <c r="J396" s="102"/>
      <c r="K396" s="102"/>
      <c r="L396" s="102"/>
      <c r="M396" s="102"/>
      <c r="N396" s="102"/>
      <c r="O396" s="102"/>
      <c r="P396" s="144"/>
      <c r="Q396" s="102"/>
      <c r="R396" s="102"/>
      <c r="S396" s="102"/>
      <c r="T396" s="102"/>
      <c r="U396" s="102"/>
      <c r="V396" s="102"/>
      <c r="W396" s="102"/>
      <c r="X396" s="102"/>
      <c r="Y396" s="102"/>
      <c r="Z396" s="121"/>
      <c r="AA396" s="102"/>
      <c r="AB396" s="107"/>
      <c r="AC396" s="102"/>
    </row>
    <row r="397">
      <c r="A397" s="107"/>
      <c r="B397" s="113"/>
      <c r="C397" s="224"/>
      <c r="D397" s="224"/>
      <c r="E397" s="107"/>
      <c r="F397" s="107"/>
      <c r="G397" s="107"/>
      <c r="H397" s="251"/>
      <c r="I397" s="102"/>
      <c r="J397" s="102"/>
      <c r="K397" s="102"/>
      <c r="L397" s="102"/>
      <c r="M397" s="102"/>
      <c r="N397" s="102"/>
      <c r="O397" s="102"/>
      <c r="P397" s="144"/>
      <c r="Q397" s="102"/>
      <c r="R397" s="102"/>
      <c r="S397" s="102"/>
      <c r="T397" s="102"/>
      <c r="U397" s="102"/>
      <c r="V397" s="102"/>
      <c r="W397" s="102"/>
      <c r="X397" s="102"/>
      <c r="Y397" s="102"/>
      <c r="Z397" s="121"/>
      <c r="AA397" s="102"/>
      <c r="AB397" s="107"/>
      <c r="AC397" s="102"/>
    </row>
    <row r="398">
      <c r="A398" s="107"/>
      <c r="B398" s="113"/>
      <c r="C398" s="224"/>
      <c r="D398" s="224"/>
      <c r="E398" s="107"/>
      <c r="F398" s="107"/>
      <c r="G398" s="107"/>
      <c r="H398" s="251"/>
      <c r="I398" s="102"/>
      <c r="J398" s="102"/>
      <c r="K398" s="102"/>
      <c r="L398" s="102"/>
      <c r="M398" s="102"/>
      <c r="N398" s="102"/>
      <c r="O398" s="102"/>
      <c r="P398" s="144"/>
      <c r="Q398" s="102"/>
      <c r="R398" s="102"/>
      <c r="S398" s="102"/>
      <c r="T398" s="102"/>
      <c r="U398" s="102"/>
      <c r="V398" s="102"/>
      <c r="W398" s="102"/>
      <c r="X398" s="102"/>
      <c r="Y398" s="102"/>
      <c r="Z398" s="121"/>
      <c r="AA398" s="102"/>
      <c r="AB398" s="107"/>
      <c r="AC398" s="102"/>
    </row>
    <row r="399">
      <c r="A399" s="107"/>
      <c r="B399" s="113"/>
      <c r="C399" s="224"/>
      <c r="D399" s="224"/>
      <c r="E399" s="107"/>
      <c r="F399" s="107"/>
      <c r="G399" s="107"/>
      <c r="H399" s="251"/>
      <c r="I399" s="102"/>
      <c r="J399" s="102"/>
      <c r="K399" s="102"/>
      <c r="L399" s="102"/>
      <c r="M399" s="102"/>
      <c r="N399" s="102"/>
      <c r="O399" s="102"/>
      <c r="P399" s="144"/>
      <c r="Q399" s="102"/>
      <c r="R399" s="102"/>
      <c r="S399" s="102"/>
      <c r="T399" s="102"/>
      <c r="U399" s="102"/>
      <c r="V399" s="102"/>
      <c r="W399" s="102"/>
      <c r="X399" s="102"/>
      <c r="Y399" s="102"/>
      <c r="Z399" s="121"/>
      <c r="AA399" s="102"/>
      <c r="AB399" s="107"/>
      <c r="AC399" s="102"/>
    </row>
    <row r="400">
      <c r="A400" s="107"/>
      <c r="B400" s="113"/>
      <c r="C400" s="224"/>
      <c r="D400" s="224"/>
      <c r="E400" s="107"/>
      <c r="F400" s="107"/>
      <c r="G400" s="107"/>
      <c r="H400" s="251"/>
      <c r="I400" s="102"/>
      <c r="J400" s="102"/>
      <c r="K400" s="102"/>
      <c r="L400" s="102"/>
      <c r="M400" s="102"/>
      <c r="N400" s="102"/>
      <c r="O400" s="102"/>
      <c r="P400" s="144"/>
      <c r="Q400" s="102"/>
      <c r="R400" s="102"/>
      <c r="S400" s="102"/>
      <c r="T400" s="102"/>
      <c r="U400" s="102"/>
      <c r="V400" s="102"/>
      <c r="W400" s="102"/>
      <c r="X400" s="102"/>
      <c r="Y400" s="102"/>
      <c r="Z400" s="121"/>
      <c r="AA400" s="102"/>
      <c r="AB400" s="107"/>
      <c r="AC400" s="102"/>
    </row>
    <row r="401">
      <c r="A401" s="107"/>
      <c r="B401" s="113"/>
      <c r="C401" s="224"/>
      <c r="D401" s="224"/>
      <c r="E401" s="107"/>
      <c r="F401" s="107"/>
      <c r="G401" s="107"/>
      <c r="H401" s="251"/>
      <c r="I401" s="102"/>
      <c r="J401" s="102"/>
      <c r="K401" s="102"/>
      <c r="L401" s="102"/>
      <c r="M401" s="102"/>
      <c r="N401" s="102"/>
      <c r="O401" s="102"/>
      <c r="P401" s="144"/>
      <c r="Q401" s="102"/>
      <c r="R401" s="102"/>
      <c r="S401" s="102"/>
      <c r="T401" s="102"/>
      <c r="U401" s="102"/>
      <c r="V401" s="102"/>
      <c r="W401" s="102"/>
      <c r="X401" s="102"/>
      <c r="Y401" s="102"/>
      <c r="Z401" s="121"/>
      <c r="AA401" s="102"/>
      <c r="AB401" s="107"/>
      <c r="AC401" s="102"/>
    </row>
    <row r="402">
      <c r="A402" s="107"/>
      <c r="B402" s="113"/>
      <c r="C402" s="224"/>
      <c r="D402" s="224"/>
      <c r="E402" s="107"/>
      <c r="F402" s="107"/>
      <c r="G402" s="107"/>
      <c r="H402" s="251"/>
      <c r="I402" s="102"/>
      <c r="J402" s="102"/>
      <c r="K402" s="102"/>
      <c r="L402" s="102"/>
      <c r="M402" s="102"/>
      <c r="N402" s="102"/>
      <c r="O402" s="102"/>
      <c r="P402" s="144"/>
      <c r="Q402" s="102"/>
      <c r="R402" s="102"/>
      <c r="S402" s="102"/>
      <c r="T402" s="102"/>
      <c r="U402" s="102"/>
      <c r="V402" s="102"/>
      <c r="W402" s="102"/>
      <c r="X402" s="102"/>
      <c r="Y402" s="102"/>
      <c r="Z402" s="121"/>
      <c r="AA402" s="102"/>
      <c r="AB402" s="107"/>
      <c r="AC402" s="102"/>
    </row>
    <row r="403">
      <c r="A403" s="107"/>
      <c r="B403" s="113"/>
      <c r="C403" s="224"/>
      <c r="D403" s="224"/>
      <c r="E403" s="107"/>
      <c r="F403" s="107"/>
      <c r="G403" s="107"/>
      <c r="H403" s="251"/>
      <c r="I403" s="102"/>
      <c r="J403" s="102"/>
      <c r="K403" s="102"/>
      <c r="L403" s="102"/>
      <c r="M403" s="102"/>
      <c r="N403" s="102"/>
      <c r="O403" s="102"/>
      <c r="P403" s="144"/>
      <c r="Q403" s="102"/>
      <c r="R403" s="102"/>
      <c r="S403" s="102"/>
      <c r="T403" s="102"/>
      <c r="U403" s="102"/>
      <c r="V403" s="102"/>
      <c r="W403" s="102"/>
      <c r="X403" s="102"/>
      <c r="Y403" s="102"/>
      <c r="Z403" s="121"/>
      <c r="AA403" s="102"/>
      <c r="AB403" s="107"/>
      <c r="AC403" s="102"/>
    </row>
    <row r="404">
      <c r="A404" s="107"/>
      <c r="B404" s="113"/>
      <c r="C404" s="224"/>
      <c r="D404" s="224"/>
      <c r="E404" s="107"/>
      <c r="F404" s="107"/>
      <c r="G404" s="107"/>
      <c r="H404" s="251"/>
      <c r="I404" s="102"/>
      <c r="J404" s="102"/>
      <c r="K404" s="102"/>
      <c r="L404" s="102"/>
      <c r="M404" s="102"/>
      <c r="N404" s="102"/>
      <c r="O404" s="102"/>
      <c r="P404" s="144"/>
      <c r="Q404" s="102"/>
      <c r="R404" s="102"/>
      <c r="S404" s="102"/>
      <c r="T404" s="102"/>
      <c r="U404" s="102"/>
      <c r="V404" s="102"/>
      <c r="W404" s="102"/>
      <c r="X404" s="102"/>
      <c r="Y404" s="102"/>
      <c r="Z404" s="121"/>
      <c r="AA404" s="102"/>
      <c r="AB404" s="107"/>
      <c r="AC404" s="102"/>
    </row>
    <row r="405">
      <c r="A405" s="107"/>
      <c r="B405" s="113"/>
      <c r="C405" s="224"/>
      <c r="D405" s="224"/>
      <c r="E405" s="107"/>
      <c r="F405" s="107"/>
      <c r="G405" s="107"/>
      <c r="H405" s="251"/>
      <c r="I405" s="102"/>
      <c r="J405" s="102"/>
      <c r="K405" s="102"/>
      <c r="L405" s="102"/>
      <c r="M405" s="102"/>
      <c r="N405" s="102"/>
      <c r="O405" s="102"/>
      <c r="P405" s="144"/>
      <c r="Q405" s="102"/>
      <c r="R405" s="102"/>
      <c r="S405" s="102"/>
      <c r="T405" s="102"/>
      <c r="U405" s="102"/>
      <c r="V405" s="102"/>
      <c r="W405" s="102"/>
      <c r="X405" s="102"/>
      <c r="Y405" s="102"/>
      <c r="Z405" s="121"/>
      <c r="AA405" s="102"/>
      <c r="AB405" s="107"/>
      <c r="AC405" s="102"/>
    </row>
    <row r="406">
      <c r="A406" s="107"/>
      <c r="B406" s="113"/>
      <c r="C406" s="224"/>
      <c r="D406" s="224"/>
      <c r="E406" s="107"/>
      <c r="F406" s="107"/>
      <c r="G406" s="107"/>
      <c r="H406" s="251"/>
      <c r="I406" s="102"/>
      <c r="J406" s="102"/>
      <c r="K406" s="102"/>
      <c r="L406" s="102"/>
      <c r="M406" s="102"/>
      <c r="N406" s="102"/>
      <c r="O406" s="102"/>
      <c r="P406" s="144"/>
      <c r="Q406" s="102"/>
      <c r="R406" s="102"/>
      <c r="S406" s="102"/>
      <c r="T406" s="102"/>
      <c r="U406" s="102"/>
      <c r="V406" s="102"/>
      <c r="W406" s="102"/>
      <c r="X406" s="102"/>
      <c r="Y406" s="102"/>
      <c r="Z406" s="121"/>
      <c r="AA406" s="102"/>
      <c r="AB406" s="107"/>
      <c r="AC406" s="102"/>
    </row>
    <row r="407">
      <c r="A407" s="107"/>
      <c r="B407" s="113"/>
      <c r="C407" s="224"/>
      <c r="D407" s="224"/>
      <c r="E407" s="107"/>
      <c r="F407" s="107"/>
      <c r="G407" s="107"/>
      <c r="H407" s="251"/>
      <c r="I407" s="102"/>
      <c r="J407" s="102"/>
      <c r="K407" s="102"/>
      <c r="L407" s="102"/>
      <c r="M407" s="102"/>
      <c r="N407" s="102"/>
      <c r="O407" s="102"/>
      <c r="P407" s="144"/>
      <c r="Q407" s="102"/>
      <c r="R407" s="102"/>
      <c r="S407" s="102"/>
      <c r="T407" s="102"/>
      <c r="U407" s="102"/>
      <c r="V407" s="102"/>
      <c r="W407" s="102"/>
      <c r="X407" s="102"/>
      <c r="Y407" s="102"/>
      <c r="Z407" s="121"/>
      <c r="AA407" s="102"/>
      <c r="AB407" s="107"/>
      <c r="AC407" s="102"/>
    </row>
    <row r="408">
      <c r="A408" s="107"/>
      <c r="B408" s="113"/>
      <c r="C408" s="224"/>
      <c r="D408" s="224"/>
      <c r="E408" s="107"/>
      <c r="F408" s="107"/>
      <c r="G408" s="107"/>
      <c r="H408" s="251"/>
      <c r="I408" s="102"/>
      <c r="J408" s="102"/>
      <c r="K408" s="102"/>
      <c r="L408" s="102"/>
      <c r="M408" s="102"/>
      <c r="N408" s="102"/>
      <c r="O408" s="102"/>
      <c r="P408" s="144"/>
      <c r="Q408" s="102"/>
      <c r="R408" s="102"/>
      <c r="S408" s="102"/>
      <c r="T408" s="102"/>
      <c r="U408" s="102"/>
      <c r="V408" s="102"/>
      <c r="W408" s="102"/>
      <c r="X408" s="102"/>
      <c r="Y408" s="102"/>
      <c r="Z408" s="121"/>
      <c r="AA408" s="102"/>
      <c r="AB408" s="107"/>
      <c r="AC408" s="102"/>
    </row>
    <row r="409">
      <c r="A409" s="107"/>
      <c r="B409" s="113"/>
      <c r="C409" s="224"/>
      <c r="D409" s="224"/>
      <c r="E409" s="107"/>
      <c r="F409" s="107"/>
      <c r="G409" s="107"/>
      <c r="H409" s="251"/>
      <c r="I409" s="102"/>
      <c r="J409" s="102"/>
      <c r="K409" s="102"/>
      <c r="L409" s="102"/>
      <c r="M409" s="102"/>
      <c r="N409" s="102"/>
      <c r="O409" s="102"/>
      <c r="P409" s="144"/>
      <c r="Q409" s="102"/>
      <c r="R409" s="102"/>
      <c r="S409" s="102"/>
      <c r="T409" s="102"/>
      <c r="U409" s="102"/>
      <c r="V409" s="102"/>
      <c r="W409" s="102"/>
      <c r="X409" s="102"/>
      <c r="Y409" s="102"/>
      <c r="Z409" s="121"/>
      <c r="AA409" s="102"/>
      <c r="AB409" s="107"/>
      <c r="AC409" s="102"/>
    </row>
    <row r="410">
      <c r="A410" s="107"/>
      <c r="B410" s="113"/>
      <c r="C410" s="224"/>
      <c r="D410" s="224"/>
      <c r="E410" s="107"/>
      <c r="F410" s="107"/>
      <c r="G410" s="107"/>
      <c r="H410" s="251"/>
      <c r="I410" s="102"/>
      <c r="J410" s="102"/>
      <c r="K410" s="102"/>
      <c r="L410" s="102"/>
      <c r="M410" s="102"/>
      <c r="N410" s="102"/>
      <c r="O410" s="102"/>
      <c r="P410" s="144"/>
      <c r="Q410" s="102"/>
      <c r="R410" s="102"/>
      <c r="S410" s="102"/>
      <c r="T410" s="102"/>
      <c r="U410" s="102"/>
      <c r="V410" s="102"/>
      <c r="W410" s="102"/>
      <c r="X410" s="102"/>
      <c r="Y410" s="102"/>
      <c r="Z410" s="121"/>
      <c r="AA410" s="102"/>
      <c r="AB410" s="107"/>
      <c r="AC410" s="102"/>
    </row>
    <row r="411">
      <c r="A411" s="107"/>
      <c r="B411" s="113"/>
      <c r="C411" s="224"/>
      <c r="D411" s="224"/>
      <c r="E411" s="107"/>
      <c r="F411" s="107"/>
      <c r="G411" s="107"/>
      <c r="H411" s="251"/>
      <c r="I411" s="102"/>
      <c r="J411" s="102"/>
      <c r="K411" s="102"/>
      <c r="L411" s="102"/>
      <c r="M411" s="102"/>
      <c r="N411" s="102"/>
      <c r="O411" s="102"/>
      <c r="P411" s="144"/>
      <c r="Q411" s="102"/>
      <c r="R411" s="102"/>
      <c r="S411" s="102"/>
      <c r="T411" s="102"/>
      <c r="U411" s="102"/>
      <c r="V411" s="102"/>
      <c r="W411" s="102"/>
      <c r="X411" s="102"/>
      <c r="Y411" s="102"/>
      <c r="Z411" s="121"/>
      <c r="AA411" s="102"/>
      <c r="AB411" s="107"/>
      <c r="AC411" s="102"/>
    </row>
    <row r="412">
      <c r="A412" s="107"/>
      <c r="B412" s="113"/>
      <c r="C412" s="224"/>
      <c r="D412" s="224"/>
      <c r="E412" s="107"/>
      <c r="F412" s="107"/>
      <c r="G412" s="107"/>
      <c r="H412" s="251"/>
      <c r="I412" s="102"/>
      <c r="J412" s="102"/>
      <c r="K412" s="102"/>
      <c r="L412" s="102"/>
      <c r="M412" s="102"/>
      <c r="N412" s="102"/>
      <c r="O412" s="102"/>
      <c r="P412" s="144"/>
      <c r="Q412" s="102"/>
      <c r="R412" s="102"/>
      <c r="S412" s="102"/>
      <c r="T412" s="102"/>
      <c r="U412" s="102"/>
      <c r="V412" s="102"/>
      <c r="W412" s="102"/>
      <c r="X412" s="102"/>
      <c r="Y412" s="102"/>
      <c r="Z412" s="121"/>
      <c r="AA412" s="102"/>
      <c r="AB412" s="107"/>
      <c r="AC412" s="102"/>
    </row>
    <row r="413">
      <c r="A413" s="107"/>
      <c r="B413" s="113"/>
      <c r="C413" s="224"/>
      <c r="D413" s="224"/>
      <c r="E413" s="107"/>
      <c r="F413" s="107"/>
      <c r="G413" s="107"/>
      <c r="H413" s="251"/>
      <c r="I413" s="102"/>
      <c r="J413" s="102"/>
      <c r="K413" s="102"/>
      <c r="L413" s="102"/>
      <c r="M413" s="102"/>
      <c r="N413" s="102"/>
      <c r="O413" s="102"/>
      <c r="P413" s="144"/>
      <c r="Q413" s="102"/>
      <c r="R413" s="102"/>
      <c r="S413" s="102"/>
      <c r="T413" s="102"/>
      <c r="U413" s="102"/>
      <c r="V413" s="102"/>
      <c r="W413" s="102"/>
      <c r="X413" s="102"/>
      <c r="Y413" s="102"/>
      <c r="Z413" s="121"/>
      <c r="AA413" s="102"/>
      <c r="AB413" s="107"/>
      <c r="AC413" s="102"/>
    </row>
    <row r="414">
      <c r="A414" s="107"/>
      <c r="B414" s="113"/>
      <c r="C414" s="224"/>
      <c r="D414" s="224"/>
      <c r="E414" s="107"/>
      <c r="F414" s="107"/>
      <c r="G414" s="107"/>
      <c r="H414" s="251"/>
      <c r="I414" s="102"/>
      <c r="J414" s="102"/>
      <c r="K414" s="102"/>
      <c r="L414" s="102"/>
      <c r="M414" s="102"/>
      <c r="N414" s="102"/>
      <c r="O414" s="102"/>
      <c r="P414" s="144"/>
      <c r="Q414" s="102"/>
      <c r="R414" s="102"/>
      <c r="S414" s="102"/>
      <c r="T414" s="102"/>
      <c r="U414" s="102"/>
      <c r="V414" s="102"/>
      <c r="W414" s="102"/>
      <c r="X414" s="102"/>
      <c r="Y414" s="102"/>
      <c r="Z414" s="121"/>
      <c r="AA414" s="102"/>
      <c r="AB414" s="107"/>
      <c r="AC414" s="102"/>
    </row>
    <row r="415">
      <c r="A415" s="107"/>
      <c r="B415" s="113"/>
      <c r="C415" s="224"/>
      <c r="D415" s="224"/>
      <c r="E415" s="107"/>
      <c r="F415" s="107"/>
      <c r="G415" s="107"/>
      <c r="H415" s="251"/>
      <c r="I415" s="102"/>
      <c r="J415" s="102"/>
      <c r="K415" s="102"/>
      <c r="L415" s="102"/>
      <c r="M415" s="102"/>
      <c r="N415" s="102"/>
      <c r="O415" s="102"/>
      <c r="P415" s="144"/>
      <c r="Q415" s="102"/>
      <c r="R415" s="102"/>
      <c r="S415" s="102"/>
      <c r="T415" s="102"/>
      <c r="U415" s="102"/>
      <c r="V415" s="102"/>
      <c r="W415" s="102"/>
      <c r="X415" s="102"/>
      <c r="Y415" s="102"/>
      <c r="Z415" s="121"/>
      <c r="AA415" s="102"/>
      <c r="AB415" s="107"/>
      <c r="AC415" s="102"/>
    </row>
    <row r="416">
      <c r="A416" s="107"/>
      <c r="B416" s="113"/>
      <c r="C416" s="224"/>
      <c r="D416" s="224"/>
      <c r="E416" s="107"/>
      <c r="F416" s="107"/>
      <c r="G416" s="107"/>
      <c r="H416" s="251"/>
      <c r="I416" s="102"/>
      <c r="J416" s="102"/>
      <c r="K416" s="102"/>
      <c r="L416" s="102"/>
      <c r="M416" s="102"/>
      <c r="N416" s="102"/>
      <c r="O416" s="102"/>
      <c r="P416" s="144"/>
      <c r="Q416" s="102"/>
      <c r="R416" s="102"/>
      <c r="S416" s="102"/>
      <c r="T416" s="102"/>
      <c r="U416" s="102"/>
      <c r="V416" s="102"/>
      <c r="W416" s="102"/>
      <c r="X416" s="102"/>
      <c r="Y416" s="102"/>
      <c r="Z416" s="121"/>
      <c r="AA416" s="102"/>
      <c r="AB416" s="107"/>
      <c r="AC416" s="102"/>
    </row>
    <row r="417">
      <c r="A417" s="107"/>
      <c r="B417" s="113"/>
      <c r="C417" s="224"/>
      <c r="D417" s="224"/>
      <c r="E417" s="107"/>
      <c r="F417" s="107"/>
      <c r="G417" s="107"/>
      <c r="H417" s="251"/>
      <c r="I417" s="102"/>
      <c r="J417" s="102"/>
      <c r="K417" s="102"/>
      <c r="L417" s="102"/>
      <c r="M417" s="102"/>
      <c r="N417" s="102"/>
      <c r="O417" s="102"/>
      <c r="P417" s="144"/>
      <c r="Q417" s="102"/>
      <c r="R417" s="102"/>
      <c r="S417" s="102"/>
      <c r="T417" s="102"/>
      <c r="U417" s="102"/>
      <c r="V417" s="102"/>
      <c r="W417" s="102"/>
      <c r="X417" s="102"/>
      <c r="Y417" s="102"/>
      <c r="Z417" s="121"/>
      <c r="AA417" s="102"/>
      <c r="AB417" s="107"/>
      <c r="AC417" s="102"/>
    </row>
    <row r="418">
      <c r="A418" s="107"/>
      <c r="B418" s="113"/>
      <c r="C418" s="224"/>
      <c r="D418" s="224"/>
      <c r="E418" s="107"/>
      <c r="F418" s="107"/>
      <c r="G418" s="107"/>
      <c r="H418" s="251"/>
      <c r="I418" s="102"/>
      <c r="J418" s="102"/>
      <c r="K418" s="102"/>
      <c r="L418" s="102"/>
      <c r="M418" s="102"/>
      <c r="N418" s="102"/>
      <c r="O418" s="102"/>
      <c r="P418" s="144"/>
      <c r="Q418" s="102"/>
      <c r="R418" s="102"/>
      <c r="S418" s="102"/>
      <c r="T418" s="102"/>
      <c r="U418" s="102"/>
      <c r="V418" s="102"/>
      <c r="W418" s="102"/>
      <c r="X418" s="102"/>
      <c r="Y418" s="102"/>
      <c r="Z418" s="121"/>
      <c r="AA418" s="102"/>
      <c r="AB418" s="107"/>
      <c r="AC418" s="102"/>
    </row>
    <row r="419">
      <c r="A419" s="107"/>
      <c r="B419" s="113"/>
      <c r="C419" s="224"/>
      <c r="D419" s="224"/>
      <c r="E419" s="107"/>
      <c r="F419" s="107"/>
      <c r="G419" s="107"/>
      <c r="H419" s="251"/>
      <c r="I419" s="102"/>
      <c r="J419" s="102"/>
      <c r="K419" s="102"/>
      <c r="L419" s="102"/>
      <c r="M419" s="102"/>
      <c r="N419" s="102"/>
      <c r="O419" s="102"/>
      <c r="P419" s="144"/>
      <c r="Q419" s="102"/>
      <c r="R419" s="102"/>
      <c r="S419" s="102"/>
      <c r="T419" s="102"/>
      <c r="U419" s="102"/>
      <c r="V419" s="102"/>
      <c r="W419" s="102"/>
      <c r="X419" s="102"/>
      <c r="Y419" s="102"/>
      <c r="Z419" s="121"/>
      <c r="AA419" s="102"/>
      <c r="AB419" s="107"/>
      <c r="AC419" s="102"/>
    </row>
    <row r="420">
      <c r="A420" s="107"/>
      <c r="B420" s="113"/>
      <c r="C420" s="224"/>
      <c r="D420" s="224"/>
      <c r="E420" s="107"/>
      <c r="F420" s="107"/>
      <c r="G420" s="107"/>
      <c r="H420" s="251"/>
      <c r="I420" s="102"/>
      <c r="J420" s="102"/>
      <c r="K420" s="102"/>
      <c r="L420" s="102"/>
      <c r="M420" s="102"/>
      <c r="N420" s="102"/>
      <c r="O420" s="102"/>
      <c r="P420" s="144"/>
      <c r="Q420" s="102"/>
      <c r="R420" s="102"/>
      <c r="S420" s="102"/>
      <c r="T420" s="102"/>
      <c r="U420" s="102"/>
      <c r="V420" s="102"/>
      <c r="W420" s="102"/>
      <c r="X420" s="102"/>
      <c r="Y420" s="102"/>
      <c r="Z420" s="121"/>
      <c r="AA420" s="102"/>
      <c r="AB420" s="107"/>
      <c r="AC420" s="102"/>
    </row>
    <row r="421">
      <c r="A421" s="107"/>
      <c r="B421" s="113"/>
      <c r="C421" s="224"/>
      <c r="D421" s="224"/>
      <c r="E421" s="107"/>
      <c r="F421" s="107"/>
      <c r="G421" s="107"/>
      <c r="H421" s="251"/>
      <c r="I421" s="102"/>
      <c r="J421" s="102"/>
      <c r="K421" s="102"/>
      <c r="L421" s="102"/>
      <c r="M421" s="102"/>
      <c r="N421" s="102"/>
      <c r="O421" s="102"/>
      <c r="P421" s="144"/>
      <c r="Q421" s="102"/>
      <c r="R421" s="102"/>
      <c r="S421" s="102"/>
      <c r="T421" s="102"/>
      <c r="U421" s="102"/>
      <c r="V421" s="102"/>
      <c r="W421" s="102"/>
      <c r="X421" s="102"/>
      <c r="Y421" s="102"/>
      <c r="Z421" s="121"/>
      <c r="AA421" s="102"/>
      <c r="AB421" s="107"/>
      <c r="AC421" s="102"/>
    </row>
    <row r="422">
      <c r="A422" s="107"/>
      <c r="B422" s="113"/>
      <c r="C422" s="224"/>
      <c r="D422" s="224"/>
      <c r="E422" s="107"/>
      <c r="F422" s="107"/>
      <c r="G422" s="107"/>
      <c r="H422" s="251"/>
      <c r="I422" s="102"/>
      <c r="J422" s="102"/>
      <c r="K422" s="102"/>
      <c r="L422" s="102"/>
      <c r="M422" s="102"/>
      <c r="N422" s="102"/>
      <c r="O422" s="102"/>
      <c r="P422" s="144"/>
      <c r="Q422" s="102"/>
      <c r="R422" s="102"/>
      <c r="S422" s="102"/>
      <c r="T422" s="102"/>
      <c r="U422" s="102"/>
      <c r="V422" s="102"/>
      <c r="W422" s="102"/>
      <c r="X422" s="102"/>
      <c r="Y422" s="102"/>
      <c r="Z422" s="121"/>
      <c r="AA422" s="102"/>
      <c r="AB422" s="107"/>
      <c r="AC422" s="102"/>
    </row>
    <row r="423">
      <c r="A423" s="107"/>
      <c r="B423" s="113"/>
      <c r="C423" s="224"/>
      <c r="D423" s="224"/>
      <c r="E423" s="107"/>
      <c r="F423" s="107"/>
      <c r="G423" s="107"/>
      <c r="H423" s="251"/>
      <c r="I423" s="102"/>
      <c r="J423" s="102"/>
      <c r="K423" s="102"/>
      <c r="L423" s="102"/>
      <c r="M423" s="102"/>
      <c r="N423" s="102"/>
      <c r="O423" s="102"/>
      <c r="P423" s="144"/>
      <c r="Q423" s="102"/>
      <c r="R423" s="102"/>
      <c r="S423" s="102"/>
      <c r="T423" s="102"/>
      <c r="U423" s="102"/>
      <c r="V423" s="102"/>
      <c r="W423" s="102"/>
      <c r="X423" s="102"/>
      <c r="Y423" s="102"/>
      <c r="Z423" s="121"/>
      <c r="AA423" s="102"/>
      <c r="AB423" s="107"/>
      <c r="AC423" s="102"/>
    </row>
    <row r="424">
      <c r="A424" s="107"/>
      <c r="B424" s="113"/>
      <c r="C424" s="224"/>
      <c r="D424" s="224"/>
      <c r="E424" s="107"/>
      <c r="F424" s="107"/>
      <c r="G424" s="107"/>
      <c r="H424" s="251"/>
      <c r="I424" s="102"/>
      <c r="J424" s="102"/>
      <c r="K424" s="102"/>
      <c r="L424" s="102"/>
      <c r="M424" s="102"/>
      <c r="N424" s="102"/>
      <c r="O424" s="102"/>
      <c r="P424" s="144"/>
      <c r="Q424" s="102"/>
      <c r="R424" s="102"/>
      <c r="S424" s="102"/>
      <c r="T424" s="102"/>
      <c r="U424" s="102"/>
      <c r="V424" s="102"/>
      <c r="W424" s="102"/>
      <c r="X424" s="102"/>
      <c r="Y424" s="102"/>
      <c r="Z424" s="121"/>
      <c r="AA424" s="102"/>
      <c r="AB424" s="107"/>
      <c r="AC424" s="102"/>
    </row>
    <row r="425">
      <c r="A425" s="107"/>
      <c r="B425" s="113"/>
      <c r="C425" s="224"/>
      <c r="D425" s="224"/>
      <c r="E425" s="107"/>
      <c r="F425" s="107"/>
      <c r="G425" s="107"/>
      <c r="H425" s="251"/>
      <c r="I425" s="102"/>
      <c r="J425" s="102"/>
      <c r="K425" s="102"/>
      <c r="L425" s="102"/>
      <c r="M425" s="102"/>
      <c r="N425" s="102"/>
      <c r="O425" s="102"/>
      <c r="P425" s="144"/>
      <c r="Q425" s="102"/>
      <c r="R425" s="102"/>
      <c r="S425" s="102"/>
      <c r="T425" s="102"/>
      <c r="U425" s="102"/>
      <c r="V425" s="102"/>
      <c r="W425" s="102"/>
      <c r="X425" s="102"/>
      <c r="Y425" s="102"/>
      <c r="Z425" s="121"/>
      <c r="AA425" s="102"/>
      <c r="AB425" s="107"/>
      <c r="AC425" s="102"/>
    </row>
    <row r="426">
      <c r="A426" s="107"/>
      <c r="B426" s="113"/>
      <c r="C426" s="224"/>
      <c r="D426" s="224"/>
      <c r="E426" s="107"/>
      <c r="F426" s="107"/>
      <c r="G426" s="107"/>
      <c r="H426" s="251"/>
      <c r="I426" s="102"/>
      <c r="J426" s="102"/>
      <c r="K426" s="102"/>
      <c r="L426" s="102"/>
      <c r="M426" s="102"/>
      <c r="N426" s="102"/>
      <c r="O426" s="102"/>
      <c r="P426" s="144"/>
      <c r="Q426" s="102"/>
      <c r="R426" s="102"/>
      <c r="S426" s="102"/>
      <c r="T426" s="102"/>
      <c r="U426" s="102"/>
      <c r="V426" s="102"/>
      <c r="W426" s="102"/>
      <c r="X426" s="102"/>
      <c r="Y426" s="102"/>
      <c r="Z426" s="121"/>
      <c r="AA426" s="102"/>
      <c r="AB426" s="107"/>
      <c r="AC426" s="102"/>
    </row>
    <row r="427">
      <c r="A427" s="107"/>
      <c r="B427" s="113"/>
      <c r="C427" s="224"/>
      <c r="D427" s="224"/>
      <c r="E427" s="107"/>
      <c r="F427" s="107"/>
      <c r="G427" s="107"/>
      <c r="H427" s="251"/>
      <c r="I427" s="102"/>
      <c r="J427" s="102"/>
      <c r="K427" s="102"/>
      <c r="L427" s="102"/>
      <c r="M427" s="102"/>
      <c r="N427" s="102"/>
      <c r="O427" s="102"/>
      <c r="P427" s="144"/>
      <c r="Q427" s="102"/>
      <c r="R427" s="102"/>
      <c r="S427" s="102"/>
      <c r="T427" s="102"/>
      <c r="U427" s="102"/>
      <c r="V427" s="102"/>
      <c r="W427" s="102"/>
      <c r="X427" s="102"/>
      <c r="Y427" s="102"/>
      <c r="Z427" s="121"/>
      <c r="AA427" s="102"/>
      <c r="AB427" s="107"/>
      <c r="AC427" s="102"/>
    </row>
    <row r="428">
      <c r="A428" s="107"/>
      <c r="B428" s="113"/>
      <c r="C428" s="224"/>
      <c r="D428" s="224"/>
      <c r="E428" s="107"/>
      <c r="F428" s="107"/>
      <c r="G428" s="107"/>
      <c r="H428" s="251"/>
      <c r="I428" s="102"/>
      <c r="J428" s="102"/>
      <c r="K428" s="102"/>
      <c r="L428" s="102"/>
      <c r="M428" s="102"/>
      <c r="N428" s="102"/>
      <c r="O428" s="102"/>
      <c r="P428" s="144"/>
      <c r="Q428" s="102"/>
      <c r="R428" s="102"/>
      <c r="S428" s="102"/>
      <c r="T428" s="102"/>
      <c r="U428" s="102"/>
      <c r="V428" s="102"/>
      <c r="W428" s="102"/>
      <c r="X428" s="102"/>
      <c r="Y428" s="102"/>
      <c r="Z428" s="121"/>
      <c r="AA428" s="102"/>
      <c r="AB428" s="107"/>
      <c r="AC428" s="102"/>
    </row>
    <row r="429">
      <c r="A429" s="107"/>
      <c r="B429" s="113"/>
      <c r="C429" s="224"/>
      <c r="D429" s="224"/>
      <c r="E429" s="107"/>
      <c r="F429" s="107"/>
      <c r="G429" s="107"/>
      <c r="H429" s="251"/>
      <c r="I429" s="102"/>
      <c r="J429" s="102"/>
      <c r="K429" s="102"/>
      <c r="L429" s="102"/>
      <c r="M429" s="102"/>
      <c r="N429" s="102"/>
      <c r="O429" s="102"/>
      <c r="P429" s="144"/>
      <c r="Q429" s="102"/>
      <c r="R429" s="102"/>
      <c r="S429" s="102"/>
      <c r="T429" s="102"/>
      <c r="U429" s="102"/>
      <c r="V429" s="102"/>
      <c r="W429" s="102"/>
      <c r="X429" s="102"/>
      <c r="Y429" s="102"/>
      <c r="Z429" s="121"/>
      <c r="AA429" s="102"/>
      <c r="AB429" s="107"/>
      <c r="AC429" s="102"/>
    </row>
    <row r="430">
      <c r="A430" s="107"/>
      <c r="B430" s="113"/>
      <c r="C430" s="224"/>
      <c r="D430" s="224"/>
      <c r="E430" s="107"/>
      <c r="F430" s="107"/>
      <c r="G430" s="107"/>
      <c r="H430" s="251"/>
      <c r="I430" s="102"/>
      <c r="J430" s="102"/>
      <c r="K430" s="102"/>
      <c r="L430" s="102"/>
      <c r="M430" s="102"/>
      <c r="N430" s="102"/>
      <c r="O430" s="102"/>
      <c r="P430" s="144"/>
      <c r="Q430" s="102"/>
      <c r="R430" s="102"/>
      <c r="S430" s="102"/>
      <c r="T430" s="102"/>
      <c r="U430" s="102"/>
      <c r="V430" s="102"/>
      <c r="W430" s="102"/>
      <c r="X430" s="102"/>
      <c r="Y430" s="102"/>
      <c r="Z430" s="121"/>
      <c r="AA430" s="102"/>
      <c r="AB430" s="107"/>
      <c r="AC430" s="102"/>
    </row>
    <row r="431">
      <c r="A431" s="107"/>
      <c r="B431" s="113"/>
      <c r="C431" s="224"/>
      <c r="D431" s="224"/>
      <c r="E431" s="107"/>
      <c r="F431" s="107"/>
      <c r="G431" s="107"/>
      <c r="H431" s="251"/>
      <c r="I431" s="102"/>
      <c r="J431" s="102"/>
      <c r="K431" s="102"/>
      <c r="L431" s="102"/>
      <c r="M431" s="102"/>
      <c r="N431" s="102"/>
      <c r="O431" s="102"/>
      <c r="P431" s="144"/>
      <c r="Q431" s="102"/>
      <c r="R431" s="102"/>
      <c r="S431" s="102"/>
      <c r="T431" s="102"/>
      <c r="U431" s="102"/>
      <c r="V431" s="102"/>
      <c r="W431" s="102"/>
      <c r="X431" s="102"/>
      <c r="Y431" s="102"/>
      <c r="Z431" s="121"/>
      <c r="AA431" s="102"/>
      <c r="AB431" s="107"/>
      <c r="AC431" s="102"/>
    </row>
    <row r="432">
      <c r="A432" s="107"/>
      <c r="B432" s="113"/>
      <c r="C432" s="224"/>
      <c r="D432" s="224"/>
      <c r="E432" s="107"/>
      <c r="F432" s="107"/>
      <c r="G432" s="107"/>
      <c r="H432" s="251"/>
      <c r="I432" s="102"/>
      <c r="J432" s="102"/>
      <c r="K432" s="102"/>
      <c r="L432" s="102"/>
      <c r="M432" s="102"/>
      <c r="N432" s="102"/>
      <c r="O432" s="102"/>
      <c r="P432" s="144"/>
      <c r="Q432" s="102"/>
      <c r="R432" s="102"/>
      <c r="S432" s="102"/>
      <c r="T432" s="102"/>
      <c r="U432" s="102"/>
      <c r="V432" s="102"/>
      <c r="W432" s="102"/>
      <c r="X432" s="102"/>
      <c r="Y432" s="102"/>
      <c r="Z432" s="121"/>
      <c r="AA432" s="102"/>
      <c r="AB432" s="107"/>
      <c r="AC432" s="102"/>
    </row>
    <row r="433">
      <c r="A433" s="107"/>
      <c r="B433" s="113"/>
      <c r="C433" s="224"/>
      <c r="D433" s="224"/>
      <c r="E433" s="107"/>
      <c r="F433" s="107"/>
      <c r="G433" s="107"/>
      <c r="H433" s="251"/>
      <c r="I433" s="102"/>
      <c r="J433" s="102"/>
      <c r="K433" s="102"/>
      <c r="L433" s="102"/>
      <c r="M433" s="102"/>
      <c r="N433" s="102"/>
      <c r="O433" s="102"/>
      <c r="P433" s="144"/>
      <c r="Q433" s="102"/>
      <c r="R433" s="102"/>
      <c r="S433" s="102"/>
      <c r="T433" s="102"/>
      <c r="U433" s="102"/>
      <c r="V433" s="102"/>
      <c r="W433" s="102"/>
      <c r="X433" s="102"/>
      <c r="Y433" s="102"/>
      <c r="Z433" s="121"/>
      <c r="AA433" s="102"/>
      <c r="AB433" s="107"/>
      <c r="AC433" s="102"/>
    </row>
    <row r="434">
      <c r="A434" s="107"/>
      <c r="B434" s="113"/>
      <c r="C434" s="224"/>
      <c r="D434" s="224"/>
      <c r="E434" s="107"/>
      <c r="F434" s="107"/>
      <c r="G434" s="107"/>
      <c r="H434" s="251"/>
      <c r="I434" s="102"/>
      <c r="J434" s="102"/>
      <c r="K434" s="102"/>
      <c r="L434" s="102"/>
      <c r="M434" s="102"/>
      <c r="N434" s="102"/>
      <c r="O434" s="102"/>
      <c r="P434" s="144"/>
      <c r="Q434" s="102"/>
      <c r="R434" s="102"/>
      <c r="S434" s="102"/>
      <c r="T434" s="102"/>
      <c r="U434" s="102"/>
      <c r="V434" s="102"/>
      <c r="W434" s="102"/>
      <c r="X434" s="102"/>
      <c r="Y434" s="102"/>
      <c r="Z434" s="121"/>
      <c r="AA434" s="102"/>
      <c r="AB434" s="107"/>
      <c r="AC434" s="102"/>
    </row>
    <row r="435">
      <c r="A435" s="107"/>
      <c r="B435" s="113"/>
      <c r="C435" s="224"/>
      <c r="D435" s="224"/>
      <c r="E435" s="107"/>
      <c r="F435" s="107"/>
      <c r="G435" s="107"/>
      <c r="H435" s="251"/>
      <c r="I435" s="102"/>
      <c r="J435" s="102"/>
      <c r="K435" s="102"/>
      <c r="L435" s="102"/>
      <c r="M435" s="102"/>
      <c r="N435" s="102"/>
      <c r="O435" s="102"/>
      <c r="P435" s="144"/>
      <c r="Q435" s="102"/>
      <c r="R435" s="102"/>
      <c r="S435" s="102"/>
      <c r="T435" s="102"/>
      <c r="U435" s="102"/>
      <c r="V435" s="102"/>
      <c r="W435" s="102"/>
      <c r="X435" s="102"/>
      <c r="Y435" s="102"/>
      <c r="Z435" s="121"/>
      <c r="AA435" s="102"/>
      <c r="AB435" s="107"/>
      <c r="AC435" s="102"/>
    </row>
    <row r="436">
      <c r="A436" s="107"/>
      <c r="B436" s="113"/>
      <c r="C436" s="224"/>
      <c r="D436" s="224"/>
      <c r="E436" s="107"/>
      <c r="F436" s="107"/>
      <c r="G436" s="107"/>
      <c r="H436" s="251"/>
      <c r="I436" s="102"/>
      <c r="J436" s="102"/>
      <c r="K436" s="102"/>
      <c r="L436" s="102"/>
      <c r="M436" s="102"/>
      <c r="N436" s="102"/>
      <c r="O436" s="102"/>
      <c r="P436" s="144"/>
      <c r="Q436" s="102"/>
      <c r="R436" s="102"/>
      <c r="S436" s="102"/>
      <c r="T436" s="102"/>
      <c r="U436" s="102"/>
      <c r="V436" s="102"/>
      <c r="W436" s="102"/>
      <c r="X436" s="102"/>
      <c r="Y436" s="102"/>
      <c r="Z436" s="121"/>
      <c r="AA436" s="102"/>
      <c r="AB436" s="107"/>
      <c r="AC436" s="102"/>
    </row>
    <row r="437">
      <c r="A437" s="107"/>
      <c r="B437" s="113"/>
      <c r="C437" s="224"/>
      <c r="D437" s="224"/>
      <c r="E437" s="107"/>
      <c r="F437" s="107"/>
      <c r="G437" s="107"/>
      <c r="H437" s="251"/>
      <c r="I437" s="102"/>
      <c r="J437" s="102"/>
      <c r="K437" s="102"/>
      <c r="L437" s="102"/>
      <c r="M437" s="102"/>
      <c r="N437" s="102"/>
      <c r="O437" s="102"/>
      <c r="P437" s="144"/>
      <c r="Q437" s="102"/>
      <c r="R437" s="102"/>
      <c r="S437" s="102"/>
      <c r="T437" s="102"/>
      <c r="U437" s="102"/>
      <c r="V437" s="102"/>
      <c r="W437" s="102"/>
      <c r="X437" s="102"/>
      <c r="Y437" s="102"/>
      <c r="Z437" s="121"/>
      <c r="AA437" s="102"/>
      <c r="AB437" s="107"/>
      <c r="AC437" s="102"/>
    </row>
    <row r="438">
      <c r="A438" s="107"/>
      <c r="B438" s="113"/>
      <c r="C438" s="224"/>
      <c r="D438" s="224"/>
      <c r="E438" s="107"/>
      <c r="F438" s="107"/>
      <c r="G438" s="107"/>
      <c r="H438" s="251"/>
      <c r="I438" s="102"/>
      <c r="J438" s="102"/>
      <c r="K438" s="102"/>
      <c r="L438" s="102"/>
      <c r="M438" s="102"/>
      <c r="N438" s="102"/>
      <c r="O438" s="102"/>
      <c r="P438" s="144"/>
      <c r="Q438" s="102"/>
      <c r="R438" s="102"/>
      <c r="S438" s="102"/>
      <c r="T438" s="102"/>
      <c r="U438" s="102"/>
      <c r="V438" s="102"/>
      <c r="W438" s="102"/>
      <c r="X438" s="102"/>
      <c r="Y438" s="102"/>
      <c r="Z438" s="121"/>
      <c r="AA438" s="102"/>
      <c r="AB438" s="107"/>
      <c r="AC438" s="102"/>
    </row>
    <row r="439">
      <c r="A439" s="107"/>
      <c r="B439" s="113"/>
      <c r="C439" s="224"/>
      <c r="D439" s="224"/>
      <c r="E439" s="107"/>
      <c r="F439" s="107"/>
      <c r="G439" s="107"/>
      <c r="H439" s="251"/>
      <c r="I439" s="102"/>
      <c r="J439" s="102"/>
      <c r="K439" s="102"/>
      <c r="L439" s="102"/>
      <c r="M439" s="102"/>
      <c r="N439" s="102"/>
      <c r="O439" s="102"/>
      <c r="P439" s="144"/>
      <c r="Q439" s="102"/>
      <c r="R439" s="102"/>
      <c r="S439" s="102"/>
      <c r="T439" s="102"/>
      <c r="U439" s="102"/>
      <c r="V439" s="102"/>
      <c r="W439" s="102"/>
      <c r="X439" s="102"/>
      <c r="Y439" s="102"/>
      <c r="Z439" s="121"/>
      <c r="AA439" s="102"/>
      <c r="AB439" s="107"/>
      <c r="AC439" s="102"/>
    </row>
    <row r="440">
      <c r="A440" s="107"/>
      <c r="B440" s="113"/>
      <c r="C440" s="224"/>
      <c r="D440" s="224"/>
      <c r="E440" s="107"/>
      <c r="F440" s="107"/>
      <c r="G440" s="107"/>
      <c r="H440" s="251"/>
      <c r="I440" s="102"/>
      <c r="J440" s="102"/>
      <c r="K440" s="102"/>
      <c r="L440" s="102"/>
      <c r="M440" s="102"/>
      <c r="N440" s="102"/>
      <c r="O440" s="102"/>
      <c r="P440" s="144"/>
      <c r="Q440" s="102"/>
      <c r="R440" s="102"/>
      <c r="S440" s="102"/>
      <c r="T440" s="102"/>
      <c r="U440" s="102"/>
      <c r="V440" s="102"/>
      <c r="W440" s="102"/>
      <c r="X440" s="102"/>
      <c r="Y440" s="102"/>
      <c r="Z440" s="121"/>
      <c r="AA440" s="102"/>
      <c r="AB440" s="107"/>
      <c r="AC440" s="102"/>
    </row>
    <row r="441">
      <c r="A441" s="107"/>
      <c r="B441" s="113"/>
      <c r="C441" s="224"/>
      <c r="D441" s="224"/>
      <c r="E441" s="107"/>
      <c r="F441" s="107"/>
      <c r="G441" s="107"/>
      <c r="H441" s="251"/>
      <c r="I441" s="102"/>
      <c r="J441" s="102"/>
      <c r="K441" s="102"/>
      <c r="L441" s="102"/>
      <c r="M441" s="102"/>
      <c r="N441" s="102"/>
      <c r="O441" s="102"/>
      <c r="P441" s="144"/>
      <c r="Q441" s="102"/>
      <c r="R441" s="102"/>
      <c r="S441" s="102"/>
      <c r="T441" s="102"/>
      <c r="U441" s="102"/>
      <c r="V441" s="102"/>
      <c r="W441" s="102"/>
      <c r="X441" s="102"/>
      <c r="Y441" s="102"/>
      <c r="Z441" s="121"/>
      <c r="AA441" s="102"/>
      <c r="AB441" s="107"/>
      <c r="AC441" s="102"/>
    </row>
    <row r="442">
      <c r="A442" s="107"/>
      <c r="B442" s="113"/>
      <c r="C442" s="224"/>
      <c r="D442" s="224"/>
      <c r="E442" s="107"/>
      <c r="F442" s="107"/>
      <c r="G442" s="107"/>
      <c r="H442" s="251"/>
      <c r="I442" s="102"/>
      <c r="J442" s="102"/>
      <c r="K442" s="102"/>
      <c r="L442" s="102"/>
      <c r="M442" s="102"/>
      <c r="N442" s="102"/>
      <c r="O442" s="102"/>
      <c r="P442" s="144"/>
      <c r="Q442" s="102"/>
      <c r="R442" s="102"/>
      <c r="S442" s="102"/>
      <c r="T442" s="102"/>
      <c r="U442" s="102"/>
      <c r="V442" s="102"/>
      <c r="W442" s="102"/>
      <c r="X442" s="102"/>
      <c r="Y442" s="102"/>
      <c r="Z442" s="121"/>
      <c r="AA442" s="102"/>
      <c r="AB442" s="107"/>
      <c r="AC442" s="102"/>
    </row>
    <row r="443">
      <c r="A443" s="107"/>
      <c r="B443" s="113"/>
      <c r="C443" s="224"/>
      <c r="D443" s="224"/>
      <c r="E443" s="107"/>
      <c r="F443" s="107"/>
      <c r="G443" s="107"/>
      <c r="H443" s="251"/>
      <c r="I443" s="102"/>
      <c r="J443" s="102"/>
      <c r="K443" s="102"/>
      <c r="L443" s="102"/>
      <c r="M443" s="102"/>
      <c r="N443" s="102"/>
      <c r="O443" s="102"/>
      <c r="P443" s="144"/>
      <c r="Q443" s="102"/>
      <c r="R443" s="102"/>
      <c r="S443" s="102"/>
      <c r="T443" s="102"/>
      <c r="U443" s="102"/>
      <c r="V443" s="102"/>
      <c r="W443" s="102"/>
      <c r="X443" s="102"/>
      <c r="Y443" s="102"/>
      <c r="Z443" s="121"/>
      <c r="AA443" s="102"/>
      <c r="AB443" s="107"/>
      <c r="AC443" s="102"/>
    </row>
    <row r="444">
      <c r="A444" s="107"/>
      <c r="B444" s="113"/>
      <c r="C444" s="224"/>
      <c r="D444" s="224"/>
      <c r="E444" s="107"/>
      <c r="F444" s="107"/>
      <c r="G444" s="107"/>
      <c r="H444" s="251"/>
      <c r="I444" s="102"/>
      <c r="J444" s="102"/>
      <c r="K444" s="102"/>
      <c r="L444" s="102"/>
      <c r="M444" s="102"/>
      <c r="N444" s="102"/>
      <c r="O444" s="102"/>
      <c r="P444" s="144"/>
      <c r="Q444" s="102"/>
      <c r="R444" s="102"/>
      <c r="S444" s="102"/>
      <c r="T444" s="102"/>
      <c r="U444" s="102"/>
      <c r="V444" s="102"/>
      <c r="W444" s="102"/>
      <c r="X444" s="102"/>
      <c r="Y444" s="102"/>
      <c r="Z444" s="121"/>
      <c r="AA444" s="102"/>
      <c r="AB444" s="107"/>
      <c r="AC444" s="102"/>
    </row>
    <row r="445">
      <c r="A445" s="107"/>
      <c r="B445" s="113"/>
      <c r="C445" s="224"/>
      <c r="D445" s="224"/>
      <c r="E445" s="107"/>
      <c r="F445" s="107"/>
      <c r="G445" s="107"/>
      <c r="H445" s="251"/>
      <c r="I445" s="102"/>
      <c r="J445" s="102"/>
      <c r="K445" s="102"/>
      <c r="L445" s="102"/>
      <c r="M445" s="102"/>
      <c r="N445" s="102"/>
      <c r="O445" s="102"/>
      <c r="P445" s="144"/>
      <c r="Q445" s="102"/>
      <c r="R445" s="102"/>
      <c r="S445" s="102"/>
      <c r="T445" s="102"/>
      <c r="U445" s="102"/>
      <c r="V445" s="102"/>
      <c r="W445" s="102"/>
      <c r="X445" s="102"/>
      <c r="Y445" s="102"/>
      <c r="Z445" s="121"/>
      <c r="AA445" s="102"/>
      <c r="AB445" s="107"/>
      <c r="AC445" s="102"/>
    </row>
    <row r="446">
      <c r="A446" s="107"/>
      <c r="B446" s="113"/>
      <c r="C446" s="224"/>
      <c r="D446" s="224"/>
      <c r="E446" s="107"/>
      <c r="F446" s="107"/>
      <c r="G446" s="107"/>
      <c r="H446" s="251"/>
      <c r="I446" s="102"/>
      <c r="J446" s="102"/>
      <c r="K446" s="102"/>
      <c r="L446" s="102"/>
      <c r="M446" s="102"/>
      <c r="N446" s="102"/>
      <c r="O446" s="102"/>
      <c r="P446" s="144"/>
      <c r="Q446" s="102"/>
      <c r="R446" s="102"/>
      <c r="S446" s="102"/>
      <c r="T446" s="102"/>
      <c r="U446" s="102"/>
      <c r="V446" s="102"/>
      <c r="W446" s="102"/>
      <c r="X446" s="102"/>
      <c r="Y446" s="102"/>
      <c r="Z446" s="121"/>
      <c r="AA446" s="102"/>
      <c r="AB446" s="107"/>
      <c r="AC446" s="102"/>
    </row>
    <row r="447">
      <c r="A447" s="107"/>
      <c r="B447" s="113"/>
      <c r="C447" s="224"/>
      <c r="D447" s="224"/>
      <c r="E447" s="107"/>
      <c r="F447" s="107"/>
      <c r="G447" s="107"/>
      <c r="H447" s="251"/>
      <c r="I447" s="102"/>
      <c r="J447" s="102"/>
      <c r="K447" s="102"/>
      <c r="L447" s="102"/>
      <c r="M447" s="102"/>
      <c r="N447" s="102"/>
      <c r="O447" s="102"/>
      <c r="P447" s="144"/>
      <c r="Q447" s="102"/>
      <c r="R447" s="102"/>
      <c r="S447" s="102"/>
      <c r="T447" s="102"/>
      <c r="U447" s="102"/>
      <c r="V447" s="102"/>
      <c r="W447" s="102"/>
      <c r="X447" s="102"/>
      <c r="Y447" s="102"/>
      <c r="Z447" s="121"/>
      <c r="AA447" s="102"/>
      <c r="AB447" s="107"/>
      <c r="AC447" s="102"/>
    </row>
    <row r="448">
      <c r="A448" s="107"/>
      <c r="B448" s="113"/>
      <c r="C448" s="224"/>
      <c r="D448" s="224"/>
      <c r="E448" s="107"/>
      <c r="F448" s="107"/>
      <c r="G448" s="107"/>
      <c r="H448" s="251"/>
      <c r="I448" s="102"/>
      <c r="J448" s="102"/>
      <c r="K448" s="102"/>
      <c r="L448" s="102"/>
      <c r="M448" s="102"/>
      <c r="N448" s="102"/>
      <c r="O448" s="102"/>
      <c r="P448" s="144"/>
      <c r="Q448" s="102"/>
      <c r="R448" s="102"/>
      <c r="S448" s="102"/>
      <c r="T448" s="102"/>
      <c r="U448" s="102"/>
      <c r="V448" s="102"/>
      <c r="W448" s="102"/>
      <c r="X448" s="102"/>
      <c r="Y448" s="102"/>
      <c r="Z448" s="121"/>
      <c r="AA448" s="102"/>
      <c r="AB448" s="107"/>
      <c r="AC448" s="102"/>
    </row>
    <row r="449">
      <c r="A449" s="107"/>
      <c r="B449" s="113"/>
      <c r="C449" s="224"/>
      <c r="D449" s="224"/>
      <c r="E449" s="107"/>
      <c r="F449" s="107"/>
      <c r="G449" s="107"/>
      <c r="H449" s="251"/>
      <c r="I449" s="102"/>
      <c r="J449" s="102"/>
      <c r="K449" s="102"/>
      <c r="L449" s="102"/>
      <c r="M449" s="102"/>
      <c r="N449" s="102"/>
      <c r="O449" s="102"/>
      <c r="P449" s="144"/>
      <c r="Q449" s="102"/>
      <c r="R449" s="102"/>
      <c r="S449" s="102"/>
      <c r="T449" s="102"/>
      <c r="U449" s="102"/>
      <c r="V449" s="102"/>
      <c r="W449" s="102"/>
      <c r="X449" s="102"/>
      <c r="Y449" s="102"/>
      <c r="Z449" s="121"/>
      <c r="AA449" s="102"/>
      <c r="AB449" s="107"/>
      <c r="AC449" s="102"/>
    </row>
    <row r="450">
      <c r="A450" s="107"/>
      <c r="B450" s="113"/>
      <c r="C450" s="224"/>
      <c r="D450" s="224"/>
      <c r="E450" s="107"/>
      <c r="F450" s="107"/>
      <c r="G450" s="107"/>
      <c r="H450" s="251"/>
      <c r="I450" s="102"/>
      <c r="J450" s="102"/>
      <c r="K450" s="102"/>
      <c r="L450" s="102"/>
      <c r="M450" s="102"/>
      <c r="N450" s="102"/>
      <c r="O450" s="102"/>
      <c r="P450" s="144"/>
      <c r="Q450" s="102"/>
      <c r="R450" s="102"/>
      <c r="S450" s="102"/>
      <c r="T450" s="102"/>
      <c r="U450" s="102"/>
      <c r="V450" s="102"/>
      <c r="W450" s="102"/>
      <c r="X450" s="102"/>
      <c r="Y450" s="102"/>
      <c r="Z450" s="121"/>
      <c r="AA450" s="102"/>
      <c r="AB450" s="107"/>
      <c r="AC450" s="102"/>
    </row>
    <row r="451">
      <c r="A451" s="107"/>
      <c r="B451" s="113"/>
      <c r="C451" s="224"/>
      <c r="D451" s="224"/>
      <c r="E451" s="107"/>
      <c r="F451" s="107"/>
      <c r="G451" s="107"/>
      <c r="H451" s="251"/>
      <c r="I451" s="102"/>
      <c r="J451" s="102"/>
      <c r="K451" s="102"/>
      <c r="L451" s="102"/>
      <c r="M451" s="102"/>
      <c r="N451" s="102"/>
      <c r="O451" s="102"/>
      <c r="P451" s="144"/>
      <c r="Q451" s="102"/>
      <c r="R451" s="102"/>
      <c r="S451" s="102"/>
      <c r="T451" s="102"/>
      <c r="U451" s="102"/>
      <c r="V451" s="102"/>
      <c r="W451" s="102"/>
      <c r="X451" s="102"/>
      <c r="Y451" s="102"/>
      <c r="Z451" s="121"/>
      <c r="AA451" s="102"/>
      <c r="AB451" s="107"/>
      <c r="AC451" s="102"/>
    </row>
    <row r="452">
      <c r="A452" s="107"/>
      <c r="B452" s="113"/>
      <c r="C452" s="224"/>
      <c r="D452" s="224"/>
      <c r="E452" s="107"/>
      <c r="F452" s="107"/>
      <c r="G452" s="107"/>
      <c r="H452" s="251"/>
      <c r="I452" s="102"/>
      <c r="J452" s="102"/>
      <c r="K452" s="102"/>
      <c r="L452" s="102"/>
      <c r="M452" s="102"/>
      <c r="N452" s="102"/>
      <c r="O452" s="102"/>
      <c r="P452" s="144"/>
      <c r="Q452" s="102"/>
      <c r="R452" s="102"/>
      <c r="S452" s="102"/>
      <c r="T452" s="102"/>
      <c r="U452" s="102"/>
      <c r="V452" s="102"/>
      <c r="W452" s="102"/>
      <c r="X452" s="102"/>
      <c r="Y452" s="102"/>
      <c r="Z452" s="121"/>
      <c r="AA452" s="102"/>
      <c r="AB452" s="107"/>
      <c r="AC452" s="102"/>
    </row>
    <row r="453">
      <c r="A453" s="107"/>
      <c r="B453" s="113"/>
      <c r="C453" s="224"/>
      <c r="D453" s="224"/>
      <c r="E453" s="107"/>
      <c r="F453" s="107"/>
      <c r="G453" s="107"/>
      <c r="H453" s="251"/>
      <c r="I453" s="102"/>
      <c r="J453" s="102"/>
      <c r="K453" s="102"/>
      <c r="L453" s="102"/>
      <c r="M453" s="102"/>
      <c r="N453" s="102"/>
      <c r="O453" s="102"/>
      <c r="P453" s="144"/>
      <c r="Q453" s="102"/>
      <c r="R453" s="102"/>
      <c r="S453" s="102"/>
      <c r="T453" s="102"/>
      <c r="U453" s="102"/>
      <c r="V453" s="102"/>
      <c r="W453" s="102"/>
      <c r="X453" s="102"/>
      <c r="Y453" s="102"/>
      <c r="Z453" s="121"/>
      <c r="AA453" s="102"/>
      <c r="AB453" s="107"/>
      <c r="AC453" s="102"/>
    </row>
    <row r="454">
      <c r="A454" s="107"/>
      <c r="B454" s="113"/>
      <c r="C454" s="224"/>
      <c r="D454" s="224"/>
      <c r="E454" s="107"/>
      <c r="F454" s="107"/>
      <c r="G454" s="107"/>
      <c r="H454" s="251"/>
      <c r="I454" s="102"/>
      <c r="J454" s="102"/>
      <c r="K454" s="102"/>
      <c r="L454" s="102"/>
      <c r="M454" s="102"/>
      <c r="N454" s="102"/>
      <c r="O454" s="102"/>
      <c r="P454" s="144"/>
      <c r="Q454" s="102"/>
      <c r="R454" s="102"/>
      <c r="S454" s="102"/>
      <c r="T454" s="102"/>
      <c r="U454" s="102"/>
      <c r="V454" s="102"/>
      <c r="W454" s="102"/>
      <c r="X454" s="102"/>
      <c r="Y454" s="102"/>
      <c r="Z454" s="121"/>
      <c r="AA454" s="102"/>
      <c r="AB454" s="107"/>
      <c r="AC454" s="102"/>
    </row>
    <row r="455">
      <c r="A455" s="107"/>
      <c r="B455" s="113"/>
      <c r="C455" s="224"/>
      <c r="D455" s="224"/>
      <c r="E455" s="107"/>
      <c r="F455" s="107"/>
      <c r="G455" s="107"/>
      <c r="H455" s="251"/>
      <c r="I455" s="102"/>
      <c r="J455" s="102"/>
      <c r="K455" s="102"/>
      <c r="L455" s="102"/>
      <c r="M455" s="102"/>
      <c r="N455" s="102"/>
      <c r="O455" s="102"/>
      <c r="P455" s="144"/>
      <c r="Q455" s="102"/>
      <c r="R455" s="102"/>
      <c r="S455" s="102"/>
      <c r="T455" s="102"/>
      <c r="U455" s="102"/>
      <c r="V455" s="102"/>
      <c r="W455" s="102"/>
      <c r="X455" s="102"/>
      <c r="Y455" s="102"/>
      <c r="Z455" s="121"/>
      <c r="AA455" s="102"/>
      <c r="AB455" s="107"/>
      <c r="AC455" s="102"/>
    </row>
    <row r="456">
      <c r="A456" s="107"/>
      <c r="B456" s="113"/>
      <c r="C456" s="224"/>
      <c r="D456" s="224"/>
      <c r="E456" s="107"/>
      <c r="F456" s="107"/>
      <c r="G456" s="107"/>
      <c r="H456" s="251"/>
      <c r="I456" s="102"/>
      <c r="J456" s="102"/>
      <c r="K456" s="102"/>
      <c r="L456" s="102"/>
      <c r="M456" s="102"/>
      <c r="N456" s="102"/>
      <c r="O456" s="102"/>
      <c r="P456" s="144"/>
      <c r="Q456" s="102"/>
      <c r="R456" s="102"/>
      <c r="S456" s="102"/>
      <c r="T456" s="102"/>
      <c r="U456" s="102"/>
      <c r="V456" s="102"/>
      <c r="W456" s="102"/>
      <c r="X456" s="102"/>
      <c r="Y456" s="102"/>
      <c r="Z456" s="121"/>
      <c r="AA456" s="102"/>
      <c r="AB456" s="107"/>
      <c r="AC456" s="102"/>
    </row>
    <row r="457">
      <c r="A457" s="107"/>
      <c r="B457" s="113"/>
      <c r="C457" s="224"/>
      <c r="D457" s="224"/>
      <c r="E457" s="107"/>
      <c r="F457" s="107"/>
      <c r="G457" s="107"/>
      <c r="H457" s="251"/>
      <c r="I457" s="102"/>
      <c r="J457" s="102"/>
      <c r="K457" s="102"/>
      <c r="L457" s="102"/>
      <c r="M457" s="102"/>
      <c r="N457" s="102"/>
      <c r="O457" s="102"/>
      <c r="P457" s="144"/>
      <c r="Q457" s="102"/>
      <c r="R457" s="102"/>
      <c r="S457" s="102"/>
      <c r="T457" s="102"/>
      <c r="U457" s="102"/>
      <c r="V457" s="102"/>
      <c r="W457" s="102"/>
      <c r="X457" s="102"/>
      <c r="Y457" s="102"/>
      <c r="Z457" s="121"/>
      <c r="AA457" s="102"/>
      <c r="AB457" s="107"/>
      <c r="AC457" s="102"/>
    </row>
    <row r="458">
      <c r="A458" s="107"/>
      <c r="B458" s="113"/>
      <c r="C458" s="224"/>
      <c r="D458" s="224"/>
      <c r="E458" s="107"/>
      <c r="F458" s="107"/>
      <c r="G458" s="107"/>
      <c r="H458" s="251"/>
      <c r="I458" s="102"/>
      <c r="J458" s="102"/>
      <c r="K458" s="102"/>
      <c r="L458" s="102"/>
      <c r="M458" s="102"/>
      <c r="N458" s="102"/>
      <c r="O458" s="102"/>
      <c r="P458" s="144"/>
      <c r="Q458" s="102"/>
      <c r="R458" s="102"/>
      <c r="S458" s="102"/>
      <c r="T458" s="102"/>
      <c r="U458" s="102"/>
      <c r="V458" s="102"/>
      <c r="W458" s="102"/>
      <c r="X458" s="102"/>
      <c r="Y458" s="102"/>
      <c r="Z458" s="121"/>
      <c r="AA458" s="102"/>
      <c r="AB458" s="107"/>
      <c r="AC458" s="102"/>
    </row>
    <row r="459">
      <c r="A459" s="107"/>
      <c r="B459" s="113"/>
      <c r="C459" s="224"/>
      <c r="D459" s="224"/>
      <c r="E459" s="107"/>
      <c r="F459" s="107"/>
      <c r="G459" s="107"/>
      <c r="H459" s="251"/>
      <c r="I459" s="102"/>
      <c r="J459" s="102"/>
      <c r="K459" s="102"/>
      <c r="L459" s="102"/>
      <c r="M459" s="102"/>
      <c r="N459" s="102"/>
      <c r="O459" s="102"/>
      <c r="P459" s="144"/>
      <c r="Q459" s="102"/>
      <c r="R459" s="102"/>
      <c r="S459" s="102"/>
      <c r="T459" s="102"/>
      <c r="U459" s="102"/>
      <c r="V459" s="102"/>
      <c r="W459" s="102"/>
      <c r="X459" s="102"/>
      <c r="Y459" s="102"/>
      <c r="Z459" s="121"/>
      <c r="AA459" s="102"/>
      <c r="AB459" s="107"/>
      <c r="AC459" s="102"/>
    </row>
    <row r="460">
      <c r="A460" s="107"/>
      <c r="B460" s="113"/>
      <c r="C460" s="224"/>
      <c r="D460" s="224"/>
      <c r="E460" s="107"/>
      <c r="F460" s="107"/>
      <c r="G460" s="107"/>
      <c r="H460" s="251"/>
      <c r="I460" s="102"/>
      <c r="J460" s="102"/>
      <c r="K460" s="102"/>
      <c r="L460" s="102"/>
      <c r="M460" s="102"/>
      <c r="N460" s="102"/>
      <c r="O460" s="102"/>
      <c r="P460" s="144"/>
      <c r="Q460" s="102"/>
      <c r="R460" s="102"/>
      <c r="S460" s="102"/>
      <c r="T460" s="102"/>
      <c r="U460" s="102"/>
      <c r="V460" s="102"/>
      <c r="W460" s="102"/>
      <c r="X460" s="102"/>
      <c r="Y460" s="102"/>
      <c r="Z460" s="121"/>
      <c r="AA460" s="102"/>
      <c r="AB460" s="107"/>
      <c r="AC460" s="102"/>
    </row>
    <row r="461">
      <c r="A461" s="107"/>
      <c r="B461" s="113"/>
      <c r="C461" s="224"/>
      <c r="D461" s="224"/>
      <c r="E461" s="107"/>
      <c r="F461" s="107"/>
      <c r="G461" s="107"/>
      <c r="H461" s="251"/>
      <c r="I461" s="102"/>
      <c r="J461" s="102"/>
      <c r="K461" s="102"/>
      <c r="L461" s="102"/>
      <c r="M461" s="102"/>
      <c r="N461" s="102"/>
      <c r="O461" s="102"/>
      <c r="P461" s="144"/>
      <c r="Q461" s="102"/>
      <c r="R461" s="102"/>
      <c r="S461" s="102"/>
      <c r="T461" s="102"/>
      <c r="U461" s="102"/>
      <c r="V461" s="102"/>
      <c r="W461" s="102"/>
      <c r="X461" s="102"/>
      <c r="Y461" s="102"/>
      <c r="Z461" s="121"/>
      <c r="AA461" s="102"/>
      <c r="AB461" s="107"/>
      <c r="AC461" s="102"/>
    </row>
    <row r="462">
      <c r="A462" s="107"/>
      <c r="B462" s="113"/>
      <c r="C462" s="224"/>
      <c r="D462" s="224"/>
      <c r="E462" s="107"/>
      <c r="F462" s="107"/>
      <c r="G462" s="107"/>
      <c r="H462" s="251"/>
      <c r="I462" s="102"/>
      <c r="J462" s="102"/>
      <c r="K462" s="102"/>
      <c r="L462" s="102"/>
      <c r="M462" s="102"/>
      <c r="N462" s="102"/>
      <c r="O462" s="102"/>
      <c r="P462" s="144"/>
      <c r="Q462" s="102"/>
      <c r="R462" s="102"/>
      <c r="S462" s="102"/>
      <c r="T462" s="102"/>
      <c r="U462" s="102"/>
      <c r="V462" s="102"/>
      <c r="W462" s="102"/>
      <c r="X462" s="102"/>
      <c r="Y462" s="102"/>
      <c r="Z462" s="121"/>
      <c r="AA462" s="102"/>
      <c r="AB462" s="107"/>
      <c r="AC462" s="102"/>
    </row>
    <row r="463">
      <c r="A463" s="107"/>
      <c r="B463" s="113"/>
      <c r="C463" s="224"/>
      <c r="D463" s="224"/>
      <c r="E463" s="107"/>
      <c r="F463" s="107"/>
      <c r="G463" s="107"/>
      <c r="H463" s="251"/>
      <c r="I463" s="102"/>
      <c r="J463" s="102"/>
      <c r="K463" s="102"/>
      <c r="L463" s="102"/>
      <c r="M463" s="102"/>
      <c r="N463" s="102"/>
      <c r="O463" s="102"/>
      <c r="P463" s="144"/>
      <c r="Q463" s="102"/>
      <c r="R463" s="102"/>
      <c r="S463" s="102"/>
      <c r="T463" s="102"/>
      <c r="U463" s="102"/>
      <c r="V463" s="102"/>
      <c r="W463" s="102"/>
      <c r="X463" s="102"/>
      <c r="Y463" s="102"/>
      <c r="Z463" s="121"/>
      <c r="AA463" s="102"/>
      <c r="AB463" s="107"/>
      <c r="AC463" s="102"/>
    </row>
    <row r="464">
      <c r="A464" s="107"/>
      <c r="B464" s="113"/>
      <c r="C464" s="224"/>
      <c r="D464" s="224"/>
      <c r="E464" s="107"/>
      <c r="F464" s="107"/>
      <c r="G464" s="107"/>
      <c r="H464" s="251"/>
      <c r="I464" s="102"/>
      <c r="J464" s="102"/>
      <c r="K464" s="102"/>
      <c r="L464" s="102"/>
      <c r="M464" s="102"/>
      <c r="N464" s="102"/>
      <c r="O464" s="102"/>
      <c r="P464" s="144"/>
      <c r="Q464" s="102"/>
      <c r="R464" s="102"/>
      <c r="S464" s="102"/>
      <c r="T464" s="102"/>
      <c r="U464" s="102"/>
      <c r="V464" s="102"/>
      <c r="W464" s="102"/>
      <c r="X464" s="102"/>
      <c r="Y464" s="102"/>
      <c r="Z464" s="121"/>
      <c r="AA464" s="102"/>
      <c r="AB464" s="107"/>
      <c r="AC464" s="102"/>
    </row>
    <row r="465">
      <c r="A465" s="107"/>
      <c r="B465" s="113"/>
      <c r="C465" s="224"/>
      <c r="D465" s="224"/>
      <c r="E465" s="107"/>
      <c r="F465" s="107"/>
      <c r="G465" s="107"/>
      <c r="H465" s="251"/>
      <c r="I465" s="102"/>
      <c r="J465" s="102"/>
      <c r="K465" s="102"/>
      <c r="L465" s="102"/>
      <c r="M465" s="102"/>
      <c r="N465" s="102"/>
      <c r="O465" s="102"/>
      <c r="P465" s="144"/>
      <c r="Q465" s="102"/>
      <c r="R465" s="102"/>
      <c r="S465" s="102"/>
      <c r="T465" s="102"/>
      <c r="U465" s="102"/>
      <c r="V465" s="102"/>
      <c r="W465" s="102"/>
      <c r="X465" s="102"/>
      <c r="Y465" s="102"/>
      <c r="Z465" s="121"/>
      <c r="AA465" s="102"/>
      <c r="AB465" s="107"/>
      <c r="AC465" s="102"/>
    </row>
    <row r="466">
      <c r="A466" s="107"/>
      <c r="B466" s="113"/>
      <c r="C466" s="224"/>
      <c r="D466" s="224"/>
      <c r="E466" s="107"/>
      <c r="F466" s="107"/>
      <c r="G466" s="107"/>
      <c r="H466" s="251"/>
      <c r="I466" s="102"/>
      <c r="J466" s="102"/>
      <c r="K466" s="102"/>
      <c r="L466" s="102"/>
      <c r="M466" s="102"/>
      <c r="N466" s="102"/>
      <c r="O466" s="102"/>
      <c r="P466" s="144"/>
      <c r="Q466" s="102"/>
      <c r="R466" s="102"/>
      <c r="S466" s="102"/>
      <c r="T466" s="102"/>
      <c r="U466" s="102"/>
      <c r="V466" s="102"/>
      <c r="W466" s="102"/>
      <c r="X466" s="102"/>
      <c r="Y466" s="102"/>
      <c r="Z466" s="121"/>
      <c r="AA466" s="102"/>
      <c r="AB466" s="107"/>
      <c r="AC466" s="102"/>
    </row>
    <row r="467">
      <c r="A467" s="107"/>
      <c r="B467" s="113"/>
      <c r="C467" s="224"/>
      <c r="D467" s="224"/>
      <c r="E467" s="107"/>
      <c r="F467" s="107"/>
      <c r="G467" s="107"/>
      <c r="H467" s="251"/>
      <c r="I467" s="102"/>
      <c r="J467" s="102"/>
      <c r="K467" s="102"/>
      <c r="L467" s="102"/>
      <c r="M467" s="102"/>
      <c r="N467" s="102"/>
      <c r="O467" s="102"/>
      <c r="P467" s="144"/>
      <c r="Q467" s="102"/>
      <c r="R467" s="102"/>
      <c r="S467" s="102"/>
      <c r="T467" s="102"/>
      <c r="U467" s="102"/>
      <c r="V467" s="102"/>
      <c r="W467" s="102"/>
      <c r="X467" s="102"/>
      <c r="Y467" s="102"/>
      <c r="Z467" s="121"/>
      <c r="AA467" s="102"/>
      <c r="AB467" s="107"/>
      <c r="AC467" s="102"/>
    </row>
    <row r="468">
      <c r="A468" s="107"/>
      <c r="B468" s="113"/>
      <c r="C468" s="224"/>
      <c r="D468" s="224"/>
      <c r="E468" s="107"/>
      <c r="F468" s="107"/>
      <c r="G468" s="107"/>
      <c r="H468" s="251"/>
      <c r="I468" s="102"/>
      <c r="J468" s="102"/>
      <c r="K468" s="102"/>
      <c r="L468" s="102"/>
      <c r="M468" s="102"/>
      <c r="N468" s="102"/>
      <c r="O468" s="102"/>
      <c r="P468" s="144"/>
      <c r="Q468" s="102"/>
      <c r="R468" s="102"/>
      <c r="S468" s="102"/>
      <c r="T468" s="102"/>
      <c r="U468" s="102"/>
      <c r="V468" s="102"/>
      <c r="W468" s="102"/>
      <c r="X468" s="102"/>
      <c r="Y468" s="102"/>
      <c r="Z468" s="121"/>
      <c r="AA468" s="102"/>
      <c r="AB468" s="107"/>
      <c r="AC468" s="102"/>
    </row>
    <row r="469">
      <c r="A469" s="107"/>
      <c r="B469" s="113"/>
      <c r="C469" s="224"/>
      <c r="D469" s="224"/>
      <c r="E469" s="107"/>
      <c r="F469" s="107"/>
      <c r="G469" s="107"/>
      <c r="H469" s="251"/>
      <c r="I469" s="102"/>
      <c r="J469" s="102"/>
      <c r="K469" s="102"/>
      <c r="L469" s="102"/>
      <c r="M469" s="102"/>
      <c r="N469" s="102"/>
      <c r="O469" s="102"/>
      <c r="P469" s="144"/>
      <c r="Q469" s="102"/>
      <c r="R469" s="102"/>
      <c r="S469" s="102"/>
      <c r="T469" s="102"/>
      <c r="U469" s="102"/>
      <c r="V469" s="102"/>
      <c r="W469" s="102"/>
      <c r="X469" s="102"/>
      <c r="Y469" s="102"/>
      <c r="Z469" s="121"/>
      <c r="AA469" s="102"/>
      <c r="AB469" s="107"/>
      <c r="AC469" s="102"/>
    </row>
    <row r="470">
      <c r="A470" s="107"/>
      <c r="B470" s="113"/>
      <c r="C470" s="224"/>
      <c r="D470" s="224"/>
      <c r="E470" s="107"/>
      <c r="F470" s="107"/>
      <c r="G470" s="107"/>
      <c r="H470" s="251"/>
      <c r="I470" s="102"/>
      <c r="J470" s="102"/>
      <c r="K470" s="102"/>
      <c r="L470" s="102"/>
      <c r="M470" s="102"/>
      <c r="N470" s="102"/>
      <c r="O470" s="102"/>
      <c r="P470" s="144"/>
      <c r="Q470" s="102"/>
      <c r="R470" s="102"/>
      <c r="S470" s="102"/>
      <c r="T470" s="102"/>
      <c r="U470" s="102"/>
      <c r="V470" s="102"/>
      <c r="W470" s="102"/>
      <c r="X470" s="102"/>
      <c r="Y470" s="102"/>
      <c r="Z470" s="121"/>
      <c r="AA470" s="102"/>
      <c r="AB470" s="107"/>
      <c r="AC470" s="102"/>
    </row>
    <row r="471">
      <c r="A471" s="107"/>
      <c r="B471" s="113"/>
      <c r="C471" s="224"/>
      <c r="D471" s="224"/>
      <c r="E471" s="107"/>
      <c r="F471" s="107"/>
      <c r="G471" s="107"/>
      <c r="H471" s="251"/>
      <c r="I471" s="102"/>
      <c r="J471" s="102"/>
      <c r="K471" s="102"/>
      <c r="L471" s="102"/>
      <c r="M471" s="102"/>
      <c r="N471" s="102"/>
      <c r="O471" s="102"/>
      <c r="P471" s="144"/>
      <c r="Q471" s="102"/>
      <c r="R471" s="102"/>
      <c r="S471" s="102"/>
      <c r="T471" s="102"/>
      <c r="U471" s="102"/>
      <c r="V471" s="102"/>
      <c r="W471" s="102"/>
      <c r="X471" s="102"/>
      <c r="Y471" s="102"/>
      <c r="Z471" s="121"/>
      <c r="AA471" s="102"/>
      <c r="AB471" s="107"/>
      <c r="AC471" s="102"/>
    </row>
    <row r="472">
      <c r="A472" s="107"/>
      <c r="B472" s="113"/>
      <c r="C472" s="224"/>
      <c r="D472" s="224"/>
      <c r="E472" s="107"/>
      <c r="F472" s="107"/>
      <c r="G472" s="107"/>
      <c r="H472" s="251"/>
      <c r="I472" s="102"/>
      <c r="J472" s="102"/>
      <c r="K472" s="102"/>
      <c r="L472" s="102"/>
      <c r="M472" s="102"/>
      <c r="N472" s="102"/>
      <c r="O472" s="102"/>
      <c r="P472" s="144"/>
      <c r="Q472" s="102"/>
      <c r="R472" s="102"/>
      <c r="S472" s="102"/>
      <c r="T472" s="102"/>
      <c r="U472" s="102"/>
      <c r="V472" s="102"/>
      <c r="W472" s="102"/>
      <c r="X472" s="102"/>
      <c r="Y472" s="102"/>
      <c r="Z472" s="121"/>
      <c r="AA472" s="102"/>
      <c r="AB472" s="107"/>
      <c r="AC472" s="102"/>
    </row>
    <row r="473">
      <c r="A473" s="107"/>
      <c r="B473" s="113"/>
      <c r="C473" s="224"/>
      <c r="D473" s="224"/>
      <c r="E473" s="107"/>
      <c r="F473" s="107"/>
      <c r="G473" s="107"/>
      <c r="H473" s="251"/>
      <c r="I473" s="102"/>
      <c r="J473" s="102"/>
      <c r="K473" s="102"/>
      <c r="L473" s="102"/>
      <c r="M473" s="102"/>
      <c r="N473" s="102"/>
      <c r="O473" s="102"/>
      <c r="P473" s="144"/>
      <c r="Q473" s="102"/>
      <c r="R473" s="102"/>
      <c r="S473" s="102"/>
      <c r="T473" s="102"/>
      <c r="U473" s="102"/>
      <c r="V473" s="102"/>
      <c r="W473" s="102"/>
      <c r="X473" s="102"/>
      <c r="Y473" s="102"/>
      <c r="Z473" s="121"/>
      <c r="AA473" s="102"/>
      <c r="AB473" s="107"/>
      <c r="AC473" s="102"/>
    </row>
    <row r="474">
      <c r="A474" s="107"/>
      <c r="B474" s="113"/>
      <c r="C474" s="224"/>
      <c r="D474" s="224"/>
      <c r="E474" s="107"/>
      <c r="F474" s="107"/>
      <c r="G474" s="107"/>
      <c r="H474" s="251"/>
      <c r="I474" s="102"/>
      <c r="J474" s="102"/>
      <c r="K474" s="102"/>
      <c r="L474" s="102"/>
      <c r="M474" s="102"/>
      <c r="N474" s="102"/>
      <c r="O474" s="102"/>
      <c r="P474" s="144"/>
      <c r="Q474" s="102"/>
      <c r="R474" s="102"/>
      <c r="S474" s="102"/>
      <c r="T474" s="102"/>
      <c r="U474" s="102"/>
      <c r="V474" s="102"/>
      <c r="W474" s="102"/>
      <c r="X474" s="102"/>
      <c r="Y474" s="102"/>
      <c r="Z474" s="121"/>
      <c r="AA474" s="102"/>
      <c r="AB474" s="107"/>
      <c r="AC474" s="102"/>
    </row>
    <row r="475">
      <c r="A475" s="107"/>
      <c r="B475" s="113"/>
      <c r="C475" s="224"/>
      <c r="D475" s="224"/>
      <c r="E475" s="107"/>
      <c r="F475" s="107"/>
      <c r="G475" s="107"/>
      <c r="H475" s="251"/>
      <c r="I475" s="102"/>
      <c r="J475" s="102"/>
      <c r="K475" s="102"/>
      <c r="L475" s="102"/>
      <c r="M475" s="102"/>
      <c r="N475" s="102"/>
      <c r="O475" s="102"/>
      <c r="P475" s="144"/>
      <c r="Q475" s="102"/>
      <c r="R475" s="102"/>
      <c r="S475" s="102"/>
      <c r="T475" s="102"/>
      <c r="U475" s="102"/>
      <c r="V475" s="102"/>
      <c r="W475" s="102"/>
      <c r="X475" s="102"/>
      <c r="Y475" s="102"/>
      <c r="Z475" s="121"/>
      <c r="AA475" s="102"/>
      <c r="AB475" s="107"/>
      <c r="AC475" s="102"/>
    </row>
    <row r="476">
      <c r="A476" s="107"/>
      <c r="B476" s="113"/>
      <c r="C476" s="224"/>
      <c r="D476" s="224"/>
      <c r="E476" s="107"/>
      <c r="F476" s="107"/>
      <c r="G476" s="107"/>
      <c r="H476" s="251"/>
      <c r="I476" s="102"/>
      <c r="J476" s="102"/>
      <c r="K476" s="102"/>
      <c r="L476" s="102"/>
      <c r="M476" s="102"/>
      <c r="N476" s="102"/>
      <c r="O476" s="102"/>
      <c r="P476" s="144"/>
      <c r="Q476" s="102"/>
      <c r="R476" s="102"/>
      <c r="S476" s="102"/>
      <c r="T476" s="102"/>
      <c r="U476" s="102"/>
      <c r="V476" s="102"/>
      <c r="W476" s="102"/>
      <c r="X476" s="102"/>
      <c r="Y476" s="102"/>
      <c r="Z476" s="121"/>
      <c r="AA476" s="102"/>
      <c r="AB476" s="107"/>
      <c r="AC476" s="102"/>
    </row>
    <row r="477">
      <c r="A477" s="107"/>
      <c r="B477" s="113"/>
      <c r="C477" s="224"/>
      <c r="D477" s="224"/>
      <c r="E477" s="107"/>
      <c r="F477" s="107"/>
      <c r="G477" s="107"/>
      <c r="H477" s="251"/>
      <c r="I477" s="102"/>
      <c r="J477" s="102"/>
      <c r="K477" s="102"/>
      <c r="L477" s="102"/>
      <c r="M477" s="102"/>
      <c r="N477" s="102"/>
      <c r="O477" s="102"/>
      <c r="P477" s="144"/>
      <c r="Q477" s="102"/>
      <c r="R477" s="102"/>
      <c r="S477" s="102"/>
      <c r="T477" s="102"/>
      <c r="U477" s="102"/>
      <c r="V477" s="102"/>
      <c r="W477" s="102"/>
      <c r="X477" s="102"/>
      <c r="Y477" s="102"/>
      <c r="Z477" s="121"/>
      <c r="AA477" s="102"/>
      <c r="AB477" s="107"/>
      <c r="AC477" s="102"/>
    </row>
    <row r="478">
      <c r="A478" s="107"/>
      <c r="B478" s="113"/>
      <c r="C478" s="224"/>
      <c r="D478" s="224"/>
      <c r="E478" s="107"/>
      <c r="F478" s="107"/>
      <c r="G478" s="107"/>
      <c r="H478" s="251"/>
      <c r="I478" s="102"/>
      <c r="J478" s="102"/>
      <c r="K478" s="102"/>
      <c r="L478" s="102"/>
      <c r="M478" s="102"/>
      <c r="N478" s="102"/>
      <c r="O478" s="102"/>
      <c r="P478" s="144"/>
      <c r="Q478" s="102"/>
      <c r="R478" s="102"/>
      <c r="S478" s="102"/>
      <c r="T478" s="102"/>
      <c r="U478" s="102"/>
      <c r="V478" s="102"/>
      <c r="W478" s="102"/>
      <c r="X478" s="102"/>
      <c r="Y478" s="102"/>
      <c r="Z478" s="121"/>
      <c r="AA478" s="102"/>
      <c r="AB478" s="107"/>
      <c r="AC478" s="102"/>
    </row>
    <row r="479">
      <c r="A479" s="107"/>
      <c r="B479" s="113"/>
      <c r="C479" s="224"/>
      <c r="D479" s="224"/>
      <c r="E479" s="107"/>
      <c r="F479" s="107"/>
      <c r="G479" s="107"/>
      <c r="H479" s="251"/>
      <c r="I479" s="102"/>
      <c r="J479" s="102"/>
      <c r="K479" s="102"/>
      <c r="L479" s="102"/>
      <c r="M479" s="102"/>
      <c r="N479" s="102"/>
      <c r="O479" s="102"/>
      <c r="P479" s="144"/>
      <c r="Q479" s="102"/>
      <c r="R479" s="102"/>
      <c r="S479" s="102"/>
      <c r="T479" s="102"/>
      <c r="U479" s="102"/>
      <c r="V479" s="102"/>
      <c r="W479" s="102"/>
      <c r="X479" s="102"/>
      <c r="Y479" s="102"/>
      <c r="Z479" s="121"/>
      <c r="AA479" s="102"/>
      <c r="AB479" s="107"/>
      <c r="AC479" s="102"/>
    </row>
    <row r="480">
      <c r="A480" s="107"/>
      <c r="B480" s="113"/>
      <c r="C480" s="224"/>
      <c r="D480" s="224"/>
      <c r="E480" s="107"/>
      <c r="F480" s="107"/>
      <c r="G480" s="107"/>
      <c r="H480" s="251"/>
      <c r="I480" s="102"/>
      <c r="J480" s="102"/>
      <c r="K480" s="102"/>
      <c r="L480" s="102"/>
      <c r="M480" s="102"/>
      <c r="N480" s="102"/>
      <c r="O480" s="102"/>
      <c r="P480" s="144"/>
      <c r="Q480" s="102"/>
      <c r="R480" s="102"/>
      <c r="S480" s="102"/>
      <c r="T480" s="102"/>
      <c r="U480" s="102"/>
      <c r="V480" s="102"/>
      <c r="W480" s="102"/>
      <c r="X480" s="102"/>
      <c r="Y480" s="102"/>
      <c r="Z480" s="121"/>
      <c r="AA480" s="102"/>
      <c r="AB480" s="107"/>
      <c r="AC480" s="102"/>
    </row>
    <row r="481">
      <c r="A481" s="107"/>
      <c r="B481" s="113"/>
      <c r="C481" s="224"/>
      <c r="D481" s="224"/>
      <c r="E481" s="107"/>
      <c r="F481" s="107"/>
      <c r="G481" s="107"/>
      <c r="H481" s="251"/>
      <c r="I481" s="102"/>
      <c r="J481" s="102"/>
      <c r="K481" s="102"/>
      <c r="L481" s="102"/>
      <c r="M481" s="102"/>
      <c r="N481" s="102"/>
      <c r="O481" s="102"/>
      <c r="P481" s="144"/>
      <c r="Q481" s="102"/>
      <c r="R481" s="102"/>
      <c r="S481" s="102"/>
      <c r="T481" s="102"/>
      <c r="U481" s="102"/>
      <c r="V481" s="102"/>
      <c r="W481" s="102"/>
      <c r="X481" s="102"/>
      <c r="Y481" s="102"/>
      <c r="Z481" s="121"/>
      <c r="AA481" s="102"/>
      <c r="AB481" s="107"/>
      <c r="AC481" s="102"/>
    </row>
    <row r="482">
      <c r="A482" s="107"/>
      <c r="B482" s="113"/>
      <c r="C482" s="224"/>
      <c r="D482" s="224"/>
      <c r="E482" s="107"/>
      <c r="F482" s="107"/>
      <c r="G482" s="107"/>
      <c r="H482" s="251"/>
      <c r="I482" s="102"/>
      <c r="J482" s="102"/>
      <c r="K482" s="102"/>
      <c r="L482" s="102"/>
      <c r="M482" s="102"/>
      <c r="N482" s="102"/>
      <c r="O482" s="102"/>
      <c r="P482" s="144"/>
      <c r="Q482" s="102"/>
      <c r="R482" s="102"/>
      <c r="S482" s="102"/>
      <c r="T482" s="102"/>
      <c r="U482" s="102"/>
      <c r="V482" s="102"/>
      <c r="W482" s="102"/>
      <c r="X482" s="102"/>
      <c r="Y482" s="102"/>
      <c r="Z482" s="121"/>
      <c r="AA482" s="102"/>
      <c r="AB482" s="107"/>
      <c r="AC482" s="102"/>
    </row>
    <row r="483">
      <c r="A483" s="107"/>
      <c r="B483" s="113"/>
      <c r="C483" s="224"/>
      <c r="D483" s="224"/>
      <c r="E483" s="107"/>
      <c r="F483" s="107"/>
      <c r="G483" s="107"/>
      <c r="H483" s="251"/>
      <c r="I483" s="102"/>
      <c r="J483" s="102"/>
      <c r="K483" s="102"/>
      <c r="L483" s="102"/>
      <c r="M483" s="102"/>
      <c r="N483" s="102"/>
      <c r="O483" s="102"/>
      <c r="P483" s="144"/>
      <c r="Q483" s="102"/>
      <c r="R483" s="102"/>
      <c r="S483" s="102"/>
      <c r="T483" s="102"/>
      <c r="U483" s="102"/>
      <c r="V483" s="102"/>
      <c r="W483" s="102"/>
      <c r="X483" s="102"/>
      <c r="Y483" s="102"/>
      <c r="Z483" s="121"/>
      <c r="AA483" s="102"/>
      <c r="AB483" s="107"/>
      <c r="AC483" s="102"/>
    </row>
    <row r="484">
      <c r="A484" s="107"/>
      <c r="B484" s="113"/>
      <c r="C484" s="224"/>
      <c r="D484" s="224"/>
      <c r="E484" s="107"/>
      <c r="F484" s="107"/>
      <c r="G484" s="107"/>
      <c r="H484" s="251"/>
      <c r="I484" s="102"/>
      <c r="J484" s="102"/>
      <c r="K484" s="102"/>
      <c r="L484" s="102"/>
      <c r="M484" s="102"/>
      <c r="N484" s="102"/>
      <c r="O484" s="102"/>
      <c r="P484" s="144"/>
      <c r="Q484" s="102"/>
      <c r="R484" s="102"/>
      <c r="S484" s="102"/>
      <c r="T484" s="102"/>
      <c r="U484" s="102"/>
      <c r="V484" s="102"/>
      <c r="W484" s="102"/>
      <c r="X484" s="102"/>
      <c r="Y484" s="102"/>
      <c r="Z484" s="121"/>
      <c r="AA484" s="102"/>
      <c r="AB484" s="107"/>
      <c r="AC484" s="102"/>
    </row>
    <row r="485">
      <c r="A485" s="107"/>
      <c r="B485" s="113"/>
      <c r="C485" s="224"/>
      <c r="D485" s="224"/>
      <c r="E485" s="107"/>
      <c r="F485" s="107"/>
      <c r="G485" s="107"/>
      <c r="H485" s="251"/>
      <c r="I485" s="102"/>
      <c r="J485" s="102"/>
      <c r="K485" s="102"/>
      <c r="L485" s="102"/>
      <c r="M485" s="102"/>
      <c r="N485" s="102"/>
      <c r="O485" s="102"/>
      <c r="P485" s="144"/>
      <c r="Q485" s="102"/>
      <c r="R485" s="102"/>
      <c r="S485" s="102"/>
      <c r="T485" s="102"/>
      <c r="U485" s="102"/>
      <c r="V485" s="102"/>
      <c r="W485" s="102"/>
      <c r="X485" s="102"/>
      <c r="Y485" s="102"/>
      <c r="Z485" s="121"/>
      <c r="AA485" s="102"/>
      <c r="AB485" s="107"/>
      <c r="AC485" s="102"/>
    </row>
    <row r="486">
      <c r="A486" s="107"/>
      <c r="B486" s="113"/>
      <c r="C486" s="224"/>
      <c r="D486" s="224"/>
      <c r="E486" s="107"/>
      <c r="F486" s="107"/>
      <c r="G486" s="107"/>
      <c r="H486" s="251"/>
      <c r="I486" s="102"/>
      <c r="J486" s="102"/>
      <c r="K486" s="102"/>
      <c r="L486" s="102"/>
      <c r="M486" s="102"/>
      <c r="N486" s="102"/>
      <c r="O486" s="102"/>
      <c r="P486" s="144"/>
      <c r="Q486" s="102"/>
      <c r="R486" s="102"/>
      <c r="S486" s="102"/>
      <c r="T486" s="102"/>
      <c r="U486" s="102"/>
      <c r="V486" s="102"/>
      <c r="W486" s="102"/>
      <c r="X486" s="102"/>
      <c r="Y486" s="102"/>
      <c r="Z486" s="121"/>
      <c r="AA486" s="102"/>
      <c r="AB486" s="107"/>
      <c r="AC486" s="102"/>
    </row>
    <row r="487">
      <c r="A487" s="107"/>
      <c r="B487" s="113"/>
      <c r="C487" s="224"/>
      <c r="D487" s="224"/>
      <c r="E487" s="107"/>
      <c r="F487" s="107"/>
      <c r="G487" s="107"/>
      <c r="H487" s="251"/>
      <c r="I487" s="102"/>
      <c r="J487" s="102"/>
      <c r="K487" s="102"/>
      <c r="L487" s="102"/>
      <c r="M487" s="102"/>
      <c r="N487" s="102"/>
      <c r="O487" s="102"/>
      <c r="P487" s="144"/>
      <c r="Q487" s="102"/>
      <c r="R487" s="102"/>
      <c r="S487" s="102"/>
      <c r="T487" s="102"/>
      <c r="U487" s="102"/>
      <c r="V487" s="102"/>
      <c r="W487" s="102"/>
      <c r="X487" s="102"/>
      <c r="Y487" s="102"/>
      <c r="Z487" s="121"/>
      <c r="AA487" s="102"/>
      <c r="AB487" s="107"/>
      <c r="AC487" s="102"/>
    </row>
    <row r="488">
      <c r="A488" s="107"/>
      <c r="B488" s="113"/>
      <c r="C488" s="224"/>
      <c r="D488" s="224"/>
      <c r="E488" s="107"/>
      <c r="F488" s="107"/>
      <c r="G488" s="107"/>
      <c r="H488" s="251"/>
      <c r="I488" s="102"/>
      <c r="J488" s="102"/>
      <c r="K488" s="102"/>
      <c r="L488" s="102"/>
      <c r="M488" s="102"/>
      <c r="N488" s="102"/>
      <c r="O488" s="102"/>
      <c r="P488" s="144"/>
      <c r="Q488" s="102"/>
      <c r="R488" s="102"/>
      <c r="S488" s="102"/>
      <c r="T488" s="102"/>
      <c r="U488" s="102"/>
      <c r="V488" s="102"/>
      <c r="W488" s="102"/>
      <c r="X488" s="102"/>
      <c r="Y488" s="102"/>
      <c r="Z488" s="121"/>
      <c r="AA488" s="102"/>
      <c r="AB488" s="107"/>
      <c r="AC488" s="102"/>
    </row>
    <row r="489">
      <c r="A489" s="107"/>
      <c r="B489" s="113"/>
      <c r="C489" s="224"/>
      <c r="D489" s="224"/>
      <c r="E489" s="107"/>
      <c r="F489" s="107"/>
      <c r="G489" s="107"/>
      <c r="H489" s="251"/>
      <c r="I489" s="102"/>
      <c r="J489" s="102"/>
      <c r="K489" s="102"/>
      <c r="L489" s="102"/>
      <c r="M489" s="102"/>
      <c r="N489" s="102"/>
      <c r="O489" s="102"/>
      <c r="P489" s="144"/>
      <c r="Q489" s="102"/>
      <c r="R489" s="102"/>
      <c r="S489" s="102"/>
      <c r="T489" s="102"/>
      <c r="U489" s="102"/>
      <c r="V489" s="102"/>
      <c r="W489" s="102"/>
      <c r="X489" s="102"/>
      <c r="Y489" s="102"/>
      <c r="Z489" s="121"/>
      <c r="AA489" s="102"/>
      <c r="AB489" s="107"/>
      <c r="AC489" s="102"/>
    </row>
    <row r="490">
      <c r="A490" s="107"/>
      <c r="B490" s="113"/>
      <c r="C490" s="224"/>
      <c r="D490" s="224"/>
      <c r="E490" s="107"/>
      <c r="F490" s="107"/>
      <c r="G490" s="107"/>
      <c r="H490" s="251"/>
      <c r="I490" s="102"/>
      <c r="J490" s="102"/>
      <c r="K490" s="102"/>
      <c r="L490" s="102"/>
      <c r="M490" s="102"/>
      <c r="N490" s="102"/>
      <c r="O490" s="102"/>
      <c r="P490" s="144"/>
      <c r="Q490" s="102"/>
      <c r="R490" s="102"/>
      <c r="S490" s="102"/>
      <c r="T490" s="102"/>
      <c r="U490" s="102"/>
      <c r="V490" s="102"/>
      <c r="W490" s="102"/>
      <c r="X490" s="102"/>
      <c r="Y490" s="102"/>
      <c r="Z490" s="121"/>
      <c r="AA490" s="102"/>
      <c r="AB490" s="107"/>
      <c r="AC490" s="102"/>
    </row>
    <row r="491">
      <c r="A491" s="107"/>
      <c r="B491" s="113"/>
      <c r="C491" s="224"/>
      <c r="D491" s="224"/>
      <c r="E491" s="107"/>
      <c r="F491" s="107"/>
      <c r="G491" s="107"/>
      <c r="H491" s="251"/>
      <c r="I491" s="102"/>
      <c r="J491" s="102"/>
      <c r="K491" s="102"/>
      <c r="L491" s="102"/>
      <c r="M491" s="102"/>
      <c r="N491" s="102"/>
      <c r="O491" s="102"/>
      <c r="P491" s="144"/>
      <c r="Q491" s="102"/>
      <c r="R491" s="102"/>
      <c r="S491" s="102"/>
      <c r="T491" s="102"/>
      <c r="U491" s="102"/>
      <c r="V491" s="102"/>
      <c r="W491" s="102"/>
      <c r="X491" s="102"/>
      <c r="Y491" s="102"/>
      <c r="Z491" s="121"/>
      <c r="AA491" s="102"/>
      <c r="AB491" s="107"/>
      <c r="AC491" s="102"/>
    </row>
    <row r="492">
      <c r="A492" s="107"/>
      <c r="B492" s="113"/>
      <c r="C492" s="224"/>
      <c r="D492" s="224"/>
      <c r="E492" s="107"/>
      <c r="F492" s="107"/>
      <c r="G492" s="107"/>
      <c r="H492" s="251"/>
      <c r="I492" s="102"/>
      <c r="J492" s="102"/>
      <c r="K492" s="102"/>
      <c r="L492" s="102"/>
      <c r="M492" s="102"/>
      <c r="N492" s="102"/>
      <c r="O492" s="102"/>
      <c r="P492" s="144"/>
      <c r="Q492" s="102"/>
      <c r="R492" s="102"/>
      <c r="S492" s="102"/>
      <c r="T492" s="102"/>
      <c r="U492" s="102"/>
      <c r="V492" s="102"/>
      <c r="W492" s="102"/>
      <c r="X492" s="102"/>
      <c r="Y492" s="102"/>
      <c r="Z492" s="121"/>
      <c r="AA492" s="102"/>
      <c r="AB492" s="107"/>
      <c r="AC492" s="102"/>
    </row>
    <row r="493">
      <c r="A493" s="107"/>
      <c r="B493" s="113"/>
      <c r="C493" s="224"/>
      <c r="D493" s="224"/>
      <c r="E493" s="107"/>
      <c r="F493" s="107"/>
      <c r="G493" s="107"/>
      <c r="H493" s="251"/>
      <c r="I493" s="102"/>
      <c r="J493" s="102"/>
      <c r="K493" s="102"/>
      <c r="L493" s="102"/>
      <c r="M493" s="102"/>
      <c r="N493" s="102"/>
      <c r="O493" s="102"/>
      <c r="P493" s="144"/>
      <c r="Q493" s="102"/>
      <c r="R493" s="102"/>
      <c r="S493" s="102"/>
      <c r="T493" s="102"/>
      <c r="U493" s="102"/>
      <c r="V493" s="102"/>
      <c r="W493" s="102"/>
      <c r="X493" s="102"/>
      <c r="Y493" s="102"/>
      <c r="Z493" s="121"/>
      <c r="AA493" s="102"/>
      <c r="AB493" s="107"/>
      <c r="AC493" s="102"/>
    </row>
    <row r="494">
      <c r="A494" s="107"/>
      <c r="B494" s="113"/>
      <c r="C494" s="224"/>
      <c r="D494" s="224"/>
      <c r="E494" s="107"/>
      <c r="F494" s="107"/>
      <c r="G494" s="107"/>
      <c r="H494" s="251"/>
      <c r="I494" s="102"/>
      <c r="J494" s="102"/>
      <c r="K494" s="102"/>
      <c r="L494" s="102"/>
      <c r="M494" s="102"/>
      <c r="N494" s="102"/>
      <c r="O494" s="102"/>
      <c r="P494" s="144"/>
      <c r="Q494" s="102"/>
      <c r="R494" s="102"/>
      <c r="S494" s="102"/>
      <c r="T494" s="102"/>
      <c r="U494" s="102"/>
      <c r="V494" s="102"/>
      <c r="W494" s="102"/>
      <c r="X494" s="102"/>
      <c r="Y494" s="102"/>
      <c r="Z494" s="121"/>
      <c r="AA494" s="102"/>
      <c r="AB494" s="107"/>
      <c r="AC494" s="102"/>
    </row>
    <row r="495">
      <c r="A495" s="107"/>
      <c r="B495" s="113"/>
      <c r="C495" s="224"/>
      <c r="D495" s="224"/>
      <c r="E495" s="107"/>
      <c r="F495" s="107"/>
      <c r="G495" s="107"/>
      <c r="H495" s="251"/>
      <c r="I495" s="102"/>
      <c r="J495" s="102"/>
      <c r="K495" s="102"/>
      <c r="L495" s="102"/>
      <c r="M495" s="102"/>
      <c r="N495" s="102"/>
      <c r="O495" s="102"/>
      <c r="P495" s="144"/>
      <c r="Q495" s="102"/>
      <c r="R495" s="102"/>
      <c r="S495" s="102"/>
      <c r="T495" s="102"/>
      <c r="U495" s="102"/>
      <c r="V495" s="102"/>
      <c r="W495" s="102"/>
      <c r="X495" s="102"/>
      <c r="Y495" s="102"/>
      <c r="Z495" s="121"/>
      <c r="AA495" s="102"/>
      <c r="AB495" s="107"/>
      <c r="AC495" s="102"/>
    </row>
    <row r="496">
      <c r="A496" s="107"/>
      <c r="B496" s="113"/>
      <c r="C496" s="224"/>
      <c r="D496" s="224"/>
      <c r="E496" s="107"/>
      <c r="F496" s="107"/>
      <c r="G496" s="107"/>
      <c r="H496" s="251"/>
      <c r="I496" s="102"/>
      <c r="J496" s="102"/>
      <c r="K496" s="102"/>
      <c r="L496" s="102"/>
      <c r="M496" s="102"/>
      <c r="N496" s="102"/>
      <c r="O496" s="102"/>
      <c r="P496" s="144"/>
      <c r="Q496" s="102"/>
      <c r="R496" s="102"/>
      <c r="S496" s="102"/>
      <c r="T496" s="102"/>
      <c r="U496" s="102"/>
      <c r="V496" s="102"/>
      <c r="W496" s="102"/>
      <c r="X496" s="102"/>
      <c r="Y496" s="102"/>
      <c r="Z496" s="121"/>
      <c r="AA496" s="102"/>
      <c r="AB496" s="107"/>
      <c r="AC496" s="102"/>
    </row>
    <row r="497">
      <c r="A497" s="107"/>
      <c r="B497" s="113"/>
      <c r="C497" s="224"/>
      <c r="D497" s="224"/>
      <c r="E497" s="107"/>
      <c r="F497" s="107"/>
      <c r="G497" s="107"/>
      <c r="H497" s="251"/>
      <c r="I497" s="102"/>
      <c r="J497" s="102"/>
      <c r="K497" s="102"/>
      <c r="L497" s="102"/>
      <c r="M497" s="102"/>
      <c r="N497" s="102"/>
      <c r="O497" s="102"/>
      <c r="P497" s="144"/>
      <c r="Q497" s="102"/>
      <c r="R497" s="102"/>
      <c r="S497" s="102"/>
      <c r="T497" s="102"/>
      <c r="U497" s="102"/>
      <c r="V497" s="102"/>
      <c r="W497" s="102"/>
      <c r="X497" s="102"/>
      <c r="Y497" s="102"/>
      <c r="Z497" s="121"/>
      <c r="AA497" s="102"/>
      <c r="AB497" s="107"/>
      <c r="AC497" s="102"/>
    </row>
    <row r="498">
      <c r="A498" s="107"/>
      <c r="B498" s="113"/>
      <c r="C498" s="224"/>
      <c r="D498" s="224"/>
      <c r="E498" s="107"/>
      <c r="F498" s="107"/>
      <c r="G498" s="107"/>
      <c r="H498" s="251"/>
      <c r="I498" s="102"/>
      <c r="J498" s="102"/>
      <c r="K498" s="102"/>
      <c r="L498" s="102"/>
      <c r="M498" s="102"/>
      <c r="N498" s="102"/>
      <c r="O498" s="102"/>
      <c r="P498" s="144"/>
      <c r="Q498" s="102"/>
      <c r="R498" s="102"/>
      <c r="S498" s="102"/>
      <c r="T498" s="102"/>
      <c r="U498" s="102"/>
      <c r="V498" s="102"/>
      <c r="W498" s="102"/>
      <c r="X498" s="102"/>
      <c r="Y498" s="102"/>
      <c r="Z498" s="121"/>
      <c r="AA498" s="102"/>
      <c r="AB498" s="107"/>
      <c r="AC498" s="102"/>
    </row>
    <row r="499">
      <c r="A499" s="107"/>
      <c r="B499" s="113"/>
      <c r="C499" s="224"/>
      <c r="D499" s="224"/>
      <c r="E499" s="107"/>
      <c r="F499" s="107"/>
      <c r="G499" s="107"/>
      <c r="H499" s="251"/>
      <c r="I499" s="102"/>
      <c r="J499" s="102"/>
      <c r="K499" s="102"/>
      <c r="L499" s="102"/>
      <c r="M499" s="102"/>
      <c r="N499" s="102"/>
      <c r="O499" s="102"/>
      <c r="P499" s="144"/>
      <c r="Q499" s="102"/>
      <c r="R499" s="102"/>
      <c r="S499" s="102"/>
      <c r="T499" s="102"/>
      <c r="U499" s="102"/>
      <c r="V499" s="102"/>
      <c r="W499" s="102"/>
      <c r="X499" s="102"/>
      <c r="Y499" s="102"/>
      <c r="Z499" s="121"/>
      <c r="AA499" s="102"/>
      <c r="AB499" s="107"/>
      <c r="AC499" s="102"/>
    </row>
    <row r="500">
      <c r="A500" s="107"/>
      <c r="B500" s="113"/>
      <c r="C500" s="224"/>
      <c r="D500" s="224"/>
      <c r="E500" s="107"/>
      <c r="F500" s="107"/>
      <c r="G500" s="107"/>
      <c r="H500" s="251"/>
      <c r="I500" s="102"/>
      <c r="J500" s="102"/>
      <c r="K500" s="102"/>
      <c r="L500" s="102"/>
      <c r="M500" s="102"/>
      <c r="N500" s="102"/>
      <c r="O500" s="102"/>
      <c r="P500" s="144"/>
      <c r="Q500" s="102"/>
      <c r="R500" s="102"/>
      <c r="S500" s="102"/>
      <c r="T500" s="102"/>
      <c r="U500" s="102"/>
      <c r="V500" s="102"/>
      <c r="W500" s="102"/>
      <c r="X500" s="102"/>
      <c r="Y500" s="102"/>
      <c r="Z500" s="121"/>
      <c r="AA500" s="102"/>
      <c r="AB500" s="107"/>
      <c r="AC500" s="102"/>
    </row>
    <row r="501">
      <c r="A501" s="107"/>
      <c r="B501" s="113"/>
      <c r="C501" s="224"/>
      <c r="D501" s="224"/>
      <c r="E501" s="107"/>
      <c r="F501" s="107"/>
      <c r="G501" s="107"/>
      <c r="H501" s="251"/>
      <c r="I501" s="102"/>
      <c r="J501" s="102"/>
      <c r="K501" s="102"/>
      <c r="L501" s="102"/>
      <c r="M501" s="102"/>
      <c r="N501" s="102"/>
      <c r="O501" s="102"/>
      <c r="P501" s="144"/>
      <c r="Q501" s="102"/>
      <c r="R501" s="102"/>
      <c r="S501" s="102"/>
      <c r="T501" s="102"/>
      <c r="U501" s="102"/>
      <c r="V501" s="102"/>
      <c r="W501" s="102"/>
      <c r="X501" s="102"/>
      <c r="Y501" s="102"/>
      <c r="Z501" s="121"/>
      <c r="AA501" s="102"/>
      <c r="AB501" s="107"/>
      <c r="AC501" s="102"/>
    </row>
    <row r="502">
      <c r="A502" s="107"/>
      <c r="B502" s="113"/>
      <c r="C502" s="224"/>
      <c r="D502" s="224"/>
      <c r="E502" s="107"/>
      <c r="F502" s="107"/>
      <c r="G502" s="107"/>
      <c r="H502" s="251"/>
      <c r="I502" s="102"/>
      <c r="J502" s="102"/>
      <c r="K502" s="102"/>
      <c r="L502" s="102"/>
      <c r="M502" s="102"/>
      <c r="N502" s="102"/>
      <c r="O502" s="102"/>
      <c r="P502" s="144"/>
      <c r="Q502" s="102"/>
      <c r="R502" s="102"/>
      <c r="S502" s="102"/>
      <c r="T502" s="102"/>
      <c r="U502" s="102"/>
      <c r="V502" s="102"/>
      <c r="W502" s="102"/>
      <c r="X502" s="102"/>
      <c r="Y502" s="102"/>
      <c r="Z502" s="121"/>
      <c r="AA502" s="102"/>
      <c r="AB502" s="107"/>
      <c r="AC502" s="102"/>
    </row>
    <row r="503">
      <c r="A503" s="107"/>
      <c r="B503" s="113"/>
      <c r="C503" s="224"/>
      <c r="D503" s="224"/>
      <c r="E503" s="107"/>
      <c r="F503" s="107"/>
      <c r="G503" s="107"/>
      <c r="H503" s="251"/>
      <c r="I503" s="102"/>
      <c r="J503" s="102"/>
      <c r="K503" s="102"/>
      <c r="L503" s="102"/>
      <c r="M503" s="102"/>
      <c r="N503" s="102"/>
      <c r="O503" s="102"/>
      <c r="P503" s="144"/>
      <c r="Q503" s="102"/>
      <c r="R503" s="102"/>
      <c r="S503" s="102"/>
      <c r="T503" s="102"/>
      <c r="U503" s="102"/>
      <c r="V503" s="102"/>
      <c r="W503" s="102"/>
      <c r="X503" s="102"/>
      <c r="Y503" s="102"/>
      <c r="Z503" s="121"/>
      <c r="AA503" s="102"/>
      <c r="AB503" s="107"/>
      <c r="AC503" s="102"/>
    </row>
    <row r="504">
      <c r="A504" s="107"/>
      <c r="B504" s="113"/>
      <c r="C504" s="224"/>
      <c r="D504" s="224"/>
      <c r="E504" s="107"/>
      <c r="F504" s="107"/>
      <c r="G504" s="107"/>
      <c r="H504" s="251"/>
      <c r="I504" s="102"/>
      <c r="J504" s="102"/>
      <c r="K504" s="102"/>
      <c r="L504" s="102"/>
      <c r="M504" s="102"/>
      <c r="N504" s="102"/>
      <c r="O504" s="102"/>
      <c r="P504" s="144"/>
      <c r="Q504" s="102"/>
      <c r="R504" s="102"/>
      <c r="S504" s="102"/>
      <c r="T504" s="102"/>
      <c r="U504" s="102"/>
      <c r="V504" s="102"/>
      <c r="W504" s="102"/>
      <c r="X504" s="102"/>
      <c r="Y504" s="102"/>
      <c r="Z504" s="121"/>
      <c r="AA504" s="102"/>
      <c r="AB504" s="107"/>
      <c r="AC504" s="102"/>
    </row>
    <row r="505">
      <c r="A505" s="107"/>
      <c r="B505" s="113"/>
      <c r="C505" s="224"/>
      <c r="D505" s="224"/>
      <c r="E505" s="107"/>
      <c r="F505" s="107"/>
      <c r="G505" s="107"/>
      <c r="H505" s="251"/>
      <c r="I505" s="102"/>
      <c r="J505" s="102"/>
      <c r="K505" s="102"/>
      <c r="L505" s="102"/>
      <c r="M505" s="102"/>
      <c r="N505" s="102"/>
      <c r="O505" s="102"/>
      <c r="P505" s="144"/>
      <c r="Q505" s="102"/>
      <c r="R505" s="102"/>
      <c r="S505" s="102"/>
      <c r="T505" s="102"/>
      <c r="U505" s="102"/>
      <c r="V505" s="102"/>
      <c r="W505" s="102"/>
      <c r="X505" s="102"/>
      <c r="Y505" s="102"/>
      <c r="Z505" s="121"/>
      <c r="AA505" s="102"/>
      <c r="AB505" s="107"/>
      <c r="AC505" s="102"/>
    </row>
    <row r="506">
      <c r="A506" s="107"/>
      <c r="B506" s="113"/>
      <c r="C506" s="224"/>
      <c r="D506" s="224"/>
      <c r="E506" s="107"/>
      <c r="F506" s="107"/>
      <c r="G506" s="107"/>
      <c r="H506" s="251"/>
      <c r="I506" s="102"/>
      <c r="J506" s="102"/>
      <c r="K506" s="102"/>
      <c r="L506" s="102"/>
      <c r="M506" s="102"/>
      <c r="N506" s="102"/>
      <c r="O506" s="102"/>
      <c r="P506" s="144"/>
      <c r="Q506" s="102"/>
      <c r="R506" s="102"/>
      <c r="S506" s="102"/>
      <c r="T506" s="102"/>
      <c r="U506" s="102"/>
      <c r="V506" s="102"/>
      <c r="W506" s="102"/>
      <c r="X506" s="102"/>
      <c r="Y506" s="102"/>
      <c r="Z506" s="121"/>
      <c r="AA506" s="102"/>
      <c r="AB506" s="107"/>
      <c r="AC506" s="102"/>
    </row>
    <row r="507">
      <c r="A507" s="107"/>
      <c r="B507" s="113"/>
      <c r="C507" s="224"/>
      <c r="D507" s="224"/>
      <c r="E507" s="107"/>
      <c r="F507" s="107"/>
      <c r="G507" s="107"/>
      <c r="H507" s="251"/>
      <c r="I507" s="102"/>
      <c r="J507" s="102"/>
      <c r="K507" s="102"/>
      <c r="L507" s="102"/>
      <c r="M507" s="102"/>
      <c r="N507" s="102"/>
      <c r="O507" s="102"/>
      <c r="P507" s="144"/>
      <c r="Q507" s="102"/>
      <c r="R507" s="102"/>
      <c r="S507" s="102"/>
      <c r="T507" s="102"/>
      <c r="U507" s="102"/>
      <c r="V507" s="102"/>
      <c r="W507" s="102"/>
      <c r="X507" s="102"/>
      <c r="Y507" s="102"/>
      <c r="Z507" s="121"/>
      <c r="AA507" s="102"/>
      <c r="AB507" s="107"/>
      <c r="AC507" s="102"/>
    </row>
    <row r="508">
      <c r="A508" s="107"/>
      <c r="B508" s="113"/>
      <c r="C508" s="224"/>
      <c r="D508" s="224"/>
      <c r="E508" s="107"/>
      <c r="F508" s="107"/>
      <c r="G508" s="107"/>
      <c r="H508" s="251"/>
      <c r="I508" s="102"/>
      <c r="J508" s="102"/>
      <c r="K508" s="102"/>
      <c r="L508" s="102"/>
      <c r="M508" s="102"/>
      <c r="N508" s="102"/>
      <c r="O508" s="102"/>
      <c r="P508" s="144"/>
      <c r="Q508" s="102"/>
      <c r="R508" s="102"/>
      <c r="S508" s="102"/>
      <c r="T508" s="102"/>
      <c r="U508" s="102"/>
      <c r="V508" s="102"/>
      <c r="W508" s="102"/>
      <c r="X508" s="102"/>
      <c r="Y508" s="102"/>
      <c r="Z508" s="121"/>
      <c r="AA508" s="102"/>
      <c r="AB508" s="107"/>
      <c r="AC508" s="102"/>
    </row>
    <row r="509">
      <c r="A509" s="107"/>
      <c r="B509" s="113"/>
      <c r="C509" s="224"/>
      <c r="D509" s="224"/>
      <c r="E509" s="107"/>
      <c r="F509" s="107"/>
      <c r="G509" s="107"/>
      <c r="H509" s="251"/>
      <c r="I509" s="102"/>
      <c r="J509" s="102"/>
      <c r="K509" s="102"/>
      <c r="L509" s="102"/>
      <c r="M509" s="102"/>
      <c r="N509" s="102"/>
      <c r="O509" s="102"/>
      <c r="P509" s="144"/>
      <c r="Q509" s="102"/>
      <c r="R509" s="102"/>
      <c r="S509" s="102"/>
      <c r="T509" s="102"/>
      <c r="U509" s="102"/>
      <c r="V509" s="102"/>
      <c r="W509" s="102"/>
      <c r="X509" s="102"/>
      <c r="Y509" s="102"/>
      <c r="Z509" s="121"/>
      <c r="AA509" s="102"/>
      <c r="AB509" s="107"/>
      <c r="AC509" s="102"/>
    </row>
    <row r="510">
      <c r="A510" s="107"/>
      <c r="B510" s="113"/>
      <c r="C510" s="224"/>
      <c r="D510" s="224"/>
      <c r="E510" s="107"/>
      <c r="F510" s="107"/>
      <c r="G510" s="107"/>
      <c r="H510" s="251"/>
      <c r="I510" s="102"/>
      <c r="J510" s="102"/>
      <c r="K510" s="102"/>
      <c r="L510" s="102"/>
      <c r="M510" s="102"/>
      <c r="N510" s="102"/>
      <c r="O510" s="102"/>
      <c r="P510" s="144"/>
      <c r="Q510" s="102"/>
      <c r="R510" s="102"/>
      <c r="S510" s="102"/>
      <c r="T510" s="102"/>
      <c r="U510" s="102"/>
      <c r="V510" s="102"/>
      <c r="W510" s="102"/>
      <c r="X510" s="102"/>
      <c r="Y510" s="102"/>
      <c r="Z510" s="121"/>
      <c r="AA510" s="102"/>
      <c r="AB510" s="107"/>
      <c r="AC510" s="102"/>
    </row>
    <row r="511">
      <c r="A511" s="107"/>
      <c r="B511" s="113"/>
      <c r="C511" s="224"/>
      <c r="D511" s="224"/>
      <c r="E511" s="107"/>
      <c r="F511" s="107"/>
      <c r="G511" s="107"/>
      <c r="H511" s="251"/>
      <c r="I511" s="102"/>
      <c r="J511" s="102"/>
      <c r="K511" s="102"/>
      <c r="L511" s="102"/>
      <c r="M511" s="102"/>
      <c r="N511" s="102"/>
      <c r="O511" s="102"/>
      <c r="P511" s="144"/>
      <c r="Q511" s="102"/>
      <c r="R511" s="102"/>
      <c r="S511" s="102"/>
      <c r="T511" s="102"/>
      <c r="U511" s="102"/>
      <c r="V511" s="102"/>
      <c r="W511" s="102"/>
      <c r="X511" s="102"/>
      <c r="Y511" s="102"/>
      <c r="Z511" s="121"/>
      <c r="AA511" s="102"/>
      <c r="AB511" s="107"/>
      <c r="AC511" s="102"/>
    </row>
    <row r="512">
      <c r="A512" s="107"/>
      <c r="B512" s="113"/>
      <c r="C512" s="224"/>
      <c r="D512" s="224"/>
      <c r="E512" s="107"/>
      <c r="F512" s="107"/>
      <c r="G512" s="107"/>
      <c r="H512" s="251"/>
      <c r="I512" s="102"/>
      <c r="J512" s="102"/>
      <c r="K512" s="102"/>
      <c r="L512" s="102"/>
      <c r="M512" s="102"/>
      <c r="N512" s="102"/>
      <c r="O512" s="102"/>
      <c r="P512" s="144"/>
      <c r="Q512" s="102"/>
      <c r="R512" s="102"/>
      <c r="S512" s="102"/>
      <c r="T512" s="102"/>
      <c r="U512" s="102"/>
      <c r="V512" s="102"/>
      <c r="W512" s="102"/>
      <c r="X512" s="102"/>
      <c r="Y512" s="102"/>
      <c r="Z512" s="121"/>
      <c r="AA512" s="102"/>
      <c r="AB512" s="107"/>
      <c r="AC512" s="102"/>
    </row>
    <row r="513">
      <c r="A513" s="107"/>
      <c r="B513" s="113"/>
      <c r="C513" s="224"/>
      <c r="D513" s="224"/>
      <c r="E513" s="107"/>
      <c r="F513" s="107"/>
      <c r="G513" s="107"/>
      <c r="H513" s="251"/>
      <c r="I513" s="102"/>
      <c r="J513" s="102"/>
      <c r="K513" s="102"/>
      <c r="L513" s="102"/>
      <c r="M513" s="102"/>
      <c r="N513" s="102"/>
      <c r="O513" s="102"/>
      <c r="P513" s="144"/>
      <c r="Q513" s="102"/>
      <c r="R513" s="102"/>
      <c r="S513" s="102"/>
      <c r="T513" s="102"/>
      <c r="U513" s="102"/>
      <c r="V513" s="102"/>
      <c r="W513" s="102"/>
      <c r="X513" s="102"/>
      <c r="Y513" s="102"/>
      <c r="Z513" s="121"/>
      <c r="AA513" s="102"/>
      <c r="AB513" s="107"/>
      <c r="AC513" s="102"/>
    </row>
    <row r="514">
      <c r="A514" s="107"/>
      <c r="B514" s="113"/>
      <c r="C514" s="224"/>
      <c r="D514" s="224"/>
      <c r="E514" s="107"/>
      <c r="F514" s="107"/>
      <c r="G514" s="107"/>
      <c r="H514" s="251"/>
      <c r="I514" s="102"/>
      <c r="J514" s="102"/>
      <c r="K514" s="102"/>
      <c r="L514" s="102"/>
      <c r="M514" s="102"/>
      <c r="N514" s="102"/>
      <c r="O514" s="102"/>
      <c r="P514" s="144"/>
      <c r="Q514" s="102"/>
      <c r="R514" s="102"/>
      <c r="S514" s="102"/>
      <c r="T514" s="102"/>
      <c r="U514" s="102"/>
      <c r="V514" s="102"/>
      <c r="W514" s="102"/>
      <c r="X514" s="102"/>
      <c r="Y514" s="102"/>
      <c r="Z514" s="121"/>
      <c r="AA514" s="102"/>
      <c r="AB514" s="107"/>
      <c r="AC514" s="102"/>
    </row>
    <row r="515">
      <c r="A515" s="107"/>
      <c r="B515" s="113"/>
      <c r="C515" s="224"/>
      <c r="D515" s="224"/>
      <c r="E515" s="107"/>
      <c r="F515" s="107"/>
      <c r="G515" s="107"/>
      <c r="H515" s="251"/>
      <c r="I515" s="102"/>
      <c r="J515" s="102"/>
      <c r="K515" s="102"/>
      <c r="L515" s="102"/>
      <c r="M515" s="102"/>
      <c r="N515" s="102"/>
      <c r="O515" s="102"/>
      <c r="P515" s="144"/>
      <c r="Q515" s="102"/>
      <c r="R515" s="102"/>
      <c r="S515" s="102"/>
      <c r="T515" s="102"/>
      <c r="U515" s="102"/>
      <c r="V515" s="102"/>
      <c r="W515" s="102"/>
      <c r="X515" s="102"/>
      <c r="Y515" s="102"/>
      <c r="Z515" s="121"/>
      <c r="AA515" s="102"/>
      <c r="AB515" s="107"/>
      <c r="AC515" s="102"/>
    </row>
    <row r="516">
      <c r="A516" s="107"/>
      <c r="B516" s="113"/>
      <c r="C516" s="224"/>
      <c r="D516" s="224"/>
      <c r="E516" s="107"/>
      <c r="F516" s="107"/>
      <c r="G516" s="107"/>
      <c r="H516" s="251"/>
      <c r="I516" s="102"/>
      <c r="J516" s="102"/>
      <c r="K516" s="102"/>
      <c r="L516" s="102"/>
      <c r="M516" s="102"/>
      <c r="N516" s="102"/>
      <c r="O516" s="102"/>
      <c r="P516" s="144"/>
      <c r="Q516" s="102"/>
      <c r="R516" s="102"/>
      <c r="S516" s="102"/>
      <c r="T516" s="102"/>
      <c r="U516" s="102"/>
      <c r="V516" s="102"/>
      <c r="W516" s="102"/>
      <c r="X516" s="102"/>
      <c r="Y516" s="102"/>
      <c r="Z516" s="121"/>
      <c r="AA516" s="102"/>
      <c r="AB516" s="107"/>
      <c r="AC516" s="102"/>
    </row>
    <row r="517">
      <c r="A517" s="107"/>
      <c r="B517" s="113"/>
      <c r="C517" s="224"/>
      <c r="D517" s="224"/>
      <c r="E517" s="107"/>
      <c r="F517" s="107"/>
      <c r="G517" s="107"/>
      <c r="H517" s="251"/>
      <c r="I517" s="102"/>
      <c r="J517" s="102"/>
      <c r="K517" s="102"/>
      <c r="L517" s="102"/>
      <c r="M517" s="102"/>
      <c r="N517" s="102"/>
      <c r="O517" s="102"/>
      <c r="P517" s="144"/>
      <c r="Q517" s="102"/>
      <c r="R517" s="102"/>
      <c r="S517" s="102"/>
      <c r="T517" s="102"/>
      <c r="U517" s="102"/>
      <c r="V517" s="102"/>
      <c r="W517" s="102"/>
      <c r="X517" s="102"/>
      <c r="Y517" s="102"/>
      <c r="Z517" s="121"/>
      <c r="AA517" s="102"/>
      <c r="AB517" s="107"/>
      <c r="AC517" s="102"/>
    </row>
    <row r="518">
      <c r="A518" s="107"/>
      <c r="B518" s="113"/>
      <c r="C518" s="224"/>
      <c r="D518" s="224"/>
      <c r="E518" s="107"/>
      <c r="F518" s="107"/>
      <c r="G518" s="107"/>
      <c r="H518" s="251"/>
      <c r="I518" s="102"/>
      <c r="J518" s="102"/>
      <c r="K518" s="102"/>
      <c r="L518" s="102"/>
      <c r="M518" s="102"/>
      <c r="N518" s="102"/>
      <c r="O518" s="102"/>
      <c r="P518" s="144"/>
      <c r="Q518" s="102"/>
      <c r="R518" s="102"/>
      <c r="S518" s="102"/>
      <c r="T518" s="102"/>
      <c r="U518" s="102"/>
      <c r="V518" s="102"/>
      <c r="W518" s="102"/>
      <c r="X518" s="102"/>
      <c r="Y518" s="102"/>
      <c r="Z518" s="121"/>
      <c r="AA518" s="102"/>
      <c r="AB518" s="107"/>
      <c r="AC518" s="102"/>
    </row>
    <row r="519">
      <c r="A519" s="107"/>
      <c r="B519" s="113"/>
      <c r="C519" s="224"/>
      <c r="D519" s="224"/>
      <c r="E519" s="107"/>
      <c r="F519" s="107"/>
      <c r="G519" s="107"/>
      <c r="H519" s="251"/>
      <c r="I519" s="102"/>
      <c r="J519" s="102"/>
      <c r="K519" s="102"/>
      <c r="L519" s="102"/>
      <c r="M519" s="102"/>
      <c r="N519" s="102"/>
      <c r="O519" s="102"/>
      <c r="P519" s="144"/>
      <c r="Q519" s="102"/>
      <c r="R519" s="102"/>
      <c r="S519" s="102"/>
      <c r="T519" s="102"/>
      <c r="U519" s="102"/>
      <c r="V519" s="102"/>
      <c r="W519" s="102"/>
      <c r="X519" s="102"/>
      <c r="Y519" s="102"/>
      <c r="Z519" s="121"/>
      <c r="AA519" s="102"/>
      <c r="AB519" s="107"/>
      <c r="AC519" s="102"/>
    </row>
    <row r="520">
      <c r="A520" s="107"/>
      <c r="B520" s="113"/>
      <c r="C520" s="224"/>
      <c r="D520" s="224"/>
      <c r="E520" s="107"/>
      <c r="F520" s="107"/>
      <c r="G520" s="107"/>
      <c r="H520" s="251"/>
      <c r="I520" s="102"/>
      <c r="J520" s="102"/>
      <c r="K520" s="102"/>
      <c r="L520" s="102"/>
      <c r="M520" s="102"/>
      <c r="N520" s="102"/>
      <c r="O520" s="102"/>
      <c r="P520" s="144"/>
      <c r="Q520" s="102"/>
      <c r="R520" s="102"/>
      <c r="S520" s="102"/>
      <c r="T520" s="102"/>
      <c r="U520" s="102"/>
      <c r="V520" s="102"/>
      <c r="W520" s="102"/>
      <c r="X520" s="102"/>
      <c r="Y520" s="102"/>
      <c r="Z520" s="121"/>
      <c r="AA520" s="102"/>
      <c r="AB520" s="107"/>
      <c r="AC520" s="102"/>
    </row>
    <row r="521">
      <c r="A521" s="107"/>
      <c r="B521" s="113"/>
      <c r="C521" s="224"/>
      <c r="D521" s="224"/>
      <c r="E521" s="107"/>
      <c r="F521" s="107"/>
      <c r="G521" s="107"/>
      <c r="H521" s="251"/>
      <c r="I521" s="102"/>
      <c r="J521" s="102"/>
      <c r="K521" s="102"/>
      <c r="L521" s="102"/>
      <c r="M521" s="102"/>
      <c r="N521" s="102"/>
      <c r="O521" s="102"/>
      <c r="P521" s="144"/>
      <c r="Q521" s="102"/>
      <c r="R521" s="102"/>
      <c r="S521" s="102"/>
      <c r="T521" s="102"/>
      <c r="U521" s="102"/>
      <c r="V521" s="102"/>
      <c r="W521" s="102"/>
      <c r="X521" s="102"/>
      <c r="Y521" s="102"/>
      <c r="Z521" s="121"/>
      <c r="AA521" s="102"/>
      <c r="AB521" s="107"/>
      <c r="AC521" s="102"/>
    </row>
    <row r="522">
      <c r="A522" s="107"/>
      <c r="B522" s="113"/>
      <c r="C522" s="224"/>
      <c r="D522" s="224"/>
      <c r="E522" s="107"/>
      <c r="F522" s="107"/>
      <c r="G522" s="107"/>
      <c r="H522" s="251"/>
      <c r="I522" s="102"/>
      <c r="J522" s="102"/>
      <c r="K522" s="102"/>
      <c r="L522" s="102"/>
      <c r="M522" s="102"/>
      <c r="N522" s="102"/>
      <c r="O522" s="102"/>
      <c r="P522" s="144"/>
      <c r="Q522" s="102"/>
      <c r="R522" s="102"/>
      <c r="S522" s="102"/>
      <c r="T522" s="102"/>
      <c r="U522" s="102"/>
      <c r="V522" s="102"/>
      <c r="W522" s="102"/>
      <c r="X522" s="102"/>
      <c r="Y522" s="102"/>
      <c r="Z522" s="121"/>
      <c r="AA522" s="102"/>
      <c r="AB522" s="107"/>
      <c r="AC522" s="102"/>
    </row>
    <row r="523">
      <c r="A523" s="107"/>
      <c r="B523" s="113"/>
      <c r="C523" s="224"/>
      <c r="D523" s="224"/>
      <c r="E523" s="107"/>
      <c r="F523" s="107"/>
      <c r="G523" s="107"/>
      <c r="H523" s="251"/>
      <c r="I523" s="102"/>
      <c r="J523" s="102"/>
      <c r="K523" s="102"/>
      <c r="L523" s="102"/>
      <c r="M523" s="102"/>
      <c r="N523" s="102"/>
      <c r="O523" s="102"/>
      <c r="P523" s="144"/>
      <c r="Q523" s="102"/>
      <c r="R523" s="102"/>
      <c r="S523" s="102"/>
      <c r="T523" s="102"/>
      <c r="U523" s="102"/>
      <c r="V523" s="102"/>
      <c r="W523" s="102"/>
      <c r="X523" s="102"/>
      <c r="Y523" s="102"/>
      <c r="Z523" s="121"/>
      <c r="AA523" s="102"/>
      <c r="AB523" s="107"/>
      <c r="AC523" s="102"/>
    </row>
    <row r="524">
      <c r="A524" s="107"/>
      <c r="B524" s="113"/>
      <c r="C524" s="224"/>
      <c r="D524" s="224"/>
      <c r="E524" s="107"/>
      <c r="F524" s="107"/>
      <c r="G524" s="107"/>
      <c r="H524" s="251"/>
      <c r="I524" s="102"/>
      <c r="J524" s="102"/>
      <c r="K524" s="102"/>
      <c r="L524" s="102"/>
      <c r="M524" s="102"/>
      <c r="N524" s="102"/>
      <c r="O524" s="102"/>
      <c r="P524" s="144"/>
      <c r="Q524" s="102"/>
      <c r="R524" s="102"/>
      <c r="S524" s="102"/>
      <c r="T524" s="102"/>
      <c r="U524" s="102"/>
      <c r="V524" s="102"/>
      <c r="W524" s="102"/>
      <c r="X524" s="102"/>
      <c r="Y524" s="102"/>
      <c r="Z524" s="121"/>
      <c r="AA524" s="102"/>
      <c r="AB524" s="107"/>
      <c r="AC524" s="102"/>
    </row>
    <row r="525">
      <c r="A525" s="107"/>
      <c r="B525" s="113"/>
      <c r="C525" s="224"/>
      <c r="D525" s="224"/>
      <c r="E525" s="107"/>
      <c r="F525" s="107"/>
      <c r="G525" s="107"/>
      <c r="H525" s="251"/>
      <c r="I525" s="102"/>
      <c r="J525" s="102"/>
      <c r="K525" s="102"/>
      <c r="L525" s="102"/>
      <c r="M525" s="102"/>
      <c r="N525" s="102"/>
      <c r="O525" s="102"/>
      <c r="P525" s="144"/>
      <c r="Q525" s="102"/>
      <c r="R525" s="102"/>
      <c r="S525" s="102"/>
      <c r="T525" s="102"/>
      <c r="U525" s="102"/>
      <c r="V525" s="102"/>
      <c r="W525" s="102"/>
      <c r="X525" s="102"/>
      <c r="Y525" s="102"/>
      <c r="Z525" s="121"/>
      <c r="AA525" s="102"/>
      <c r="AB525" s="107"/>
      <c r="AC525" s="102"/>
    </row>
    <row r="526">
      <c r="A526" s="107"/>
      <c r="B526" s="113"/>
      <c r="C526" s="224"/>
      <c r="D526" s="224"/>
      <c r="E526" s="107"/>
      <c r="F526" s="107"/>
      <c r="G526" s="107"/>
      <c r="H526" s="251"/>
      <c r="I526" s="102"/>
      <c r="J526" s="102"/>
      <c r="K526" s="102"/>
      <c r="L526" s="102"/>
      <c r="M526" s="102"/>
      <c r="N526" s="102"/>
      <c r="O526" s="102"/>
      <c r="P526" s="144"/>
      <c r="Q526" s="102"/>
      <c r="R526" s="102"/>
      <c r="S526" s="102"/>
      <c r="T526" s="102"/>
      <c r="U526" s="102"/>
      <c r="V526" s="102"/>
      <c r="W526" s="102"/>
      <c r="X526" s="102"/>
      <c r="Y526" s="102"/>
      <c r="Z526" s="121"/>
      <c r="AA526" s="102"/>
      <c r="AB526" s="107"/>
      <c r="AC526" s="102"/>
    </row>
    <row r="527">
      <c r="A527" s="107"/>
      <c r="B527" s="113"/>
      <c r="C527" s="224"/>
      <c r="D527" s="224"/>
      <c r="E527" s="107"/>
      <c r="F527" s="107"/>
      <c r="G527" s="107"/>
      <c r="H527" s="251"/>
      <c r="I527" s="102"/>
      <c r="J527" s="102"/>
      <c r="K527" s="102"/>
      <c r="L527" s="102"/>
      <c r="M527" s="102"/>
      <c r="N527" s="102"/>
      <c r="O527" s="102"/>
      <c r="P527" s="144"/>
      <c r="Q527" s="102"/>
      <c r="R527" s="102"/>
      <c r="S527" s="102"/>
      <c r="T527" s="102"/>
      <c r="U527" s="102"/>
      <c r="V527" s="102"/>
      <c r="W527" s="102"/>
      <c r="X527" s="102"/>
      <c r="Y527" s="102"/>
      <c r="Z527" s="121"/>
      <c r="AA527" s="102"/>
      <c r="AB527" s="107"/>
      <c r="AC527" s="102"/>
    </row>
    <row r="528">
      <c r="A528" s="107"/>
      <c r="B528" s="113"/>
      <c r="C528" s="224"/>
      <c r="D528" s="224"/>
      <c r="E528" s="107"/>
      <c r="F528" s="107"/>
      <c r="G528" s="107"/>
      <c r="H528" s="251"/>
      <c r="I528" s="102"/>
      <c r="J528" s="102"/>
      <c r="K528" s="102"/>
      <c r="L528" s="102"/>
      <c r="M528" s="102"/>
      <c r="N528" s="102"/>
      <c r="O528" s="102"/>
      <c r="P528" s="144"/>
      <c r="Q528" s="102"/>
      <c r="R528" s="102"/>
      <c r="S528" s="102"/>
      <c r="T528" s="102"/>
      <c r="U528" s="102"/>
      <c r="V528" s="102"/>
      <c r="W528" s="102"/>
      <c r="X528" s="102"/>
      <c r="Y528" s="102"/>
      <c r="Z528" s="121"/>
      <c r="AA528" s="102"/>
      <c r="AB528" s="107"/>
      <c r="AC528" s="102"/>
    </row>
    <row r="529">
      <c r="A529" s="107"/>
      <c r="B529" s="113"/>
      <c r="C529" s="224"/>
      <c r="D529" s="224"/>
      <c r="E529" s="107"/>
      <c r="F529" s="107"/>
      <c r="G529" s="107"/>
      <c r="H529" s="251"/>
      <c r="I529" s="102"/>
      <c r="J529" s="102"/>
      <c r="K529" s="102"/>
      <c r="L529" s="102"/>
      <c r="M529" s="102"/>
      <c r="N529" s="102"/>
      <c r="O529" s="102"/>
      <c r="P529" s="144"/>
      <c r="Q529" s="102"/>
      <c r="R529" s="102"/>
      <c r="S529" s="102"/>
      <c r="T529" s="102"/>
      <c r="U529" s="102"/>
      <c r="V529" s="102"/>
      <c r="W529" s="102"/>
      <c r="X529" s="102"/>
      <c r="Y529" s="102"/>
      <c r="Z529" s="121"/>
      <c r="AA529" s="102"/>
      <c r="AB529" s="107"/>
      <c r="AC529" s="102"/>
    </row>
    <row r="530">
      <c r="A530" s="107"/>
      <c r="B530" s="113"/>
      <c r="C530" s="224"/>
      <c r="D530" s="224"/>
      <c r="E530" s="107"/>
      <c r="F530" s="107"/>
      <c r="G530" s="107"/>
      <c r="H530" s="251"/>
      <c r="I530" s="102"/>
      <c r="J530" s="102"/>
      <c r="K530" s="102"/>
      <c r="L530" s="102"/>
      <c r="M530" s="102"/>
      <c r="N530" s="102"/>
      <c r="O530" s="102"/>
      <c r="P530" s="144"/>
      <c r="Q530" s="102"/>
      <c r="R530" s="102"/>
      <c r="S530" s="102"/>
      <c r="T530" s="102"/>
      <c r="U530" s="102"/>
      <c r="V530" s="102"/>
      <c r="W530" s="102"/>
      <c r="X530" s="102"/>
      <c r="Y530" s="102"/>
      <c r="Z530" s="121"/>
      <c r="AA530" s="102"/>
      <c r="AB530" s="107"/>
      <c r="AC530" s="102"/>
    </row>
    <row r="531">
      <c r="A531" s="107"/>
      <c r="B531" s="113"/>
      <c r="C531" s="224"/>
      <c r="D531" s="224"/>
      <c r="E531" s="107"/>
      <c r="F531" s="107"/>
      <c r="G531" s="107"/>
      <c r="H531" s="251"/>
      <c r="I531" s="102"/>
      <c r="J531" s="102"/>
      <c r="K531" s="102"/>
      <c r="L531" s="102"/>
      <c r="M531" s="102"/>
      <c r="N531" s="102"/>
      <c r="O531" s="102"/>
      <c r="P531" s="144"/>
      <c r="Q531" s="102"/>
      <c r="R531" s="102"/>
      <c r="S531" s="102"/>
      <c r="T531" s="102"/>
      <c r="U531" s="102"/>
      <c r="V531" s="102"/>
      <c r="W531" s="102"/>
      <c r="X531" s="102"/>
      <c r="Y531" s="102"/>
      <c r="Z531" s="121"/>
      <c r="AA531" s="102"/>
      <c r="AB531" s="107"/>
      <c r="AC531" s="102"/>
    </row>
    <row r="532">
      <c r="A532" s="107"/>
      <c r="B532" s="113"/>
      <c r="C532" s="224"/>
      <c r="D532" s="224"/>
      <c r="E532" s="107"/>
      <c r="F532" s="107"/>
      <c r="G532" s="107"/>
      <c r="H532" s="251"/>
      <c r="I532" s="102"/>
      <c r="J532" s="102"/>
      <c r="K532" s="102"/>
      <c r="L532" s="102"/>
      <c r="M532" s="102"/>
      <c r="N532" s="102"/>
      <c r="O532" s="102"/>
      <c r="P532" s="144"/>
      <c r="Q532" s="102"/>
      <c r="R532" s="102"/>
      <c r="S532" s="102"/>
      <c r="T532" s="102"/>
      <c r="U532" s="102"/>
      <c r="V532" s="102"/>
      <c r="W532" s="102"/>
      <c r="X532" s="102"/>
      <c r="Y532" s="102"/>
      <c r="Z532" s="121"/>
      <c r="AA532" s="102"/>
      <c r="AB532" s="107"/>
      <c r="AC532" s="102"/>
    </row>
    <row r="533">
      <c r="A533" s="107"/>
      <c r="B533" s="113"/>
      <c r="C533" s="224"/>
      <c r="D533" s="224"/>
      <c r="E533" s="107"/>
      <c r="F533" s="107"/>
      <c r="G533" s="107"/>
      <c r="H533" s="251"/>
      <c r="I533" s="102"/>
      <c r="J533" s="102"/>
      <c r="K533" s="102"/>
      <c r="L533" s="102"/>
      <c r="M533" s="102"/>
      <c r="N533" s="102"/>
      <c r="O533" s="102"/>
      <c r="P533" s="144"/>
      <c r="Q533" s="102"/>
      <c r="R533" s="102"/>
      <c r="S533" s="102"/>
      <c r="T533" s="102"/>
      <c r="U533" s="102"/>
      <c r="V533" s="102"/>
      <c r="W533" s="102"/>
      <c r="X533" s="102"/>
      <c r="Y533" s="102"/>
      <c r="Z533" s="121"/>
      <c r="AA533" s="102"/>
      <c r="AB533" s="107"/>
      <c r="AC533" s="102"/>
    </row>
    <row r="534">
      <c r="A534" s="107"/>
      <c r="B534" s="113"/>
      <c r="C534" s="224"/>
      <c r="D534" s="224"/>
      <c r="E534" s="107"/>
      <c r="F534" s="107"/>
      <c r="G534" s="107"/>
      <c r="H534" s="251"/>
      <c r="I534" s="102"/>
      <c r="J534" s="102"/>
      <c r="K534" s="102"/>
      <c r="L534" s="102"/>
      <c r="M534" s="102"/>
      <c r="N534" s="102"/>
      <c r="O534" s="102"/>
      <c r="P534" s="144"/>
      <c r="Q534" s="102"/>
      <c r="R534" s="102"/>
      <c r="S534" s="102"/>
      <c r="T534" s="102"/>
      <c r="U534" s="102"/>
      <c r="V534" s="102"/>
      <c r="W534" s="102"/>
      <c r="X534" s="102"/>
      <c r="Y534" s="102"/>
      <c r="Z534" s="121"/>
      <c r="AA534" s="102"/>
      <c r="AB534" s="107"/>
      <c r="AC534" s="102"/>
    </row>
    <row r="535">
      <c r="A535" s="107"/>
      <c r="B535" s="113"/>
      <c r="C535" s="224"/>
      <c r="D535" s="224"/>
      <c r="E535" s="107"/>
      <c r="F535" s="107"/>
      <c r="G535" s="107"/>
      <c r="H535" s="251"/>
      <c r="I535" s="102"/>
      <c r="J535" s="102"/>
      <c r="K535" s="102"/>
      <c r="L535" s="102"/>
      <c r="M535" s="102"/>
      <c r="N535" s="102"/>
      <c r="O535" s="102"/>
      <c r="P535" s="144"/>
      <c r="Q535" s="102"/>
      <c r="R535" s="102"/>
      <c r="S535" s="102"/>
      <c r="T535" s="102"/>
      <c r="U535" s="102"/>
      <c r="V535" s="102"/>
      <c r="W535" s="102"/>
      <c r="X535" s="102"/>
      <c r="Y535" s="102"/>
      <c r="Z535" s="121"/>
      <c r="AA535" s="102"/>
      <c r="AB535" s="107"/>
      <c r="AC535" s="102"/>
    </row>
    <row r="536">
      <c r="A536" s="107"/>
      <c r="B536" s="113"/>
      <c r="C536" s="224"/>
      <c r="D536" s="224"/>
      <c r="E536" s="107"/>
      <c r="F536" s="107"/>
      <c r="G536" s="107"/>
      <c r="H536" s="251"/>
      <c r="I536" s="102"/>
      <c r="J536" s="102"/>
      <c r="K536" s="102"/>
      <c r="L536" s="102"/>
      <c r="M536" s="102"/>
      <c r="N536" s="102"/>
      <c r="O536" s="102"/>
      <c r="P536" s="144"/>
      <c r="Q536" s="102"/>
      <c r="R536" s="102"/>
      <c r="S536" s="102"/>
      <c r="T536" s="102"/>
      <c r="U536" s="102"/>
      <c r="V536" s="102"/>
      <c r="W536" s="102"/>
      <c r="X536" s="102"/>
      <c r="Y536" s="102"/>
      <c r="Z536" s="121"/>
      <c r="AA536" s="102"/>
      <c r="AB536" s="107"/>
      <c r="AC536" s="102"/>
    </row>
    <row r="537">
      <c r="A537" s="107"/>
      <c r="B537" s="113"/>
      <c r="C537" s="224"/>
      <c r="D537" s="224"/>
      <c r="E537" s="107"/>
      <c r="F537" s="107"/>
      <c r="G537" s="107"/>
      <c r="H537" s="251"/>
      <c r="I537" s="102"/>
      <c r="J537" s="102"/>
      <c r="K537" s="102"/>
      <c r="L537" s="102"/>
      <c r="M537" s="102"/>
      <c r="N537" s="102"/>
      <c r="O537" s="102"/>
      <c r="P537" s="144"/>
      <c r="Q537" s="102"/>
      <c r="R537" s="102"/>
      <c r="S537" s="102"/>
      <c r="T537" s="102"/>
      <c r="U537" s="102"/>
      <c r="V537" s="102"/>
      <c r="W537" s="102"/>
      <c r="X537" s="102"/>
      <c r="Y537" s="102"/>
      <c r="Z537" s="121"/>
      <c r="AA537" s="102"/>
      <c r="AB537" s="107"/>
      <c r="AC537" s="102"/>
    </row>
    <row r="538">
      <c r="A538" s="107"/>
      <c r="B538" s="113"/>
      <c r="C538" s="224"/>
      <c r="D538" s="224"/>
      <c r="E538" s="107"/>
      <c r="F538" s="107"/>
      <c r="G538" s="107"/>
      <c r="H538" s="251"/>
      <c r="I538" s="102"/>
      <c r="J538" s="102"/>
      <c r="K538" s="102"/>
      <c r="L538" s="102"/>
      <c r="M538" s="102"/>
      <c r="N538" s="102"/>
      <c r="O538" s="102"/>
      <c r="P538" s="144"/>
      <c r="Q538" s="102"/>
      <c r="R538" s="102"/>
      <c r="S538" s="102"/>
      <c r="T538" s="102"/>
      <c r="U538" s="102"/>
      <c r="V538" s="102"/>
      <c r="W538" s="102"/>
      <c r="X538" s="102"/>
      <c r="Y538" s="102"/>
      <c r="Z538" s="121"/>
      <c r="AA538" s="102"/>
      <c r="AB538" s="107"/>
      <c r="AC538" s="102"/>
    </row>
    <row r="539">
      <c r="A539" s="107"/>
      <c r="B539" s="113"/>
      <c r="C539" s="224"/>
      <c r="D539" s="224"/>
      <c r="E539" s="107"/>
      <c r="F539" s="107"/>
      <c r="G539" s="107"/>
      <c r="H539" s="251"/>
      <c r="I539" s="102"/>
      <c r="J539" s="102"/>
      <c r="K539" s="102"/>
      <c r="L539" s="102"/>
      <c r="M539" s="102"/>
      <c r="N539" s="102"/>
      <c r="O539" s="102"/>
      <c r="P539" s="144"/>
      <c r="Q539" s="102"/>
      <c r="R539" s="102"/>
      <c r="S539" s="102"/>
      <c r="T539" s="102"/>
      <c r="U539" s="102"/>
      <c r="V539" s="102"/>
      <c r="W539" s="102"/>
      <c r="X539" s="102"/>
      <c r="Y539" s="102"/>
      <c r="Z539" s="121"/>
      <c r="AA539" s="102"/>
      <c r="AB539" s="107"/>
      <c r="AC539" s="102"/>
    </row>
    <row r="540">
      <c r="A540" s="107"/>
      <c r="B540" s="113"/>
      <c r="C540" s="224"/>
      <c r="D540" s="224"/>
      <c r="E540" s="107"/>
      <c r="F540" s="107"/>
      <c r="G540" s="107"/>
      <c r="H540" s="251"/>
      <c r="I540" s="102"/>
      <c r="J540" s="102"/>
      <c r="K540" s="102"/>
      <c r="L540" s="102"/>
      <c r="M540" s="102"/>
      <c r="N540" s="102"/>
      <c r="O540" s="102"/>
      <c r="P540" s="144"/>
      <c r="Q540" s="102"/>
      <c r="R540" s="102"/>
      <c r="S540" s="102"/>
      <c r="T540" s="102"/>
      <c r="U540" s="102"/>
      <c r="V540" s="102"/>
      <c r="W540" s="102"/>
      <c r="X540" s="102"/>
      <c r="Y540" s="102"/>
      <c r="Z540" s="121"/>
      <c r="AA540" s="102"/>
      <c r="AB540" s="107"/>
      <c r="AC540" s="102"/>
    </row>
    <row r="541">
      <c r="A541" s="107"/>
      <c r="B541" s="113"/>
      <c r="C541" s="224"/>
      <c r="D541" s="224"/>
      <c r="E541" s="107"/>
      <c r="F541" s="107"/>
      <c r="G541" s="107"/>
      <c r="H541" s="251"/>
      <c r="I541" s="102"/>
      <c r="J541" s="102"/>
      <c r="K541" s="102"/>
      <c r="L541" s="102"/>
      <c r="M541" s="102"/>
      <c r="N541" s="102"/>
      <c r="O541" s="102"/>
      <c r="P541" s="144"/>
      <c r="Q541" s="102"/>
      <c r="R541" s="102"/>
      <c r="S541" s="102"/>
      <c r="T541" s="102"/>
      <c r="U541" s="102"/>
      <c r="V541" s="102"/>
      <c r="W541" s="102"/>
      <c r="X541" s="102"/>
      <c r="Y541" s="102"/>
      <c r="Z541" s="121"/>
      <c r="AA541" s="102"/>
      <c r="AB541" s="107"/>
      <c r="AC541" s="102"/>
    </row>
    <row r="542">
      <c r="A542" s="107"/>
      <c r="B542" s="113"/>
      <c r="C542" s="224"/>
      <c r="D542" s="224"/>
      <c r="E542" s="107"/>
      <c r="F542" s="107"/>
      <c r="G542" s="107"/>
      <c r="H542" s="251"/>
      <c r="I542" s="102"/>
      <c r="J542" s="102"/>
      <c r="K542" s="102"/>
      <c r="L542" s="102"/>
      <c r="M542" s="102"/>
      <c r="N542" s="102"/>
      <c r="O542" s="102"/>
      <c r="P542" s="144"/>
      <c r="Q542" s="102"/>
      <c r="R542" s="102"/>
      <c r="S542" s="102"/>
      <c r="T542" s="102"/>
      <c r="U542" s="102"/>
      <c r="V542" s="102"/>
      <c r="W542" s="102"/>
      <c r="X542" s="102"/>
      <c r="Y542" s="102"/>
      <c r="Z542" s="121"/>
      <c r="AA542" s="102"/>
      <c r="AB542" s="107"/>
      <c r="AC542" s="102"/>
    </row>
    <row r="543">
      <c r="A543" s="107"/>
      <c r="B543" s="113"/>
      <c r="C543" s="224"/>
      <c r="D543" s="224"/>
      <c r="E543" s="107"/>
      <c r="F543" s="107"/>
      <c r="G543" s="107"/>
      <c r="H543" s="251"/>
      <c r="I543" s="102"/>
      <c r="J543" s="102"/>
      <c r="K543" s="102"/>
      <c r="L543" s="102"/>
      <c r="M543" s="102"/>
      <c r="N543" s="102"/>
      <c r="O543" s="102"/>
      <c r="P543" s="144"/>
      <c r="Q543" s="102"/>
      <c r="R543" s="102"/>
      <c r="S543" s="102"/>
      <c r="T543" s="102"/>
      <c r="U543" s="102"/>
      <c r="V543" s="102"/>
      <c r="W543" s="102"/>
      <c r="X543" s="102"/>
      <c r="Y543" s="102"/>
      <c r="Z543" s="121"/>
      <c r="AA543" s="102"/>
      <c r="AB543" s="107"/>
      <c r="AC543" s="102"/>
    </row>
    <row r="544">
      <c r="A544" s="107"/>
      <c r="B544" s="113"/>
      <c r="C544" s="224"/>
      <c r="D544" s="224"/>
      <c r="E544" s="107"/>
      <c r="F544" s="107"/>
      <c r="G544" s="107"/>
      <c r="H544" s="251"/>
      <c r="I544" s="102"/>
      <c r="J544" s="102"/>
      <c r="K544" s="102"/>
      <c r="L544" s="102"/>
      <c r="M544" s="102"/>
      <c r="N544" s="102"/>
      <c r="O544" s="102"/>
      <c r="P544" s="144"/>
      <c r="Q544" s="102"/>
      <c r="R544" s="102"/>
      <c r="S544" s="102"/>
      <c r="T544" s="102"/>
      <c r="U544" s="102"/>
      <c r="V544" s="102"/>
      <c r="W544" s="102"/>
      <c r="X544" s="102"/>
      <c r="Y544" s="102"/>
      <c r="Z544" s="121"/>
      <c r="AA544" s="102"/>
      <c r="AB544" s="107"/>
      <c r="AC544" s="102"/>
    </row>
    <row r="545">
      <c r="A545" s="107"/>
      <c r="B545" s="113"/>
      <c r="C545" s="224"/>
      <c r="D545" s="224"/>
      <c r="E545" s="107"/>
      <c r="F545" s="107"/>
      <c r="G545" s="107"/>
      <c r="H545" s="251"/>
      <c r="I545" s="102"/>
      <c r="J545" s="102"/>
      <c r="K545" s="102"/>
      <c r="L545" s="102"/>
      <c r="M545" s="102"/>
      <c r="N545" s="102"/>
      <c r="O545" s="102"/>
      <c r="P545" s="144"/>
      <c r="Q545" s="102"/>
      <c r="R545" s="102"/>
      <c r="S545" s="102"/>
      <c r="T545" s="102"/>
      <c r="U545" s="102"/>
      <c r="V545" s="102"/>
      <c r="W545" s="102"/>
      <c r="X545" s="102"/>
      <c r="Y545" s="102"/>
      <c r="Z545" s="121"/>
      <c r="AA545" s="102"/>
      <c r="AB545" s="107"/>
      <c r="AC545" s="102"/>
    </row>
    <row r="546">
      <c r="A546" s="107"/>
      <c r="B546" s="113"/>
      <c r="C546" s="224"/>
      <c r="D546" s="224"/>
      <c r="E546" s="107"/>
      <c r="F546" s="107"/>
      <c r="G546" s="107"/>
      <c r="H546" s="251"/>
      <c r="I546" s="102"/>
      <c r="J546" s="102"/>
      <c r="K546" s="102"/>
      <c r="L546" s="102"/>
      <c r="M546" s="102"/>
      <c r="N546" s="102"/>
      <c r="O546" s="102"/>
      <c r="P546" s="144"/>
      <c r="Q546" s="102"/>
      <c r="R546" s="102"/>
      <c r="S546" s="102"/>
      <c r="T546" s="102"/>
      <c r="U546" s="102"/>
      <c r="V546" s="102"/>
      <c r="W546" s="102"/>
      <c r="X546" s="102"/>
      <c r="Y546" s="102"/>
      <c r="Z546" s="121"/>
      <c r="AA546" s="102"/>
      <c r="AB546" s="107"/>
      <c r="AC546" s="102"/>
    </row>
    <row r="547">
      <c r="A547" s="107"/>
      <c r="B547" s="113"/>
      <c r="C547" s="224"/>
      <c r="D547" s="224"/>
      <c r="E547" s="107"/>
      <c r="F547" s="107"/>
      <c r="G547" s="107"/>
      <c r="H547" s="251"/>
      <c r="I547" s="102"/>
      <c r="J547" s="102"/>
      <c r="K547" s="102"/>
      <c r="L547" s="102"/>
      <c r="M547" s="102"/>
      <c r="N547" s="102"/>
      <c r="O547" s="102"/>
      <c r="P547" s="144"/>
      <c r="Q547" s="102"/>
      <c r="R547" s="102"/>
      <c r="S547" s="102"/>
      <c r="T547" s="102"/>
      <c r="U547" s="102"/>
      <c r="V547" s="102"/>
      <c r="W547" s="102"/>
      <c r="X547" s="102"/>
      <c r="Y547" s="102"/>
      <c r="Z547" s="121"/>
      <c r="AA547" s="102"/>
      <c r="AB547" s="107"/>
      <c r="AC547" s="102"/>
    </row>
    <row r="548">
      <c r="A548" s="107"/>
      <c r="B548" s="113"/>
      <c r="C548" s="224"/>
      <c r="D548" s="224"/>
      <c r="E548" s="107"/>
      <c r="F548" s="107"/>
      <c r="G548" s="107"/>
      <c r="H548" s="251"/>
      <c r="I548" s="102"/>
      <c r="J548" s="102"/>
      <c r="K548" s="102"/>
      <c r="L548" s="102"/>
      <c r="M548" s="102"/>
      <c r="N548" s="102"/>
      <c r="O548" s="102"/>
      <c r="P548" s="144"/>
      <c r="Q548" s="102"/>
      <c r="R548" s="102"/>
      <c r="S548" s="102"/>
      <c r="T548" s="102"/>
      <c r="U548" s="102"/>
      <c r="V548" s="102"/>
      <c r="W548" s="102"/>
      <c r="X548" s="102"/>
      <c r="Y548" s="102"/>
      <c r="Z548" s="121"/>
      <c r="AA548" s="102"/>
      <c r="AB548" s="107"/>
      <c r="AC548" s="102"/>
    </row>
    <row r="549">
      <c r="A549" s="107"/>
      <c r="B549" s="113"/>
      <c r="C549" s="224"/>
      <c r="D549" s="224"/>
      <c r="E549" s="107"/>
      <c r="F549" s="107"/>
      <c r="G549" s="107"/>
      <c r="H549" s="251"/>
      <c r="I549" s="102"/>
      <c r="J549" s="102"/>
      <c r="K549" s="102"/>
      <c r="L549" s="102"/>
      <c r="M549" s="102"/>
      <c r="N549" s="102"/>
      <c r="O549" s="102"/>
      <c r="P549" s="144"/>
      <c r="Q549" s="102"/>
      <c r="R549" s="102"/>
      <c r="S549" s="102"/>
      <c r="T549" s="102"/>
      <c r="U549" s="102"/>
      <c r="V549" s="102"/>
      <c r="W549" s="102"/>
      <c r="X549" s="102"/>
      <c r="Y549" s="102"/>
      <c r="Z549" s="121"/>
      <c r="AA549" s="102"/>
      <c r="AB549" s="107"/>
      <c r="AC549" s="102"/>
    </row>
    <row r="550">
      <c r="A550" s="107"/>
      <c r="B550" s="113"/>
      <c r="C550" s="224"/>
      <c r="D550" s="224"/>
      <c r="E550" s="107"/>
      <c r="F550" s="107"/>
      <c r="G550" s="107"/>
      <c r="H550" s="251"/>
      <c r="I550" s="102"/>
      <c r="J550" s="102"/>
      <c r="K550" s="102"/>
      <c r="L550" s="102"/>
      <c r="M550" s="102"/>
      <c r="N550" s="102"/>
      <c r="O550" s="102"/>
      <c r="P550" s="144"/>
      <c r="Q550" s="102"/>
      <c r="R550" s="102"/>
      <c r="S550" s="102"/>
      <c r="T550" s="102"/>
      <c r="U550" s="102"/>
      <c r="V550" s="102"/>
      <c r="W550" s="102"/>
      <c r="X550" s="102"/>
      <c r="Y550" s="102"/>
      <c r="Z550" s="121"/>
      <c r="AA550" s="102"/>
      <c r="AB550" s="107"/>
      <c r="AC550" s="102"/>
    </row>
    <row r="551">
      <c r="A551" s="107"/>
      <c r="B551" s="113"/>
      <c r="C551" s="224"/>
      <c r="D551" s="224"/>
      <c r="E551" s="107"/>
      <c r="F551" s="107"/>
      <c r="G551" s="107"/>
      <c r="H551" s="251"/>
      <c r="I551" s="102"/>
      <c r="J551" s="102"/>
      <c r="K551" s="102"/>
      <c r="L551" s="102"/>
      <c r="M551" s="102"/>
      <c r="N551" s="102"/>
      <c r="O551" s="102"/>
      <c r="P551" s="144"/>
      <c r="Q551" s="102"/>
      <c r="R551" s="102"/>
      <c r="S551" s="102"/>
      <c r="T551" s="102"/>
      <c r="U551" s="102"/>
      <c r="V551" s="102"/>
      <c r="W551" s="102"/>
      <c r="X551" s="102"/>
      <c r="Y551" s="102"/>
      <c r="Z551" s="121"/>
      <c r="AA551" s="102"/>
      <c r="AB551" s="107"/>
      <c r="AC551" s="102"/>
    </row>
  </sheetData>
  <mergeCells count="61">
    <mergeCell ref="N11:O11"/>
    <mergeCell ref="R11:S11"/>
    <mergeCell ref="V11:W11"/>
    <mergeCell ref="J11:K11"/>
    <mergeCell ref="J12:K12"/>
    <mergeCell ref="N12:O12"/>
    <mergeCell ref="J13:K13"/>
    <mergeCell ref="N13:O13"/>
    <mergeCell ref="R14:S14"/>
    <mergeCell ref="V14:W14"/>
    <mergeCell ref="F1:H1"/>
    <mergeCell ref="J1:L1"/>
    <mergeCell ref="N1:P1"/>
    <mergeCell ref="R1:T1"/>
    <mergeCell ref="V1:X1"/>
    <mergeCell ref="Z1:AA1"/>
    <mergeCell ref="B2:D2"/>
    <mergeCell ref="F3:G3"/>
    <mergeCell ref="J3:K3"/>
    <mergeCell ref="R3:S3"/>
    <mergeCell ref="V3:W3"/>
    <mergeCell ref="AB3:AC3"/>
    <mergeCell ref="F4:G4"/>
    <mergeCell ref="F5:G5"/>
    <mergeCell ref="N5:O5"/>
    <mergeCell ref="R9:S9"/>
    <mergeCell ref="V9:W9"/>
    <mergeCell ref="F9:G9"/>
    <mergeCell ref="F11:G11"/>
    <mergeCell ref="F12:G12"/>
    <mergeCell ref="F13:G13"/>
    <mergeCell ref="F15:G15"/>
    <mergeCell ref="F16:G16"/>
    <mergeCell ref="F17:G17"/>
    <mergeCell ref="F19:H19"/>
    <mergeCell ref="N3:O3"/>
    <mergeCell ref="N4:O4"/>
    <mergeCell ref="R6:S6"/>
    <mergeCell ref="V6:W6"/>
    <mergeCell ref="N7:O7"/>
    <mergeCell ref="N8:O8"/>
    <mergeCell ref="N9:O9"/>
    <mergeCell ref="J4:K4"/>
    <mergeCell ref="J5:K5"/>
    <mergeCell ref="F7:G7"/>
    <mergeCell ref="J7:K7"/>
    <mergeCell ref="F8:G8"/>
    <mergeCell ref="J8:K8"/>
    <mergeCell ref="J9:K9"/>
    <mergeCell ref="J17:K17"/>
    <mergeCell ref="J19:L19"/>
    <mergeCell ref="N19:P19"/>
    <mergeCell ref="R19:T19"/>
    <mergeCell ref="V19:X19"/>
    <mergeCell ref="J15:K15"/>
    <mergeCell ref="N15:O15"/>
    <mergeCell ref="J16:K16"/>
    <mergeCell ref="N16:O16"/>
    <mergeCell ref="N17:O17"/>
    <mergeCell ref="R17:S17"/>
    <mergeCell ref="V17:W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6.5"/>
    <col customWidth="1" min="3" max="5" width="31.38"/>
    <col customWidth="1" min="6" max="6" width="2.88"/>
    <col customWidth="1" min="7" max="7" width="16.5"/>
    <col customWidth="1" min="8" max="9" width="31.38"/>
    <col customWidth="1" min="10" max="10" width="2.88"/>
  </cols>
  <sheetData>
    <row r="1">
      <c r="A1" s="194"/>
      <c r="B1" s="197"/>
      <c r="C1" s="197"/>
      <c r="D1" s="197"/>
      <c r="E1" s="197"/>
      <c r="F1" s="200"/>
      <c r="G1" s="197"/>
      <c r="H1" s="197"/>
      <c r="I1" s="197"/>
      <c r="J1" s="203"/>
    </row>
    <row r="2">
      <c r="A2" s="205"/>
      <c r="B2" s="207" t="s">
        <v>184</v>
      </c>
      <c r="C2" s="13"/>
      <c r="D2" s="13"/>
      <c r="E2" s="10"/>
      <c r="F2" s="205"/>
      <c r="G2" s="105" t="s">
        <v>186</v>
      </c>
      <c r="H2" s="13"/>
      <c r="I2" s="10"/>
      <c r="J2" s="209"/>
    </row>
    <row r="3">
      <c r="A3" s="210"/>
      <c r="B3" s="211"/>
      <c r="C3" s="212"/>
      <c r="D3" s="212"/>
      <c r="E3" s="212"/>
      <c r="F3" s="215"/>
      <c r="G3" s="211"/>
      <c r="H3" s="212"/>
      <c r="I3" s="212"/>
      <c r="J3" s="218"/>
    </row>
    <row r="4">
      <c r="A4" s="205"/>
      <c r="B4" s="221" t="s">
        <v>14</v>
      </c>
      <c r="C4" s="13"/>
      <c r="D4" s="13"/>
      <c r="E4" s="10"/>
      <c r="F4" s="205"/>
      <c r="G4" s="221" t="s">
        <v>11</v>
      </c>
      <c r="H4" s="13"/>
      <c r="I4" s="10"/>
      <c r="J4" s="209"/>
    </row>
    <row r="5">
      <c r="A5" s="205"/>
      <c r="B5" s="223" t="s">
        <v>13</v>
      </c>
      <c r="C5" s="225" t="s">
        <v>187</v>
      </c>
      <c r="D5" s="225" t="s">
        <v>188</v>
      </c>
      <c r="E5" s="225" t="s">
        <v>189</v>
      </c>
      <c r="F5" s="205"/>
      <c r="G5" s="223" t="s">
        <v>13</v>
      </c>
      <c r="H5" s="225" t="s">
        <v>187</v>
      </c>
      <c r="I5" s="225" t="s">
        <v>188</v>
      </c>
      <c r="J5" s="209"/>
    </row>
    <row r="6">
      <c r="A6" s="205"/>
      <c r="B6" s="228" t="s">
        <v>44</v>
      </c>
      <c r="C6" s="230" t="s">
        <v>190</v>
      </c>
      <c r="D6" s="230" t="s">
        <v>191</v>
      </c>
      <c r="E6" s="230" t="s">
        <v>192</v>
      </c>
      <c r="F6" s="205"/>
      <c r="G6" s="228" t="s">
        <v>44</v>
      </c>
      <c r="H6" s="230" t="s">
        <v>193</v>
      </c>
      <c r="I6" s="230" t="s">
        <v>194</v>
      </c>
      <c r="J6" s="209"/>
    </row>
    <row r="7">
      <c r="A7" s="205"/>
      <c r="B7" s="233" t="s">
        <v>49</v>
      </c>
      <c r="C7" s="235" t="s">
        <v>195</v>
      </c>
      <c r="D7" s="235" t="s">
        <v>196</v>
      </c>
      <c r="E7" s="235" t="s">
        <v>197</v>
      </c>
      <c r="F7" s="205"/>
      <c r="G7" s="233" t="s">
        <v>49</v>
      </c>
      <c r="H7" s="235" t="s">
        <v>198</v>
      </c>
      <c r="I7" s="235" t="s">
        <v>199</v>
      </c>
      <c r="J7" s="209"/>
    </row>
    <row r="8">
      <c r="A8" s="205"/>
      <c r="B8" s="233" t="s">
        <v>56</v>
      </c>
      <c r="C8" s="235" t="s">
        <v>200</v>
      </c>
      <c r="D8" s="235" t="s">
        <v>201</v>
      </c>
      <c r="E8" s="235" t="s">
        <v>202</v>
      </c>
      <c r="F8" s="205"/>
      <c r="G8" s="237" t="s">
        <v>56</v>
      </c>
      <c r="H8" s="240" t="s">
        <v>203</v>
      </c>
      <c r="I8" s="240" t="s">
        <v>204</v>
      </c>
      <c r="J8" s="209"/>
    </row>
    <row r="9">
      <c r="A9" s="205"/>
      <c r="B9" s="233" t="s">
        <v>59</v>
      </c>
      <c r="C9" s="235" t="s">
        <v>205</v>
      </c>
      <c r="D9" s="235" t="s">
        <v>206</v>
      </c>
      <c r="E9" s="235" t="s">
        <v>207</v>
      </c>
      <c r="F9" s="205"/>
      <c r="G9" s="242"/>
      <c r="H9" s="243"/>
      <c r="I9" s="243"/>
      <c r="J9" s="209"/>
    </row>
    <row r="10">
      <c r="A10" s="205"/>
      <c r="B10" s="237" t="s">
        <v>62</v>
      </c>
      <c r="C10" s="240" t="s">
        <v>208</v>
      </c>
      <c r="D10" s="240" t="s">
        <v>209</v>
      </c>
      <c r="E10" s="240" t="s">
        <v>210</v>
      </c>
      <c r="F10" s="205"/>
      <c r="G10" s="245" t="s">
        <v>151</v>
      </c>
      <c r="H10" s="13"/>
      <c r="I10" s="10"/>
      <c r="J10" s="209"/>
    </row>
    <row r="11">
      <c r="A11" s="247"/>
      <c r="B11" s="253"/>
      <c r="C11" s="253"/>
      <c r="D11" s="253"/>
      <c r="E11" s="253"/>
      <c r="F11" s="254"/>
      <c r="G11" s="256" t="s">
        <v>13</v>
      </c>
      <c r="H11" s="257" t="s">
        <v>187</v>
      </c>
      <c r="I11" s="257" t="s">
        <v>188</v>
      </c>
      <c r="J11" s="259"/>
    </row>
    <row r="12">
      <c r="A12" s="205"/>
      <c r="B12" s="245" t="s">
        <v>182</v>
      </c>
      <c r="C12" s="13"/>
      <c r="D12" s="13"/>
      <c r="E12" s="10"/>
      <c r="F12" s="205"/>
      <c r="G12" s="228" t="s">
        <v>44</v>
      </c>
      <c r="H12" s="230" t="s">
        <v>211</v>
      </c>
      <c r="I12" s="230" t="s">
        <v>212</v>
      </c>
      <c r="J12" s="209"/>
    </row>
    <row r="13">
      <c r="A13" s="205"/>
      <c r="B13" s="256" t="s">
        <v>13</v>
      </c>
      <c r="C13" s="257" t="s">
        <v>187</v>
      </c>
      <c r="D13" s="257" t="s">
        <v>188</v>
      </c>
      <c r="E13" s="257" t="s">
        <v>189</v>
      </c>
      <c r="F13" s="205"/>
      <c r="G13" s="233" t="s">
        <v>49</v>
      </c>
      <c r="H13" s="235" t="s">
        <v>213</v>
      </c>
      <c r="I13" s="235" t="s">
        <v>214</v>
      </c>
      <c r="J13" s="209"/>
    </row>
    <row r="14">
      <c r="A14" s="205"/>
      <c r="B14" s="228" t="s">
        <v>44</v>
      </c>
      <c r="C14" s="230" t="s">
        <v>215</v>
      </c>
      <c r="D14" s="230" t="s">
        <v>216</v>
      </c>
      <c r="E14" s="230" t="s">
        <v>217</v>
      </c>
      <c r="F14" s="205"/>
      <c r="G14" s="237" t="s">
        <v>56</v>
      </c>
      <c r="H14" s="240" t="s">
        <v>218</v>
      </c>
      <c r="I14" s="240" t="s">
        <v>219</v>
      </c>
      <c r="J14" s="209"/>
    </row>
    <row r="15">
      <c r="A15" s="205"/>
      <c r="B15" s="233" t="s">
        <v>49</v>
      </c>
      <c r="C15" s="235" t="s">
        <v>220</v>
      </c>
      <c r="D15" s="235" t="s">
        <v>221</v>
      </c>
      <c r="E15" s="235" t="s">
        <v>222</v>
      </c>
      <c r="F15" s="205"/>
      <c r="G15" s="242"/>
      <c r="H15" s="243"/>
      <c r="I15" s="243"/>
      <c r="J15" s="209"/>
    </row>
    <row r="16">
      <c r="A16" s="205"/>
      <c r="B16" s="233" t="s">
        <v>56</v>
      </c>
      <c r="C16" s="235" t="s">
        <v>223</v>
      </c>
      <c r="D16" s="235" t="s">
        <v>224</v>
      </c>
      <c r="E16" s="235" t="s">
        <v>225</v>
      </c>
      <c r="F16" s="205"/>
      <c r="G16" s="261" t="s">
        <v>30</v>
      </c>
      <c r="H16" s="13"/>
      <c r="I16" s="10"/>
      <c r="J16" s="209"/>
    </row>
    <row r="17">
      <c r="A17" s="205"/>
      <c r="B17" s="233" t="s">
        <v>59</v>
      </c>
      <c r="C17" s="235" t="s">
        <v>226</v>
      </c>
      <c r="D17" s="235" t="s">
        <v>227</v>
      </c>
      <c r="E17" s="235" t="s">
        <v>228</v>
      </c>
      <c r="F17" s="205"/>
      <c r="G17" s="263" t="s">
        <v>13</v>
      </c>
      <c r="H17" s="264" t="s">
        <v>187</v>
      </c>
      <c r="I17" s="264" t="s">
        <v>188</v>
      </c>
      <c r="J17" s="209"/>
    </row>
    <row r="18">
      <c r="A18" s="205"/>
      <c r="B18" s="237" t="s">
        <v>62</v>
      </c>
      <c r="C18" s="240" t="s">
        <v>229</v>
      </c>
      <c r="D18" s="240" t="s">
        <v>230</v>
      </c>
      <c r="E18" s="240" t="s">
        <v>231</v>
      </c>
      <c r="F18" s="205"/>
      <c r="G18" s="228" t="s">
        <v>44</v>
      </c>
      <c r="H18" s="230" t="s">
        <v>232</v>
      </c>
      <c r="I18" s="230" t="s">
        <v>233</v>
      </c>
      <c r="J18" s="209"/>
    </row>
    <row r="19">
      <c r="A19" s="247"/>
      <c r="B19" s="253"/>
      <c r="C19" s="253"/>
      <c r="D19" s="253"/>
      <c r="E19" s="253"/>
      <c r="F19" s="254"/>
      <c r="G19" s="233" t="s">
        <v>49</v>
      </c>
      <c r="H19" s="235" t="s">
        <v>234</v>
      </c>
      <c r="I19" s="235" t="s">
        <v>235</v>
      </c>
      <c r="J19" s="259"/>
    </row>
    <row r="20">
      <c r="A20" s="205"/>
      <c r="B20" s="261" t="s">
        <v>236</v>
      </c>
      <c r="C20" s="13"/>
      <c r="D20" s="13"/>
      <c r="E20" s="10"/>
      <c r="F20" s="205"/>
      <c r="G20" s="237" t="s">
        <v>56</v>
      </c>
      <c r="H20" s="240" t="s">
        <v>237</v>
      </c>
      <c r="I20" s="240" t="s">
        <v>238</v>
      </c>
      <c r="J20" s="209"/>
    </row>
    <row r="21">
      <c r="A21" s="205"/>
      <c r="B21" s="263" t="s">
        <v>13</v>
      </c>
      <c r="C21" s="264" t="s">
        <v>187</v>
      </c>
      <c r="D21" s="264" t="s">
        <v>188</v>
      </c>
      <c r="E21" s="264" t="s">
        <v>189</v>
      </c>
      <c r="F21" s="205"/>
      <c r="G21" s="242"/>
      <c r="H21" s="267"/>
      <c r="I21" s="267"/>
      <c r="J21" s="209"/>
    </row>
    <row r="22">
      <c r="A22" s="205"/>
      <c r="B22" s="228" t="s">
        <v>44</v>
      </c>
      <c r="C22" s="230" t="s">
        <v>239</v>
      </c>
      <c r="D22" s="230" t="s">
        <v>240</v>
      </c>
      <c r="E22" s="230" t="s">
        <v>241</v>
      </c>
      <c r="F22" s="205"/>
      <c r="G22" s="269" t="s">
        <v>161</v>
      </c>
      <c r="H22" s="13"/>
      <c r="I22" s="10"/>
      <c r="J22" s="209"/>
    </row>
    <row r="23">
      <c r="A23" s="205"/>
      <c r="B23" s="233" t="s">
        <v>49</v>
      </c>
      <c r="C23" s="235" t="s">
        <v>242</v>
      </c>
      <c r="D23" s="235" t="s">
        <v>243</v>
      </c>
      <c r="E23" s="235" t="s">
        <v>244</v>
      </c>
      <c r="F23" s="205"/>
      <c r="G23" s="270" t="s">
        <v>13</v>
      </c>
      <c r="H23" s="271" t="s">
        <v>187</v>
      </c>
      <c r="I23" s="271" t="s">
        <v>188</v>
      </c>
      <c r="J23" s="209"/>
    </row>
    <row r="24">
      <c r="A24" s="205"/>
      <c r="B24" s="233" t="s">
        <v>56</v>
      </c>
      <c r="C24" s="235" t="s">
        <v>245</v>
      </c>
      <c r="D24" s="235" t="s">
        <v>246</v>
      </c>
      <c r="E24" s="235" t="s">
        <v>247</v>
      </c>
      <c r="F24" s="205"/>
      <c r="G24" s="228" t="s">
        <v>44</v>
      </c>
      <c r="H24" s="230" t="s">
        <v>248</v>
      </c>
      <c r="I24" s="230" t="s">
        <v>249</v>
      </c>
      <c r="J24" s="209"/>
    </row>
    <row r="25">
      <c r="A25" s="205"/>
      <c r="B25" s="233" t="s">
        <v>59</v>
      </c>
      <c r="C25" s="235" t="s">
        <v>250</v>
      </c>
      <c r="D25" s="235" t="s">
        <v>251</v>
      </c>
      <c r="E25" s="235" t="s">
        <v>252</v>
      </c>
      <c r="F25" s="205"/>
      <c r="G25" s="233" t="s">
        <v>49</v>
      </c>
      <c r="H25" s="235" t="s">
        <v>253</v>
      </c>
      <c r="I25" s="235" t="s">
        <v>254</v>
      </c>
      <c r="J25" s="209"/>
    </row>
    <row r="26">
      <c r="A26" s="205"/>
      <c r="B26" s="237" t="s">
        <v>62</v>
      </c>
      <c r="C26" s="240" t="s">
        <v>255</v>
      </c>
      <c r="D26" s="240" t="s">
        <v>256</v>
      </c>
      <c r="E26" s="240" t="s">
        <v>257</v>
      </c>
      <c r="F26" s="205"/>
      <c r="G26" s="237" t="s">
        <v>56</v>
      </c>
      <c r="H26" s="240" t="s">
        <v>258</v>
      </c>
      <c r="I26" s="240" t="s">
        <v>259</v>
      </c>
      <c r="J26" s="209"/>
    </row>
    <row r="27">
      <c r="A27" s="247"/>
      <c r="B27" s="253"/>
      <c r="C27" s="253"/>
      <c r="D27" s="253"/>
      <c r="E27" s="253"/>
      <c r="F27" s="254"/>
      <c r="G27" s="243"/>
      <c r="H27" s="243"/>
      <c r="I27" s="243"/>
      <c r="J27" s="259"/>
    </row>
    <row r="28">
      <c r="A28" s="205"/>
      <c r="B28" s="269" t="s">
        <v>260</v>
      </c>
      <c r="C28" s="13"/>
      <c r="D28" s="13"/>
      <c r="E28" s="10"/>
      <c r="F28" s="205"/>
      <c r="G28" s="273"/>
      <c r="H28" s="274"/>
      <c r="I28" s="275"/>
      <c r="J28" s="209"/>
    </row>
    <row r="29">
      <c r="A29" s="205"/>
      <c r="B29" s="270" t="s">
        <v>13</v>
      </c>
      <c r="C29" s="271" t="s">
        <v>187</v>
      </c>
      <c r="D29" s="271" t="s">
        <v>188</v>
      </c>
      <c r="E29" s="271" t="s">
        <v>189</v>
      </c>
      <c r="F29" s="205"/>
      <c r="G29" s="277"/>
      <c r="H29" s="278"/>
      <c r="I29" s="278"/>
      <c r="J29" s="209"/>
    </row>
    <row r="30">
      <c r="A30" s="205"/>
      <c r="B30" s="228" t="s">
        <v>44</v>
      </c>
      <c r="C30" s="230" t="s">
        <v>261</v>
      </c>
      <c r="D30" s="230" t="s">
        <v>262</v>
      </c>
      <c r="E30" s="230" t="s">
        <v>263</v>
      </c>
      <c r="F30" s="205"/>
      <c r="G30" s="277"/>
      <c r="H30" s="259"/>
      <c r="I30" s="259"/>
      <c r="J30" s="209"/>
    </row>
    <row r="31">
      <c r="A31" s="205"/>
      <c r="B31" s="233" t="s">
        <v>49</v>
      </c>
      <c r="C31" s="235" t="s">
        <v>264</v>
      </c>
      <c r="D31" s="235" t="s">
        <v>265</v>
      </c>
      <c r="E31" s="235" t="s">
        <v>266</v>
      </c>
      <c r="F31" s="205"/>
      <c r="G31" s="277"/>
      <c r="H31" s="259"/>
      <c r="I31" s="259"/>
      <c r="J31" s="209"/>
    </row>
    <row r="32">
      <c r="A32" s="205"/>
      <c r="B32" s="233" t="s">
        <v>56</v>
      </c>
      <c r="C32" s="235" t="s">
        <v>267</v>
      </c>
      <c r="D32" s="235" t="s">
        <v>268</v>
      </c>
      <c r="E32" s="235" t="s">
        <v>269</v>
      </c>
      <c r="F32" s="205"/>
      <c r="G32" s="277"/>
      <c r="H32" s="259"/>
      <c r="I32" s="259"/>
      <c r="J32" s="209"/>
    </row>
    <row r="33">
      <c r="A33" s="205"/>
      <c r="B33" s="233" t="s">
        <v>59</v>
      </c>
      <c r="C33" s="235" t="s">
        <v>270</v>
      </c>
      <c r="D33" s="235" t="s">
        <v>271</v>
      </c>
      <c r="E33" s="235" t="s">
        <v>272</v>
      </c>
      <c r="F33" s="205"/>
      <c r="G33" s="277"/>
      <c r="H33" s="259"/>
      <c r="I33" s="259"/>
      <c r="J33" s="209"/>
    </row>
    <row r="34">
      <c r="A34" s="205"/>
      <c r="B34" s="237" t="s">
        <v>62</v>
      </c>
      <c r="C34" s="240" t="s">
        <v>273</v>
      </c>
      <c r="D34" s="240" t="s">
        <v>274</v>
      </c>
      <c r="E34" s="240" t="s">
        <v>275</v>
      </c>
      <c r="F34" s="205"/>
      <c r="G34" s="277"/>
      <c r="H34" s="259"/>
      <c r="I34" s="259"/>
      <c r="J34" s="209"/>
    </row>
    <row r="35">
      <c r="A35" s="247"/>
      <c r="B35" s="253"/>
      <c r="C35" s="253"/>
      <c r="D35" s="253"/>
      <c r="E35" s="253"/>
      <c r="F35" s="254"/>
      <c r="G35" s="253"/>
      <c r="H35" s="253"/>
      <c r="I35" s="253"/>
      <c r="J35" s="259"/>
    </row>
    <row r="36">
      <c r="A36" s="205"/>
      <c r="B36" s="281" t="s">
        <v>36</v>
      </c>
      <c r="C36" s="13"/>
      <c r="D36" s="13"/>
      <c r="E36" s="10"/>
      <c r="F36" s="205"/>
      <c r="G36" s="259"/>
      <c r="H36" s="259"/>
      <c r="I36" s="259"/>
      <c r="J36" s="259"/>
    </row>
    <row r="37">
      <c r="A37" s="205"/>
      <c r="B37" s="282" t="s">
        <v>13</v>
      </c>
      <c r="C37" s="283" t="s">
        <v>187</v>
      </c>
      <c r="D37" s="283" t="s">
        <v>188</v>
      </c>
      <c r="E37" s="283" t="s">
        <v>189</v>
      </c>
      <c r="F37" s="205"/>
      <c r="G37" s="259"/>
      <c r="H37" s="259"/>
      <c r="I37" s="259"/>
      <c r="J37" s="259"/>
    </row>
    <row r="38">
      <c r="A38" s="205"/>
      <c r="B38" s="228" t="s">
        <v>44</v>
      </c>
      <c r="C38" s="230" t="s">
        <v>276</v>
      </c>
      <c r="D38" s="230" t="s">
        <v>277</v>
      </c>
      <c r="E38" s="230" t="s">
        <v>278</v>
      </c>
      <c r="F38" s="205"/>
      <c r="G38" s="259"/>
      <c r="H38" s="259"/>
      <c r="I38" s="259"/>
      <c r="J38" s="259"/>
    </row>
    <row r="39">
      <c r="A39" s="205"/>
      <c r="B39" s="233" t="s">
        <v>49</v>
      </c>
      <c r="C39" s="235" t="s">
        <v>279</v>
      </c>
      <c r="D39" s="235" t="s">
        <v>280</v>
      </c>
      <c r="E39" s="235" t="s">
        <v>281</v>
      </c>
      <c r="F39" s="205"/>
      <c r="G39" s="259"/>
      <c r="H39" s="259"/>
      <c r="I39" s="259"/>
      <c r="J39" s="259"/>
    </row>
    <row r="40">
      <c r="A40" s="205"/>
      <c r="B40" s="233" t="s">
        <v>56</v>
      </c>
      <c r="C40" s="235" t="s">
        <v>282</v>
      </c>
      <c r="D40" s="235" t="s">
        <v>283</v>
      </c>
      <c r="E40" s="235" t="s">
        <v>284</v>
      </c>
      <c r="F40" s="205"/>
      <c r="G40" s="259"/>
      <c r="H40" s="259"/>
      <c r="I40" s="259"/>
      <c r="J40" s="259"/>
    </row>
    <row r="41">
      <c r="A41" s="205"/>
      <c r="B41" s="233" t="s">
        <v>59</v>
      </c>
      <c r="C41" s="235" t="s">
        <v>285</v>
      </c>
      <c r="D41" s="235" t="s">
        <v>286</v>
      </c>
      <c r="E41" s="235" t="s">
        <v>287</v>
      </c>
      <c r="F41" s="205"/>
      <c r="G41" s="259"/>
      <c r="H41" s="259"/>
      <c r="I41" s="259"/>
      <c r="J41" s="259"/>
    </row>
    <row r="42">
      <c r="A42" s="205"/>
      <c r="B42" s="237" t="s">
        <v>62</v>
      </c>
      <c r="C42" s="240" t="s">
        <v>288</v>
      </c>
      <c r="D42" s="240" t="s">
        <v>289</v>
      </c>
      <c r="E42" s="240" t="s">
        <v>290</v>
      </c>
      <c r="F42" s="205"/>
      <c r="G42" s="259"/>
      <c r="H42" s="259"/>
      <c r="I42" s="259"/>
      <c r="J42" s="259"/>
    </row>
    <row r="43">
      <c r="A43" s="247"/>
      <c r="B43" s="253"/>
      <c r="C43" s="253"/>
      <c r="D43" s="253"/>
      <c r="E43" s="253"/>
      <c r="F43" s="254"/>
      <c r="G43" s="259"/>
      <c r="H43" s="259"/>
      <c r="I43" s="259"/>
      <c r="J43" s="259"/>
    </row>
    <row r="44">
      <c r="A44" s="205"/>
      <c r="B44" s="286" t="s">
        <v>185</v>
      </c>
      <c r="C44" s="13"/>
      <c r="D44" s="13"/>
      <c r="E44" s="10"/>
      <c r="F44" s="205"/>
      <c r="G44" s="259"/>
      <c r="H44" s="259"/>
      <c r="I44" s="259"/>
      <c r="J44" s="259"/>
    </row>
    <row r="45">
      <c r="A45" s="205"/>
      <c r="B45" s="288" t="s">
        <v>13</v>
      </c>
      <c r="C45" s="290" t="s">
        <v>187</v>
      </c>
      <c r="D45" s="290" t="s">
        <v>188</v>
      </c>
      <c r="E45" s="290" t="s">
        <v>189</v>
      </c>
      <c r="F45" s="205"/>
      <c r="G45" s="259"/>
      <c r="H45" s="259"/>
      <c r="I45" s="259"/>
      <c r="J45" s="259"/>
    </row>
    <row r="46">
      <c r="A46" s="205"/>
      <c r="B46" s="228" t="s">
        <v>44</v>
      </c>
      <c r="C46" s="230" t="s">
        <v>291</v>
      </c>
      <c r="D46" s="230" t="s">
        <v>292</v>
      </c>
      <c r="E46" s="230" t="s">
        <v>293</v>
      </c>
      <c r="F46" s="205"/>
      <c r="G46" s="259"/>
      <c r="H46" s="259"/>
      <c r="I46" s="259"/>
      <c r="J46" s="259"/>
    </row>
    <row r="47">
      <c r="A47" s="205"/>
      <c r="B47" s="233" t="s">
        <v>49</v>
      </c>
      <c r="C47" s="235" t="s">
        <v>294</v>
      </c>
      <c r="D47" s="235" t="s">
        <v>295</v>
      </c>
      <c r="E47" s="235" t="s">
        <v>296</v>
      </c>
      <c r="F47" s="205"/>
      <c r="G47" s="259"/>
      <c r="H47" s="259"/>
      <c r="I47" s="259"/>
      <c r="J47" s="259"/>
    </row>
    <row r="48">
      <c r="A48" s="205"/>
      <c r="B48" s="233" t="s">
        <v>56</v>
      </c>
      <c r="C48" s="235" t="s">
        <v>297</v>
      </c>
      <c r="D48" s="235" t="s">
        <v>298</v>
      </c>
      <c r="E48" s="235" t="s">
        <v>299</v>
      </c>
      <c r="F48" s="205"/>
      <c r="G48" s="259"/>
      <c r="H48" s="259"/>
      <c r="I48" s="259"/>
      <c r="J48" s="259"/>
    </row>
    <row r="49">
      <c r="A49" s="205"/>
      <c r="B49" s="233" t="s">
        <v>59</v>
      </c>
      <c r="C49" s="235" t="s">
        <v>300</v>
      </c>
      <c r="D49" s="235" t="s">
        <v>301</v>
      </c>
      <c r="E49" s="235" t="s">
        <v>302</v>
      </c>
      <c r="F49" s="205"/>
      <c r="G49" s="259"/>
      <c r="H49" s="259"/>
      <c r="I49" s="259"/>
      <c r="J49" s="259"/>
    </row>
    <row r="50">
      <c r="A50" s="205"/>
      <c r="B50" s="237" t="s">
        <v>62</v>
      </c>
      <c r="C50" s="240" t="s">
        <v>303</v>
      </c>
      <c r="D50" s="240" t="s">
        <v>304</v>
      </c>
      <c r="E50" s="240" t="s">
        <v>305</v>
      </c>
      <c r="F50" s="205"/>
      <c r="G50" s="259"/>
      <c r="H50" s="259"/>
      <c r="I50" s="259"/>
      <c r="J50" s="259"/>
    </row>
    <row r="51">
      <c r="A51" s="247"/>
      <c r="B51" s="253"/>
      <c r="C51" s="253"/>
      <c r="D51" s="253"/>
      <c r="E51" s="253"/>
      <c r="F51" s="254"/>
      <c r="G51" s="259"/>
      <c r="H51" s="259"/>
      <c r="I51" s="259"/>
      <c r="J51" s="259"/>
    </row>
    <row r="52">
      <c r="A52" s="205"/>
      <c r="B52" s="292" t="s">
        <v>306</v>
      </c>
      <c r="C52" s="13"/>
      <c r="D52" s="13"/>
      <c r="E52" s="10"/>
      <c r="F52" s="205"/>
      <c r="G52" s="259"/>
      <c r="H52" s="259"/>
      <c r="I52" s="259"/>
      <c r="J52" s="259"/>
    </row>
    <row r="53">
      <c r="A53" s="205"/>
      <c r="B53" s="294" t="s">
        <v>13</v>
      </c>
      <c r="C53" s="295" t="s">
        <v>187</v>
      </c>
      <c r="D53" s="295" t="s">
        <v>188</v>
      </c>
      <c r="E53" s="295" t="s">
        <v>189</v>
      </c>
      <c r="F53" s="205"/>
      <c r="G53" s="259"/>
      <c r="H53" s="259"/>
      <c r="I53" s="259"/>
      <c r="J53" s="259"/>
    </row>
    <row r="54">
      <c r="A54" s="205"/>
      <c r="B54" s="228" t="s">
        <v>44</v>
      </c>
      <c r="C54" s="230" t="s">
        <v>307</v>
      </c>
      <c r="D54" s="230" t="s">
        <v>308</v>
      </c>
      <c r="E54" s="230" t="s">
        <v>309</v>
      </c>
      <c r="F54" s="205"/>
      <c r="G54" s="259"/>
      <c r="H54" s="259"/>
      <c r="I54" s="259"/>
      <c r="J54" s="259"/>
    </row>
    <row r="55">
      <c r="A55" s="205"/>
      <c r="B55" s="233" t="s">
        <v>49</v>
      </c>
      <c r="C55" s="235" t="s">
        <v>310</v>
      </c>
      <c r="D55" s="235" t="s">
        <v>311</v>
      </c>
      <c r="E55" s="235" t="s">
        <v>312</v>
      </c>
      <c r="F55" s="205"/>
      <c r="G55" s="259"/>
      <c r="H55" s="259"/>
      <c r="I55" s="259"/>
      <c r="J55" s="259"/>
    </row>
    <row r="56">
      <c r="A56" s="205"/>
      <c r="B56" s="233" t="s">
        <v>56</v>
      </c>
      <c r="C56" s="235" t="s">
        <v>313</v>
      </c>
      <c r="D56" s="235" t="s">
        <v>314</v>
      </c>
      <c r="E56" s="235" t="s">
        <v>315</v>
      </c>
      <c r="F56" s="205"/>
      <c r="G56" s="259"/>
      <c r="H56" s="259"/>
      <c r="I56" s="259"/>
      <c r="J56" s="259"/>
    </row>
    <row r="57">
      <c r="A57" s="205"/>
      <c r="B57" s="233" t="s">
        <v>59</v>
      </c>
      <c r="C57" s="235" t="s">
        <v>316</v>
      </c>
      <c r="D57" s="235" t="s">
        <v>317</v>
      </c>
      <c r="E57" s="235" t="s">
        <v>318</v>
      </c>
      <c r="F57" s="205"/>
      <c r="G57" s="259"/>
      <c r="H57" s="259"/>
      <c r="I57" s="259"/>
      <c r="J57" s="259"/>
    </row>
    <row r="58">
      <c r="A58" s="205"/>
      <c r="B58" s="237" t="s">
        <v>62</v>
      </c>
      <c r="C58" s="240" t="s">
        <v>319</v>
      </c>
      <c r="D58" s="240" t="s">
        <v>320</v>
      </c>
      <c r="E58" s="240" t="s">
        <v>321</v>
      </c>
      <c r="F58" s="205"/>
      <c r="G58" s="259"/>
      <c r="H58" s="259"/>
      <c r="I58" s="259"/>
      <c r="J58" s="259"/>
    </row>
    <row r="59">
      <c r="A59" s="247"/>
      <c r="B59" s="253"/>
      <c r="C59" s="253"/>
      <c r="D59" s="253"/>
      <c r="E59" s="253"/>
      <c r="F59" s="254"/>
      <c r="G59" s="259"/>
      <c r="H59" s="259"/>
      <c r="I59" s="259"/>
      <c r="J59" s="259"/>
    </row>
    <row r="60">
      <c r="A60" s="205"/>
      <c r="B60" s="298" t="s">
        <v>322</v>
      </c>
      <c r="C60" s="13"/>
      <c r="D60" s="13"/>
      <c r="E60" s="10"/>
      <c r="F60" s="205"/>
      <c r="G60" s="259"/>
      <c r="H60" s="259"/>
      <c r="I60" s="259"/>
      <c r="J60" s="259"/>
    </row>
    <row r="61">
      <c r="A61" s="205"/>
      <c r="B61" s="299" t="s">
        <v>13</v>
      </c>
      <c r="C61" s="301" t="s">
        <v>187</v>
      </c>
      <c r="D61" s="301" t="s">
        <v>188</v>
      </c>
      <c r="E61" s="301" t="s">
        <v>189</v>
      </c>
      <c r="F61" s="205"/>
      <c r="G61" s="259"/>
      <c r="H61" s="259"/>
      <c r="I61" s="259"/>
      <c r="J61" s="259"/>
    </row>
    <row r="62">
      <c r="A62" s="205"/>
      <c r="B62" s="228" t="s">
        <v>44</v>
      </c>
      <c r="C62" s="230" t="s">
        <v>323</v>
      </c>
      <c r="D62" s="230" t="s">
        <v>324</v>
      </c>
      <c r="E62" s="230" t="s">
        <v>325</v>
      </c>
      <c r="F62" s="205"/>
      <c r="G62" s="259"/>
      <c r="H62" s="259"/>
      <c r="I62" s="259"/>
      <c r="J62" s="259"/>
    </row>
    <row r="63">
      <c r="A63" s="205"/>
      <c r="B63" s="233" t="s">
        <v>49</v>
      </c>
      <c r="C63" s="235" t="s">
        <v>326</v>
      </c>
      <c r="D63" s="235" t="s">
        <v>327</v>
      </c>
      <c r="E63" s="235" t="s">
        <v>328</v>
      </c>
      <c r="F63" s="205"/>
      <c r="G63" s="259"/>
      <c r="H63" s="259"/>
      <c r="I63" s="259"/>
      <c r="J63" s="259"/>
    </row>
    <row r="64">
      <c r="A64" s="205"/>
      <c r="B64" s="233" t="s">
        <v>56</v>
      </c>
      <c r="C64" s="235" t="s">
        <v>329</v>
      </c>
      <c r="D64" s="235" t="s">
        <v>330</v>
      </c>
      <c r="E64" s="235" t="s">
        <v>331</v>
      </c>
      <c r="F64" s="205"/>
      <c r="G64" s="259"/>
      <c r="H64" s="259"/>
      <c r="I64" s="259"/>
      <c r="J64" s="259"/>
    </row>
    <row r="65">
      <c r="A65" s="205"/>
      <c r="B65" s="233" t="s">
        <v>59</v>
      </c>
      <c r="C65" s="235" t="s">
        <v>332</v>
      </c>
      <c r="D65" s="235" t="s">
        <v>333</v>
      </c>
      <c r="E65" s="235" t="s">
        <v>334</v>
      </c>
      <c r="F65" s="205"/>
      <c r="G65" s="259"/>
      <c r="H65" s="259"/>
      <c r="I65" s="259"/>
      <c r="J65" s="259"/>
    </row>
    <row r="66">
      <c r="A66" s="205"/>
      <c r="B66" s="237" t="s">
        <v>62</v>
      </c>
      <c r="C66" s="240" t="s">
        <v>335</v>
      </c>
      <c r="D66" s="240" t="s">
        <v>336</v>
      </c>
      <c r="E66" s="240" t="s">
        <v>337</v>
      </c>
      <c r="F66" s="205"/>
      <c r="G66" s="259"/>
      <c r="H66" s="259"/>
      <c r="I66" s="259"/>
      <c r="J66" s="259"/>
    </row>
    <row r="67">
      <c r="A67" s="304"/>
      <c r="B67" s="253"/>
      <c r="C67" s="253"/>
      <c r="D67" s="253"/>
      <c r="E67" s="253"/>
      <c r="F67" s="306"/>
      <c r="G67" s="259"/>
      <c r="H67" s="259"/>
      <c r="I67" s="259"/>
      <c r="J67" s="259"/>
    </row>
  </sheetData>
  <mergeCells count="15">
    <mergeCell ref="G16:I16"/>
    <mergeCell ref="G22:I22"/>
    <mergeCell ref="B28:E28"/>
    <mergeCell ref="G28:I28"/>
    <mergeCell ref="B36:E36"/>
    <mergeCell ref="B44:E44"/>
    <mergeCell ref="B52:E52"/>
    <mergeCell ref="B60:E60"/>
    <mergeCell ref="B2:E2"/>
    <mergeCell ref="G2:I2"/>
    <mergeCell ref="B4:E4"/>
    <mergeCell ref="G4:I4"/>
    <mergeCell ref="G10:I10"/>
    <mergeCell ref="B12:E12"/>
    <mergeCell ref="B20:E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5.13"/>
    <col customWidth="1" min="3" max="3" width="12.38"/>
    <col customWidth="1" min="4" max="4" width="2.88"/>
    <col customWidth="1" min="5" max="5" width="12.38"/>
    <col customWidth="1" min="6" max="6" width="12.0"/>
    <col customWidth="1" min="7" max="7" width="2.88"/>
  </cols>
  <sheetData>
    <row r="1">
      <c r="A1" s="246"/>
      <c r="B1" s="246"/>
      <c r="C1" s="246"/>
      <c r="D1" s="246"/>
      <c r="E1" s="246"/>
      <c r="F1" s="246"/>
      <c r="G1" s="246"/>
    </row>
    <row r="2">
      <c r="A2" s="246"/>
      <c r="B2" s="248" t="s">
        <v>45</v>
      </c>
      <c r="C2" s="248" t="s">
        <v>29</v>
      </c>
      <c r="D2" s="246"/>
      <c r="E2" s="249" t="s">
        <v>45</v>
      </c>
      <c r="F2" s="249" t="s">
        <v>25</v>
      </c>
      <c r="G2" s="246"/>
    </row>
    <row r="3">
      <c r="A3" s="246"/>
      <c r="B3" s="250" t="s">
        <v>15</v>
      </c>
      <c r="C3" s="252">
        <f>'HS RR'!S3</f>
        <v>421.76</v>
      </c>
      <c r="D3" s="246"/>
      <c r="E3" s="19" t="s">
        <v>12</v>
      </c>
      <c r="F3" s="249">
        <f>'MS RR'!O3</f>
        <v>450.24</v>
      </c>
      <c r="G3" s="246"/>
    </row>
    <row r="4">
      <c r="A4" s="246"/>
      <c r="B4" s="255" t="s">
        <v>19</v>
      </c>
      <c r="C4" s="258">
        <f>'HS RR'!S4</f>
        <v>261.76</v>
      </c>
      <c r="D4" s="246"/>
      <c r="E4" s="19" t="s">
        <v>22</v>
      </c>
      <c r="F4" s="249">
        <f>'MS RR'!O4</f>
        <v>704.24</v>
      </c>
      <c r="G4" s="246"/>
    </row>
    <row r="5">
      <c r="A5" s="246"/>
      <c r="B5" s="255" t="s">
        <v>31</v>
      </c>
      <c r="C5" s="258">
        <f>'HS RR'!S5</f>
        <v>1023.76</v>
      </c>
      <c r="D5" s="246"/>
      <c r="E5" s="19" t="s">
        <v>134</v>
      </c>
      <c r="F5" s="249">
        <f>'MS RR'!O5</f>
        <v>858.24</v>
      </c>
      <c r="G5" s="246"/>
    </row>
    <row r="6">
      <c r="A6" s="246"/>
      <c r="B6" s="255" t="s">
        <v>33</v>
      </c>
      <c r="C6" s="258">
        <f>'HS RR'!S6</f>
        <v>1637.76</v>
      </c>
      <c r="D6" s="246"/>
      <c r="E6" s="19" t="s">
        <v>24</v>
      </c>
      <c r="F6" s="249">
        <f>'MS RR'!O6</f>
        <v>18.24</v>
      </c>
      <c r="G6" s="246"/>
    </row>
    <row r="7">
      <c r="A7" s="246"/>
      <c r="B7" s="255" t="s">
        <v>34</v>
      </c>
      <c r="C7" s="258">
        <f>'HS RR'!S7</f>
        <v>117.76</v>
      </c>
      <c r="D7" s="246"/>
      <c r="E7" s="145" t="s">
        <v>155</v>
      </c>
      <c r="F7" s="265">
        <f>'MS RR'!O9</f>
        <v>356.51</v>
      </c>
      <c r="G7" s="246"/>
    </row>
    <row r="8">
      <c r="A8" s="246"/>
      <c r="B8" s="266" t="s">
        <v>35</v>
      </c>
      <c r="C8" s="268">
        <f>'HS RR'!S8</f>
        <v>1299.76</v>
      </c>
      <c r="D8" s="246"/>
      <c r="E8" s="145" t="s">
        <v>149</v>
      </c>
      <c r="F8" s="265">
        <f>'MS RR'!O10</f>
        <v>988.51</v>
      </c>
      <c r="G8" s="246"/>
    </row>
    <row r="9">
      <c r="A9" s="246"/>
      <c r="B9" s="272" t="s">
        <v>131</v>
      </c>
      <c r="C9" s="276">
        <f>'HS RR'!S11</f>
        <v>657.38</v>
      </c>
      <c r="D9" s="246"/>
      <c r="E9" s="145" t="s">
        <v>157</v>
      </c>
      <c r="F9" s="265">
        <f>'MS RR'!O11</f>
        <v>78.51</v>
      </c>
      <c r="G9" s="246"/>
    </row>
    <row r="10">
      <c r="A10" s="246"/>
      <c r="B10" s="279" t="s">
        <v>114</v>
      </c>
      <c r="C10" s="280">
        <f>'HS RR'!S12</f>
        <v>1189.38</v>
      </c>
      <c r="D10" s="246"/>
      <c r="E10" s="145" t="s">
        <v>152</v>
      </c>
      <c r="F10" s="265">
        <f>'MS RR'!O12</f>
        <v>570.51</v>
      </c>
      <c r="G10" s="246"/>
    </row>
    <row r="11">
      <c r="A11" s="246"/>
      <c r="B11" s="279" t="s">
        <v>127</v>
      </c>
      <c r="C11" s="280">
        <f>'HS RR'!S13</f>
        <v>981.38</v>
      </c>
      <c r="D11" s="246"/>
      <c r="E11" s="29" t="s">
        <v>32</v>
      </c>
      <c r="F11" s="246">
        <f>'MS RR'!AD3</f>
        <v>212.2</v>
      </c>
      <c r="G11" s="246"/>
    </row>
    <row r="12">
      <c r="A12" s="246"/>
      <c r="B12" s="279" t="s">
        <v>107</v>
      </c>
      <c r="C12" s="280">
        <f>'HS RR'!S14</f>
        <v>1449.38</v>
      </c>
      <c r="D12" s="246"/>
      <c r="E12" s="29" t="s">
        <v>40</v>
      </c>
      <c r="F12" s="246">
        <f>'MS RR'!AD4</f>
        <v>698.2</v>
      </c>
      <c r="G12" s="246"/>
    </row>
    <row r="13">
      <c r="A13" s="246"/>
      <c r="B13" s="279" t="s">
        <v>168</v>
      </c>
      <c r="C13" s="280">
        <f>'HS RR'!S15</f>
        <v>43.38</v>
      </c>
      <c r="D13" s="246"/>
      <c r="E13" s="29" t="s">
        <v>41</v>
      </c>
      <c r="F13" s="246">
        <f>'MS RR'!AD5</f>
        <v>1034.2</v>
      </c>
      <c r="G13" s="246"/>
    </row>
    <row r="14">
      <c r="A14" s="246"/>
      <c r="B14" s="284" t="s">
        <v>141</v>
      </c>
      <c r="C14" s="285">
        <f>'HS RR'!S16</f>
        <v>593.38</v>
      </c>
      <c r="D14" s="246"/>
      <c r="E14" s="29" t="s">
        <v>42</v>
      </c>
      <c r="F14" s="246">
        <f>'MS RR'!AD6</f>
        <v>78.2</v>
      </c>
      <c r="G14" s="246"/>
    </row>
    <row r="15">
      <c r="A15" s="246"/>
      <c r="B15" s="287" t="s">
        <v>130</v>
      </c>
      <c r="C15" s="289">
        <f>'HS RR'!S19</f>
        <v>765.46</v>
      </c>
      <c r="D15" s="246"/>
      <c r="E15" s="152" t="s">
        <v>148</v>
      </c>
      <c r="F15" s="246">
        <f>'MS RR'!AD9</f>
        <v>513.05</v>
      </c>
      <c r="G15" s="246"/>
    </row>
    <row r="16">
      <c r="A16" s="246"/>
      <c r="B16" s="291" t="s">
        <v>105</v>
      </c>
      <c r="C16" s="280">
        <f>'HS RR'!S20</f>
        <v>1533.46</v>
      </c>
      <c r="D16" s="246"/>
      <c r="E16" s="152" t="s">
        <v>135</v>
      </c>
      <c r="F16" s="246">
        <f>'MS RR'!AD10</f>
        <v>1055.05</v>
      </c>
      <c r="G16" s="246"/>
    </row>
    <row r="17">
      <c r="A17" s="246"/>
      <c r="B17" s="291" t="s">
        <v>153</v>
      </c>
      <c r="C17" s="280">
        <f>'HS RR'!S21</f>
        <v>493.46</v>
      </c>
      <c r="D17" s="246"/>
      <c r="E17" s="152" t="s">
        <v>162</v>
      </c>
      <c r="F17" s="246">
        <f>'MS RR'!AD11</f>
        <v>97.05</v>
      </c>
      <c r="G17" s="246"/>
    </row>
    <row r="18">
      <c r="A18" s="246"/>
      <c r="B18" s="291" t="s">
        <v>147</v>
      </c>
      <c r="C18" s="280">
        <f>'HS RR'!S22</f>
        <v>513.46</v>
      </c>
      <c r="D18" s="246"/>
      <c r="E18" s="152" t="s">
        <v>163</v>
      </c>
      <c r="F18" s="246">
        <f>'MS RR'!AD12</f>
        <v>337.05</v>
      </c>
      <c r="G18" s="246"/>
    </row>
    <row r="19">
      <c r="A19" s="246"/>
      <c r="B19" s="291" t="s">
        <v>129</v>
      </c>
      <c r="C19" s="280">
        <f>'HS RR'!S23</f>
        <v>847.46</v>
      </c>
      <c r="D19" s="246"/>
      <c r="E19" s="246"/>
      <c r="F19" s="246"/>
      <c r="G19" s="246"/>
    </row>
    <row r="20">
      <c r="A20" s="246"/>
      <c r="B20" s="293" t="s">
        <v>139</v>
      </c>
      <c r="C20" s="296">
        <f>'HS RR'!S24</f>
        <v>629.46</v>
      </c>
      <c r="D20" s="246"/>
      <c r="E20" s="246"/>
      <c r="F20" s="246"/>
      <c r="G20" s="246"/>
    </row>
    <row r="21">
      <c r="A21" s="246"/>
      <c r="B21" s="297" t="s">
        <v>150</v>
      </c>
      <c r="C21" s="276">
        <f>'HS RR'!S27</f>
        <v>504.32</v>
      </c>
      <c r="D21" s="246"/>
      <c r="E21" s="246"/>
      <c r="F21" s="246"/>
      <c r="G21" s="246"/>
    </row>
    <row r="22">
      <c r="A22" s="246"/>
      <c r="B22" s="300" t="s">
        <v>117</v>
      </c>
      <c r="C22" s="280">
        <f>'HS RR'!S28</f>
        <v>1126.32</v>
      </c>
      <c r="D22" s="246"/>
      <c r="E22" s="246"/>
      <c r="F22" s="246"/>
      <c r="G22" s="246"/>
    </row>
    <row r="23">
      <c r="A23" s="246"/>
      <c r="B23" s="300" t="s">
        <v>145</v>
      </c>
      <c r="C23" s="280">
        <f>'HS RR'!S29</f>
        <v>536.32</v>
      </c>
      <c r="D23" s="246"/>
      <c r="E23" s="246"/>
      <c r="F23" s="246"/>
      <c r="G23" s="246"/>
    </row>
    <row r="24">
      <c r="A24" s="246"/>
      <c r="B24" s="300" t="s">
        <v>169</v>
      </c>
      <c r="C24" s="280">
        <f>'HS RR'!S30</f>
        <v>40.32</v>
      </c>
      <c r="D24" s="246"/>
      <c r="E24" s="246"/>
      <c r="F24" s="246"/>
      <c r="G24" s="246"/>
    </row>
    <row r="25">
      <c r="A25" s="246"/>
      <c r="B25" s="300" t="s">
        <v>112</v>
      </c>
      <c r="C25" s="280">
        <f>'HS RR'!S31</f>
        <v>1224.32</v>
      </c>
      <c r="D25" s="246"/>
      <c r="E25" s="246"/>
      <c r="F25" s="246"/>
      <c r="G25" s="246"/>
    </row>
    <row r="26">
      <c r="A26" s="246"/>
      <c r="B26" s="302" t="s">
        <v>109</v>
      </c>
      <c r="C26" s="285">
        <f>'HS RR'!S32</f>
        <v>1360.32</v>
      </c>
      <c r="D26" s="246"/>
      <c r="E26" s="246"/>
      <c r="F26" s="246"/>
      <c r="G26" s="246"/>
    </row>
    <row r="27">
      <c r="A27" s="246"/>
      <c r="B27" s="303" t="s">
        <v>43</v>
      </c>
      <c r="C27" s="289">
        <f>'HS RR'!AL3</f>
        <v>251.26</v>
      </c>
      <c r="D27" s="246"/>
      <c r="E27" s="246"/>
      <c r="F27" s="246"/>
      <c r="G27" s="246"/>
    </row>
    <row r="28">
      <c r="A28" s="246"/>
      <c r="B28" s="305" t="s">
        <v>48</v>
      </c>
      <c r="C28" s="280">
        <f>'HS RR'!AL4</f>
        <v>1435.26</v>
      </c>
      <c r="D28" s="246"/>
      <c r="E28" s="246"/>
      <c r="F28" s="246"/>
      <c r="G28" s="246"/>
    </row>
    <row r="29">
      <c r="A29" s="246"/>
      <c r="B29" s="305" t="s">
        <v>50</v>
      </c>
      <c r="C29" s="280">
        <f>'HS RR'!AL5</f>
        <v>717.26</v>
      </c>
      <c r="D29" s="246"/>
      <c r="E29" s="246"/>
      <c r="F29" s="246"/>
      <c r="G29" s="246"/>
    </row>
    <row r="30">
      <c r="A30" s="246"/>
      <c r="B30" s="305" t="s">
        <v>53</v>
      </c>
      <c r="C30" s="280">
        <f>'HS RR'!AL6</f>
        <v>1163.26</v>
      </c>
      <c r="D30" s="246"/>
      <c r="E30" s="246"/>
      <c r="F30" s="246"/>
      <c r="G30" s="246"/>
    </row>
    <row r="31">
      <c r="A31" s="246"/>
      <c r="B31" s="305" t="s">
        <v>54</v>
      </c>
      <c r="C31" s="280">
        <f>'HS RR'!AL7</f>
        <v>1011.26</v>
      </c>
      <c r="D31" s="246"/>
      <c r="E31" s="246"/>
      <c r="F31" s="246"/>
      <c r="G31" s="246"/>
    </row>
    <row r="32">
      <c r="A32" s="246"/>
      <c r="B32" s="307" t="s">
        <v>55</v>
      </c>
      <c r="C32" s="296">
        <f>'HS RR'!AL8</f>
        <v>85.26</v>
      </c>
      <c r="D32" s="246"/>
      <c r="E32" s="246"/>
      <c r="F32" s="246"/>
      <c r="G32" s="246"/>
    </row>
    <row r="33">
      <c r="A33" s="246"/>
      <c r="B33" s="308" t="s">
        <v>111</v>
      </c>
      <c r="C33" s="276">
        <f>'HS RR'!AL11</f>
        <v>1215.33</v>
      </c>
      <c r="D33" s="246"/>
      <c r="E33" s="246"/>
      <c r="F33" s="246"/>
      <c r="G33" s="246"/>
    </row>
    <row r="34">
      <c r="A34" s="246"/>
      <c r="B34" s="309" t="s">
        <v>156</v>
      </c>
      <c r="C34" s="280">
        <f>'HS RR'!AL12</f>
        <v>473.33</v>
      </c>
      <c r="D34" s="246"/>
      <c r="E34" s="246"/>
      <c r="F34" s="246"/>
      <c r="G34" s="246"/>
    </row>
    <row r="35">
      <c r="A35" s="246"/>
      <c r="B35" s="309" t="s">
        <v>113</v>
      </c>
      <c r="C35" s="280">
        <f>'HS RR'!AL13</f>
        <v>1219.33</v>
      </c>
      <c r="D35" s="246"/>
      <c r="E35" s="246"/>
      <c r="F35" s="246"/>
      <c r="G35" s="246"/>
    </row>
    <row r="36">
      <c r="A36" s="246"/>
      <c r="B36" s="309" t="s">
        <v>144</v>
      </c>
      <c r="C36" s="280">
        <f>'HS RR'!AL14</f>
        <v>537.33</v>
      </c>
      <c r="D36" s="246"/>
      <c r="E36" s="246"/>
      <c r="F36" s="246"/>
      <c r="G36" s="246"/>
    </row>
    <row r="37">
      <c r="A37" s="246"/>
      <c r="B37" s="309" t="s">
        <v>159</v>
      </c>
      <c r="C37" s="280">
        <f>'HS RR'!AL15</f>
        <v>293.33</v>
      </c>
      <c r="D37" s="246"/>
      <c r="E37" s="246"/>
      <c r="F37" s="246"/>
      <c r="G37" s="246"/>
    </row>
    <row r="38">
      <c r="A38" s="246"/>
      <c r="B38" s="310" t="s">
        <v>125</v>
      </c>
      <c r="C38" s="285">
        <f>'HS RR'!AL16</f>
        <v>1007.33</v>
      </c>
      <c r="D38" s="246"/>
      <c r="E38" s="246"/>
      <c r="F38" s="246"/>
      <c r="G38" s="246"/>
    </row>
    <row r="39">
      <c r="A39" s="246"/>
      <c r="B39" s="311" t="s">
        <v>91</v>
      </c>
      <c r="C39" s="289">
        <f>'HS RR'!AL19</f>
        <v>1614.52</v>
      </c>
      <c r="D39" s="246"/>
      <c r="E39" s="246"/>
      <c r="F39" s="246"/>
      <c r="G39" s="246"/>
    </row>
    <row r="40">
      <c r="A40" s="246"/>
      <c r="B40" s="312" t="s">
        <v>165</v>
      </c>
      <c r="C40" s="280">
        <f>'HS RR'!AL20</f>
        <v>82.52</v>
      </c>
      <c r="D40" s="246"/>
      <c r="E40" s="246"/>
      <c r="F40" s="246"/>
      <c r="G40" s="246"/>
    </row>
    <row r="41">
      <c r="A41" s="246"/>
      <c r="B41" s="312" t="s">
        <v>126</v>
      </c>
      <c r="C41" s="280">
        <f>'HS RR'!AL21</f>
        <v>1006.52</v>
      </c>
      <c r="D41" s="246"/>
      <c r="E41" s="246"/>
      <c r="F41" s="246"/>
      <c r="G41" s="246"/>
    </row>
    <row r="42">
      <c r="A42" s="246"/>
      <c r="B42" s="312" t="s">
        <v>158</v>
      </c>
      <c r="C42" s="280">
        <f>'HS RR'!AL22</f>
        <v>370.52</v>
      </c>
      <c r="D42" s="246"/>
      <c r="E42" s="246"/>
      <c r="F42" s="246"/>
      <c r="G42" s="246"/>
    </row>
    <row r="43">
      <c r="A43" s="246"/>
      <c r="B43" s="312" t="s">
        <v>92</v>
      </c>
      <c r="C43" s="280">
        <f>'HS RR'!AL23</f>
        <v>1102.52</v>
      </c>
      <c r="D43" s="246"/>
      <c r="E43" s="246"/>
      <c r="F43" s="246"/>
      <c r="G43" s="246"/>
    </row>
    <row r="44">
      <c r="A44" s="246"/>
      <c r="B44" s="314" t="s">
        <v>143</v>
      </c>
      <c r="C44" s="296">
        <f>'HS RR'!AL24</f>
        <v>564.52</v>
      </c>
      <c r="D44" s="246"/>
      <c r="E44" s="246"/>
      <c r="F44" s="246"/>
      <c r="G44" s="246"/>
    </row>
    <row r="45">
      <c r="A45" s="246"/>
      <c r="B45" s="315" t="s">
        <v>146</v>
      </c>
      <c r="C45" s="276">
        <f>'HS RR'!AL27</f>
        <v>532.23</v>
      </c>
      <c r="D45" s="246"/>
      <c r="E45" s="246"/>
      <c r="F45" s="246"/>
      <c r="G45" s="246"/>
    </row>
    <row r="46">
      <c r="A46" s="246"/>
      <c r="B46" s="316" t="s">
        <v>106</v>
      </c>
      <c r="C46" s="280">
        <f>'HS RR'!AL28</f>
        <v>1350.23</v>
      </c>
      <c r="D46" s="246"/>
      <c r="E46" s="246"/>
      <c r="F46" s="246"/>
      <c r="G46" s="246"/>
    </row>
    <row r="47">
      <c r="A47" s="246"/>
      <c r="B47" s="316" t="s">
        <v>104</v>
      </c>
      <c r="C47" s="280">
        <f>'HS RR'!AL29</f>
        <v>1554.23</v>
      </c>
      <c r="D47" s="246"/>
      <c r="E47" s="246"/>
      <c r="F47" s="246"/>
      <c r="G47" s="246"/>
    </row>
    <row r="48">
      <c r="A48" s="246"/>
      <c r="B48" s="316" t="s">
        <v>136</v>
      </c>
      <c r="C48" s="280">
        <f>'HS RR'!AL30</f>
        <v>650.23</v>
      </c>
      <c r="D48" s="246"/>
      <c r="E48" s="246"/>
      <c r="F48" s="246"/>
      <c r="G48" s="246"/>
    </row>
    <row r="49">
      <c r="A49" s="246"/>
      <c r="B49" s="316" t="s">
        <v>138</v>
      </c>
      <c r="C49" s="280">
        <f>'HS RR'!AL31</f>
        <v>644.23</v>
      </c>
      <c r="D49" s="246"/>
      <c r="E49" s="246"/>
      <c r="F49" s="246"/>
      <c r="G49" s="246"/>
    </row>
    <row r="50">
      <c r="A50" s="246"/>
      <c r="B50" s="317" t="s">
        <v>167</v>
      </c>
      <c r="C50" s="285">
        <f>'HS RR'!AL32</f>
        <v>66.23</v>
      </c>
      <c r="D50" s="246"/>
      <c r="E50" s="246"/>
      <c r="F50" s="246"/>
      <c r="G50" s="246"/>
    </row>
    <row r="51">
      <c r="A51" s="246"/>
      <c r="B51" s="246"/>
      <c r="C51" s="246"/>
      <c r="D51" s="246"/>
      <c r="E51" s="246"/>
      <c r="F51" s="246"/>
      <c r="G51" s="246"/>
    </row>
  </sheetData>
  <conditionalFormatting sqref="E2:F18">
    <cfRule type="cellIs" dxfId="0" priority="1" operator="equal">
      <formula>"W"</formula>
    </cfRule>
  </conditionalFormatting>
  <conditionalFormatting sqref="E2:F18">
    <cfRule type="cellIs" dxfId="1" priority="2" operator="equal">
      <formula>"L"</formula>
    </cfRule>
  </conditionalFormatting>
  <conditionalFormatting sqref="E2:F18">
    <cfRule type="cellIs" dxfId="2" priority="3" operator="equal">
      <formula>"T"</formula>
    </cfRule>
  </conditionalFormatting>
  <conditionalFormatting sqref="A1:D51 E1:F1 G1:G51 E19:F51">
    <cfRule type="cellIs" dxfId="0" priority="4" operator="equal">
      <formula>"W"</formula>
    </cfRule>
  </conditionalFormatting>
  <conditionalFormatting sqref="A1:D51 E1:F1 G1:G51 E19:F51">
    <cfRule type="cellIs" dxfId="1" priority="5" operator="equal">
      <formula>"L"</formula>
    </cfRule>
  </conditionalFormatting>
  <conditionalFormatting sqref="A1:D51 E1:F1 G1:G51 E19:F51">
    <cfRule type="cellIs" dxfId="2" priority="6" operator="equal">
      <formula>"T"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3" t="s">
        <v>338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>
      <c r="A2" s="313"/>
      <c r="B2" s="313" t="s">
        <v>339</v>
      </c>
      <c r="C2" s="313" t="s">
        <v>340</v>
      </c>
      <c r="D2" s="313" t="s">
        <v>341</v>
      </c>
      <c r="E2" s="313" t="s">
        <v>342</v>
      </c>
      <c r="F2" s="313" t="s">
        <v>343</v>
      </c>
      <c r="G2" s="313" t="s">
        <v>344</v>
      </c>
      <c r="H2" s="313" t="s">
        <v>345</v>
      </c>
      <c r="I2" s="313" t="s">
        <v>346</v>
      </c>
      <c r="J2" s="313" t="s">
        <v>347</v>
      </c>
      <c r="K2" s="313" t="s">
        <v>348</v>
      </c>
      <c r="L2" s="313" t="s">
        <v>349</v>
      </c>
      <c r="M2" s="313" t="s">
        <v>350</v>
      </c>
      <c r="N2" s="313" t="s">
        <v>351</v>
      </c>
      <c r="O2" s="313" t="s">
        <v>352</v>
      </c>
      <c r="P2" s="313" t="s">
        <v>353</v>
      </c>
    </row>
    <row r="3">
      <c r="A3" s="250" t="s">
        <v>15</v>
      </c>
      <c r="B3" s="313" t="s">
        <v>354</v>
      </c>
      <c r="C3" s="313" t="s">
        <v>354</v>
      </c>
      <c r="D3" s="313" t="s">
        <v>354</v>
      </c>
      <c r="E3" s="313" t="s">
        <v>354</v>
      </c>
      <c r="F3" s="313" t="s">
        <v>354</v>
      </c>
      <c r="G3" s="313" t="s">
        <v>354</v>
      </c>
      <c r="H3" s="313" t="s">
        <v>354</v>
      </c>
      <c r="I3" s="313" t="s">
        <v>354</v>
      </c>
      <c r="J3" s="313" t="s">
        <v>354</v>
      </c>
      <c r="K3" s="313" t="s">
        <v>354</v>
      </c>
      <c r="L3" s="313" t="s">
        <v>354</v>
      </c>
      <c r="M3" s="313" t="s">
        <v>354</v>
      </c>
      <c r="N3" s="313" t="s">
        <v>354</v>
      </c>
      <c r="O3" s="313" t="s">
        <v>354</v>
      </c>
      <c r="P3" s="313" t="s">
        <v>354</v>
      </c>
    </row>
    <row r="4">
      <c r="A4" s="255" t="s">
        <v>19</v>
      </c>
      <c r="B4" s="313" t="s">
        <v>354</v>
      </c>
      <c r="C4" s="313" t="s">
        <v>354</v>
      </c>
      <c r="D4" s="313" t="s">
        <v>354</v>
      </c>
      <c r="E4" s="313" t="s">
        <v>354</v>
      </c>
      <c r="F4" s="313" t="s">
        <v>354</v>
      </c>
      <c r="G4" s="313" t="s">
        <v>354</v>
      </c>
      <c r="H4" s="313" t="s">
        <v>354</v>
      </c>
      <c r="I4" s="313" t="s">
        <v>354</v>
      </c>
      <c r="J4" s="313" t="s">
        <v>354</v>
      </c>
      <c r="K4" s="313" t="s">
        <v>354</v>
      </c>
      <c r="L4" s="313" t="s">
        <v>354</v>
      </c>
      <c r="M4" s="313" t="s">
        <v>354</v>
      </c>
      <c r="N4" s="313" t="s">
        <v>354</v>
      </c>
      <c r="O4" s="313" t="s">
        <v>354</v>
      </c>
      <c r="P4" s="313" t="s">
        <v>354</v>
      </c>
    </row>
    <row r="5">
      <c r="A5" s="255" t="s">
        <v>31</v>
      </c>
      <c r="B5" s="313" t="s">
        <v>354</v>
      </c>
      <c r="C5" s="313" t="s">
        <v>354</v>
      </c>
      <c r="D5" s="313" t="s">
        <v>354</v>
      </c>
      <c r="E5" s="313" t="s">
        <v>354</v>
      </c>
      <c r="F5" s="313" t="s">
        <v>354</v>
      </c>
      <c r="G5" s="313" t="s">
        <v>354</v>
      </c>
      <c r="H5" s="313" t="s">
        <v>354</v>
      </c>
      <c r="I5" s="313" t="s">
        <v>354</v>
      </c>
      <c r="J5" s="313" t="s">
        <v>354</v>
      </c>
      <c r="K5" s="313" t="s">
        <v>354</v>
      </c>
      <c r="L5" s="313" t="s">
        <v>354</v>
      </c>
      <c r="M5" s="313" t="s">
        <v>354</v>
      </c>
      <c r="N5" s="313" t="s">
        <v>354</v>
      </c>
      <c r="O5" s="313" t="s">
        <v>354</v>
      </c>
      <c r="P5" s="313" t="s">
        <v>354</v>
      </c>
    </row>
    <row r="6">
      <c r="A6" s="255" t="s">
        <v>33</v>
      </c>
      <c r="B6" s="313" t="s">
        <v>354</v>
      </c>
      <c r="C6" s="313" t="s">
        <v>354</v>
      </c>
      <c r="D6" s="313" t="s">
        <v>354</v>
      </c>
      <c r="E6" s="313" t="s">
        <v>354</v>
      </c>
      <c r="F6" s="313" t="s">
        <v>354</v>
      </c>
      <c r="G6" s="313" t="s">
        <v>354</v>
      </c>
      <c r="H6" s="313" t="s">
        <v>354</v>
      </c>
      <c r="I6" s="313" t="s">
        <v>354</v>
      </c>
      <c r="J6" s="313" t="s">
        <v>354</v>
      </c>
      <c r="K6" s="313" t="s">
        <v>354</v>
      </c>
      <c r="L6" s="313" t="s">
        <v>354</v>
      </c>
      <c r="M6" s="313" t="s">
        <v>354</v>
      </c>
      <c r="N6" s="313" t="s">
        <v>354</v>
      </c>
      <c r="O6" s="313" t="s">
        <v>354</v>
      </c>
      <c r="P6" s="313" t="s">
        <v>354</v>
      </c>
    </row>
    <row r="7">
      <c r="A7" s="255" t="s">
        <v>34</v>
      </c>
      <c r="B7" s="313" t="s">
        <v>354</v>
      </c>
      <c r="C7" s="313" t="s">
        <v>354</v>
      </c>
      <c r="D7" s="313" t="s">
        <v>354</v>
      </c>
      <c r="E7" s="313" t="s">
        <v>354</v>
      </c>
      <c r="F7" s="313" t="s">
        <v>354</v>
      </c>
      <c r="G7" s="313" t="s">
        <v>354</v>
      </c>
      <c r="H7" s="313" t="s">
        <v>354</v>
      </c>
      <c r="I7" s="313" t="s">
        <v>354</v>
      </c>
      <c r="J7" s="313" t="s">
        <v>354</v>
      </c>
      <c r="K7" s="313" t="s">
        <v>354</v>
      </c>
      <c r="L7" s="313" t="s">
        <v>354</v>
      </c>
      <c r="M7" s="313" t="s">
        <v>354</v>
      </c>
      <c r="N7" s="313" t="s">
        <v>354</v>
      </c>
      <c r="O7" s="313" t="s">
        <v>354</v>
      </c>
      <c r="P7" s="313" t="s">
        <v>354</v>
      </c>
    </row>
    <row r="8">
      <c r="A8" s="266" t="s">
        <v>35</v>
      </c>
      <c r="B8" s="313" t="s">
        <v>354</v>
      </c>
      <c r="C8" s="313" t="s">
        <v>354</v>
      </c>
      <c r="D8" s="313" t="s">
        <v>354</v>
      </c>
      <c r="E8" s="313" t="s">
        <v>354</v>
      </c>
      <c r="F8" s="313" t="s">
        <v>354</v>
      </c>
      <c r="G8" s="313" t="s">
        <v>354</v>
      </c>
      <c r="H8" s="313" t="s">
        <v>354</v>
      </c>
      <c r="I8" s="313" t="s">
        <v>354</v>
      </c>
      <c r="J8" s="313" t="s">
        <v>354</v>
      </c>
      <c r="K8" s="313" t="s">
        <v>354</v>
      </c>
      <c r="L8" s="313" t="s">
        <v>354</v>
      </c>
      <c r="M8" s="313" t="s">
        <v>354</v>
      </c>
      <c r="N8" s="313" t="s">
        <v>354</v>
      </c>
      <c r="O8" s="313" t="s">
        <v>354</v>
      </c>
      <c r="P8" s="313" t="s">
        <v>354</v>
      </c>
    </row>
    <row r="9">
      <c r="A9" s="272" t="s">
        <v>131</v>
      </c>
      <c r="B9" s="313" t="s">
        <v>354</v>
      </c>
      <c r="C9" s="313" t="s">
        <v>354</v>
      </c>
      <c r="D9" s="313" t="s">
        <v>354</v>
      </c>
      <c r="E9" s="313" t="s">
        <v>354</v>
      </c>
      <c r="F9" s="313" t="s">
        <v>354</v>
      </c>
      <c r="G9" s="313" t="s">
        <v>354</v>
      </c>
      <c r="H9" s="313" t="s">
        <v>354</v>
      </c>
      <c r="I9" s="313" t="s">
        <v>354</v>
      </c>
      <c r="J9" s="313" t="s">
        <v>354</v>
      </c>
      <c r="K9" s="313" t="s">
        <v>354</v>
      </c>
      <c r="L9" s="313" t="s">
        <v>354</v>
      </c>
      <c r="M9" s="313" t="s">
        <v>354</v>
      </c>
      <c r="N9" s="313" t="s">
        <v>354</v>
      </c>
      <c r="O9" s="313" t="s">
        <v>354</v>
      </c>
      <c r="P9" s="313" t="s">
        <v>354</v>
      </c>
    </row>
    <row r="10">
      <c r="A10" s="279" t="s">
        <v>114</v>
      </c>
      <c r="B10" s="313" t="s">
        <v>354</v>
      </c>
      <c r="C10" s="313" t="s">
        <v>354</v>
      </c>
      <c r="D10" s="313" t="s">
        <v>354</v>
      </c>
      <c r="E10" s="313" t="s">
        <v>354</v>
      </c>
      <c r="F10" s="313" t="s">
        <v>354</v>
      </c>
      <c r="G10" s="313" t="s">
        <v>354</v>
      </c>
      <c r="H10" s="313" t="s">
        <v>354</v>
      </c>
      <c r="I10" s="313" t="s">
        <v>354</v>
      </c>
      <c r="J10" s="313" t="s">
        <v>354</v>
      </c>
      <c r="K10" s="313" t="s">
        <v>354</v>
      </c>
      <c r="L10" s="313" t="s">
        <v>354</v>
      </c>
      <c r="M10" s="313" t="s">
        <v>354</v>
      </c>
      <c r="N10" s="313" t="s">
        <v>354</v>
      </c>
      <c r="O10" s="313" t="s">
        <v>354</v>
      </c>
      <c r="P10" s="313" t="s">
        <v>354</v>
      </c>
    </row>
    <row r="11">
      <c r="A11" s="279" t="s">
        <v>127</v>
      </c>
      <c r="B11" s="313" t="s">
        <v>354</v>
      </c>
      <c r="C11" s="313" t="s">
        <v>354</v>
      </c>
      <c r="D11" s="313" t="s">
        <v>354</v>
      </c>
      <c r="E11" s="313" t="s">
        <v>354</v>
      </c>
      <c r="F11" s="313" t="s">
        <v>354</v>
      </c>
      <c r="G11" s="313" t="s">
        <v>354</v>
      </c>
      <c r="H11" s="313" t="s">
        <v>354</v>
      </c>
      <c r="I11" s="313" t="s">
        <v>354</v>
      </c>
      <c r="J11" s="313" t="s">
        <v>354</v>
      </c>
      <c r="K11" s="313" t="s">
        <v>354</v>
      </c>
      <c r="L11" s="313" t="s">
        <v>354</v>
      </c>
      <c r="M11" s="313" t="s">
        <v>354</v>
      </c>
      <c r="N11" s="313" t="s">
        <v>354</v>
      </c>
      <c r="O11" s="313" t="s">
        <v>354</v>
      </c>
      <c r="P11" s="313" t="s">
        <v>354</v>
      </c>
    </row>
    <row r="12">
      <c r="A12" s="279" t="s">
        <v>107</v>
      </c>
      <c r="B12" s="313" t="s">
        <v>354</v>
      </c>
      <c r="C12" s="313" t="s">
        <v>354</v>
      </c>
      <c r="D12" s="313" t="s">
        <v>354</v>
      </c>
      <c r="E12" s="313" t="s">
        <v>354</v>
      </c>
      <c r="F12" s="313" t="s">
        <v>354</v>
      </c>
      <c r="G12" s="313" t="s">
        <v>354</v>
      </c>
      <c r="H12" s="313" t="s">
        <v>354</v>
      </c>
      <c r="I12" s="313" t="s">
        <v>354</v>
      </c>
      <c r="J12" s="313" t="s">
        <v>354</v>
      </c>
      <c r="K12" s="313" t="s">
        <v>354</v>
      </c>
      <c r="L12" s="313" t="s">
        <v>354</v>
      </c>
      <c r="M12" s="313" t="s">
        <v>354</v>
      </c>
      <c r="N12" s="313" t="s">
        <v>354</v>
      </c>
      <c r="O12" s="313" t="s">
        <v>354</v>
      </c>
      <c r="P12" s="313" t="s">
        <v>354</v>
      </c>
    </row>
    <row r="13">
      <c r="A13" s="279" t="s">
        <v>168</v>
      </c>
      <c r="B13" s="313" t="s">
        <v>354</v>
      </c>
      <c r="C13" s="313" t="s">
        <v>354</v>
      </c>
      <c r="D13" s="313" t="s">
        <v>354</v>
      </c>
      <c r="E13" s="313" t="s">
        <v>354</v>
      </c>
      <c r="F13" s="313" t="s">
        <v>354</v>
      </c>
      <c r="G13" s="313" t="s">
        <v>354</v>
      </c>
      <c r="H13" s="313" t="s">
        <v>354</v>
      </c>
      <c r="I13" s="313" t="s">
        <v>354</v>
      </c>
      <c r="J13" s="313" t="s">
        <v>354</v>
      </c>
      <c r="K13" s="313" t="s">
        <v>354</v>
      </c>
      <c r="L13" s="313" t="s">
        <v>354</v>
      </c>
      <c r="M13" s="313" t="s">
        <v>354</v>
      </c>
      <c r="N13" s="313" t="s">
        <v>354</v>
      </c>
      <c r="O13" s="313" t="s">
        <v>354</v>
      </c>
      <c r="P13" s="313" t="s">
        <v>354</v>
      </c>
    </row>
    <row r="14">
      <c r="A14" s="284" t="s">
        <v>141</v>
      </c>
      <c r="B14" s="313" t="s">
        <v>354</v>
      </c>
      <c r="C14" s="313" t="s">
        <v>354</v>
      </c>
      <c r="D14" s="313" t="s">
        <v>354</v>
      </c>
      <c r="E14" s="313" t="s">
        <v>354</v>
      </c>
      <c r="F14" s="313" t="s">
        <v>354</v>
      </c>
      <c r="G14" s="313" t="s">
        <v>354</v>
      </c>
      <c r="H14" s="313" t="s">
        <v>354</v>
      </c>
      <c r="I14" s="313" t="s">
        <v>354</v>
      </c>
      <c r="J14" s="313" t="s">
        <v>354</v>
      </c>
      <c r="K14" s="313" t="s">
        <v>354</v>
      </c>
      <c r="L14" s="313" t="s">
        <v>354</v>
      </c>
      <c r="M14" s="313" t="s">
        <v>354</v>
      </c>
      <c r="N14" s="313" t="s">
        <v>354</v>
      </c>
      <c r="O14" s="313" t="s">
        <v>354</v>
      </c>
      <c r="P14" s="313" t="s">
        <v>354</v>
      </c>
    </row>
    <row r="15">
      <c r="A15" s="287" t="s">
        <v>130</v>
      </c>
      <c r="B15" s="313" t="s">
        <v>354</v>
      </c>
      <c r="C15" s="313" t="s">
        <v>354</v>
      </c>
      <c r="D15" s="313" t="s">
        <v>354</v>
      </c>
      <c r="E15" s="313" t="s">
        <v>354</v>
      </c>
      <c r="F15" s="313" t="s">
        <v>354</v>
      </c>
      <c r="G15" s="313" t="s">
        <v>354</v>
      </c>
      <c r="H15" s="313" t="s">
        <v>354</v>
      </c>
      <c r="I15" s="313" t="s">
        <v>354</v>
      </c>
      <c r="J15" s="313" t="s">
        <v>354</v>
      </c>
      <c r="K15" s="313" t="s">
        <v>354</v>
      </c>
      <c r="L15" s="313" t="s">
        <v>354</v>
      </c>
      <c r="M15" s="313" t="s">
        <v>354</v>
      </c>
      <c r="N15" s="313" t="s">
        <v>354</v>
      </c>
      <c r="O15" s="313" t="s">
        <v>354</v>
      </c>
      <c r="P15" s="313" t="s">
        <v>354</v>
      </c>
    </row>
    <row r="16">
      <c r="A16" s="291" t="s">
        <v>105</v>
      </c>
      <c r="B16" s="313" t="s">
        <v>354</v>
      </c>
      <c r="C16" s="313" t="s">
        <v>354</v>
      </c>
      <c r="D16" s="313" t="s">
        <v>354</v>
      </c>
      <c r="E16" s="313" t="s">
        <v>354</v>
      </c>
      <c r="F16" s="313" t="s">
        <v>354</v>
      </c>
      <c r="G16" s="313" t="s">
        <v>354</v>
      </c>
      <c r="H16" s="313" t="s">
        <v>354</v>
      </c>
      <c r="I16" s="313" t="s">
        <v>354</v>
      </c>
      <c r="J16" s="313" t="s">
        <v>354</v>
      </c>
      <c r="K16" s="313" t="s">
        <v>354</v>
      </c>
      <c r="L16" s="313" t="s">
        <v>354</v>
      </c>
      <c r="M16" s="313" t="s">
        <v>354</v>
      </c>
      <c r="N16" s="313" t="s">
        <v>354</v>
      </c>
      <c r="O16" s="313" t="s">
        <v>354</v>
      </c>
      <c r="P16" s="313" t="s">
        <v>354</v>
      </c>
    </row>
    <row r="17">
      <c r="A17" s="291" t="s">
        <v>153</v>
      </c>
      <c r="B17" s="313" t="s">
        <v>354</v>
      </c>
      <c r="C17" s="313" t="s">
        <v>354</v>
      </c>
      <c r="D17" s="313" t="s">
        <v>354</v>
      </c>
      <c r="E17" s="313" t="s">
        <v>354</v>
      </c>
      <c r="F17" s="313" t="s">
        <v>354</v>
      </c>
      <c r="G17" s="313" t="s">
        <v>354</v>
      </c>
      <c r="H17" s="313" t="s">
        <v>354</v>
      </c>
      <c r="I17" s="313" t="s">
        <v>354</v>
      </c>
      <c r="J17" s="313" t="s">
        <v>354</v>
      </c>
      <c r="K17" s="313" t="s">
        <v>354</v>
      </c>
      <c r="L17" s="313" t="s">
        <v>354</v>
      </c>
      <c r="M17" s="313" t="s">
        <v>354</v>
      </c>
      <c r="N17" s="313" t="s">
        <v>354</v>
      </c>
      <c r="O17" s="313" t="s">
        <v>354</v>
      </c>
      <c r="P17" s="313" t="s">
        <v>354</v>
      </c>
    </row>
    <row r="18">
      <c r="A18" s="291" t="s">
        <v>147</v>
      </c>
      <c r="B18" s="313" t="s">
        <v>354</v>
      </c>
      <c r="C18" s="313" t="s">
        <v>354</v>
      </c>
      <c r="D18" s="313" t="s">
        <v>354</v>
      </c>
      <c r="E18" s="313" t="s">
        <v>354</v>
      </c>
      <c r="F18" s="313" t="s">
        <v>354</v>
      </c>
      <c r="G18" s="313" t="s">
        <v>354</v>
      </c>
      <c r="H18" s="313" t="s">
        <v>354</v>
      </c>
      <c r="I18" s="313" t="s">
        <v>354</v>
      </c>
      <c r="J18" s="313" t="s">
        <v>354</v>
      </c>
      <c r="K18" s="313" t="s">
        <v>354</v>
      </c>
      <c r="L18" s="313" t="s">
        <v>354</v>
      </c>
      <c r="M18" s="313" t="s">
        <v>354</v>
      </c>
      <c r="N18" s="313" t="s">
        <v>354</v>
      </c>
      <c r="O18" s="313" t="s">
        <v>354</v>
      </c>
      <c r="P18" s="313" t="s">
        <v>354</v>
      </c>
    </row>
    <row r="19">
      <c r="A19" s="291" t="s">
        <v>129</v>
      </c>
      <c r="B19" s="313" t="s">
        <v>354</v>
      </c>
      <c r="C19" s="313" t="s">
        <v>354</v>
      </c>
      <c r="D19" s="313" t="s">
        <v>354</v>
      </c>
      <c r="E19" s="313" t="s">
        <v>354</v>
      </c>
      <c r="F19" s="313" t="s">
        <v>354</v>
      </c>
      <c r="G19" s="313" t="s">
        <v>354</v>
      </c>
      <c r="H19" s="313" t="s">
        <v>354</v>
      </c>
      <c r="I19" s="313" t="s">
        <v>354</v>
      </c>
      <c r="J19" s="313" t="s">
        <v>354</v>
      </c>
      <c r="K19" s="313" t="s">
        <v>354</v>
      </c>
      <c r="L19" s="313" t="s">
        <v>354</v>
      </c>
      <c r="M19" s="313" t="s">
        <v>354</v>
      </c>
      <c r="N19" s="313" t="s">
        <v>354</v>
      </c>
      <c r="O19" s="313" t="s">
        <v>354</v>
      </c>
      <c r="P19" s="313" t="s">
        <v>354</v>
      </c>
    </row>
    <row r="20">
      <c r="A20" s="293" t="s">
        <v>139</v>
      </c>
      <c r="B20" s="313" t="s">
        <v>354</v>
      </c>
      <c r="C20" s="313" t="s">
        <v>354</v>
      </c>
      <c r="D20" s="313" t="s">
        <v>354</v>
      </c>
      <c r="E20" s="313" t="s">
        <v>354</v>
      </c>
      <c r="F20" s="313" t="s">
        <v>354</v>
      </c>
      <c r="G20" s="313" t="s">
        <v>354</v>
      </c>
      <c r="H20" s="313" t="s">
        <v>354</v>
      </c>
      <c r="I20" s="313" t="s">
        <v>354</v>
      </c>
      <c r="J20" s="313" t="s">
        <v>354</v>
      </c>
      <c r="K20" s="313" t="s">
        <v>354</v>
      </c>
      <c r="L20" s="313" t="s">
        <v>354</v>
      </c>
      <c r="M20" s="313" t="s">
        <v>354</v>
      </c>
      <c r="N20" s="313" t="s">
        <v>354</v>
      </c>
      <c r="O20" s="313" t="s">
        <v>354</v>
      </c>
      <c r="P20" s="313" t="s">
        <v>354</v>
      </c>
    </row>
    <row r="21">
      <c r="A21" s="297" t="s">
        <v>150</v>
      </c>
      <c r="B21" s="313" t="s">
        <v>354</v>
      </c>
      <c r="C21" s="313" t="s">
        <v>354</v>
      </c>
      <c r="D21" s="313" t="s">
        <v>354</v>
      </c>
      <c r="E21" s="313" t="s">
        <v>354</v>
      </c>
      <c r="F21" s="313" t="s">
        <v>354</v>
      </c>
      <c r="G21" s="313" t="s">
        <v>354</v>
      </c>
      <c r="H21" s="313" t="s">
        <v>354</v>
      </c>
      <c r="I21" s="313" t="s">
        <v>354</v>
      </c>
      <c r="J21" s="313" t="s">
        <v>354</v>
      </c>
      <c r="K21" s="313" t="s">
        <v>354</v>
      </c>
      <c r="L21" s="313" t="s">
        <v>354</v>
      </c>
      <c r="M21" s="313" t="s">
        <v>354</v>
      </c>
      <c r="N21" s="313" t="s">
        <v>354</v>
      </c>
      <c r="O21" s="313" t="s">
        <v>354</v>
      </c>
      <c r="P21" s="313" t="s">
        <v>354</v>
      </c>
    </row>
    <row r="22">
      <c r="A22" s="300" t="s">
        <v>117</v>
      </c>
      <c r="B22" s="313" t="s">
        <v>354</v>
      </c>
      <c r="C22" s="313" t="s">
        <v>354</v>
      </c>
      <c r="D22" s="313" t="s">
        <v>354</v>
      </c>
      <c r="E22" s="313" t="s">
        <v>354</v>
      </c>
      <c r="F22" s="313" t="s">
        <v>354</v>
      </c>
      <c r="G22" s="313" t="s">
        <v>354</v>
      </c>
      <c r="H22" s="313" t="s">
        <v>354</v>
      </c>
      <c r="I22" s="313" t="s">
        <v>354</v>
      </c>
      <c r="J22" s="313" t="s">
        <v>354</v>
      </c>
      <c r="K22" s="313" t="s">
        <v>354</v>
      </c>
      <c r="L22" s="313" t="s">
        <v>354</v>
      </c>
      <c r="M22" s="313" t="s">
        <v>354</v>
      </c>
      <c r="N22" s="313" t="s">
        <v>354</v>
      </c>
      <c r="O22" s="313" t="s">
        <v>354</v>
      </c>
      <c r="P22" s="313" t="s">
        <v>354</v>
      </c>
    </row>
    <row r="23">
      <c r="A23" s="300" t="s">
        <v>145</v>
      </c>
      <c r="B23" s="313" t="s">
        <v>354</v>
      </c>
      <c r="C23" s="313" t="s">
        <v>354</v>
      </c>
      <c r="D23" s="313" t="s">
        <v>354</v>
      </c>
      <c r="E23" s="313" t="s">
        <v>354</v>
      </c>
      <c r="F23" s="313" t="s">
        <v>354</v>
      </c>
      <c r="G23" s="313" t="s">
        <v>354</v>
      </c>
      <c r="H23" s="313" t="s">
        <v>354</v>
      </c>
      <c r="I23" s="313" t="s">
        <v>354</v>
      </c>
      <c r="J23" s="313" t="s">
        <v>354</v>
      </c>
      <c r="K23" s="313" t="s">
        <v>354</v>
      </c>
      <c r="L23" s="313" t="s">
        <v>354</v>
      </c>
      <c r="M23" s="313" t="s">
        <v>354</v>
      </c>
      <c r="N23" s="313" t="s">
        <v>354</v>
      </c>
      <c r="O23" s="313" t="s">
        <v>354</v>
      </c>
      <c r="P23" s="313" t="s">
        <v>354</v>
      </c>
    </row>
    <row r="24">
      <c r="A24" s="300" t="s">
        <v>169</v>
      </c>
      <c r="B24" s="313" t="s">
        <v>354</v>
      </c>
      <c r="C24" s="313" t="s">
        <v>354</v>
      </c>
      <c r="D24" s="313" t="s">
        <v>354</v>
      </c>
      <c r="E24" s="313" t="s">
        <v>354</v>
      </c>
      <c r="F24" s="313" t="s">
        <v>354</v>
      </c>
      <c r="G24" s="313" t="s">
        <v>354</v>
      </c>
      <c r="H24" s="313" t="s">
        <v>354</v>
      </c>
      <c r="I24" s="313" t="s">
        <v>354</v>
      </c>
      <c r="J24" s="313" t="s">
        <v>354</v>
      </c>
      <c r="K24" s="313" t="s">
        <v>354</v>
      </c>
      <c r="L24" s="313" t="s">
        <v>354</v>
      </c>
      <c r="M24" s="313" t="s">
        <v>354</v>
      </c>
      <c r="N24" s="313" t="s">
        <v>354</v>
      </c>
      <c r="O24" s="313" t="s">
        <v>354</v>
      </c>
      <c r="P24" s="313" t="s">
        <v>354</v>
      </c>
    </row>
    <row r="25">
      <c r="A25" s="300" t="s">
        <v>112</v>
      </c>
      <c r="B25" s="313" t="s">
        <v>354</v>
      </c>
      <c r="C25" s="313" t="s">
        <v>354</v>
      </c>
      <c r="D25" s="313" t="s">
        <v>354</v>
      </c>
      <c r="E25" s="313" t="s">
        <v>354</v>
      </c>
      <c r="F25" s="313" t="s">
        <v>354</v>
      </c>
      <c r="G25" s="313" t="s">
        <v>354</v>
      </c>
      <c r="H25" s="313" t="s">
        <v>354</v>
      </c>
      <c r="I25" s="313" t="s">
        <v>354</v>
      </c>
      <c r="J25" s="313" t="s">
        <v>354</v>
      </c>
      <c r="K25" s="313" t="s">
        <v>354</v>
      </c>
      <c r="L25" s="313" t="s">
        <v>354</v>
      </c>
      <c r="M25" s="313" t="s">
        <v>354</v>
      </c>
      <c r="N25" s="313" t="s">
        <v>354</v>
      </c>
      <c r="O25" s="313" t="s">
        <v>354</v>
      </c>
      <c r="P25" s="313" t="s">
        <v>354</v>
      </c>
    </row>
    <row r="26">
      <c r="A26" s="302" t="s">
        <v>109</v>
      </c>
      <c r="B26" s="313" t="s">
        <v>354</v>
      </c>
      <c r="C26" s="313" t="s">
        <v>354</v>
      </c>
      <c r="D26" s="313" t="s">
        <v>354</v>
      </c>
      <c r="E26" s="313" t="s">
        <v>354</v>
      </c>
      <c r="F26" s="313" t="s">
        <v>354</v>
      </c>
      <c r="G26" s="313" t="s">
        <v>354</v>
      </c>
      <c r="H26" s="313" t="s">
        <v>354</v>
      </c>
      <c r="I26" s="313" t="s">
        <v>354</v>
      </c>
      <c r="J26" s="313" t="s">
        <v>354</v>
      </c>
      <c r="K26" s="313" t="s">
        <v>354</v>
      </c>
      <c r="L26" s="313" t="s">
        <v>354</v>
      </c>
      <c r="M26" s="313" t="s">
        <v>354</v>
      </c>
      <c r="N26" s="313" t="s">
        <v>354</v>
      </c>
      <c r="O26" s="313" t="s">
        <v>354</v>
      </c>
      <c r="P26" s="313" t="s">
        <v>354</v>
      </c>
    </row>
    <row r="27">
      <c r="A27" s="303" t="s">
        <v>43</v>
      </c>
      <c r="B27" s="313" t="s">
        <v>354</v>
      </c>
      <c r="C27" s="313" t="s">
        <v>354</v>
      </c>
      <c r="D27" s="313" t="s">
        <v>354</v>
      </c>
      <c r="E27" s="313" t="s">
        <v>354</v>
      </c>
      <c r="F27" s="313" t="s">
        <v>354</v>
      </c>
      <c r="G27" s="313" t="s">
        <v>354</v>
      </c>
      <c r="H27" s="313" t="s">
        <v>354</v>
      </c>
      <c r="I27" s="313" t="s">
        <v>354</v>
      </c>
      <c r="J27" s="313" t="s">
        <v>354</v>
      </c>
      <c r="K27" s="313" t="s">
        <v>354</v>
      </c>
      <c r="L27" s="313" t="s">
        <v>354</v>
      </c>
      <c r="M27" s="313" t="s">
        <v>354</v>
      </c>
      <c r="N27" s="313" t="s">
        <v>354</v>
      </c>
      <c r="O27" s="313" t="s">
        <v>354</v>
      </c>
      <c r="P27" s="313" t="s">
        <v>354</v>
      </c>
    </row>
    <row r="28">
      <c r="A28" s="305" t="s">
        <v>48</v>
      </c>
      <c r="B28" s="313" t="s">
        <v>355</v>
      </c>
      <c r="C28" s="313" t="s">
        <v>354</v>
      </c>
      <c r="D28" s="313" t="s">
        <v>354</v>
      </c>
      <c r="E28" s="313" t="s">
        <v>354</v>
      </c>
      <c r="F28" s="313" t="s">
        <v>354</v>
      </c>
      <c r="G28" s="313" t="s">
        <v>354</v>
      </c>
      <c r="H28" s="313" t="s">
        <v>354</v>
      </c>
      <c r="I28" s="313" t="s">
        <v>354</v>
      </c>
      <c r="J28" s="313" t="s">
        <v>354</v>
      </c>
      <c r="K28" s="313" t="s">
        <v>354</v>
      </c>
      <c r="L28" s="313" t="s">
        <v>354</v>
      </c>
      <c r="M28" s="313" t="s">
        <v>354</v>
      </c>
      <c r="N28" s="313" t="s">
        <v>354</v>
      </c>
      <c r="O28" s="313" t="s">
        <v>354</v>
      </c>
      <c r="P28" s="313" t="s">
        <v>354</v>
      </c>
    </row>
    <row r="29">
      <c r="A29" s="305" t="s">
        <v>50</v>
      </c>
      <c r="B29" s="313" t="s">
        <v>354</v>
      </c>
      <c r="C29" s="313" t="s">
        <v>354</v>
      </c>
      <c r="D29" s="313" t="s">
        <v>354</v>
      </c>
      <c r="E29" s="313" t="s">
        <v>354</v>
      </c>
      <c r="F29" s="313" t="s">
        <v>354</v>
      </c>
      <c r="G29" s="313" t="s">
        <v>354</v>
      </c>
      <c r="H29" s="313" t="s">
        <v>354</v>
      </c>
      <c r="I29" s="313" t="s">
        <v>354</v>
      </c>
      <c r="J29" s="313" t="s">
        <v>354</v>
      </c>
      <c r="K29" s="313" t="s">
        <v>354</v>
      </c>
      <c r="L29" s="313" t="s">
        <v>354</v>
      </c>
      <c r="M29" s="313" t="s">
        <v>354</v>
      </c>
      <c r="N29" s="313" t="s">
        <v>354</v>
      </c>
      <c r="O29" s="313" t="s">
        <v>354</v>
      </c>
      <c r="P29" s="313" t="s">
        <v>354</v>
      </c>
    </row>
    <row r="30">
      <c r="A30" s="305" t="s">
        <v>53</v>
      </c>
      <c r="B30" s="313" t="s">
        <v>354</v>
      </c>
      <c r="C30" s="313" t="s">
        <v>354</v>
      </c>
      <c r="D30" s="313" t="s">
        <v>354</v>
      </c>
      <c r="E30" s="313" t="s">
        <v>354</v>
      </c>
      <c r="F30" s="313" t="s">
        <v>354</v>
      </c>
      <c r="G30" s="313" t="s">
        <v>354</v>
      </c>
      <c r="H30" s="313" t="s">
        <v>354</v>
      </c>
      <c r="I30" s="313" t="s">
        <v>354</v>
      </c>
      <c r="J30" s="313" t="s">
        <v>354</v>
      </c>
      <c r="K30" s="313" t="s">
        <v>354</v>
      </c>
      <c r="L30" s="313" t="s">
        <v>354</v>
      </c>
      <c r="M30" s="313" t="s">
        <v>354</v>
      </c>
      <c r="N30" s="313" t="s">
        <v>354</v>
      </c>
      <c r="O30" s="313" t="s">
        <v>354</v>
      </c>
      <c r="P30" s="313" t="s">
        <v>354</v>
      </c>
    </row>
    <row r="31">
      <c r="A31" s="305" t="s">
        <v>54</v>
      </c>
      <c r="B31" s="313" t="s">
        <v>354</v>
      </c>
      <c r="C31" s="313" t="s">
        <v>354</v>
      </c>
      <c r="D31" s="313" t="s">
        <v>354</v>
      </c>
      <c r="E31" s="313" t="s">
        <v>354</v>
      </c>
      <c r="F31" s="313" t="s">
        <v>354</v>
      </c>
      <c r="G31" s="313" t="s">
        <v>354</v>
      </c>
      <c r="H31" s="313" t="s">
        <v>354</v>
      </c>
      <c r="I31" s="313" t="s">
        <v>354</v>
      </c>
      <c r="J31" s="313" t="s">
        <v>354</v>
      </c>
      <c r="K31" s="313" t="s">
        <v>354</v>
      </c>
      <c r="L31" s="313" t="s">
        <v>354</v>
      </c>
      <c r="M31" s="313" t="s">
        <v>354</v>
      </c>
      <c r="N31" s="313" t="s">
        <v>354</v>
      </c>
      <c r="O31" s="313" t="s">
        <v>354</v>
      </c>
      <c r="P31" s="313" t="s">
        <v>354</v>
      </c>
    </row>
    <row r="32">
      <c r="A32" s="307" t="s">
        <v>55</v>
      </c>
      <c r="B32" s="313" t="s">
        <v>354</v>
      </c>
      <c r="C32" s="313" t="s">
        <v>354</v>
      </c>
      <c r="D32" s="313" t="s">
        <v>354</v>
      </c>
      <c r="E32" s="313" t="s">
        <v>354</v>
      </c>
      <c r="F32" s="313" t="s">
        <v>354</v>
      </c>
      <c r="G32" s="313" t="s">
        <v>354</v>
      </c>
      <c r="H32" s="313" t="s">
        <v>354</v>
      </c>
      <c r="I32" s="313" t="s">
        <v>354</v>
      </c>
      <c r="J32" s="313" t="s">
        <v>354</v>
      </c>
      <c r="K32" s="313" t="s">
        <v>354</v>
      </c>
      <c r="L32" s="313" t="s">
        <v>354</v>
      </c>
      <c r="M32" s="313" t="s">
        <v>354</v>
      </c>
      <c r="N32" s="313" t="s">
        <v>354</v>
      </c>
      <c r="O32" s="313" t="s">
        <v>354</v>
      </c>
      <c r="P32" s="313" t="s">
        <v>354</v>
      </c>
    </row>
    <row r="33">
      <c r="A33" s="308" t="s">
        <v>111</v>
      </c>
      <c r="B33" s="313" t="s">
        <v>354</v>
      </c>
      <c r="C33" s="313" t="s">
        <v>354</v>
      </c>
      <c r="D33" s="313" t="s">
        <v>354</v>
      </c>
      <c r="E33" s="313" t="s">
        <v>354</v>
      </c>
      <c r="F33" s="313" t="s">
        <v>354</v>
      </c>
      <c r="G33" s="313" t="s">
        <v>354</v>
      </c>
      <c r="H33" s="313" t="s">
        <v>354</v>
      </c>
      <c r="I33" s="313" t="s">
        <v>354</v>
      </c>
      <c r="J33" s="313" t="s">
        <v>354</v>
      </c>
      <c r="K33" s="313" t="s">
        <v>354</v>
      </c>
      <c r="L33" s="313" t="s">
        <v>354</v>
      </c>
      <c r="M33" s="313" t="s">
        <v>354</v>
      </c>
      <c r="N33" s="313" t="s">
        <v>354</v>
      </c>
      <c r="O33" s="313" t="s">
        <v>354</v>
      </c>
      <c r="P33" s="313" t="s">
        <v>354</v>
      </c>
    </row>
    <row r="34">
      <c r="A34" s="309" t="s">
        <v>156</v>
      </c>
      <c r="B34" s="313" t="s">
        <v>354</v>
      </c>
      <c r="C34" s="313" t="s">
        <v>354</v>
      </c>
      <c r="D34" s="313" t="s">
        <v>354</v>
      </c>
      <c r="E34" s="313" t="s">
        <v>354</v>
      </c>
      <c r="F34" s="313" t="s">
        <v>354</v>
      </c>
      <c r="G34" s="313" t="s">
        <v>354</v>
      </c>
      <c r="H34" s="313" t="s">
        <v>354</v>
      </c>
      <c r="I34" s="313" t="s">
        <v>354</v>
      </c>
      <c r="J34" s="313" t="s">
        <v>354</v>
      </c>
      <c r="K34" s="313" t="s">
        <v>354</v>
      </c>
      <c r="L34" s="313" t="s">
        <v>354</v>
      </c>
      <c r="M34" s="313" t="s">
        <v>354</v>
      </c>
      <c r="N34" s="313" t="s">
        <v>354</v>
      </c>
      <c r="O34" s="313" t="s">
        <v>354</v>
      </c>
      <c r="P34" s="313" t="s">
        <v>354</v>
      </c>
    </row>
    <row r="35">
      <c r="A35" s="309" t="s">
        <v>113</v>
      </c>
      <c r="B35" s="313" t="s">
        <v>354</v>
      </c>
      <c r="C35" s="313" t="s">
        <v>354</v>
      </c>
      <c r="D35" s="313" t="s">
        <v>354</v>
      </c>
      <c r="E35" s="313" t="s">
        <v>354</v>
      </c>
      <c r="F35" s="313" t="s">
        <v>354</v>
      </c>
      <c r="G35" s="313" t="s">
        <v>354</v>
      </c>
      <c r="H35" s="313" t="s">
        <v>354</v>
      </c>
      <c r="I35" s="313" t="s">
        <v>354</v>
      </c>
      <c r="J35" s="313" t="s">
        <v>354</v>
      </c>
      <c r="K35" s="313" t="s">
        <v>354</v>
      </c>
      <c r="L35" s="313" t="s">
        <v>354</v>
      </c>
      <c r="M35" s="313" t="s">
        <v>354</v>
      </c>
      <c r="N35" s="313" t="s">
        <v>354</v>
      </c>
      <c r="O35" s="313" t="s">
        <v>354</v>
      </c>
      <c r="P35" s="313" t="s">
        <v>354</v>
      </c>
    </row>
    <row r="36">
      <c r="A36" s="309" t="s">
        <v>144</v>
      </c>
      <c r="B36" s="313" t="s">
        <v>354</v>
      </c>
      <c r="C36" s="313" t="s">
        <v>354</v>
      </c>
      <c r="D36" s="313" t="s">
        <v>354</v>
      </c>
      <c r="E36" s="313" t="s">
        <v>354</v>
      </c>
      <c r="F36" s="313" t="s">
        <v>354</v>
      </c>
      <c r="G36" s="313" t="s">
        <v>354</v>
      </c>
      <c r="H36" s="313" t="s">
        <v>354</v>
      </c>
      <c r="I36" s="313" t="s">
        <v>354</v>
      </c>
      <c r="J36" s="313" t="s">
        <v>354</v>
      </c>
      <c r="K36" s="313" t="s">
        <v>354</v>
      </c>
      <c r="L36" s="313" t="s">
        <v>354</v>
      </c>
      <c r="M36" s="313" t="s">
        <v>354</v>
      </c>
      <c r="N36" s="313" t="s">
        <v>354</v>
      </c>
      <c r="O36" s="313" t="s">
        <v>354</v>
      </c>
      <c r="P36" s="313" t="s">
        <v>354</v>
      </c>
    </row>
    <row r="37">
      <c r="A37" s="309" t="s">
        <v>159</v>
      </c>
      <c r="B37" s="313" t="s">
        <v>354</v>
      </c>
      <c r="C37" s="313" t="s">
        <v>354</v>
      </c>
      <c r="D37" s="313" t="s">
        <v>354</v>
      </c>
      <c r="E37" s="313" t="s">
        <v>354</v>
      </c>
      <c r="F37" s="313" t="s">
        <v>354</v>
      </c>
      <c r="G37" s="313" t="s">
        <v>354</v>
      </c>
      <c r="H37" s="313" t="s">
        <v>354</v>
      </c>
      <c r="I37" s="313" t="s">
        <v>354</v>
      </c>
      <c r="J37" s="313" t="s">
        <v>354</v>
      </c>
      <c r="K37" s="313" t="s">
        <v>354</v>
      </c>
      <c r="L37" s="313" t="s">
        <v>354</v>
      </c>
      <c r="M37" s="313" t="s">
        <v>354</v>
      </c>
      <c r="N37" s="313" t="s">
        <v>354</v>
      </c>
      <c r="O37" s="313" t="s">
        <v>354</v>
      </c>
      <c r="P37" s="313" t="s">
        <v>354</v>
      </c>
    </row>
    <row r="38">
      <c r="A38" s="310" t="s">
        <v>125</v>
      </c>
      <c r="B38" s="313" t="s">
        <v>354</v>
      </c>
      <c r="C38" s="313" t="s">
        <v>354</v>
      </c>
      <c r="D38" s="313" t="s">
        <v>354</v>
      </c>
      <c r="E38" s="313" t="s">
        <v>354</v>
      </c>
      <c r="F38" s="313" t="s">
        <v>354</v>
      </c>
      <c r="G38" s="313" t="s">
        <v>354</v>
      </c>
      <c r="H38" s="313" t="s">
        <v>354</v>
      </c>
      <c r="I38" s="313" t="s">
        <v>354</v>
      </c>
      <c r="J38" s="313" t="s">
        <v>354</v>
      </c>
      <c r="K38" s="313" t="s">
        <v>354</v>
      </c>
      <c r="L38" s="313" t="s">
        <v>354</v>
      </c>
      <c r="M38" s="313" t="s">
        <v>354</v>
      </c>
      <c r="N38" s="313" t="s">
        <v>354</v>
      </c>
      <c r="O38" s="313" t="s">
        <v>354</v>
      </c>
      <c r="P38" s="313" t="s">
        <v>354</v>
      </c>
    </row>
    <row r="39">
      <c r="A39" s="311" t="s">
        <v>91</v>
      </c>
      <c r="B39" s="313" t="s">
        <v>354</v>
      </c>
      <c r="C39" s="313" t="s">
        <v>354</v>
      </c>
      <c r="D39" s="313" t="s">
        <v>354</v>
      </c>
      <c r="E39" s="313" t="s">
        <v>354</v>
      </c>
      <c r="F39" s="313" t="s">
        <v>354</v>
      </c>
      <c r="G39" s="313" t="s">
        <v>354</v>
      </c>
      <c r="H39" s="313" t="s">
        <v>354</v>
      </c>
      <c r="I39" s="313" t="s">
        <v>354</v>
      </c>
      <c r="J39" s="313" t="s">
        <v>354</v>
      </c>
      <c r="K39" s="313" t="s">
        <v>354</v>
      </c>
      <c r="L39" s="313" t="s">
        <v>354</v>
      </c>
      <c r="M39" s="313" t="s">
        <v>354</v>
      </c>
      <c r="N39" s="313" t="s">
        <v>354</v>
      </c>
      <c r="O39" s="313" t="s">
        <v>354</v>
      </c>
      <c r="P39" s="313" t="s">
        <v>354</v>
      </c>
    </row>
    <row r="40">
      <c r="A40" s="312" t="s">
        <v>165</v>
      </c>
      <c r="B40" s="313" t="s">
        <v>354</v>
      </c>
      <c r="C40" s="313" t="s">
        <v>354</v>
      </c>
      <c r="D40" s="313" t="s">
        <v>354</v>
      </c>
      <c r="E40" s="313" t="s">
        <v>354</v>
      </c>
      <c r="F40" s="313" t="s">
        <v>354</v>
      </c>
      <c r="G40" s="313" t="s">
        <v>354</v>
      </c>
      <c r="H40" s="313" t="s">
        <v>354</v>
      </c>
      <c r="I40" s="313" t="s">
        <v>354</v>
      </c>
      <c r="J40" s="313" t="s">
        <v>354</v>
      </c>
      <c r="K40" s="313" t="s">
        <v>354</v>
      </c>
      <c r="L40" s="313" t="s">
        <v>354</v>
      </c>
      <c r="M40" s="313" t="s">
        <v>354</v>
      </c>
      <c r="N40" s="313" t="s">
        <v>354</v>
      </c>
      <c r="O40" s="313" t="s">
        <v>354</v>
      </c>
      <c r="P40" s="313" t="s">
        <v>354</v>
      </c>
    </row>
    <row r="41">
      <c r="A41" s="312" t="s">
        <v>126</v>
      </c>
      <c r="B41" s="313" t="s">
        <v>354</v>
      </c>
      <c r="C41" s="313" t="s">
        <v>354</v>
      </c>
      <c r="D41" s="313" t="s">
        <v>354</v>
      </c>
      <c r="E41" s="313" t="s">
        <v>354</v>
      </c>
      <c r="F41" s="313" t="s">
        <v>354</v>
      </c>
      <c r="G41" s="313" t="s">
        <v>354</v>
      </c>
      <c r="H41" s="313" t="s">
        <v>354</v>
      </c>
      <c r="I41" s="313" t="s">
        <v>354</v>
      </c>
      <c r="J41" s="313" t="s">
        <v>354</v>
      </c>
      <c r="K41" s="313" t="s">
        <v>354</v>
      </c>
      <c r="L41" s="313" t="s">
        <v>354</v>
      </c>
      <c r="M41" s="313" t="s">
        <v>354</v>
      </c>
      <c r="N41" s="313" t="s">
        <v>354</v>
      </c>
      <c r="O41" s="313" t="s">
        <v>354</v>
      </c>
      <c r="P41" s="313" t="s">
        <v>354</v>
      </c>
    </row>
    <row r="42">
      <c r="A42" s="312" t="s">
        <v>158</v>
      </c>
      <c r="B42" s="313" t="s">
        <v>354</v>
      </c>
      <c r="C42" s="313" t="s">
        <v>354</v>
      </c>
      <c r="D42" s="313" t="s">
        <v>354</v>
      </c>
      <c r="E42" s="313" t="s">
        <v>354</v>
      </c>
      <c r="F42" s="313" t="s">
        <v>354</v>
      </c>
      <c r="G42" s="313" t="s">
        <v>354</v>
      </c>
      <c r="H42" s="313" t="s">
        <v>354</v>
      </c>
      <c r="I42" s="313" t="s">
        <v>354</v>
      </c>
      <c r="J42" s="313" t="s">
        <v>354</v>
      </c>
      <c r="K42" s="313" t="s">
        <v>354</v>
      </c>
      <c r="L42" s="313" t="s">
        <v>354</v>
      </c>
      <c r="M42" s="313" t="s">
        <v>354</v>
      </c>
      <c r="N42" s="313" t="s">
        <v>354</v>
      </c>
      <c r="O42" s="313" t="s">
        <v>354</v>
      </c>
      <c r="P42" s="313" t="s">
        <v>354</v>
      </c>
    </row>
    <row r="43">
      <c r="A43" s="312" t="s">
        <v>92</v>
      </c>
      <c r="B43" s="313" t="s">
        <v>354</v>
      </c>
      <c r="C43" s="313" t="s">
        <v>354</v>
      </c>
      <c r="D43" s="313" t="s">
        <v>354</v>
      </c>
      <c r="E43" s="313" t="s">
        <v>354</v>
      </c>
      <c r="F43" s="313" t="s">
        <v>354</v>
      </c>
      <c r="G43" s="313" t="s">
        <v>354</v>
      </c>
      <c r="H43" s="313" t="s">
        <v>354</v>
      </c>
      <c r="I43" s="313" t="s">
        <v>354</v>
      </c>
      <c r="J43" s="313" t="s">
        <v>354</v>
      </c>
      <c r="K43" s="313" t="s">
        <v>354</v>
      </c>
      <c r="L43" s="313" t="s">
        <v>354</v>
      </c>
      <c r="M43" s="313" t="s">
        <v>354</v>
      </c>
      <c r="N43" s="313" t="s">
        <v>354</v>
      </c>
      <c r="O43" s="313" t="s">
        <v>354</v>
      </c>
      <c r="P43" s="313" t="s">
        <v>354</v>
      </c>
    </row>
    <row r="44">
      <c r="A44" s="314" t="s">
        <v>143</v>
      </c>
      <c r="B44" s="313" t="s">
        <v>354</v>
      </c>
      <c r="C44" s="313" t="s">
        <v>354</v>
      </c>
      <c r="D44" s="313" t="s">
        <v>354</v>
      </c>
      <c r="E44" s="313" t="s">
        <v>354</v>
      </c>
      <c r="F44" s="313" t="s">
        <v>354</v>
      </c>
      <c r="G44" s="313" t="s">
        <v>354</v>
      </c>
      <c r="H44" s="313" t="s">
        <v>354</v>
      </c>
      <c r="I44" s="313" t="s">
        <v>354</v>
      </c>
      <c r="J44" s="313" t="s">
        <v>354</v>
      </c>
      <c r="K44" s="313" t="s">
        <v>354</v>
      </c>
      <c r="L44" s="313" t="s">
        <v>354</v>
      </c>
      <c r="M44" s="313" t="s">
        <v>354</v>
      </c>
      <c r="N44" s="313" t="s">
        <v>354</v>
      </c>
      <c r="O44" s="313" t="s">
        <v>354</v>
      </c>
      <c r="P44" s="313" t="s">
        <v>354</v>
      </c>
    </row>
    <row r="45">
      <c r="A45" s="315" t="s">
        <v>146</v>
      </c>
      <c r="B45" s="313" t="s">
        <v>354</v>
      </c>
      <c r="C45" s="313" t="s">
        <v>354</v>
      </c>
      <c r="D45" s="313" t="s">
        <v>354</v>
      </c>
      <c r="E45" s="313" t="s">
        <v>354</v>
      </c>
      <c r="F45" s="313" t="s">
        <v>354</v>
      </c>
      <c r="G45" s="313" t="s">
        <v>354</v>
      </c>
      <c r="H45" s="313" t="s">
        <v>354</v>
      </c>
      <c r="I45" s="313" t="s">
        <v>354</v>
      </c>
      <c r="J45" s="313" t="s">
        <v>354</v>
      </c>
      <c r="K45" s="313" t="s">
        <v>354</v>
      </c>
      <c r="L45" s="313" t="s">
        <v>354</v>
      </c>
      <c r="M45" s="313" t="s">
        <v>354</v>
      </c>
      <c r="N45" s="313" t="s">
        <v>354</v>
      </c>
      <c r="O45" s="313" t="s">
        <v>354</v>
      </c>
      <c r="P45" s="313" t="s">
        <v>354</v>
      </c>
    </row>
    <row r="46">
      <c r="A46" s="316" t="s">
        <v>106</v>
      </c>
      <c r="B46" s="313" t="s">
        <v>354</v>
      </c>
      <c r="C46" s="313" t="s">
        <v>354</v>
      </c>
      <c r="D46" s="313" t="s">
        <v>354</v>
      </c>
      <c r="E46" s="313" t="s">
        <v>354</v>
      </c>
      <c r="F46" s="313" t="s">
        <v>354</v>
      </c>
      <c r="G46" s="313" t="s">
        <v>354</v>
      </c>
      <c r="H46" s="313" t="s">
        <v>354</v>
      </c>
      <c r="I46" s="313" t="s">
        <v>354</v>
      </c>
      <c r="J46" s="313" t="s">
        <v>354</v>
      </c>
      <c r="K46" s="313" t="s">
        <v>354</v>
      </c>
      <c r="L46" s="313" t="s">
        <v>354</v>
      </c>
      <c r="M46" s="313" t="s">
        <v>354</v>
      </c>
      <c r="N46" s="313" t="s">
        <v>354</v>
      </c>
      <c r="O46" s="313" t="s">
        <v>354</v>
      </c>
      <c r="P46" s="313" t="s">
        <v>354</v>
      </c>
    </row>
    <row r="47">
      <c r="A47" s="316" t="s">
        <v>104</v>
      </c>
      <c r="B47" s="313" t="s">
        <v>354</v>
      </c>
      <c r="C47" s="313" t="s">
        <v>354</v>
      </c>
      <c r="D47" s="313" t="s">
        <v>354</v>
      </c>
      <c r="E47" s="313" t="s">
        <v>354</v>
      </c>
      <c r="F47" s="313" t="s">
        <v>354</v>
      </c>
      <c r="G47" s="313" t="s">
        <v>354</v>
      </c>
      <c r="H47" s="313" t="s">
        <v>354</v>
      </c>
      <c r="I47" s="313" t="s">
        <v>354</v>
      </c>
      <c r="J47" s="313" t="s">
        <v>354</v>
      </c>
      <c r="K47" s="313" t="s">
        <v>354</v>
      </c>
      <c r="L47" s="313" t="s">
        <v>354</v>
      </c>
      <c r="M47" s="313" t="s">
        <v>354</v>
      </c>
      <c r="N47" s="313" t="s">
        <v>354</v>
      </c>
      <c r="O47" s="313" t="s">
        <v>354</v>
      </c>
      <c r="P47" s="313" t="s">
        <v>354</v>
      </c>
    </row>
    <row r="48">
      <c r="A48" s="316" t="s">
        <v>361</v>
      </c>
      <c r="B48" s="313" t="s">
        <v>354</v>
      </c>
      <c r="C48" s="313" t="s">
        <v>354</v>
      </c>
      <c r="D48" s="313" t="s">
        <v>354</v>
      </c>
      <c r="E48" s="313" t="s">
        <v>354</v>
      </c>
      <c r="F48" s="313" t="s">
        <v>354</v>
      </c>
      <c r="G48" s="313" t="s">
        <v>354</v>
      </c>
      <c r="H48" s="313" t="s">
        <v>354</v>
      </c>
      <c r="I48" s="313" t="s">
        <v>354</v>
      </c>
      <c r="J48" s="313" t="s">
        <v>354</v>
      </c>
      <c r="K48" s="313" t="s">
        <v>354</v>
      </c>
      <c r="L48" s="313" t="s">
        <v>354</v>
      </c>
      <c r="M48" s="313" t="s">
        <v>354</v>
      </c>
      <c r="N48" s="313" t="s">
        <v>354</v>
      </c>
      <c r="O48" s="313" t="s">
        <v>354</v>
      </c>
      <c r="P48" s="313" t="s">
        <v>354</v>
      </c>
    </row>
    <row r="49">
      <c r="A49" s="316" t="s">
        <v>138</v>
      </c>
      <c r="B49" s="313" t="s">
        <v>354</v>
      </c>
      <c r="C49" s="313" t="s">
        <v>354</v>
      </c>
      <c r="D49" s="313" t="s">
        <v>354</v>
      </c>
      <c r="E49" s="313" t="s">
        <v>354</v>
      </c>
      <c r="F49" s="313" t="s">
        <v>354</v>
      </c>
      <c r="G49" s="313" t="s">
        <v>354</v>
      </c>
      <c r="H49" s="313" t="s">
        <v>354</v>
      </c>
      <c r="I49" s="313" t="s">
        <v>354</v>
      </c>
      <c r="J49" s="313" t="s">
        <v>354</v>
      </c>
      <c r="K49" s="313" t="s">
        <v>354</v>
      </c>
      <c r="L49" s="313" t="s">
        <v>354</v>
      </c>
      <c r="M49" s="313" t="s">
        <v>354</v>
      </c>
      <c r="N49" s="313" t="s">
        <v>354</v>
      </c>
      <c r="O49" s="313" t="s">
        <v>354</v>
      </c>
      <c r="P49" s="313" t="s">
        <v>354</v>
      </c>
    </row>
    <row r="50">
      <c r="A50" s="317" t="s">
        <v>167</v>
      </c>
      <c r="B50" s="313" t="s">
        <v>354</v>
      </c>
      <c r="C50" s="313" t="s">
        <v>354</v>
      </c>
      <c r="D50" s="313" t="s">
        <v>354</v>
      </c>
      <c r="E50" s="313" t="s">
        <v>354</v>
      </c>
      <c r="F50" s="313" t="s">
        <v>354</v>
      </c>
      <c r="G50" s="313" t="s">
        <v>354</v>
      </c>
      <c r="H50" s="313" t="s">
        <v>354</v>
      </c>
      <c r="I50" s="313" t="s">
        <v>354</v>
      </c>
      <c r="J50" s="313" t="s">
        <v>354</v>
      </c>
      <c r="K50" s="313" t="s">
        <v>354</v>
      </c>
      <c r="L50" s="313" t="s">
        <v>354</v>
      </c>
      <c r="M50" s="313" t="s">
        <v>354</v>
      </c>
      <c r="N50" s="313" t="s">
        <v>354</v>
      </c>
      <c r="O50" s="313" t="s">
        <v>354</v>
      </c>
      <c r="P50" s="313" t="s">
        <v>354</v>
      </c>
    </row>
  </sheetData>
  <conditionalFormatting sqref="A3:A50">
    <cfRule type="cellIs" dxfId="0" priority="1" operator="equal">
      <formula>"W"</formula>
    </cfRule>
  </conditionalFormatting>
  <conditionalFormatting sqref="A3:A50">
    <cfRule type="cellIs" dxfId="1" priority="2" operator="equal">
      <formula>"L"</formula>
    </cfRule>
  </conditionalFormatting>
  <conditionalFormatting sqref="A3:A50">
    <cfRule type="cellIs" dxfId="2" priority="3" operator="equal">
      <formula>"T"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3" t="s">
        <v>338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>
      <c r="A2" s="313"/>
      <c r="B2" s="313" t="s">
        <v>339</v>
      </c>
      <c r="C2" s="313" t="s">
        <v>340</v>
      </c>
      <c r="D2" s="313" t="s">
        <v>341</v>
      </c>
      <c r="E2" s="313" t="s">
        <v>356</v>
      </c>
      <c r="F2" s="313" t="s">
        <v>357</v>
      </c>
      <c r="G2" s="313" t="s">
        <v>358</v>
      </c>
      <c r="H2" s="313" t="s">
        <v>359</v>
      </c>
      <c r="I2" s="313" t="s">
        <v>360</v>
      </c>
      <c r="J2" s="313" t="s">
        <v>124</v>
      </c>
    </row>
    <row r="3">
      <c r="A3" s="19" t="s">
        <v>12</v>
      </c>
      <c r="B3" s="313" t="s">
        <v>354</v>
      </c>
      <c r="C3" s="313" t="s">
        <v>354</v>
      </c>
      <c r="D3" s="313" t="s">
        <v>354</v>
      </c>
      <c r="E3" s="313" t="s">
        <v>354</v>
      </c>
      <c r="F3" s="313" t="s">
        <v>354</v>
      </c>
      <c r="G3" s="313" t="s">
        <v>354</v>
      </c>
      <c r="H3" s="313" t="s">
        <v>354</v>
      </c>
      <c r="I3" s="313" t="s">
        <v>354</v>
      </c>
      <c r="J3" s="313" t="s">
        <v>354</v>
      </c>
    </row>
    <row r="4">
      <c r="A4" s="19" t="s">
        <v>22</v>
      </c>
      <c r="B4" s="313" t="s">
        <v>354</v>
      </c>
      <c r="C4" s="313" t="s">
        <v>354</v>
      </c>
      <c r="D4" s="313" t="s">
        <v>354</v>
      </c>
      <c r="E4" s="313" t="s">
        <v>354</v>
      </c>
      <c r="F4" s="313" t="s">
        <v>354</v>
      </c>
      <c r="G4" s="313" t="s">
        <v>354</v>
      </c>
      <c r="H4" s="313" t="s">
        <v>354</v>
      </c>
      <c r="I4" s="313" t="s">
        <v>354</v>
      </c>
      <c r="J4" s="313" t="s">
        <v>354</v>
      </c>
    </row>
    <row r="5">
      <c r="A5" s="19" t="s">
        <v>134</v>
      </c>
      <c r="B5" s="313" t="s">
        <v>354</v>
      </c>
      <c r="C5" s="313" t="s">
        <v>354</v>
      </c>
      <c r="D5" s="313" t="s">
        <v>354</v>
      </c>
      <c r="E5" s="313" t="s">
        <v>354</v>
      </c>
      <c r="F5" s="313" t="s">
        <v>354</v>
      </c>
      <c r="G5" s="313" t="s">
        <v>354</v>
      </c>
      <c r="H5" s="313" t="s">
        <v>354</v>
      </c>
      <c r="I5" s="313" t="s">
        <v>354</v>
      </c>
      <c r="J5" s="313" t="s">
        <v>354</v>
      </c>
    </row>
    <row r="6">
      <c r="A6" s="19" t="s">
        <v>24</v>
      </c>
      <c r="B6" s="313" t="s">
        <v>354</v>
      </c>
      <c r="C6" s="313" t="s">
        <v>354</v>
      </c>
      <c r="D6" s="313" t="s">
        <v>354</v>
      </c>
      <c r="E6" s="313" t="s">
        <v>354</v>
      </c>
      <c r="F6" s="313" t="s">
        <v>354</v>
      </c>
      <c r="G6" s="313" t="s">
        <v>354</v>
      </c>
      <c r="H6" s="313" t="s">
        <v>354</v>
      </c>
      <c r="I6" s="313" t="s">
        <v>354</v>
      </c>
      <c r="J6" s="313" t="s">
        <v>354</v>
      </c>
    </row>
    <row r="7">
      <c r="A7" s="145" t="s">
        <v>155</v>
      </c>
      <c r="B7" s="313" t="s">
        <v>354</v>
      </c>
      <c r="C7" s="313" t="s">
        <v>354</v>
      </c>
      <c r="D7" s="313" t="s">
        <v>354</v>
      </c>
      <c r="E7" s="313" t="s">
        <v>354</v>
      </c>
      <c r="F7" s="313" t="s">
        <v>354</v>
      </c>
      <c r="G7" s="313" t="s">
        <v>354</v>
      </c>
      <c r="H7" s="313" t="s">
        <v>354</v>
      </c>
      <c r="I7" s="313" t="s">
        <v>354</v>
      </c>
      <c r="J7" s="313" t="s">
        <v>354</v>
      </c>
    </row>
    <row r="8">
      <c r="A8" s="145" t="s">
        <v>149</v>
      </c>
      <c r="B8" s="313" t="s">
        <v>354</v>
      </c>
      <c r="C8" s="313" t="s">
        <v>354</v>
      </c>
      <c r="D8" s="313" t="s">
        <v>354</v>
      </c>
      <c r="E8" s="313" t="s">
        <v>354</v>
      </c>
      <c r="F8" s="313" t="s">
        <v>354</v>
      </c>
      <c r="G8" s="313" t="s">
        <v>354</v>
      </c>
      <c r="H8" s="313" t="s">
        <v>354</v>
      </c>
      <c r="I8" s="313" t="s">
        <v>354</v>
      </c>
      <c r="J8" s="313" t="s">
        <v>354</v>
      </c>
    </row>
    <row r="9">
      <c r="A9" s="145" t="s">
        <v>157</v>
      </c>
      <c r="B9" s="313" t="s">
        <v>354</v>
      </c>
      <c r="C9" s="313" t="s">
        <v>354</v>
      </c>
      <c r="D9" s="313" t="s">
        <v>354</v>
      </c>
      <c r="E9" s="313" t="s">
        <v>354</v>
      </c>
      <c r="F9" s="313" t="s">
        <v>354</v>
      </c>
      <c r="G9" s="313" t="s">
        <v>354</v>
      </c>
      <c r="H9" s="313" t="s">
        <v>354</v>
      </c>
      <c r="I9" s="313" t="s">
        <v>354</v>
      </c>
      <c r="J9" s="313" t="s">
        <v>354</v>
      </c>
    </row>
    <row r="10">
      <c r="A10" s="145" t="s">
        <v>152</v>
      </c>
      <c r="B10" s="313" t="s">
        <v>354</v>
      </c>
      <c r="C10" s="313" t="s">
        <v>354</v>
      </c>
      <c r="D10" s="313" t="s">
        <v>354</v>
      </c>
      <c r="E10" s="313" t="s">
        <v>354</v>
      </c>
      <c r="F10" s="313" t="s">
        <v>354</v>
      </c>
      <c r="G10" s="313" t="s">
        <v>354</v>
      </c>
      <c r="H10" s="313" t="s">
        <v>354</v>
      </c>
      <c r="I10" s="313" t="s">
        <v>354</v>
      </c>
      <c r="J10" s="313" t="s">
        <v>354</v>
      </c>
    </row>
    <row r="11">
      <c r="A11" s="29" t="s">
        <v>32</v>
      </c>
      <c r="B11" s="313" t="s">
        <v>354</v>
      </c>
      <c r="C11" s="313" t="s">
        <v>354</v>
      </c>
      <c r="D11" s="313" t="s">
        <v>354</v>
      </c>
      <c r="E11" s="313" t="s">
        <v>354</v>
      </c>
      <c r="F11" s="313" t="s">
        <v>354</v>
      </c>
      <c r="G11" s="313" t="s">
        <v>354</v>
      </c>
      <c r="H11" s="313" t="s">
        <v>354</v>
      </c>
      <c r="I11" s="313" t="s">
        <v>354</v>
      </c>
      <c r="J11" s="313" t="s">
        <v>354</v>
      </c>
    </row>
    <row r="12">
      <c r="A12" s="29" t="s">
        <v>40</v>
      </c>
      <c r="B12" s="313" t="s">
        <v>354</v>
      </c>
      <c r="C12" s="313" t="s">
        <v>354</v>
      </c>
      <c r="D12" s="313" t="s">
        <v>354</v>
      </c>
      <c r="E12" s="313" t="s">
        <v>354</v>
      </c>
      <c r="F12" s="313" t="s">
        <v>354</v>
      </c>
      <c r="G12" s="313" t="s">
        <v>354</v>
      </c>
      <c r="H12" s="313" t="s">
        <v>354</v>
      </c>
      <c r="I12" s="313" t="s">
        <v>354</v>
      </c>
      <c r="J12" s="313" t="s">
        <v>354</v>
      </c>
    </row>
    <row r="13">
      <c r="A13" s="29" t="s">
        <v>41</v>
      </c>
      <c r="B13" s="313" t="s">
        <v>354</v>
      </c>
      <c r="C13" s="313" t="s">
        <v>354</v>
      </c>
      <c r="D13" s="313" t="s">
        <v>354</v>
      </c>
      <c r="E13" s="313" t="s">
        <v>354</v>
      </c>
      <c r="F13" s="313" t="s">
        <v>354</v>
      </c>
      <c r="G13" s="313" t="s">
        <v>354</v>
      </c>
      <c r="H13" s="313" t="s">
        <v>354</v>
      </c>
      <c r="I13" s="313" t="s">
        <v>354</v>
      </c>
      <c r="J13" s="313" t="s">
        <v>354</v>
      </c>
    </row>
    <row r="14">
      <c r="A14" s="29" t="s">
        <v>42</v>
      </c>
      <c r="B14" s="313" t="s">
        <v>354</v>
      </c>
      <c r="C14" s="313" t="s">
        <v>354</v>
      </c>
      <c r="D14" s="313" t="s">
        <v>354</v>
      </c>
      <c r="E14" s="313" t="s">
        <v>354</v>
      </c>
      <c r="F14" s="313" t="s">
        <v>354</v>
      </c>
      <c r="G14" s="313" t="s">
        <v>354</v>
      </c>
      <c r="H14" s="313" t="s">
        <v>354</v>
      </c>
      <c r="I14" s="313" t="s">
        <v>354</v>
      </c>
      <c r="J14" s="313" t="s">
        <v>354</v>
      </c>
    </row>
    <row r="15">
      <c r="A15" s="152" t="s">
        <v>148</v>
      </c>
      <c r="B15" s="313" t="s">
        <v>354</v>
      </c>
      <c r="C15" s="313" t="s">
        <v>354</v>
      </c>
      <c r="D15" s="313" t="s">
        <v>354</v>
      </c>
      <c r="E15" s="313" t="s">
        <v>354</v>
      </c>
      <c r="F15" s="313" t="s">
        <v>354</v>
      </c>
      <c r="G15" s="313" t="s">
        <v>354</v>
      </c>
      <c r="H15" s="313" t="s">
        <v>354</v>
      </c>
      <c r="I15" s="313" t="s">
        <v>354</v>
      </c>
      <c r="J15" s="313" t="s">
        <v>354</v>
      </c>
    </row>
    <row r="16">
      <c r="A16" s="152" t="s">
        <v>135</v>
      </c>
      <c r="B16" s="313" t="s">
        <v>354</v>
      </c>
      <c r="C16" s="313" t="s">
        <v>354</v>
      </c>
      <c r="D16" s="313" t="s">
        <v>354</v>
      </c>
      <c r="E16" s="313" t="s">
        <v>354</v>
      </c>
      <c r="F16" s="313" t="s">
        <v>354</v>
      </c>
      <c r="G16" s="313" t="s">
        <v>354</v>
      </c>
      <c r="H16" s="313" t="s">
        <v>354</v>
      </c>
      <c r="I16" s="313" t="s">
        <v>354</v>
      </c>
      <c r="J16" s="313" t="s">
        <v>354</v>
      </c>
    </row>
    <row r="17">
      <c r="A17" s="152" t="s">
        <v>162</v>
      </c>
      <c r="B17" s="313" t="s">
        <v>354</v>
      </c>
      <c r="C17" s="313" t="s">
        <v>354</v>
      </c>
      <c r="D17" s="313" t="s">
        <v>354</v>
      </c>
      <c r="E17" s="313" t="s">
        <v>354</v>
      </c>
      <c r="F17" s="313" t="s">
        <v>354</v>
      </c>
      <c r="G17" s="313" t="s">
        <v>354</v>
      </c>
      <c r="H17" s="313" t="s">
        <v>354</v>
      </c>
      <c r="I17" s="313" t="s">
        <v>354</v>
      </c>
      <c r="J17" s="313" t="s">
        <v>354</v>
      </c>
    </row>
    <row r="18">
      <c r="A18" s="318" t="s">
        <v>163</v>
      </c>
      <c r="B18" s="313" t="s">
        <v>354</v>
      </c>
      <c r="C18" s="313" t="s">
        <v>354</v>
      </c>
      <c r="D18" s="313" t="s">
        <v>354</v>
      </c>
      <c r="E18" s="313" t="s">
        <v>354</v>
      </c>
      <c r="F18" s="313" t="s">
        <v>354</v>
      </c>
      <c r="G18" s="313" t="s">
        <v>354</v>
      </c>
      <c r="H18" s="313" t="s">
        <v>354</v>
      </c>
      <c r="I18" s="313" t="s">
        <v>354</v>
      </c>
      <c r="J18" s="313" t="s">
        <v>354</v>
      </c>
    </row>
    <row r="19">
      <c r="A19" s="249"/>
    </row>
    <row r="20">
      <c r="A20" s="249"/>
    </row>
    <row r="21">
      <c r="A21" s="249"/>
    </row>
    <row r="22">
      <c r="A22" s="249"/>
    </row>
    <row r="23">
      <c r="A23" s="249"/>
    </row>
    <row r="24">
      <c r="A24" s="249"/>
    </row>
    <row r="25">
      <c r="A25" s="249"/>
    </row>
    <row r="26">
      <c r="A26" s="249"/>
    </row>
    <row r="27">
      <c r="A27" s="249"/>
    </row>
    <row r="28">
      <c r="A28" s="249"/>
    </row>
    <row r="29">
      <c r="A29" s="249"/>
    </row>
    <row r="30">
      <c r="A30" s="249"/>
    </row>
    <row r="31">
      <c r="A31" s="249"/>
    </row>
    <row r="32">
      <c r="A32" s="249"/>
    </row>
    <row r="33">
      <c r="A33" s="249"/>
    </row>
    <row r="34">
      <c r="A34" s="249"/>
    </row>
    <row r="35">
      <c r="A35" s="249"/>
    </row>
    <row r="36">
      <c r="A36" s="249"/>
    </row>
    <row r="37">
      <c r="A37" s="249"/>
    </row>
    <row r="38">
      <c r="A38" s="249"/>
    </row>
    <row r="39">
      <c r="A39" s="249"/>
    </row>
    <row r="40">
      <c r="A40" s="249"/>
    </row>
    <row r="41">
      <c r="A41" s="249"/>
    </row>
    <row r="42">
      <c r="A42" s="249"/>
    </row>
    <row r="43">
      <c r="A43" s="249"/>
    </row>
    <row r="44">
      <c r="A44" s="249"/>
    </row>
    <row r="45">
      <c r="A45" s="249"/>
    </row>
    <row r="46">
      <c r="A46" s="249"/>
    </row>
    <row r="47">
      <c r="A47" s="249"/>
    </row>
    <row r="48">
      <c r="A48" s="249"/>
    </row>
    <row r="49">
      <c r="A49" s="249"/>
    </row>
    <row r="50">
      <c r="A50" s="249"/>
    </row>
  </sheetData>
  <conditionalFormatting sqref="A3:A50">
    <cfRule type="cellIs" dxfId="0" priority="1" operator="equal">
      <formula>"W"</formula>
    </cfRule>
  </conditionalFormatting>
  <conditionalFormatting sqref="A3:A50">
    <cfRule type="cellIs" dxfId="1" priority="2" operator="equal">
      <formula>"L"</formula>
    </cfRule>
  </conditionalFormatting>
  <conditionalFormatting sqref="A3:A50">
    <cfRule type="cellIs" dxfId="2" priority="3" operator="equal">
      <formula>"T"</formula>
    </cfRule>
  </conditionalFormatting>
  <drawing r:id="rId1"/>
</worksheet>
</file>