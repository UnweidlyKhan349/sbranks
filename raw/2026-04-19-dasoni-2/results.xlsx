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Round Robin Divisions" sheetId="2" r:id="rId6"/>
    <sheet state="visible" name="Round Robin" sheetId="3" r:id="rId7"/>
    <sheet state="hidden" name="Double Elimination" sheetId="4" r:id="rId8"/>
    <sheet state="visible" name="DE Bracket" sheetId="5" r:id="rId9"/>
  </sheets>
  <definedNames/>
  <calcPr/>
</workbook>
</file>

<file path=xl/sharedStrings.xml><?xml version="1.0" encoding="utf-8"?>
<sst xmlns="http://schemas.openxmlformats.org/spreadsheetml/2006/main" count="415" uniqueCount="245">
  <si>
    <t>DE 1</t>
  </si>
  <si>
    <t>Division 1</t>
  </si>
  <si>
    <t>DE 2</t>
  </si>
  <si>
    <t>DE 3</t>
  </si>
  <si>
    <t>DE 4</t>
  </si>
  <si>
    <t>DE 5</t>
  </si>
  <si>
    <t>DE 6</t>
  </si>
  <si>
    <t>DE 7</t>
  </si>
  <si>
    <t>Finals</t>
  </si>
  <si>
    <t>Division 2</t>
  </si>
  <si>
    <t>Schedule for Divisions 1-3</t>
  </si>
  <si>
    <t>1-Collierville A</t>
  </si>
  <si>
    <t>Time</t>
  </si>
  <si>
    <t>2-Iolani B</t>
  </si>
  <si>
    <t>1-Collierville B</t>
  </si>
  <si>
    <t>2-Iolani A</t>
  </si>
  <si>
    <t>Round</t>
  </si>
  <si>
    <t>Room 1</t>
  </si>
  <si>
    <t>Seed</t>
  </si>
  <si>
    <t xml:space="preserve">Room 2 </t>
  </si>
  <si>
    <t>Room 3</t>
  </si>
  <si>
    <t>3-Woodlands</t>
  </si>
  <si>
    <t>4-Ward Melville</t>
  </si>
  <si>
    <t>3-North Hollywood A</t>
  </si>
  <si>
    <t>4-Lexington B</t>
  </si>
  <si>
    <t>Collierville A</t>
  </si>
  <si>
    <t>RR1</t>
  </si>
  <si>
    <t>Team</t>
  </si>
  <si>
    <t>2 vs 1</t>
  </si>
  <si>
    <t>3 vs 6</t>
  </si>
  <si>
    <t>Iolani B</t>
  </si>
  <si>
    <t>4 vs 5</t>
  </si>
  <si>
    <t>Woodlands</t>
  </si>
  <si>
    <t>5-Deap South</t>
  </si>
  <si>
    <t>6-WWPS B</t>
  </si>
  <si>
    <t>Division</t>
  </si>
  <si>
    <t>Ward Melville</t>
  </si>
  <si>
    <t>Deap South</t>
  </si>
  <si>
    <t>5-American Heritage</t>
  </si>
  <si>
    <t>6-Hunter</t>
  </si>
  <si>
    <t>RR2</t>
  </si>
  <si>
    <t>3 vs 4</t>
  </si>
  <si>
    <t>6 vs 1</t>
  </si>
  <si>
    <t>WWPS B</t>
  </si>
  <si>
    <t>2 vs 5</t>
  </si>
  <si>
    <t>Wins</t>
  </si>
  <si>
    <t>RR3</t>
  </si>
  <si>
    <t>6 vs 4</t>
  </si>
  <si>
    <t>2 vs 3</t>
  </si>
  <si>
    <t>1 vs 5</t>
  </si>
  <si>
    <t>PPG</t>
  </si>
  <si>
    <t>Division 3</t>
  </si>
  <si>
    <t>Division 4</t>
  </si>
  <si>
    <t>Collierville B</t>
  </si>
  <si>
    <t>7:45 - 8:00 a.m. PST</t>
  </si>
  <si>
    <t>Iolani A</t>
  </si>
  <si>
    <t>North Hollywood A</t>
  </si>
  <si>
    <t>Lexington B</t>
  </si>
  <si>
    <t>RR4</t>
  </si>
  <si>
    <t>Opening Ceremony</t>
  </si>
  <si>
    <t>American Heritage</t>
  </si>
  <si>
    <t>4 vs 1</t>
  </si>
  <si>
    <t>5 vs 3</t>
  </si>
  <si>
    <t>Hunter</t>
  </si>
  <si>
    <t>6 vs 2</t>
  </si>
  <si>
    <t>1-Punahou School</t>
  </si>
  <si>
    <t>2-Bridgeland</t>
  </si>
  <si>
    <t>1-Allen School</t>
  </si>
  <si>
    <t>2-Clovis North</t>
  </si>
  <si>
    <t>RR5</t>
  </si>
  <si>
    <t>5 vs 6</t>
  </si>
  <si>
    <t>1 vs 3</t>
  </si>
  <si>
    <t>4 vs 2</t>
  </si>
  <si>
    <t>3-North Hollywood B</t>
  </si>
  <si>
    <t>4-Benjamin Franklin</t>
  </si>
  <si>
    <t>3-Morgantown</t>
  </si>
  <si>
    <t>4-Deep Run</t>
  </si>
  <si>
    <t>Lynbrook A</t>
  </si>
  <si>
    <t>5-BISV A</t>
  </si>
  <si>
    <t>6-MSJ</t>
  </si>
  <si>
    <t>5-Thomas Jefferson</t>
  </si>
  <si>
    <t>6-[   ]</t>
  </si>
  <si>
    <t>Schedule for Divisions 4-8</t>
  </si>
  <si>
    <t>Division 5</t>
  </si>
  <si>
    <t>Division 6</t>
  </si>
  <si>
    <t>1-Palo Alto</t>
  </si>
  <si>
    <t>2-Doral Academy</t>
  </si>
  <si>
    <t>1-Canyon Crest A</t>
  </si>
  <si>
    <t>2-BISV B</t>
  </si>
  <si>
    <t>3 (bye)</t>
  </si>
  <si>
    <t>3-Quail Valley</t>
  </si>
  <si>
    <t>4-Lexington A</t>
  </si>
  <si>
    <t>3-Varun Clemens</t>
  </si>
  <si>
    <t>4-Arcadia A</t>
  </si>
  <si>
    <t>1 (bye)</t>
  </si>
  <si>
    <t>5-North Allegheny</t>
  </si>
  <si>
    <t>5-Luka Fan Club</t>
  </si>
  <si>
    <t>4 (bye)</t>
  </si>
  <si>
    <t>2 (bye)</t>
  </si>
  <si>
    <t>Division 7</t>
  </si>
  <si>
    <t>Division 8</t>
  </si>
  <si>
    <t>5 (bye)</t>
  </si>
  <si>
    <t>1-Canyon Crest B</t>
  </si>
  <si>
    <t>2-Lynbrook A</t>
  </si>
  <si>
    <t>1-WWPS A</t>
  </si>
  <si>
    <t>2-Lynbrook B</t>
  </si>
  <si>
    <t>3-BASIS Chandler</t>
  </si>
  <si>
    <t>4-Enloe</t>
  </si>
  <si>
    <t>3-Eastlake</t>
  </si>
  <si>
    <t>4-Whitney Young</t>
  </si>
  <si>
    <t>5-Arcadia B</t>
  </si>
  <si>
    <t>5-Clements</t>
  </si>
  <si>
    <t>RR Moderator Assigments</t>
  </si>
  <si>
    <t>Moderator Alternates:</t>
  </si>
  <si>
    <t>8:05 - 9:00 a.m. PST</t>
  </si>
  <si>
    <t>Room 2</t>
  </si>
  <si>
    <t>@uongea</t>
  </si>
  <si>
    <t>@bonkywonkytonky</t>
  </si>
  <si>
    <t>@memecam_</t>
  </si>
  <si>
    <t>@optil</t>
  </si>
  <si>
    <t>@darkstaller</t>
  </si>
  <si>
    <t>Round Robin 1</t>
  </si>
  <si>
    <t>@__shan</t>
  </si>
  <si>
    <t>@eridescence25.</t>
  </si>
  <si>
    <t>@.tinyhands.</t>
  </si>
  <si>
    <t>@abstractpotato</t>
  </si>
  <si>
    <t>@justlifin</t>
  </si>
  <si>
    <t xml:space="preserve">@kyogre202024387 </t>
  </si>
  <si>
    <t>CHAMPION:</t>
  </si>
  <si>
    <t>@marmoris_</t>
  </si>
  <si>
    <t>@vibhavganesan_27508</t>
  </si>
  <si>
    <t xml:space="preserve">@number2mogger </t>
  </si>
  <si>
    <t>@flippase</t>
  </si>
  <si>
    <t>@.justinguo</t>
  </si>
  <si>
    <t>@gmaxsnorlax1</t>
  </si>
  <si>
    <t>@bryce_thach</t>
  </si>
  <si>
    <t>@athamey</t>
  </si>
  <si>
    <t>@snapninja</t>
  </si>
  <si>
    <t>@goldenorbweaver</t>
  </si>
  <si>
    <t>@metavarias</t>
  </si>
  <si>
    <t>DE Moderator Assignments</t>
  </si>
  <si>
    <t>Room 4</t>
  </si>
  <si>
    <t>Room 5</t>
  </si>
  <si>
    <t>@katzhww</t>
  </si>
  <si>
    <t>Room 6</t>
  </si>
  <si>
    <t>@marmoris</t>
  </si>
  <si>
    <t>Room 7</t>
  </si>
  <si>
    <t>Room 8</t>
  </si>
  <si>
    <t>9:00 - 9:30 a.m. PST</t>
  </si>
  <si>
    <t>Round Robin 2</t>
  </si>
  <si>
    <t>MSJ</t>
  </si>
  <si>
    <t>9:30 - 10:00 a.m. PST</t>
  </si>
  <si>
    <t>Round Robin 3</t>
  </si>
  <si>
    <t>Punahou</t>
  </si>
  <si>
    <t>Bridgeland</t>
  </si>
  <si>
    <t>N. Hollywood B</t>
  </si>
  <si>
    <t>Ben Franklin</t>
  </si>
  <si>
    <t>BISV A</t>
  </si>
  <si>
    <t>Allen School</t>
  </si>
  <si>
    <t>Clovis North</t>
  </si>
  <si>
    <t>Morgantow</t>
  </si>
  <si>
    <t>Deep Run</t>
  </si>
  <si>
    <t>Thomas Jefferson</t>
  </si>
  <si>
    <t>[   ]</t>
  </si>
  <si>
    <t>10:00 - 10:30 a.m. PST</t>
  </si>
  <si>
    <t>Round Robin 4</t>
  </si>
  <si>
    <t>North Allegheny</t>
  </si>
  <si>
    <t>North Hollywood B</t>
  </si>
  <si>
    <t>Morgantown</t>
  </si>
  <si>
    <t>Benjamin Franklin</t>
  </si>
  <si>
    <t>10:30 - 11:00 a.m. PST</t>
  </si>
  <si>
    <t>Round Robin 5</t>
  </si>
  <si>
    <t>BASIS Chandler</t>
  </si>
  <si>
    <t>Palo Alto</t>
  </si>
  <si>
    <t>Doral Academy</t>
  </si>
  <si>
    <t>Quail Valley</t>
  </si>
  <si>
    <t>Lexington A</t>
  </si>
  <si>
    <t>N. Allegheny</t>
  </si>
  <si>
    <t>Canyon Crest A</t>
  </si>
  <si>
    <t>BISV B</t>
  </si>
  <si>
    <t>11:00 - 11:50 a.m. PST</t>
  </si>
  <si>
    <t>Varun Clemens</t>
  </si>
  <si>
    <t>Arcadia A</t>
  </si>
  <si>
    <t>Luka Fan Club</t>
  </si>
  <si>
    <t>Lunch Break</t>
  </si>
  <si>
    <t>11:50 - 12:30 p.m. PST</t>
  </si>
  <si>
    <t>Double Elimination 1</t>
  </si>
  <si>
    <t>12:30 - 1:00 p.m. PST</t>
  </si>
  <si>
    <t>Double Elimination 2</t>
  </si>
  <si>
    <t>Canyon Crest B</t>
  </si>
  <si>
    <t>Enloe</t>
  </si>
  <si>
    <t>Arcadia B</t>
  </si>
  <si>
    <t>WWPS A</t>
  </si>
  <si>
    <t>Lynbrook B</t>
  </si>
  <si>
    <t>Eastlake</t>
  </si>
  <si>
    <t>Whitney Young</t>
  </si>
  <si>
    <t>Clements</t>
  </si>
  <si>
    <t>1:00 - 1:30 p.m PST</t>
  </si>
  <si>
    <t>Double Elimination 3</t>
  </si>
  <si>
    <t>1:30- 2:00 p.m. PST</t>
  </si>
  <si>
    <t>Double Elimination 4</t>
  </si>
  <si>
    <t>2:00 - 2:30 p.m. PST</t>
  </si>
  <si>
    <t>Double Elimination 5</t>
  </si>
  <si>
    <t>2:30 - 3:00 p.m. PST</t>
  </si>
  <si>
    <t>Break</t>
  </si>
  <si>
    <t>3:00 - 3:30 p.m. PST</t>
  </si>
  <si>
    <t>Double Elimination 6</t>
  </si>
  <si>
    <t>3:30 - 4:00 p.m. PST</t>
  </si>
  <si>
    <t>Double Elimination 7</t>
  </si>
  <si>
    <t>4:00 - 5:00 p.m. PST</t>
  </si>
  <si>
    <t>Double Elimination Finals</t>
  </si>
  <si>
    <t>Room</t>
  </si>
  <si>
    <t>144-52</t>
  </si>
  <si>
    <t>5:00 - 5:30 p.m. PST</t>
  </si>
  <si>
    <t>W-11</t>
  </si>
  <si>
    <t>Closing Ceremony</t>
  </si>
  <si>
    <t>W-21</t>
  </si>
  <si>
    <t>70-80</t>
  </si>
  <si>
    <t>W-12</t>
  </si>
  <si>
    <t>W-31</t>
  </si>
  <si>
    <t>100-72</t>
  </si>
  <si>
    <t>W-13</t>
  </si>
  <si>
    <t>W-22</t>
  </si>
  <si>
    <t>68-82</t>
  </si>
  <si>
    <t>W-14</t>
  </si>
  <si>
    <t>W-41</t>
  </si>
  <si>
    <t>94-86</t>
  </si>
  <si>
    <t>W-15</t>
  </si>
  <si>
    <t>W-23</t>
  </si>
  <si>
    <t>94-70</t>
  </si>
  <si>
    <t>W-16</t>
  </si>
  <si>
    <t>W-32</t>
  </si>
  <si>
    <t>124-32</t>
  </si>
  <si>
    <t>W-17</t>
  </si>
  <si>
    <t>W-24</t>
  </si>
  <si>
    <t>100-2</t>
  </si>
  <si>
    <t>W-18</t>
  </si>
  <si>
    <t>24-74</t>
  </si>
  <si>
    <t>78-102</t>
  </si>
  <si>
    <t>64-36</t>
  </si>
  <si>
    <t>104-28</t>
  </si>
  <si>
    <t>30-26</t>
  </si>
  <si>
    <t>86-48</t>
  </si>
  <si>
    <t>72-44</t>
  </si>
  <si>
    <t>120-68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</si>
</sst>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Roboto"/>
    </font>
    <font>
      <color theme="1"/>
      <name val="Arial"/>
      <scheme val="minor"/>
    </font>
    <font>
      <sz val="10.0"/>
      <color theme="1"/>
      <name val="Arial"/>
      <scheme val="minor"/>
    </font>
    <font/>
    <font>
      <color theme="1"/>
      <name val="Arial"/>
    </font>
    <font>
      <b/>
      <sz val="16.0"/>
      <color rgb="FF000000"/>
      <name val="Arial"/>
    </font>
    <font>
      <color theme="1"/>
      <name val="Roboto"/>
    </font>
    <font>
      <color rgb="FF212324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>
      <color rgb="FF434343"/>
      <name val="Roboto"/>
    </font>
    <font>
      <color rgb="FF0D593A"/>
      <name val="Roboto"/>
    </font>
    <font>
      <b/>
      <sz val="10.0"/>
      <color theme="1"/>
      <name val="Roboto"/>
    </font>
    <font>
      <sz val="12.0"/>
      <color theme="1"/>
      <name val="Cambria Math"/>
    </font>
    <font>
      <color rgb="FFD4EDBC"/>
      <name val="Roboto"/>
    </font>
    <font>
      <sz val="9.0"/>
      <color rgb="FF000000"/>
      <name val="Arial"/>
      <scheme val="minor"/>
    </font>
    <font>
      <sz val="9.0"/>
      <color theme="1"/>
      <name val="Arial"/>
      <scheme val="minor"/>
    </font>
    <font>
      <color rgb="FF24260A"/>
      <name val="Roboto"/>
    </font>
    <font>
      <color rgb="FF555917"/>
      <name val="Roboto"/>
    </font>
    <font>
      <i/>
      <sz val="10.0"/>
      <color theme="1"/>
      <name val="Arial"/>
    </font>
    <font>
      <b/>
      <i/>
      <sz val="14.0"/>
      <color theme="1"/>
      <name val="Arial"/>
    </font>
    <font>
      <b/>
      <i/>
      <sz val="14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4A86E8"/>
        <bgColor rgb="FF4A86E8"/>
      </patternFill>
    </fill>
  </fills>
  <borders count="3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bottom style="dotted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medium">
        <color rgb="FF000000"/>
      </left>
    </border>
    <border>
      <bottom style="hair">
        <color rgb="FF000000"/>
      </bottom>
    </border>
    <border>
      <left style="medium">
        <color rgb="FF000000"/>
      </left>
      <right style="medium">
        <color rgb="FF000000"/>
      </right>
    </border>
    <border>
      <bottom style="double">
        <color rgb="FF000000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right style="medium">
        <color rgb="FF000000"/>
      </right>
      <top style="medium">
        <color rgb="FF000000"/>
      </top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/>
    </xf>
    <xf borderId="0" fillId="0" fontId="4" numFmtId="0" xfId="0" applyFont="1"/>
    <xf borderId="2" fillId="0" fontId="5" numFmtId="0" xfId="0" applyBorder="1" applyFont="1"/>
    <xf borderId="3" fillId="0" fontId="3" numFmtId="0" xfId="0" applyAlignment="1" applyBorder="1" applyFont="1">
      <alignment horizontal="center" readingOrder="0" shrinkToFit="0" wrapText="0"/>
    </xf>
    <xf borderId="4" fillId="0" fontId="5" numFmtId="0" xfId="0" applyBorder="1" applyFont="1"/>
    <xf borderId="5" fillId="0" fontId="1" numFmtId="1" xfId="0" applyAlignment="1" applyBorder="1" applyFont="1" applyNumberFormat="1">
      <alignment readingOrder="0" vertical="bottom"/>
    </xf>
    <xf borderId="6" fillId="0" fontId="5" numFmtId="0" xfId="0" applyBorder="1" applyFont="1"/>
    <xf borderId="5" fillId="0" fontId="1" numFmtId="0" xfId="0" applyAlignment="1" applyBorder="1" applyFont="1">
      <alignment horizontal="right" vertical="bottom"/>
    </xf>
    <xf borderId="3" fillId="2" fontId="3" numFmtId="0" xfId="0" applyAlignment="1" applyBorder="1" applyFill="1" applyFont="1">
      <alignment horizontal="center"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shrinkToFit="0" wrapText="0"/>
    </xf>
    <xf borderId="0" fillId="0" fontId="6" numFmtId="0" xfId="0" applyAlignment="1" applyFont="1">
      <alignment vertical="bottom"/>
    </xf>
    <xf borderId="7" fillId="0" fontId="3" numFmtId="0" xfId="0" applyAlignment="1" applyBorder="1" applyFont="1">
      <alignment readingOrder="0"/>
    </xf>
    <xf borderId="8" fillId="0" fontId="1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shrinkToFit="0" wrapText="0"/>
    </xf>
    <xf borderId="5" fillId="0" fontId="1" numFmtId="1" xfId="0" applyAlignment="1" applyBorder="1" applyFont="1" applyNumberFormat="1">
      <alignment vertical="bottom"/>
    </xf>
    <xf borderId="9" fillId="0" fontId="7" numFmtId="0" xfId="0" applyAlignment="1" applyBorder="1" applyFont="1">
      <alignment horizontal="center" readingOrder="0" shrinkToFit="0" wrapText="1"/>
    </xf>
    <xf borderId="10" fillId="0" fontId="5" numFmtId="0" xfId="0" applyBorder="1" applyFont="1"/>
    <xf borderId="11" fillId="0" fontId="3" numFmtId="0" xfId="0" applyBorder="1" applyFont="1"/>
    <xf borderId="12" fillId="0" fontId="1" numFmtId="0" xfId="0" applyAlignment="1" applyBorder="1" applyFont="1">
      <alignment horizontal="right" vertical="bottom"/>
    </xf>
    <xf borderId="0" fillId="0" fontId="3" numFmtId="0" xfId="0" applyAlignment="1" applyFont="1">
      <alignment readingOrder="0"/>
    </xf>
    <xf borderId="13" fillId="0" fontId="3" numFmtId="0" xfId="0" applyAlignment="1" applyBorder="1" applyFont="1">
      <alignment readingOrder="0"/>
    </xf>
    <xf borderId="3" fillId="3" fontId="3" numFmtId="0" xfId="0" applyAlignment="1" applyBorder="1" applyFill="1" applyFont="1">
      <alignment shrinkToFit="0" wrapText="0"/>
    </xf>
    <xf borderId="14" fillId="0" fontId="1" numFmtId="0" xfId="0" applyAlignment="1" applyBorder="1" applyFont="1">
      <alignment vertical="bottom"/>
    </xf>
    <xf borderId="0" fillId="0" fontId="8" numFmtId="0" xfId="0" applyAlignment="1" applyFont="1">
      <alignment horizontal="left" readingOrder="0" shrinkToFit="0" vertical="center" wrapText="0"/>
    </xf>
    <xf borderId="11" fillId="0" fontId="3" numFmtId="0" xfId="0" applyAlignment="1" applyBorder="1" applyFont="1">
      <alignment readingOrder="0"/>
    </xf>
    <xf borderId="4" fillId="0" fontId="9" numFmtId="0" xfId="0" applyAlignment="1" applyBorder="1" applyFont="1">
      <alignment readingOrder="0" shrinkToFit="0" wrapText="0"/>
    </xf>
    <xf borderId="6" fillId="0" fontId="9" numFmtId="0" xfId="0" applyAlignment="1" applyBorder="1" applyFont="1">
      <alignment readingOrder="0" shrinkToFit="0" wrapText="0"/>
    </xf>
    <xf borderId="0" fillId="0" fontId="8" numFmtId="1" xfId="0" applyAlignment="1" applyFont="1" applyNumberFormat="1">
      <alignment horizontal="left" readingOrder="0" shrinkToFit="0" vertical="center" wrapText="0"/>
    </xf>
    <xf borderId="15" fillId="0" fontId="10" numFmtId="0" xfId="0" applyAlignment="1" applyBorder="1" applyFont="1">
      <alignment horizontal="center" readingOrder="0" shrinkToFit="0" wrapText="1"/>
    </xf>
    <xf borderId="16" fillId="0" fontId="11" numFmtId="0" xfId="0" applyAlignment="1" applyBorder="1" applyFont="1">
      <alignment horizontal="center" readingOrder="0" shrinkToFit="0" wrapText="1"/>
    </xf>
    <xf borderId="17" fillId="0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3" numFmtId="0" xfId="0" applyAlignment="1" applyBorder="1" applyFont="1">
      <alignment readingOrder="0"/>
    </xf>
    <xf borderId="20" fillId="4" fontId="12" numFmtId="0" xfId="0" applyAlignment="1" applyBorder="1" applyFill="1" applyFont="1">
      <alignment horizontal="right" shrinkToFit="0" vertical="center" wrapText="0"/>
    </xf>
    <xf borderId="21" fillId="5" fontId="12" numFmtId="0" xfId="0" applyAlignment="1" applyBorder="1" applyFill="1" applyFont="1">
      <alignment readingOrder="0" shrinkToFit="0" vertical="center" wrapText="0"/>
    </xf>
    <xf borderId="0" fillId="0" fontId="1" numFmtId="1" xfId="0" applyAlignment="1" applyFont="1" applyNumberFormat="1">
      <alignment vertical="bottom"/>
    </xf>
    <xf borderId="21" fillId="5" fontId="12" numFmtId="0" xfId="0" applyAlignment="1" applyBorder="1" applyFill="1" applyFont="1">
      <alignment horizontal="center" shrinkToFit="0" vertical="center" wrapText="0"/>
    </xf>
    <xf borderId="0" fillId="0" fontId="3" numFmtId="0" xfId="0" applyFont="1"/>
    <xf borderId="21" fillId="5" fontId="13" numFmtId="0" xfId="0" applyAlignment="1" applyBorder="1" applyFill="1" applyFont="1">
      <alignment horizontal="right" shrinkToFit="0" vertical="center" wrapText="0"/>
    </xf>
    <xf borderId="11" fillId="6" fontId="9" numFmtId="0" xfId="0" applyAlignment="1" applyBorder="1" applyFill="1" applyFont="1">
      <alignment readingOrder="0" shrinkToFit="0" wrapText="0"/>
    </xf>
    <xf borderId="0" fillId="3" fontId="3" numFmtId="0" xfId="0" applyAlignment="1" applyFill="1" applyFont="1">
      <alignment shrinkToFit="0" wrapText="0"/>
    </xf>
    <xf borderId="22" fillId="5" fontId="12" numFmtId="0" xfId="0" applyAlignment="1" applyBorder="1" applyFill="1" applyFont="1">
      <alignment horizontal="right" shrinkToFit="0" vertical="center" wrapText="0"/>
    </xf>
    <xf borderId="0" fillId="0" fontId="3" numFmtId="0" xfId="0" applyAlignment="1" applyFont="1">
      <alignment readingOrder="0" shrinkToFit="0" wrapText="0"/>
    </xf>
    <xf borderId="13" fillId="0" fontId="3" numFmtId="0" xfId="0" applyAlignment="1" applyBorder="1" applyFont="1">
      <alignment readingOrder="0" shrinkToFit="0" wrapText="0"/>
    </xf>
    <xf borderId="11" fillId="0" fontId="9" numFmtId="0" xfId="0" applyAlignment="1" applyBorder="1" applyFont="1">
      <alignment readingOrder="0" shrinkToFit="0" wrapText="0"/>
    </xf>
    <xf borderId="23" fillId="0" fontId="10" numFmtId="0" xfId="0" applyAlignment="1" applyBorder="1" applyFont="1">
      <alignment horizontal="center" readingOrder="0" shrinkToFit="0" wrapText="1"/>
    </xf>
    <xf borderId="24" fillId="0" fontId="1" numFmtId="0" xfId="0" applyAlignment="1" applyBorder="1" applyFont="1">
      <alignment vertical="bottom"/>
    </xf>
    <xf borderId="25" fillId="0" fontId="10" numFmtId="0" xfId="0" applyAlignment="1" applyBorder="1" applyFont="1">
      <alignment horizontal="center" readingOrder="0" shrinkToFit="0" wrapText="1"/>
    </xf>
    <xf borderId="24" fillId="0" fontId="14" numFmtId="0" xfId="0" applyAlignment="1" applyBorder="1" applyFont="1">
      <alignment readingOrder="0" vertical="bottom"/>
    </xf>
    <xf borderId="26" fillId="0" fontId="15" numFmtId="1" xfId="0" applyAlignment="1" applyBorder="1" applyFont="1" applyNumberFormat="1">
      <alignment vertical="bottom"/>
    </xf>
    <xf borderId="13" fillId="0" fontId="3" numFmtId="0" xfId="0" applyBorder="1" applyFont="1"/>
    <xf borderId="27" fillId="5" fontId="12" numFmtId="0" xfId="0" applyAlignment="1" applyBorder="1" applyFill="1" applyFont="1">
      <alignment horizontal="right" shrinkToFit="0" vertical="center" wrapText="0"/>
    </xf>
    <xf borderId="28" fillId="4" fontId="12" numFmtId="0" xfId="0" applyAlignment="1" applyBorder="1" applyFill="1" applyFont="1">
      <alignment readingOrder="0" shrinkToFit="0" vertical="center" wrapText="0"/>
    </xf>
    <xf borderId="19" fillId="0" fontId="3" numFmtId="0" xfId="0" applyBorder="1" applyFont="1"/>
    <xf borderId="28" fillId="4" fontId="12" numFmtId="0" xfId="0" applyAlignment="1" applyBorder="1" applyFill="1" applyFont="1">
      <alignment horizontal="center" shrinkToFit="0" vertical="center" wrapText="0"/>
    </xf>
    <xf borderId="28" fillId="4" fontId="16" numFmtId="0" xfId="0" applyAlignment="1" applyBorder="1" applyFill="1" applyFont="1">
      <alignment horizontal="right" shrinkToFit="0" vertical="center" wrapText="0"/>
    </xf>
    <xf borderId="29" fillId="4" fontId="12" numFmtId="0" xfId="0" applyAlignment="1" applyBorder="1" applyFill="1" applyFont="1">
      <alignment horizontal="right" shrinkToFit="0" vertical="center" wrapText="0"/>
    </xf>
    <xf borderId="5" fillId="0" fontId="1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30" fillId="0" fontId="1" numFmtId="0" xfId="0" applyAlignment="1" applyBorder="1" applyFont="1">
      <alignment readingOrder="0" vertical="bottom"/>
    </xf>
    <xf borderId="12" fillId="0" fontId="1" numFmtId="0" xfId="0" applyAlignment="1" applyBorder="1" applyFont="1">
      <alignment horizontal="right" readingOrder="0" vertical="bottom"/>
    </xf>
    <xf borderId="5" fillId="0" fontId="3" numFmtId="0" xfId="0" applyBorder="1" applyFont="1"/>
    <xf borderId="21" fillId="5" fontId="16" numFmtId="0" xfId="0" applyAlignment="1" applyBorder="1" applyFill="1" applyFont="1">
      <alignment horizontal="right" shrinkToFit="0" vertical="center" wrapText="0"/>
    </xf>
    <xf borderId="17" fillId="0" fontId="9" numFmtId="0" xfId="0" applyAlignment="1" applyBorder="1" applyFont="1">
      <alignment readingOrder="0" shrinkToFit="0" wrapText="0"/>
    </xf>
    <xf borderId="18" fillId="0" fontId="3" numFmtId="0" xfId="0" applyAlignment="1" applyBorder="1" applyFont="1">
      <alignment readingOrder="0" shrinkToFit="0" wrapText="0"/>
    </xf>
    <xf borderId="18" fillId="0" fontId="9" numFmtId="0" xfId="0" applyAlignment="1" applyBorder="1" applyFont="1">
      <alignment readingOrder="0" shrinkToFit="0" wrapText="0"/>
    </xf>
    <xf borderId="19" fillId="3" fontId="3" numFmtId="0" xfId="0" applyAlignment="1" applyBorder="1" applyFill="1" applyFont="1">
      <alignment shrinkToFit="0" wrapText="0"/>
    </xf>
    <xf borderId="0" fillId="0" fontId="0" numFmtId="0" xfId="0" applyFont="1"/>
    <xf borderId="0" fillId="0" fontId="17" numFmtId="0" xfId="0" applyFont="1"/>
    <xf borderId="21" fillId="4" fontId="12" numFmtId="0" xfId="0" applyAlignment="1" applyBorder="1" applyFill="1" applyFont="1">
      <alignment readingOrder="0" shrinkToFit="0" vertical="center" wrapText="0"/>
    </xf>
    <xf borderId="0" fillId="0" fontId="18" numFmtId="0" xfId="0" applyFont="1"/>
    <xf borderId="21" fillId="4" fontId="12" numFmtId="0" xfId="0" applyAlignment="1" applyBorder="1" applyFill="1" applyFont="1">
      <alignment horizontal="center" shrinkToFit="0" vertical="center" wrapText="0"/>
    </xf>
    <xf borderId="13" fillId="0" fontId="3" numFmtId="0" xfId="0" applyAlignment="1" applyBorder="1" applyFont="1">
      <alignment shrinkToFit="0" wrapText="0"/>
    </xf>
    <xf borderId="21" fillId="4" fontId="13" numFmtId="0" xfId="0" applyAlignment="1" applyBorder="1" applyFill="1" applyFont="1">
      <alignment horizontal="right" shrinkToFit="0" vertical="center" wrapText="0"/>
    </xf>
    <xf borderId="22" fillId="4" fontId="12" numFmtId="0" xfId="0" applyAlignment="1" applyBorder="1" applyFill="1" applyFont="1">
      <alignment horizontal="right" shrinkToFit="0" vertical="center" wrapText="0"/>
    </xf>
    <xf borderId="28" fillId="5" fontId="12" numFmtId="0" xfId="0" applyAlignment="1" applyBorder="1" applyFill="1" applyFont="1">
      <alignment readingOrder="0" shrinkToFit="0" vertical="center" wrapText="0"/>
    </xf>
    <xf borderId="17" fillId="6" fontId="9" numFmtId="0" xfId="0" applyAlignment="1" applyBorder="1" applyFill="1" applyFont="1">
      <alignment readingOrder="0" shrinkToFit="0" wrapText="0"/>
    </xf>
    <xf borderId="28" fillId="5" fontId="12" numFmtId="0" xfId="0" applyAlignment="1" applyBorder="1" applyFill="1" applyFont="1">
      <alignment horizontal="center" shrinkToFit="0" vertical="center" wrapText="0"/>
    </xf>
    <xf borderId="18" fillId="0" fontId="3" numFmtId="0" xfId="0" applyAlignment="1" applyBorder="1" applyFont="1">
      <alignment shrinkToFit="0" wrapText="0"/>
    </xf>
    <xf borderId="28" fillId="5" fontId="19" numFmtId="0" xfId="0" applyAlignment="1" applyBorder="1" applyFill="1" applyFont="1">
      <alignment horizontal="right" shrinkToFit="0" vertical="center" wrapText="0"/>
    </xf>
    <xf borderId="29" fillId="5" fontId="12" numFmtId="0" xfId="0" applyAlignment="1" applyBorder="1" applyFill="1" applyFont="1">
      <alignment horizontal="right" shrinkToFit="0" vertical="center" wrapText="0"/>
    </xf>
    <xf borderId="25" fillId="0" fontId="11" numFmtId="0" xfId="0" applyAlignment="1" applyBorder="1" applyFont="1">
      <alignment horizontal="center" readingOrder="0" shrinkToFit="0" wrapText="1"/>
    </xf>
    <xf borderId="21" fillId="4" fontId="19" numFmtId="0" xfId="0" applyAlignment="1" applyBorder="1" applyFill="1" applyFont="1">
      <alignment horizontal="right" shrinkToFit="0" vertical="center" wrapText="0"/>
    </xf>
    <xf borderId="28" fillId="4" fontId="13" numFmtId="0" xfId="0" applyAlignment="1" applyBorder="1" applyFill="1" applyFont="1">
      <alignment horizontal="right" shrinkToFit="0" vertical="center" wrapText="0"/>
    </xf>
    <xf borderId="21" fillId="4" fontId="20" numFmtId="0" xfId="0" applyAlignment="1" applyBorder="1" applyFill="1" applyFont="1">
      <alignment horizontal="right" shrinkToFit="0" vertical="center" wrapText="0"/>
    </xf>
    <xf borderId="28" fillId="4" fontId="19" numFmtId="0" xfId="0" applyAlignment="1" applyBorder="1" applyFill="1" applyFont="1">
      <alignment horizontal="right" shrinkToFit="0" vertical="center" wrapText="0"/>
    </xf>
    <xf borderId="21" fillId="5" fontId="19" numFmtId="0" xfId="0" applyAlignment="1" applyBorder="1" applyFill="1" applyFont="1">
      <alignment horizontal="right" shrinkToFit="0" vertical="center" wrapText="0"/>
    </xf>
    <xf borderId="28" fillId="5" fontId="13" numFmtId="0" xfId="0" applyAlignment="1" applyBorder="1" applyFill="1" applyFont="1">
      <alignment horizontal="right" shrinkToFit="0" vertical="center" wrapText="0"/>
    </xf>
    <xf borderId="31" fillId="5" fontId="12" numFmtId="0" xfId="0" applyAlignment="1" applyBorder="1" applyFill="1" applyFont="1">
      <alignment horizontal="right" shrinkToFit="0" vertical="center" wrapText="0"/>
    </xf>
    <xf borderId="32" fillId="5" fontId="12" numFmtId="0" xfId="0" applyAlignment="1" applyBorder="1" applyFill="1" applyFont="1">
      <alignment readingOrder="0" shrinkToFit="0" vertical="center" wrapText="0"/>
    </xf>
    <xf borderId="32" fillId="5" fontId="12" numFmtId="0" xfId="0" applyAlignment="1" applyBorder="1" applyFill="1" applyFont="1">
      <alignment horizontal="center" shrinkToFit="0" vertical="center" wrapText="0"/>
    </xf>
    <xf borderId="32" fillId="5" fontId="20" numFmtId="0" xfId="0" applyAlignment="1" applyBorder="1" applyFill="1" applyFont="1">
      <alignment horizontal="right" shrinkToFit="0" vertical="center" wrapText="0"/>
    </xf>
    <xf borderId="33" fillId="5" fontId="12" numFmtId="0" xfId="0" applyAlignment="1" applyBorder="1" applyFill="1" applyFont="1">
      <alignment horizontal="right" shrinkToFit="0" vertical="center" wrapText="0"/>
    </xf>
    <xf borderId="34" fillId="0" fontId="10" numFmtId="0" xfId="0" applyAlignment="1" applyBorder="1" applyFont="1">
      <alignment horizontal="center" readingOrder="0" shrinkToFit="0" wrapText="1"/>
    </xf>
    <xf borderId="0" fillId="0" fontId="21" numFmtId="0" xfId="0" applyAlignment="1" applyFont="1">
      <alignment horizontal="center" readingOrder="0" vertical="bottom"/>
    </xf>
    <xf borderId="35" fillId="0" fontId="11" numFmtId="0" xfId="0" applyAlignment="1" applyBorder="1" applyFont="1">
      <alignment horizontal="center" readingOrder="0" shrinkToFit="0" wrapText="1"/>
    </xf>
    <xf borderId="8" fillId="0" fontId="22" numFmtId="0" xfId="0" applyAlignment="1" applyBorder="1" applyFont="1">
      <alignment horizontal="center" readingOrder="0" vertical="center"/>
    </xf>
    <xf borderId="5" fillId="0" fontId="1" numFmtId="1" xfId="0" applyAlignment="1" applyBorder="1" applyFont="1" applyNumberForma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borderId="12" fillId="0" fontId="5" numFmtId="0" xfId="0" applyBorder="1" applyFont="1"/>
    <xf borderId="0" fillId="0" fontId="21" numFmtId="0" xfId="0" applyAlignment="1" applyFont="1">
      <alignment horizontal="center" readingOrder="0" vertical="center"/>
    </xf>
    <xf borderId="8" fillId="0" fontId="22" numFmtId="0" xfId="0" applyAlignment="1" applyBorder="1" applyFont="1">
      <alignment horizontal="center" readingOrder="0" vertical="bottom"/>
    </xf>
    <xf borderId="8" fillId="0" fontId="22" numFmtId="0" xfId="0" applyAlignment="1" applyBorder="1" applyFont="1">
      <alignment horizontal="center" readingOrder="0" vertical="center"/>
    </xf>
    <xf borderId="8" fillId="0" fontId="5" numFmtId="0" xfId="0" applyBorder="1" applyFont="1"/>
    <xf borderId="5" fillId="0" fontId="1" numFmtId="1" xfId="0" applyAlignment="1" applyBorder="1" applyFont="1" applyNumberFormat="1">
      <alignment horizontal="center" readingOrder="0" vertical="bottom"/>
    </xf>
    <xf borderId="12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3" numFmtId="0" xfId="0" applyAlignment="1" applyFont="1">
      <alignment horizontal="center" readingOrder="0" vertical="center"/>
    </xf>
    <xf borderId="26" fillId="0" fontId="15" numFmtId="1" xfId="0" applyAlignment="1" applyBorder="1" applyFont="1" applyNumberFormat="1">
      <alignment readingOrder="0" vertical="bottom"/>
    </xf>
    <xf borderId="0" fillId="0" fontId="1" numFmtId="0" xfId="0" applyAlignment="1" applyFont="1">
      <alignment horizontal="center" readingOrder="0" vertical="bottom"/>
    </xf>
    <xf borderId="30" fillId="0" fontId="22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right" readingOrder="0" vertical="center"/>
    </xf>
    <xf borderId="5" fillId="0" fontId="3" numFmtId="0" xfId="0" applyAlignment="1" applyBorder="1" applyFont="1">
      <alignment readingOrder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</dxfs>
  <tableStyles count="1">
    <tableStyle count="4" pivot="0" name="Schedu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E3:I19" displayName="Advancing_DE_Teams" name="Advancing_DE_Teams" id="1">
  <tableColumns count="5">
    <tableColumn name="Seed" id="1"/>
    <tableColumn name="Team" id="2"/>
    <tableColumn name="Division" id="3"/>
    <tableColumn name="Wins" id="4"/>
    <tableColumn name="PPG" id="5"/>
  </tableColumns>
  <tableStyleInfo name="Schedu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29.38"/>
  </cols>
  <sheetData>
    <row r="3" ht="22.5" customHeight="1">
      <c r="B3" s="20" t="s">
        <v>12</v>
      </c>
      <c r="C3" s="20" t="s">
        <v>16</v>
      </c>
      <c r="E3" s="28" t="s">
        <v>18</v>
      </c>
      <c r="F3" s="28" t="s">
        <v>27</v>
      </c>
      <c r="G3" s="28" t="s">
        <v>35</v>
      </c>
      <c r="H3" s="28" t="s">
        <v>45</v>
      </c>
      <c r="I3" s="32" t="s">
        <v>50</v>
      </c>
    </row>
    <row r="4" ht="22.5" customHeight="1">
      <c r="B4" s="33" t="s">
        <v>54</v>
      </c>
      <c r="C4" s="34" t="s">
        <v>59</v>
      </c>
      <c r="E4" s="38">
        <v>1.0</v>
      </c>
      <c r="F4" s="39" t="s">
        <v>77</v>
      </c>
      <c r="G4" s="41">
        <v>7.0</v>
      </c>
      <c r="H4" s="43">
        <v>4.0</v>
      </c>
      <c r="I4" s="46">
        <v>140.5</v>
      </c>
    </row>
    <row r="5" ht="22.5" customHeight="1">
      <c r="B5" s="50" t="s">
        <v>114</v>
      </c>
      <c r="C5" s="52" t="s">
        <v>121</v>
      </c>
      <c r="E5" s="56">
        <v>2.0</v>
      </c>
      <c r="F5" s="57" t="s">
        <v>37</v>
      </c>
      <c r="G5" s="59">
        <v>1.0</v>
      </c>
      <c r="H5" s="60">
        <v>5.0</v>
      </c>
      <c r="I5" s="61">
        <v>140.4</v>
      </c>
    </row>
    <row r="6" ht="22.5" customHeight="1">
      <c r="B6" s="50" t="s">
        <v>148</v>
      </c>
      <c r="C6" s="52" t="s">
        <v>149</v>
      </c>
      <c r="E6" s="38">
        <v>3.0</v>
      </c>
      <c r="F6" s="39" t="s">
        <v>150</v>
      </c>
      <c r="G6" s="41">
        <v>3.0</v>
      </c>
      <c r="H6" s="68">
        <v>5.0</v>
      </c>
      <c r="I6" s="46">
        <v>134.8</v>
      </c>
    </row>
    <row r="7" ht="22.5" customHeight="1">
      <c r="B7" s="50" t="s">
        <v>151</v>
      </c>
      <c r="C7" s="52" t="s">
        <v>152</v>
      </c>
      <c r="E7" s="56">
        <v>4.0</v>
      </c>
      <c r="F7" s="57" t="s">
        <v>56</v>
      </c>
      <c r="G7" s="59">
        <v>2.0</v>
      </c>
      <c r="H7" s="60">
        <v>5.0</v>
      </c>
      <c r="I7" s="61">
        <v>120.8</v>
      </c>
    </row>
    <row r="8" ht="22.5" customHeight="1">
      <c r="B8" s="50" t="s">
        <v>164</v>
      </c>
      <c r="C8" s="52" t="s">
        <v>165</v>
      </c>
      <c r="E8" s="38">
        <v>5.0</v>
      </c>
      <c r="F8" s="75" t="s">
        <v>166</v>
      </c>
      <c r="G8" s="77">
        <v>5.0</v>
      </c>
      <c r="H8" s="79">
        <v>4.0</v>
      </c>
      <c r="I8" s="80">
        <v>112.0</v>
      </c>
    </row>
    <row r="9" ht="22.5" customHeight="1">
      <c r="B9" s="50" t="s">
        <v>170</v>
      </c>
      <c r="C9" s="52" t="s">
        <v>171</v>
      </c>
      <c r="E9" s="56">
        <v>6.0</v>
      </c>
      <c r="F9" s="81" t="s">
        <v>172</v>
      </c>
      <c r="G9" s="83">
        <v>7.0</v>
      </c>
      <c r="H9" s="85">
        <v>3.0</v>
      </c>
      <c r="I9" s="86">
        <v>110.0</v>
      </c>
    </row>
    <row r="10" ht="22.5" customHeight="1">
      <c r="B10" s="50" t="s">
        <v>180</v>
      </c>
      <c r="C10" s="87" t="s">
        <v>184</v>
      </c>
      <c r="E10" s="38">
        <v>7.0</v>
      </c>
      <c r="F10" s="75" t="s">
        <v>55</v>
      </c>
      <c r="G10" s="77">
        <v>2.0</v>
      </c>
      <c r="H10" s="88">
        <v>3.0</v>
      </c>
      <c r="I10" s="80">
        <v>109.6</v>
      </c>
    </row>
    <row r="11" ht="22.5" customHeight="1">
      <c r="B11" s="50" t="s">
        <v>185</v>
      </c>
      <c r="C11" s="52" t="s">
        <v>186</v>
      </c>
      <c r="E11" s="56">
        <v>8.0</v>
      </c>
      <c r="F11" s="81" t="s">
        <v>176</v>
      </c>
      <c r="G11" s="83">
        <v>5.0</v>
      </c>
      <c r="H11" s="85">
        <v>3.0</v>
      </c>
      <c r="I11" s="86">
        <v>104.0</v>
      </c>
    </row>
    <row r="12" ht="22.5" customHeight="1">
      <c r="B12" s="50" t="s">
        <v>187</v>
      </c>
      <c r="C12" s="52" t="s">
        <v>188</v>
      </c>
      <c r="E12" s="38">
        <v>9.0</v>
      </c>
      <c r="F12" s="39" t="s">
        <v>181</v>
      </c>
      <c r="G12" s="41">
        <v>6.0</v>
      </c>
      <c r="H12" s="43">
        <v>4.0</v>
      </c>
      <c r="I12" s="46">
        <v>99.0</v>
      </c>
    </row>
    <row r="13" ht="22.5" customHeight="1">
      <c r="B13" s="50" t="s">
        <v>197</v>
      </c>
      <c r="C13" s="52" t="s">
        <v>198</v>
      </c>
      <c r="E13" s="56">
        <v>10.0</v>
      </c>
      <c r="F13" s="57" t="s">
        <v>196</v>
      </c>
      <c r="G13" s="59">
        <v>8.0</v>
      </c>
      <c r="H13" s="89">
        <v>4.0</v>
      </c>
      <c r="I13" s="61">
        <v>96.0</v>
      </c>
    </row>
    <row r="14" ht="22.5" customHeight="1">
      <c r="B14" s="50" t="s">
        <v>199</v>
      </c>
      <c r="C14" s="52" t="s">
        <v>200</v>
      </c>
      <c r="E14" s="38">
        <v>11.0</v>
      </c>
      <c r="F14" s="75" t="s">
        <v>192</v>
      </c>
      <c r="G14" s="77">
        <v>8.0</v>
      </c>
      <c r="H14" s="90">
        <v>2.0</v>
      </c>
      <c r="I14" s="80">
        <v>92.5</v>
      </c>
    </row>
    <row r="15" ht="22.5" customHeight="1">
      <c r="B15" s="50" t="s">
        <v>201</v>
      </c>
      <c r="C15" s="52" t="s">
        <v>202</v>
      </c>
      <c r="E15" s="56">
        <v>12.0</v>
      </c>
      <c r="F15" s="57" t="s">
        <v>158</v>
      </c>
      <c r="G15" s="59">
        <v>4.0</v>
      </c>
      <c r="H15" s="91">
        <v>3.0</v>
      </c>
      <c r="I15" s="61">
        <v>90.5</v>
      </c>
    </row>
    <row r="16" ht="22.5" customHeight="1">
      <c r="B16" s="50" t="s">
        <v>203</v>
      </c>
      <c r="C16" s="52" t="s">
        <v>204</v>
      </c>
      <c r="E16" s="38">
        <v>13.0</v>
      </c>
      <c r="F16" s="39" t="s">
        <v>159</v>
      </c>
      <c r="G16" s="41">
        <v>4.0</v>
      </c>
      <c r="H16" s="92">
        <v>3.0</v>
      </c>
      <c r="I16" s="46">
        <v>85.5</v>
      </c>
    </row>
    <row r="17" ht="22.5" customHeight="1">
      <c r="B17" s="50" t="s">
        <v>205</v>
      </c>
      <c r="C17" s="52" t="s">
        <v>206</v>
      </c>
      <c r="E17" s="56">
        <v>14.0</v>
      </c>
      <c r="F17" s="81" t="s">
        <v>155</v>
      </c>
      <c r="G17" s="83">
        <v>3.0</v>
      </c>
      <c r="H17" s="93">
        <v>4.0</v>
      </c>
      <c r="I17" s="86">
        <v>85.2</v>
      </c>
    </row>
    <row r="18" ht="22.5" customHeight="1">
      <c r="B18" s="50" t="s">
        <v>207</v>
      </c>
      <c r="C18" s="52" t="s">
        <v>208</v>
      </c>
      <c r="E18" s="38">
        <v>15.0</v>
      </c>
      <c r="F18" s="75" t="s">
        <v>25</v>
      </c>
      <c r="G18" s="77">
        <v>1.0</v>
      </c>
      <c r="H18" s="79">
        <v>4.0</v>
      </c>
      <c r="I18" s="80">
        <v>81.2</v>
      </c>
    </row>
    <row r="19" ht="22.5" customHeight="1">
      <c r="B19" s="50" t="s">
        <v>209</v>
      </c>
      <c r="C19" s="52" t="s">
        <v>210</v>
      </c>
      <c r="E19" s="94">
        <v>16.0</v>
      </c>
      <c r="F19" s="95" t="s">
        <v>183</v>
      </c>
      <c r="G19" s="96">
        <v>6.0</v>
      </c>
      <c r="H19" s="97">
        <v>2.0</v>
      </c>
      <c r="I19" s="98">
        <v>79.0</v>
      </c>
    </row>
    <row r="20">
      <c r="B20" s="99" t="s">
        <v>213</v>
      </c>
      <c r="C20" s="101" t="s">
        <v>215</v>
      </c>
    </row>
  </sheetData>
  <dataValidations>
    <dataValidation type="list" allowBlank="1" sqref="H4:H19">
      <formula1>"5,5,5,4,4,4,4,4,4,3,3,3,3,3,2,2"</formula1>
    </dataValidation>
    <dataValidation type="custom" allowBlank="1" showDropDown="1" sqref="E4:E19 G4:G19 I4:I19">
      <formula1>AND(ISNUMBER(E4),(NOT(OR(NOT(ISERROR(DATEVALUE(E4))), AND(ISNUMBER(E4), LEFT(CELL("format", E4))="D")))))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2" width="18.13"/>
  </cols>
  <sheetData>
    <row r="2">
      <c r="B2" s="4" t="s">
        <v>1</v>
      </c>
      <c r="C2" s="6"/>
      <c r="E2" s="4" t="s">
        <v>9</v>
      </c>
      <c r="F2" s="6"/>
      <c r="H2" s="12" t="s">
        <v>10</v>
      </c>
      <c r="I2" s="8"/>
      <c r="J2" s="8"/>
      <c r="K2" s="10"/>
    </row>
    <row r="3">
      <c r="B3" s="16" t="s">
        <v>11</v>
      </c>
      <c r="C3" s="16" t="s">
        <v>13</v>
      </c>
      <c r="E3" s="16" t="s">
        <v>14</v>
      </c>
      <c r="F3" s="16" t="s">
        <v>15</v>
      </c>
      <c r="H3" s="22"/>
      <c r="I3" s="24" t="s">
        <v>17</v>
      </c>
      <c r="J3" s="24" t="s">
        <v>19</v>
      </c>
      <c r="K3" s="25" t="s">
        <v>20</v>
      </c>
    </row>
    <row r="4">
      <c r="B4" s="16" t="s">
        <v>21</v>
      </c>
      <c r="C4" s="16" t="s">
        <v>22</v>
      </c>
      <c r="E4" s="16" t="s">
        <v>23</v>
      </c>
      <c r="F4" s="16" t="s">
        <v>24</v>
      </c>
      <c r="H4" s="29" t="s">
        <v>26</v>
      </c>
      <c r="I4" s="24" t="s">
        <v>28</v>
      </c>
      <c r="J4" s="24" t="s">
        <v>29</v>
      </c>
      <c r="K4" s="25" t="s">
        <v>31</v>
      </c>
    </row>
    <row r="5">
      <c r="B5" s="16" t="s">
        <v>33</v>
      </c>
      <c r="C5" s="16" t="s">
        <v>34</v>
      </c>
      <c r="E5" s="16" t="s">
        <v>38</v>
      </c>
      <c r="F5" s="16" t="s">
        <v>39</v>
      </c>
      <c r="H5" s="29" t="s">
        <v>40</v>
      </c>
      <c r="I5" s="24" t="s">
        <v>41</v>
      </c>
      <c r="J5" s="24" t="s">
        <v>42</v>
      </c>
      <c r="K5" s="25" t="s">
        <v>44</v>
      </c>
    </row>
    <row r="6">
      <c r="H6" s="29" t="s">
        <v>46</v>
      </c>
      <c r="I6" s="24" t="s">
        <v>47</v>
      </c>
      <c r="J6" s="24" t="s">
        <v>48</v>
      </c>
      <c r="K6" s="25" t="s">
        <v>49</v>
      </c>
    </row>
    <row r="7">
      <c r="B7" s="4" t="s">
        <v>51</v>
      </c>
      <c r="C7" s="6"/>
      <c r="E7" s="4" t="s">
        <v>52</v>
      </c>
      <c r="F7" s="6"/>
      <c r="H7" s="29" t="s">
        <v>58</v>
      </c>
      <c r="I7" s="24" t="s">
        <v>61</v>
      </c>
      <c r="J7" s="24" t="s">
        <v>62</v>
      </c>
      <c r="K7" s="25" t="s">
        <v>64</v>
      </c>
    </row>
    <row r="8">
      <c r="B8" s="16" t="s">
        <v>65</v>
      </c>
      <c r="C8" s="16" t="s">
        <v>66</v>
      </c>
      <c r="E8" s="16" t="s">
        <v>67</v>
      </c>
      <c r="F8" s="16" t="s">
        <v>68</v>
      </c>
      <c r="H8" s="35" t="s">
        <v>69</v>
      </c>
      <c r="I8" s="36" t="s">
        <v>70</v>
      </c>
      <c r="J8" s="36" t="s">
        <v>71</v>
      </c>
      <c r="K8" s="37" t="s">
        <v>72</v>
      </c>
    </row>
    <row r="9">
      <c r="B9" s="16" t="s">
        <v>73</v>
      </c>
      <c r="C9" s="16" t="s">
        <v>74</v>
      </c>
      <c r="E9" s="16" t="s">
        <v>75</v>
      </c>
      <c r="F9" s="16" t="s">
        <v>76</v>
      </c>
    </row>
    <row r="10">
      <c r="B10" s="16" t="s">
        <v>78</v>
      </c>
      <c r="C10" s="16" t="s">
        <v>79</v>
      </c>
      <c r="E10" s="16" t="s">
        <v>80</v>
      </c>
      <c r="F10" s="16" t="s">
        <v>81</v>
      </c>
    </row>
    <row r="11">
      <c r="H11" s="12" t="s">
        <v>82</v>
      </c>
      <c r="I11" s="8"/>
      <c r="J11" s="8"/>
      <c r="K11" s="10"/>
    </row>
    <row r="12">
      <c r="B12" s="4" t="s">
        <v>83</v>
      </c>
      <c r="C12" s="6"/>
      <c r="E12" s="4" t="s">
        <v>84</v>
      </c>
      <c r="F12" s="6"/>
      <c r="H12" s="22"/>
      <c r="I12" s="24" t="s">
        <v>17</v>
      </c>
      <c r="J12" s="24" t="s">
        <v>19</v>
      </c>
      <c r="K12" s="25" t="s">
        <v>20</v>
      </c>
    </row>
    <row r="13">
      <c r="B13" s="16" t="s">
        <v>85</v>
      </c>
      <c r="C13" s="16" t="s">
        <v>86</v>
      </c>
      <c r="E13" s="16" t="s">
        <v>87</v>
      </c>
      <c r="F13" s="16" t="s">
        <v>88</v>
      </c>
      <c r="H13" s="29" t="s">
        <v>26</v>
      </c>
      <c r="I13" s="24" t="s">
        <v>28</v>
      </c>
      <c r="J13" s="24" t="s">
        <v>31</v>
      </c>
      <c r="K13" s="25" t="s">
        <v>89</v>
      </c>
    </row>
    <row r="14">
      <c r="B14" s="16" t="s">
        <v>90</v>
      </c>
      <c r="C14" s="16" t="s">
        <v>91</v>
      </c>
      <c r="E14" s="16" t="s">
        <v>92</v>
      </c>
      <c r="F14" s="16" t="s">
        <v>93</v>
      </c>
      <c r="H14" s="29" t="s">
        <v>40</v>
      </c>
      <c r="I14" s="24" t="s">
        <v>41</v>
      </c>
      <c r="J14" s="24" t="s">
        <v>44</v>
      </c>
      <c r="K14" s="25" t="s">
        <v>94</v>
      </c>
    </row>
    <row r="15">
      <c r="B15" s="16" t="s">
        <v>95</v>
      </c>
      <c r="C15" s="16" t="s">
        <v>81</v>
      </c>
      <c r="E15" s="16" t="s">
        <v>96</v>
      </c>
      <c r="F15" s="16" t="s">
        <v>81</v>
      </c>
      <c r="H15" s="29" t="s">
        <v>46</v>
      </c>
      <c r="I15" s="24" t="s">
        <v>49</v>
      </c>
      <c r="J15" s="24" t="s">
        <v>48</v>
      </c>
      <c r="K15" s="25" t="s">
        <v>97</v>
      </c>
    </row>
    <row r="16">
      <c r="H16" s="29" t="s">
        <v>58</v>
      </c>
      <c r="I16" s="24" t="s">
        <v>61</v>
      </c>
      <c r="J16" s="24" t="s">
        <v>62</v>
      </c>
      <c r="K16" s="25" t="s">
        <v>98</v>
      </c>
    </row>
    <row r="17">
      <c r="B17" s="4" t="s">
        <v>99</v>
      </c>
      <c r="C17" s="6"/>
      <c r="E17" s="4" t="s">
        <v>100</v>
      </c>
      <c r="F17" s="6"/>
      <c r="H17" s="35" t="s">
        <v>69</v>
      </c>
      <c r="I17" s="36" t="s">
        <v>72</v>
      </c>
      <c r="J17" s="36" t="s">
        <v>71</v>
      </c>
      <c r="K17" s="37" t="s">
        <v>101</v>
      </c>
    </row>
    <row r="18">
      <c r="B18" s="16" t="s">
        <v>102</v>
      </c>
      <c r="C18" s="16" t="s">
        <v>103</v>
      </c>
      <c r="E18" s="16" t="s">
        <v>104</v>
      </c>
      <c r="F18" s="16" t="s">
        <v>105</v>
      </c>
    </row>
    <row r="19">
      <c r="B19" s="16" t="s">
        <v>106</v>
      </c>
      <c r="C19" s="16" t="s">
        <v>107</v>
      </c>
      <c r="E19" s="16" t="s">
        <v>108</v>
      </c>
      <c r="F19" s="16" t="s">
        <v>109</v>
      </c>
    </row>
    <row r="20">
      <c r="B20" s="16" t="s">
        <v>110</v>
      </c>
      <c r="C20" s="16" t="s">
        <v>81</v>
      </c>
      <c r="E20" s="16" t="s">
        <v>111</v>
      </c>
      <c r="F20" s="16" t="s">
        <v>81</v>
      </c>
    </row>
    <row r="24">
      <c r="B24" s="12" t="s">
        <v>112</v>
      </c>
      <c r="C24" s="8"/>
      <c r="D24" s="8"/>
      <c r="E24" s="10"/>
      <c r="G24" s="24" t="s">
        <v>113</v>
      </c>
    </row>
    <row r="25">
      <c r="B25" s="22"/>
      <c r="C25" s="24" t="s">
        <v>17</v>
      </c>
      <c r="D25" s="24" t="s">
        <v>115</v>
      </c>
      <c r="E25" s="25" t="s">
        <v>20</v>
      </c>
      <c r="G25" s="24" t="s">
        <v>116</v>
      </c>
    </row>
    <row r="26">
      <c r="B26" s="29" t="s">
        <v>1</v>
      </c>
      <c r="C26" s="24" t="s">
        <v>117</v>
      </c>
      <c r="D26" s="24" t="s">
        <v>118</v>
      </c>
      <c r="E26" s="25" t="s">
        <v>119</v>
      </c>
      <c r="G26" s="24" t="s">
        <v>120</v>
      </c>
    </row>
    <row r="27">
      <c r="B27" s="29" t="s">
        <v>9</v>
      </c>
      <c r="C27" s="24" t="s">
        <v>122</v>
      </c>
      <c r="D27" s="24" t="s">
        <v>123</v>
      </c>
      <c r="E27" s="25" t="s">
        <v>124</v>
      </c>
    </row>
    <row r="28">
      <c r="B28" s="29" t="s">
        <v>51</v>
      </c>
      <c r="C28" s="24" t="s">
        <v>125</v>
      </c>
      <c r="D28" s="24" t="s">
        <v>126</v>
      </c>
      <c r="E28" s="25" t="s">
        <v>127</v>
      </c>
    </row>
    <row r="29">
      <c r="B29" s="29" t="s">
        <v>52</v>
      </c>
      <c r="C29" s="24" t="s">
        <v>129</v>
      </c>
      <c r="D29" s="47" t="s">
        <v>130</v>
      </c>
      <c r="E29" s="25" t="s">
        <v>131</v>
      </c>
    </row>
    <row r="30">
      <c r="B30" s="29" t="s">
        <v>83</v>
      </c>
      <c r="C30" s="24" t="s">
        <v>132</v>
      </c>
      <c r="D30" s="24" t="s">
        <v>133</v>
      </c>
      <c r="E30" s="55"/>
    </row>
    <row r="31">
      <c r="B31" s="29" t="s">
        <v>84</v>
      </c>
      <c r="C31" s="24" t="s">
        <v>134</v>
      </c>
      <c r="D31" s="24" t="s">
        <v>135</v>
      </c>
      <c r="E31" s="55"/>
    </row>
    <row r="32">
      <c r="B32" s="29" t="s">
        <v>99</v>
      </c>
      <c r="C32" s="24" t="s">
        <v>136</v>
      </c>
      <c r="D32" s="24" t="s">
        <v>137</v>
      </c>
      <c r="E32" s="55"/>
    </row>
    <row r="33">
      <c r="B33" s="35" t="s">
        <v>100</v>
      </c>
      <c r="C33" s="36" t="s">
        <v>138</v>
      </c>
      <c r="D33" s="36" t="s">
        <v>139</v>
      </c>
      <c r="E33" s="58"/>
    </row>
    <row r="36">
      <c r="B36" s="12" t="s">
        <v>140</v>
      </c>
      <c r="C36" s="10"/>
    </row>
    <row r="37">
      <c r="B37" s="29" t="s">
        <v>17</v>
      </c>
      <c r="C37" s="25" t="s">
        <v>117</v>
      </c>
    </row>
    <row r="38">
      <c r="B38" s="29" t="s">
        <v>115</v>
      </c>
      <c r="C38" s="25" t="s">
        <v>122</v>
      </c>
    </row>
    <row r="39">
      <c r="B39" s="29" t="s">
        <v>20</v>
      </c>
      <c r="C39" s="25" t="s">
        <v>125</v>
      </c>
    </row>
    <row r="40">
      <c r="B40" s="29" t="s">
        <v>141</v>
      </c>
      <c r="C40" s="25" t="s">
        <v>138</v>
      </c>
    </row>
    <row r="41">
      <c r="B41" s="29" t="s">
        <v>142</v>
      </c>
      <c r="C41" s="25" t="s">
        <v>143</v>
      </c>
    </row>
    <row r="42">
      <c r="B42" s="29" t="s">
        <v>144</v>
      </c>
      <c r="C42" s="25" t="s">
        <v>145</v>
      </c>
    </row>
    <row r="43">
      <c r="B43" s="29" t="s">
        <v>146</v>
      </c>
      <c r="C43" s="25" t="s">
        <v>136</v>
      </c>
    </row>
    <row r="44">
      <c r="B44" s="35" t="s">
        <v>147</v>
      </c>
      <c r="C44" s="37" t="s">
        <v>135</v>
      </c>
    </row>
  </sheetData>
  <mergeCells count="12">
    <mergeCell ref="B12:C12"/>
    <mergeCell ref="B17:C17"/>
    <mergeCell ref="E17:F17"/>
    <mergeCell ref="B24:E24"/>
    <mergeCell ref="B36:C36"/>
    <mergeCell ref="B2:C2"/>
    <mergeCell ref="E2:F2"/>
    <mergeCell ref="H2:K2"/>
    <mergeCell ref="B7:C7"/>
    <mergeCell ref="E7:F7"/>
    <mergeCell ref="H11:K11"/>
    <mergeCell ref="E12:F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4.75"/>
    <col customWidth="1" min="3" max="3" width="12.75"/>
    <col customWidth="1" min="4" max="4" width="12.38"/>
    <col customWidth="1" min="5" max="5" width="13.13"/>
    <col customWidth="1" min="6" max="6" width="11.0"/>
    <col customWidth="1" min="7" max="7" width="10.5"/>
    <col customWidth="1" min="8" max="9" width="8.38"/>
    <col customWidth="1" min="10" max="10" width="14.75"/>
    <col customWidth="1" min="11" max="20" width="8.38"/>
  </cols>
  <sheetData>
    <row r="2">
      <c r="B2" s="7" t="s">
        <v>1</v>
      </c>
      <c r="C2" s="8"/>
      <c r="D2" s="8"/>
      <c r="E2" s="8"/>
      <c r="F2" s="8"/>
      <c r="G2" s="8"/>
      <c r="H2" s="10"/>
      <c r="I2" s="14"/>
      <c r="J2" s="18" t="s">
        <v>9</v>
      </c>
      <c r="K2" s="21"/>
      <c r="L2" s="21"/>
      <c r="M2" s="21"/>
      <c r="N2" s="21"/>
      <c r="O2" s="21"/>
      <c r="P2" s="6"/>
    </row>
    <row r="3">
      <c r="B3" s="26"/>
      <c r="C3" s="30" t="s">
        <v>25</v>
      </c>
      <c r="D3" s="30" t="s">
        <v>30</v>
      </c>
      <c r="E3" s="30" t="s">
        <v>32</v>
      </c>
      <c r="F3" s="30" t="s">
        <v>36</v>
      </c>
      <c r="G3" s="30" t="s">
        <v>37</v>
      </c>
      <c r="H3" s="31" t="s">
        <v>43</v>
      </c>
      <c r="I3" s="14"/>
      <c r="J3" s="26"/>
      <c r="K3" s="30" t="s">
        <v>53</v>
      </c>
      <c r="L3" s="30" t="s">
        <v>55</v>
      </c>
      <c r="M3" s="30" t="s">
        <v>56</v>
      </c>
      <c r="N3" s="30" t="s">
        <v>57</v>
      </c>
      <c r="O3" s="30" t="s">
        <v>60</v>
      </c>
      <c r="P3" s="31" t="s">
        <v>63</v>
      </c>
    </row>
    <row r="4">
      <c r="A4" s="42">
        <f>(94+130+52+26+104)*0.2</f>
        <v>81.2</v>
      </c>
      <c r="B4" s="44" t="s">
        <v>25</v>
      </c>
      <c r="C4" s="45"/>
      <c r="D4" s="47">
        <v>94.0</v>
      </c>
      <c r="E4" s="47">
        <v>130.0</v>
      </c>
      <c r="F4" s="47">
        <v>52.0</v>
      </c>
      <c r="G4" s="47">
        <v>26.0</v>
      </c>
      <c r="H4" s="48">
        <v>104.0</v>
      </c>
      <c r="I4" s="14"/>
      <c r="J4" s="49" t="s">
        <v>53</v>
      </c>
      <c r="K4" s="45"/>
      <c r="L4" s="47">
        <v>0.0</v>
      </c>
      <c r="M4" s="47">
        <v>18.0</v>
      </c>
      <c r="N4" s="47">
        <v>18.0</v>
      </c>
      <c r="O4" s="47">
        <v>28.0</v>
      </c>
      <c r="P4" s="48">
        <v>78.0</v>
      </c>
    </row>
    <row r="5">
      <c r="B5" s="49" t="s">
        <v>30</v>
      </c>
      <c r="C5" s="47">
        <v>28.0</v>
      </c>
      <c r="D5" s="45"/>
      <c r="E5" s="47">
        <v>70.0</v>
      </c>
      <c r="F5" s="47">
        <v>80.0</v>
      </c>
      <c r="G5" s="47">
        <v>16.0</v>
      </c>
      <c r="H5" s="48">
        <v>18.0</v>
      </c>
      <c r="I5" s="14"/>
      <c r="J5" s="44" t="s">
        <v>55</v>
      </c>
      <c r="K5" s="47">
        <v>158.0</v>
      </c>
      <c r="L5" s="45"/>
      <c r="M5" s="47">
        <v>102.0</v>
      </c>
      <c r="N5" s="47">
        <v>98.0</v>
      </c>
      <c r="O5" s="47">
        <v>106.0</v>
      </c>
      <c r="P5" s="48">
        <v>84.0</v>
      </c>
      <c r="Q5" s="42">
        <f>(158+102+98+106+84)*0.2</f>
        <v>109.6</v>
      </c>
      <c r="R5" s="24"/>
    </row>
    <row r="6">
      <c r="B6" s="49" t="s">
        <v>32</v>
      </c>
      <c r="C6" s="47">
        <v>12.0</v>
      </c>
      <c r="D6" s="47">
        <v>14.0</v>
      </c>
      <c r="E6" s="45"/>
      <c r="F6" s="47">
        <v>60.0</v>
      </c>
      <c r="G6" s="47">
        <v>4.0</v>
      </c>
      <c r="H6" s="48">
        <v>28.0</v>
      </c>
      <c r="I6" s="14"/>
      <c r="J6" s="44" t="s">
        <v>56</v>
      </c>
      <c r="K6" s="47">
        <v>106.0</v>
      </c>
      <c r="L6" s="47">
        <v>122.0</v>
      </c>
      <c r="M6" s="45"/>
      <c r="N6" s="47">
        <v>130.0</v>
      </c>
      <c r="O6" s="47">
        <v>136.0</v>
      </c>
      <c r="P6" s="48">
        <v>110.0</v>
      </c>
      <c r="Q6" s="42">
        <f>(106+122+130+136+110)*0.2</f>
        <v>120.8</v>
      </c>
    </row>
    <row r="7">
      <c r="B7" s="49" t="s">
        <v>36</v>
      </c>
      <c r="C7" s="47">
        <v>26.0</v>
      </c>
      <c r="D7" s="47">
        <v>26.0</v>
      </c>
      <c r="E7" s="47">
        <v>56.0</v>
      </c>
      <c r="F7" s="45"/>
      <c r="G7" s="47">
        <v>22.0</v>
      </c>
      <c r="H7" s="48">
        <v>34.0</v>
      </c>
      <c r="I7" s="14"/>
      <c r="J7" s="49" t="s">
        <v>57</v>
      </c>
      <c r="K7" s="47">
        <v>82.0</v>
      </c>
      <c r="L7" s="47">
        <v>60.0</v>
      </c>
      <c r="M7" s="47">
        <v>52.0</v>
      </c>
      <c r="N7" s="45"/>
      <c r="O7" s="47">
        <v>96.0</v>
      </c>
      <c r="P7" s="48">
        <v>108.0</v>
      </c>
    </row>
    <row r="8">
      <c r="A8" s="42">
        <f>(126+140+156+146+134)*0.2</f>
        <v>140.4</v>
      </c>
      <c r="B8" s="44" t="s">
        <v>37</v>
      </c>
      <c r="C8" s="47">
        <v>126.0</v>
      </c>
      <c r="D8" s="47">
        <v>140.0</v>
      </c>
      <c r="E8" s="47">
        <v>156.0</v>
      </c>
      <c r="F8" s="47">
        <v>146.0</v>
      </c>
      <c r="G8" s="45"/>
      <c r="H8" s="48">
        <v>134.0</v>
      </c>
      <c r="I8" s="14"/>
      <c r="J8" s="49" t="s">
        <v>60</v>
      </c>
      <c r="K8" s="47">
        <v>44.0</v>
      </c>
      <c r="L8" s="47">
        <v>54.0</v>
      </c>
      <c r="M8" s="47">
        <v>16.0</v>
      </c>
      <c r="N8" s="47">
        <v>44.0</v>
      </c>
      <c r="O8" s="45"/>
      <c r="P8" s="48">
        <v>0.0</v>
      </c>
    </row>
    <row r="9">
      <c r="B9" s="69" t="s">
        <v>43</v>
      </c>
      <c r="C9" s="70">
        <v>46.0</v>
      </c>
      <c r="D9" s="70">
        <v>118.0</v>
      </c>
      <c r="E9" s="70">
        <v>44.0</v>
      </c>
      <c r="F9" s="71">
        <v>28.0</v>
      </c>
      <c r="G9" s="70">
        <v>26.0</v>
      </c>
      <c r="H9" s="72"/>
      <c r="I9" s="14"/>
      <c r="J9" s="69" t="s">
        <v>63</v>
      </c>
      <c r="K9" s="70">
        <v>128.0</v>
      </c>
      <c r="L9" s="70">
        <v>106.0</v>
      </c>
      <c r="M9" s="70">
        <v>82.0</v>
      </c>
      <c r="N9" s="70">
        <v>52.0</v>
      </c>
      <c r="O9" s="70">
        <v>114.0</v>
      </c>
      <c r="P9" s="72"/>
    </row>
    <row r="10"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>
      <c r="B11" s="18" t="s">
        <v>51</v>
      </c>
      <c r="C11" s="21"/>
      <c r="D11" s="21"/>
      <c r="E11" s="21"/>
      <c r="F11" s="21"/>
      <c r="G11" s="21"/>
      <c r="H11" s="6"/>
      <c r="I11" s="14"/>
      <c r="J11" s="18" t="s">
        <v>52</v>
      </c>
      <c r="K11" s="21"/>
      <c r="L11" s="21"/>
      <c r="M11" s="21"/>
      <c r="N11" s="21"/>
      <c r="O11" s="21"/>
      <c r="P11" s="6"/>
    </row>
    <row r="12">
      <c r="B12" s="26"/>
      <c r="C12" s="30" t="s">
        <v>153</v>
      </c>
      <c r="D12" s="30" t="s">
        <v>154</v>
      </c>
      <c r="E12" s="30" t="s">
        <v>155</v>
      </c>
      <c r="F12" s="30" t="s">
        <v>156</v>
      </c>
      <c r="G12" s="30" t="s">
        <v>157</v>
      </c>
      <c r="H12" s="31" t="s">
        <v>150</v>
      </c>
      <c r="I12" s="14"/>
      <c r="J12" s="26"/>
      <c r="K12" s="30" t="s">
        <v>158</v>
      </c>
      <c r="L12" s="30" t="s">
        <v>159</v>
      </c>
      <c r="M12" s="30" t="s">
        <v>160</v>
      </c>
      <c r="N12" s="30" t="s">
        <v>161</v>
      </c>
      <c r="O12" s="30" t="s">
        <v>162</v>
      </c>
      <c r="P12" s="31" t="s">
        <v>163</v>
      </c>
    </row>
    <row r="13">
      <c r="B13" s="49" t="s">
        <v>153</v>
      </c>
      <c r="C13" s="45"/>
      <c r="D13" s="47">
        <v>88.0</v>
      </c>
      <c r="E13" s="47">
        <v>46.0</v>
      </c>
      <c r="F13" s="47">
        <v>92.0</v>
      </c>
      <c r="G13" s="47">
        <v>82.0</v>
      </c>
      <c r="H13" s="48">
        <v>40.0</v>
      </c>
      <c r="I13" s="14"/>
      <c r="J13" s="44" t="s">
        <v>158</v>
      </c>
      <c r="K13" s="45"/>
      <c r="L13" s="47">
        <v>68.0</v>
      </c>
      <c r="M13" s="47">
        <v>116.0</v>
      </c>
      <c r="N13" s="47">
        <v>102.0</v>
      </c>
      <c r="O13" s="47">
        <v>76.0</v>
      </c>
      <c r="P13" s="48"/>
      <c r="Q13" s="42">
        <f t="shared" ref="Q13:Q14" si="1">SUM(K13:P13)*0.25</f>
        <v>90.5</v>
      </c>
    </row>
    <row r="14">
      <c r="B14" s="49" t="s">
        <v>154</v>
      </c>
      <c r="C14" s="47">
        <v>54.0</v>
      </c>
      <c r="D14" s="45"/>
      <c r="E14" s="47">
        <v>18.0</v>
      </c>
      <c r="F14" s="47">
        <v>8.0</v>
      </c>
      <c r="G14" s="47">
        <v>30.0</v>
      </c>
      <c r="H14" s="48">
        <v>16.0</v>
      </c>
      <c r="I14" s="14"/>
      <c r="J14" s="44" t="s">
        <v>159</v>
      </c>
      <c r="K14" s="47">
        <v>92.0</v>
      </c>
      <c r="L14" s="45"/>
      <c r="M14" s="47">
        <v>96.0</v>
      </c>
      <c r="N14" s="47">
        <v>72.0</v>
      </c>
      <c r="O14" s="47">
        <v>82.0</v>
      </c>
      <c r="P14" s="78"/>
      <c r="Q14" s="42">
        <f t="shared" si="1"/>
        <v>85.5</v>
      </c>
    </row>
    <row r="15">
      <c r="A15" s="42">
        <f>(60+104+122+114)*0.2</f>
        <v>80</v>
      </c>
      <c r="B15" s="44" t="s">
        <v>167</v>
      </c>
      <c r="C15" s="47">
        <v>60.0</v>
      </c>
      <c r="D15" s="47">
        <v>104.0</v>
      </c>
      <c r="E15" s="45"/>
      <c r="F15" s="47">
        <v>122.0</v>
      </c>
      <c r="G15" s="47">
        <v>114.0</v>
      </c>
      <c r="H15" s="48">
        <v>26.0</v>
      </c>
      <c r="I15" s="14"/>
      <c r="J15" s="49" t="s">
        <v>168</v>
      </c>
      <c r="K15" s="47">
        <v>-12.0</v>
      </c>
      <c r="L15" s="47">
        <v>50.0</v>
      </c>
      <c r="M15" s="45"/>
      <c r="N15" s="47">
        <v>102.0</v>
      </c>
      <c r="O15" s="47">
        <v>66.0</v>
      </c>
      <c r="P15" s="78"/>
    </row>
    <row r="16">
      <c r="B16" s="49" t="s">
        <v>169</v>
      </c>
      <c r="C16" s="47">
        <v>44.0</v>
      </c>
      <c r="D16" s="47">
        <v>34.0</v>
      </c>
      <c r="E16" s="47">
        <v>40.0</v>
      </c>
      <c r="F16" s="45"/>
      <c r="G16" s="47">
        <v>48.0</v>
      </c>
      <c r="H16" s="48">
        <v>16.0</v>
      </c>
      <c r="I16" s="14"/>
      <c r="J16" s="49" t="s">
        <v>161</v>
      </c>
      <c r="K16" s="47">
        <v>0.0</v>
      </c>
      <c r="L16" s="47">
        <v>16.0</v>
      </c>
      <c r="M16" s="47">
        <v>14.0</v>
      </c>
      <c r="N16" s="45"/>
      <c r="O16" s="47">
        <v>70.0</v>
      </c>
      <c r="P16" s="78"/>
    </row>
    <row r="17">
      <c r="B17" s="49" t="s">
        <v>157</v>
      </c>
      <c r="C17" s="47">
        <v>74.0</v>
      </c>
      <c r="D17" s="47">
        <v>74.0</v>
      </c>
      <c r="E17" s="47">
        <v>52.0</v>
      </c>
      <c r="F17" s="47">
        <v>82.0</v>
      </c>
      <c r="G17" s="45"/>
      <c r="H17" s="48">
        <v>26.0</v>
      </c>
      <c r="I17" s="14"/>
      <c r="J17" s="49" t="s">
        <v>162</v>
      </c>
      <c r="K17" s="47">
        <v>44.0</v>
      </c>
      <c r="L17" s="47">
        <v>84.0</v>
      </c>
      <c r="M17" s="47">
        <v>100.0</v>
      </c>
      <c r="N17" s="47">
        <v>94.0</v>
      </c>
      <c r="O17" s="45"/>
      <c r="P17" s="78"/>
    </row>
    <row r="18">
      <c r="A18" s="42">
        <f>(138+98+206+118+114)*0.2</f>
        <v>134.8</v>
      </c>
      <c r="B18" s="82" t="s">
        <v>150</v>
      </c>
      <c r="C18" s="70">
        <v>138.0</v>
      </c>
      <c r="D18" s="70">
        <v>98.0</v>
      </c>
      <c r="E18" s="70">
        <v>206.0</v>
      </c>
      <c r="F18" s="70">
        <v>118.0</v>
      </c>
      <c r="G18" s="70">
        <v>114.0</v>
      </c>
      <c r="H18" s="72"/>
      <c r="I18" s="14"/>
      <c r="J18" s="69" t="s">
        <v>163</v>
      </c>
      <c r="K18" s="70"/>
      <c r="L18" s="84"/>
      <c r="M18" s="84"/>
      <c r="N18" s="84"/>
      <c r="O18" s="84"/>
      <c r="P18" s="72"/>
    </row>
    <row r="19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>
      <c r="B20" s="18" t="s">
        <v>83</v>
      </c>
      <c r="C20" s="21"/>
      <c r="D20" s="21"/>
      <c r="E20" s="21"/>
      <c r="F20" s="21"/>
      <c r="G20" s="21"/>
      <c r="H20" s="6"/>
      <c r="I20" s="14"/>
      <c r="J20" s="18" t="s">
        <v>84</v>
      </c>
      <c r="K20" s="21"/>
      <c r="L20" s="21"/>
      <c r="M20" s="21"/>
      <c r="N20" s="21"/>
      <c r="O20" s="21"/>
      <c r="P20" s="6"/>
    </row>
    <row r="21">
      <c r="B21" s="26"/>
      <c r="C21" s="30" t="s">
        <v>173</v>
      </c>
      <c r="D21" s="30" t="s">
        <v>174</v>
      </c>
      <c r="E21" s="30" t="s">
        <v>175</v>
      </c>
      <c r="F21" s="30" t="s">
        <v>176</v>
      </c>
      <c r="G21" s="30" t="s">
        <v>177</v>
      </c>
      <c r="H21" s="31" t="s">
        <v>163</v>
      </c>
      <c r="I21" s="14"/>
      <c r="J21" s="26"/>
      <c r="K21" s="30" t="s">
        <v>178</v>
      </c>
      <c r="L21" s="30" t="s">
        <v>179</v>
      </c>
      <c r="M21" s="30" t="s">
        <v>181</v>
      </c>
      <c r="N21" s="30" t="s">
        <v>182</v>
      </c>
      <c r="O21" s="30" t="s">
        <v>183</v>
      </c>
      <c r="P21" s="31" t="s">
        <v>163</v>
      </c>
    </row>
    <row r="22">
      <c r="B22" s="49" t="s">
        <v>173</v>
      </c>
      <c r="C22" s="45"/>
      <c r="D22" s="47">
        <v>84.0</v>
      </c>
      <c r="E22" s="47">
        <v>52.0</v>
      </c>
      <c r="F22" s="47">
        <v>82.0</v>
      </c>
      <c r="G22" s="47">
        <v>68.0</v>
      </c>
      <c r="H22" s="48">
        <v>0.0</v>
      </c>
      <c r="I22" s="14"/>
      <c r="J22" s="49" t="s">
        <v>178</v>
      </c>
      <c r="K22" s="45"/>
      <c r="L22" s="47">
        <v>100.0</v>
      </c>
      <c r="M22" s="47">
        <v>38.0</v>
      </c>
      <c r="N22" s="47">
        <v>84.0</v>
      </c>
      <c r="O22" s="47">
        <v>36.0</v>
      </c>
      <c r="P22" s="48">
        <v>0.0</v>
      </c>
    </row>
    <row r="23">
      <c r="B23" s="49" t="s">
        <v>174</v>
      </c>
      <c r="C23" s="47">
        <v>72.0</v>
      </c>
      <c r="D23" s="45"/>
      <c r="E23" s="47">
        <v>134.0</v>
      </c>
      <c r="F23" s="47">
        <v>82.0</v>
      </c>
      <c r="G23" s="47">
        <v>92.0</v>
      </c>
      <c r="H23" s="48">
        <v>0.0</v>
      </c>
      <c r="I23" s="14"/>
      <c r="J23" s="49" t="s">
        <v>179</v>
      </c>
      <c r="K23" s="47">
        <v>18.0</v>
      </c>
      <c r="L23" s="45"/>
      <c r="M23" s="47">
        <v>22.0</v>
      </c>
      <c r="N23" s="47">
        <v>-4.0</v>
      </c>
      <c r="O23" s="47">
        <v>22.0</v>
      </c>
      <c r="P23" s="48">
        <v>0.0</v>
      </c>
    </row>
    <row r="24">
      <c r="B24" s="49" t="s">
        <v>175</v>
      </c>
      <c r="C24" s="47">
        <v>64.0</v>
      </c>
      <c r="D24" s="47">
        <v>52.0</v>
      </c>
      <c r="E24" s="45"/>
      <c r="F24" s="47">
        <v>32.0</v>
      </c>
      <c r="G24" s="47">
        <v>36.0</v>
      </c>
      <c r="H24" s="48">
        <v>0.0</v>
      </c>
      <c r="I24" s="14"/>
      <c r="J24" s="44" t="s">
        <v>181</v>
      </c>
      <c r="K24" s="47">
        <v>62.0</v>
      </c>
      <c r="L24" s="47">
        <v>82.0</v>
      </c>
      <c r="M24" s="45"/>
      <c r="N24" s="47">
        <v>134.0</v>
      </c>
      <c r="O24" s="47">
        <v>118.0</v>
      </c>
      <c r="P24" s="48">
        <v>0.0</v>
      </c>
      <c r="Q24" s="42">
        <f>SUM(K24:P24)*0.25</f>
        <v>99</v>
      </c>
    </row>
    <row r="25">
      <c r="A25" s="42">
        <f>(118+100+132+66)*0.25</f>
        <v>104</v>
      </c>
      <c r="B25" s="44" t="s">
        <v>176</v>
      </c>
      <c r="C25" s="47">
        <v>118.0</v>
      </c>
      <c r="D25" s="47">
        <v>100.0</v>
      </c>
      <c r="E25" s="47">
        <v>132.0</v>
      </c>
      <c r="F25" s="45"/>
      <c r="G25" s="47">
        <v>66.0</v>
      </c>
      <c r="H25" s="48">
        <v>0.0</v>
      </c>
      <c r="I25" s="14"/>
      <c r="J25" s="49" t="s">
        <v>182</v>
      </c>
      <c r="K25" s="47">
        <v>58.0</v>
      </c>
      <c r="L25" s="47">
        <v>88.0</v>
      </c>
      <c r="M25" s="47">
        <v>36.0</v>
      </c>
      <c r="N25" s="45"/>
      <c r="O25" s="47">
        <v>114.0</v>
      </c>
      <c r="P25" s="48">
        <v>0.0</v>
      </c>
    </row>
    <row r="26">
      <c r="A26" s="42">
        <f>(80+120+156+92)*0.25</f>
        <v>112</v>
      </c>
      <c r="B26" s="44" t="s">
        <v>166</v>
      </c>
      <c r="C26" s="47">
        <v>80.0</v>
      </c>
      <c r="D26" s="47">
        <v>120.0</v>
      </c>
      <c r="E26" s="47">
        <v>156.0</v>
      </c>
      <c r="F26" s="47">
        <v>92.0</v>
      </c>
      <c r="G26" s="45"/>
      <c r="H26" s="48">
        <v>0.0</v>
      </c>
      <c r="I26" s="14"/>
      <c r="J26" s="44" t="s">
        <v>183</v>
      </c>
      <c r="K26" s="47">
        <v>76.0</v>
      </c>
      <c r="L26" s="47">
        <v>130.0</v>
      </c>
      <c r="M26" s="47">
        <v>38.0</v>
      </c>
      <c r="N26" s="47">
        <v>72.0</v>
      </c>
      <c r="O26" s="45"/>
      <c r="P26" s="48">
        <v>0.0</v>
      </c>
      <c r="Q26" s="42">
        <f>SUM(K26:P26)*0.25</f>
        <v>79</v>
      </c>
    </row>
    <row r="27">
      <c r="B27" s="69" t="s">
        <v>163</v>
      </c>
      <c r="C27" s="70">
        <v>-1.0</v>
      </c>
      <c r="D27" s="70">
        <v>-1.0</v>
      </c>
      <c r="E27" s="70">
        <v>-1.0</v>
      </c>
      <c r="F27" s="70">
        <v>-1.0</v>
      </c>
      <c r="G27" s="70">
        <v>-1.0</v>
      </c>
      <c r="H27" s="72"/>
      <c r="I27" s="14"/>
      <c r="J27" s="69" t="s">
        <v>163</v>
      </c>
      <c r="K27" s="70">
        <v>-1.0</v>
      </c>
      <c r="L27" s="70">
        <v>-1.0</v>
      </c>
      <c r="M27" s="70">
        <v>-1.0</v>
      </c>
      <c r="N27" s="70">
        <v>-1.0</v>
      </c>
      <c r="O27" s="70">
        <v>-1.0</v>
      </c>
      <c r="P27" s="72"/>
    </row>
    <row r="28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>
      <c r="B29" s="18" t="s">
        <v>99</v>
      </c>
      <c r="C29" s="21"/>
      <c r="D29" s="21"/>
      <c r="E29" s="21"/>
      <c r="F29" s="21"/>
      <c r="G29" s="21"/>
      <c r="H29" s="6"/>
      <c r="I29" s="14"/>
      <c r="J29" s="18" t="s">
        <v>100</v>
      </c>
      <c r="K29" s="21"/>
      <c r="L29" s="21"/>
      <c r="M29" s="21"/>
      <c r="N29" s="21"/>
      <c r="O29" s="21"/>
      <c r="P29" s="6"/>
    </row>
    <row r="30">
      <c r="B30" s="26"/>
      <c r="C30" s="30" t="s">
        <v>189</v>
      </c>
      <c r="D30" s="30" t="s">
        <v>77</v>
      </c>
      <c r="E30" s="30" t="s">
        <v>172</v>
      </c>
      <c r="F30" s="30" t="s">
        <v>190</v>
      </c>
      <c r="G30" s="30" t="s">
        <v>191</v>
      </c>
      <c r="H30" s="31" t="s">
        <v>163</v>
      </c>
      <c r="I30" s="14"/>
      <c r="J30" s="26"/>
      <c r="K30" s="30" t="s">
        <v>192</v>
      </c>
      <c r="L30" s="30" t="s">
        <v>193</v>
      </c>
      <c r="M30" s="30" t="s">
        <v>194</v>
      </c>
      <c r="N30" s="30" t="s">
        <v>195</v>
      </c>
      <c r="O30" s="30" t="s">
        <v>196</v>
      </c>
      <c r="P30" s="31" t="s">
        <v>163</v>
      </c>
    </row>
    <row r="31">
      <c r="B31" s="49" t="s">
        <v>189</v>
      </c>
      <c r="C31" s="45"/>
      <c r="D31" s="47">
        <v>0.0</v>
      </c>
      <c r="E31" s="47">
        <v>0.0</v>
      </c>
      <c r="F31" s="47">
        <v>36.0</v>
      </c>
      <c r="G31" s="47">
        <v>8.0</v>
      </c>
      <c r="H31" s="48">
        <v>0.0</v>
      </c>
      <c r="I31" s="14"/>
      <c r="J31" s="44" t="s">
        <v>192</v>
      </c>
      <c r="K31" s="45"/>
      <c r="L31" s="47">
        <v>126.0</v>
      </c>
      <c r="M31" s="47">
        <v>66.0</v>
      </c>
      <c r="N31" s="47">
        <v>112.0</v>
      </c>
      <c r="O31" s="47">
        <v>66.0</v>
      </c>
      <c r="P31" s="48">
        <v>0.0</v>
      </c>
      <c r="Q31" s="42">
        <f>(126+66+112+66)*0.25</f>
        <v>92.5</v>
      </c>
    </row>
    <row r="32">
      <c r="A32" s="42">
        <f>0.25*(198+116+72+176)</f>
        <v>140.5</v>
      </c>
      <c r="B32" s="44" t="s">
        <v>77</v>
      </c>
      <c r="C32" s="47">
        <v>198.0</v>
      </c>
      <c r="D32" s="45"/>
      <c r="E32" s="47">
        <v>116.0</v>
      </c>
      <c r="F32" s="47">
        <v>72.0</v>
      </c>
      <c r="G32" s="47">
        <v>176.0</v>
      </c>
      <c r="H32" s="48">
        <v>0.0</v>
      </c>
      <c r="I32" s="14"/>
      <c r="J32" s="49" t="s">
        <v>193</v>
      </c>
      <c r="K32" s="47">
        <v>74.0</v>
      </c>
      <c r="L32" s="45"/>
      <c r="M32" s="47">
        <v>92.0</v>
      </c>
      <c r="N32" s="47">
        <v>104.0</v>
      </c>
      <c r="O32" s="47">
        <v>38.0</v>
      </c>
      <c r="P32" s="48">
        <v>0.0</v>
      </c>
    </row>
    <row r="33">
      <c r="A33" s="42">
        <f>(104+36+170+130)*0.25</f>
        <v>110</v>
      </c>
      <c r="B33" s="44" t="s">
        <v>172</v>
      </c>
      <c r="C33" s="47">
        <v>104.0</v>
      </c>
      <c r="D33" s="47">
        <v>36.0</v>
      </c>
      <c r="E33" s="45"/>
      <c r="F33" s="47">
        <v>170.0</v>
      </c>
      <c r="G33" s="47">
        <v>130.0</v>
      </c>
      <c r="H33" s="48">
        <v>0.0</v>
      </c>
      <c r="I33" s="14"/>
      <c r="J33" s="49" t="s">
        <v>194</v>
      </c>
      <c r="K33" s="47">
        <v>96.0</v>
      </c>
      <c r="L33" s="47">
        <v>82.0</v>
      </c>
      <c r="M33" s="45"/>
      <c r="N33" s="47">
        <v>56.0</v>
      </c>
      <c r="O33" s="47">
        <v>56.0</v>
      </c>
      <c r="P33" s="48">
        <v>0.0</v>
      </c>
    </row>
    <row r="34">
      <c r="B34" s="49" t="s">
        <v>190</v>
      </c>
      <c r="C34" s="47">
        <v>106.0</v>
      </c>
      <c r="D34" s="47">
        <v>68.0</v>
      </c>
      <c r="E34" s="47">
        <v>0.0</v>
      </c>
      <c r="F34" s="45"/>
      <c r="G34" s="47">
        <v>96.0</v>
      </c>
      <c r="H34" s="48">
        <v>0.0</v>
      </c>
      <c r="I34" s="14"/>
      <c r="J34" s="49" t="s">
        <v>195</v>
      </c>
      <c r="K34" s="47">
        <v>22.0</v>
      </c>
      <c r="L34" s="47">
        <v>8.0</v>
      </c>
      <c r="M34" s="47">
        <v>108.0</v>
      </c>
      <c r="N34" s="45"/>
      <c r="O34" s="47">
        <v>90.0</v>
      </c>
      <c r="P34" s="48">
        <v>0.0</v>
      </c>
    </row>
    <row r="35">
      <c r="B35" s="49" t="s">
        <v>191</v>
      </c>
      <c r="C35" s="47">
        <v>72.0</v>
      </c>
      <c r="D35" s="47">
        <v>14.0</v>
      </c>
      <c r="E35" s="47">
        <v>74.0</v>
      </c>
      <c r="F35" s="47">
        <v>68.0</v>
      </c>
      <c r="G35" s="45"/>
      <c r="H35" s="48">
        <v>0.0</v>
      </c>
      <c r="I35" s="14"/>
      <c r="J35" s="44" t="s">
        <v>196</v>
      </c>
      <c r="K35" s="47">
        <v>84.0</v>
      </c>
      <c r="L35" s="47">
        <v>96.0</v>
      </c>
      <c r="M35" s="47">
        <v>112.0</v>
      </c>
      <c r="N35" s="47">
        <v>92.0</v>
      </c>
      <c r="O35" s="45"/>
      <c r="P35" s="48">
        <v>0.0</v>
      </c>
      <c r="Q35" s="42">
        <f>(84+96+112+92)*0.25</f>
        <v>96</v>
      </c>
    </row>
    <row r="36">
      <c r="B36" s="69" t="s">
        <v>163</v>
      </c>
      <c r="C36" s="70">
        <v>-1.0</v>
      </c>
      <c r="D36" s="70">
        <v>-1.0</v>
      </c>
      <c r="E36" s="70">
        <v>-1.0</v>
      </c>
      <c r="F36" s="70">
        <v>-1.0</v>
      </c>
      <c r="G36" s="70">
        <v>-1.0</v>
      </c>
      <c r="H36" s="72"/>
      <c r="I36" s="14"/>
      <c r="J36" s="69" t="s">
        <v>163</v>
      </c>
      <c r="K36" s="70">
        <v>-1.0</v>
      </c>
      <c r="L36" s="70">
        <v>-1.0</v>
      </c>
      <c r="M36" s="70">
        <v>-1.0</v>
      </c>
      <c r="N36" s="70">
        <v>-1.0</v>
      </c>
      <c r="O36" s="70">
        <v>-1.0</v>
      </c>
      <c r="P36" s="72"/>
    </row>
  </sheetData>
  <mergeCells count="8">
    <mergeCell ref="B2:H2"/>
    <mergeCell ref="J2:P2"/>
    <mergeCell ref="B11:H11"/>
    <mergeCell ref="J11:P11"/>
    <mergeCell ref="B20:H20"/>
    <mergeCell ref="J20:P20"/>
    <mergeCell ref="B29:H29"/>
    <mergeCell ref="J29:P29"/>
  </mergeCells>
  <conditionalFormatting sqref="D4 L4 D13 L13 D22 L22 D31 L31">
    <cfRule type="containsBlanks" dxfId="5" priority="1">
      <formula>LEN(TRIM(D4))=0</formula>
    </cfRule>
  </conditionalFormatting>
  <conditionalFormatting sqref="D4 L4 D13 L13 D22 L22 D31 L31">
    <cfRule type="cellIs" dxfId="6" priority="2" operator="greaterThan">
      <formula>C5</formula>
    </cfRule>
  </conditionalFormatting>
  <conditionalFormatting sqref="D4 L4 D13 L13 D22 L22 D31 L31">
    <cfRule type="cellIs" dxfId="7" priority="3" operator="lessThan">
      <formula>C5</formula>
    </cfRule>
  </conditionalFormatting>
  <conditionalFormatting sqref="E4 M4 E13 M13 E22 M22 E31 M31">
    <cfRule type="containsBlanks" dxfId="5" priority="4">
      <formula>LEN(TRIM(E4))=0</formula>
    </cfRule>
  </conditionalFormatting>
  <conditionalFormatting sqref="E4 M4 E13 M13 E22 M22 E31 M31">
    <cfRule type="cellIs" dxfId="6" priority="5" operator="greaterThan">
      <formula>C6</formula>
    </cfRule>
  </conditionalFormatting>
  <conditionalFormatting sqref="E4 M4 E13 M13 E22 M22 E31 M31">
    <cfRule type="cellIs" dxfId="7" priority="6" operator="lessThan">
      <formula>C6</formula>
    </cfRule>
  </conditionalFormatting>
  <conditionalFormatting sqref="D4 L4 D13 L13 D22 L22 D31 L31">
    <cfRule type="cellIs" dxfId="8" priority="7" operator="equal">
      <formula>C5</formula>
    </cfRule>
  </conditionalFormatting>
  <conditionalFormatting sqref="E4 M4 E13 M13 E22 M22 E31 M31">
    <cfRule type="cellIs" dxfId="8" priority="8" operator="equal">
      <formula>C6</formula>
    </cfRule>
  </conditionalFormatting>
  <conditionalFormatting sqref="F4 N4 F13 N13 F22 N22 F31 N31">
    <cfRule type="containsBlanks" dxfId="5" priority="9">
      <formula>LEN(TRIM(F4))=0</formula>
    </cfRule>
  </conditionalFormatting>
  <conditionalFormatting sqref="F4 N4 F13 N13 F22 N22 F31 N31">
    <cfRule type="cellIs" dxfId="6" priority="10" operator="greaterThan">
      <formula>C7</formula>
    </cfRule>
  </conditionalFormatting>
  <conditionalFormatting sqref="F4 N4 F13 N13 F22 N22 F31 N31">
    <cfRule type="cellIs" dxfId="7" priority="11" operator="lessThan">
      <formula>C7</formula>
    </cfRule>
  </conditionalFormatting>
  <conditionalFormatting sqref="F4 N4 F13 N13 F22 N22 F31 N31">
    <cfRule type="cellIs" dxfId="8" priority="12" operator="equal">
      <formula>C7</formula>
    </cfRule>
  </conditionalFormatting>
  <conditionalFormatting sqref="G4 O4 G13 O13 G22 O22 G31 O31">
    <cfRule type="containsBlanks" dxfId="5" priority="13">
      <formula>LEN(TRIM(G4))=0</formula>
    </cfRule>
  </conditionalFormatting>
  <conditionalFormatting sqref="G4 O4 G13 O13 G22 O22 G31 O31">
    <cfRule type="cellIs" dxfId="6" priority="14" operator="greaterThan">
      <formula>C8</formula>
    </cfRule>
  </conditionalFormatting>
  <conditionalFormatting sqref="H4 P4 H13 P13 H22 P22 H31 P31">
    <cfRule type="containsBlanks" dxfId="5" priority="15">
      <formula>LEN(TRIM(H4))=0</formula>
    </cfRule>
  </conditionalFormatting>
  <conditionalFormatting sqref="H4 P4 H13 P13 H22 P22 H31 P31">
    <cfRule type="cellIs" dxfId="6" priority="16" operator="greaterThan">
      <formula>C9</formula>
    </cfRule>
  </conditionalFormatting>
  <conditionalFormatting sqref="G4 O4 G13 O13 G22 O22 G31 O31">
    <cfRule type="cellIs" dxfId="7" priority="17" operator="lessThan">
      <formula>C8</formula>
    </cfRule>
  </conditionalFormatting>
  <conditionalFormatting sqref="G4 O4 G13 O13 G22 O22 G31 O31">
    <cfRule type="cellIs" dxfId="8" priority="18" operator="equal">
      <formula>C8</formula>
    </cfRule>
  </conditionalFormatting>
  <conditionalFormatting sqref="H4 P4 H13 P13 H22 P22 H31 P31">
    <cfRule type="cellIs" dxfId="7" priority="19" operator="lessThan">
      <formula>C9</formula>
    </cfRule>
  </conditionalFormatting>
  <conditionalFormatting sqref="H4 P4 H13 P13 H22 P22 H31 P31">
    <cfRule type="cellIs" dxfId="8" priority="20" operator="equal">
      <formula>C9</formula>
    </cfRule>
  </conditionalFormatting>
  <conditionalFormatting sqref="C5 K5 C14 K14 C23 K23 C32 K32">
    <cfRule type="containsBlanks" dxfId="5" priority="21">
      <formula>LEN(TRIM(C5))=0</formula>
    </cfRule>
  </conditionalFormatting>
  <conditionalFormatting sqref="C5 K5 C14 K14 C23 K23 C32 K32">
    <cfRule type="cellIs" dxfId="6" priority="22" operator="greaterThan">
      <formula>D4</formula>
    </cfRule>
  </conditionalFormatting>
  <conditionalFormatting sqref="C5 K5 C14 K14 C23 K23 C32 K32">
    <cfRule type="cellIs" dxfId="7" priority="23" operator="lessThan">
      <formula>D4</formula>
    </cfRule>
  </conditionalFormatting>
  <conditionalFormatting sqref="C5 K5 C14 K14 C23 K23 C32 K32">
    <cfRule type="cellIs" dxfId="8" priority="24" operator="equal">
      <formula>D4</formula>
    </cfRule>
  </conditionalFormatting>
  <conditionalFormatting sqref="C6 K6 C15 K15 C24 K24 C33 K33">
    <cfRule type="containsBlanks" dxfId="5" priority="25">
      <formula>LEN(TRIM(C6))=0</formula>
    </cfRule>
  </conditionalFormatting>
  <conditionalFormatting sqref="C6 K6 C15 K15 C24 K24 C33 K33">
    <cfRule type="cellIs" dxfId="6" priority="26" operator="greaterThan">
      <formula>E4</formula>
    </cfRule>
  </conditionalFormatting>
  <conditionalFormatting sqref="C6 K6 C15 K15 C24 K24 C33 K33">
    <cfRule type="cellIs" dxfId="7" priority="27" operator="lessThan">
      <formula>E4</formula>
    </cfRule>
  </conditionalFormatting>
  <conditionalFormatting sqref="C6 K6 C15 K15 C24 K24 C33 K33">
    <cfRule type="cellIs" dxfId="8" priority="28" operator="equal">
      <formula>E4</formula>
    </cfRule>
  </conditionalFormatting>
  <conditionalFormatting sqref="C7 K7 C16 K16 C25 K25 C34 K34">
    <cfRule type="containsBlanks" dxfId="5" priority="29">
      <formula>LEN(TRIM(C7))=0</formula>
    </cfRule>
  </conditionalFormatting>
  <conditionalFormatting sqref="C7 K7 C16 K16 C25 K25 C34 K34">
    <cfRule type="cellIs" dxfId="6" priority="30" operator="greaterThan">
      <formula>F4</formula>
    </cfRule>
  </conditionalFormatting>
  <conditionalFormatting sqref="C7 K7 C16 K16 C25 K25 C34 K34">
    <cfRule type="cellIs" dxfId="7" priority="31" operator="lessThan">
      <formula>F4</formula>
    </cfRule>
  </conditionalFormatting>
  <conditionalFormatting sqref="C7 K7 C16 K16 C25 K25 C34 K34">
    <cfRule type="cellIs" dxfId="8" priority="32" operator="equal">
      <formula>F4</formula>
    </cfRule>
  </conditionalFormatting>
  <conditionalFormatting sqref="C8 K8 C17 K17 C26 K26 C35 K35">
    <cfRule type="containsBlanks" dxfId="5" priority="33">
      <formula>LEN(TRIM(C8))=0</formula>
    </cfRule>
  </conditionalFormatting>
  <conditionalFormatting sqref="C8 K8 C17 K17 C26 K26 C35 K35">
    <cfRule type="cellIs" dxfId="6" priority="34" operator="greaterThan">
      <formula>G4</formula>
    </cfRule>
  </conditionalFormatting>
  <conditionalFormatting sqref="C8 K8 C17 K17 C26 K26 C35 K35">
    <cfRule type="cellIs" dxfId="7" priority="35" operator="lessThan">
      <formula>G4</formula>
    </cfRule>
  </conditionalFormatting>
  <conditionalFormatting sqref="C8 K8 C17 K17 C26 K26 C35 K35">
    <cfRule type="cellIs" dxfId="8" priority="36" operator="equal">
      <formula>G4</formula>
    </cfRule>
  </conditionalFormatting>
  <conditionalFormatting sqref="C9 K9 C18 K18 C27 K27 C36 K36">
    <cfRule type="containsBlanks" dxfId="5" priority="37">
      <formula>LEN(TRIM(C9))=0</formula>
    </cfRule>
  </conditionalFormatting>
  <conditionalFormatting sqref="C9 K9 C18 K18 C27 K27 C36 K36">
    <cfRule type="cellIs" dxfId="6" priority="38" operator="greaterThan">
      <formula>H4</formula>
    </cfRule>
  </conditionalFormatting>
  <conditionalFormatting sqref="C9 K9 C18 K18 C27 K27 C36 K36">
    <cfRule type="cellIs" dxfId="7" priority="39" operator="lessThan">
      <formula>H4</formula>
    </cfRule>
  </conditionalFormatting>
  <conditionalFormatting sqref="C9 K9 C18 K18 C27 K27 C36 K36">
    <cfRule type="cellIs" dxfId="8" priority="40" operator="equal">
      <formula>H4</formula>
    </cfRule>
  </conditionalFormatting>
  <conditionalFormatting sqref="E5 M5 E14 M14 E23 M23 E32 M32">
    <cfRule type="containsBlanks" dxfId="5" priority="41">
      <formula>LEN(TRIM(E5))=0</formula>
    </cfRule>
  </conditionalFormatting>
  <conditionalFormatting sqref="E5 M5 E14 M14 E23 M23 E32 M32">
    <cfRule type="cellIs" dxfId="6" priority="42" operator="greaterThan">
      <formula>D6</formula>
    </cfRule>
  </conditionalFormatting>
  <conditionalFormatting sqref="E5 M5 E14 M14 E23 M23 E32 M32">
    <cfRule type="cellIs" dxfId="7" priority="43" operator="lessThan">
      <formula>D6</formula>
    </cfRule>
  </conditionalFormatting>
  <conditionalFormatting sqref="E5 M5 E14 M14 E23 M23 E32 M32">
    <cfRule type="cellIs" dxfId="8" priority="44" operator="equal">
      <formula>D6</formula>
    </cfRule>
  </conditionalFormatting>
  <conditionalFormatting sqref="F5 N5 F14 N14 F23 N23 F32 N32">
    <cfRule type="containsBlanks" dxfId="5" priority="45">
      <formula>LEN(TRIM(F5))=0</formula>
    </cfRule>
  </conditionalFormatting>
  <conditionalFormatting sqref="F5 N5 F14 N14 F23 N23 F32 N32">
    <cfRule type="cellIs" dxfId="6" priority="46" operator="greaterThan">
      <formula>D7</formula>
    </cfRule>
  </conditionalFormatting>
  <conditionalFormatting sqref="F5 N5 F14 N14 F23 N23 F32 N32">
    <cfRule type="cellIs" dxfId="7" priority="47" operator="lessThan">
      <formula>D7</formula>
    </cfRule>
  </conditionalFormatting>
  <conditionalFormatting sqref="F5 N5 F14 N14 F23 N23 F32 N32">
    <cfRule type="cellIs" dxfId="8" priority="48" operator="equal">
      <formula>D7</formula>
    </cfRule>
  </conditionalFormatting>
  <conditionalFormatting sqref="G5 O5 G14 O14 G23 O23 G32 O32">
    <cfRule type="containsBlanks" dxfId="5" priority="49">
      <formula>LEN(TRIM(G5))=0</formula>
    </cfRule>
  </conditionalFormatting>
  <conditionalFormatting sqref="G5 O5 G14 O14 G23 O23 G32 O32">
    <cfRule type="cellIs" dxfId="6" priority="50" operator="greaterThan">
      <formula>D8</formula>
    </cfRule>
  </conditionalFormatting>
  <conditionalFormatting sqref="G5 O5 G14 O14 G23 O23 G32 O32">
    <cfRule type="cellIs" dxfId="7" priority="51" operator="lessThan">
      <formula>D8</formula>
    </cfRule>
  </conditionalFormatting>
  <conditionalFormatting sqref="G5 O5 G14 O14 G23 O23 G32 O32">
    <cfRule type="cellIs" dxfId="8" priority="52" operator="equal">
      <formula>D8</formula>
    </cfRule>
  </conditionalFormatting>
  <conditionalFormatting sqref="H5 P5 H14 P14 H23 P23 H32 P32">
    <cfRule type="containsBlanks" dxfId="5" priority="53">
      <formula>LEN(TRIM(H5))=0</formula>
    </cfRule>
  </conditionalFormatting>
  <conditionalFormatting sqref="H5 P5 H14 P14 H23 P23 H32 P32">
    <cfRule type="cellIs" dxfId="6" priority="54" operator="greaterThan">
      <formula>D9</formula>
    </cfRule>
  </conditionalFormatting>
  <conditionalFormatting sqref="H5 P5 H14 P14 H23 P23 H32 P32">
    <cfRule type="cellIs" dxfId="7" priority="55" operator="lessThan">
      <formula>D9</formula>
    </cfRule>
  </conditionalFormatting>
  <conditionalFormatting sqref="H5 P5 H14 P14 H23 P23 H32 P32">
    <cfRule type="cellIs" dxfId="8" priority="56" operator="equal">
      <formula>D9</formula>
    </cfRule>
  </conditionalFormatting>
  <conditionalFormatting sqref="D6 L6 D15 L15 D24 L24 D33 L33">
    <cfRule type="containsBlanks" dxfId="5" priority="57">
      <formula>LEN(TRIM(D6))=0</formula>
    </cfRule>
  </conditionalFormatting>
  <conditionalFormatting sqref="D6 L6 D15 L15 D24 L24 D33 L33">
    <cfRule type="cellIs" dxfId="6" priority="58" operator="greaterThan">
      <formula>E5</formula>
    </cfRule>
  </conditionalFormatting>
  <conditionalFormatting sqref="D6 L6 D15 L15 D24 L24 D33 L33">
    <cfRule type="cellIs" dxfId="7" priority="59" operator="lessThan">
      <formula>E5</formula>
    </cfRule>
  </conditionalFormatting>
  <conditionalFormatting sqref="D6 L6 D15 L15 D24 L24 D33 L33">
    <cfRule type="cellIs" dxfId="8" priority="60" operator="equal">
      <formula>E5</formula>
    </cfRule>
  </conditionalFormatting>
  <conditionalFormatting sqref="D7 L7 D16 L16 D25 L25 D34 L34">
    <cfRule type="containsBlanks" dxfId="5" priority="61">
      <formula>LEN(TRIM(D7))=0</formula>
    </cfRule>
  </conditionalFormatting>
  <conditionalFormatting sqref="D7 L7 D16 L16 D25 L25 D34 L34">
    <cfRule type="cellIs" dxfId="6" priority="62" operator="greaterThan">
      <formula>F5</formula>
    </cfRule>
  </conditionalFormatting>
  <conditionalFormatting sqref="D7 L7 D16 L16 D25 L25 D34 L34">
    <cfRule type="cellIs" dxfId="7" priority="63" operator="lessThan">
      <formula>F5</formula>
    </cfRule>
  </conditionalFormatting>
  <conditionalFormatting sqref="D7 L7 D16 L16 D25 L25 D34 L34">
    <cfRule type="cellIs" dxfId="9" priority="64" operator="equal">
      <formula>F5</formula>
    </cfRule>
  </conditionalFormatting>
  <conditionalFormatting sqref="D8 L8 D17 L17 D26 L26 D35 L35">
    <cfRule type="containsBlanks" dxfId="5" priority="65">
      <formula>LEN(TRIM(D8))=0</formula>
    </cfRule>
  </conditionalFormatting>
  <conditionalFormatting sqref="D8 L8 D17 L17 D26 L26 D35 L35">
    <cfRule type="cellIs" dxfId="6" priority="66" operator="greaterThan">
      <formula>G5</formula>
    </cfRule>
  </conditionalFormatting>
  <conditionalFormatting sqref="D8 L8 D17 L17 D26 L26 D35 L35">
    <cfRule type="cellIs" dxfId="10" priority="67" operator="lessThan">
      <formula>G5</formula>
    </cfRule>
  </conditionalFormatting>
  <conditionalFormatting sqref="D8 L8 D17 L17 D26 L26 D35 L35">
    <cfRule type="cellIs" dxfId="8" priority="68" operator="equal">
      <formula>G5</formula>
    </cfRule>
  </conditionalFormatting>
  <conditionalFormatting sqref="D9 L9 D18 L18 D27 L27 D36 L36">
    <cfRule type="containsBlanks" dxfId="5" priority="69">
      <formula>LEN(TRIM(D9))=0</formula>
    </cfRule>
  </conditionalFormatting>
  <conditionalFormatting sqref="D9 L9 D18 L18 D27 L27 D36 L36">
    <cfRule type="cellIs" dxfId="6" priority="70" operator="greaterThan">
      <formula>H5</formula>
    </cfRule>
  </conditionalFormatting>
  <conditionalFormatting sqref="D9 L9 D18 L18 D27 L27 D36 L36">
    <cfRule type="cellIs" dxfId="7" priority="71" operator="lessThan">
      <formula>H5</formula>
    </cfRule>
  </conditionalFormatting>
  <conditionalFormatting sqref="D9 L9 D18 L18 D27 L27 D36 L36">
    <cfRule type="cellIs" dxfId="8" priority="72" operator="equal">
      <formula>H5</formula>
    </cfRule>
  </conditionalFormatting>
  <conditionalFormatting sqref="F6 N6 F15 N15 F24 N24 F33 N33">
    <cfRule type="containsBlanks" dxfId="5" priority="73">
      <formula>LEN(TRIM(F6))=0</formula>
    </cfRule>
  </conditionalFormatting>
  <conditionalFormatting sqref="F6 N6 F15 N15 F24 N24 F33 N33">
    <cfRule type="cellIs" dxfId="6" priority="74" operator="greaterThan">
      <formula>E7</formula>
    </cfRule>
  </conditionalFormatting>
  <conditionalFormatting sqref="F6 N6 F15 N15 F24 N24 F33 N33">
    <cfRule type="cellIs" dxfId="7" priority="75" operator="lessThan">
      <formula>E7</formula>
    </cfRule>
  </conditionalFormatting>
  <conditionalFormatting sqref="F6 N6 F15 N15 F24 N24 F33 N33">
    <cfRule type="cellIs" dxfId="9" priority="76" operator="equal">
      <formula>E7</formula>
    </cfRule>
  </conditionalFormatting>
  <conditionalFormatting sqref="G6 O6 G15 O15 G24 O24 G33 O33">
    <cfRule type="containsBlanks" dxfId="5" priority="77">
      <formula>LEN(TRIM(G6))=0</formula>
    </cfRule>
  </conditionalFormatting>
  <conditionalFormatting sqref="G6 O6 G15 O15 G24 O24 G33 O33">
    <cfRule type="cellIs" dxfId="6" priority="78" operator="greaterThan">
      <formula>E8</formula>
    </cfRule>
  </conditionalFormatting>
  <conditionalFormatting sqref="G6 O6 G15 O15 G24 O24 G33 O33">
    <cfRule type="cellIs" dxfId="7" priority="79" operator="lessThan">
      <formula>E8</formula>
    </cfRule>
  </conditionalFormatting>
  <conditionalFormatting sqref="G6 O6 G15 O15 G24 O24 G33 O33">
    <cfRule type="cellIs" dxfId="8" priority="80" operator="equal">
      <formula>E8</formula>
    </cfRule>
  </conditionalFormatting>
  <conditionalFormatting sqref="H6 P6 H15 P15 H24 P24 H33 P33">
    <cfRule type="containsBlanks" dxfId="5" priority="81">
      <formula>LEN(TRIM(H6))=0</formula>
    </cfRule>
  </conditionalFormatting>
  <conditionalFormatting sqref="H6 P6 H15 P15 H24 P24 H33 P33">
    <cfRule type="cellIs" dxfId="6" priority="82" operator="greaterThan">
      <formula>E9</formula>
    </cfRule>
  </conditionalFormatting>
  <conditionalFormatting sqref="H6 P6 H15 P15 H24 P24 H33 P33">
    <cfRule type="cellIs" dxfId="7" priority="83" operator="lessThan">
      <formula>E9</formula>
    </cfRule>
  </conditionalFormatting>
  <conditionalFormatting sqref="H6 P6 H15 P15 H24 P24 H33 P33">
    <cfRule type="cellIs" dxfId="8" priority="84" operator="equal">
      <formula>E9</formula>
    </cfRule>
  </conditionalFormatting>
  <conditionalFormatting sqref="E7 M7 E16 M16 E25 M25 E34 M34">
    <cfRule type="containsBlanks" dxfId="5" priority="85">
      <formula>LEN(TRIM(E7))=0</formula>
    </cfRule>
  </conditionalFormatting>
  <conditionalFormatting sqref="E7 M7 E16 M16 E25 M25 E34 M34">
    <cfRule type="cellIs" dxfId="6" priority="86" operator="greaterThan">
      <formula>F6</formula>
    </cfRule>
  </conditionalFormatting>
  <conditionalFormatting sqref="E7 M7 E16 M16 E25 M25 E34 M34">
    <cfRule type="cellIs" dxfId="7" priority="87" operator="lessThan">
      <formula>F6</formula>
    </cfRule>
  </conditionalFormatting>
  <conditionalFormatting sqref="E7 M7 E16 M16 E25 M25 E34 M34">
    <cfRule type="cellIs" dxfId="8" priority="88" operator="equal">
      <formula>F6</formula>
    </cfRule>
  </conditionalFormatting>
  <conditionalFormatting sqref="E8 M8 E17 M17 E26 M26 E35 M35">
    <cfRule type="containsBlanks" dxfId="5" priority="89">
      <formula>LEN(TRIM(E8))=0</formula>
    </cfRule>
  </conditionalFormatting>
  <conditionalFormatting sqref="E8 M8 E17 M17 E26 M26 E35 M35">
    <cfRule type="cellIs" dxfId="6" priority="90" operator="greaterThan">
      <formula>G6</formula>
    </cfRule>
  </conditionalFormatting>
  <conditionalFormatting sqref="E8 M8 E17 M17 E26 M26 E35 M35">
    <cfRule type="cellIs" dxfId="7" priority="91" operator="lessThan">
      <formula>G6</formula>
    </cfRule>
  </conditionalFormatting>
  <conditionalFormatting sqref="E8 M8 E17 M17 E26 M26 E35 M35">
    <cfRule type="cellIs" dxfId="8" priority="92" operator="equal">
      <formula>G6</formula>
    </cfRule>
  </conditionalFormatting>
  <conditionalFormatting sqref="E9 M9 E18 M18 E27 M27 E36 M36">
    <cfRule type="containsBlanks" dxfId="5" priority="93">
      <formula>LEN(TRIM(E9))=0</formula>
    </cfRule>
  </conditionalFormatting>
  <conditionalFormatting sqref="E9 M9 E18 M18 E27 M27 E36 M36">
    <cfRule type="cellIs" dxfId="6" priority="94" operator="greaterThan">
      <formula>H6</formula>
    </cfRule>
  </conditionalFormatting>
  <conditionalFormatting sqref="E9 M9 E18 M18 E27 M27 E36 M36">
    <cfRule type="cellIs" dxfId="7" priority="95" operator="lessThan">
      <formula>H6</formula>
    </cfRule>
  </conditionalFormatting>
  <conditionalFormatting sqref="E9 M9 E18 M18 E27 M27 E36 M36">
    <cfRule type="cellIs" dxfId="8" priority="96" operator="equal">
      <formula>H6</formula>
    </cfRule>
  </conditionalFormatting>
  <conditionalFormatting sqref="G7 O7 G16 O16 G25 O25 G34 O34">
    <cfRule type="containsBlanks" dxfId="5" priority="97">
      <formula>LEN(TRIM(G7))=0</formula>
    </cfRule>
  </conditionalFormatting>
  <conditionalFormatting sqref="G7 O7 G16 O16 G25 O25 G34 O34">
    <cfRule type="cellIs" dxfId="6" priority="98" operator="greaterThan">
      <formula>F8</formula>
    </cfRule>
  </conditionalFormatting>
  <conditionalFormatting sqref="G7 O7 G16 O16 G25 O25 G34 O34">
    <cfRule type="cellIs" dxfId="7" priority="99" operator="lessThan">
      <formula>F8</formula>
    </cfRule>
  </conditionalFormatting>
  <conditionalFormatting sqref="G7 O7 G16 O16 G25 O25 G34 O34">
    <cfRule type="cellIs" dxfId="8" priority="100" operator="equal">
      <formula>F8</formula>
    </cfRule>
  </conditionalFormatting>
  <conditionalFormatting sqref="H7 P7 H16 P16 H25 P25 H34 P34">
    <cfRule type="containsBlanks" dxfId="5" priority="101">
      <formula>LEN(TRIM(H7))=0</formula>
    </cfRule>
  </conditionalFormatting>
  <conditionalFormatting sqref="H7 P7 H16 P16 H25 P25 H34 P34">
    <cfRule type="cellIs" dxfId="6" priority="102" operator="greaterThan">
      <formula>F9</formula>
    </cfRule>
  </conditionalFormatting>
  <conditionalFormatting sqref="H7 P7 H16 P16 H25 P25 H34 P34">
    <cfRule type="cellIs" dxfId="7" priority="103" operator="lessThan">
      <formula>F9</formula>
    </cfRule>
  </conditionalFormatting>
  <conditionalFormatting sqref="H7 P7 H16 P16 H25 P25 H34 P34">
    <cfRule type="cellIs" dxfId="8" priority="104" operator="equal">
      <formula>F9</formula>
    </cfRule>
  </conditionalFormatting>
  <conditionalFormatting sqref="F8 N8 F17 N17 F26 N26 F35 N35">
    <cfRule type="containsBlanks" dxfId="5" priority="105">
      <formula>LEN(TRIM(F8))=0</formula>
    </cfRule>
  </conditionalFormatting>
  <conditionalFormatting sqref="F8 N8 F17 N17 F26 N26 F35 N35">
    <cfRule type="cellIs" dxfId="6" priority="106" operator="greaterThan">
      <formula>G7</formula>
    </cfRule>
  </conditionalFormatting>
  <conditionalFormatting sqref="F8 N8 F17 N17 F26 N26 F35 N35">
    <cfRule type="cellIs" dxfId="7" priority="107" operator="lessThan">
      <formula>G7</formula>
    </cfRule>
  </conditionalFormatting>
  <conditionalFormatting sqref="F9 N9 F18 N18 F27 N27 F36 N36">
    <cfRule type="containsBlanks" dxfId="5" priority="108">
      <formula>LEN(TRIM(F9))=0</formula>
    </cfRule>
  </conditionalFormatting>
  <conditionalFormatting sqref="F9 N9 F18 N18 F27 N27 F36 N36">
    <cfRule type="cellIs" dxfId="6" priority="109" operator="greaterThan">
      <formula>H7</formula>
    </cfRule>
  </conditionalFormatting>
  <conditionalFormatting sqref="F9 N9 F18 N18 F27 N27 F36 N36">
    <cfRule type="cellIs" dxfId="7" priority="110" operator="lessThan">
      <formula>H7</formula>
    </cfRule>
  </conditionalFormatting>
  <conditionalFormatting sqref="F9 N9 F18 N18 F27 N27 F36 N36">
    <cfRule type="cellIs" dxfId="8" priority="111" operator="equal">
      <formula>H7</formula>
    </cfRule>
  </conditionalFormatting>
  <conditionalFormatting sqref="H8 P8 H17 P17 H26 P26 H35 P35">
    <cfRule type="containsBlanks" dxfId="5" priority="112">
      <formula>LEN(TRIM(H8))=0</formula>
    </cfRule>
  </conditionalFormatting>
  <conditionalFormatting sqref="H8 P8 H17 P17 H26 P26 H35 P35">
    <cfRule type="cellIs" dxfId="6" priority="113" operator="greaterThan">
      <formula>G9</formula>
    </cfRule>
  </conditionalFormatting>
  <conditionalFormatting sqref="H8 P8 H17 P17 H26 P26 H35 P35">
    <cfRule type="cellIs" dxfId="7" priority="114" operator="lessThan">
      <formula>G9</formula>
    </cfRule>
  </conditionalFormatting>
  <conditionalFormatting sqref="H8 P8 H17 P17 H26 P26 H35 P35">
    <cfRule type="cellIs" dxfId="8" priority="115" operator="equal">
      <formula>G9</formula>
    </cfRule>
  </conditionalFormatting>
  <conditionalFormatting sqref="G9 O9 G18 O18 G27 O27 G36 O36">
    <cfRule type="containsBlanks" dxfId="5" priority="116">
      <formula>LEN(TRIM(G9))=0</formula>
    </cfRule>
  </conditionalFormatting>
  <conditionalFormatting sqref="G9 O9 G18 O18 G27 O27 G36 O36">
    <cfRule type="cellIs" dxfId="6" priority="117" operator="greaterThan">
      <formula>H8</formula>
    </cfRule>
  </conditionalFormatting>
  <conditionalFormatting sqref="G9 O9 G18 O18 G27 O27 G36 O36">
    <cfRule type="cellIs" dxfId="7" priority="118" operator="lessThan">
      <formula>H8</formula>
    </cfRule>
  </conditionalFormatting>
  <conditionalFormatting sqref="G9 O9 G18 O18 G27 O27 G36 O36">
    <cfRule type="cellIs" dxfId="8" priority="119" operator="equal">
      <formula>H8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63"/>
    <col customWidth="1" min="5" max="5" width="4.38"/>
    <col customWidth="1" min="7" max="7" width="4.63"/>
    <col customWidth="1" min="9" max="9" width="4.13"/>
    <col customWidth="1" min="11" max="11" width="4.63"/>
    <col customWidth="1" min="13" max="13" width="4.13"/>
    <col customWidth="1" min="15" max="15" width="4.13"/>
    <col customWidth="1" min="17" max="18" width="4.13"/>
  </cols>
  <sheetData>
    <row r="1">
      <c r="A1" s="1"/>
      <c r="B1" s="2" t="s">
        <v>0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1"/>
      <c r="R1" s="1"/>
      <c r="S1" s="5"/>
      <c r="T1" s="5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5"/>
      <c r="T2" s="5"/>
    </row>
    <row r="3">
      <c r="A3" s="1"/>
      <c r="B3" s="9"/>
      <c r="C3" s="1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5"/>
    </row>
    <row r="4">
      <c r="A4" s="1"/>
      <c r="B4" s="13"/>
      <c r="C4" s="17"/>
      <c r="D4" s="19"/>
      <c r="E4" s="11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5"/>
    </row>
    <row r="5">
      <c r="A5" s="1"/>
      <c r="B5" s="9"/>
      <c r="C5" s="23"/>
      <c r="D5" s="13"/>
      <c r="E5" s="17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5"/>
    </row>
    <row r="6">
      <c r="A6" s="1"/>
      <c r="B6" s="13"/>
      <c r="C6" s="13"/>
      <c r="D6" s="13"/>
      <c r="E6" s="17"/>
      <c r="F6" s="27"/>
      <c r="G6" s="27"/>
      <c r="H6" s="19"/>
      <c r="I6" s="11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5"/>
    </row>
    <row r="7">
      <c r="A7" s="1"/>
      <c r="B7" s="9"/>
      <c r="C7" s="11"/>
      <c r="D7" s="13"/>
      <c r="E7" s="17"/>
      <c r="F7" s="13"/>
      <c r="G7" s="13"/>
      <c r="H7" s="13"/>
      <c r="I7" s="17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5"/>
    </row>
    <row r="8">
      <c r="A8" s="1"/>
      <c r="B8" s="13"/>
      <c r="C8" s="17"/>
      <c r="D8" s="19"/>
      <c r="E8" s="23"/>
      <c r="F8" s="13"/>
      <c r="G8" s="13"/>
      <c r="H8" s="13"/>
      <c r="I8" s="17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5"/>
    </row>
    <row r="9">
      <c r="A9" s="1"/>
      <c r="B9" s="9"/>
      <c r="C9" s="23"/>
      <c r="D9" s="13"/>
      <c r="E9" s="13"/>
      <c r="F9" s="13"/>
      <c r="G9" s="13"/>
      <c r="H9" s="13"/>
      <c r="I9" s="17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5"/>
    </row>
    <row r="10">
      <c r="A10" s="1"/>
      <c r="B10" s="13"/>
      <c r="C10" s="13"/>
      <c r="D10" s="13"/>
      <c r="E10" s="13"/>
      <c r="F10" s="13"/>
      <c r="G10" s="13"/>
      <c r="H10" s="13"/>
      <c r="I10" s="17"/>
      <c r="J10" s="27"/>
      <c r="K10" s="27"/>
      <c r="L10" s="19"/>
      <c r="M10" s="11"/>
      <c r="N10" s="13"/>
      <c r="O10" s="13"/>
      <c r="P10" s="13"/>
      <c r="Q10" s="13"/>
      <c r="R10" s="13"/>
      <c r="S10" s="13"/>
      <c r="T10" s="13"/>
      <c r="U10" s="15"/>
    </row>
    <row r="11">
      <c r="A11" s="1"/>
      <c r="B11" s="9"/>
      <c r="C11" s="11"/>
      <c r="D11" s="13"/>
      <c r="E11" s="13"/>
      <c r="F11" s="13"/>
      <c r="G11" s="13"/>
      <c r="H11" s="13"/>
      <c r="I11" s="17"/>
      <c r="J11" s="13"/>
      <c r="K11" s="13"/>
      <c r="L11" s="13"/>
      <c r="M11" s="17"/>
      <c r="N11" s="13"/>
      <c r="O11" s="13"/>
      <c r="P11" s="13"/>
      <c r="Q11" s="13"/>
      <c r="R11" s="13"/>
      <c r="S11" s="13"/>
      <c r="T11" s="13"/>
      <c r="U11" s="15"/>
    </row>
    <row r="12">
      <c r="A12" s="1"/>
      <c r="B12" s="13"/>
      <c r="C12" s="17"/>
      <c r="D12" s="19"/>
      <c r="E12" s="11"/>
      <c r="F12" s="13"/>
      <c r="G12" s="13"/>
      <c r="H12" s="13"/>
      <c r="I12" s="17"/>
      <c r="J12" s="13"/>
      <c r="K12" s="13"/>
      <c r="L12" s="13"/>
      <c r="M12" s="17"/>
      <c r="N12" s="13"/>
      <c r="O12" s="13"/>
      <c r="P12" s="13"/>
      <c r="Q12" s="13"/>
      <c r="R12" s="13"/>
      <c r="S12" s="13"/>
      <c r="T12" s="13"/>
      <c r="U12" s="15"/>
    </row>
    <row r="13">
      <c r="A13" s="1"/>
      <c r="B13" s="9"/>
      <c r="C13" s="23"/>
      <c r="D13" s="13"/>
      <c r="E13" s="17"/>
      <c r="F13" s="13"/>
      <c r="G13" s="13"/>
      <c r="H13" s="13"/>
      <c r="I13" s="17"/>
      <c r="J13" s="13"/>
      <c r="K13" s="13"/>
      <c r="L13" s="13"/>
      <c r="M13" s="17"/>
      <c r="N13" s="13"/>
      <c r="O13" s="13"/>
      <c r="P13" s="13"/>
      <c r="Q13" s="13"/>
      <c r="R13" s="13"/>
      <c r="S13" s="13"/>
      <c r="T13" s="13"/>
      <c r="U13" s="15"/>
    </row>
    <row r="14">
      <c r="A14" s="1"/>
      <c r="B14" s="13"/>
      <c r="C14" s="13"/>
      <c r="D14" s="13"/>
      <c r="E14" s="17"/>
      <c r="F14" s="27"/>
      <c r="G14" s="27"/>
      <c r="H14" s="19"/>
      <c r="I14" s="23"/>
      <c r="J14" s="13"/>
      <c r="K14" s="13"/>
      <c r="L14" s="13"/>
      <c r="M14" s="17"/>
      <c r="N14" s="13"/>
      <c r="O14" s="13"/>
      <c r="P14" s="13"/>
      <c r="Q14" s="13"/>
      <c r="R14" s="13"/>
      <c r="S14" s="13"/>
      <c r="T14" s="13"/>
      <c r="U14" s="15"/>
    </row>
    <row r="15">
      <c r="A15" s="1"/>
      <c r="B15" s="9"/>
      <c r="C15" s="11"/>
      <c r="D15" s="13"/>
      <c r="E15" s="17"/>
      <c r="F15" s="13"/>
      <c r="G15" s="13"/>
      <c r="H15" s="13"/>
      <c r="I15" s="13"/>
      <c r="J15" s="13"/>
      <c r="K15" s="13"/>
      <c r="L15" s="13"/>
      <c r="M15" s="17"/>
      <c r="N15" s="13"/>
      <c r="O15" s="13"/>
      <c r="P15" s="13"/>
      <c r="Q15" s="13"/>
      <c r="R15" s="13"/>
      <c r="S15" s="13"/>
      <c r="T15" s="13"/>
      <c r="U15" s="15"/>
    </row>
    <row r="16">
      <c r="A16" s="1"/>
      <c r="B16" s="13"/>
      <c r="C16" s="17"/>
      <c r="D16" s="19"/>
      <c r="E16" s="23"/>
      <c r="F16" s="13"/>
      <c r="G16" s="13"/>
      <c r="H16" s="13"/>
      <c r="I16" s="13"/>
      <c r="J16" s="13"/>
      <c r="K16" s="13"/>
      <c r="L16" s="13"/>
      <c r="M16" s="17"/>
      <c r="N16" s="13"/>
      <c r="O16" s="13"/>
      <c r="P16" s="13"/>
      <c r="Q16" s="13"/>
      <c r="R16" s="13"/>
      <c r="S16" s="13"/>
      <c r="T16" s="13"/>
      <c r="U16" s="15"/>
    </row>
    <row r="17">
      <c r="A17" s="1"/>
      <c r="B17" s="9"/>
      <c r="C17" s="23"/>
      <c r="D17" s="13"/>
      <c r="E17" s="13"/>
      <c r="F17" s="13"/>
      <c r="G17" s="13"/>
      <c r="H17" s="13"/>
      <c r="I17" s="13"/>
      <c r="J17" s="13"/>
      <c r="K17" s="13"/>
      <c r="L17" s="13"/>
      <c r="M17" s="17"/>
      <c r="N17" s="13"/>
      <c r="O17" s="13"/>
      <c r="P17" s="40"/>
      <c r="Q17" s="13"/>
      <c r="R17" s="13"/>
      <c r="S17" s="13"/>
      <c r="T17" s="13"/>
      <c r="U17" s="15"/>
    </row>
    <row r="18">
      <c r="A18" s="1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7"/>
      <c r="N18" s="27"/>
      <c r="O18" s="27"/>
      <c r="P18" s="19"/>
      <c r="Q18" s="11"/>
      <c r="R18" s="11"/>
      <c r="S18" s="13"/>
      <c r="T18" s="13"/>
      <c r="U18" s="15"/>
    </row>
    <row r="19">
      <c r="A19" s="1"/>
      <c r="B19" s="9"/>
      <c r="C19" s="11"/>
      <c r="D19" s="13"/>
      <c r="E19" s="13"/>
      <c r="F19" s="13"/>
      <c r="G19" s="13"/>
      <c r="H19" s="13"/>
      <c r="I19" s="13"/>
      <c r="J19" s="13"/>
      <c r="K19" s="13"/>
      <c r="L19" s="13"/>
      <c r="M19" s="17"/>
      <c r="N19" s="13"/>
      <c r="O19" s="13"/>
      <c r="P19" s="13"/>
      <c r="R19" s="17"/>
      <c r="S19" s="13"/>
      <c r="T19" s="13"/>
      <c r="U19" s="15"/>
    </row>
    <row r="20">
      <c r="A20" s="1"/>
      <c r="B20" s="13"/>
      <c r="C20" s="17"/>
      <c r="D20" s="19"/>
      <c r="E20" s="11"/>
      <c r="F20" s="13"/>
      <c r="G20" s="13"/>
      <c r="H20" s="13"/>
      <c r="I20" s="13"/>
      <c r="J20" s="13"/>
      <c r="K20" s="13"/>
      <c r="L20" s="13"/>
      <c r="M20" s="17"/>
      <c r="N20" s="13"/>
      <c r="O20" s="13"/>
      <c r="P20" s="13"/>
      <c r="R20" s="17"/>
      <c r="S20" s="13"/>
      <c r="T20" s="13"/>
      <c r="U20" s="15"/>
    </row>
    <row r="21">
      <c r="A21" s="1"/>
      <c r="B21" s="19"/>
      <c r="C21" s="23"/>
      <c r="D21" s="13"/>
      <c r="E21" s="17"/>
      <c r="F21" s="13"/>
      <c r="G21" s="13"/>
      <c r="H21" s="13"/>
      <c r="I21" s="13"/>
      <c r="J21" s="13"/>
      <c r="K21" s="13"/>
      <c r="L21" s="13"/>
      <c r="M21" s="17"/>
      <c r="N21" s="13"/>
      <c r="O21" s="13"/>
      <c r="P21" s="13"/>
      <c r="R21" s="17"/>
      <c r="S21" s="13"/>
      <c r="T21" s="13"/>
      <c r="U21" s="15"/>
    </row>
    <row r="22">
      <c r="A22" s="1"/>
      <c r="B22" s="13"/>
      <c r="C22" s="13"/>
      <c r="D22" s="13"/>
      <c r="E22" s="17"/>
      <c r="F22" s="27"/>
      <c r="G22" s="27"/>
      <c r="H22" s="19"/>
      <c r="I22" s="11"/>
      <c r="J22" s="13"/>
      <c r="K22" s="13"/>
      <c r="L22" s="13"/>
      <c r="M22" s="17"/>
      <c r="N22" s="13"/>
      <c r="O22" s="13"/>
      <c r="P22" s="13"/>
      <c r="R22" s="17"/>
      <c r="S22" s="13"/>
      <c r="T22" s="13"/>
      <c r="U22" s="15"/>
    </row>
    <row r="23">
      <c r="A23" s="1"/>
      <c r="B23" s="19"/>
      <c r="C23" s="11"/>
      <c r="D23" s="13"/>
      <c r="E23" s="17"/>
      <c r="F23" s="13"/>
      <c r="G23" s="13"/>
      <c r="H23" s="13"/>
      <c r="I23" s="17"/>
      <c r="J23" s="13"/>
      <c r="K23" s="13"/>
      <c r="L23" s="13"/>
      <c r="M23" s="17"/>
      <c r="N23" s="13"/>
      <c r="O23" s="13"/>
      <c r="P23" s="13"/>
      <c r="R23" s="17"/>
      <c r="S23" s="13"/>
      <c r="T23" s="13"/>
      <c r="U23" s="15"/>
    </row>
    <row r="24">
      <c r="A24" s="1"/>
      <c r="B24" s="13"/>
      <c r="C24" s="17"/>
      <c r="D24" s="19"/>
      <c r="E24" s="23"/>
      <c r="F24" s="13"/>
      <c r="G24" s="13"/>
      <c r="H24" s="13"/>
      <c r="I24" s="17"/>
      <c r="J24" s="13"/>
      <c r="K24" s="13"/>
      <c r="L24" s="13"/>
      <c r="M24" s="17"/>
      <c r="N24" s="13"/>
      <c r="O24" s="13"/>
      <c r="P24" s="13"/>
      <c r="R24" s="17"/>
      <c r="S24" s="13"/>
      <c r="T24" s="13"/>
      <c r="U24" s="15"/>
    </row>
    <row r="25">
      <c r="A25" s="1"/>
      <c r="B25" s="19"/>
      <c r="C25" s="23"/>
      <c r="D25" s="13"/>
      <c r="E25" s="13"/>
      <c r="F25" s="13"/>
      <c r="G25" s="13"/>
      <c r="H25" s="13"/>
      <c r="I25" s="17"/>
      <c r="J25" s="13"/>
      <c r="K25" s="13"/>
      <c r="L25" s="13"/>
      <c r="M25" s="17"/>
      <c r="N25" s="13"/>
      <c r="O25" s="13"/>
      <c r="P25" s="13"/>
      <c r="R25" s="17"/>
      <c r="S25" s="13"/>
      <c r="T25" s="13"/>
      <c r="U25" s="15"/>
    </row>
    <row r="26">
      <c r="A26" s="1"/>
      <c r="B26" s="13"/>
      <c r="C26" s="13"/>
      <c r="D26" s="13"/>
      <c r="E26" s="13"/>
      <c r="F26" s="13"/>
      <c r="G26" s="13"/>
      <c r="H26" s="13"/>
      <c r="I26" s="17"/>
      <c r="J26" s="27"/>
      <c r="K26" s="27"/>
      <c r="L26" s="19"/>
      <c r="M26" s="23"/>
      <c r="N26" s="13"/>
      <c r="O26" s="13"/>
      <c r="P26" s="13"/>
      <c r="R26" s="17"/>
      <c r="S26" s="13"/>
      <c r="T26" s="13"/>
      <c r="U26" s="15"/>
    </row>
    <row r="27">
      <c r="A27" s="1"/>
      <c r="B27" s="19"/>
      <c r="C27" s="11"/>
      <c r="D27" s="13"/>
      <c r="E27" s="13"/>
      <c r="F27" s="13"/>
      <c r="G27" s="13"/>
      <c r="H27" s="13"/>
      <c r="I27" s="17"/>
      <c r="J27" s="13"/>
      <c r="K27" s="13"/>
      <c r="L27" s="13"/>
      <c r="M27" s="13"/>
      <c r="N27" s="13"/>
      <c r="O27" s="13"/>
      <c r="P27" s="13"/>
      <c r="R27" s="17"/>
      <c r="S27" s="13"/>
      <c r="T27" s="13"/>
      <c r="U27" s="15"/>
    </row>
    <row r="28">
      <c r="A28" s="1"/>
      <c r="B28" s="13"/>
      <c r="C28" s="17"/>
      <c r="D28" s="19"/>
      <c r="E28" s="11"/>
      <c r="F28" s="13"/>
      <c r="G28" s="13"/>
      <c r="H28" s="13"/>
      <c r="I28" s="17"/>
      <c r="J28" s="13"/>
      <c r="K28" s="13"/>
      <c r="L28" s="13"/>
      <c r="M28" s="13"/>
      <c r="N28" s="13"/>
      <c r="O28" s="13"/>
      <c r="P28" s="13"/>
      <c r="R28" s="17"/>
      <c r="S28" s="51"/>
      <c r="T28" s="53" t="s">
        <v>128</v>
      </c>
      <c r="U28" s="54"/>
    </row>
    <row r="29">
      <c r="A29" s="1"/>
      <c r="B29" s="19"/>
      <c r="C29" s="23"/>
      <c r="D29" s="13"/>
      <c r="E29" s="17"/>
      <c r="F29" s="13"/>
      <c r="G29" s="13"/>
      <c r="H29" s="13"/>
      <c r="I29" s="17"/>
      <c r="J29" s="13"/>
      <c r="K29" s="13"/>
      <c r="L29" s="13"/>
      <c r="M29" s="13"/>
      <c r="N29" s="13"/>
      <c r="O29" s="13"/>
      <c r="P29" s="13"/>
      <c r="R29" s="17"/>
      <c r="S29" s="13"/>
      <c r="T29" s="13"/>
      <c r="U29" s="15"/>
    </row>
    <row r="30">
      <c r="A30" s="1"/>
      <c r="B30" s="13"/>
      <c r="C30" s="13"/>
      <c r="D30" s="13"/>
      <c r="E30" s="17"/>
      <c r="F30" s="27"/>
      <c r="G30" s="27"/>
      <c r="H30" s="19"/>
      <c r="I30" s="23"/>
      <c r="J30" s="13"/>
      <c r="K30" s="13"/>
      <c r="L30" s="13"/>
      <c r="M30" s="13"/>
      <c r="N30" s="13"/>
      <c r="O30" s="13"/>
      <c r="P30" s="13"/>
      <c r="R30" s="17"/>
      <c r="S30" s="13"/>
      <c r="T30" s="13"/>
      <c r="U30" s="15"/>
    </row>
    <row r="31">
      <c r="A31" s="1"/>
      <c r="B31" s="19"/>
      <c r="C31" s="11"/>
      <c r="D31" s="13"/>
      <c r="E31" s="17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R31" s="17"/>
      <c r="S31" s="13"/>
      <c r="T31" s="13"/>
      <c r="U31" s="15"/>
    </row>
    <row r="32">
      <c r="A32" s="1"/>
      <c r="B32" s="13"/>
      <c r="C32" s="17"/>
      <c r="D32" s="19"/>
      <c r="E32" s="2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R32" s="17"/>
      <c r="S32" s="13"/>
      <c r="T32" s="13"/>
      <c r="U32" s="15"/>
    </row>
    <row r="33">
      <c r="A33" s="1"/>
      <c r="B33" s="19"/>
      <c r="C33" s="2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R33" s="17"/>
      <c r="S33" s="13"/>
      <c r="T33" s="13"/>
      <c r="U33" s="15"/>
    </row>
    <row r="34">
      <c r="A34" s="1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R34" s="17"/>
      <c r="S34" s="13"/>
      <c r="T34" s="13"/>
      <c r="U34" s="15"/>
    </row>
    <row r="35">
      <c r="A35" s="1"/>
      <c r="B35" s="13"/>
      <c r="C35" s="13"/>
      <c r="D35" s="13"/>
      <c r="E35" s="13"/>
      <c r="F35" s="13"/>
      <c r="G35" s="13"/>
      <c r="H35" s="13"/>
      <c r="I35" s="13"/>
      <c r="J35" s="19"/>
      <c r="K35" s="11"/>
      <c r="L35" s="13"/>
      <c r="M35" s="13"/>
      <c r="N35" s="19"/>
      <c r="O35" s="11"/>
      <c r="P35" s="13"/>
      <c r="R35" s="17"/>
      <c r="S35" s="13"/>
      <c r="T35" s="13"/>
      <c r="U35" s="15"/>
    </row>
    <row r="36">
      <c r="A36" s="1"/>
      <c r="B36" s="13"/>
      <c r="C36" s="13"/>
      <c r="D36" s="13"/>
      <c r="E36" s="13"/>
      <c r="F36" s="19"/>
      <c r="G36" s="62"/>
      <c r="H36" s="13"/>
      <c r="I36" s="13"/>
      <c r="J36" s="13"/>
      <c r="K36" s="17"/>
      <c r="L36" s="13"/>
      <c r="M36" s="13"/>
      <c r="N36" s="13"/>
      <c r="O36" s="17"/>
      <c r="P36" s="13"/>
      <c r="R36" s="17"/>
      <c r="S36" s="13"/>
      <c r="T36" s="13"/>
      <c r="U36" s="15"/>
    </row>
    <row r="37">
      <c r="A37" s="1"/>
      <c r="B37" s="13"/>
      <c r="C37" s="13"/>
      <c r="D37" s="19"/>
      <c r="E37" s="63"/>
      <c r="F37" s="64"/>
      <c r="G37" s="17"/>
      <c r="H37" s="9"/>
      <c r="I37" s="11"/>
      <c r="J37" s="13"/>
      <c r="K37" s="17"/>
      <c r="L37" s="19"/>
      <c r="M37" s="11"/>
      <c r="N37" s="13"/>
      <c r="O37" s="17"/>
      <c r="P37" s="13"/>
      <c r="R37" s="17"/>
      <c r="S37" s="13"/>
      <c r="T37" s="13"/>
      <c r="U37" s="15"/>
    </row>
    <row r="38">
      <c r="A38" s="1"/>
      <c r="B38" s="13"/>
      <c r="C38" s="13"/>
      <c r="D38" s="64"/>
      <c r="E38" s="65"/>
      <c r="F38" s="9"/>
      <c r="G38" s="66"/>
      <c r="H38" s="13"/>
      <c r="I38" s="17"/>
      <c r="J38" s="13"/>
      <c r="K38" s="17"/>
      <c r="L38" s="13"/>
      <c r="M38" s="17"/>
      <c r="N38" s="13"/>
      <c r="O38" s="17"/>
      <c r="P38" s="19"/>
      <c r="Q38" s="67"/>
      <c r="R38" s="23"/>
      <c r="S38" s="13"/>
      <c r="T38" s="13"/>
      <c r="U38" s="15"/>
    </row>
    <row r="39">
      <c r="A39" s="1"/>
      <c r="B39" s="13"/>
      <c r="C39" s="13"/>
      <c r="D39" s="9"/>
      <c r="E39" s="66"/>
      <c r="F39" s="13"/>
      <c r="G39" s="13"/>
      <c r="H39" s="13"/>
      <c r="I39" s="17"/>
      <c r="J39" s="19"/>
      <c r="K39" s="23"/>
      <c r="L39" s="13"/>
      <c r="M39" s="17"/>
      <c r="N39" s="13"/>
      <c r="O39" s="17"/>
      <c r="P39" s="13"/>
      <c r="Q39" s="13"/>
      <c r="R39" s="13"/>
      <c r="S39" s="13"/>
      <c r="T39" s="13"/>
      <c r="U39" s="15"/>
    </row>
    <row r="40">
      <c r="A40" s="1"/>
      <c r="B40" s="13"/>
      <c r="C40" s="13"/>
      <c r="D40" s="13"/>
      <c r="E40" s="13"/>
      <c r="F40" s="19"/>
      <c r="G40" s="11"/>
      <c r="H40" s="13"/>
      <c r="I40" s="17"/>
      <c r="J40" s="13"/>
      <c r="K40" s="13"/>
      <c r="L40" s="13"/>
      <c r="M40" s="17"/>
      <c r="N40" s="13"/>
      <c r="O40" s="17"/>
      <c r="P40" s="13"/>
      <c r="Q40" s="13"/>
      <c r="R40" s="13"/>
      <c r="S40" s="13"/>
      <c r="T40" s="13"/>
      <c r="U40" s="15"/>
    </row>
    <row r="41">
      <c r="A41" s="1"/>
      <c r="B41" s="13"/>
      <c r="C41" s="13"/>
      <c r="D41" s="19"/>
      <c r="E41" s="11"/>
      <c r="F41" s="13"/>
      <c r="G41" s="17"/>
      <c r="H41" s="9"/>
      <c r="I41" s="23"/>
      <c r="J41" s="13"/>
      <c r="K41" s="13"/>
      <c r="L41" s="13"/>
      <c r="M41" s="17"/>
      <c r="N41" s="19"/>
      <c r="O41" s="23"/>
      <c r="P41" s="13"/>
      <c r="Q41" s="13"/>
      <c r="R41" s="13"/>
      <c r="S41" s="13"/>
      <c r="T41" s="13"/>
      <c r="U41" s="15"/>
    </row>
    <row r="42">
      <c r="A42" s="1"/>
      <c r="B42" s="13"/>
      <c r="C42" s="13"/>
      <c r="D42" s="13"/>
      <c r="E42" s="17"/>
      <c r="F42" s="19"/>
      <c r="G42" s="23"/>
      <c r="H42" s="13"/>
      <c r="I42" s="13"/>
      <c r="J42" s="13"/>
      <c r="K42" s="13"/>
      <c r="L42" s="13"/>
      <c r="M42" s="17"/>
      <c r="N42" s="13"/>
      <c r="O42" s="13"/>
      <c r="P42" s="13"/>
      <c r="Q42" s="13"/>
      <c r="R42" s="13"/>
      <c r="S42" s="13"/>
      <c r="T42" s="13"/>
      <c r="U42" s="15"/>
    </row>
    <row r="43">
      <c r="A43" s="1"/>
      <c r="B43" s="13"/>
      <c r="C43" s="13"/>
      <c r="D43" s="19"/>
      <c r="E43" s="23"/>
      <c r="F43" s="13"/>
      <c r="G43" s="13"/>
      <c r="H43" s="13"/>
      <c r="I43" s="13"/>
      <c r="J43" s="19"/>
      <c r="K43" s="11"/>
      <c r="L43" s="13"/>
      <c r="M43" s="17"/>
      <c r="N43" s="13"/>
      <c r="O43" s="13"/>
      <c r="P43" s="13"/>
      <c r="Q43" s="13"/>
      <c r="R43" s="13"/>
      <c r="S43" s="13"/>
      <c r="T43" s="13"/>
      <c r="U43" s="15"/>
    </row>
    <row r="44">
      <c r="A44" s="1"/>
      <c r="B44" s="13"/>
      <c r="C44" s="13"/>
      <c r="D44" s="13"/>
      <c r="E44" s="13"/>
      <c r="F44" s="19"/>
      <c r="G44" s="11"/>
      <c r="H44" s="13"/>
      <c r="I44" s="13"/>
      <c r="J44" s="13"/>
      <c r="K44" s="17"/>
      <c r="L44" s="13"/>
      <c r="M44" s="17"/>
      <c r="N44" s="13"/>
      <c r="O44" s="13"/>
      <c r="P44" s="13"/>
      <c r="Q44" s="13"/>
      <c r="R44" s="13"/>
      <c r="S44" s="13"/>
      <c r="T44" s="13"/>
      <c r="U44" s="15"/>
    </row>
    <row r="45">
      <c r="A45" s="1"/>
      <c r="B45" s="13"/>
      <c r="C45" s="13"/>
      <c r="D45" s="19"/>
      <c r="E45" s="11"/>
      <c r="F45" s="13"/>
      <c r="G45" s="17"/>
      <c r="H45" s="9"/>
      <c r="I45" s="11"/>
      <c r="J45" s="13"/>
      <c r="K45" s="17"/>
      <c r="L45" s="19"/>
      <c r="M45" s="23"/>
      <c r="N45" s="13"/>
      <c r="O45" s="13"/>
      <c r="P45" s="13"/>
      <c r="Q45" s="13"/>
      <c r="R45" s="13"/>
      <c r="S45" s="13"/>
      <c r="T45" s="13"/>
      <c r="U45" s="15"/>
    </row>
    <row r="46">
      <c r="A46" s="1"/>
      <c r="B46" s="13"/>
      <c r="C46" s="13"/>
      <c r="D46" s="13"/>
      <c r="E46" s="17"/>
      <c r="F46" s="19"/>
      <c r="G46" s="23"/>
      <c r="H46" s="13"/>
      <c r="I46" s="17"/>
      <c r="J46" s="13"/>
      <c r="K46" s="17"/>
      <c r="L46" s="13"/>
      <c r="M46" s="13"/>
      <c r="N46" s="13"/>
      <c r="O46" s="13"/>
      <c r="P46" s="13"/>
      <c r="Q46" s="13"/>
      <c r="R46" s="13"/>
      <c r="S46" s="13"/>
      <c r="T46" s="13"/>
      <c r="U46" s="15"/>
    </row>
    <row r="47">
      <c r="A47" s="1"/>
      <c r="B47" s="13"/>
      <c r="C47" s="13"/>
      <c r="D47" s="19"/>
      <c r="E47" s="23"/>
      <c r="F47" s="13"/>
      <c r="G47" s="13"/>
      <c r="H47" s="13"/>
      <c r="I47" s="17"/>
      <c r="J47" s="19"/>
      <c r="K47" s="23"/>
      <c r="L47" s="13"/>
      <c r="M47" s="13"/>
      <c r="N47" s="13"/>
      <c r="O47" s="13"/>
      <c r="P47" s="13"/>
      <c r="Q47" s="13"/>
      <c r="R47" s="40"/>
      <c r="S47" s="13"/>
      <c r="T47" s="13"/>
      <c r="U47" s="15"/>
    </row>
    <row r="48">
      <c r="A48" s="1"/>
      <c r="B48" s="13"/>
      <c r="C48" s="13"/>
      <c r="D48" s="13"/>
      <c r="E48" s="13"/>
      <c r="F48" s="19"/>
      <c r="G48" s="11"/>
      <c r="H48" s="13"/>
      <c r="I48" s="17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5"/>
    </row>
    <row r="49">
      <c r="A49" s="1"/>
      <c r="B49" s="13"/>
      <c r="C49" s="13"/>
      <c r="D49" s="19"/>
      <c r="E49" s="11"/>
      <c r="F49" s="13"/>
      <c r="G49" s="17"/>
      <c r="H49" s="9"/>
      <c r="I49" s="2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5"/>
    </row>
    <row r="50">
      <c r="A50" s="1"/>
      <c r="B50" s="13"/>
      <c r="C50" s="13"/>
      <c r="D50" s="13"/>
      <c r="E50" s="17"/>
      <c r="F50" s="19"/>
      <c r="G50" s="2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5"/>
    </row>
    <row r="51">
      <c r="A51" s="1"/>
      <c r="B51" s="13"/>
      <c r="C51" s="13"/>
      <c r="D51" s="19"/>
      <c r="E51" s="2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5"/>
    </row>
    <row r="52">
      <c r="A52" s="1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5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5"/>
      <c r="T53" s="5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5"/>
      <c r="Q54" s="5"/>
      <c r="R54" s="5"/>
      <c r="S54" s="5"/>
      <c r="T54" s="5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5"/>
      <c r="Q55" s="5"/>
      <c r="R55" s="5"/>
      <c r="S55" s="5"/>
      <c r="T55" s="5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5"/>
      <c r="Q56" s="5"/>
      <c r="R56" s="5"/>
      <c r="S56" s="5"/>
      <c r="T56" s="5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6"/>
      <c r="Q57" s="76"/>
      <c r="R57" s="76"/>
      <c r="S57" s="76"/>
      <c r="T57" s="76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</row>
    <row r="6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</row>
    <row r="7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</row>
    <row r="7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</row>
    <row r="73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</row>
    <row r="74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</row>
    <row r="7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6.25"/>
    <col customWidth="1" min="4" max="4" width="16.13"/>
    <col customWidth="1" min="5" max="5" width="6.25"/>
    <col customWidth="1" min="7" max="7" width="6.13"/>
    <col customWidth="1" min="8" max="8" width="14.75"/>
    <col customWidth="1" min="9" max="9" width="5.75"/>
    <col customWidth="1" min="11" max="11" width="4.63"/>
    <col customWidth="1" min="13" max="13" width="4.13"/>
    <col customWidth="1" min="15" max="15" width="4.13"/>
    <col customWidth="1" min="17" max="18" width="4.13"/>
  </cols>
  <sheetData>
    <row r="1">
      <c r="A1" s="1"/>
      <c r="B1" s="2" t="s">
        <v>0</v>
      </c>
      <c r="C1" s="2" t="s">
        <v>211</v>
      </c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1"/>
      <c r="R1" s="1"/>
      <c r="S1" s="5"/>
      <c r="T1" s="5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5"/>
      <c r="T2" s="5"/>
    </row>
    <row r="3">
      <c r="A3" s="1"/>
      <c r="B3" s="9" t="s">
        <v>77</v>
      </c>
      <c r="C3" s="62" t="s">
        <v>212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5"/>
    </row>
    <row r="4">
      <c r="A4" s="1"/>
      <c r="B4" s="100" t="s">
        <v>214</v>
      </c>
      <c r="C4" s="102">
        <v>1.0</v>
      </c>
      <c r="D4" s="103" t="s">
        <v>77</v>
      </c>
      <c r="E4" s="104">
        <v>102.0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5"/>
    </row>
    <row r="5">
      <c r="A5" s="1"/>
      <c r="B5" s="9" t="s">
        <v>183</v>
      </c>
      <c r="C5" s="105"/>
      <c r="D5" s="106" t="s">
        <v>216</v>
      </c>
      <c r="E5" s="107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5"/>
    </row>
    <row r="6">
      <c r="A6" s="1"/>
      <c r="B6" s="13"/>
      <c r="C6" s="13"/>
      <c r="E6" s="108">
        <v>1.0</v>
      </c>
      <c r="F6" s="27"/>
      <c r="G6" s="27"/>
      <c r="H6" s="9" t="s">
        <v>77</v>
      </c>
      <c r="I6" s="62">
        <v>52.0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5"/>
    </row>
    <row r="7">
      <c r="A7" s="1"/>
      <c r="B7" s="9" t="s">
        <v>176</v>
      </c>
      <c r="C7" s="104" t="s">
        <v>217</v>
      </c>
      <c r="E7" s="109"/>
      <c r="F7" s="13"/>
      <c r="G7" s="13"/>
      <c r="H7" s="13"/>
      <c r="I7" s="17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5"/>
    </row>
    <row r="8">
      <c r="A8" s="1"/>
      <c r="B8" s="100" t="s">
        <v>218</v>
      </c>
      <c r="C8" s="102">
        <v>2.0</v>
      </c>
      <c r="D8" s="110" t="s">
        <v>181</v>
      </c>
      <c r="E8" s="111">
        <v>82.0</v>
      </c>
      <c r="F8" s="13"/>
      <c r="G8" s="13"/>
      <c r="H8" s="13"/>
      <c r="I8" s="17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5"/>
    </row>
    <row r="9">
      <c r="A9" s="1"/>
      <c r="B9" s="9" t="s">
        <v>181</v>
      </c>
      <c r="C9" s="105"/>
      <c r="D9" s="13"/>
      <c r="E9" s="13"/>
      <c r="F9" s="13"/>
      <c r="G9" s="13"/>
      <c r="H9" s="106" t="s">
        <v>219</v>
      </c>
      <c r="I9" s="17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5"/>
    </row>
    <row r="10">
      <c r="A10" s="1"/>
      <c r="B10" s="13"/>
      <c r="C10" s="13"/>
      <c r="D10" s="13"/>
      <c r="E10" s="13"/>
      <c r="F10" s="13"/>
      <c r="G10" s="13"/>
      <c r="I10" s="108">
        <v>1.0</v>
      </c>
      <c r="J10" s="27"/>
      <c r="K10" s="27"/>
      <c r="L10" s="9" t="s">
        <v>77</v>
      </c>
      <c r="M10" s="62">
        <v>8.0</v>
      </c>
      <c r="N10" s="13"/>
      <c r="O10" s="13"/>
      <c r="P10" s="13"/>
      <c r="Q10" s="13"/>
      <c r="R10" s="13"/>
      <c r="S10" s="13"/>
      <c r="T10" s="13"/>
      <c r="U10" s="15"/>
    </row>
    <row r="11">
      <c r="A11" s="1"/>
      <c r="B11" s="9" t="s">
        <v>56</v>
      </c>
      <c r="C11" s="62" t="s">
        <v>220</v>
      </c>
      <c r="D11" s="13"/>
      <c r="E11" s="13"/>
      <c r="F11" s="13"/>
      <c r="G11" s="13"/>
      <c r="I11" s="109"/>
      <c r="J11" s="13"/>
      <c r="K11" s="13"/>
      <c r="L11" s="13"/>
      <c r="M11" s="17"/>
      <c r="N11" s="13"/>
      <c r="O11" s="13"/>
      <c r="P11" s="13"/>
      <c r="Q11" s="13"/>
      <c r="R11" s="13"/>
      <c r="S11" s="13"/>
      <c r="T11" s="13"/>
      <c r="U11" s="15"/>
    </row>
    <row r="12">
      <c r="A12" s="1"/>
      <c r="B12" s="100" t="s">
        <v>221</v>
      </c>
      <c r="C12" s="102">
        <v>3.0</v>
      </c>
      <c r="D12" s="103" t="s">
        <v>56</v>
      </c>
      <c r="E12" s="104">
        <v>108.0</v>
      </c>
      <c r="F12" s="13"/>
      <c r="G12" s="13"/>
      <c r="I12" s="17"/>
      <c r="J12" s="13"/>
      <c r="K12" s="13"/>
      <c r="L12" s="13"/>
      <c r="M12" s="17"/>
      <c r="N12" s="13"/>
      <c r="O12" s="13"/>
      <c r="P12" s="13"/>
      <c r="Q12" s="13"/>
      <c r="R12" s="13"/>
      <c r="S12" s="13"/>
      <c r="T12" s="13"/>
      <c r="U12" s="15"/>
    </row>
    <row r="13">
      <c r="A13" s="1"/>
      <c r="B13" s="9" t="s">
        <v>159</v>
      </c>
      <c r="C13" s="105"/>
      <c r="D13" s="106" t="s">
        <v>222</v>
      </c>
      <c r="E13" s="17"/>
      <c r="F13" s="112"/>
      <c r="G13" s="13"/>
      <c r="H13" s="13"/>
      <c r="I13" s="17"/>
      <c r="J13" s="13"/>
      <c r="K13" s="13"/>
      <c r="L13" s="13"/>
      <c r="M13" s="17"/>
      <c r="N13" s="13"/>
      <c r="O13" s="13"/>
      <c r="P13" s="13"/>
      <c r="Q13" s="13"/>
      <c r="R13" s="13"/>
      <c r="S13" s="13"/>
      <c r="T13" s="13"/>
      <c r="U13" s="15"/>
    </row>
    <row r="14">
      <c r="A14" s="1"/>
      <c r="B14" s="13"/>
      <c r="C14" s="13"/>
      <c r="E14" s="108">
        <v>2.0</v>
      </c>
      <c r="F14" s="27"/>
      <c r="G14" s="27"/>
      <c r="H14" s="9" t="s">
        <v>56</v>
      </c>
      <c r="I14" s="66">
        <v>36.0</v>
      </c>
      <c r="J14" s="13"/>
      <c r="K14" s="13"/>
      <c r="L14" s="13"/>
      <c r="M14" s="17"/>
      <c r="N14" s="13"/>
      <c r="O14" s="13"/>
      <c r="P14" s="13"/>
      <c r="Q14" s="13"/>
      <c r="R14" s="13"/>
      <c r="S14" s="13"/>
      <c r="T14" s="13"/>
      <c r="U14" s="15"/>
    </row>
    <row r="15">
      <c r="A15" s="1"/>
      <c r="B15" s="9" t="s">
        <v>166</v>
      </c>
      <c r="C15" s="104" t="s">
        <v>223</v>
      </c>
      <c r="E15" s="109"/>
      <c r="F15" s="13"/>
      <c r="G15" s="13"/>
      <c r="H15" s="13"/>
      <c r="I15" s="13"/>
      <c r="J15" s="13"/>
      <c r="K15" s="13"/>
      <c r="L15" s="13"/>
      <c r="M15" s="17"/>
      <c r="N15" s="13"/>
      <c r="O15" s="13"/>
      <c r="P15" s="13"/>
      <c r="Q15" s="13"/>
      <c r="R15" s="13"/>
      <c r="S15" s="13"/>
      <c r="T15" s="13"/>
      <c r="U15" s="15"/>
    </row>
    <row r="16">
      <c r="A16" s="1"/>
      <c r="B16" s="100" t="s">
        <v>224</v>
      </c>
      <c r="C16" s="102">
        <v>4.0</v>
      </c>
      <c r="D16" s="103" t="s">
        <v>158</v>
      </c>
      <c r="E16" s="66">
        <v>22.0</v>
      </c>
      <c r="F16" s="13"/>
      <c r="G16" s="13"/>
      <c r="H16" s="13"/>
      <c r="I16" s="13"/>
      <c r="J16" s="13"/>
      <c r="K16" s="13"/>
      <c r="L16" s="13"/>
      <c r="M16" s="17"/>
      <c r="N16" s="13"/>
      <c r="O16" s="13"/>
      <c r="P16" s="13"/>
      <c r="Q16" s="13"/>
      <c r="R16" s="13"/>
      <c r="S16" s="13"/>
      <c r="T16" s="13"/>
      <c r="U16" s="15"/>
    </row>
    <row r="17">
      <c r="A17" s="1"/>
      <c r="B17" s="9" t="s">
        <v>158</v>
      </c>
      <c r="C17" s="105"/>
      <c r="D17" s="13"/>
      <c r="E17" s="13"/>
      <c r="F17" s="13"/>
      <c r="G17" s="13"/>
      <c r="H17" s="13"/>
      <c r="I17" s="13"/>
      <c r="J17" s="13"/>
      <c r="K17" s="13"/>
      <c r="L17" s="106" t="s">
        <v>225</v>
      </c>
      <c r="M17" s="17"/>
      <c r="N17" s="13"/>
      <c r="O17" s="13"/>
      <c r="P17" s="40"/>
      <c r="Q17" s="13"/>
      <c r="R17" s="13"/>
      <c r="S17" s="13"/>
      <c r="T17" s="13"/>
      <c r="U17" s="15"/>
    </row>
    <row r="18">
      <c r="A18" s="1"/>
      <c r="B18" s="13"/>
      <c r="C18" s="13"/>
      <c r="D18" s="13"/>
      <c r="E18" s="13"/>
      <c r="F18" s="13"/>
      <c r="G18" s="13"/>
      <c r="H18" s="13"/>
      <c r="I18" s="13"/>
      <c r="J18" s="13"/>
      <c r="K18" s="13"/>
      <c r="M18" s="108">
        <v>1.0</v>
      </c>
      <c r="N18" s="27"/>
      <c r="O18" s="27"/>
      <c r="P18" s="9" t="s">
        <v>37</v>
      </c>
      <c r="Q18" s="62">
        <v>26.0</v>
      </c>
      <c r="R18" s="62">
        <v>12.0</v>
      </c>
      <c r="S18" s="13"/>
      <c r="T18" s="13"/>
      <c r="U18" s="15"/>
    </row>
    <row r="19">
      <c r="A19" s="1"/>
      <c r="B19" s="9" t="s">
        <v>37</v>
      </c>
      <c r="C19" s="62" t="s">
        <v>226</v>
      </c>
      <c r="D19" s="13"/>
      <c r="E19" s="13"/>
      <c r="F19" s="13"/>
      <c r="G19" s="13"/>
      <c r="H19" s="13"/>
      <c r="I19" s="13"/>
      <c r="J19" s="13"/>
      <c r="K19" s="13"/>
      <c r="M19" s="109"/>
      <c r="N19" s="13"/>
      <c r="O19" s="13"/>
      <c r="P19" s="13"/>
      <c r="R19" s="17"/>
      <c r="S19" s="13"/>
      <c r="T19" s="13"/>
      <c r="U19" s="15"/>
    </row>
    <row r="20">
      <c r="A20" s="1"/>
      <c r="B20" s="100" t="s">
        <v>227</v>
      </c>
      <c r="C20" s="102">
        <v>5.0</v>
      </c>
      <c r="D20" s="103" t="s">
        <v>37</v>
      </c>
      <c r="E20" s="104">
        <v>116.0</v>
      </c>
      <c r="F20" s="13"/>
      <c r="G20" s="13"/>
      <c r="H20" s="13"/>
      <c r="I20" s="13"/>
      <c r="J20" s="13"/>
      <c r="K20" s="13"/>
      <c r="M20" s="17"/>
      <c r="N20" s="13"/>
      <c r="O20" s="13"/>
      <c r="P20" s="13"/>
      <c r="R20" s="17"/>
      <c r="S20" s="13"/>
      <c r="T20" s="13"/>
      <c r="U20" s="15"/>
    </row>
    <row r="21">
      <c r="A21" s="1"/>
      <c r="B21" s="9" t="s">
        <v>25</v>
      </c>
      <c r="C21" s="105"/>
      <c r="D21" s="106" t="s">
        <v>228</v>
      </c>
      <c r="E21" s="17"/>
      <c r="F21" s="13"/>
      <c r="G21" s="13"/>
      <c r="H21" s="13"/>
      <c r="I21" s="13"/>
      <c r="J21" s="13"/>
      <c r="K21" s="13"/>
      <c r="L21" s="13"/>
      <c r="M21" s="17"/>
      <c r="N21" s="13"/>
      <c r="O21" s="13"/>
      <c r="P21" s="13"/>
      <c r="R21" s="17"/>
      <c r="S21" s="13"/>
      <c r="T21" s="13"/>
      <c r="U21" s="15"/>
    </row>
    <row r="22">
      <c r="A22" s="1"/>
      <c r="B22" s="13"/>
      <c r="C22" s="13"/>
      <c r="E22" s="108">
        <v>3.0</v>
      </c>
      <c r="F22" s="27"/>
      <c r="G22" s="27"/>
      <c r="H22" s="9" t="s">
        <v>37</v>
      </c>
      <c r="I22" s="62">
        <v>68.0</v>
      </c>
      <c r="J22" s="13"/>
      <c r="K22" s="13"/>
      <c r="L22" s="13"/>
      <c r="M22" s="17"/>
      <c r="N22" s="13"/>
      <c r="O22" s="13"/>
      <c r="P22" s="13"/>
      <c r="R22" s="17"/>
      <c r="S22" s="13"/>
      <c r="T22" s="13"/>
      <c r="U22" s="15"/>
    </row>
    <row r="23">
      <c r="A23" s="1"/>
      <c r="B23" s="9" t="s">
        <v>55</v>
      </c>
      <c r="C23" s="62" t="s">
        <v>229</v>
      </c>
      <c r="E23" s="109"/>
      <c r="F23" s="13"/>
      <c r="G23" s="13"/>
      <c r="H23" s="13"/>
      <c r="I23" s="17"/>
      <c r="J23" s="13"/>
      <c r="K23" s="13"/>
      <c r="L23" s="13"/>
      <c r="M23" s="17"/>
      <c r="N23" s="13"/>
      <c r="O23" s="13"/>
      <c r="P23" s="13"/>
      <c r="R23" s="17"/>
      <c r="S23" s="13"/>
      <c r="T23" s="13"/>
      <c r="U23" s="15"/>
    </row>
    <row r="24">
      <c r="A24" s="1"/>
      <c r="B24" s="100" t="s">
        <v>230</v>
      </c>
      <c r="C24" s="102">
        <v>6.0</v>
      </c>
      <c r="D24" s="103" t="s">
        <v>55</v>
      </c>
      <c r="E24" s="66">
        <v>56.0</v>
      </c>
      <c r="F24" s="13"/>
      <c r="G24" s="13"/>
      <c r="H24" s="13"/>
      <c r="I24" s="17"/>
      <c r="J24" s="13"/>
      <c r="K24" s="13"/>
      <c r="L24" s="13"/>
      <c r="M24" s="17"/>
      <c r="N24" s="13"/>
      <c r="O24" s="13"/>
      <c r="P24" s="13"/>
      <c r="R24" s="17"/>
      <c r="S24" s="13"/>
      <c r="T24" s="13"/>
      <c r="U24" s="15"/>
    </row>
    <row r="25">
      <c r="A25" s="1"/>
      <c r="B25" s="9" t="s">
        <v>196</v>
      </c>
      <c r="C25" s="105"/>
      <c r="D25" s="13"/>
      <c r="E25" s="13"/>
      <c r="F25" s="13"/>
      <c r="G25" s="13"/>
      <c r="H25" s="106" t="s">
        <v>231</v>
      </c>
      <c r="I25" s="17"/>
      <c r="J25" s="13"/>
      <c r="K25" s="13"/>
      <c r="L25" s="13"/>
      <c r="M25" s="17"/>
      <c r="N25" s="13"/>
      <c r="O25" s="13"/>
      <c r="P25" s="13"/>
      <c r="R25" s="17"/>
      <c r="S25" s="13"/>
      <c r="T25" s="13"/>
      <c r="U25" s="15"/>
    </row>
    <row r="26">
      <c r="A26" s="1"/>
      <c r="B26" s="13"/>
      <c r="C26" s="13"/>
      <c r="D26" s="13"/>
      <c r="E26" s="13"/>
      <c r="F26" s="13"/>
      <c r="G26" s="13"/>
      <c r="I26" s="108">
        <v>2.0</v>
      </c>
      <c r="J26" s="27"/>
      <c r="K26" s="27"/>
      <c r="L26" s="9" t="s">
        <v>37</v>
      </c>
      <c r="M26" s="66">
        <v>34.0</v>
      </c>
      <c r="N26" s="13"/>
      <c r="O26" s="13"/>
      <c r="P26" s="13"/>
      <c r="R26" s="17"/>
      <c r="S26" s="13"/>
      <c r="T26" s="13"/>
      <c r="U26" s="15"/>
    </row>
    <row r="27">
      <c r="A27" s="1"/>
      <c r="B27" s="9" t="s">
        <v>150</v>
      </c>
      <c r="C27" s="62" t="s">
        <v>232</v>
      </c>
      <c r="D27" s="13"/>
      <c r="E27" s="13"/>
      <c r="F27" s="13"/>
      <c r="G27" s="13"/>
      <c r="I27" s="109"/>
      <c r="J27" s="13"/>
      <c r="K27" s="13"/>
      <c r="L27" s="13"/>
      <c r="M27" s="13"/>
      <c r="N27" s="13"/>
      <c r="O27" s="13"/>
      <c r="P27" s="13"/>
      <c r="Q27" s="113" t="s">
        <v>8</v>
      </c>
      <c r="R27" s="109"/>
      <c r="S27" s="13"/>
      <c r="T27" s="13"/>
      <c r="U27" s="15"/>
    </row>
    <row r="28">
      <c r="A28" s="1"/>
      <c r="B28" s="100" t="s">
        <v>233</v>
      </c>
      <c r="C28" s="102">
        <v>7.0</v>
      </c>
      <c r="D28" s="103" t="s">
        <v>150</v>
      </c>
      <c r="E28" s="104">
        <v>152.0</v>
      </c>
      <c r="F28" s="13"/>
      <c r="G28" s="13"/>
      <c r="I28" s="17"/>
      <c r="J28" s="13"/>
      <c r="K28" s="13"/>
      <c r="L28" s="13"/>
      <c r="M28" s="13"/>
      <c r="N28" s="13"/>
      <c r="O28" s="13"/>
      <c r="P28" s="13"/>
      <c r="R28" s="109"/>
      <c r="S28" s="51"/>
      <c r="T28" s="53" t="s">
        <v>128</v>
      </c>
      <c r="U28" s="114" t="s">
        <v>55</v>
      </c>
    </row>
    <row r="29">
      <c r="A29" s="1"/>
      <c r="B29" s="9" t="s">
        <v>155</v>
      </c>
      <c r="C29" s="105"/>
      <c r="D29" s="106" t="s">
        <v>234</v>
      </c>
      <c r="E29" s="17"/>
      <c r="F29" s="13"/>
      <c r="G29" s="13"/>
      <c r="H29" s="13"/>
      <c r="I29" s="17"/>
      <c r="J29" s="13"/>
      <c r="K29" s="13"/>
      <c r="L29" s="13"/>
      <c r="M29" s="13"/>
      <c r="N29" s="13"/>
      <c r="O29" s="13"/>
      <c r="P29" s="13"/>
      <c r="R29" s="17"/>
      <c r="S29" s="13"/>
      <c r="T29" s="13"/>
      <c r="U29" s="15"/>
    </row>
    <row r="30">
      <c r="A30" s="1"/>
      <c r="B30" s="13"/>
      <c r="C30" s="13"/>
      <c r="E30" s="108">
        <v>4.0</v>
      </c>
      <c r="F30" s="27"/>
      <c r="G30" s="27"/>
      <c r="H30" s="9" t="s">
        <v>150</v>
      </c>
      <c r="I30" s="66">
        <v>36.0</v>
      </c>
      <c r="J30" s="13"/>
      <c r="K30" s="13"/>
      <c r="L30" s="13"/>
      <c r="M30" s="13"/>
      <c r="N30" s="13"/>
      <c r="O30" s="13"/>
      <c r="P30" s="13"/>
      <c r="R30" s="17"/>
      <c r="S30" s="13"/>
      <c r="T30" s="13"/>
      <c r="U30" s="15"/>
    </row>
    <row r="31">
      <c r="A31" s="1"/>
      <c r="B31" s="9" t="s">
        <v>172</v>
      </c>
      <c r="C31" s="104" t="s">
        <v>235</v>
      </c>
      <c r="E31" s="109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R31" s="17"/>
      <c r="S31" s="13"/>
      <c r="T31" s="13"/>
      <c r="U31" s="15"/>
    </row>
    <row r="32">
      <c r="A32" s="1"/>
      <c r="B32" s="100" t="s">
        <v>236</v>
      </c>
      <c r="C32" s="102">
        <v>8.0</v>
      </c>
      <c r="D32" s="103" t="s">
        <v>172</v>
      </c>
      <c r="E32" s="66">
        <v>42.0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R32" s="17"/>
      <c r="S32" s="13"/>
      <c r="T32" s="13"/>
      <c r="U32" s="15"/>
    </row>
    <row r="33">
      <c r="A33" s="1"/>
      <c r="B33" s="9" t="s">
        <v>192</v>
      </c>
      <c r="C33" s="105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R33" s="17"/>
      <c r="S33" s="13"/>
      <c r="T33" s="13"/>
      <c r="U33" s="15"/>
    </row>
    <row r="34">
      <c r="A34" s="1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R34" s="17"/>
      <c r="S34" s="13"/>
      <c r="T34" s="13"/>
      <c r="U34" s="15"/>
    </row>
    <row r="35">
      <c r="A35" s="1"/>
      <c r="B35" s="13"/>
      <c r="C35" s="13"/>
      <c r="D35" s="13"/>
      <c r="E35" s="13"/>
      <c r="F35" s="13"/>
      <c r="G35" s="13"/>
      <c r="H35" s="13"/>
      <c r="I35" s="13"/>
      <c r="J35" s="9" t="str">
        <f>IF(OR(L10="", L10="W-31"), "Loser W-31", IF(H14=H6, H6, H14))</f>
        <v>North Hollywood A</v>
      </c>
      <c r="K35" s="62">
        <v>78.0</v>
      </c>
      <c r="L35" s="13"/>
      <c r="M35" s="13"/>
      <c r="N35" s="9" t="s">
        <v>77</v>
      </c>
      <c r="O35" s="62">
        <v>26.0</v>
      </c>
      <c r="P35" s="13"/>
      <c r="R35" s="17"/>
      <c r="S35" s="13"/>
      <c r="T35" s="13"/>
      <c r="U35" s="15"/>
    </row>
    <row r="36">
      <c r="A36" s="1"/>
      <c r="B36" s="13"/>
      <c r="C36" s="13"/>
      <c r="D36" s="13"/>
      <c r="E36" s="13"/>
      <c r="F36" s="9" t="str">
        <f>IF(H30="", "Loser W-24", IF(H30=D28, D32, D28))</f>
        <v>BASIS Chandler</v>
      </c>
      <c r="G36" s="62" t="s">
        <v>237</v>
      </c>
      <c r="H36" s="13"/>
      <c r="I36" s="13"/>
      <c r="J36" s="13"/>
      <c r="K36" s="17"/>
      <c r="L36" s="13"/>
      <c r="M36" s="13"/>
      <c r="N36" s="13"/>
      <c r="O36" s="17"/>
      <c r="P36" s="13"/>
      <c r="R36" s="17"/>
      <c r="S36" s="13"/>
      <c r="T36" s="13"/>
      <c r="U36" s="15"/>
    </row>
    <row r="37">
      <c r="A37" s="1"/>
      <c r="B37" s="13"/>
      <c r="C37" s="13"/>
      <c r="D37" s="9" t="str">
        <f>IF(D4="", "Loser W-11", IF(D4=B3, B5, B3))</f>
        <v>Luka Fan Club</v>
      </c>
      <c r="E37" s="115" t="s">
        <v>238</v>
      </c>
      <c r="F37" s="64"/>
      <c r="G37" s="108">
        <v>1.0</v>
      </c>
      <c r="H37" s="9" t="s">
        <v>176</v>
      </c>
      <c r="I37" s="62">
        <v>96.0</v>
      </c>
      <c r="J37" s="13"/>
      <c r="K37" s="108">
        <v>1.0</v>
      </c>
      <c r="L37" s="9" t="s">
        <v>55</v>
      </c>
      <c r="M37" s="62">
        <v>44.0</v>
      </c>
      <c r="N37" s="13"/>
      <c r="O37" s="17"/>
      <c r="P37" s="13"/>
      <c r="R37" s="17"/>
      <c r="S37" s="13"/>
      <c r="T37" s="13"/>
      <c r="U37" s="15"/>
    </row>
    <row r="38">
      <c r="A38" s="1"/>
      <c r="B38" s="13"/>
      <c r="C38" s="13"/>
      <c r="D38" s="64"/>
      <c r="E38" s="116">
        <v>5.0</v>
      </c>
      <c r="F38" s="9" t="s">
        <v>176</v>
      </c>
      <c r="G38" s="105"/>
      <c r="H38" s="13"/>
      <c r="I38" s="17"/>
      <c r="J38" s="13"/>
      <c r="K38" s="109"/>
      <c r="L38" s="13"/>
      <c r="M38" s="17"/>
      <c r="N38" s="117">
        <v>1.0</v>
      </c>
      <c r="O38" s="109"/>
      <c r="P38" s="9" t="s">
        <v>55</v>
      </c>
      <c r="Q38" s="118">
        <v>36.0</v>
      </c>
      <c r="R38" s="66">
        <v>22.0</v>
      </c>
      <c r="S38" s="13"/>
      <c r="T38" s="13"/>
      <c r="U38" s="15"/>
    </row>
    <row r="39">
      <c r="A39" s="1"/>
      <c r="B39" s="13"/>
      <c r="C39" s="13"/>
      <c r="D39" s="9" t="str">
        <f>IF(D8="", "Loser W-12", IF(D8=B7, B9, B7))</f>
        <v>Lexington A</v>
      </c>
      <c r="E39" s="105"/>
      <c r="F39" s="13"/>
      <c r="G39" s="13"/>
      <c r="H39" s="13"/>
      <c r="I39" s="108">
        <v>3.0</v>
      </c>
      <c r="J39" s="9" t="s">
        <v>55</v>
      </c>
      <c r="K39" s="66">
        <v>92.0</v>
      </c>
      <c r="L39" s="13"/>
      <c r="M39" s="17"/>
      <c r="O39" s="109"/>
      <c r="P39" s="13"/>
      <c r="Q39" s="13"/>
      <c r="R39" s="13"/>
      <c r="S39" s="13"/>
      <c r="T39" s="13"/>
      <c r="U39" s="15"/>
    </row>
    <row r="40">
      <c r="A40" s="1"/>
      <c r="B40" s="13"/>
      <c r="C40" s="13"/>
      <c r="D40" s="13"/>
      <c r="E40" s="13"/>
      <c r="F40" s="9" t="str">
        <f>IF(H22="", "Loser W-23", IF(H22=D20, D24, D20))</f>
        <v>Iolani A</v>
      </c>
      <c r="G40" s="62" t="s">
        <v>239</v>
      </c>
      <c r="H40" s="13"/>
      <c r="I40" s="109"/>
      <c r="J40" s="13"/>
      <c r="K40" s="13"/>
      <c r="L40" s="13"/>
      <c r="M40" s="17"/>
      <c r="N40" s="13"/>
      <c r="O40" s="17"/>
      <c r="P40" s="13"/>
      <c r="Q40" s="13"/>
      <c r="R40" s="13"/>
      <c r="S40" s="13"/>
      <c r="T40" s="13"/>
      <c r="U40" s="15"/>
    </row>
    <row r="41">
      <c r="A41" s="1"/>
      <c r="B41" s="13"/>
      <c r="C41" s="13"/>
      <c r="D41" s="9" t="str">
        <f>IF(D12="", "Loser W-13", IF(D12=B11, B13, B11))</f>
        <v>Clovis North</v>
      </c>
      <c r="E41" s="104" t="s">
        <v>240</v>
      </c>
      <c r="F41" s="13"/>
      <c r="G41" s="108">
        <v>2.0</v>
      </c>
      <c r="H41" s="9" t="s">
        <v>55</v>
      </c>
      <c r="I41" s="66">
        <v>102.0</v>
      </c>
      <c r="J41" s="13"/>
      <c r="K41" s="13"/>
      <c r="L41" s="13"/>
      <c r="M41" s="108">
        <v>2.0</v>
      </c>
      <c r="N41" s="9" t="s">
        <v>55</v>
      </c>
      <c r="O41" s="66">
        <v>30.0</v>
      </c>
      <c r="P41" s="13"/>
      <c r="Q41" s="13"/>
      <c r="R41" s="13"/>
      <c r="S41" s="13"/>
      <c r="T41" s="13"/>
      <c r="U41" s="15"/>
    </row>
    <row r="42">
      <c r="A42" s="1"/>
      <c r="B42" s="13"/>
      <c r="C42" s="13"/>
      <c r="D42" s="13"/>
      <c r="E42" s="108">
        <v>6.0</v>
      </c>
      <c r="F42" s="9" t="s">
        <v>159</v>
      </c>
      <c r="G42" s="105"/>
      <c r="H42" s="13"/>
      <c r="I42" s="13"/>
      <c r="J42" s="13"/>
      <c r="K42" s="13"/>
      <c r="L42" s="13"/>
      <c r="M42" s="109"/>
      <c r="N42" s="13"/>
      <c r="O42" s="13"/>
      <c r="P42" s="13"/>
      <c r="Q42" s="13"/>
      <c r="R42" s="13"/>
      <c r="S42" s="13"/>
      <c r="T42" s="13"/>
      <c r="U42" s="15"/>
    </row>
    <row r="43">
      <c r="A43" s="1"/>
      <c r="B43" s="13"/>
      <c r="C43" s="13"/>
      <c r="D43" s="9" t="str">
        <f>IF(D16="", "Loser W-14", IF(D16=B15, B17, B15))</f>
        <v>North Allegheny</v>
      </c>
      <c r="E43" s="105"/>
      <c r="F43" s="13"/>
      <c r="G43" s="13"/>
      <c r="H43" s="13"/>
      <c r="I43" s="13"/>
      <c r="J43" s="9" t="str">
        <f>IF(OR(L26="", L26="W-32"), "Loser W-32", IF(H30=H22, H22, H30))</f>
        <v>MSJ</v>
      </c>
      <c r="K43" s="62">
        <v>60.0</v>
      </c>
      <c r="L43" s="13"/>
      <c r="M43" s="17"/>
      <c r="N43" s="13"/>
      <c r="O43" s="13"/>
      <c r="P43" s="13"/>
      <c r="Q43" s="13"/>
      <c r="R43" s="13"/>
      <c r="S43" s="13"/>
      <c r="T43" s="13"/>
      <c r="U43" s="15"/>
    </row>
    <row r="44">
      <c r="A44" s="1"/>
      <c r="B44" s="13"/>
      <c r="C44" s="13"/>
      <c r="D44" s="13"/>
      <c r="E44" s="13"/>
      <c r="F44" s="9" t="str">
        <f>IF(H14="", "Loser W-22", IF(H14=D12, D16, D12))</f>
        <v>Allen School</v>
      </c>
      <c r="G44" s="62" t="s">
        <v>241</v>
      </c>
      <c r="H44" s="13"/>
      <c r="I44" s="13"/>
      <c r="J44" s="13"/>
      <c r="K44" s="17"/>
      <c r="L44" s="13"/>
      <c r="M44" s="17"/>
      <c r="N44" s="13"/>
      <c r="O44" s="13"/>
      <c r="P44" s="13"/>
      <c r="Q44" s="13"/>
      <c r="R44" s="13"/>
      <c r="S44" s="13"/>
      <c r="T44" s="13"/>
      <c r="U44" s="15"/>
    </row>
    <row r="45">
      <c r="A45" s="1"/>
      <c r="B45" s="13"/>
      <c r="C45" s="13"/>
      <c r="D45" s="9" t="str">
        <f>IF(D20="", "Loser W-15", IF(D20=B19, B21, B19))</f>
        <v>Collierville A</v>
      </c>
      <c r="E45" s="104" t="s">
        <v>242</v>
      </c>
      <c r="F45" s="13"/>
      <c r="G45" s="108">
        <v>3.0</v>
      </c>
      <c r="H45" s="9" t="s">
        <v>158</v>
      </c>
      <c r="I45" s="62">
        <v>4.0</v>
      </c>
      <c r="J45" s="13"/>
      <c r="K45" s="108">
        <v>2.0</v>
      </c>
      <c r="L45" s="9" t="s">
        <v>150</v>
      </c>
      <c r="M45" s="66">
        <v>42.0</v>
      </c>
      <c r="N45" s="13"/>
      <c r="O45" s="13"/>
      <c r="P45" s="13"/>
      <c r="Q45" s="13"/>
      <c r="R45" s="13"/>
      <c r="S45" s="13"/>
      <c r="T45" s="13"/>
      <c r="U45" s="15"/>
    </row>
    <row r="46">
      <c r="A46" s="1"/>
      <c r="B46" s="13"/>
      <c r="C46" s="13"/>
      <c r="D46" s="13"/>
      <c r="E46" s="108">
        <v>7.0</v>
      </c>
      <c r="F46" s="9" t="s">
        <v>25</v>
      </c>
      <c r="G46" s="105"/>
      <c r="H46" s="13"/>
      <c r="I46" s="17"/>
      <c r="J46" s="13"/>
      <c r="K46" s="109"/>
      <c r="L46" s="13"/>
      <c r="M46" s="13"/>
      <c r="N46" s="13"/>
      <c r="O46" s="13"/>
      <c r="P46" s="13"/>
      <c r="Q46" s="13"/>
      <c r="R46" s="13"/>
      <c r="S46" s="13"/>
      <c r="T46" s="13"/>
      <c r="U46" s="15"/>
    </row>
    <row r="47">
      <c r="A47" s="1"/>
      <c r="B47" s="13"/>
      <c r="C47" s="13"/>
      <c r="D47" s="9" t="str">
        <f>IF(D24="", "Loser W-16", IF(D24=B23, B25, B23))</f>
        <v>Clements</v>
      </c>
      <c r="E47" s="105"/>
      <c r="F47" s="13"/>
      <c r="G47" s="13"/>
      <c r="H47" s="13"/>
      <c r="I47" s="108">
        <v>4.0</v>
      </c>
      <c r="J47" s="9" t="s">
        <v>181</v>
      </c>
      <c r="K47" s="66">
        <v>38.0</v>
      </c>
      <c r="L47" s="13"/>
      <c r="M47" s="13"/>
      <c r="N47" s="13"/>
      <c r="O47" s="13"/>
      <c r="P47" s="13"/>
      <c r="Q47" s="13"/>
      <c r="R47" s="40"/>
      <c r="S47" s="13"/>
      <c r="T47" s="13"/>
      <c r="U47" s="15"/>
    </row>
    <row r="48">
      <c r="A48" s="1"/>
      <c r="B48" s="13"/>
      <c r="C48" s="13"/>
      <c r="D48" s="13"/>
      <c r="E48" s="13"/>
      <c r="F48" s="9" t="str">
        <f>IF(H6="", "Loser W-21", IF(H6=D4, D8, D4))</f>
        <v>Varun Clemens</v>
      </c>
      <c r="G48" s="62" t="s">
        <v>243</v>
      </c>
      <c r="H48" s="13"/>
      <c r="I48" s="109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5"/>
    </row>
    <row r="49">
      <c r="A49" s="1"/>
      <c r="B49" s="13"/>
      <c r="C49" s="13"/>
      <c r="D49" s="9" t="str">
        <f>IF(D28="", "Loser W-17", IF(D28=B27, B29, B27))</f>
        <v>N. Hollywood B</v>
      </c>
      <c r="E49" s="104" t="s">
        <v>244</v>
      </c>
      <c r="F49" s="13"/>
      <c r="G49" s="108">
        <v>4.0</v>
      </c>
      <c r="H49" s="9" t="s">
        <v>181</v>
      </c>
      <c r="I49" s="66">
        <v>82.0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5"/>
    </row>
    <row r="50">
      <c r="A50" s="1"/>
      <c r="B50" s="13"/>
      <c r="C50" s="13"/>
      <c r="D50" s="13"/>
      <c r="E50" s="108">
        <v>8.0</v>
      </c>
      <c r="F50" s="9" t="s">
        <v>155</v>
      </c>
      <c r="G50" s="105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5"/>
    </row>
    <row r="51">
      <c r="A51" s="1"/>
      <c r="B51" s="13"/>
      <c r="C51" s="13"/>
      <c r="D51" s="9" t="str">
        <f>IF(D32="", "Loser W-18", IF(D32=B31, B33, B31))</f>
        <v>WWPS A</v>
      </c>
      <c r="E51" s="105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5"/>
    </row>
    <row r="52">
      <c r="A52" s="1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5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5"/>
      <c r="T53" s="5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5"/>
      <c r="Q54" s="5"/>
      <c r="R54" s="5"/>
      <c r="S54" s="5"/>
      <c r="T54" s="5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5"/>
      <c r="Q55" s="5"/>
      <c r="R55" s="5"/>
      <c r="S55" s="5"/>
      <c r="T55" s="5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5"/>
      <c r="Q56" s="5"/>
      <c r="R56" s="5"/>
      <c r="S56" s="5"/>
      <c r="T56" s="5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6"/>
      <c r="Q57" s="76"/>
      <c r="R57" s="76"/>
      <c r="S57" s="76"/>
      <c r="T57" s="76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</row>
    <row r="6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</row>
    <row r="7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</row>
    <row r="7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</row>
    <row r="73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</row>
    <row r="74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</row>
    <row r="7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</row>
  </sheetData>
  <mergeCells count="37">
    <mergeCell ref="C4:C5"/>
    <mergeCell ref="D5:D7"/>
    <mergeCell ref="E6:E7"/>
    <mergeCell ref="C8:C9"/>
    <mergeCell ref="H9:H12"/>
    <mergeCell ref="I10:I11"/>
    <mergeCell ref="C12:C13"/>
    <mergeCell ref="D13:D15"/>
    <mergeCell ref="E14:E15"/>
    <mergeCell ref="C16:C17"/>
    <mergeCell ref="L17:L20"/>
    <mergeCell ref="M18:M19"/>
    <mergeCell ref="D21:D23"/>
    <mergeCell ref="E22:E23"/>
    <mergeCell ref="C20:C21"/>
    <mergeCell ref="C24:C25"/>
    <mergeCell ref="H25:H28"/>
    <mergeCell ref="I26:I27"/>
    <mergeCell ref="Q27:R28"/>
    <mergeCell ref="D29:D31"/>
    <mergeCell ref="E30:E31"/>
    <mergeCell ref="N38:O39"/>
    <mergeCell ref="M41:M42"/>
    <mergeCell ref="G41:G42"/>
    <mergeCell ref="G45:G46"/>
    <mergeCell ref="K45:K46"/>
    <mergeCell ref="E46:E47"/>
    <mergeCell ref="I47:I48"/>
    <mergeCell ref="G49:G50"/>
    <mergeCell ref="E50:E51"/>
    <mergeCell ref="C28:C29"/>
    <mergeCell ref="C32:C33"/>
    <mergeCell ref="G37:G38"/>
    <mergeCell ref="K37:K38"/>
    <mergeCell ref="E38:E39"/>
    <mergeCell ref="I39:I40"/>
    <mergeCell ref="E42:E43"/>
  </mergeCells>
  <drawing r:id="rId1"/>
</worksheet>
</file>