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Stage Table" sheetId="1" r:id="rId5"/>
    <sheet state="visible" name="Elimination Rounds" sheetId="2" r:id="rId6"/>
    <sheet state="visible" name="Scorecard" sheetId="3" r:id="rId7"/>
  </sheets>
  <definedNames/>
  <calcPr/>
</workbook>
</file>

<file path=xl/sharedStrings.xml><?xml version="1.0" encoding="utf-8"?>
<sst xmlns="http://schemas.openxmlformats.org/spreadsheetml/2006/main" count="226" uniqueCount="100">
  <si>
    <t>Question #</t>
  </si>
  <si>
    <t>Team Name</t>
  </si>
  <si>
    <t>Round 1 (12:50 - 1:35)</t>
  </si>
  <si>
    <t>Team A</t>
  </si>
  <si>
    <t>Round 2 (1:40 - 2:25)</t>
  </si>
  <si>
    <t>Round 3 (2:30-3:15)</t>
  </si>
  <si>
    <t>Round 4 (3:20 - 4:05)</t>
  </si>
  <si>
    <t>Round 1</t>
  </si>
  <si>
    <t>Round 5 (4:10 - 4:55)</t>
  </si>
  <si>
    <t>Team B</t>
  </si>
  <si>
    <t>Round 6 (5:00 - 5:45)</t>
  </si>
  <si>
    <t>Round 7 (if needed) (5:50 - 6:35)</t>
  </si>
  <si>
    <t>Toss Up</t>
  </si>
  <si>
    <t>Penalty</t>
  </si>
  <si>
    <t>Bonus</t>
  </si>
  <si>
    <t>Total</t>
  </si>
  <si>
    <t>Round 2</t>
  </si>
  <si>
    <t>Round 3</t>
  </si>
  <si>
    <t>record</t>
  </si>
  <si>
    <t>division bonus</t>
  </si>
  <si>
    <t>index</t>
  </si>
  <si>
    <t>Newtown</t>
  </si>
  <si>
    <t>Seeds</t>
  </si>
  <si>
    <t>A</t>
  </si>
  <si>
    <t>Farmington A</t>
  </si>
  <si>
    <t>w</t>
  </si>
  <si>
    <t>Room 1</t>
  </si>
  <si>
    <t>Arin</t>
  </si>
  <si>
    <t>Joel Barlow</t>
  </si>
  <si>
    <t>BYE</t>
  </si>
  <si>
    <t>Glastonbury A</t>
  </si>
  <si>
    <t>Room 2</t>
  </si>
  <si>
    <t>Joy</t>
  </si>
  <si>
    <t>Greenwich A</t>
  </si>
  <si>
    <t>Room 3</t>
  </si>
  <si>
    <t>Adrian</t>
  </si>
  <si>
    <t>Winner:</t>
  </si>
  <si>
    <t>Hopkins</t>
  </si>
  <si>
    <t>l</t>
  </si>
  <si>
    <t>Amity A</t>
  </si>
  <si>
    <t>Room 4</t>
  </si>
  <si>
    <t>Quinn</t>
  </si>
  <si>
    <t xml:space="preserve">Staples </t>
  </si>
  <si>
    <t>Amity B</t>
  </si>
  <si>
    <t>Room 1 (Arin)</t>
  </si>
  <si>
    <t>B</t>
  </si>
  <si>
    <t>Room 3 (Joy)</t>
  </si>
  <si>
    <t>Adrian/Joy</t>
  </si>
  <si>
    <t>Cheshire A</t>
  </si>
  <si>
    <t>Room 1 Adrian</t>
  </si>
  <si>
    <t>Kingswood Oxford</t>
  </si>
  <si>
    <t>Losers Bracket:</t>
  </si>
  <si>
    <t>Staples</t>
  </si>
  <si>
    <t>Fairchild Wheeler</t>
  </si>
  <si>
    <t>Room 2 (Quinn)</t>
  </si>
  <si>
    <t>C</t>
  </si>
  <si>
    <t>Fairfield Warde</t>
  </si>
  <si>
    <t>Room 4 (Quinn)</t>
  </si>
  <si>
    <t>Shenendowah</t>
  </si>
  <si>
    <t>WILDCARD:</t>
  </si>
  <si>
    <t>Greenwich B</t>
  </si>
  <si>
    <t>Farmington B</t>
  </si>
  <si>
    <t>University</t>
  </si>
  <si>
    <t>D</t>
  </si>
  <si>
    <t>Glastonbury B</t>
  </si>
  <si>
    <t>Room 5</t>
  </si>
  <si>
    <t>New Canaan</t>
  </si>
  <si>
    <t>Sophia</t>
  </si>
  <si>
    <t>Room 10</t>
  </si>
  <si>
    <t>Woodstock</t>
  </si>
  <si>
    <t xml:space="preserve">Room 3 </t>
  </si>
  <si>
    <t>E</t>
  </si>
  <si>
    <t>Room 9</t>
  </si>
  <si>
    <t>Kai</t>
  </si>
  <si>
    <t>South Windsor</t>
  </si>
  <si>
    <t xml:space="preserve">South Windsor </t>
  </si>
  <si>
    <t>Room 7</t>
  </si>
  <si>
    <t>Asirva</t>
  </si>
  <si>
    <t>Room 8</t>
  </si>
  <si>
    <t>Constantine</t>
  </si>
  <si>
    <t>Cheshire B</t>
  </si>
  <si>
    <t>Bottom-16-finals</t>
  </si>
  <si>
    <t>Play In</t>
  </si>
  <si>
    <t>QF</t>
  </si>
  <si>
    <t>SF</t>
  </si>
  <si>
    <t>FIN</t>
  </si>
  <si>
    <t>A1</t>
  </si>
  <si>
    <t>B4</t>
  </si>
  <si>
    <t>A4</t>
  </si>
  <si>
    <t>A2</t>
  </si>
  <si>
    <t>Shendehowa</t>
  </si>
  <si>
    <t>B5</t>
  </si>
  <si>
    <t>B3</t>
  </si>
  <si>
    <t>A3</t>
  </si>
  <si>
    <t>A5</t>
  </si>
  <si>
    <t>B2</t>
  </si>
  <si>
    <t>Brian</t>
  </si>
  <si>
    <t>B1</t>
  </si>
  <si>
    <t>Room 6</t>
  </si>
  <si>
    <t>Mr. Carley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</si>
</sst>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000000"/>
      <name val="Inconsolata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3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0" fillId="0" fontId="1" numFmtId="0" xfId="0" applyFont="1"/>
    <xf borderId="4" fillId="0" fontId="2" numFmtId="0" xfId="0" applyAlignment="1" applyBorder="1" applyFont="1">
      <alignment readingOrder="0"/>
    </xf>
    <xf borderId="5" fillId="0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7" fillId="0" fontId="3" numFmtId="0" xfId="0" applyAlignment="1" applyBorder="1" applyFont="1">
      <alignment horizontal="center" readingOrder="0" vertical="bottom"/>
    </xf>
    <xf borderId="8" fillId="2" fontId="1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horizontal="center" readingOrder="0" vertical="bottom"/>
    </xf>
    <xf borderId="8" fillId="0" fontId="1" numFmtId="0" xfId="0" applyAlignment="1" applyBorder="1" applyFont="1">
      <alignment readingOrder="0"/>
    </xf>
    <xf borderId="10" fillId="3" fontId="2" numFmtId="0" xfId="0" applyAlignment="1" applyBorder="1" applyFill="1" applyFont="1">
      <alignment horizontal="center" readingOrder="0"/>
    </xf>
    <xf borderId="11" fillId="3" fontId="3" numFmtId="0" xfId="0" applyAlignment="1" applyBorder="1" applyFill="1" applyFont="1">
      <alignment horizontal="center" readingOrder="0" vertical="bottom"/>
    </xf>
    <xf borderId="12" fillId="3" fontId="3" numFmtId="0" xfId="0" applyAlignment="1" applyBorder="1" applyFill="1" applyFont="1">
      <alignment horizontal="center" readingOrder="0" vertical="bottom"/>
    </xf>
    <xf borderId="13" fillId="0" fontId="1" numFmtId="0" xfId="0" applyBorder="1" applyFont="1"/>
    <xf borderId="14" fillId="4" fontId="5" numFmtId="0" xfId="0" applyAlignment="1" applyBorder="1" applyFill="1" applyFont="1">
      <alignment horizontal="right" vertical="bottom"/>
    </xf>
    <xf borderId="4" fillId="0" fontId="2" numFmtId="0" xfId="0" applyBorder="1" applyFont="1"/>
    <xf borderId="6" fillId="0" fontId="2" numFmtId="0" xfId="0" applyBorder="1" applyFont="1"/>
    <xf borderId="14" fillId="4" fontId="5" numFmtId="0" xfId="0" applyAlignment="1" applyBorder="1" applyFill="1" applyFont="1">
      <alignment vertical="bottom"/>
    </xf>
    <xf borderId="8" fillId="2" fontId="1" numFmtId="0" xfId="0" applyBorder="1" applyFill="1" applyFont="1"/>
    <xf borderId="15" fillId="0" fontId="2" numFmtId="0" xfId="0" applyBorder="1" applyFont="1"/>
    <xf borderId="16" fillId="0" fontId="1" numFmtId="0" xfId="0" applyAlignment="1" applyBorder="1" applyFont="1">
      <alignment readingOrder="0"/>
    </xf>
    <xf borderId="17" fillId="4" fontId="5" numFmtId="0" xfId="0" applyAlignment="1" applyBorder="1" applyFill="1" applyFont="1">
      <alignment horizontal="right" vertical="bottom"/>
    </xf>
    <xf borderId="15" fillId="0" fontId="2" numFmtId="0" xfId="0" applyAlignment="1" applyBorder="1" applyFont="1">
      <alignment readingOrder="0"/>
    </xf>
    <xf borderId="18" fillId="0" fontId="1" numFmtId="0" xfId="0" applyAlignment="1" applyBorder="1" applyFont="1">
      <alignment horizontal="center" readingOrder="0"/>
    </xf>
    <xf borderId="18" fillId="0" fontId="4" numFmtId="0" xfId="0" applyBorder="1" applyFont="1"/>
    <xf borderId="17" fillId="4" fontId="5" numFmtId="0" xfId="0" applyAlignment="1" applyBorder="1" applyFill="1" applyFont="1">
      <alignment vertical="bottom"/>
    </xf>
    <xf borderId="17" fillId="0" fontId="5" numFmtId="0" xfId="0" applyAlignment="1" applyBorder="1" applyFont="1">
      <alignment horizontal="right" vertical="bottom"/>
    </xf>
    <xf borderId="17" fillId="0" fontId="5" numFmtId="0" xfId="0" applyAlignment="1" applyBorder="1" applyFont="1">
      <alignment vertical="bottom"/>
    </xf>
    <xf borderId="19" fillId="3" fontId="3" numFmtId="0" xfId="0" applyAlignment="1" applyBorder="1" applyFill="1" applyFont="1">
      <alignment horizontal="center" vertical="bottom"/>
    </xf>
    <xf borderId="20" fillId="0" fontId="2" numFmtId="0" xfId="0" applyBorder="1" applyFont="1"/>
    <xf borderId="10" fillId="0" fontId="2" numFmtId="0" xfId="0" applyBorder="1" applyFont="1"/>
    <xf borderId="21" fillId="4" fontId="5" numFmtId="0" xfId="0" applyAlignment="1" applyBorder="1" applyFill="1" applyFont="1">
      <alignment horizontal="right" vertical="bottom"/>
    </xf>
    <xf borderId="21" fillId="4" fontId="5" numFmtId="0" xfId="0" applyAlignment="1" applyBorder="1" applyFill="1" applyFont="1">
      <alignment vertical="bottom"/>
    </xf>
    <xf borderId="22" fillId="3" fontId="3" numFmtId="0" xfId="0" applyAlignment="1" applyBorder="1" applyFill="1" applyFont="1">
      <alignment horizontal="center" vertical="bottom"/>
    </xf>
    <xf borderId="23" fillId="5" fontId="3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/>
    </xf>
    <xf borderId="15" fillId="5" fontId="3" numFmtId="0" xfId="0" applyAlignment="1" applyBorder="1" applyFill="1" applyFont="1">
      <alignment horizontal="center" readingOrder="0" vertical="bottom"/>
    </xf>
    <xf borderId="17" fillId="5" fontId="3" numFmtId="0" xfId="0" applyAlignment="1" applyBorder="1" applyFill="1" applyFont="1">
      <alignment horizontal="center" readingOrder="0" vertical="bottom"/>
    </xf>
    <xf borderId="8" fillId="0" fontId="1" numFmtId="0" xfId="0" applyBorder="1" applyFont="1"/>
    <xf borderId="0" fillId="5" fontId="3" numFmtId="0" xfId="0" applyAlignment="1" applyFill="1" applyFont="1">
      <alignment horizontal="center" vertical="bottom"/>
    </xf>
    <xf borderId="24" fillId="0" fontId="1" numFmtId="0" xfId="0" applyBorder="1" applyFont="1"/>
    <xf borderId="25" fillId="5" fontId="3" numFmtId="0" xfId="0" applyAlignment="1" applyBorder="1" applyFill="1" applyFont="1">
      <alignment horizontal="center" vertical="bottom"/>
    </xf>
    <xf borderId="8" fillId="6" fontId="1" numFmtId="0" xfId="0" applyBorder="1" applyFill="1" applyFont="1"/>
    <xf borderId="26" fillId="0" fontId="3" numFmtId="0" xfId="0" applyAlignment="1" applyBorder="1" applyFont="1">
      <alignment horizontal="center" readingOrder="0" vertical="bottom"/>
    </xf>
    <xf borderId="27" fillId="0" fontId="3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vertical="bottom"/>
    </xf>
    <xf borderId="29" fillId="0" fontId="3" numFmtId="0" xfId="0" applyAlignment="1" applyBorder="1" applyFont="1">
      <alignment horizontal="center" vertical="bottom"/>
    </xf>
    <xf borderId="0" fillId="3" fontId="0" numFmtId="0" xfId="0" applyAlignment="1" applyFill="1" applyFont="1">
      <alignment horizontal="center"/>
    </xf>
    <xf borderId="23" fillId="0" fontId="3" numFmtId="0" xfId="0" applyAlignment="1" applyBorder="1" applyFont="1">
      <alignment horizontal="center" readingOrder="0" vertical="bottom"/>
    </xf>
    <xf borderId="15" fillId="0" fontId="3" numFmtId="0" xfId="0" applyAlignment="1" applyBorder="1" applyFont="1">
      <alignment horizontal="center" readingOrder="0" vertical="bottom"/>
    </xf>
    <xf borderId="17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0" numFmtId="0" xfId="0" applyAlignment="1" applyFont="1">
      <alignment horizontal="center" vertical="bottom"/>
    </xf>
    <xf borderId="25" fillId="0" fontId="3" numFmtId="0" xfId="0" applyAlignment="1" applyBorder="1" applyFont="1">
      <alignment horizontal="center" vertical="bottom"/>
    </xf>
    <xf borderId="0" fillId="0" fontId="6" numFmtId="0" xfId="0" applyAlignment="1" applyFont="1">
      <alignment readingOrder="0"/>
    </xf>
    <xf borderId="8" fillId="0" fontId="0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19" fillId="0" fontId="3" numFmtId="0" xfId="0" applyAlignment="1" applyBorder="1" applyFont="1">
      <alignment horizontal="center" vertical="bottom"/>
    </xf>
    <xf borderId="22" fillId="0" fontId="3" numFmtId="0" xfId="0" applyAlignment="1" applyBorder="1" applyFont="1">
      <alignment horizontal="center" vertical="bottom"/>
    </xf>
    <xf borderId="23" fillId="3" fontId="3" numFmtId="0" xfId="0" applyAlignment="1" applyBorder="1" applyFill="1" applyFont="1">
      <alignment horizontal="center" readingOrder="0" vertical="bottom"/>
    </xf>
    <xf borderId="15" fillId="3" fontId="3" numFmtId="0" xfId="0" applyAlignment="1" applyBorder="1" applyFill="1" applyFont="1">
      <alignment horizontal="center" readingOrder="0" vertical="bottom"/>
    </xf>
    <xf borderId="17" fillId="3" fontId="3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18" fillId="6" fontId="1" numFmtId="0" xfId="0" applyBorder="1" applyFill="1" applyFont="1"/>
    <xf borderId="30" fillId="0" fontId="1" numFmtId="0" xfId="0" applyBorder="1" applyFont="1"/>
    <xf borderId="25" fillId="3" fontId="3" numFmtId="0" xfId="0" applyAlignment="1" applyBorder="1" applyFill="1" applyFont="1">
      <alignment horizontal="center" vertical="bottom"/>
    </xf>
    <xf borderId="8" fillId="7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6.13"/>
    <col customWidth="1" min="5" max="5" width="6.13"/>
    <col customWidth="1" min="7" max="7" width="6.13"/>
  </cols>
  <sheetData>
    <row r="1">
      <c r="B1" s="4" t="s">
        <v>1</v>
      </c>
      <c r="C1" s="6" t="s">
        <v>7</v>
      </c>
      <c r="D1" s="7"/>
      <c r="E1" s="6" t="s">
        <v>16</v>
      </c>
      <c r="F1" s="7"/>
      <c r="G1" s="6" t="s">
        <v>17</v>
      </c>
      <c r="H1" s="7"/>
      <c r="I1" s="10" t="s">
        <v>18</v>
      </c>
      <c r="J1" s="12" t="s">
        <v>19</v>
      </c>
      <c r="K1" s="14" t="s">
        <v>20</v>
      </c>
      <c r="L1" s="2" t="s">
        <v>22</v>
      </c>
    </row>
    <row r="2">
      <c r="A2" s="2" t="s">
        <v>23</v>
      </c>
      <c r="B2" s="16" t="s">
        <v>24</v>
      </c>
      <c r="C2" s="18" t="s">
        <v>25</v>
      </c>
      <c r="D2" s="19">
        <v>156.0</v>
      </c>
      <c r="E2" s="20" t="s">
        <v>25</v>
      </c>
      <c r="F2" s="19">
        <v>102.0</v>
      </c>
      <c r="G2" s="20" t="s">
        <v>25</v>
      </c>
      <c r="H2" s="19">
        <v>156.0</v>
      </c>
      <c r="I2" s="36" t="str">
        <f t="array" ref="I2">TEXTJOIN("-", TRUE, COUNTIF({C3,E2,G2},"=W"),COUNTIF({C3,E2,G2},"=L"))</f>
        <v>2-1</v>
      </c>
      <c r="J2" s="36">
        <f>(D2+D3+D4+D5+F2+F3+F4+F5+H2+H3+H4+H5+D2+D3+D4+D5)*0.0211</f>
        <v>36.2076</v>
      </c>
      <c r="K2" s="41">
        <f t="shared" ref="K2:K21" si="1">SUM(D2,F2,H2,J2)</f>
        <v>450.2076</v>
      </c>
      <c r="L2" s="2">
        <v>1.0</v>
      </c>
      <c r="M2" s="2" t="s">
        <v>21</v>
      </c>
    </row>
    <row r="3">
      <c r="B3" s="42" t="s">
        <v>30</v>
      </c>
      <c r="C3" s="44" t="s">
        <v>38</v>
      </c>
      <c r="D3" s="45">
        <v>136.0</v>
      </c>
      <c r="E3" s="44" t="s">
        <v>25</v>
      </c>
      <c r="F3" s="45">
        <v>122.0</v>
      </c>
      <c r="G3" s="44" t="s">
        <v>38</v>
      </c>
      <c r="H3" s="45">
        <v>96.0</v>
      </c>
      <c r="I3" s="47" t="str">
        <f t="array" ref="I3">TEXTJOIN("-", TRUE, COUNTIF({#REF!,E3,G3},"=W"),COUNTIF({#REF!,E3,G3},"=L"))</f>
        <v>1-1</v>
      </c>
      <c r="J3" s="47">
        <f>(D2+D3+D4+D5+F2+F3+F4+F5+H2+H3+H4+H5+D2+D3+D4+D5)*0.0211</f>
        <v>36.2076</v>
      </c>
      <c r="K3" s="49">
        <f t="shared" si="1"/>
        <v>390.2076</v>
      </c>
      <c r="L3" s="2">
        <v>2.0</v>
      </c>
      <c r="M3" s="2" t="s">
        <v>39</v>
      </c>
    </row>
    <row r="4">
      <c r="B4" s="42" t="s">
        <v>28</v>
      </c>
      <c r="C4" s="44" t="s">
        <v>25</v>
      </c>
      <c r="D4" s="45">
        <v>124.0</v>
      </c>
      <c r="E4" s="44" t="s">
        <v>38</v>
      </c>
      <c r="F4" s="45">
        <v>42.0</v>
      </c>
      <c r="G4" s="44" t="s">
        <v>25</v>
      </c>
      <c r="H4" s="45">
        <v>102.0</v>
      </c>
      <c r="I4" s="47" t="str">
        <f t="shared" ref="I4:I21" si="2">TEXTJOIN("-", TRUE, COUNTIF({C4,E4,G4},"=W"),COUNTIF({C4,E4,G4},"=L"))</f>
        <v>2-1</v>
      </c>
      <c r="J4" s="47">
        <f>(D2+D3+D4+D5+F2+F3+F4+F5+H2+H3+H4+H5+D2+D3+D4+D5)*0.0211</f>
        <v>36.2076</v>
      </c>
      <c r="K4" s="49">
        <f t="shared" si="1"/>
        <v>304.2076</v>
      </c>
      <c r="L4" s="2">
        <v>3.0</v>
      </c>
      <c r="M4" s="2" t="s">
        <v>24</v>
      </c>
    </row>
    <row r="5">
      <c r="B5" s="51" t="s">
        <v>43</v>
      </c>
      <c r="C5" s="52" t="s">
        <v>38</v>
      </c>
      <c r="D5" s="53">
        <v>78.0</v>
      </c>
      <c r="E5" s="52" t="s">
        <v>38</v>
      </c>
      <c r="F5" s="53">
        <v>50.0</v>
      </c>
      <c r="G5" s="52" t="s">
        <v>38</v>
      </c>
      <c r="H5" s="53">
        <v>58.0</v>
      </c>
      <c r="I5" s="54" t="str">
        <f t="shared" si="2"/>
        <v>0-3</v>
      </c>
      <c r="J5" s="54">
        <f>(D2+D3+D4+D5+F2+F3+F4+F5+H2+H3+H4+H5+D2+D3+D4+D5)*0.0211</f>
        <v>36.2076</v>
      </c>
      <c r="K5" s="55">
        <f t="shared" si="1"/>
        <v>222.2076</v>
      </c>
      <c r="L5" s="2">
        <v>4.0</v>
      </c>
      <c r="M5" s="2" t="s">
        <v>30</v>
      </c>
    </row>
    <row r="6">
      <c r="A6" s="2" t="s">
        <v>45</v>
      </c>
      <c r="B6" s="16" t="s">
        <v>33</v>
      </c>
      <c r="C6" s="20" t="s">
        <v>25</v>
      </c>
      <c r="D6" s="19">
        <v>104.0</v>
      </c>
      <c r="E6" s="20" t="s">
        <v>25</v>
      </c>
      <c r="F6" s="19">
        <v>148.0</v>
      </c>
      <c r="G6" s="20" t="s">
        <v>25</v>
      </c>
      <c r="H6" s="19">
        <v>118.0</v>
      </c>
      <c r="I6" s="36" t="str">
        <f t="shared" si="2"/>
        <v>3-0</v>
      </c>
      <c r="J6" s="56">
        <f>SUM(D6,D7,D8,D9,F9,F8,F7,F6,H6,H7,H8,H8)*0.0211</f>
        <v>16.7534</v>
      </c>
      <c r="K6" s="41">
        <f t="shared" si="1"/>
        <v>386.7534</v>
      </c>
      <c r="L6" s="2">
        <v>5.0</v>
      </c>
      <c r="M6" s="2" t="s">
        <v>33</v>
      </c>
    </row>
    <row r="7">
      <c r="B7" s="57" t="s">
        <v>48</v>
      </c>
      <c r="C7" s="58" t="s">
        <v>38</v>
      </c>
      <c r="D7" s="59">
        <v>60.0</v>
      </c>
      <c r="E7" s="58" t="s">
        <v>38</v>
      </c>
      <c r="F7" s="59">
        <v>30.0</v>
      </c>
      <c r="G7" s="58" t="s">
        <v>25</v>
      </c>
      <c r="H7" s="59">
        <v>80.0</v>
      </c>
      <c r="I7" s="60" t="str">
        <f t="shared" si="2"/>
        <v>1-2</v>
      </c>
      <c r="J7" s="61">
        <f>SUM(D6,D7,D8,D9,F9,F8,F7,F6,H6,H7,H8,H8)*0.0211</f>
        <v>16.7534</v>
      </c>
      <c r="K7" s="62">
        <f t="shared" si="1"/>
        <v>186.7534</v>
      </c>
      <c r="L7" s="2">
        <v>6.0</v>
      </c>
      <c r="M7" s="2" t="s">
        <v>37</v>
      </c>
    </row>
    <row r="8">
      <c r="B8" s="57" t="s">
        <v>50</v>
      </c>
      <c r="C8" s="58" t="s">
        <v>25</v>
      </c>
      <c r="D8" s="59">
        <v>58.0</v>
      </c>
      <c r="E8" s="58" t="s">
        <v>38</v>
      </c>
      <c r="F8" s="59">
        <v>8.0</v>
      </c>
      <c r="G8" s="58" t="s">
        <v>38</v>
      </c>
      <c r="H8" s="59">
        <v>48.0</v>
      </c>
      <c r="I8" s="60" t="str">
        <f t="shared" si="2"/>
        <v>1-2</v>
      </c>
      <c r="J8" s="61">
        <f>SUM(D6,D7,D8,D9,F9,F8,F7,F6,H6,H7,H8,H8)*0.0211</f>
        <v>16.7534</v>
      </c>
      <c r="K8" s="62">
        <f t="shared" si="1"/>
        <v>130.7534</v>
      </c>
      <c r="L8" s="2">
        <v>7.0</v>
      </c>
      <c r="M8" s="2" t="s">
        <v>52</v>
      </c>
    </row>
    <row r="9">
      <c r="B9" s="51" t="s">
        <v>53</v>
      </c>
      <c r="C9" s="52" t="s">
        <v>38</v>
      </c>
      <c r="D9" s="53">
        <v>40.0</v>
      </c>
      <c r="E9" s="52" t="s">
        <v>25</v>
      </c>
      <c r="F9" s="53">
        <v>52.0</v>
      </c>
      <c r="G9" s="52" t="s">
        <v>38</v>
      </c>
      <c r="H9" s="53">
        <v>24.0</v>
      </c>
      <c r="I9" s="54" t="str">
        <f t="shared" si="2"/>
        <v>1-2</v>
      </c>
      <c r="J9" s="64">
        <f>SUM(D6,D7,D8,D9,F9,F8,F7,F6,H6,H7,H8,H8)*0.0211</f>
        <v>16.7534</v>
      </c>
      <c r="K9" s="55">
        <f t="shared" si="1"/>
        <v>132.7534</v>
      </c>
      <c r="L9" s="2">
        <v>8.0</v>
      </c>
      <c r="M9" s="2" t="s">
        <v>28</v>
      </c>
    </row>
    <row r="10">
      <c r="A10" s="2" t="s">
        <v>55</v>
      </c>
      <c r="B10" s="65" t="s">
        <v>56</v>
      </c>
      <c r="C10" s="66" t="s">
        <v>38</v>
      </c>
      <c r="D10" s="67">
        <v>42.0</v>
      </c>
      <c r="E10" s="66" t="s">
        <v>38</v>
      </c>
      <c r="F10" s="67">
        <v>8.0</v>
      </c>
      <c r="G10" s="66" t="s">
        <v>25</v>
      </c>
      <c r="H10" s="67">
        <v>72.0</v>
      </c>
      <c r="I10" s="68" t="str">
        <f t="shared" si="2"/>
        <v>1-2</v>
      </c>
      <c r="J10" s="68">
        <f>SUM(D10,D11,D12,D13,F13,F12,F11,F10,H10,H11,H12,H13)*0.0211</f>
        <v>23.6742</v>
      </c>
      <c r="K10" s="69">
        <f t="shared" si="1"/>
        <v>145.6742</v>
      </c>
    </row>
    <row r="11">
      <c r="B11" s="70" t="s">
        <v>39</v>
      </c>
      <c r="C11" s="71" t="s">
        <v>25</v>
      </c>
      <c r="D11" s="72">
        <v>204.0</v>
      </c>
      <c r="E11" s="71" t="s">
        <v>25</v>
      </c>
      <c r="F11" s="72">
        <v>152.0</v>
      </c>
      <c r="G11" s="71" t="s">
        <v>25</v>
      </c>
      <c r="H11" s="72">
        <v>162.0</v>
      </c>
      <c r="I11" s="73" t="str">
        <f t="shared" si="2"/>
        <v>3-0</v>
      </c>
      <c r="J11" s="73">
        <f>SUM(D10,D11,D12,D13,F13,F12,F11,F10,H10,H11,H12,H13)*0.0211</f>
        <v>23.6742</v>
      </c>
      <c r="K11" s="76">
        <f t="shared" si="1"/>
        <v>541.6742</v>
      </c>
      <c r="L11" s="2">
        <v>1.0</v>
      </c>
      <c r="M11" s="2" t="s">
        <v>58</v>
      </c>
    </row>
    <row r="12">
      <c r="B12" s="42" t="s">
        <v>37</v>
      </c>
      <c r="C12" s="44" t="s">
        <v>25</v>
      </c>
      <c r="D12" s="45">
        <v>142.0</v>
      </c>
      <c r="E12" s="44" t="s">
        <v>25</v>
      </c>
      <c r="F12" s="45">
        <v>140.0</v>
      </c>
      <c r="G12" s="44" t="s">
        <v>38</v>
      </c>
      <c r="H12" s="45">
        <v>60.0</v>
      </c>
      <c r="I12" s="47" t="str">
        <f t="shared" si="2"/>
        <v>2-1</v>
      </c>
      <c r="J12" s="47">
        <f>SUM(D10,D11,D12,D13,F13,F12,F11,F10,H10,H11,H12,H13)*0.0211</f>
        <v>23.6742</v>
      </c>
      <c r="K12" s="49">
        <f t="shared" si="1"/>
        <v>365.6742</v>
      </c>
      <c r="L12" s="2">
        <v>2.0</v>
      </c>
      <c r="M12" s="2" t="s">
        <v>60</v>
      </c>
    </row>
    <row r="13">
      <c r="B13" s="51" t="s">
        <v>61</v>
      </c>
      <c r="C13" s="52" t="s">
        <v>38</v>
      </c>
      <c r="D13" s="53">
        <v>50.0</v>
      </c>
      <c r="E13" s="52" t="s">
        <v>38</v>
      </c>
      <c r="F13" s="53">
        <v>34.0</v>
      </c>
      <c r="G13" s="52" t="s">
        <v>38</v>
      </c>
      <c r="H13" s="53">
        <v>56.0</v>
      </c>
      <c r="I13" s="54" t="str">
        <f t="shared" si="2"/>
        <v>0-3</v>
      </c>
      <c r="J13" s="54">
        <f>SUM(D10,D11,D12,D13,F13,F12,F11,F10,H10,H11,H12,H13)*0.0211</f>
        <v>23.6742</v>
      </c>
      <c r="K13" s="55">
        <f t="shared" si="1"/>
        <v>163.6742</v>
      </c>
      <c r="L13" s="2">
        <v>3.0</v>
      </c>
      <c r="M13" s="2" t="s">
        <v>62</v>
      </c>
    </row>
    <row r="14">
      <c r="A14" s="2" t="s">
        <v>63</v>
      </c>
      <c r="B14" s="65" t="s">
        <v>64</v>
      </c>
      <c r="C14" s="66" t="s">
        <v>25</v>
      </c>
      <c r="D14" s="67">
        <v>114.0</v>
      </c>
      <c r="E14" s="66" t="s">
        <v>25</v>
      </c>
      <c r="F14" s="67">
        <v>48.0</v>
      </c>
      <c r="G14" s="66" t="s">
        <v>38</v>
      </c>
      <c r="H14" s="67">
        <v>40.0</v>
      </c>
      <c r="I14" s="68" t="str">
        <f t="shared" si="2"/>
        <v>2-1</v>
      </c>
      <c r="J14" s="68">
        <f>SUM(D14,D15,D16,D17,F17,F16,F15,F14,H14,H15,H16,H17)*0.0211</f>
        <v>17.935</v>
      </c>
      <c r="K14" s="69">
        <f t="shared" si="1"/>
        <v>219.935</v>
      </c>
      <c r="L14" s="2">
        <v>4.0</v>
      </c>
      <c r="M14" s="2" t="s">
        <v>66</v>
      </c>
    </row>
    <row r="15">
      <c r="B15" s="70" t="s">
        <v>52</v>
      </c>
      <c r="C15" s="71" t="s">
        <v>38</v>
      </c>
      <c r="D15" s="72">
        <v>96.0</v>
      </c>
      <c r="E15" s="71" t="s">
        <v>25</v>
      </c>
      <c r="F15" s="72">
        <v>118.0</v>
      </c>
      <c r="G15" s="71" t="s">
        <v>25</v>
      </c>
      <c r="H15" s="72">
        <v>110.0</v>
      </c>
      <c r="I15" s="73" t="str">
        <f t="shared" si="2"/>
        <v>2-1</v>
      </c>
      <c r="J15" s="73">
        <f>SUM(D14,D15,D16,D17,F17,F16,F15,F14,H14,H15,H16,H17)*0.0211</f>
        <v>17.935</v>
      </c>
      <c r="K15" s="76">
        <f t="shared" si="1"/>
        <v>341.935</v>
      </c>
      <c r="L15" s="2">
        <v>5.0</v>
      </c>
      <c r="M15" s="2" t="s">
        <v>43</v>
      </c>
    </row>
    <row r="16">
      <c r="B16" s="57" t="s">
        <v>69</v>
      </c>
      <c r="C16" s="58" t="s">
        <v>38</v>
      </c>
      <c r="D16" s="59">
        <v>68.0</v>
      </c>
      <c r="E16" s="58" t="s">
        <v>38</v>
      </c>
      <c r="F16" s="59">
        <v>26.0</v>
      </c>
      <c r="G16" s="58" t="s">
        <v>38</v>
      </c>
      <c r="H16" s="59">
        <v>18.0</v>
      </c>
      <c r="I16" s="60" t="str">
        <f t="shared" si="2"/>
        <v>0-3</v>
      </c>
      <c r="J16" s="60">
        <f>SUM(D14,D15,D16,D17,F17,F16,F15,F14,H14,H15,H16,H17)*0.0211</f>
        <v>17.935</v>
      </c>
      <c r="K16" s="62">
        <f t="shared" si="1"/>
        <v>129.935</v>
      </c>
      <c r="L16" s="2">
        <v>6.0</v>
      </c>
      <c r="M16" s="2" t="s">
        <v>64</v>
      </c>
    </row>
    <row r="17">
      <c r="B17" s="51" t="s">
        <v>66</v>
      </c>
      <c r="C17" s="52" t="s">
        <v>25</v>
      </c>
      <c r="D17" s="53">
        <v>94.0</v>
      </c>
      <c r="E17" s="52" t="s">
        <v>38</v>
      </c>
      <c r="F17" s="53">
        <v>44.0</v>
      </c>
      <c r="G17" s="52" t="s">
        <v>25</v>
      </c>
      <c r="H17" s="53">
        <v>74.0</v>
      </c>
      <c r="I17" s="54" t="str">
        <f t="shared" si="2"/>
        <v>2-1</v>
      </c>
      <c r="J17" s="54">
        <f>SUM(D14,D15,D16,D17,F17,F16,F15,F14,H14,H15,H16,H17)*0.0211</f>
        <v>17.935</v>
      </c>
      <c r="K17" s="55">
        <f t="shared" si="1"/>
        <v>229.935</v>
      </c>
      <c r="L17" s="2">
        <v>7.0</v>
      </c>
      <c r="M17" s="2" t="s">
        <v>48</v>
      </c>
    </row>
    <row r="18">
      <c r="A18" s="2" t="s">
        <v>71</v>
      </c>
      <c r="B18" s="16" t="s">
        <v>21</v>
      </c>
      <c r="C18" s="20" t="s">
        <v>25</v>
      </c>
      <c r="D18" s="19">
        <v>220.0</v>
      </c>
      <c r="E18" s="20" t="s">
        <v>25</v>
      </c>
      <c r="F18" s="19">
        <v>152.0</v>
      </c>
      <c r="G18" s="20" t="s">
        <v>25</v>
      </c>
      <c r="H18" s="19">
        <v>200.0</v>
      </c>
      <c r="I18" s="36" t="str">
        <f t="shared" si="2"/>
        <v>3-0</v>
      </c>
      <c r="J18" s="36">
        <f>SUM(D18,D19,D20,D21,F21,F20,F19,F18,H18,H19,H20,H21)*0.0211</f>
        <v>22.2394</v>
      </c>
      <c r="K18" s="41">
        <f t="shared" si="1"/>
        <v>594.2394</v>
      </c>
      <c r="L18" s="2">
        <v>8.0</v>
      </c>
      <c r="M18" s="2" t="s">
        <v>74</v>
      </c>
    </row>
    <row r="19">
      <c r="B19" s="57" t="s">
        <v>75</v>
      </c>
      <c r="C19" s="58" t="s">
        <v>38</v>
      </c>
      <c r="D19" s="59">
        <v>34.0</v>
      </c>
      <c r="E19" s="58" t="s">
        <v>25</v>
      </c>
      <c r="F19" s="59">
        <v>38.0</v>
      </c>
      <c r="G19" s="58" t="s">
        <v>25</v>
      </c>
      <c r="H19" s="59">
        <v>86.0</v>
      </c>
      <c r="I19" s="60" t="str">
        <f t="shared" si="2"/>
        <v>2-1</v>
      </c>
      <c r="J19" s="60">
        <f>SUM(D18,D19,D20,D21,F21,F20,F19,F18,H18,H19,H20,H21)*0.0211</f>
        <v>22.2394</v>
      </c>
      <c r="K19" s="62">
        <f t="shared" si="1"/>
        <v>180.2394</v>
      </c>
      <c r="L19" s="2">
        <v>9.0</v>
      </c>
      <c r="M19" s="2" t="s">
        <v>61</v>
      </c>
    </row>
    <row r="20">
      <c r="B20" s="57" t="s">
        <v>62</v>
      </c>
      <c r="C20" s="58" t="s">
        <v>25</v>
      </c>
      <c r="D20" s="59">
        <v>96.0</v>
      </c>
      <c r="E20" s="58" t="s">
        <v>38</v>
      </c>
      <c r="F20" s="59">
        <v>56.0</v>
      </c>
      <c r="G20" s="58" t="s">
        <v>38</v>
      </c>
      <c r="H20" s="59">
        <v>76.0</v>
      </c>
      <c r="I20" s="60" t="str">
        <f t="shared" si="2"/>
        <v>1-2</v>
      </c>
      <c r="J20" s="60">
        <f>SUM(D18,D19,D20,D21,F21,F20,F19,F18,H18,H19,H20,H21)*0.0211</f>
        <v>22.2394</v>
      </c>
      <c r="K20" s="62">
        <f t="shared" si="1"/>
        <v>250.2394</v>
      </c>
      <c r="L20" s="2">
        <v>10.0</v>
      </c>
      <c r="M20" s="2" t="s">
        <v>56</v>
      </c>
    </row>
    <row r="21">
      <c r="B21" s="51" t="s">
        <v>80</v>
      </c>
      <c r="C21" s="52" t="s">
        <v>38</v>
      </c>
      <c r="D21" s="53">
        <v>68.0</v>
      </c>
      <c r="E21" s="52" t="s">
        <v>38</v>
      </c>
      <c r="F21" s="53">
        <v>16.0</v>
      </c>
      <c r="G21" s="52" t="s">
        <v>38</v>
      </c>
      <c r="H21" s="53">
        <v>12.0</v>
      </c>
      <c r="I21" s="54" t="str">
        <f t="shared" si="2"/>
        <v>0-3</v>
      </c>
      <c r="J21" s="54">
        <f>SUM(D18,D19,D20,D21,F21,F20,F19,F18,H18,H19,H20,H21)*0.0211</f>
        <v>22.2394</v>
      </c>
      <c r="K21" s="55">
        <f t="shared" si="1"/>
        <v>118.2394</v>
      </c>
      <c r="L21" s="2">
        <v>11.0</v>
      </c>
      <c r="M21" s="2" t="s">
        <v>53</v>
      </c>
    </row>
    <row r="22">
      <c r="L22" s="2">
        <v>12.0</v>
      </c>
      <c r="M22" s="2" t="s">
        <v>50</v>
      </c>
    </row>
    <row r="23">
      <c r="L23" s="2">
        <v>13.0</v>
      </c>
      <c r="M23" s="2" t="s">
        <v>69</v>
      </c>
    </row>
    <row r="24">
      <c r="L24" s="2">
        <v>14.0</v>
      </c>
      <c r="M24" s="2" t="s">
        <v>80</v>
      </c>
    </row>
    <row r="29">
      <c r="F29" s="2" t="s">
        <v>82</v>
      </c>
      <c r="H29" s="2" t="s">
        <v>83</v>
      </c>
      <c r="I29" s="2" t="s">
        <v>84</v>
      </c>
      <c r="J29" s="2" t="s">
        <v>85</v>
      </c>
    </row>
    <row r="31">
      <c r="H31" s="2" t="s">
        <v>86</v>
      </c>
    </row>
    <row r="32">
      <c r="H32" s="2" t="s">
        <v>87</v>
      </c>
    </row>
    <row r="33">
      <c r="B33" s="2">
        <v>1.0</v>
      </c>
    </row>
    <row r="34">
      <c r="B34" s="2">
        <v>2.0</v>
      </c>
      <c r="F34" s="2" t="s">
        <v>88</v>
      </c>
      <c r="H34" s="2" t="s">
        <v>89</v>
      </c>
    </row>
    <row r="35">
      <c r="B35" s="2">
        <v>3.0</v>
      </c>
      <c r="F35" s="2" t="s">
        <v>91</v>
      </c>
      <c r="H35" s="2" t="s">
        <v>92</v>
      </c>
    </row>
    <row r="36">
      <c r="B36" s="2">
        <v>4.0</v>
      </c>
      <c r="H36" s="2"/>
    </row>
    <row r="37">
      <c r="B37" s="2">
        <v>5.0</v>
      </c>
      <c r="F37" s="2" t="s">
        <v>87</v>
      </c>
      <c r="H37" s="2" t="s">
        <v>93</v>
      </c>
    </row>
    <row r="38">
      <c r="B38" s="2">
        <v>6.0</v>
      </c>
      <c r="F38" s="2" t="s">
        <v>94</v>
      </c>
      <c r="H38" s="2" t="s">
        <v>95</v>
      </c>
    </row>
    <row r="39">
      <c r="B39" s="2">
        <v>7.0</v>
      </c>
    </row>
    <row r="40">
      <c r="B40" s="2">
        <v>8.0</v>
      </c>
      <c r="H40" s="2" t="s">
        <v>88</v>
      </c>
    </row>
    <row r="41">
      <c r="B41" s="2">
        <v>9.0</v>
      </c>
      <c r="H41" s="2" t="s">
        <v>97</v>
      </c>
    </row>
    <row r="42">
      <c r="B42" s="2">
        <v>10.0</v>
      </c>
    </row>
  </sheetData>
  <mergeCells count="3">
    <mergeCell ref="C1:D1"/>
    <mergeCell ref="E1:F1"/>
    <mergeCell ref="G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.88"/>
    <col customWidth="1" min="4" max="4" width="17.63"/>
    <col customWidth="1" min="5" max="5" width="3.88"/>
    <col customWidth="1" min="6" max="6" width="17.63"/>
    <col customWidth="1" min="7" max="7" width="3.88"/>
    <col customWidth="1" min="8" max="8" width="17.63"/>
    <col customWidth="1" min="9" max="9" width="3.88"/>
    <col customWidth="1" min="10" max="10" width="17.63"/>
    <col customWidth="1" min="11" max="11" width="3.88"/>
    <col customWidth="1" min="12" max="12" width="17.63"/>
    <col customWidth="1" min="13" max="13" width="3.88"/>
    <col customWidth="1" min="14" max="14" width="17.63"/>
    <col customWidth="1" min="15" max="15" width="5.13"/>
    <col customWidth="1" min="16" max="16" width="17.63"/>
  </cols>
  <sheetData>
    <row r="1">
      <c r="A1" s="1"/>
      <c r="B1" s="3" t="s">
        <v>2</v>
      </c>
      <c r="D1" s="3" t="s">
        <v>4</v>
      </c>
      <c r="F1" s="3" t="s">
        <v>5</v>
      </c>
      <c r="H1" s="3" t="s">
        <v>6</v>
      </c>
      <c r="J1" s="3" t="s">
        <v>8</v>
      </c>
      <c r="L1" s="3" t="s">
        <v>10</v>
      </c>
      <c r="N1" s="3" t="s">
        <v>11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3">
        <v>1.0</v>
      </c>
      <c r="B3" s="15" t="s">
        <v>21</v>
      </c>
      <c r="C3" s="17">
        <v>114.0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3" t="s">
        <v>26</v>
      </c>
      <c r="B4" s="13" t="s">
        <v>27</v>
      </c>
      <c r="C4" s="21"/>
      <c r="D4" s="26" t="str">
        <f>IF(C3&gt;C5, B3, IF(C5&gt;C3, B5, IF(C5=C3, "") ))</f>
        <v>Newtown</v>
      </c>
      <c r="E4" s="17">
        <v>120.0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3">
        <v>8.0</v>
      </c>
      <c r="B5" s="15" t="s">
        <v>28</v>
      </c>
      <c r="C5" s="28">
        <v>84.0</v>
      </c>
      <c r="D5" s="8"/>
      <c r="E5" s="21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8"/>
      <c r="B6" s="8"/>
      <c r="C6" s="8"/>
      <c r="D6" s="13" t="s">
        <v>26</v>
      </c>
      <c r="E6" s="21"/>
      <c r="F6" s="31" t="s">
        <v>29</v>
      </c>
      <c r="G6" s="32"/>
      <c r="H6" s="26" t="str">
        <f>IF(E4&gt;E8, D4, IF(E8&gt;E4, D8, IF(E4=E8, "") ))</f>
        <v>Newtown</v>
      </c>
      <c r="I6" s="17">
        <v>82.0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3">
        <v>4.0</v>
      </c>
      <c r="B7" s="15" t="s">
        <v>30</v>
      </c>
      <c r="C7" s="17">
        <v>48.0</v>
      </c>
      <c r="D7" s="13" t="s">
        <v>27</v>
      </c>
      <c r="E7" s="21"/>
      <c r="F7" s="8"/>
      <c r="G7" s="8"/>
      <c r="H7" s="8"/>
      <c r="I7" s="2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3" t="s">
        <v>31</v>
      </c>
      <c r="B8" s="13" t="s">
        <v>32</v>
      </c>
      <c r="C8" s="21"/>
      <c r="D8" s="26" t="str">
        <f>IF(C7&gt;C9, B7, IF(C9&gt;C7, B9, IF(C9=C7, "") ))</f>
        <v>Greenwich A</v>
      </c>
      <c r="E8" s="28">
        <v>82.0</v>
      </c>
      <c r="F8" s="8"/>
      <c r="G8" s="8"/>
      <c r="H8" s="8"/>
      <c r="I8" s="2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3">
        <v>5.0</v>
      </c>
      <c r="B9" s="15" t="s">
        <v>33</v>
      </c>
      <c r="C9" s="28">
        <v>80.0</v>
      </c>
      <c r="D9" s="8"/>
      <c r="E9" s="8"/>
      <c r="F9" s="8"/>
      <c r="G9" s="8"/>
      <c r="H9" s="8"/>
      <c r="I9" s="2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8"/>
      <c r="C10" s="8"/>
      <c r="D10" s="8"/>
      <c r="E10" s="8"/>
      <c r="F10" s="8"/>
      <c r="G10" s="8"/>
      <c r="H10" s="13" t="s">
        <v>31</v>
      </c>
      <c r="I10" s="21"/>
      <c r="J10" s="31" t="s">
        <v>29</v>
      </c>
      <c r="K10" s="32"/>
      <c r="L10" s="26" t="str">
        <f>IF(I6&gt;I14, H6, IF(I14&gt;I6, H14, IF(I14=I6, "") ))</f>
        <v>Amity A</v>
      </c>
      <c r="M10" s="17">
        <v>100.0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3">
        <v>3.0</v>
      </c>
      <c r="B11" s="15" t="s">
        <v>24</v>
      </c>
      <c r="C11" s="17">
        <v>142.0</v>
      </c>
      <c r="D11" s="8"/>
      <c r="E11" s="8"/>
      <c r="F11" s="8"/>
      <c r="G11" s="8"/>
      <c r="H11" s="13" t="s">
        <v>27</v>
      </c>
      <c r="I11" s="21"/>
      <c r="J11" s="8"/>
      <c r="K11" s="8"/>
      <c r="L11" s="8"/>
      <c r="M11" s="2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3" t="s">
        <v>34</v>
      </c>
      <c r="B12" s="13" t="s">
        <v>35</v>
      </c>
      <c r="C12" s="21"/>
      <c r="D12" s="26" t="str">
        <f>IF(C11&gt;C13, B11, IF(C13&gt;C11, B13, IF(C13=C11, "") ))</f>
        <v>Farmington A</v>
      </c>
      <c r="E12" s="17">
        <v>64.0</v>
      </c>
      <c r="F12" s="8"/>
      <c r="G12" s="8"/>
      <c r="H12" s="8"/>
      <c r="I12" s="21"/>
      <c r="J12" s="8"/>
      <c r="K12" s="8"/>
      <c r="L12" s="8"/>
      <c r="M12" s="21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3">
        <v>6.0</v>
      </c>
      <c r="B13" s="15" t="s">
        <v>37</v>
      </c>
      <c r="C13" s="28">
        <v>50.0</v>
      </c>
      <c r="D13" s="8"/>
      <c r="E13" s="21"/>
      <c r="F13" s="8"/>
      <c r="G13" s="8"/>
      <c r="H13" s="8"/>
      <c r="I13" s="21"/>
      <c r="J13" s="8"/>
      <c r="K13" s="8"/>
      <c r="L13" s="8"/>
      <c r="M13" s="21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8"/>
      <c r="C14" s="8"/>
      <c r="D14" s="13" t="s">
        <v>31</v>
      </c>
      <c r="E14" s="21"/>
      <c r="F14" s="31" t="s">
        <v>29</v>
      </c>
      <c r="G14" s="32"/>
      <c r="H14" s="26" t="str">
        <f>IF(E12&gt;E16, D12, IF(E16&gt;E12, D16, IF(E12=E16, "") ))</f>
        <v>Amity A</v>
      </c>
      <c r="I14" s="28">
        <v>96.0</v>
      </c>
      <c r="J14" s="8"/>
      <c r="K14" s="8"/>
      <c r="L14" s="8"/>
      <c r="M14" s="21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3">
        <v>2.0</v>
      </c>
      <c r="B15" s="15" t="s">
        <v>39</v>
      </c>
      <c r="C15" s="17">
        <v>144.0</v>
      </c>
      <c r="D15" s="13" t="s">
        <v>35</v>
      </c>
      <c r="E15" s="21"/>
      <c r="F15" s="8"/>
      <c r="G15" s="8"/>
      <c r="H15" s="8"/>
      <c r="I15" s="8"/>
      <c r="J15" s="8"/>
      <c r="K15" s="8"/>
      <c r="L15" s="13" t="s">
        <v>26</v>
      </c>
      <c r="M15" s="21"/>
      <c r="N15" s="26" t="str">
        <f>IF(M10&gt;M20, L10, IF(M20&gt;M10, L20, IF(M20=M10, "") ))</f>
        <v>Amity A</v>
      </c>
      <c r="O15" s="46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3" t="s">
        <v>40</v>
      </c>
      <c r="B16" s="13" t="s">
        <v>41</v>
      </c>
      <c r="C16" s="21"/>
      <c r="D16" s="26" t="str">
        <f>IF(C15&gt;C17, B15, IF(C17&gt;C15, B17, IF(C17=C15, "") ))</f>
        <v>Amity A</v>
      </c>
      <c r="E16" s="28">
        <v>158.0</v>
      </c>
      <c r="F16" s="8"/>
      <c r="G16" s="8"/>
      <c r="H16" s="8"/>
      <c r="I16" s="8"/>
      <c r="J16" s="8"/>
      <c r="K16" s="8"/>
      <c r="L16" s="8"/>
      <c r="M16" s="21"/>
      <c r="N16" s="8"/>
      <c r="O16" s="4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3">
        <v>7.0</v>
      </c>
      <c r="B17" s="15" t="s">
        <v>42</v>
      </c>
      <c r="C17" s="28">
        <v>64.0</v>
      </c>
      <c r="D17" s="8"/>
      <c r="E17" s="8"/>
      <c r="F17" s="8"/>
      <c r="G17" s="8"/>
      <c r="H17" s="8"/>
      <c r="I17" s="8"/>
      <c r="J17" s="8"/>
      <c r="K17" s="8"/>
      <c r="L17" s="8"/>
      <c r="M17" s="21"/>
      <c r="N17" s="8"/>
      <c r="O17" s="4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50" t="str">
        <f>IF(I6&gt;I14,H14,IF(I14&gt;I6, H6, ""))</f>
        <v>Newtown</v>
      </c>
      <c r="K18" s="17">
        <v>86.0</v>
      </c>
      <c r="L18" s="8"/>
      <c r="M18" s="21"/>
      <c r="N18" s="8"/>
      <c r="O18" s="4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8"/>
      <c r="C19" s="8"/>
      <c r="D19" s="8"/>
      <c r="E19" s="8"/>
      <c r="F19" s="50" t="str">
        <f>IF(E4&gt;E8,D8,IF(E8&gt;E4, D4, ""))</f>
        <v>Greenwich A</v>
      </c>
      <c r="G19" s="17">
        <v>84.0</v>
      </c>
      <c r="H19" s="8"/>
      <c r="I19" s="13"/>
      <c r="J19" s="8"/>
      <c r="K19" s="21"/>
      <c r="L19" s="8"/>
      <c r="M19" s="21"/>
      <c r="N19" s="8"/>
      <c r="O19" s="4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8"/>
      <c r="C20" s="8"/>
      <c r="D20" s="15" t="str">
        <f>IF(D4=B3,B5,IF(D4=B5, B3, ""))</f>
        <v>Joel Barlow</v>
      </c>
      <c r="E20" s="17">
        <v>52.0</v>
      </c>
      <c r="F20" s="13" t="s">
        <v>44</v>
      </c>
      <c r="G20" s="21"/>
      <c r="H20" s="15" t="str">
        <f>IF(G19&gt;G21, F19, IF(G21&gt;G19, F21, IF(G19=G21, "") ))</f>
        <v>Greenwich A</v>
      </c>
      <c r="I20" s="17">
        <v>36.0</v>
      </c>
      <c r="J20" s="13" t="s">
        <v>26</v>
      </c>
      <c r="K20" s="21"/>
      <c r="L20" s="26" t="str">
        <f>IF(K18&gt;K22, J18, IF(K22&gt;K18, J22, IF(K18=K22, "") ))</f>
        <v>Newtown</v>
      </c>
      <c r="M20" s="28">
        <v>54.0</v>
      </c>
      <c r="N20" s="13" t="s">
        <v>26</v>
      </c>
      <c r="O20" s="48"/>
      <c r="P20" s="26" t="str">
        <f>IF(O25&gt;O15, N25, IF(O15&gt;O25, N15, IF(O25=O15, "") ))</f>
        <v/>
      </c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8"/>
      <c r="C21" s="8"/>
      <c r="D21" s="13" t="s">
        <v>46</v>
      </c>
      <c r="E21" s="21"/>
      <c r="F21" s="26" t="str">
        <f>IF(E20&gt;E22, D20, IF(E22&gt;E20, D22, IF(E22=E20, "") ))</f>
        <v>Glastonbury A</v>
      </c>
      <c r="G21" s="28">
        <v>56.0</v>
      </c>
      <c r="H21" s="8"/>
      <c r="I21" s="21"/>
      <c r="J21" s="13" t="s">
        <v>47</v>
      </c>
      <c r="K21" s="21"/>
      <c r="L21" s="8"/>
      <c r="M21" s="8"/>
      <c r="N21" s="8"/>
      <c r="O21" s="4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8"/>
      <c r="C22" s="8"/>
      <c r="D22" s="26" t="str">
        <f>IF(D8=B7,B9,IF(D8=B9, B7, ""))</f>
        <v>Glastonbury A</v>
      </c>
      <c r="E22" s="28">
        <v>98.0</v>
      </c>
      <c r="F22" s="8"/>
      <c r="G22" s="8"/>
      <c r="H22" s="13" t="s">
        <v>49</v>
      </c>
      <c r="I22" s="21"/>
      <c r="J22" s="26" t="str">
        <f>IF(I20&gt;I24, H20, IF(I24&gt;I20, H24, IF(I20=I24, "") ))</f>
        <v>Farmington A</v>
      </c>
      <c r="K22" s="28">
        <v>62.0</v>
      </c>
      <c r="L22" s="8"/>
      <c r="M22" s="8"/>
      <c r="N22" s="8"/>
      <c r="O22" s="4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63" t="s">
        <v>51</v>
      </c>
      <c r="C23" s="8"/>
      <c r="D23" s="8"/>
      <c r="E23" s="8"/>
      <c r="F23" s="50" t="str">
        <f>IF(E12&gt;E16,D16,IF(E16&gt;E12, D12, ""))</f>
        <v>Farmington A</v>
      </c>
      <c r="G23" s="17">
        <v>116.0</v>
      </c>
      <c r="H23" s="8"/>
      <c r="I23" s="21"/>
      <c r="J23" s="8"/>
      <c r="K23" s="8"/>
      <c r="L23" s="8"/>
      <c r="M23" s="8"/>
      <c r="N23" s="8"/>
      <c r="O23" s="4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26" t="str">
        <f>IF(D12=B11,B13,IF(D12=B13, B11, ""))</f>
        <v>Hopkins</v>
      </c>
      <c r="E24" s="17">
        <v>80.0</v>
      </c>
      <c r="F24" s="13" t="s">
        <v>54</v>
      </c>
      <c r="G24" s="21"/>
      <c r="H24" s="26" t="str">
        <f>IF(G23&gt;G25, F23, IF(G25&gt;G23, F25, IF(G23=G25, "") ))</f>
        <v>Farmington A</v>
      </c>
      <c r="I24" s="28">
        <v>76.0</v>
      </c>
      <c r="J24" s="8"/>
      <c r="K24" s="8"/>
      <c r="L24" s="8"/>
      <c r="M24" s="8"/>
      <c r="N24" s="8"/>
      <c r="O24" s="4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13" t="s">
        <v>57</v>
      </c>
      <c r="E25" s="21"/>
      <c r="F25" s="26" t="str">
        <f>IF(E24&gt;E26, D24, IF(E26&gt;E24, D26, IF(E26=E24, "") ))</f>
        <v>Staples </v>
      </c>
      <c r="G25" s="28">
        <v>58.0</v>
      </c>
      <c r="H25" s="8"/>
      <c r="I25" s="8"/>
      <c r="J25" s="8"/>
      <c r="K25" s="8"/>
      <c r="L25" s="8"/>
      <c r="M25" s="8"/>
      <c r="N25" s="74" t="str">
        <f>IF(M20&gt;M10, L10, "")</f>
        <v/>
      </c>
      <c r="O25" s="75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26" t="str">
        <f>IF(D16=B15,B17,IF(D16=B17, B15, ""))</f>
        <v>Staples </v>
      </c>
      <c r="E26" s="28">
        <v>126.0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63" t="s">
        <v>59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3"/>
      <c r="B32" s="8"/>
      <c r="C32" s="8"/>
      <c r="D32" s="26" t="str">
        <f>IF(C31&gt;C33, B31, IF(C33&gt;C31, B33, IF(C33=C31, "") ))</f>
        <v>University</v>
      </c>
      <c r="E32" s="17">
        <v>80.0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3">
        <v>3.0</v>
      </c>
      <c r="B33" s="15" t="s">
        <v>62</v>
      </c>
      <c r="C33" s="28">
        <v>1.0</v>
      </c>
      <c r="D33" s="8"/>
      <c r="E33" s="2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13" t="s">
        <v>65</v>
      </c>
      <c r="E34" s="21"/>
      <c r="F34" s="26" t="str">
        <f>IF(E32&gt;E36, D32, IF(E36&gt;E32, D36, IF(E36=E32, "") ))</f>
        <v>University</v>
      </c>
      <c r="G34" s="17">
        <v>54.0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3">
        <v>6.0</v>
      </c>
      <c r="B35" s="15" t="s">
        <v>64</v>
      </c>
      <c r="C35" s="17">
        <v>38.0</v>
      </c>
      <c r="D35" s="13" t="s">
        <v>67</v>
      </c>
      <c r="E35" s="21"/>
      <c r="F35" s="8"/>
      <c r="G35" s="2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3" t="s">
        <v>68</v>
      </c>
      <c r="B36" s="13" t="s">
        <v>67</v>
      </c>
      <c r="C36" s="21"/>
      <c r="D36" s="26" t="str">
        <f>IF(C35&gt;C37, B35, IF(C37&gt;C35, B37, IF(C37=C35, "") ))</f>
        <v>Glastonbury B</v>
      </c>
      <c r="E36" s="28">
        <v>38.0</v>
      </c>
      <c r="F36" s="8"/>
      <c r="G36" s="2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3">
        <v>11.0</v>
      </c>
      <c r="B37" s="15" t="s">
        <v>53</v>
      </c>
      <c r="C37" s="28">
        <v>18.0</v>
      </c>
      <c r="D37" s="8"/>
      <c r="E37" s="8"/>
      <c r="F37" s="8"/>
      <c r="G37" s="2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13" t="s">
        <v>70</v>
      </c>
      <c r="G38" s="21"/>
      <c r="H38" s="26" t="str">
        <f>IF(G34&gt;G42, F34, IF(G42&gt;G34, F42, IF(G34=G42, "") ))</f>
        <v>Greenwich B</v>
      </c>
      <c r="I38" s="17">
        <v>68.0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3">
        <v>7.0</v>
      </c>
      <c r="B39" s="15" t="s">
        <v>48</v>
      </c>
      <c r="C39" s="17">
        <v>16.0</v>
      </c>
      <c r="D39" s="8"/>
      <c r="E39" s="8"/>
      <c r="F39" s="13" t="s">
        <v>32</v>
      </c>
      <c r="G39" s="21"/>
      <c r="H39" s="8"/>
      <c r="I39" s="2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3" t="s">
        <v>72</v>
      </c>
      <c r="B40" s="13" t="s">
        <v>73</v>
      </c>
      <c r="C40" s="21"/>
      <c r="D40" s="26" t="str">
        <f>IF(C39&gt;C41, B39, IF(C41&gt;C39, B41, IF(C41=C39, "") ))</f>
        <v>Fairfield Warde</v>
      </c>
      <c r="E40" s="17">
        <v>8.0</v>
      </c>
      <c r="F40" s="8"/>
      <c r="G40" s="21"/>
      <c r="H40" s="8"/>
      <c r="I40" s="2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3">
        <v>10.0</v>
      </c>
      <c r="B41" s="15" t="s">
        <v>56</v>
      </c>
      <c r="C41" s="28">
        <v>114.0</v>
      </c>
      <c r="D41" s="8"/>
      <c r="E41" s="21"/>
      <c r="F41" s="8"/>
      <c r="G41" s="21"/>
      <c r="H41" s="8"/>
      <c r="I41" s="2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13" t="s">
        <v>76</v>
      </c>
      <c r="E42" s="21"/>
      <c r="F42" s="26" t="str">
        <f>IF(E40&gt;E44, D40, IF(E44&gt;E40, D44, IF(E44=E40, "") ))</f>
        <v>Greenwich B</v>
      </c>
      <c r="G42" s="28">
        <v>102.0</v>
      </c>
      <c r="H42" s="8"/>
      <c r="I42" s="2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3">
        <v>13.0</v>
      </c>
      <c r="B43" s="15" t="s">
        <v>69</v>
      </c>
      <c r="C43" s="17">
        <v>0.0</v>
      </c>
      <c r="D43" s="13" t="s">
        <v>77</v>
      </c>
      <c r="E43" s="21"/>
      <c r="F43" s="8"/>
      <c r="G43" s="8"/>
      <c r="H43" s="8"/>
      <c r="I43" s="2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3" t="s">
        <v>78</v>
      </c>
      <c r="B44" s="13" t="s">
        <v>79</v>
      </c>
      <c r="C44" s="21"/>
      <c r="D44" s="26" t="str">
        <f>IF(C43&gt;C45, B43, IF(C45&gt;C43, B45, IF(C45=C43, "") ))</f>
        <v>Greenwich B</v>
      </c>
      <c r="E44" s="28">
        <v>210.0</v>
      </c>
      <c r="F44" s="8"/>
      <c r="G44" s="8"/>
      <c r="H44" s="8"/>
      <c r="I44" s="21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3">
        <v>2.0</v>
      </c>
      <c r="B45" s="77" t="s">
        <v>60</v>
      </c>
      <c r="C45" s="28">
        <v>180.0</v>
      </c>
      <c r="D45" s="8"/>
      <c r="E45" s="8"/>
      <c r="F45" s="8"/>
      <c r="G45" s="8"/>
      <c r="H45" s="8"/>
      <c r="I45" s="21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13" t="s">
        <v>81</v>
      </c>
      <c r="I46" s="21"/>
      <c r="J46" s="26" t="str">
        <f>IF(I38&gt;I54, H38, IF(I54&gt;I38, H54, IF(I38=I54, "") ))</f>
        <v>Shendehowa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3">
        <v>1.0</v>
      </c>
      <c r="B47" s="77" t="s">
        <v>90</v>
      </c>
      <c r="C47" s="17">
        <v>176.0</v>
      </c>
      <c r="D47" s="8"/>
      <c r="E47" s="8"/>
      <c r="F47" s="8"/>
      <c r="G47" s="8"/>
      <c r="H47" s="13" t="s">
        <v>32</v>
      </c>
      <c r="I47" s="2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3" t="s">
        <v>76</v>
      </c>
      <c r="B48" s="13" t="s">
        <v>96</v>
      </c>
      <c r="C48" s="21"/>
      <c r="D48" s="26" t="str">
        <f>IF(C47&gt;C49, B47, IF(C49&gt;C47, B49, IF(C49=C47, "") ))</f>
        <v>Shendehowa</v>
      </c>
      <c r="E48" s="17">
        <v>164.0</v>
      </c>
      <c r="F48" s="8"/>
      <c r="G48" s="8"/>
      <c r="H48" s="8"/>
      <c r="I48" s="21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3">
        <v>14.0</v>
      </c>
      <c r="B49" s="15" t="s">
        <v>80</v>
      </c>
      <c r="C49" s="28">
        <v>50.0</v>
      </c>
      <c r="D49" s="8"/>
      <c r="E49" s="21"/>
      <c r="F49" s="8"/>
      <c r="G49" s="8"/>
      <c r="H49" s="8"/>
      <c r="I49" s="21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13" t="s">
        <v>98</v>
      </c>
      <c r="E50" s="21"/>
      <c r="F50" s="26" t="str">
        <f>IF(E48&gt;E52, D48, IF(E52&gt;E48, D52, IF(E52=E48, "") ))</f>
        <v>Shendehowa</v>
      </c>
      <c r="G50" s="17">
        <v>192.0</v>
      </c>
      <c r="H50" s="8"/>
      <c r="I50" s="21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3">
        <v>8.0</v>
      </c>
      <c r="B51" s="15" t="s">
        <v>74</v>
      </c>
      <c r="C51" s="17">
        <v>66.0</v>
      </c>
      <c r="D51" s="13" t="s">
        <v>96</v>
      </c>
      <c r="E51" s="21"/>
      <c r="F51" s="8"/>
      <c r="G51" s="21"/>
      <c r="H51" s="8"/>
      <c r="I51" s="21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3" t="s">
        <v>98</v>
      </c>
      <c r="B52" s="13" t="s">
        <v>99</v>
      </c>
      <c r="C52" s="21"/>
      <c r="D52" s="26" t="str">
        <f>IF(C51&gt;C53, B51, IF(C53&gt;C51, B53, IF(C53=C51, "") ))</f>
        <v>South Windsor</v>
      </c>
      <c r="E52" s="28">
        <v>56.0</v>
      </c>
      <c r="F52" s="8"/>
      <c r="G52" s="21"/>
      <c r="H52" s="8"/>
      <c r="I52" s="21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3">
        <v>9.0</v>
      </c>
      <c r="B53" s="15" t="s">
        <v>61</v>
      </c>
      <c r="C53" s="28">
        <v>44.0</v>
      </c>
      <c r="D53" s="8"/>
      <c r="E53" s="8"/>
      <c r="F53" s="8"/>
      <c r="G53" s="21"/>
      <c r="H53" s="8"/>
      <c r="I53" s="21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13" t="s">
        <v>40</v>
      </c>
      <c r="G54" s="21"/>
      <c r="H54" s="26" t="str">
        <f>IF(G50&gt;G58, F50, IF(G58&gt;G50, F58, IF(G50=G58, "") ))</f>
        <v>Shendehowa</v>
      </c>
      <c r="I54" s="28">
        <v>108.0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3">
        <v>5.0</v>
      </c>
      <c r="B55" s="15" t="s">
        <v>43</v>
      </c>
      <c r="C55" s="17">
        <v>54.0</v>
      </c>
      <c r="D55" s="8"/>
      <c r="E55" s="8"/>
      <c r="F55" s="13" t="s">
        <v>79</v>
      </c>
      <c r="G55" s="2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3" t="s">
        <v>65</v>
      </c>
      <c r="B56" s="13" t="s">
        <v>77</v>
      </c>
      <c r="C56" s="21"/>
      <c r="D56" s="26" t="str">
        <f>IF(C55&gt;C57, B55, IF(C57&gt;C55, B57, IF(C57=C55, "") ))</f>
        <v>Kingswood Oxford</v>
      </c>
      <c r="E56" s="17">
        <v>66.0</v>
      </c>
      <c r="F56" s="8"/>
      <c r="G56" s="2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3">
        <v>12.0</v>
      </c>
      <c r="B57" s="15" t="s">
        <v>50</v>
      </c>
      <c r="C57" s="28">
        <v>66.0</v>
      </c>
      <c r="D57" s="8"/>
      <c r="E57" s="21"/>
      <c r="F57" s="8"/>
      <c r="G57" s="2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13" t="s">
        <v>78</v>
      </c>
      <c r="E58" s="21"/>
      <c r="F58" s="26" t="str">
        <f>IF(E56&gt;E60, D56, IF(E60&gt;E56, D60, IF(E60=E56, "") ))</f>
        <v>Kingswood Oxford</v>
      </c>
      <c r="G58" s="28">
        <v>44.0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3">
        <v>4.0</v>
      </c>
      <c r="B59" s="15" t="s">
        <v>66</v>
      </c>
      <c r="C59" s="17">
        <v>1.0</v>
      </c>
      <c r="D59" s="13" t="s">
        <v>73</v>
      </c>
      <c r="E59" s="21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3"/>
      <c r="B60" s="8"/>
      <c r="C60" s="21"/>
      <c r="D60" s="26" t="str">
        <f>IF(C59&gt;C61, B59, IF(C61&gt;C59, B61, IF(C61=C59, "") ))</f>
        <v>New Canaan</v>
      </c>
      <c r="E60" s="28">
        <v>56.0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7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7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10">
    <mergeCell ref="J1:K1"/>
    <mergeCell ref="J10:K10"/>
    <mergeCell ref="F14:G14"/>
    <mergeCell ref="B1:C1"/>
    <mergeCell ref="D1:E1"/>
    <mergeCell ref="F1:G1"/>
    <mergeCell ref="H1:I1"/>
    <mergeCell ref="L1:M1"/>
    <mergeCell ref="N1:O1"/>
    <mergeCell ref="F6:G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8.88"/>
    <col customWidth="1" min="3" max="10" width="7.63"/>
  </cols>
  <sheetData>
    <row r="1">
      <c r="B1" s="2" t="s">
        <v>0</v>
      </c>
      <c r="C1" s="5" t="s">
        <v>3</v>
      </c>
      <c r="G1" s="5" t="s">
        <v>9</v>
      </c>
    </row>
    <row r="2">
      <c r="C2" s="2" t="s">
        <v>12</v>
      </c>
      <c r="D2" s="2" t="s">
        <v>13</v>
      </c>
      <c r="E2" s="2" t="s">
        <v>14</v>
      </c>
      <c r="F2" s="2" t="s">
        <v>15</v>
      </c>
      <c r="G2" s="2" t="s">
        <v>12</v>
      </c>
      <c r="H2" s="2" t="s">
        <v>13</v>
      </c>
      <c r="I2" s="2" t="s">
        <v>14</v>
      </c>
      <c r="J2" s="2" t="s">
        <v>15</v>
      </c>
    </row>
    <row r="3">
      <c r="B3" s="2">
        <v>1.0</v>
      </c>
      <c r="C3" s="9"/>
      <c r="D3" s="11"/>
      <c r="E3" s="11"/>
      <c r="F3" s="22">
        <f>SUM(4*C3+10*E3+4*H3)</f>
        <v>0</v>
      </c>
      <c r="G3" s="23"/>
      <c r="H3" s="24"/>
      <c r="I3" s="24"/>
      <c r="J3" s="25">
        <f>SUM(4*G3+10*I3+4*D3)</f>
        <v>0</v>
      </c>
    </row>
    <row r="4">
      <c r="B4" s="2">
        <v>2.0</v>
      </c>
      <c r="C4" s="27"/>
      <c r="F4" s="29">
        <f t="shared" ref="F4:F25" si="1">SUM(4*C4+10*E4+4*H4+F3)</f>
        <v>0</v>
      </c>
      <c r="G4" s="30"/>
      <c r="J4" s="33">
        <f t="shared" ref="J4:J25" si="2">SUM(4*G4+10*I4+4*D4+J3)</f>
        <v>0</v>
      </c>
    </row>
    <row r="5">
      <c r="B5" s="2">
        <v>3.0</v>
      </c>
      <c r="C5" s="27"/>
      <c r="F5" s="29">
        <f t="shared" si="1"/>
        <v>0</v>
      </c>
      <c r="G5" s="27"/>
      <c r="J5" s="33">
        <f t="shared" si="2"/>
        <v>0</v>
      </c>
    </row>
    <row r="6">
      <c r="B6" s="2">
        <v>4.0</v>
      </c>
      <c r="C6" s="27"/>
      <c r="F6" s="29">
        <f t="shared" si="1"/>
        <v>0</v>
      </c>
      <c r="G6" s="27"/>
      <c r="J6" s="33">
        <f t="shared" si="2"/>
        <v>0</v>
      </c>
    </row>
    <row r="7">
      <c r="B7" s="2">
        <v>5.0</v>
      </c>
      <c r="C7" s="27"/>
      <c r="F7" s="29">
        <f t="shared" si="1"/>
        <v>0</v>
      </c>
      <c r="G7" s="27"/>
      <c r="J7" s="33">
        <f t="shared" si="2"/>
        <v>0</v>
      </c>
    </row>
    <row r="8">
      <c r="B8" s="2">
        <v>6.0</v>
      </c>
      <c r="C8" s="27"/>
      <c r="F8" s="29">
        <f t="shared" si="1"/>
        <v>0</v>
      </c>
      <c r="G8" s="27"/>
      <c r="J8" s="33">
        <f t="shared" si="2"/>
        <v>0</v>
      </c>
    </row>
    <row r="9">
      <c r="B9" s="2">
        <v>7.0</v>
      </c>
      <c r="C9" s="27"/>
      <c r="F9" s="29">
        <f t="shared" si="1"/>
        <v>0</v>
      </c>
      <c r="G9" s="27"/>
      <c r="J9" s="33">
        <f t="shared" si="2"/>
        <v>0</v>
      </c>
    </row>
    <row r="10">
      <c r="B10" s="2">
        <v>8.0</v>
      </c>
      <c r="C10" s="27"/>
      <c r="F10" s="34">
        <f t="shared" si="1"/>
        <v>0</v>
      </c>
      <c r="G10" s="27"/>
      <c r="J10" s="35">
        <f t="shared" si="2"/>
        <v>0</v>
      </c>
    </row>
    <row r="11">
      <c r="B11" s="2">
        <v>9.0</v>
      </c>
      <c r="C11" s="27"/>
      <c r="F11" s="29">
        <f t="shared" si="1"/>
        <v>0</v>
      </c>
      <c r="G11" s="27"/>
      <c r="J11" s="33">
        <f t="shared" si="2"/>
        <v>0</v>
      </c>
    </row>
    <row r="12">
      <c r="B12" s="2">
        <v>10.0</v>
      </c>
      <c r="C12" s="27"/>
      <c r="F12" s="29">
        <f t="shared" si="1"/>
        <v>0</v>
      </c>
      <c r="G12" s="27"/>
      <c r="J12" s="33">
        <f t="shared" si="2"/>
        <v>0</v>
      </c>
    </row>
    <row r="13">
      <c r="B13" s="2">
        <v>11.0</v>
      </c>
      <c r="C13" s="27"/>
      <c r="F13" s="29">
        <f t="shared" si="1"/>
        <v>0</v>
      </c>
      <c r="G13" s="27"/>
      <c r="J13" s="33">
        <f t="shared" si="2"/>
        <v>0</v>
      </c>
    </row>
    <row r="14">
      <c r="B14" s="2">
        <v>12.0</v>
      </c>
      <c r="C14" s="27"/>
      <c r="F14" s="29">
        <f t="shared" si="1"/>
        <v>0</v>
      </c>
      <c r="G14" s="27"/>
      <c r="J14" s="33">
        <f t="shared" si="2"/>
        <v>0</v>
      </c>
    </row>
    <row r="15">
      <c r="B15" s="2">
        <v>13.0</v>
      </c>
      <c r="C15" s="27"/>
      <c r="F15" s="29">
        <f t="shared" si="1"/>
        <v>0</v>
      </c>
      <c r="G15" s="27"/>
      <c r="J15" s="33">
        <f t="shared" si="2"/>
        <v>0</v>
      </c>
    </row>
    <row r="16">
      <c r="B16" s="2">
        <v>14.0</v>
      </c>
      <c r="C16" s="27"/>
      <c r="F16" s="34">
        <f t="shared" si="1"/>
        <v>0</v>
      </c>
      <c r="G16" s="27"/>
      <c r="J16" s="35">
        <f t="shared" si="2"/>
        <v>0</v>
      </c>
    </row>
    <row r="17">
      <c r="B17" s="2">
        <v>15.0</v>
      </c>
      <c r="C17" s="27"/>
      <c r="F17" s="29">
        <f t="shared" si="1"/>
        <v>0</v>
      </c>
      <c r="G17" s="27"/>
      <c r="J17" s="33">
        <f t="shared" si="2"/>
        <v>0</v>
      </c>
    </row>
    <row r="18">
      <c r="B18" s="2">
        <v>16.0</v>
      </c>
      <c r="C18" s="27"/>
      <c r="F18" s="29">
        <f t="shared" si="1"/>
        <v>0</v>
      </c>
      <c r="G18" s="27"/>
      <c r="J18" s="33">
        <f t="shared" si="2"/>
        <v>0</v>
      </c>
    </row>
    <row r="19">
      <c r="B19" s="2">
        <v>17.0</v>
      </c>
      <c r="C19" s="27"/>
      <c r="F19" s="29">
        <f t="shared" si="1"/>
        <v>0</v>
      </c>
      <c r="G19" s="27"/>
      <c r="J19" s="33">
        <f t="shared" si="2"/>
        <v>0</v>
      </c>
    </row>
    <row r="20">
      <c r="B20" s="2">
        <v>18.0</v>
      </c>
      <c r="C20" s="27"/>
      <c r="F20" s="29">
        <f t="shared" si="1"/>
        <v>0</v>
      </c>
      <c r="G20" s="27"/>
      <c r="J20" s="33">
        <f t="shared" si="2"/>
        <v>0</v>
      </c>
    </row>
    <row r="21">
      <c r="B21" s="2">
        <v>19.0</v>
      </c>
      <c r="C21" s="27"/>
      <c r="F21" s="29">
        <f t="shared" si="1"/>
        <v>0</v>
      </c>
      <c r="G21" s="27"/>
      <c r="J21" s="33">
        <f t="shared" si="2"/>
        <v>0</v>
      </c>
    </row>
    <row r="22">
      <c r="B22" s="2">
        <v>20.0</v>
      </c>
      <c r="C22" s="27"/>
      <c r="F22" s="29">
        <f t="shared" si="1"/>
        <v>0</v>
      </c>
      <c r="G22" s="27"/>
      <c r="J22" s="33">
        <f t="shared" si="2"/>
        <v>0</v>
      </c>
    </row>
    <row r="23">
      <c r="B23" s="2">
        <v>21.0</v>
      </c>
      <c r="C23" s="27"/>
      <c r="F23" s="29">
        <f t="shared" si="1"/>
        <v>0</v>
      </c>
      <c r="G23" s="27"/>
      <c r="J23" s="33">
        <f t="shared" si="2"/>
        <v>0</v>
      </c>
    </row>
    <row r="24">
      <c r="B24" s="2">
        <v>22.0</v>
      </c>
      <c r="C24" s="27"/>
      <c r="F24" s="29">
        <f t="shared" si="1"/>
        <v>0</v>
      </c>
      <c r="G24" s="27"/>
      <c r="J24" s="33">
        <f t="shared" si="2"/>
        <v>0</v>
      </c>
    </row>
    <row r="25">
      <c r="B25" s="2">
        <v>23.0</v>
      </c>
      <c r="C25" s="37"/>
      <c r="D25" s="38"/>
      <c r="E25" s="38"/>
      <c r="F25" s="39">
        <f t="shared" si="1"/>
        <v>0</v>
      </c>
      <c r="G25" s="37"/>
      <c r="H25" s="38"/>
      <c r="I25" s="38"/>
      <c r="J25" s="40">
        <f t="shared" si="2"/>
        <v>0</v>
      </c>
    </row>
    <row r="26">
      <c r="B26" s="2" t="s">
        <v>36</v>
      </c>
      <c r="C26" s="43" t="str">
        <f> IF(F25&gt;J25,C1,IF(F25=J25,"T I E", IF(F25&lt;J25,G1)))</f>
        <v>T I E</v>
      </c>
    </row>
  </sheetData>
  <mergeCells count="3">
    <mergeCell ref="C1:F1"/>
    <mergeCell ref="G1:J1"/>
    <mergeCell ref="C26:J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