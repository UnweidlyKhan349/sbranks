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" sheetId="1" r:id="rId5"/>
    <sheet state="visible" name="Double Elimination" sheetId="2" r:id="rId6"/>
  </sheets>
  <definedNames/>
  <calcPr/>
</workbook>
</file>

<file path=xl/sharedStrings.xml><?xml version="1.0" encoding="utf-8"?>
<sst xmlns="http://schemas.openxmlformats.org/spreadsheetml/2006/main" count="299" uniqueCount="185">
  <si>
    <t>ARTIN DIVISION</t>
  </si>
  <si>
    <t>SCHOOL</t>
  </si>
  <si>
    <t>TEAM ID</t>
  </si>
  <si>
    <t>vs. 1</t>
  </si>
  <si>
    <t>vs. 2</t>
  </si>
  <si>
    <t>vs. 3</t>
  </si>
  <si>
    <t>vs. 4</t>
  </si>
  <si>
    <t>vs. 5</t>
  </si>
  <si>
    <t>TOTAL</t>
  </si>
  <si>
    <t>RANK</t>
  </si>
  <si>
    <t>Overall statistics</t>
  </si>
  <si>
    <t>NCSSM</t>
  </si>
  <si>
    <t>A1</t>
  </si>
  <si>
    <t>Round</t>
  </si>
  <si>
    <t>Average Score</t>
  </si>
  <si>
    <t>Median Score</t>
  </si>
  <si>
    <t>Average score of winner</t>
  </si>
  <si>
    <t>Maximum score</t>
  </si>
  <si>
    <t>Iolani School</t>
  </si>
  <si>
    <t>A2</t>
  </si>
  <si>
    <t>RR</t>
  </si>
  <si>
    <t>Whitney High School</t>
  </si>
  <si>
    <t>A3</t>
  </si>
  <si>
    <t>John P. Stevens</t>
  </si>
  <si>
    <t>A4</t>
  </si>
  <si>
    <t>Farmington High School</t>
  </si>
  <si>
    <t>A5</t>
  </si>
  <si>
    <t>DE</t>
  </si>
  <si>
    <t>CHOMSKY DIVISION</t>
  </si>
  <si>
    <t>Portola High School</t>
  </si>
  <si>
    <t>C1</t>
  </si>
  <si>
    <t>WM ScioBowl</t>
  </si>
  <si>
    <t>C2</t>
  </si>
  <si>
    <t>Fairfield Warde High School</t>
  </si>
  <si>
    <t>C3</t>
  </si>
  <si>
    <t>Clements High School</t>
  </si>
  <si>
    <t>C4</t>
  </si>
  <si>
    <t>Interlake High School</t>
  </si>
  <si>
    <t>C5</t>
  </si>
  <si>
    <t>DUFLO DIVISION</t>
  </si>
  <si>
    <t>Stuyvesant</t>
  </si>
  <si>
    <t>D1</t>
  </si>
  <si>
    <t>Beltway Blazers</t>
  </si>
  <si>
    <t>D2</t>
  </si>
  <si>
    <t>Billerica Memorial High School</t>
  </si>
  <si>
    <t>D3</t>
  </si>
  <si>
    <t>won tiebreak</t>
  </si>
  <si>
    <t>Science Academy</t>
  </si>
  <si>
    <t>D4</t>
  </si>
  <si>
    <t>North Hollywood</t>
  </si>
  <si>
    <t>D5</t>
  </si>
  <si>
    <t>KETTERLE DIVISION</t>
  </si>
  <si>
    <t>Brookfield Central</t>
  </si>
  <si>
    <t>K1</t>
  </si>
  <si>
    <t>Dulles</t>
  </si>
  <si>
    <t>K2</t>
  </si>
  <si>
    <t>Bethlehem</t>
  </si>
  <si>
    <t>K3</t>
  </si>
  <si>
    <t>Davidson</t>
  </si>
  <si>
    <t>K4</t>
  </si>
  <si>
    <t>Palo Alto High School</t>
  </si>
  <si>
    <t>K5</t>
  </si>
  <si>
    <t>LANDER DIVISION</t>
  </si>
  <si>
    <t>Princeton International School of Mathematics and Science</t>
  </si>
  <si>
    <t>L1</t>
  </si>
  <si>
    <t>Morgantown High School</t>
  </si>
  <si>
    <t>L2</t>
  </si>
  <si>
    <t>Walton High School</t>
  </si>
  <si>
    <t>L3</t>
  </si>
  <si>
    <t>AMSA</t>
  </si>
  <si>
    <t>L4</t>
  </si>
  <si>
    <t>University High School</t>
  </si>
  <si>
    <t>L5</t>
  </si>
  <si>
    <t>MONIZ DIVISION</t>
  </si>
  <si>
    <t>Ames High School</t>
  </si>
  <si>
    <t>M1</t>
  </si>
  <si>
    <t>Nashua High School - South</t>
  </si>
  <si>
    <t>M2</t>
  </si>
  <si>
    <t>Mass Academy</t>
  </si>
  <si>
    <t>M3</t>
  </si>
  <si>
    <t>Mira Loma High School</t>
  </si>
  <si>
    <t>M4</t>
  </si>
  <si>
    <t>Newtown</t>
  </si>
  <si>
    <t>M5</t>
  </si>
  <si>
    <t>RIVEST DIVISION</t>
  </si>
  <si>
    <t>Franklin Regional Senior High School</t>
  </si>
  <si>
    <t>R1</t>
  </si>
  <si>
    <t>Eastside</t>
  </si>
  <si>
    <t>R2</t>
  </si>
  <si>
    <t>Foothill High School</t>
  </si>
  <si>
    <t>R3</t>
  </si>
  <si>
    <t>Ardsley High School</t>
  </si>
  <si>
    <t>R4</t>
  </si>
  <si>
    <t>LHS</t>
  </si>
  <si>
    <t>R5</t>
  </si>
  <si>
    <t>SADOWAY DIVISION</t>
  </si>
  <si>
    <t>Arcadia</t>
  </si>
  <si>
    <t>S1</t>
  </si>
  <si>
    <t>Buchholz</t>
  </si>
  <si>
    <t>S2</t>
  </si>
  <si>
    <t>Centerville</t>
  </si>
  <si>
    <t>S3</t>
  </si>
  <si>
    <t>Boston Latin School</t>
  </si>
  <si>
    <t>S4</t>
  </si>
  <si>
    <t>Tesla STEM</t>
  </si>
  <si>
    <t>S5</t>
  </si>
  <si>
    <t>ROUND SIX</t>
  </si>
  <si>
    <t>ROUND SEVEN</t>
  </si>
  <si>
    <t>ROUND EIGHT</t>
  </si>
  <si>
    <t>ROUND NINE</t>
  </si>
  <si>
    <t>ROUND TEN</t>
  </si>
  <si>
    <t>ROUND ELEVEN</t>
  </si>
  <si>
    <t>ROUND TWELVE</t>
  </si>
  <si>
    <t>ROUND THIRTEEN</t>
  </si>
  <si>
    <t>CHAMPION!!!</t>
  </si>
  <si>
    <t>1:30 P.M. - 2:00 P.M.</t>
  </si>
  <si>
    <t>2:00 P.M. - 2:30 P.M.</t>
  </si>
  <si>
    <t>2:30 P.M. - 3:00 P.M.</t>
  </si>
  <si>
    <t>3:00 P.M. - 3:30 P.M.</t>
  </si>
  <si>
    <t>3:30 P.M. - 4:00 P.M.</t>
  </si>
  <si>
    <t>4:00 P.M. - 4:30 P.M.</t>
  </si>
  <si>
    <t>4:30 P.M. - 5:00 P.M.</t>
  </si>
  <si>
    <t>5:00 P.M. - 5:30 P.M.</t>
  </si>
  <si>
    <t>16 Teams Remaining</t>
  </si>
  <si>
    <t>12 Teams Remaining</t>
  </si>
  <si>
    <t>8 Teams Remaining</t>
  </si>
  <si>
    <t>6 Teams Remaining</t>
  </si>
  <si>
    <t>4 Teams Remaining</t>
  </si>
  <si>
    <t>3 Teams Remaining</t>
  </si>
  <si>
    <t>2 Teams Remaining</t>
  </si>
  <si>
    <t>1 Or 2 Teams Remaining</t>
  </si>
  <si>
    <t>1ST PLACE:</t>
  </si>
  <si>
    <t>In double elimination, team A is the team listed higher in this spreadsheet.</t>
  </si>
  <si>
    <t>2ND PLACE:</t>
  </si>
  <si>
    <t>3RD PLACE:</t>
  </si>
  <si>
    <t>4TH PLACE:</t>
  </si>
  <si>
    <t>Artin - 1st</t>
  </si>
  <si>
    <t>30 – 84</t>
  </si>
  <si>
    <t>Chomsky - 1st</t>
  </si>
  <si>
    <t>48 – 80</t>
  </si>
  <si>
    <t>Duflo - 1st</t>
  </si>
  <si>
    <t>114 – 36</t>
  </si>
  <si>
    <t>Ketterle - 1st</t>
  </si>
  <si>
    <t>96 – 72</t>
  </si>
  <si>
    <t>Lander - 1st</t>
  </si>
  <si>
    <t>32 – 66</t>
  </si>
  <si>
    <t>Moniz - 1st</t>
  </si>
  <si>
    <t>122 – 42</t>
  </si>
  <si>
    <t>Rivest - 1st</t>
  </si>
  <si>
    <t>128 – 34</t>
  </si>
  <si>
    <t>84 - 42</t>
  </si>
  <si>
    <t>Sadoway - 1st</t>
  </si>
  <si>
    <t>L(DE 4)</t>
  </si>
  <si>
    <t>L(DE 9)</t>
  </si>
  <si>
    <t>DE 23 (livestreamed)</t>
  </si>
  <si>
    <t>132 – 58</t>
  </si>
  <si>
    <t>L(DE 15)</t>
  </si>
  <si>
    <t>(if necessary)</t>
  </si>
  <si>
    <t>Artin - 2nd</t>
  </si>
  <si>
    <t>38 – 48</t>
  </si>
  <si>
    <t>48 – 38</t>
  </si>
  <si>
    <t>76 – 58</t>
  </si>
  <si>
    <t>42 – 86</t>
  </si>
  <si>
    <t>Chomsky - 2nd</t>
  </si>
  <si>
    <t>N/A</t>
  </si>
  <si>
    <t>L(DE 3)</t>
  </si>
  <si>
    <t>L(DE 22)</t>
  </si>
  <si>
    <t>50 – 80</t>
  </si>
  <si>
    <t>Duflo - 2nd</t>
  </si>
  <si>
    <t>66 – 88</t>
  </si>
  <si>
    <t>22 – 120</t>
  </si>
  <si>
    <t>Ketterle - 2nd</t>
  </si>
  <si>
    <t>L(DE 2)</t>
  </si>
  <si>
    <t>L(DE 10)</t>
  </si>
  <si>
    <t>82 – 108</t>
  </si>
  <si>
    <t>Lander - 2nd</t>
  </si>
  <si>
    <t>100 – 24</t>
  </si>
  <si>
    <t>16 – 92</t>
  </si>
  <si>
    <t>120 – 86</t>
  </si>
  <si>
    <t>Moniz - 2nd</t>
  </si>
  <si>
    <t>L(DE 1)</t>
  </si>
  <si>
    <t>88 – 32</t>
  </si>
  <si>
    <t>Rivest - 2nd</t>
  </si>
  <si>
    <t>112 – 8</t>
  </si>
  <si>
    <t>Sadoway - 2nd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</si>
</sst>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2">
    <font>
      <sz val="10.0"/>
      <color rgb="FF000000"/>
      <name val="Arial"/>
      <scheme val="minor"/>
    </font>
    <font>
      <b/>
      <sz val="18.0"/>
      <color rgb="FFA61C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rgb="FFCC0000"/>
      <name val="Arial"/>
      <scheme val="minor"/>
    </font>
    <font>
      <b/>
      <sz val="18.0"/>
      <color rgb="FFE69138"/>
      <name val="Arial"/>
      <scheme val="minor"/>
    </font>
    <font>
      <b/>
      <sz val="18.0"/>
      <color rgb="FFF1C232"/>
      <name val="Arial"/>
      <scheme val="minor"/>
    </font>
    <font>
      <b/>
      <sz val="18.0"/>
      <color rgb="FF6AA84F"/>
      <name val="Arial"/>
      <scheme val="minor"/>
    </font>
    <font>
      <b/>
      <sz val="18.0"/>
      <color rgb="FF3D85C6"/>
      <name val="Arial"/>
      <scheme val="minor"/>
    </font>
    <font>
      <b/>
      <sz val="18.0"/>
      <color rgb="FF674EA7"/>
      <name val="Arial"/>
      <scheme val="minor"/>
    </font>
    <font>
      <b/>
      <sz val="18.0"/>
      <color rgb="FFA64D79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color rgb="FFA61C00"/>
      <name val="Arial"/>
      <scheme val="minor"/>
    </font>
    <font/>
    <font>
      <b/>
      <color rgb="FFCC0000"/>
      <name val="Arial"/>
      <scheme val="minor"/>
    </font>
    <font>
      <b/>
      <color rgb="FFE69138"/>
      <name val="Arial"/>
      <scheme val="minor"/>
    </font>
    <font>
      <b/>
      <color rgb="FFF1C232"/>
      <name val="Arial"/>
      <scheme val="minor"/>
    </font>
    <font>
      <b/>
      <color rgb="FF6AA84F"/>
      <name val="Arial"/>
      <scheme val="minor"/>
    </font>
    <font>
      <b/>
      <color rgb="FF3D85C6"/>
      <name val="Arial"/>
      <scheme val="minor"/>
    </font>
    <font>
      <b/>
      <color rgb="FF674EA7"/>
      <name val="Arial"/>
      <scheme val="minor"/>
    </font>
    <font>
      <b/>
      <color rgb="FFA64D79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999999"/>
        <bgColor rgb="FF999999"/>
      </patternFill>
    </fill>
    <fill>
      <patternFill patternType="solid">
        <fgColor rgb="FFBF9000"/>
        <bgColor rgb="FFBF9000"/>
      </patternFill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9900FF"/>
        <bgColor rgb="FF9900FF"/>
      </patternFill>
    </fill>
    <fill>
      <patternFill patternType="solid">
        <fgColor rgb="FFA64D79"/>
        <bgColor rgb="FFA64D79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0" fillId="0" fontId="3" numFmtId="1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1" fillId="4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1" fillId="5" fontId="3" numFmtId="0" xfId="0" applyAlignment="1" applyBorder="1" applyFill="1" applyFont="1">
      <alignment horizontal="center"/>
    </xf>
    <xf borderId="0" fillId="0" fontId="5" numFmtId="0" xfId="0" applyAlignment="1" applyFont="1">
      <alignment readingOrder="0"/>
    </xf>
    <xf borderId="1" fillId="6" fontId="3" numFmtId="0" xfId="0" applyAlignment="1" applyBorder="1" applyFill="1" applyFont="1">
      <alignment horizontal="center"/>
    </xf>
    <xf borderId="0" fillId="0" fontId="6" numFmtId="0" xfId="0" applyAlignment="1" applyFont="1">
      <alignment readingOrder="0"/>
    </xf>
    <xf borderId="1" fillId="7" fontId="3" numFmtId="0" xfId="0" applyAlignment="1" applyBorder="1" applyFill="1" applyFont="1">
      <alignment horizontal="center"/>
    </xf>
    <xf borderId="0" fillId="0" fontId="7" numFmtId="0" xfId="0" applyAlignment="1" applyFont="1">
      <alignment readingOrder="0"/>
    </xf>
    <xf borderId="1" fillId="8" fontId="3" numFmtId="0" xfId="0" applyAlignment="1" applyBorder="1" applyFill="1" applyFont="1">
      <alignment horizontal="center"/>
    </xf>
    <xf borderId="0" fillId="0" fontId="8" numFmtId="0" xfId="0" applyAlignment="1" applyFont="1">
      <alignment readingOrder="0"/>
    </xf>
    <xf borderId="1" fillId="9" fontId="3" numFmtId="0" xfId="0" applyAlignment="1" applyBorder="1" applyFill="1" applyFont="1">
      <alignment horizontal="center"/>
    </xf>
    <xf borderId="0" fillId="0" fontId="9" numFmtId="0" xfId="0" applyAlignment="1" applyFont="1">
      <alignment readingOrder="0"/>
    </xf>
    <xf borderId="1" fillId="10" fontId="3" numFmtId="0" xfId="0" applyAlignment="1" applyBorder="1" applyFill="1" applyFont="1">
      <alignment horizontal="center"/>
    </xf>
    <xf borderId="0" fillId="0" fontId="10" numFmtId="0" xfId="0" applyAlignment="1" applyFont="1">
      <alignment readingOrder="0"/>
    </xf>
    <xf borderId="1" fillId="11" fontId="3" numFmtId="0" xfId="0" applyAlignment="1" applyBorder="1" applyFill="1" applyFont="1">
      <alignment horizont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12" fontId="2" numFmtId="0" xfId="0" applyAlignment="1" applyFill="1" applyFont="1">
      <alignment readingOrder="0"/>
    </xf>
    <xf borderId="0" fillId="12" fontId="3" numFmtId="0" xfId="0" applyFill="1" applyFont="1"/>
    <xf borderId="0" fillId="0" fontId="2" numFmtId="0" xfId="0" applyAlignment="1" applyFont="1">
      <alignment readingOrder="0"/>
    </xf>
    <xf borderId="0" fillId="13" fontId="2" numFmtId="0" xfId="0" applyAlignment="1" applyFill="1" applyFont="1">
      <alignment readingOrder="0"/>
    </xf>
    <xf borderId="0" fillId="13" fontId="3" numFmtId="0" xfId="0" applyFill="1" applyFont="1"/>
    <xf borderId="0" fillId="6" fontId="2" numFmtId="0" xfId="0" applyAlignment="1" applyFill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0" xfId="0" applyBorder="1" applyFont="1"/>
    <xf borderId="0" fillId="14" fontId="2" numFmtId="0" xfId="0" applyAlignment="1" applyFill="1" applyFont="1">
      <alignment readingOrder="0"/>
    </xf>
    <xf borderId="0" fillId="14" fontId="3" numFmtId="0" xfId="0" applyFill="1" applyFont="1"/>
    <xf borderId="0" fillId="0" fontId="13" numFmtId="0" xfId="0" applyAlignment="1" applyFont="1">
      <alignment readingOrder="0"/>
    </xf>
    <xf borderId="3" fillId="0" fontId="3" numFmtId="0" xfId="0" applyBorder="1" applyFont="1"/>
    <xf borderId="3" fillId="0" fontId="2" numFmtId="0" xfId="0" applyAlignment="1" applyBorder="1" applyFont="1">
      <alignment horizontal="right" readingOrder="0" vertical="center"/>
    </xf>
    <xf borderId="3" fillId="0" fontId="14" numFmtId="0" xfId="0" applyBorder="1" applyFont="1"/>
    <xf borderId="2" fillId="0" fontId="3" numFmtId="0" xfId="0" applyAlignment="1" applyBorder="1" applyFont="1">
      <alignment readingOrder="0"/>
    </xf>
    <xf borderId="4" fillId="0" fontId="3" numFmtId="0" xfId="0" applyBorder="1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3" fillId="0" fontId="2" numFmtId="0" xfId="0" applyAlignment="1" applyBorder="1" applyFont="1">
      <alignment horizontal="right" readingOrder="0"/>
    </xf>
    <xf borderId="0" fillId="0" fontId="21" numFmtId="0" xfId="0" applyAlignment="1" applyFont="1">
      <alignment readingOrder="0"/>
    </xf>
    <xf borderId="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8.0"/>
    <col customWidth="1" min="2" max="2" width="10.5"/>
    <col customWidth="1" min="3" max="7" width="4.75"/>
    <col customWidth="1" min="8" max="8" width="6.38"/>
    <col customWidth="1" min="9" max="9" width="5.88"/>
    <col customWidth="1" min="15" max="15" width="18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L2" s="3" t="s">
        <v>10</v>
      </c>
    </row>
    <row r="3">
      <c r="A3" s="2" t="s">
        <v>11</v>
      </c>
      <c r="B3" s="2" t="s">
        <v>12</v>
      </c>
      <c r="C3" s="4"/>
      <c r="D3" s="5">
        <v>2.0</v>
      </c>
      <c r="E3" s="5">
        <v>0.0</v>
      </c>
      <c r="F3" s="5">
        <v>2.0</v>
      </c>
      <c r="G3" s="5">
        <v>2.0</v>
      </c>
      <c r="H3" s="6">
        <f t="shared" ref="H3:H7" si="1">SUM(C3:G3)</f>
        <v>6</v>
      </c>
      <c r="I3" s="7">
        <v>2.0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>
      <c r="A4" s="2" t="s">
        <v>18</v>
      </c>
      <c r="B4" s="2" t="s">
        <v>19</v>
      </c>
      <c r="C4" s="5">
        <v>0.0</v>
      </c>
      <c r="D4" s="4"/>
      <c r="E4" s="5">
        <v>0.0</v>
      </c>
      <c r="F4" s="5">
        <v>2.0</v>
      </c>
      <c r="G4" s="5">
        <v>2.0</v>
      </c>
      <c r="H4" s="6">
        <f t="shared" si="1"/>
        <v>4</v>
      </c>
      <c r="I4" s="5">
        <v>3.0</v>
      </c>
      <c r="K4" s="3" t="s">
        <v>20</v>
      </c>
      <c r="L4" s="8">
        <v>1.0</v>
      </c>
      <c r="M4" s="9">
        <v>73.81</v>
      </c>
      <c r="N4" s="9">
        <v>72.0</v>
      </c>
      <c r="O4" s="9">
        <v>102.38</v>
      </c>
      <c r="P4" s="8">
        <v>162.0</v>
      </c>
    </row>
    <row r="5">
      <c r="A5" s="2" t="s">
        <v>21</v>
      </c>
      <c r="B5" s="2" t="s">
        <v>22</v>
      </c>
      <c r="C5" s="5">
        <v>2.0</v>
      </c>
      <c r="D5" s="5">
        <v>2.0</v>
      </c>
      <c r="E5" s="4"/>
      <c r="F5" s="5">
        <v>2.0</v>
      </c>
      <c r="G5" s="5">
        <v>2.0</v>
      </c>
      <c r="H5" s="6">
        <f t="shared" si="1"/>
        <v>8</v>
      </c>
      <c r="I5" s="10">
        <v>1.0</v>
      </c>
      <c r="L5" s="8">
        <v>2.0</v>
      </c>
      <c r="M5" s="9">
        <v>69.69</v>
      </c>
      <c r="N5" s="9">
        <v>69.0</v>
      </c>
      <c r="O5" s="9">
        <v>89.63</v>
      </c>
      <c r="P5" s="8">
        <v>130.0</v>
      </c>
    </row>
    <row r="6">
      <c r="A6" s="2" t="s">
        <v>23</v>
      </c>
      <c r="B6" s="2" t="s">
        <v>24</v>
      </c>
      <c r="C6" s="5">
        <v>0.0</v>
      </c>
      <c r="D6" s="5">
        <v>0.0</v>
      </c>
      <c r="E6" s="5">
        <v>0.0</v>
      </c>
      <c r="F6" s="4"/>
      <c r="G6" s="5">
        <v>2.0</v>
      </c>
      <c r="H6" s="6">
        <f t="shared" si="1"/>
        <v>2</v>
      </c>
      <c r="I6" s="5">
        <v>4.0</v>
      </c>
      <c r="L6" s="8">
        <v>3.0</v>
      </c>
      <c r="M6" s="9">
        <v>81.71</v>
      </c>
      <c r="N6" s="9">
        <v>73.0</v>
      </c>
      <c r="O6" s="9">
        <v>124.71</v>
      </c>
      <c r="P6" s="8">
        <v>206.0</v>
      </c>
    </row>
    <row r="7">
      <c r="A7" s="2" t="s">
        <v>25</v>
      </c>
      <c r="B7" s="2" t="s">
        <v>26</v>
      </c>
      <c r="C7" s="5">
        <v>0.0</v>
      </c>
      <c r="D7" s="5">
        <v>0.0</v>
      </c>
      <c r="E7" s="5">
        <v>0.0</v>
      </c>
      <c r="F7" s="5">
        <v>0.0</v>
      </c>
      <c r="G7" s="4"/>
      <c r="H7" s="6">
        <f t="shared" si="1"/>
        <v>0</v>
      </c>
      <c r="I7" s="5">
        <v>5.0</v>
      </c>
      <c r="L7" s="8">
        <v>4.0</v>
      </c>
      <c r="M7" s="9">
        <v>71.06</v>
      </c>
      <c r="N7" s="9">
        <v>72.0</v>
      </c>
      <c r="O7" s="9">
        <v>93.38</v>
      </c>
      <c r="P7" s="8">
        <v>160.0</v>
      </c>
    </row>
    <row r="8">
      <c r="L8" s="8">
        <v>5.0</v>
      </c>
      <c r="M8" s="9">
        <v>66.75</v>
      </c>
      <c r="N8" s="9">
        <v>61.0</v>
      </c>
      <c r="O8" s="9">
        <v>95.88</v>
      </c>
      <c r="P8" s="8">
        <v>132.0</v>
      </c>
    </row>
    <row r="9">
      <c r="K9" s="3" t="s">
        <v>27</v>
      </c>
      <c r="L9" s="8">
        <v>6.0</v>
      </c>
      <c r="M9" s="9">
        <v>61.25</v>
      </c>
      <c r="N9" s="9">
        <v>43.0</v>
      </c>
      <c r="O9" s="9">
        <v>95.5</v>
      </c>
      <c r="P9" s="8">
        <v>128.0</v>
      </c>
    </row>
    <row r="10">
      <c r="L10" s="8">
        <v>7.0</v>
      </c>
      <c r="M10" s="9">
        <v>77.57</v>
      </c>
      <c r="N10" s="9">
        <v>80.0</v>
      </c>
      <c r="O10" s="9">
        <v>104.57</v>
      </c>
      <c r="P10" s="8">
        <v>132.0</v>
      </c>
    </row>
    <row r="11">
      <c r="A11" s="11" t="s">
        <v>28</v>
      </c>
      <c r="L11" s="8">
        <v>8.0</v>
      </c>
      <c r="M11" s="3">
        <v>84.67</v>
      </c>
      <c r="N11" s="3">
        <v>81.0</v>
      </c>
      <c r="O11" s="3">
        <v>97.33</v>
      </c>
      <c r="P11" s="3">
        <v>120.0</v>
      </c>
    </row>
    <row r="12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L12" s="8">
        <v>9.0</v>
      </c>
      <c r="M12" s="3">
        <v>52.5</v>
      </c>
      <c r="N12" s="3">
        <v>43.0</v>
      </c>
      <c r="O12" s="3">
        <v>74.0</v>
      </c>
      <c r="P12" s="3">
        <v>100.0</v>
      </c>
    </row>
    <row r="13">
      <c r="A13" s="2" t="s">
        <v>29</v>
      </c>
      <c r="B13" s="2" t="s">
        <v>30</v>
      </c>
      <c r="C13" s="12"/>
      <c r="D13" s="5">
        <v>0.0</v>
      </c>
      <c r="E13" s="5">
        <v>2.0</v>
      </c>
      <c r="F13" s="5">
        <v>0.0</v>
      </c>
      <c r="G13" s="5">
        <v>0.0</v>
      </c>
      <c r="H13" s="6">
        <f t="shared" ref="H13:H17" si="2">SUM(C13:G13)</f>
        <v>2</v>
      </c>
      <c r="I13" s="5">
        <v>4.0</v>
      </c>
    </row>
    <row r="14">
      <c r="A14" s="2" t="s">
        <v>31</v>
      </c>
      <c r="B14" s="2" t="s">
        <v>32</v>
      </c>
      <c r="C14" s="5">
        <v>2.0</v>
      </c>
      <c r="D14" s="12"/>
      <c r="E14" s="5">
        <v>2.0</v>
      </c>
      <c r="F14" s="5">
        <v>0.0</v>
      </c>
      <c r="G14" s="5">
        <v>0.0</v>
      </c>
      <c r="H14" s="6">
        <f t="shared" si="2"/>
        <v>4</v>
      </c>
      <c r="I14" s="5">
        <v>3.0</v>
      </c>
    </row>
    <row r="15">
      <c r="A15" s="2" t="s">
        <v>33</v>
      </c>
      <c r="B15" s="2" t="s">
        <v>34</v>
      </c>
      <c r="C15" s="5">
        <v>0.0</v>
      </c>
      <c r="D15" s="5">
        <v>0.0</v>
      </c>
      <c r="E15" s="12"/>
      <c r="F15" s="5">
        <v>0.0</v>
      </c>
      <c r="G15" s="5">
        <v>0.0</v>
      </c>
      <c r="H15" s="6">
        <f t="shared" si="2"/>
        <v>0</v>
      </c>
      <c r="I15" s="5">
        <v>5.0</v>
      </c>
    </row>
    <row r="16">
      <c r="A16" s="2" t="s">
        <v>35</v>
      </c>
      <c r="B16" s="2" t="s">
        <v>36</v>
      </c>
      <c r="C16" s="5">
        <v>2.0</v>
      </c>
      <c r="D16" s="5">
        <v>2.0</v>
      </c>
      <c r="E16" s="5">
        <v>2.0</v>
      </c>
      <c r="F16" s="12"/>
      <c r="G16" s="5">
        <v>0.0</v>
      </c>
      <c r="H16" s="6">
        <f t="shared" si="2"/>
        <v>6</v>
      </c>
      <c r="I16" s="7">
        <v>2.0</v>
      </c>
    </row>
    <row r="17">
      <c r="A17" s="2" t="s">
        <v>37</v>
      </c>
      <c r="B17" s="2" t="s">
        <v>38</v>
      </c>
      <c r="C17" s="5">
        <v>2.0</v>
      </c>
      <c r="D17" s="5">
        <v>2.0</v>
      </c>
      <c r="E17" s="5">
        <v>2.0</v>
      </c>
      <c r="F17" s="5">
        <v>2.0</v>
      </c>
      <c r="G17" s="12"/>
      <c r="H17" s="6">
        <f t="shared" si="2"/>
        <v>8</v>
      </c>
      <c r="I17" s="10">
        <v>1.0</v>
      </c>
    </row>
    <row r="21">
      <c r="A21" s="13" t="s">
        <v>39</v>
      </c>
    </row>
    <row r="22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</row>
    <row r="23">
      <c r="A23" s="2" t="s">
        <v>40</v>
      </c>
      <c r="B23" s="2" t="s">
        <v>41</v>
      </c>
      <c r="C23" s="14"/>
      <c r="D23" s="5">
        <v>2.0</v>
      </c>
      <c r="E23" s="5">
        <v>0.0</v>
      </c>
      <c r="F23" s="5">
        <v>2.0</v>
      </c>
      <c r="G23" s="5">
        <v>0.0</v>
      </c>
      <c r="H23" s="6">
        <f t="shared" ref="H23:H27" si="3">SUM(C23:G23)</f>
        <v>4</v>
      </c>
      <c r="I23" s="5">
        <v>3.0</v>
      </c>
    </row>
    <row r="24">
      <c r="A24" s="2" t="s">
        <v>42</v>
      </c>
      <c r="B24" s="2" t="s">
        <v>43</v>
      </c>
      <c r="C24" s="5">
        <v>0.0</v>
      </c>
      <c r="D24" s="14"/>
      <c r="E24" s="5">
        <v>2.0</v>
      </c>
      <c r="F24" s="5">
        <v>2.0</v>
      </c>
      <c r="G24" s="5">
        <v>0.0</v>
      </c>
      <c r="H24" s="6">
        <f t="shared" si="3"/>
        <v>4</v>
      </c>
      <c r="I24" s="5">
        <v>3.0</v>
      </c>
    </row>
    <row r="25">
      <c r="A25" s="2" t="s">
        <v>44</v>
      </c>
      <c r="B25" s="2" t="s">
        <v>45</v>
      </c>
      <c r="C25" s="5">
        <v>2.0</v>
      </c>
      <c r="D25" s="5">
        <v>0.0</v>
      </c>
      <c r="E25" s="14"/>
      <c r="F25" s="5">
        <v>2.0</v>
      </c>
      <c r="G25" s="5">
        <v>0.0</v>
      </c>
      <c r="H25" s="6">
        <f t="shared" si="3"/>
        <v>4</v>
      </c>
      <c r="I25" s="7">
        <v>2.0</v>
      </c>
      <c r="J25" s="3" t="s">
        <v>46</v>
      </c>
    </row>
    <row r="26">
      <c r="A26" s="2" t="s">
        <v>47</v>
      </c>
      <c r="B26" s="2" t="s">
        <v>48</v>
      </c>
      <c r="C26" s="5">
        <v>0.0</v>
      </c>
      <c r="D26" s="5">
        <v>0.0</v>
      </c>
      <c r="E26" s="5">
        <v>0.0</v>
      </c>
      <c r="F26" s="14"/>
      <c r="G26" s="5">
        <v>0.0</v>
      </c>
      <c r="H26" s="6">
        <f t="shared" si="3"/>
        <v>0</v>
      </c>
      <c r="I26" s="5">
        <v>5.0</v>
      </c>
    </row>
    <row r="27">
      <c r="A27" s="2" t="s">
        <v>49</v>
      </c>
      <c r="B27" s="2" t="s">
        <v>50</v>
      </c>
      <c r="C27" s="5">
        <v>2.0</v>
      </c>
      <c r="D27" s="5">
        <v>2.0</v>
      </c>
      <c r="E27" s="5">
        <v>2.0</v>
      </c>
      <c r="F27" s="5">
        <v>2.0</v>
      </c>
      <c r="G27" s="14"/>
      <c r="H27" s="6">
        <f t="shared" si="3"/>
        <v>8</v>
      </c>
      <c r="I27" s="10">
        <v>1.0</v>
      </c>
    </row>
    <row r="31">
      <c r="A31" s="15" t="s">
        <v>51</v>
      </c>
    </row>
    <row r="32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  <c r="G32" s="2" t="s">
        <v>7</v>
      </c>
      <c r="H32" s="2" t="s">
        <v>8</v>
      </c>
      <c r="I32" s="2" t="s">
        <v>9</v>
      </c>
    </row>
    <row r="33">
      <c r="A33" s="2" t="s">
        <v>52</v>
      </c>
      <c r="B33" s="2" t="s">
        <v>53</v>
      </c>
      <c r="C33" s="16"/>
      <c r="D33" s="5">
        <v>0.0</v>
      </c>
      <c r="E33" s="5">
        <v>0.0</v>
      </c>
      <c r="F33" s="5">
        <v>0.0</v>
      </c>
      <c r="G33" s="5">
        <v>0.0</v>
      </c>
      <c r="H33" s="6">
        <f t="shared" ref="H33:H37" si="4">SUM(C33:G33)</f>
        <v>0</v>
      </c>
      <c r="I33" s="5">
        <v>5.0</v>
      </c>
    </row>
    <row r="34">
      <c r="A34" s="2" t="s">
        <v>54</v>
      </c>
      <c r="B34" s="2" t="s">
        <v>55</v>
      </c>
      <c r="C34" s="5">
        <v>2.0</v>
      </c>
      <c r="D34" s="16"/>
      <c r="E34" s="5">
        <v>2.0</v>
      </c>
      <c r="F34" s="5">
        <v>2.0</v>
      </c>
      <c r="G34" s="5">
        <v>2.0</v>
      </c>
      <c r="H34" s="6">
        <f t="shared" si="4"/>
        <v>8</v>
      </c>
      <c r="I34" s="10">
        <v>1.0</v>
      </c>
    </row>
    <row r="35">
      <c r="A35" s="2" t="s">
        <v>56</v>
      </c>
      <c r="B35" s="2" t="s">
        <v>57</v>
      </c>
      <c r="C35" s="5">
        <v>2.0</v>
      </c>
      <c r="D35" s="5">
        <v>0.0</v>
      </c>
      <c r="E35" s="16"/>
      <c r="F35" s="5">
        <v>0.0</v>
      </c>
      <c r="G35" s="5">
        <v>2.0</v>
      </c>
      <c r="H35" s="6">
        <f t="shared" si="4"/>
        <v>4</v>
      </c>
      <c r="I35" s="5">
        <v>3.0</v>
      </c>
    </row>
    <row r="36">
      <c r="A36" s="2" t="s">
        <v>58</v>
      </c>
      <c r="B36" s="2" t="s">
        <v>59</v>
      </c>
      <c r="C36" s="5">
        <v>2.0</v>
      </c>
      <c r="D36" s="5">
        <v>0.0</v>
      </c>
      <c r="E36" s="5">
        <v>2.0</v>
      </c>
      <c r="F36" s="16"/>
      <c r="G36" s="5">
        <v>2.0</v>
      </c>
      <c r="H36" s="6">
        <f t="shared" si="4"/>
        <v>6</v>
      </c>
      <c r="I36" s="7">
        <v>2.0</v>
      </c>
    </row>
    <row r="37">
      <c r="A37" s="2" t="s">
        <v>60</v>
      </c>
      <c r="B37" s="2" t="s">
        <v>61</v>
      </c>
      <c r="C37" s="5">
        <v>2.0</v>
      </c>
      <c r="D37" s="5">
        <v>0.0</v>
      </c>
      <c r="E37" s="5">
        <v>0.0</v>
      </c>
      <c r="F37" s="5">
        <v>0.0</v>
      </c>
      <c r="G37" s="16"/>
      <c r="H37" s="6">
        <f t="shared" si="4"/>
        <v>2</v>
      </c>
      <c r="I37" s="5">
        <v>4.0</v>
      </c>
    </row>
    <row r="41">
      <c r="A41" s="17" t="s">
        <v>62</v>
      </c>
    </row>
    <row r="42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</row>
    <row r="43">
      <c r="A43" s="2" t="s">
        <v>63</v>
      </c>
      <c r="B43" s="2" t="s">
        <v>64</v>
      </c>
      <c r="C43" s="18"/>
      <c r="D43" s="5">
        <v>0.0</v>
      </c>
      <c r="E43" s="5">
        <v>0.0</v>
      </c>
      <c r="F43" s="5">
        <v>2.0</v>
      </c>
      <c r="G43" s="5">
        <v>0.0</v>
      </c>
      <c r="H43" s="6">
        <f t="shared" ref="H43:H47" si="5">SUM(C43:G43)</f>
        <v>2</v>
      </c>
      <c r="I43" s="5">
        <v>4.0</v>
      </c>
    </row>
    <row r="44">
      <c r="A44" s="2" t="s">
        <v>65</v>
      </c>
      <c r="B44" s="2" t="s">
        <v>66</v>
      </c>
      <c r="C44" s="5">
        <v>2.0</v>
      </c>
      <c r="D44" s="18"/>
      <c r="E44" s="5">
        <v>0.0</v>
      </c>
      <c r="F44" s="5">
        <v>2.0</v>
      </c>
      <c r="G44" s="5">
        <v>0.0</v>
      </c>
      <c r="H44" s="6">
        <f t="shared" si="5"/>
        <v>4</v>
      </c>
      <c r="I44" s="5">
        <v>3.0</v>
      </c>
    </row>
    <row r="45">
      <c r="A45" s="2" t="s">
        <v>67</v>
      </c>
      <c r="B45" s="2" t="s">
        <v>68</v>
      </c>
      <c r="C45" s="5">
        <v>2.0</v>
      </c>
      <c r="D45" s="5">
        <v>2.0</v>
      </c>
      <c r="E45" s="18"/>
      <c r="F45" s="5">
        <v>2.0</v>
      </c>
      <c r="G45" s="5">
        <v>0.0</v>
      </c>
      <c r="H45" s="6">
        <f t="shared" si="5"/>
        <v>6</v>
      </c>
      <c r="I45" s="7">
        <v>2.0</v>
      </c>
    </row>
    <row r="46">
      <c r="A46" s="2" t="s">
        <v>69</v>
      </c>
      <c r="B46" s="2" t="s">
        <v>70</v>
      </c>
      <c r="C46" s="5">
        <v>0.0</v>
      </c>
      <c r="D46" s="5">
        <v>0.0</v>
      </c>
      <c r="E46" s="5">
        <v>0.0</v>
      </c>
      <c r="F46" s="18"/>
      <c r="G46" s="5">
        <v>0.0</v>
      </c>
      <c r="H46" s="6">
        <f t="shared" si="5"/>
        <v>0</v>
      </c>
      <c r="I46" s="5">
        <v>5.0</v>
      </c>
    </row>
    <row r="47">
      <c r="A47" s="2" t="s">
        <v>71</v>
      </c>
      <c r="B47" s="2" t="s">
        <v>72</v>
      </c>
      <c r="C47" s="5">
        <v>2.0</v>
      </c>
      <c r="D47" s="5">
        <v>2.0</v>
      </c>
      <c r="E47" s="5">
        <v>2.0</v>
      </c>
      <c r="F47" s="5">
        <v>2.0</v>
      </c>
      <c r="G47" s="18"/>
      <c r="H47" s="6">
        <f t="shared" si="5"/>
        <v>8</v>
      </c>
      <c r="I47" s="10">
        <v>1.0</v>
      </c>
    </row>
    <row r="51">
      <c r="A51" s="19" t="s">
        <v>73</v>
      </c>
    </row>
    <row r="52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8</v>
      </c>
      <c r="I52" s="2" t="s">
        <v>9</v>
      </c>
    </row>
    <row r="53">
      <c r="A53" s="2" t="s">
        <v>74</v>
      </c>
      <c r="B53" s="2" t="s">
        <v>75</v>
      </c>
      <c r="C53" s="20"/>
      <c r="D53" s="5">
        <v>2.0</v>
      </c>
      <c r="E53" s="5">
        <v>2.0</v>
      </c>
      <c r="F53" s="5">
        <v>0.0</v>
      </c>
      <c r="G53" s="5">
        <v>2.0</v>
      </c>
      <c r="H53" s="6">
        <f t="shared" ref="H53:H57" si="6">SUM(C53:G53)</f>
        <v>6</v>
      </c>
      <c r="I53" s="7">
        <v>2.0</v>
      </c>
    </row>
    <row r="54">
      <c r="A54" s="2" t="s">
        <v>76</v>
      </c>
      <c r="B54" s="2" t="s">
        <v>77</v>
      </c>
      <c r="C54" s="5">
        <v>0.0</v>
      </c>
      <c r="D54" s="20"/>
      <c r="E54" s="5">
        <v>2.0</v>
      </c>
      <c r="F54" s="5">
        <v>0.0</v>
      </c>
      <c r="G54" s="5">
        <v>2.0</v>
      </c>
      <c r="H54" s="6">
        <f t="shared" si="6"/>
        <v>4</v>
      </c>
      <c r="I54" s="5">
        <v>3.0</v>
      </c>
    </row>
    <row r="55">
      <c r="A55" s="2" t="s">
        <v>78</v>
      </c>
      <c r="B55" s="2" t="s">
        <v>79</v>
      </c>
      <c r="C55" s="5">
        <v>0.0</v>
      </c>
      <c r="D55" s="5">
        <v>0.0</v>
      </c>
      <c r="E55" s="20"/>
      <c r="F55" s="5">
        <v>0.0</v>
      </c>
      <c r="G55" s="5">
        <v>0.0</v>
      </c>
      <c r="H55" s="6">
        <f t="shared" si="6"/>
        <v>0</v>
      </c>
      <c r="I55" s="5">
        <v>5.0</v>
      </c>
    </row>
    <row r="56">
      <c r="A56" s="2" t="s">
        <v>80</v>
      </c>
      <c r="B56" s="2" t="s">
        <v>81</v>
      </c>
      <c r="C56" s="5">
        <v>2.0</v>
      </c>
      <c r="D56" s="5">
        <v>2.0</v>
      </c>
      <c r="E56" s="5">
        <v>2.0</v>
      </c>
      <c r="F56" s="20"/>
      <c r="G56" s="5">
        <v>2.0</v>
      </c>
      <c r="H56" s="6">
        <f t="shared" si="6"/>
        <v>8</v>
      </c>
      <c r="I56" s="10">
        <v>1.0</v>
      </c>
    </row>
    <row r="57">
      <c r="A57" s="2" t="s">
        <v>82</v>
      </c>
      <c r="B57" s="2" t="s">
        <v>83</v>
      </c>
      <c r="C57" s="5">
        <v>0.0</v>
      </c>
      <c r="D57" s="5">
        <v>0.0</v>
      </c>
      <c r="E57" s="5">
        <v>2.0</v>
      </c>
      <c r="F57" s="5">
        <v>0.0</v>
      </c>
      <c r="G57" s="20"/>
      <c r="H57" s="6">
        <f t="shared" si="6"/>
        <v>2</v>
      </c>
      <c r="I57" s="5">
        <v>4.0</v>
      </c>
    </row>
    <row r="61">
      <c r="A61" s="21" t="s">
        <v>84</v>
      </c>
    </row>
    <row r="62">
      <c r="A62" s="2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  <c r="G62" s="2" t="s">
        <v>7</v>
      </c>
      <c r="H62" s="2" t="s">
        <v>8</v>
      </c>
      <c r="I62" s="2" t="s">
        <v>9</v>
      </c>
    </row>
    <row r="63">
      <c r="A63" s="2" t="s">
        <v>85</v>
      </c>
      <c r="B63" s="2" t="s">
        <v>86</v>
      </c>
      <c r="C63" s="22"/>
      <c r="D63" s="5">
        <v>0.0</v>
      </c>
      <c r="E63" s="5">
        <v>2.0</v>
      </c>
      <c r="F63" s="5">
        <v>0.0</v>
      </c>
      <c r="G63" s="5">
        <v>0.0</v>
      </c>
      <c r="H63" s="6">
        <f t="shared" ref="H63:H67" si="7">SUM(C63:G63)</f>
        <v>2</v>
      </c>
      <c r="I63" s="5">
        <v>4.0</v>
      </c>
    </row>
    <row r="64">
      <c r="A64" s="2" t="s">
        <v>87</v>
      </c>
      <c r="B64" s="2" t="s">
        <v>88</v>
      </c>
      <c r="C64" s="5">
        <v>2.0</v>
      </c>
      <c r="D64" s="22"/>
      <c r="E64" s="5">
        <v>2.0</v>
      </c>
      <c r="F64" s="5">
        <v>2.0</v>
      </c>
      <c r="G64" s="5">
        <v>0.0</v>
      </c>
      <c r="H64" s="6">
        <f t="shared" si="7"/>
        <v>6</v>
      </c>
      <c r="I64" s="7">
        <v>2.0</v>
      </c>
    </row>
    <row r="65">
      <c r="A65" s="2" t="s">
        <v>89</v>
      </c>
      <c r="B65" s="2" t="s">
        <v>90</v>
      </c>
      <c r="C65" s="5">
        <v>0.0</v>
      </c>
      <c r="D65" s="5">
        <v>0.0</v>
      </c>
      <c r="E65" s="22"/>
      <c r="F65" s="5">
        <v>0.0</v>
      </c>
      <c r="G65" s="5">
        <v>0.0</v>
      </c>
      <c r="H65" s="6">
        <f t="shared" si="7"/>
        <v>0</v>
      </c>
      <c r="I65" s="5">
        <v>5.0</v>
      </c>
    </row>
    <row r="66">
      <c r="A66" s="2" t="s">
        <v>91</v>
      </c>
      <c r="B66" s="2" t="s">
        <v>92</v>
      </c>
      <c r="C66" s="5">
        <v>2.0</v>
      </c>
      <c r="D66" s="5">
        <v>0.0</v>
      </c>
      <c r="E66" s="5">
        <v>2.0</v>
      </c>
      <c r="F66" s="22"/>
      <c r="G66" s="5">
        <v>0.0</v>
      </c>
      <c r="H66" s="6">
        <f t="shared" si="7"/>
        <v>4</v>
      </c>
      <c r="I66" s="5">
        <v>3.0</v>
      </c>
    </row>
    <row r="67">
      <c r="A67" s="2" t="s">
        <v>93</v>
      </c>
      <c r="B67" s="2" t="s">
        <v>94</v>
      </c>
      <c r="C67" s="5">
        <v>2.0</v>
      </c>
      <c r="D67" s="5">
        <v>2.0</v>
      </c>
      <c r="E67" s="5">
        <v>2.0</v>
      </c>
      <c r="F67" s="5">
        <v>2.0</v>
      </c>
      <c r="G67" s="22"/>
      <c r="H67" s="6">
        <f t="shared" si="7"/>
        <v>8</v>
      </c>
      <c r="I67" s="10">
        <v>1.0</v>
      </c>
    </row>
    <row r="71">
      <c r="A71" s="23" t="s">
        <v>95</v>
      </c>
    </row>
    <row r="72">
      <c r="A72" s="2" t="s">
        <v>1</v>
      </c>
      <c r="B72" s="2" t="s">
        <v>2</v>
      </c>
      <c r="C72" s="2" t="s">
        <v>3</v>
      </c>
      <c r="D72" s="2" t="s">
        <v>4</v>
      </c>
      <c r="E72" s="2" t="s">
        <v>5</v>
      </c>
      <c r="F72" s="2" t="s">
        <v>6</v>
      </c>
      <c r="G72" s="2" t="s">
        <v>7</v>
      </c>
      <c r="H72" s="2" t="s">
        <v>8</v>
      </c>
      <c r="I72" s="2" t="s">
        <v>9</v>
      </c>
    </row>
    <row r="73">
      <c r="A73" s="2" t="s">
        <v>96</v>
      </c>
      <c r="B73" s="2" t="s">
        <v>97</v>
      </c>
      <c r="C73" s="24"/>
      <c r="D73" s="5">
        <v>2.0</v>
      </c>
      <c r="E73" s="5">
        <v>2.0</v>
      </c>
      <c r="F73" s="5">
        <v>2.0</v>
      </c>
      <c r="G73" s="5">
        <v>0.0</v>
      </c>
      <c r="H73" s="6">
        <f t="shared" ref="H73:H77" si="8">SUM(C73:G73)</f>
        <v>6</v>
      </c>
      <c r="I73" s="7">
        <v>2.0</v>
      </c>
    </row>
    <row r="74">
      <c r="A74" s="2" t="s">
        <v>98</v>
      </c>
      <c r="B74" s="2" t="s">
        <v>99</v>
      </c>
      <c r="C74" s="5">
        <v>0.0</v>
      </c>
      <c r="D74" s="24"/>
      <c r="E74" s="5">
        <v>2.0</v>
      </c>
      <c r="F74" s="5">
        <v>2.0</v>
      </c>
      <c r="G74" s="5">
        <v>0.0</v>
      </c>
      <c r="H74" s="6">
        <f t="shared" si="8"/>
        <v>4</v>
      </c>
      <c r="I74" s="5">
        <v>3.0</v>
      </c>
    </row>
    <row r="75">
      <c r="A75" s="2" t="s">
        <v>100</v>
      </c>
      <c r="B75" s="2" t="s">
        <v>101</v>
      </c>
      <c r="C75" s="5">
        <v>0.0</v>
      </c>
      <c r="D75" s="5">
        <v>0.0</v>
      </c>
      <c r="E75" s="24"/>
      <c r="F75" s="5">
        <v>2.0</v>
      </c>
      <c r="G75" s="5">
        <v>0.0</v>
      </c>
      <c r="H75" s="6">
        <f t="shared" si="8"/>
        <v>2</v>
      </c>
      <c r="I75" s="5">
        <v>4.0</v>
      </c>
    </row>
    <row r="76">
      <c r="A76" s="2" t="s">
        <v>102</v>
      </c>
      <c r="B76" s="2" t="s">
        <v>103</v>
      </c>
      <c r="C76" s="5">
        <v>0.0</v>
      </c>
      <c r="D76" s="5">
        <v>0.0</v>
      </c>
      <c r="E76" s="5">
        <v>0.0</v>
      </c>
      <c r="F76" s="24"/>
      <c r="G76" s="5">
        <v>0.0</v>
      </c>
      <c r="H76" s="6">
        <f t="shared" si="8"/>
        <v>0</v>
      </c>
      <c r="I76" s="5">
        <v>5.0</v>
      </c>
    </row>
    <row r="77">
      <c r="A77" s="2" t="s">
        <v>104</v>
      </c>
      <c r="B77" s="2" t="s">
        <v>105</v>
      </c>
      <c r="C77" s="5">
        <v>2.0</v>
      </c>
      <c r="D77" s="5">
        <v>2.0</v>
      </c>
      <c r="E77" s="5">
        <v>2.0</v>
      </c>
      <c r="F77" s="5">
        <v>2.0</v>
      </c>
      <c r="G77" s="24"/>
      <c r="H77" s="6">
        <f t="shared" si="8"/>
        <v>8</v>
      </c>
      <c r="I77" s="10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9" width="17.25"/>
  </cols>
  <sheetData>
    <row r="1">
      <c r="A1" s="25" t="s">
        <v>106</v>
      </c>
      <c r="C1" s="25" t="s">
        <v>107</v>
      </c>
      <c r="E1" s="25" t="s">
        <v>108</v>
      </c>
      <c r="G1" s="25" t="s">
        <v>109</v>
      </c>
      <c r="I1" s="25" t="s">
        <v>110</v>
      </c>
      <c r="K1" s="25" t="s">
        <v>111</v>
      </c>
      <c r="M1" s="25" t="s">
        <v>112</v>
      </c>
      <c r="O1" s="25" t="s">
        <v>113</v>
      </c>
      <c r="Q1" s="25" t="s">
        <v>114</v>
      </c>
      <c r="T1" s="25"/>
    </row>
    <row r="2">
      <c r="A2" s="25" t="s">
        <v>115</v>
      </c>
      <c r="C2" s="25" t="s">
        <v>116</v>
      </c>
      <c r="E2" s="25" t="s">
        <v>117</v>
      </c>
      <c r="G2" s="25" t="s">
        <v>118</v>
      </c>
      <c r="I2" s="25" t="s">
        <v>119</v>
      </c>
      <c r="K2" s="25" t="s">
        <v>120</v>
      </c>
      <c r="M2" s="25" t="s">
        <v>121</v>
      </c>
      <c r="O2" s="25" t="s">
        <v>122</v>
      </c>
      <c r="Q2" s="25"/>
      <c r="T2" s="25"/>
    </row>
    <row r="3">
      <c r="A3" s="26" t="s">
        <v>123</v>
      </c>
      <c r="C3" s="26" t="s">
        <v>124</v>
      </c>
      <c r="E3" s="26" t="s">
        <v>125</v>
      </c>
      <c r="G3" s="26" t="s">
        <v>126</v>
      </c>
      <c r="I3" s="26" t="s">
        <v>127</v>
      </c>
      <c r="K3" s="26" t="s">
        <v>128</v>
      </c>
      <c r="M3" s="26" t="s">
        <v>129</v>
      </c>
      <c r="O3" s="26" t="s">
        <v>130</v>
      </c>
      <c r="Q3" s="26"/>
      <c r="T3" s="26"/>
    </row>
    <row r="4">
      <c r="Q4" s="27" t="s">
        <v>131</v>
      </c>
      <c r="R4" s="27" t="s">
        <v>49</v>
      </c>
      <c r="S4" s="28"/>
    </row>
    <row r="5">
      <c r="A5" s="29" t="s">
        <v>132</v>
      </c>
      <c r="Q5" s="30" t="s">
        <v>133</v>
      </c>
      <c r="R5" s="30" t="s">
        <v>93</v>
      </c>
      <c r="S5" s="31"/>
    </row>
    <row r="6">
      <c r="Q6" s="32" t="s">
        <v>134</v>
      </c>
      <c r="R6" s="32" t="s">
        <v>80</v>
      </c>
      <c r="S6" s="32"/>
    </row>
    <row r="7">
      <c r="A7" s="33" t="s">
        <v>21</v>
      </c>
      <c r="B7" s="34"/>
      <c r="Q7" s="35" t="s">
        <v>135</v>
      </c>
      <c r="R7" s="35" t="s">
        <v>104</v>
      </c>
      <c r="S7" s="36"/>
    </row>
    <row r="8">
      <c r="A8" s="37" t="s">
        <v>136</v>
      </c>
      <c r="B8" s="38"/>
    </row>
    <row r="9">
      <c r="B9" s="39" t="s">
        <v>137</v>
      </c>
      <c r="C9" s="33" t="s">
        <v>37</v>
      </c>
      <c r="D9" s="34"/>
    </row>
    <row r="10">
      <c r="B10" s="40"/>
      <c r="D10" s="38"/>
    </row>
    <row r="11">
      <c r="A11" s="41" t="s">
        <v>37</v>
      </c>
      <c r="B11" s="42"/>
      <c r="D11" s="38"/>
    </row>
    <row r="12">
      <c r="A12" s="43" t="s">
        <v>138</v>
      </c>
      <c r="D12" s="38"/>
    </row>
    <row r="13">
      <c r="D13" s="39" t="s">
        <v>139</v>
      </c>
      <c r="E13" s="41" t="s">
        <v>49</v>
      </c>
      <c r="F13" s="34"/>
    </row>
    <row r="14">
      <c r="D14" s="40"/>
      <c r="F14" s="38"/>
    </row>
    <row r="15">
      <c r="A15" s="41" t="s">
        <v>49</v>
      </c>
      <c r="B15" s="34"/>
      <c r="D15" s="38"/>
      <c r="F15" s="38"/>
    </row>
    <row r="16">
      <c r="A16" s="44" t="s">
        <v>140</v>
      </c>
      <c r="B16" s="38"/>
      <c r="D16" s="38"/>
      <c r="F16" s="38"/>
    </row>
    <row r="17">
      <c r="B17" s="39" t="s">
        <v>141</v>
      </c>
      <c r="C17" s="41" t="s">
        <v>49</v>
      </c>
      <c r="D17" s="42"/>
      <c r="F17" s="38"/>
    </row>
    <row r="18">
      <c r="B18" s="40"/>
      <c r="F18" s="38"/>
    </row>
    <row r="19">
      <c r="A19" s="41" t="s">
        <v>54</v>
      </c>
      <c r="B19" s="42"/>
      <c r="F19" s="38"/>
    </row>
    <row r="20">
      <c r="A20" s="45" t="s">
        <v>142</v>
      </c>
      <c r="F20" s="38"/>
    </row>
    <row r="21">
      <c r="F21" s="39" t="s">
        <v>143</v>
      </c>
      <c r="G21" s="41" t="s">
        <v>49</v>
      </c>
      <c r="H21" s="34"/>
      <c r="I21" s="34"/>
      <c r="J21" s="34"/>
      <c r="K21" s="34"/>
      <c r="L21" s="34"/>
      <c r="M21" s="33" t="s">
        <v>49</v>
      </c>
      <c r="N21" s="34"/>
    </row>
    <row r="22">
      <c r="F22" s="40"/>
      <c r="N22" s="38"/>
    </row>
    <row r="23">
      <c r="A23" s="41" t="s">
        <v>71</v>
      </c>
      <c r="B23" s="34"/>
      <c r="F23" s="38"/>
      <c r="N23" s="38"/>
    </row>
    <row r="24">
      <c r="A24" s="46" t="s">
        <v>144</v>
      </c>
      <c r="B24" s="38"/>
      <c r="F24" s="38"/>
      <c r="N24" s="38"/>
    </row>
    <row r="25">
      <c r="B25" s="39" t="s">
        <v>145</v>
      </c>
      <c r="C25" s="33" t="s">
        <v>80</v>
      </c>
      <c r="D25" s="34"/>
      <c r="F25" s="38"/>
      <c r="N25" s="38"/>
    </row>
    <row r="26">
      <c r="B26" s="40"/>
      <c r="D26" s="38"/>
      <c r="F26" s="38"/>
      <c r="N26" s="38"/>
    </row>
    <row r="27">
      <c r="A27" s="41" t="s">
        <v>80</v>
      </c>
      <c r="B27" s="42"/>
      <c r="D27" s="38"/>
      <c r="F27" s="38"/>
      <c r="N27" s="38"/>
    </row>
    <row r="28">
      <c r="A28" s="47" t="s">
        <v>146</v>
      </c>
      <c r="D28" s="38"/>
      <c r="F28" s="38"/>
      <c r="N28" s="38"/>
    </row>
    <row r="29">
      <c r="D29" s="39" t="s">
        <v>147</v>
      </c>
      <c r="E29" s="33" t="s">
        <v>80</v>
      </c>
      <c r="F29" s="42"/>
      <c r="N29" s="38"/>
    </row>
    <row r="30">
      <c r="D30" s="40"/>
      <c r="N30" s="38"/>
    </row>
    <row r="31">
      <c r="A31" s="41" t="s">
        <v>93</v>
      </c>
      <c r="B31" s="34"/>
      <c r="D31" s="38"/>
      <c r="N31" s="38"/>
    </row>
    <row r="32">
      <c r="A32" s="48" t="s">
        <v>148</v>
      </c>
      <c r="B32" s="38"/>
      <c r="D32" s="38"/>
      <c r="N32" s="49"/>
    </row>
    <row r="33">
      <c r="B33" s="39" t="s">
        <v>149</v>
      </c>
      <c r="C33" s="33" t="s">
        <v>93</v>
      </c>
      <c r="D33" s="42"/>
      <c r="N33" s="39" t="s">
        <v>150</v>
      </c>
      <c r="O33" s="33" t="s">
        <v>49</v>
      </c>
      <c r="P33" s="34"/>
    </row>
    <row r="34">
      <c r="B34" s="40"/>
      <c r="N34" s="40"/>
      <c r="P34" s="38"/>
    </row>
    <row r="35">
      <c r="A35" s="33" t="s">
        <v>104</v>
      </c>
      <c r="B35" s="42"/>
      <c r="N35" s="38"/>
      <c r="P35" s="38"/>
    </row>
    <row r="36">
      <c r="A36" s="50" t="s">
        <v>151</v>
      </c>
      <c r="N36" s="38"/>
      <c r="P36" s="38"/>
    </row>
    <row r="37">
      <c r="N37" s="38"/>
      <c r="P37" s="38"/>
    </row>
    <row r="38">
      <c r="N38" s="38"/>
      <c r="P38" s="38"/>
    </row>
    <row r="39">
      <c r="C39" s="41" t="s">
        <v>104</v>
      </c>
      <c r="D39" s="34"/>
      <c r="G39" s="33" t="s">
        <v>37</v>
      </c>
      <c r="H39" s="34"/>
      <c r="N39" s="38"/>
      <c r="P39" s="38"/>
    </row>
    <row r="40">
      <c r="C40" s="29" t="s">
        <v>152</v>
      </c>
      <c r="D40" s="38"/>
      <c r="G40" s="29" t="s">
        <v>153</v>
      </c>
      <c r="H40" s="38"/>
      <c r="K40" s="33" t="s">
        <v>80</v>
      </c>
      <c r="L40" s="34"/>
      <c r="N40" s="38"/>
      <c r="P40" s="49" t="s">
        <v>154</v>
      </c>
      <c r="Q40" s="33" t="s">
        <v>49</v>
      </c>
      <c r="R40" s="34"/>
      <c r="S40" s="34"/>
    </row>
    <row r="41">
      <c r="A41" s="41" t="s">
        <v>11</v>
      </c>
      <c r="B41" s="34"/>
      <c r="D41" s="39" t="s">
        <v>155</v>
      </c>
      <c r="E41" s="33" t="s">
        <v>104</v>
      </c>
      <c r="F41" s="34"/>
      <c r="H41" s="38"/>
      <c r="K41" s="29" t="s">
        <v>156</v>
      </c>
      <c r="L41" s="38"/>
      <c r="N41" s="38"/>
      <c r="P41" s="49" t="s">
        <v>157</v>
      </c>
    </row>
    <row r="42">
      <c r="A42" s="37" t="s">
        <v>158</v>
      </c>
      <c r="B42" s="38"/>
      <c r="D42" s="40"/>
      <c r="F42" s="38"/>
      <c r="H42" s="39" t="s">
        <v>159</v>
      </c>
      <c r="I42" s="33" t="s">
        <v>104</v>
      </c>
      <c r="J42" s="34"/>
      <c r="L42" s="38"/>
      <c r="N42" s="38"/>
      <c r="P42" s="51"/>
    </row>
    <row r="43">
      <c r="B43" s="39" t="s">
        <v>160</v>
      </c>
      <c r="C43" s="41" t="s">
        <v>11</v>
      </c>
      <c r="D43" s="42"/>
      <c r="F43" s="38"/>
      <c r="H43" s="40"/>
      <c r="J43" s="38"/>
      <c r="L43" s="38"/>
      <c r="N43" s="38"/>
      <c r="P43" s="38"/>
    </row>
    <row r="44">
      <c r="B44" s="40"/>
      <c r="F44" s="38"/>
      <c r="H44" s="38"/>
      <c r="J44" s="38"/>
      <c r="L44" s="38"/>
      <c r="N44" s="38"/>
      <c r="P44" s="38"/>
    </row>
    <row r="45">
      <c r="A45" s="41" t="s">
        <v>35</v>
      </c>
      <c r="B45" s="42"/>
      <c r="F45" s="39" t="s">
        <v>161</v>
      </c>
      <c r="G45" s="33" t="s">
        <v>104</v>
      </c>
      <c r="H45" s="42"/>
      <c r="J45" s="38"/>
      <c r="L45" s="39" t="s">
        <v>162</v>
      </c>
      <c r="M45" s="33" t="s">
        <v>93</v>
      </c>
      <c r="N45" s="42"/>
      <c r="P45" s="38"/>
    </row>
    <row r="46">
      <c r="A46" s="43" t="s">
        <v>163</v>
      </c>
      <c r="F46" s="40"/>
      <c r="J46" s="38"/>
      <c r="L46" s="40"/>
      <c r="P46" s="38"/>
    </row>
    <row r="47">
      <c r="C47" s="33" t="s">
        <v>71</v>
      </c>
      <c r="D47" s="34"/>
      <c r="F47" s="38"/>
      <c r="J47" s="38"/>
      <c r="L47" s="38"/>
      <c r="O47" s="33" t="s">
        <v>164</v>
      </c>
      <c r="P47" s="42"/>
    </row>
    <row r="48">
      <c r="C48" s="29" t="s">
        <v>165</v>
      </c>
      <c r="D48" s="38"/>
      <c r="F48" s="38"/>
      <c r="J48" s="38"/>
      <c r="L48" s="38"/>
      <c r="O48" s="29" t="s">
        <v>166</v>
      </c>
    </row>
    <row r="49">
      <c r="A49" s="41" t="s">
        <v>44</v>
      </c>
      <c r="B49" s="34"/>
      <c r="D49" s="39" t="s">
        <v>167</v>
      </c>
      <c r="E49" s="33" t="s">
        <v>58</v>
      </c>
      <c r="F49" s="42"/>
      <c r="J49" s="38"/>
      <c r="L49" s="38"/>
    </row>
    <row r="50">
      <c r="A50" s="44" t="s">
        <v>168</v>
      </c>
      <c r="B50" s="38"/>
      <c r="D50" s="40"/>
      <c r="J50" s="39" t="s">
        <v>169</v>
      </c>
      <c r="K50" s="33" t="s">
        <v>93</v>
      </c>
      <c r="L50" s="42"/>
    </row>
    <row r="51">
      <c r="B51" s="39" t="s">
        <v>170</v>
      </c>
      <c r="C51" s="41" t="s">
        <v>58</v>
      </c>
      <c r="D51" s="42"/>
      <c r="J51" s="40"/>
    </row>
    <row r="52">
      <c r="B52" s="40"/>
      <c r="J52" s="38"/>
    </row>
    <row r="53">
      <c r="A53" s="41" t="s">
        <v>58</v>
      </c>
      <c r="B53" s="42"/>
      <c r="J53" s="38"/>
    </row>
    <row r="54">
      <c r="A54" s="45" t="s">
        <v>171</v>
      </c>
      <c r="J54" s="38"/>
    </row>
    <row r="55">
      <c r="C55" s="41" t="s">
        <v>54</v>
      </c>
      <c r="D55" s="34"/>
      <c r="G55" s="41" t="s">
        <v>93</v>
      </c>
      <c r="H55" s="34"/>
      <c r="J55" s="38"/>
    </row>
    <row r="56">
      <c r="C56" s="29" t="s">
        <v>172</v>
      </c>
      <c r="D56" s="38"/>
      <c r="G56" s="29" t="s">
        <v>173</v>
      </c>
      <c r="H56" s="38"/>
      <c r="J56" s="38"/>
    </row>
    <row r="57">
      <c r="A57" s="33" t="s">
        <v>67</v>
      </c>
      <c r="B57" s="34"/>
      <c r="D57" s="39" t="s">
        <v>174</v>
      </c>
      <c r="E57" s="41" t="s">
        <v>74</v>
      </c>
      <c r="F57" s="34"/>
      <c r="H57" s="38"/>
      <c r="J57" s="38"/>
    </row>
    <row r="58">
      <c r="A58" s="46" t="s">
        <v>175</v>
      </c>
      <c r="B58" s="38"/>
      <c r="D58" s="40"/>
      <c r="F58" s="38"/>
      <c r="H58" s="39" t="s">
        <v>176</v>
      </c>
      <c r="I58" s="33" t="s">
        <v>93</v>
      </c>
      <c r="J58" s="42"/>
    </row>
    <row r="59">
      <c r="B59" s="39" t="s">
        <v>177</v>
      </c>
      <c r="C59" s="33" t="s">
        <v>74</v>
      </c>
      <c r="D59" s="42"/>
      <c r="F59" s="38"/>
      <c r="H59" s="40"/>
    </row>
    <row r="60">
      <c r="B60" s="40"/>
      <c r="F60" s="38"/>
      <c r="H60" s="38"/>
    </row>
    <row r="61">
      <c r="A61" s="41" t="s">
        <v>74</v>
      </c>
      <c r="B61" s="42"/>
      <c r="F61" s="39" t="s">
        <v>178</v>
      </c>
      <c r="G61" s="41" t="s">
        <v>74</v>
      </c>
      <c r="H61" s="42"/>
    </row>
    <row r="62">
      <c r="A62" s="47" t="s">
        <v>179</v>
      </c>
      <c r="F62" s="40"/>
    </row>
    <row r="63">
      <c r="C63" s="41" t="s">
        <v>21</v>
      </c>
      <c r="D63" s="34"/>
      <c r="F63" s="38"/>
    </row>
    <row r="64">
      <c r="C64" s="29" t="s">
        <v>180</v>
      </c>
      <c r="D64" s="38"/>
      <c r="F64" s="38"/>
    </row>
    <row r="65">
      <c r="A65" s="41" t="s">
        <v>87</v>
      </c>
      <c r="B65" s="34"/>
      <c r="D65" s="39" t="s">
        <v>181</v>
      </c>
      <c r="E65" s="33" t="s">
        <v>87</v>
      </c>
      <c r="F65" s="42"/>
    </row>
    <row r="66">
      <c r="A66" s="48" t="s">
        <v>182</v>
      </c>
      <c r="B66" s="38"/>
      <c r="D66" s="40"/>
    </row>
    <row r="67">
      <c r="B67" s="39" t="s">
        <v>183</v>
      </c>
      <c r="C67" s="41" t="s">
        <v>87</v>
      </c>
      <c r="D67" s="42"/>
    </row>
    <row r="68">
      <c r="B68" s="40"/>
    </row>
    <row r="69">
      <c r="A69" s="33" t="s">
        <v>96</v>
      </c>
      <c r="B69" s="42"/>
    </row>
    <row r="70">
      <c r="A70" s="50" t="s">
        <v>184</v>
      </c>
    </row>
  </sheetData>
  <mergeCells count="49">
    <mergeCell ref="D49:D50"/>
    <mergeCell ref="D57:D58"/>
    <mergeCell ref="H58:H59"/>
    <mergeCell ref="B59:B60"/>
    <mergeCell ref="F61:F62"/>
    <mergeCell ref="D65:D66"/>
    <mergeCell ref="B67:B68"/>
    <mergeCell ref="D41:D42"/>
    <mergeCell ref="H42:H43"/>
    <mergeCell ref="B43:B44"/>
    <mergeCell ref="F45:F46"/>
    <mergeCell ref="L45:L46"/>
    <mergeCell ref="J50:J51"/>
    <mergeCell ref="B51:B52"/>
    <mergeCell ref="O1:P1"/>
    <mergeCell ref="Q1:S1"/>
    <mergeCell ref="A1:B1"/>
    <mergeCell ref="C1:D1"/>
    <mergeCell ref="E1:F1"/>
    <mergeCell ref="G1:H1"/>
    <mergeCell ref="I1:J1"/>
    <mergeCell ref="K1:L1"/>
    <mergeCell ref="M1:N1"/>
    <mergeCell ref="O2:P2"/>
    <mergeCell ref="Q2:S2"/>
    <mergeCell ref="A2:B2"/>
    <mergeCell ref="C2:D2"/>
    <mergeCell ref="E2:F2"/>
    <mergeCell ref="G2:H2"/>
    <mergeCell ref="I2:J2"/>
    <mergeCell ref="K2:L2"/>
    <mergeCell ref="M2:N2"/>
    <mergeCell ref="O3:P3"/>
    <mergeCell ref="Q3:S3"/>
    <mergeCell ref="N33:N34"/>
    <mergeCell ref="A3:B3"/>
    <mergeCell ref="C3:D3"/>
    <mergeCell ref="E3:F3"/>
    <mergeCell ref="G3:H3"/>
    <mergeCell ref="I3:J3"/>
    <mergeCell ref="K3:L3"/>
    <mergeCell ref="M3:N3"/>
    <mergeCell ref="B9:B10"/>
    <mergeCell ref="D13:D14"/>
    <mergeCell ref="B17:B18"/>
    <mergeCell ref="F21:F22"/>
    <mergeCell ref="B25:B26"/>
    <mergeCell ref="D29:D30"/>
    <mergeCell ref="B33:B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