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<sst xmlns="http://schemas.openxmlformats.org/spreadsheetml/2006/main" count="50" uniqueCount="12">
  <si>
    <t>Rank</t>
  </si>
  <si>
    <t>Team</t>
  </si>
  <si>
    <t>W</t>
  </si>
  <si>
    <t>L</t>
  </si>
  <si>
    <t>Round</t>
  </si>
  <si>
    <t>Room 1</t>
  </si>
  <si>
    <t>Room 2</t>
  </si>
  <si>
    <t>Seven Lakes A</t>
  </si>
  <si>
    <t>Seven Lakes B</t>
  </si>
  <si>
    <t>Seven Lakes C</t>
  </si>
  <si>
    <t>LASA</t>
  </si>
  <si>
    <t>Finals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</si>
</sst>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2.0"/>
      <color theme="1"/>
      <name val="Asap"/>
    </font>
    <font>
      <b/>
      <sz val="12.0"/>
      <color theme="1"/>
      <name val="Asap"/>
    </font>
    <font/>
    <font>
      <sz val="12.0"/>
      <color rgb="FFBF9000"/>
      <name val="Asap"/>
    </font>
    <font>
      <sz val="12.0"/>
      <color rgb="FF666666"/>
      <name val="Asap"/>
    </font>
    <font>
      <sz val="12.0"/>
      <color rgb="FF990000"/>
      <name val="Asap"/>
    </font>
  </fonts>
  <fills count="2">
    <fill>
      <patternFill patternType="none"/>
    </fill>
    <fill>
      <patternFill patternType="lightGray"/>
    </fill>
  </fills>
  <borders count="18">
    <border/>
    <border>
      <left style="double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tted">
        <color rgb="FF000000"/>
      </top>
    </border>
    <border>
      <top style="dotted">
        <color rgb="FF000000"/>
      </top>
    </border>
    <border>
      <right style="double">
        <color rgb="FF000000"/>
      </right>
      <top style="dotted">
        <color rgb="FF000000"/>
      </top>
    </border>
    <border>
      <left style="double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uble">
        <color rgb="FF000000"/>
      </right>
      <bottom style="dotted">
        <color rgb="FF000000"/>
      </bottom>
    </border>
    <border>
      <top style="double">
        <color rgb="FF000000"/>
      </top>
    </border>
    <border>
      <left style="double">
        <color rgb="FF000000"/>
      </lef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5" fillId="0" fontId="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5" fillId="0" fontId="3" numFmtId="0" xfId="0" applyBorder="1" applyFont="1"/>
    <xf borderId="5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11" fillId="0" fontId="3" numFmtId="0" xfId="0" applyBorder="1" applyFont="1"/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vertical="center"/>
    </xf>
    <xf borderId="14" fillId="0" fontId="1" numFmtId="0" xfId="0" applyAlignment="1" applyBorder="1" applyFont="1">
      <alignment horizontal="center" readingOrder="0" vertical="center"/>
    </xf>
    <xf borderId="16" fillId="0" fontId="3" numFmtId="0" xfId="0" applyBorder="1" applyFont="1"/>
    <xf borderId="17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6.38"/>
    <col customWidth="1" min="3" max="3" width="15.75"/>
    <col customWidth="1" min="4" max="5" width="5.13"/>
    <col customWidth="1" min="6" max="6" width="3.88"/>
    <col customWidth="1" min="7" max="7" width="7.63"/>
    <col customWidth="1" min="8" max="11" width="15.75"/>
  </cols>
  <sheetData>
    <row r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8.75" customHeight="1">
      <c r="A2" s="2"/>
      <c r="B2" s="3" t="s">
        <v>0</v>
      </c>
      <c r="C2" s="4" t="s">
        <v>1</v>
      </c>
      <c r="D2" s="5" t="s">
        <v>2</v>
      </c>
      <c r="E2" s="6" t="s">
        <v>3</v>
      </c>
      <c r="F2" s="2"/>
      <c r="G2" s="3" t="s">
        <v>4</v>
      </c>
      <c r="H2" s="5" t="s">
        <v>5</v>
      </c>
      <c r="I2" s="7"/>
      <c r="J2" s="5" t="s">
        <v>6</v>
      </c>
      <c r="K2" s="8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8.75" customHeight="1">
      <c r="A3" s="2"/>
      <c r="B3" s="9">
        <v>1.0</v>
      </c>
      <c r="C3" s="10" t="s">
        <v>7</v>
      </c>
      <c r="D3" s="11">
        <v>9.0</v>
      </c>
      <c r="E3" s="12">
        <v>1.0</v>
      </c>
      <c r="F3" s="2"/>
      <c r="G3" s="13">
        <v>1.0</v>
      </c>
      <c r="H3" s="1" t="s">
        <v>8</v>
      </c>
      <c r="I3" s="1" t="s">
        <v>7</v>
      </c>
      <c r="J3" s="1" t="s">
        <v>9</v>
      </c>
      <c r="K3" s="14" t="s">
        <v>10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8.75" customHeight="1">
      <c r="A4" s="2"/>
      <c r="B4" s="15">
        <v>2.0</v>
      </c>
      <c r="C4" s="16" t="s">
        <v>8</v>
      </c>
      <c r="D4" s="17">
        <v>7.0</v>
      </c>
      <c r="E4" s="18">
        <v>3.0</v>
      </c>
      <c r="F4" s="2"/>
      <c r="G4" s="19"/>
      <c r="H4" s="1">
        <f>IFERROR(__xludf.DUMMYFUNCTION("IMPORTRANGE(""https://docs.google.com/spreadsheets/d/15jDgJDL7i6ETwjS73BK8olZzSPL1rCFDFzm9Gk6-lus/edit?usp=sharing"",""Round 1!C29"")"),152.0)</f>
        <v>152</v>
      </c>
      <c r="I4" s="1">
        <f>IFERROR(__xludf.DUMMYFUNCTION("IMPORTRANGE(""https://docs.google.com/spreadsheets/d/15jDgJDL7i6ETwjS73BK8olZzSPL1rCFDFzm9Gk6-lus/edit?usp=sharing"",""Round 1!J29"")"),96.0)</f>
        <v>96</v>
      </c>
      <c r="J4" s="1">
        <f>IFERROR(__xludf.DUMMYFUNCTION("IMPORTRANGE(""https://docs.google.com/spreadsheets/d/18OrSiP3BijlzSOkaxUJmtJLt_XkkF0Q5rqx7Kypc5as/edit?usp=sharing"",""Round 1!C29"")"),52.0)</f>
        <v>52</v>
      </c>
      <c r="K4" s="14">
        <f>IFERROR(__xludf.DUMMYFUNCTION("IMPORTRANGE(""https://docs.google.com/spreadsheets/d/18OrSiP3BijlzSOkaxUJmtJLt_XkkF0Q5rqx7Kypc5as/edit?usp=sharing"",""Round 1!J29"")"),126.0)</f>
        <v>126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8.75" customHeight="1">
      <c r="A5" s="2"/>
      <c r="B5" s="20">
        <v>3.0</v>
      </c>
      <c r="C5" s="21" t="s">
        <v>10</v>
      </c>
      <c r="D5" s="22">
        <v>3.0</v>
      </c>
      <c r="E5" s="23">
        <v>6.0</v>
      </c>
      <c r="F5" s="2"/>
      <c r="G5" s="24">
        <v>2.0</v>
      </c>
      <c r="H5" s="25" t="s">
        <v>9</v>
      </c>
      <c r="I5" s="25" t="s">
        <v>7</v>
      </c>
      <c r="J5" s="25" t="s">
        <v>8</v>
      </c>
      <c r="K5" s="26" t="s">
        <v>10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8.75" customHeight="1">
      <c r="A6" s="2"/>
      <c r="B6" s="27">
        <v>4.0</v>
      </c>
      <c r="C6" s="28" t="s">
        <v>9</v>
      </c>
      <c r="D6" s="1">
        <v>0.0</v>
      </c>
      <c r="E6" s="14">
        <v>9.0</v>
      </c>
      <c r="F6" s="2"/>
      <c r="G6" s="29"/>
      <c r="H6" s="30">
        <f>IFERROR(__xludf.DUMMYFUNCTION("IMPORTRANGE(""https://docs.google.com/spreadsheets/d/15jDgJDL7i6ETwjS73BK8olZzSPL1rCFDFzm9Gk6-lus/edit?usp=sharing"",""Round 2!C29"")"),18.0)</f>
        <v>18</v>
      </c>
      <c r="I6" s="30">
        <f>IFERROR(__xludf.DUMMYFUNCTION("IMPORTRANGE(""https://docs.google.com/spreadsheets/d/15jDgJDL7i6ETwjS73BK8olZzSPL1rCFDFzm9Gk6-lus/edit?usp=sharing"",""Round 2!J29"")"),144.0)</f>
        <v>144</v>
      </c>
      <c r="J6" s="30">
        <f>IFERROR(__xludf.DUMMYFUNCTION("IMPORTRANGE(""https://docs.google.com/spreadsheets/d/18OrSiP3BijlzSOkaxUJmtJLt_XkkF0Q5rqx7Kypc5as/edit?usp=sharing"",""Round 2!C29"")"),114.0)</f>
        <v>114</v>
      </c>
      <c r="K6" s="31">
        <f>IFERROR(__xludf.DUMMYFUNCTION("IMPORTRANGE(""https://docs.google.com/spreadsheets/d/18OrSiP3BijlzSOkaxUJmtJLt_XkkF0Q5rqx7Kypc5as/edit?usp=sharing"",""Round 2!J29"")"),62.0)</f>
        <v>62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8.75" customHeight="1">
      <c r="A7" s="2"/>
      <c r="B7" s="32"/>
      <c r="C7" s="32"/>
      <c r="D7" s="32"/>
      <c r="E7" s="32"/>
      <c r="F7" s="2"/>
      <c r="G7" s="13">
        <v>3.0</v>
      </c>
      <c r="H7" s="1" t="s">
        <v>9</v>
      </c>
      <c r="I7" s="1" t="s">
        <v>8</v>
      </c>
      <c r="J7" s="1" t="s">
        <v>7</v>
      </c>
      <c r="K7" s="14" t="s">
        <v>10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8.75" customHeight="1">
      <c r="A8" s="2"/>
      <c r="B8" s="1"/>
      <c r="C8" s="1"/>
      <c r="D8" s="1"/>
      <c r="E8" s="1"/>
      <c r="F8" s="2"/>
      <c r="G8" s="19"/>
      <c r="H8" s="1">
        <f>IFERROR(__xludf.DUMMYFUNCTION("IMPORTRANGE(""https://docs.google.com/spreadsheets/d/15jDgJDL7i6ETwjS73BK8olZzSPL1rCFDFzm9Gk6-lus/edit?usp=sharing"",""Round 3!C29"")"),34.0)</f>
        <v>34</v>
      </c>
      <c r="I8" s="1">
        <f>IFERROR(__xludf.DUMMYFUNCTION("IMPORTRANGE(""https://docs.google.com/spreadsheets/d/15jDgJDL7i6ETwjS73BK8olZzSPL1rCFDFzm9Gk6-lus/edit?usp=sharing"",""Round 3!J29"")"),74.0)</f>
        <v>74</v>
      </c>
      <c r="J8" s="1">
        <f>IFERROR(__xludf.DUMMYFUNCTION("IMPORTRANGE(""https://docs.google.com/spreadsheets/d/18OrSiP3BijlzSOkaxUJmtJLt_XkkF0Q5rqx7Kypc5as/edit?usp=sharing"",""Round 3!C29"")"),94.0)</f>
        <v>94</v>
      </c>
      <c r="K8" s="14">
        <f>IFERROR(__xludf.DUMMYFUNCTION("IMPORTRANGE(""https://docs.google.com/spreadsheets/d/18OrSiP3BijlzSOkaxUJmtJLt_XkkF0Q5rqx7Kypc5as/edit?usp=sharing"",""Round 3!J29"")"),64.0)</f>
        <v>64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8.75" customHeight="1">
      <c r="A9" s="2"/>
      <c r="B9" s="1"/>
      <c r="C9" s="1"/>
      <c r="D9" s="1"/>
      <c r="E9" s="1"/>
      <c r="F9" s="2"/>
      <c r="G9" s="24">
        <v>4.0</v>
      </c>
      <c r="H9" s="25" t="s">
        <v>9</v>
      </c>
      <c r="I9" s="25" t="s">
        <v>10</v>
      </c>
      <c r="J9" s="25" t="s">
        <v>7</v>
      </c>
      <c r="K9" s="26" t="s">
        <v>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8.75" customHeight="1">
      <c r="A10" s="2"/>
      <c r="B10" s="1"/>
      <c r="C10" s="1"/>
      <c r="D10" s="1"/>
      <c r="E10" s="1"/>
      <c r="F10" s="2"/>
      <c r="G10" s="29"/>
      <c r="H10" s="30">
        <f>IFERROR(__xludf.DUMMYFUNCTION("IMPORTRANGE(""https://docs.google.com/spreadsheets/d/15jDgJDL7i6ETwjS73BK8olZzSPL1rCFDFzm9Gk6-lus/edit?usp=sharing"",""Round 4!C29"")"),46.0)</f>
        <v>46</v>
      </c>
      <c r="I10" s="30">
        <f>IFERROR(__xludf.DUMMYFUNCTION("IMPORTRANGE(""https://docs.google.com/spreadsheets/d/15jDgJDL7i6ETwjS73BK8olZzSPL1rCFDFzm9Gk6-lus/edit?usp=sharing"",""Round 4!J29"")"),66.0)</f>
        <v>66</v>
      </c>
      <c r="J10" s="30">
        <f>IFERROR(__xludf.DUMMYFUNCTION("IMPORTRANGE(""https://docs.google.com/spreadsheets/d/18OrSiP3BijlzSOkaxUJmtJLt_XkkF0Q5rqx7Kypc5as/edit?usp=sharing"",""Round 4!C29"")"),118.0)</f>
        <v>118</v>
      </c>
      <c r="K10" s="31">
        <f>IFERROR(__xludf.DUMMYFUNCTION("IMPORTRANGE(""https://docs.google.com/spreadsheets/d/18OrSiP3BijlzSOkaxUJmtJLt_XkkF0Q5rqx7Kypc5as/edit?usp=sharing"",""Round 4!J29"")"),52.0)</f>
        <v>52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8.75" customHeight="1">
      <c r="A11" s="2"/>
      <c r="B11" s="1"/>
      <c r="C11" s="1"/>
      <c r="D11" s="1"/>
      <c r="E11" s="1"/>
      <c r="F11" s="2"/>
      <c r="G11" s="13">
        <v>5.0</v>
      </c>
      <c r="H11" s="1" t="s">
        <v>8</v>
      </c>
      <c r="I11" s="1" t="s">
        <v>10</v>
      </c>
      <c r="J11" s="1" t="s">
        <v>7</v>
      </c>
      <c r="K11" s="14" t="s">
        <v>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8.75" customHeight="1">
      <c r="A12" s="2"/>
      <c r="B12" s="1"/>
      <c r="C12" s="1"/>
      <c r="D12" s="1"/>
      <c r="E12" s="1"/>
      <c r="F12" s="2"/>
      <c r="G12" s="19"/>
      <c r="H12" s="1">
        <f>IFERROR(__xludf.DUMMYFUNCTION("IMPORTRANGE(""https://docs.google.com/spreadsheets/d/15jDgJDL7i6ETwjS73BK8olZzSPL1rCFDFzm9Gk6-lus/edit?usp=sharing"",""Round 5!C29"")"),42.0)</f>
        <v>42</v>
      </c>
      <c r="I12" s="1">
        <f>IFERROR(__xludf.DUMMYFUNCTION("IMPORTRANGE(""https://docs.google.com/spreadsheets/d/15jDgJDL7i6ETwjS73BK8olZzSPL1rCFDFzm9Gk6-lus/edit?usp=sharing"",""Round 5!J29"")"),36.0)</f>
        <v>36</v>
      </c>
      <c r="J12" s="1">
        <f>IFERROR(__xludf.DUMMYFUNCTION("IMPORTRANGE(""https://docs.google.com/spreadsheets/d/18OrSiP3BijlzSOkaxUJmtJLt_XkkF0Q5rqx7Kypc5as/edit?usp=sharing"",""Round 5!C29"")"),88.0)</f>
        <v>88</v>
      </c>
      <c r="K12" s="14">
        <f>IFERROR(__xludf.DUMMYFUNCTION("IMPORTRANGE(""https://docs.google.com/spreadsheets/d/18OrSiP3BijlzSOkaxUJmtJLt_XkkF0Q5rqx7Kypc5as/edit?usp=sharing"",""Round 5!J29"")"),44.0)</f>
        <v>44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8.75" customHeight="1">
      <c r="A13" s="2"/>
      <c r="B13" s="2"/>
      <c r="C13" s="1"/>
      <c r="D13" s="1"/>
      <c r="E13" s="2"/>
      <c r="F13" s="2"/>
      <c r="G13" s="24">
        <v>6.0</v>
      </c>
      <c r="H13" s="33" t="s">
        <v>7</v>
      </c>
      <c r="I13" s="33" t="s">
        <v>10</v>
      </c>
      <c r="J13" s="33" t="s">
        <v>8</v>
      </c>
      <c r="K13" s="34" t="s">
        <v>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8.75" customHeight="1">
      <c r="A14" s="2"/>
      <c r="B14" s="2"/>
      <c r="C14" s="1"/>
      <c r="D14" s="1"/>
      <c r="E14" s="2"/>
      <c r="F14" s="2"/>
      <c r="G14" s="29"/>
      <c r="H14" s="30">
        <f>IFERROR(__xludf.DUMMYFUNCTION("IMPORTRANGE(""https://docs.google.com/spreadsheets/d/15jDgJDL7i6ETwjS73BK8olZzSPL1rCFDFzm9Gk6-lus/edit?usp=sharing"",""Round 6!C29"")"),58.0)</f>
        <v>58</v>
      </c>
      <c r="I14" s="30">
        <f>IFERROR(__xludf.DUMMYFUNCTION("IMPORTRANGE(""https://docs.google.com/spreadsheets/d/15jDgJDL7i6ETwjS73BK8olZzSPL1rCFDFzm9Gk6-lus/edit?usp=sharing"",""Round 6!J29"")"),56.0)</f>
        <v>56</v>
      </c>
      <c r="J14" s="30">
        <f>IFERROR(__xludf.DUMMYFUNCTION("IMPORTRANGE(""https://docs.google.com/spreadsheets/d/18OrSiP3BijlzSOkaxUJmtJLt_XkkF0Q5rqx7Kypc5as/edit?usp=sharing"",""Round 6!C29"")"),114.0)</f>
        <v>114</v>
      </c>
      <c r="K14" s="31">
        <f>IFERROR(__xludf.DUMMYFUNCTION("IMPORTRANGE(""https://docs.google.com/spreadsheets/d/18OrSiP3BijlzSOkaxUJmtJLt_XkkF0Q5rqx7Kypc5as/edit?usp=sharing"",""Round 6!J29"")"),12.0)</f>
        <v>12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8.75" customHeight="1">
      <c r="A15" s="2"/>
      <c r="B15" s="1"/>
      <c r="C15" s="1"/>
      <c r="D15" s="1"/>
      <c r="E15" s="1"/>
      <c r="F15" s="2"/>
      <c r="G15" s="13">
        <v>7.0</v>
      </c>
      <c r="H15" s="35" t="s">
        <v>7</v>
      </c>
      <c r="I15" s="35" t="s">
        <v>8</v>
      </c>
      <c r="J15" s="35" t="s">
        <v>9</v>
      </c>
      <c r="K15" s="36" t="s">
        <v>10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8.75" customHeight="1">
      <c r="A16" s="2"/>
      <c r="B16" s="1"/>
      <c r="C16" s="1"/>
      <c r="D16" s="1"/>
      <c r="E16" s="1"/>
      <c r="F16" s="2"/>
      <c r="G16" s="19"/>
      <c r="H16" s="1">
        <f>IFERROR(__xludf.DUMMYFUNCTION("IMPORTRANGE(""https://docs.google.com/spreadsheets/d/15jDgJDL7i6ETwjS73BK8olZzSPL1rCFDFzm9Gk6-lus/edit?usp=sharing"",""Round 7!C29"")"),86.0)</f>
        <v>86</v>
      </c>
      <c r="I16" s="1">
        <f>IFERROR(__xludf.DUMMYFUNCTION("IMPORTRANGE(""https://docs.google.com/spreadsheets/d/15jDgJDL7i6ETwjS73BK8olZzSPL1rCFDFzm9Gk6-lus/edit?usp=sharing"",""Round 7!J29"")"),38.0)</f>
        <v>38</v>
      </c>
      <c r="J16" s="1">
        <f>IFERROR(__xludf.DUMMYFUNCTION("IMPORTRANGE(""https://docs.google.com/spreadsheets/d/18OrSiP3BijlzSOkaxUJmtJLt_XkkF0Q5rqx7Kypc5as/edit?usp=sharing"",""Round 7!C29"")"),18.0)</f>
        <v>18</v>
      </c>
      <c r="K16" s="14">
        <f>IFERROR(__xludf.DUMMYFUNCTION("IMPORTRANGE(""https://docs.google.com/spreadsheets/d/18OrSiP3BijlzSOkaxUJmtJLt_XkkF0Q5rqx7Kypc5as/edit?usp=sharing"",""Round 7!J29"")"),58.0)</f>
        <v>58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/>
      <c r="B17" s="2"/>
      <c r="C17" s="2"/>
      <c r="D17" s="2"/>
      <c r="E17" s="2"/>
      <c r="F17" s="2"/>
      <c r="G17" s="24">
        <v>8.0</v>
      </c>
      <c r="H17" s="33" t="s">
        <v>10</v>
      </c>
      <c r="I17" s="33" t="s">
        <v>8</v>
      </c>
      <c r="J17" s="33" t="s">
        <v>9</v>
      </c>
      <c r="K17" s="34" t="s">
        <v>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/>
      <c r="B18" s="2"/>
      <c r="C18" s="2"/>
      <c r="D18" s="2"/>
      <c r="E18" s="2"/>
      <c r="F18" s="2"/>
      <c r="G18" s="29"/>
      <c r="H18" s="30">
        <f>IFERROR(__xludf.DUMMYFUNCTION("IMPORTRANGE(""https://docs.google.com/spreadsheets/d/15jDgJDL7i6ETwjS73BK8olZzSPL1rCFDFzm9Gk6-lus/edit?usp=sharing"",""Round 8!C29"")"),48.0)</f>
        <v>48</v>
      </c>
      <c r="I18" s="30">
        <f>IFERROR(__xludf.DUMMYFUNCTION("IMPORTRANGE(""https://docs.google.com/spreadsheets/d/15jDgJDL7i6ETwjS73BK8olZzSPL1rCFDFzm9Gk6-lus/edit?usp=sharing"",""Round 8!J29"")"),52.0)</f>
        <v>52</v>
      </c>
      <c r="J18" s="30">
        <f>IFERROR(__xludf.DUMMYFUNCTION("IMPORTRANGE(""https://docs.google.com/spreadsheets/d/18OrSiP3BijlzSOkaxUJmtJLt_XkkF0Q5rqx7Kypc5as/edit?usp=sharing"",""Round 8!C29"")"),30.0)</f>
        <v>30</v>
      </c>
      <c r="K18" s="31">
        <f>IFERROR(__xludf.DUMMYFUNCTION("IMPORTRANGE(""https://docs.google.com/spreadsheets/d/18OrSiP3BijlzSOkaxUJmtJLt_XkkF0Q5rqx7Kypc5as/edit?usp=sharing"",""Round 8!J29"")"),122.0)</f>
        <v>122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/>
      <c r="B19" s="2"/>
      <c r="C19" s="2"/>
      <c r="D19" s="2"/>
      <c r="E19" s="2"/>
      <c r="F19" s="2"/>
      <c r="G19" s="13">
        <v>9.0</v>
      </c>
      <c r="H19" s="35" t="s">
        <v>9</v>
      </c>
      <c r="I19" s="35" t="s">
        <v>8</v>
      </c>
      <c r="J19" s="35" t="s">
        <v>7</v>
      </c>
      <c r="K19" s="36" t="s">
        <v>10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/>
      <c r="B20" s="2"/>
      <c r="C20" s="2"/>
      <c r="D20" s="2"/>
      <c r="E20" s="2"/>
      <c r="F20" s="2"/>
      <c r="G20" s="29"/>
      <c r="H20" s="30">
        <f>IFERROR(__xludf.DUMMYFUNCTION("IMPORTRANGE(""https://docs.google.com/spreadsheets/d/15jDgJDL7i6ETwjS73BK8olZzSPL1rCFDFzm9Gk6-lus/edit?usp=sharing"",""Round 9!C29"")"),40.0)</f>
        <v>40</v>
      </c>
      <c r="I20" s="30">
        <f>IFERROR(__xludf.DUMMYFUNCTION("IMPORTRANGE(""https://docs.google.com/spreadsheets/d/15jDgJDL7i6ETwjS73BK8olZzSPL1rCFDFzm9Gk6-lus/edit?usp=sharing"",""Round 9!J29"")"),58.0)</f>
        <v>58</v>
      </c>
      <c r="J20" s="1">
        <f>IFERROR(__xludf.DUMMYFUNCTION("IMPORTRANGE(""https://docs.google.com/spreadsheets/d/18OrSiP3BijlzSOkaxUJmtJLt_XkkF0Q5rqx7Kypc5as/edit?usp=sharing"",""Round 9!C29"")"),72.0)</f>
        <v>72</v>
      </c>
      <c r="K20" s="14">
        <f>IFERROR(__xludf.DUMMYFUNCTION("IMPORTRANGE(""https://docs.google.com/spreadsheets/d/18OrSiP3BijlzSOkaxUJmtJLt_XkkF0Q5rqx7Kypc5as/edit?usp=sharing"",""Round 9!J29"")"),38.0)</f>
        <v>38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/>
      <c r="B21" s="2"/>
      <c r="C21" s="2"/>
      <c r="D21" s="2"/>
      <c r="E21" s="2"/>
      <c r="F21" s="2"/>
      <c r="G21" s="13" t="s">
        <v>11</v>
      </c>
      <c r="H21" s="35" t="s">
        <v>8</v>
      </c>
      <c r="I21" s="35" t="s">
        <v>7</v>
      </c>
      <c r="J21" s="37"/>
      <c r="K21" s="38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/>
      <c r="B22" s="2"/>
      <c r="C22" s="2"/>
      <c r="D22" s="2"/>
      <c r="E22" s="2"/>
      <c r="F22" s="2"/>
      <c r="G22" s="39"/>
      <c r="H22" s="40">
        <f>IFERROR(__xludf.DUMMYFUNCTION("IMPORTRANGE(""https://docs.google.com/spreadsheets/d/15jDgJDL7i6ETwjS73BK8olZzSPL1rCFDFzm9Gk6-lus/edit?usp=sharing"",""Round 10!C29"")"),46.0)</f>
        <v>46</v>
      </c>
      <c r="I22" s="40">
        <f>IFERROR(__xludf.DUMMYFUNCTION("IMPORTRANGE(""https://docs.google.com/spreadsheets/d/15jDgJDL7i6ETwjS73BK8olZzSPL1rCFDFzm9Gk6-lus/edit?usp=sharing"",""Round 10!J29"")"),86.0)</f>
        <v>86</v>
      </c>
      <c r="J22" s="27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</sheetData>
  <mergeCells count="12">
    <mergeCell ref="G13:G14"/>
    <mergeCell ref="G15:G16"/>
    <mergeCell ref="G17:G18"/>
    <mergeCell ref="G19:G20"/>
    <mergeCell ref="G21:G22"/>
    <mergeCell ref="H2:I2"/>
    <mergeCell ref="J2:K2"/>
    <mergeCell ref="G3:G4"/>
    <mergeCell ref="G5:G6"/>
    <mergeCell ref="G7:G8"/>
    <mergeCell ref="G9:G10"/>
    <mergeCell ref="G11:G12"/>
  </mergeCells>
  <drawing r:id="rId1"/>
</worksheet>
</file>