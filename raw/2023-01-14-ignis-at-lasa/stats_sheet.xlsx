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5"/>
    <sheet state="hidden" name="Full" sheetId="2" r:id="rId6"/>
    <sheet state="hidden" name="Sorted" sheetId="3" r:id="rId7"/>
    <sheet state="hidden" name="Sorted Team" sheetId="4" r:id="rId8"/>
    <sheet state="visible" name="Stats" sheetId="5" r:id="rId9"/>
    <sheet state="visible" name="Team Stats" sheetId="6" r:id="rId10"/>
    <sheet state="visible" name="X-Risk" sheetId="7" r:id="rId11"/>
    <sheet state="visible" name="Math" sheetId="8" r:id="rId12"/>
    <sheet state="visible" name="Chemistry" sheetId="9" r:id="rId13"/>
    <sheet state="visible" name="EarthSpace" sheetId="10" r:id="rId14"/>
    <sheet state="visible" name="Biology" sheetId="11" r:id="rId15"/>
    <sheet state="visible" name="Physics" sheetId="12" r:id="rId16"/>
  </sheets>
  <definedNames/>
  <calcPr/>
</workbook>
</file>

<file path=xl/sharedStrings.xml><?xml version="1.0" encoding="utf-8"?>
<sst xmlns="http://schemas.openxmlformats.org/spreadsheetml/2006/main" count="2347" uniqueCount="74">
  <si>
    <t>Seven Lakes B</t>
  </si>
  <si>
    <t>Seven Lakes A</t>
  </si>
  <si>
    <t>Seven Lakes C</t>
  </si>
  <si>
    <t>LASA</t>
  </si>
  <si>
    <t>Gordon</t>
  </si>
  <si>
    <t>Aidan</t>
  </si>
  <si>
    <t>Andy</t>
  </si>
  <si>
    <t>Bonus</t>
  </si>
  <si>
    <t>Michael</t>
  </si>
  <si>
    <t>Score</t>
  </si>
  <si>
    <t>Rohan</t>
  </si>
  <si>
    <t>Phoenix</t>
  </si>
  <si>
    <t>Akash</t>
  </si>
  <si>
    <t>Zhou</t>
  </si>
  <si>
    <t>Carolina</t>
  </si>
  <si>
    <t>Neil</t>
  </si>
  <si>
    <t>Pranav</t>
  </si>
  <si>
    <t>Rishii</t>
  </si>
  <si>
    <t>X</t>
  </si>
  <si>
    <t>Arjun</t>
  </si>
  <si>
    <t>James</t>
  </si>
  <si>
    <t>Fikky</t>
  </si>
  <si>
    <t>Zachary</t>
  </si>
  <si>
    <t>Saffron</t>
  </si>
  <si>
    <t>Sameer</t>
  </si>
  <si>
    <t>Ben</t>
  </si>
  <si>
    <t>M</t>
  </si>
  <si>
    <t>C</t>
  </si>
  <si>
    <t>E</t>
  </si>
  <si>
    <t>B</t>
  </si>
  <si>
    <t>P</t>
  </si>
  <si>
    <t>Team</t>
  </si>
  <si>
    <t>Player</t>
  </si>
  <si>
    <t>PPG</t>
  </si>
  <si>
    <t>GP</t>
  </si>
  <si>
    <t>TU</t>
  </si>
  <si>
    <t>Neg</t>
  </si>
  <si>
    <t>Bonus %</t>
  </si>
  <si>
    <t>TU/Neg</t>
  </si>
  <si>
    <t>X Bonus</t>
  </si>
  <si>
    <t>Points</t>
  </si>
  <si>
    <t>X Bonus %</t>
  </si>
  <si>
    <t>M Bonus</t>
  </si>
  <si>
    <t>M Bonus %</t>
  </si>
  <si>
    <t>C Bonus</t>
  </si>
  <si>
    <t>C Bonus %</t>
  </si>
  <si>
    <t>X TU</t>
  </si>
  <si>
    <t>E Bonus</t>
  </si>
  <si>
    <t>X Neg</t>
  </si>
  <si>
    <t>E Bonus %</t>
  </si>
  <si>
    <t>X PPG</t>
  </si>
  <si>
    <t>B Bonus</t>
  </si>
  <si>
    <t>B Bonus %</t>
  </si>
  <si>
    <t>M TU</t>
  </si>
  <si>
    <t>P Bonus</t>
  </si>
  <si>
    <t>M Neg</t>
  </si>
  <si>
    <t>P Bonus %</t>
  </si>
  <si>
    <t>M PPG</t>
  </si>
  <si>
    <t>C TU</t>
  </si>
  <si>
    <t>C Neg</t>
  </si>
  <si>
    <t>C PPG</t>
  </si>
  <si>
    <t>E TU</t>
  </si>
  <si>
    <t>E Neg</t>
  </si>
  <si>
    <t>E PPG</t>
  </si>
  <si>
    <t>B TU</t>
  </si>
  <si>
    <t>B Neg</t>
  </si>
  <si>
    <t>B PPG</t>
  </si>
  <si>
    <t>P TU</t>
  </si>
  <si>
    <t>P Neg</t>
  </si>
  <si>
    <t>P PPG</t>
  </si>
  <si>
    <t>Infinity</t>
  </si>
  <si>
    <t>Overall</t>
  </si>
  <si>
    <t>Tanay</t>
  </si>
  <si>
    <t>Tanish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</si>
</sst>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1" numFmtId="9" xfId="0" applyAlignment="1" applyFont="1" applyNumberFormat="1">
      <alignment horizontal="right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1" numFmtId="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8" width="6.38"/>
  </cols>
  <sheetData>
    <row r="1">
      <c r="A1" s="1"/>
      <c r="B1" s="1" t="s">
        <v>0</v>
      </c>
      <c r="G1" s="1" t="s">
        <v>1</v>
      </c>
      <c r="L1" s="1" t="s">
        <v>2</v>
      </c>
      <c r="Q1" s="1" t="s">
        <v>3</v>
      </c>
    </row>
    <row r="2">
      <c r="A2" s="1"/>
      <c r="B2" s="1" t="s">
        <v>4</v>
      </c>
      <c r="C2" s="1" t="s">
        <v>5</v>
      </c>
      <c r="D2" s="1" t="s">
        <v>6</v>
      </c>
      <c r="E2" s="1" t="s">
        <v>8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</row>
    <row r="3">
      <c r="A3" s="1"/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0</v>
      </c>
    </row>
    <row r="4">
      <c r="A4" s="1" t="s">
        <v>18</v>
      </c>
      <c r="D4" s="1">
        <v>4.0</v>
      </c>
      <c r="K4" s="1">
        <v>-4.0</v>
      </c>
      <c r="S4" s="1">
        <v>4.0</v>
      </c>
      <c r="U4" s="1"/>
    </row>
    <row r="5">
      <c r="A5" s="1" t="s">
        <v>26</v>
      </c>
      <c r="E5" s="1">
        <v>4.0</v>
      </c>
      <c r="S5" s="1">
        <v>4.0</v>
      </c>
      <c r="U5" s="1"/>
    </row>
    <row r="6">
      <c r="A6" s="1" t="s">
        <v>27</v>
      </c>
      <c r="C6" s="1">
        <v>4.0</v>
      </c>
      <c r="G6" s="1">
        <v>-4.0</v>
      </c>
      <c r="R6" s="1">
        <v>4.0</v>
      </c>
      <c r="U6" s="1"/>
    </row>
    <row r="7">
      <c r="A7" s="1" t="s">
        <v>28</v>
      </c>
      <c r="F7" s="1">
        <v>4.0</v>
      </c>
      <c r="G7" s="1">
        <v>-4.0</v>
      </c>
      <c r="O7" s="1">
        <v>4.0</v>
      </c>
      <c r="U7" s="1"/>
    </row>
    <row r="8">
      <c r="A8" s="1" t="s">
        <v>29</v>
      </c>
      <c r="C8" s="1">
        <v>4.0</v>
      </c>
      <c r="J8" s="1"/>
      <c r="R8" s="1">
        <v>4.0</v>
      </c>
      <c r="U8" s="1"/>
    </row>
    <row r="9">
      <c r="A9" s="1" t="s">
        <v>30</v>
      </c>
      <c r="I9" s="1">
        <v>4.0</v>
      </c>
      <c r="O9" s="1">
        <v>4.0</v>
      </c>
      <c r="U9" s="1"/>
    </row>
    <row r="10">
      <c r="A10" s="1" t="s">
        <v>18</v>
      </c>
      <c r="C10" s="1">
        <v>4.0</v>
      </c>
      <c r="K10" s="1"/>
      <c r="U10" s="1"/>
    </row>
    <row r="11">
      <c r="A11" s="1" t="s">
        <v>26</v>
      </c>
      <c r="F11" s="1">
        <v>4.0</v>
      </c>
      <c r="K11" s="1"/>
      <c r="L11" s="1">
        <v>-4.0</v>
      </c>
      <c r="U11" s="1"/>
    </row>
    <row r="12">
      <c r="A12" s="1" t="s">
        <v>27</v>
      </c>
      <c r="C12" s="1">
        <v>4.0</v>
      </c>
      <c r="S12" s="1">
        <v>4.0</v>
      </c>
      <c r="U12" s="1"/>
    </row>
    <row r="13">
      <c r="A13" s="1" t="s">
        <v>28</v>
      </c>
      <c r="D13" s="1">
        <v>4.0</v>
      </c>
      <c r="U13" s="1"/>
    </row>
    <row r="14">
      <c r="A14" s="1" t="s">
        <v>29</v>
      </c>
      <c r="J14" s="1">
        <v>4.0</v>
      </c>
      <c r="R14" s="1">
        <v>4.0</v>
      </c>
      <c r="U14" s="1"/>
    </row>
    <row r="15">
      <c r="A15" s="1" t="s">
        <v>30</v>
      </c>
      <c r="D15" s="1">
        <v>4.0</v>
      </c>
      <c r="S15" s="1">
        <v>4.0</v>
      </c>
      <c r="U15" s="1"/>
    </row>
    <row r="16">
      <c r="A16" s="1"/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  <c r="S16" s="1" t="b">
        <v>1</v>
      </c>
      <c r="T16" s="1" t="b">
        <v>1</v>
      </c>
      <c r="U16" s="1" t="b">
        <v>0</v>
      </c>
    </row>
    <row r="17">
      <c r="A17" s="1" t="s">
        <v>18</v>
      </c>
      <c r="K17" s="1">
        <v>4.0</v>
      </c>
      <c r="O17" s="1">
        <v>4.0</v>
      </c>
      <c r="U17" s="1"/>
    </row>
    <row r="18">
      <c r="A18" s="1" t="s">
        <v>26</v>
      </c>
      <c r="C18" s="1"/>
      <c r="K18" s="1"/>
      <c r="L18" s="1">
        <v>4.0</v>
      </c>
      <c r="U18" s="1"/>
    </row>
    <row r="19">
      <c r="A19" s="1" t="s">
        <v>27</v>
      </c>
      <c r="G19" s="1">
        <v>4.0</v>
      </c>
      <c r="P19" s="1">
        <v>4.0</v>
      </c>
      <c r="U19" s="1"/>
    </row>
    <row r="20">
      <c r="A20" s="1" t="s">
        <v>28</v>
      </c>
      <c r="C20" s="1">
        <v>4.0</v>
      </c>
      <c r="K20" s="1"/>
      <c r="P20" s="1">
        <v>4.0</v>
      </c>
      <c r="U20" s="1"/>
    </row>
    <row r="21">
      <c r="A21" s="1" t="s">
        <v>29</v>
      </c>
      <c r="J21" s="1">
        <v>4.0</v>
      </c>
      <c r="S21" s="1">
        <v>4.0</v>
      </c>
      <c r="U21" s="1"/>
    </row>
    <row r="22">
      <c r="A22" s="1" t="s">
        <v>30</v>
      </c>
      <c r="D22" s="1">
        <v>4.0</v>
      </c>
      <c r="H22" s="1">
        <v>-4.0</v>
      </c>
      <c r="Q22" s="1">
        <v>4.0</v>
      </c>
      <c r="U22" s="1"/>
    </row>
    <row r="23">
      <c r="A23" s="1" t="s">
        <v>18</v>
      </c>
      <c r="H23" s="1">
        <v>4.0</v>
      </c>
      <c r="T23" s="1">
        <v>-4.0</v>
      </c>
      <c r="U23" s="1"/>
    </row>
    <row r="24">
      <c r="A24" s="1" t="s">
        <v>26</v>
      </c>
      <c r="E24" s="1">
        <v>4.0</v>
      </c>
      <c r="R24" s="1">
        <v>4.0</v>
      </c>
      <c r="U24" s="1"/>
    </row>
    <row r="25">
      <c r="A25" s="1" t="s">
        <v>27</v>
      </c>
      <c r="G25" s="1">
        <v>4.0</v>
      </c>
      <c r="Q25" s="1">
        <v>4.0</v>
      </c>
      <c r="U25" s="1"/>
    </row>
    <row r="26">
      <c r="A26" s="1" t="s">
        <v>28</v>
      </c>
      <c r="K26" s="1">
        <v>4.0</v>
      </c>
      <c r="P26" s="1">
        <v>4.0</v>
      </c>
      <c r="U26" s="1"/>
    </row>
    <row r="27">
      <c r="A27" s="1" t="s">
        <v>29</v>
      </c>
      <c r="J27" s="1">
        <v>4.0</v>
      </c>
      <c r="U27" s="1"/>
    </row>
    <row r="28">
      <c r="A28" s="1" t="s">
        <v>30</v>
      </c>
      <c r="D28" s="1">
        <v>4.0</v>
      </c>
      <c r="L28" s="1">
        <v>-4.0</v>
      </c>
      <c r="S28" s="1">
        <v>4.0</v>
      </c>
      <c r="U28" s="1"/>
    </row>
    <row r="31">
      <c r="A31" s="1"/>
      <c r="B31" s="1" t="s">
        <v>2</v>
      </c>
      <c r="G31" s="1" t="s">
        <v>1</v>
      </c>
      <c r="L31" s="1" t="s">
        <v>0</v>
      </c>
      <c r="Q31" s="1" t="s">
        <v>3</v>
      </c>
    </row>
    <row r="32">
      <c r="A32" s="1"/>
      <c r="B32" s="1" t="s">
        <v>16</v>
      </c>
      <c r="C32" s="1" t="s">
        <v>17</v>
      </c>
      <c r="D32" s="1" t="s">
        <v>19</v>
      </c>
      <c r="E32" s="1" t="s">
        <v>20</v>
      </c>
      <c r="F32" s="1" t="s">
        <v>21</v>
      </c>
      <c r="G32" s="1" t="s">
        <v>11</v>
      </c>
      <c r="H32" s="1" t="s">
        <v>12</v>
      </c>
      <c r="I32" s="1" t="s">
        <v>13</v>
      </c>
      <c r="J32" s="1" t="s">
        <v>14</v>
      </c>
      <c r="K32" s="1" t="s">
        <v>15</v>
      </c>
      <c r="L32" s="1" t="s">
        <v>4</v>
      </c>
      <c r="M32" s="1" t="s">
        <v>5</v>
      </c>
      <c r="N32" s="1" t="s">
        <v>6</v>
      </c>
      <c r="O32" s="1" t="s">
        <v>8</v>
      </c>
      <c r="P32" s="1" t="s">
        <v>10</v>
      </c>
      <c r="Q32" s="1" t="s">
        <v>22</v>
      </c>
      <c r="R32" s="1" t="s">
        <v>23</v>
      </c>
      <c r="S32" s="1" t="s">
        <v>24</v>
      </c>
      <c r="T32" s="1" t="s">
        <v>25</v>
      </c>
    </row>
    <row r="33">
      <c r="A33" s="1"/>
      <c r="B33" s="1" t="b">
        <v>1</v>
      </c>
      <c r="C33" s="1" t="b">
        <v>1</v>
      </c>
      <c r="D33" s="1" t="b">
        <v>1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0</v>
      </c>
    </row>
    <row r="34">
      <c r="A34" s="1" t="s">
        <v>18</v>
      </c>
      <c r="F34" s="1">
        <v>4.0</v>
      </c>
      <c r="P34" s="1">
        <v>4.0</v>
      </c>
      <c r="U34" s="1"/>
    </row>
    <row r="35">
      <c r="A35" s="1" t="s">
        <v>26</v>
      </c>
      <c r="F35" s="1">
        <v>4.0</v>
      </c>
      <c r="M35" s="1">
        <v>4.0</v>
      </c>
      <c r="U35" s="1"/>
    </row>
    <row r="36">
      <c r="A36" s="1" t="s">
        <v>27</v>
      </c>
      <c r="B36" s="1"/>
      <c r="U36" s="1"/>
    </row>
    <row r="37">
      <c r="A37" s="1" t="s">
        <v>28</v>
      </c>
      <c r="H37" s="1">
        <v>4.0</v>
      </c>
      <c r="R37" s="1">
        <v>4.0</v>
      </c>
      <c r="U37" s="1"/>
    </row>
    <row r="38">
      <c r="A38" s="1" t="s">
        <v>29</v>
      </c>
      <c r="H38" s="1">
        <v>4.0</v>
      </c>
      <c r="S38" s="1">
        <v>4.0</v>
      </c>
      <c r="U38" s="1"/>
    </row>
    <row r="39">
      <c r="A39" s="1" t="s">
        <v>30</v>
      </c>
      <c r="F39" s="1">
        <v>-4.0</v>
      </c>
      <c r="I39" s="1">
        <v>4.0</v>
      </c>
      <c r="P39" s="1">
        <v>4.0</v>
      </c>
      <c r="U39" s="1"/>
    </row>
    <row r="40">
      <c r="A40" s="1" t="s">
        <v>18</v>
      </c>
      <c r="H40" s="1">
        <v>4.0</v>
      </c>
      <c r="R40" s="1">
        <v>4.0</v>
      </c>
      <c r="U40" s="1"/>
    </row>
    <row r="41">
      <c r="A41" s="1" t="s">
        <v>26</v>
      </c>
      <c r="K41" s="1">
        <v>4.0</v>
      </c>
      <c r="M41" s="1">
        <v>4.0</v>
      </c>
      <c r="U41" s="1"/>
    </row>
    <row r="42">
      <c r="A42" s="1" t="s">
        <v>27</v>
      </c>
      <c r="B42" s="1"/>
      <c r="G42" s="1">
        <v>4.0</v>
      </c>
      <c r="M42" s="1">
        <v>4.0</v>
      </c>
      <c r="U42" s="1"/>
    </row>
    <row r="43">
      <c r="A43" s="1" t="s">
        <v>28</v>
      </c>
      <c r="H43" s="1">
        <v>4.0</v>
      </c>
      <c r="N43" s="1">
        <v>4.0</v>
      </c>
      <c r="U43" s="1"/>
    </row>
    <row r="44">
      <c r="A44" s="1" t="s">
        <v>29</v>
      </c>
      <c r="J44" s="1">
        <v>4.0</v>
      </c>
      <c r="U44" s="1"/>
    </row>
    <row r="45">
      <c r="A45" s="1" t="s">
        <v>30</v>
      </c>
      <c r="F45" s="1"/>
      <c r="H45" s="1"/>
      <c r="N45" s="1">
        <v>4.0</v>
      </c>
      <c r="U45" s="1"/>
    </row>
    <row r="46">
      <c r="A46" s="1"/>
      <c r="B46" s="1" t="b">
        <v>1</v>
      </c>
      <c r="C46" s="1" t="b">
        <v>1</v>
      </c>
      <c r="D46" s="1" t="b">
        <v>1</v>
      </c>
      <c r="E46" s="1" t="b">
        <v>1</v>
      </c>
      <c r="F46" s="1" t="b">
        <v>1</v>
      </c>
      <c r="G46" s="1" t="b">
        <v>1</v>
      </c>
      <c r="H46" s="1" t="b">
        <v>1</v>
      </c>
      <c r="I46" s="1" t="b">
        <v>1</v>
      </c>
      <c r="J46" s="1" t="b">
        <v>1</v>
      </c>
      <c r="K46" s="1" t="b">
        <v>1</v>
      </c>
      <c r="L46" s="1" t="b">
        <v>1</v>
      </c>
      <c r="M46" s="1" t="b">
        <v>1</v>
      </c>
      <c r="N46" s="1" t="b">
        <v>1</v>
      </c>
      <c r="O46" s="1" t="b">
        <v>1</v>
      </c>
      <c r="P46" s="1" t="b">
        <v>1</v>
      </c>
      <c r="Q46" s="1" t="b">
        <v>1</v>
      </c>
      <c r="R46" s="1" t="b">
        <v>1</v>
      </c>
      <c r="S46" s="1" t="b">
        <v>1</v>
      </c>
      <c r="T46" s="1" t="b">
        <v>1</v>
      </c>
      <c r="U46" s="1" t="b">
        <v>0</v>
      </c>
    </row>
    <row r="47">
      <c r="A47" s="1" t="s">
        <v>18</v>
      </c>
      <c r="B47" s="1"/>
      <c r="G47" s="1"/>
      <c r="U47" s="1"/>
    </row>
    <row r="48">
      <c r="A48" s="1" t="s">
        <v>26</v>
      </c>
      <c r="F48" s="1">
        <v>-4.0</v>
      </c>
      <c r="K48" s="1"/>
      <c r="O48" s="1">
        <v>4.0</v>
      </c>
      <c r="U48" s="1"/>
    </row>
    <row r="49">
      <c r="A49" s="1" t="s">
        <v>27</v>
      </c>
      <c r="G49" s="1">
        <v>4.0</v>
      </c>
      <c r="S49" s="1">
        <v>4.0</v>
      </c>
      <c r="U49" s="1"/>
    </row>
    <row r="50">
      <c r="A50" s="1" t="s">
        <v>28</v>
      </c>
      <c r="B50" s="1"/>
      <c r="H50" s="1"/>
      <c r="R50" s="1">
        <v>4.0</v>
      </c>
      <c r="U50" s="1"/>
    </row>
    <row r="51">
      <c r="A51" s="1" t="s">
        <v>29</v>
      </c>
      <c r="E51" s="1">
        <v>-4.0</v>
      </c>
      <c r="J51" s="1">
        <v>4.0</v>
      </c>
      <c r="P51" s="1">
        <v>4.0</v>
      </c>
      <c r="U51" s="1"/>
    </row>
    <row r="52">
      <c r="A52" s="1" t="s">
        <v>30</v>
      </c>
      <c r="B52" s="1"/>
      <c r="I52" s="1"/>
      <c r="R52" s="1">
        <v>4.0</v>
      </c>
      <c r="U52" s="1"/>
    </row>
    <row r="53">
      <c r="A53" s="1" t="s">
        <v>18</v>
      </c>
      <c r="F53" s="1"/>
      <c r="G53" s="1"/>
      <c r="N53" s="1">
        <v>4.0</v>
      </c>
      <c r="U53" s="1"/>
    </row>
    <row r="54">
      <c r="A54" s="1" t="s">
        <v>26</v>
      </c>
      <c r="E54" s="1"/>
      <c r="H54" s="1">
        <v>4.0</v>
      </c>
      <c r="S54" s="1">
        <v>4.0</v>
      </c>
      <c r="U54" s="1"/>
    </row>
    <row r="55">
      <c r="A55" s="1" t="s">
        <v>27</v>
      </c>
      <c r="G55" s="1">
        <v>4.0</v>
      </c>
      <c r="U55" s="1"/>
    </row>
    <row r="56">
      <c r="A56" s="1" t="s">
        <v>28</v>
      </c>
      <c r="H56" s="1">
        <v>4.0</v>
      </c>
      <c r="N56" s="1">
        <v>4.0</v>
      </c>
      <c r="U56" s="1"/>
    </row>
    <row r="57">
      <c r="A57" s="1" t="s">
        <v>29</v>
      </c>
      <c r="B57" s="1"/>
      <c r="J57" s="1"/>
      <c r="Q57" s="1">
        <v>4.0</v>
      </c>
      <c r="U57" s="1"/>
    </row>
    <row r="58">
      <c r="A58" s="1" t="s">
        <v>30</v>
      </c>
      <c r="F58" s="1"/>
      <c r="G58" s="1"/>
      <c r="U58" s="1"/>
    </row>
    <row r="61">
      <c r="A61" s="1"/>
      <c r="B61" s="1" t="s">
        <v>2</v>
      </c>
      <c r="G61" s="1" t="s">
        <v>0</v>
      </c>
      <c r="L61" s="1" t="s">
        <v>1</v>
      </c>
      <c r="Q61" s="1" t="s">
        <v>3</v>
      </c>
      <c r="AH61" s="3"/>
      <c r="AI61" s="4"/>
      <c r="AJ61" s="4"/>
      <c r="AK61" s="4"/>
      <c r="AL61" s="4"/>
    </row>
    <row r="62">
      <c r="A62" s="1"/>
      <c r="B62" s="1" t="s">
        <v>16</v>
      </c>
      <c r="C62" s="1" t="s">
        <v>17</v>
      </c>
      <c r="D62" s="1" t="s">
        <v>19</v>
      </c>
      <c r="E62" s="1" t="s">
        <v>20</v>
      </c>
      <c r="F62" s="1" t="s">
        <v>21</v>
      </c>
      <c r="G62" s="1" t="s">
        <v>4</v>
      </c>
      <c r="H62" s="1" t="s">
        <v>5</v>
      </c>
      <c r="I62" s="1" t="s">
        <v>6</v>
      </c>
      <c r="J62" s="1" t="s">
        <v>8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22</v>
      </c>
      <c r="R62" s="1" t="s">
        <v>23</v>
      </c>
      <c r="S62" s="1" t="s">
        <v>24</v>
      </c>
      <c r="T62" s="1" t="s">
        <v>25</v>
      </c>
      <c r="AH62" s="5"/>
      <c r="AI62" s="5"/>
      <c r="AJ62" s="5"/>
      <c r="AK62" s="5"/>
      <c r="AL62" s="5"/>
    </row>
    <row r="63">
      <c r="A63" s="1"/>
      <c r="B63" s="1" t="b">
        <v>1</v>
      </c>
      <c r="C63" s="1" t="b">
        <v>1</v>
      </c>
      <c r="D63" s="1" t="b">
        <v>1</v>
      </c>
      <c r="E63" s="1" t="b">
        <v>1</v>
      </c>
      <c r="F63" s="1" t="b">
        <v>1</v>
      </c>
      <c r="G63" s="1" t="b">
        <v>1</v>
      </c>
      <c r="H63" s="1" t="b">
        <v>1</v>
      </c>
      <c r="I63" s="1" t="b">
        <v>1</v>
      </c>
      <c r="J63" s="1" t="b">
        <v>1</v>
      </c>
      <c r="K63" s="1" t="b">
        <v>1</v>
      </c>
      <c r="L63" s="1" t="b">
        <v>1</v>
      </c>
      <c r="M63" s="1" t="b">
        <v>1</v>
      </c>
      <c r="N63" s="1" t="b">
        <v>1</v>
      </c>
      <c r="O63" s="1" t="b">
        <v>1</v>
      </c>
      <c r="P63" s="1" t="b">
        <v>1</v>
      </c>
      <c r="Q63" s="1" t="b">
        <v>1</v>
      </c>
      <c r="R63" s="1" t="b">
        <v>1</v>
      </c>
      <c r="S63" s="1" t="b">
        <v>1</v>
      </c>
      <c r="T63" s="1" t="b">
        <v>1</v>
      </c>
      <c r="U63" s="1" t="b">
        <v>0</v>
      </c>
    </row>
    <row r="64">
      <c r="A64" s="1" t="s">
        <v>18</v>
      </c>
      <c r="I64" s="1">
        <v>4.0</v>
      </c>
      <c r="U64" s="1"/>
    </row>
    <row r="65">
      <c r="A65" s="1" t="s">
        <v>26</v>
      </c>
      <c r="J65" s="1">
        <v>4.0</v>
      </c>
      <c r="P65" s="1">
        <v>4.0</v>
      </c>
      <c r="U65" s="1"/>
    </row>
    <row r="66">
      <c r="A66" s="1" t="s">
        <v>27</v>
      </c>
      <c r="F66" s="1"/>
      <c r="K66" s="1">
        <v>4.0</v>
      </c>
      <c r="U66" s="1"/>
    </row>
    <row r="67">
      <c r="A67" s="1" t="s">
        <v>28</v>
      </c>
      <c r="K67" s="1">
        <v>4.0</v>
      </c>
      <c r="M67" s="1">
        <v>4.0</v>
      </c>
      <c r="U67" s="1"/>
    </row>
    <row r="68">
      <c r="A68" s="1" t="s">
        <v>29</v>
      </c>
      <c r="F68" s="1"/>
      <c r="K68" s="1"/>
      <c r="O68" s="1">
        <v>4.0</v>
      </c>
      <c r="U68" s="1"/>
    </row>
    <row r="69">
      <c r="A69" s="1" t="s">
        <v>30</v>
      </c>
      <c r="C69" s="1"/>
      <c r="H69" s="1"/>
      <c r="S69" s="1">
        <v>4.0</v>
      </c>
      <c r="U69" s="1"/>
    </row>
    <row r="70">
      <c r="A70" s="1" t="s">
        <v>18</v>
      </c>
      <c r="E70" s="1">
        <v>4.0</v>
      </c>
      <c r="Q70" s="1">
        <v>4.0</v>
      </c>
      <c r="U70" s="1"/>
    </row>
    <row r="71">
      <c r="A71" s="1" t="s">
        <v>26</v>
      </c>
      <c r="H71" s="1">
        <v>4.0</v>
      </c>
      <c r="N71" s="1">
        <v>4.0</v>
      </c>
      <c r="U71" s="1"/>
    </row>
    <row r="72">
      <c r="A72" s="1" t="s">
        <v>27</v>
      </c>
      <c r="E72" s="1">
        <v>4.0</v>
      </c>
      <c r="L72" s="1">
        <v>4.0</v>
      </c>
      <c r="U72" s="1"/>
    </row>
    <row r="73">
      <c r="A73" s="1" t="s">
        <v>28</v>
      </c>
      <c r="B73" s="1">
        <v>4.0</v>
      </c>
      <c r="P73" s="1">
        <v>4.0</v>
      </c>
      <c r="U73" s="1"/>
    </row>
    <row r="74">
      <c r="A74" s="1" t="s">
        <v>29</v>
      </c>
      <c r="F74" s="1"/>
      <c r="K74" s="1"/>
      <c r="O74" s="1">
        <v>4.0</v>
      </c>
      <c r="U74" s="1"/>
    </row>
    <row r="75">
      <c r="A75" s="1" t="s">
        <v>30</v>
      </c>
      <c r="E75" s="1">
        <v>4.0</v>
      </c>
      <c r="U75" s="1"/>
    </row>
    <row r="76">
      <c r="A76" s="1"/>
      <c r="B76" s="1" t="b">
        <v>1</v>
      </c>
      <c r="C76" s="1" t="b">
        <v>1</v>
      </c>
      <c r="D76" s="1" t="b">
        <v>1</v>
      </c>
      <c r="E76" s="1" t="b">
        <v>1</v>
      </c>
      <c r="F76" s="1" t="b">
        <v>1</v>
      </c>
      <c r="G76" s="1" t="b">
        <v>1</v>
      </c>
      <c r="H76" s="1" t="b">
        <v>1</v>
      </c>
      <c r="I76" s="1" t="b">
        <v>1</v>
      </c>
      <c r="J76" s="1" t="b">
        <v>1</v>
      </c>
      <c r="K76" s="1" t="b">
        <v>1</v>
      </c>
      <c r="L76" s="1" t="b">
        <v>1</v>
      </c>
      <c r="M76" s="1" t="b">
        <v>1</v>
      </c>
      <c r="N76" s="1" t="b">
        <v>1</v>
      </c>
      <c r="O76" s="1" t="b">
        <v>1</v>
      </c>
      <c r="P76" s="1" t="b">
        <v>1</v>
      </c>
      <c r="Q76" s="1" t="b">
        <v>1</v>
      </c>
      <c r="R76" s="1" t="b">
        <v>1</v>
      </c>
      <c r="S76" s="1" t="b">
        <v>1</v>
      </c>
      <c r="T76" s="1" t="b">
        <v>1</v>
      </c>
      <c r="U76" s="1" t="b">
        <v>0</v>
      </c>
    </row>
    <row r="77">
      <c r="A77" s="1" t="s">
        <v>18</v>
      </c>
      <c r="D77" s="1">
        <v>-4.0</v>
      </c>
      <c r="H77" s="1">
        <v>4.0</v>
      </c>
      <c r="L77" s="1">
        <v>-4.0</v>
      </c>
      <c r="R77" s="1">
        <v>4.0</v>
      </c>
      <c r="U77" s="1"/>
    </row>
    <row r="78">
      <c r="A78" s="1" t="s">
        <v>26</v>
      </c>
      <c r="C78" s="1"/>
      <c r="U78" s="1"/>
    </row>
    <row r="79">
      <c r="A79" s="1" t="s">
        <v>27</v>
      </c>
      <c r="B79" s="1"/>
      <c r="H79" s="1"/>
      <c r="U79" s="1"/>
    </row>
    <row r="80">
      <c r="A80" s="1" t="s">
        <v>28</v>
      </c>
      <c r="H80" s="1">
        <v>4.0</v>
      </c>
      <c r="U80" s="1"/>
    </row>
    <row r="81">
      <c r="A81" s="1" t="s">
        <v>29</v>
      </c>
      <c r="B81" s="1">
        <v>4.0</v>
      </c>
      <c r="U81" s="1"/>
    </row>
    <row r="82">
      <c r="A82" s="1" t="s">
        <v>30</v>
      </c>
      <c r="K82" s="1">
        <v>4.0</v>
      </c>
      <c r="L82" s="1">
        <v>4.0</v>
      </c>
      <c r="U82" s="1"/>
    </row>
    <row r="83">
      <c r="A83" s="1" t="s">
        <v>18</v>
      </c>
      <c r="E83" s="1">
        <v>4.0</v>
      </c>
      <c r="M83" s="1">
        <v>4.0</v>
      </c>
      <c r="U83" s="1"/>
    </row>
    <row r="84">
      <c r="A84" s="1" t="s">
        <v>26</v>
      </c>
      <c r="H84" s="1">
        <v>4.0</v>
      </c>
      <c r="M84" s="1">
        <v>4.0</v>
      </c>
      <c r="U84" s="1"/>
    </row>
    <row r="85">
      <c r="A85" s="1" t="s">
        <v>27</v>
      </c>
      <c r="B85" s="1"/>
      <c r="H85" s="1"/>
      <c r="L85" s="1">
        <v>-4.0</v>
      </c>
      <c r="U85" s="1"/>
    </row>
    <row r="86">
      <c r="A86" s="1" t="s">
        <v>28</v>
      </c>
      <c r="C86" s="1"/>
      <c r="G86" s="1">
        <v>4.0</v>
      </c>
      <c r="S86" s="1">
        <v>4.0</v>
      </c>
      <c r="U86" s="1"/>
    </row>
    <row r="87">
      <c r="A87" s="1" t="s">
        <v>29</v>
      </c>
      <c r="E87" s="1"/>
      <c r="K87" s="1"/>
      <c r="U87" s="1"/>
    </row>
    <row r="88">
      <c r="A88" s="1" t="s">
        <v>30</v>
      </c>
      <c r="F88" s="1"/>
      <c r="H88" s="1"/>
      <c r="L88" s="1">
        <v>4.0</v>
      </c>
      <c r="U88" s="1"/>
    </row>
    <row r="91">
      <c r="A91" s="1"/>
      <c r="B91" s="1" t="s">
        <v>2</v>
      </c>
      <c r="G91" s="1" t="s">
        <v>3</v>
      </c>
      <c r="L91" s="1" t="s">
        <v>1</v>
      </c>
      <c r="Q91" s="1" t="s">
        <v>0</v>
      </c>
    </row>
    <row r="92">
      <c r="A92" s="1"/>
      <c r="B92" s="1" t="s">
        <v>16</v>
      </c>
      <c r="C92" s="1" t="s">
        <v>17</v>
      </c>
      <c r="D92" s="1" t="s">
        <v>19</v>
      </c>
      <c r="E92" s="1" t="s">
        <v>20</v>
      </c>
      <c r="F92" s="1" t="s">
        <v>21</v>
      </c>
      <c r="G92" s="1" t="s">
        <v>22</v>
      </c>
      <c r="H92" s="1" t="s">
        <v>23</v>
      </c>
      <c r="I92" s="1" t="s">
        <v>24</v>
      </c>
      <c r="J92" s="1" t="s">
        <v>25</v>
      </c>
      <c r="L92" s="1" t="s">
        <v>11</v>
      </c>
      <c r="M92" s="1" t="s">
        <v>12</v>
      </c>
      <c r="N92" s="1" t="s">
        <v>13</v>
      </c>
      <c r="O92" s="1" t="s">
        <v>14</v>
      </c>
      <c r="P92" s="1" t="s">
        <v>15</v>
      </c>
      <c r="Q92" s="1" t="s">
        <v>4</v>
      </c>
      <c r="R92" s="1" t="s">
        <v>5</v>
      </c>
      <c r="S92" s="1" t="s">
        <v>6</v>
      </c>
      <c r="T92" s="1" t="s">
        <v>8</v>
      </c>
      <c r="U92" s="1" t="s">
        <v>10</v>
      </c>
    </row>
    <row r="93">
      <c r="A93" s="1"/>
      <c r="B93" s="1" t="b">
        <v>1</v>
      </c>
      <c r="C93" s="1" t="b">
        <v>1</v>
      </c>
      <c r="D93" s="1" t="b">
        <v>1</v>
      </c>
      <c r="E93" s="1" t="b">
        <v>1</v>
      </c>
      <c r="F93" s="1" t="b">
        <v>1</v>
      </c>
      <c r="G93" s="1" t="b">
        <v>1</v>
      </c>
      <c r="H93" s="1" t="b">
        <v>1</v>
      </c>
      <c r="I93" s="1" t="b">
        <v>1</v>
      </c>
      <c r="J93" s="1" t="b">
        <v>1</v>
      </c>
      <c r="K93" s="1" t="b">
        <v>1</v>
      </c>
      <c r="L93" s="1" t="b">
        <v>1</v>
      </c>
      <c r="M93" s="1" t="b">
        <v>1</v>
      </c>
      <c r="N93" s="1" t="b">
        <v>1</v>
      </c>
      <c r="O93" s="1" t="b">
        <v>1</v>
      </c>
      <c r="P93" s="1" t="b">
        <v>1</v>
      </c>
      <c r="Q93" s="1" t="b">
        <v>1</v>
      </c>
      <c r="R93" s="1" t="b">
        <v>1</v>
      </c>
      <c r="S93" s="1" t="b">
        <v>1</v>
      </c>
      <c r="T93" s="1" t="b">
        <v>1</v>
      </c>
      <c r="U93" s="1" t="b">
        <v>1</v>
      </c>
    </row>
    <row r="94">
      <c r="A94" s="1" t="s">
        <v>18</v>
      </c>
      <c r="E94" s="1">
        <v>-4.0</v>
      </c>
    </row>
    <row r="95">
      <c r="A95" s="1" t="s">
        <v>26</v>
      </c>
      <c r="F95" s="1"/>
      <c r="H95" s="1"/>
    </row>
    <row r="96">
      <c r="A96" s="1" t="s">
        <v>27</v>
      </c>
      <c r="L96" s="1">
        <v>4.0</v>
      </c>
    </row>
    <row r="97">
      <c r="A97" s="1" t="s">
        <v>28</v>
      </c>
      <c r="B97" s="1">
        <v>4.0</v>
      </c>
      <c r="M97" s="1">
        <v>4.0</v>
      </c>
    </row>
    <row r="98">
      <c r="A98" s="1" t="s">
        <v>29</v>
      </c>
      <c r="I98" s="1">
        <v>4.0</v>
      </c>
      <c r="O98" s="1">
        <v>4.0</v>
      </c>
    </row>
    <row r="99">
      <c r="A99" s="1" t="s">
        <v>30</v>
      </c>
      <c r="G99" s="1">
        <v>4.0</v>
      </c>
      <c r="Q99" s="1">
        <v>4.0</v>
      </c>
    </row>
    <row r="100">
      <c r="A100" s="1" t="s">
        <v>18</v>
      </c>
      <c r="E100" s="1">
        <v>4.0</v>
      </c>
      <c r="H100" s="1">
        <v>-4.0</v>
      </c>
      <c r="N100" s="1">
        <v>4.0</v>
      </c>
    </row>
    <row r="101">
      <c r="A101" s="1" t="s">
        <v>26</v>
      </c>
      <c r="H101" s="1">
        <v>4.0</v>
      </c>
      <c r="M101" s="1">
        <v>4.0</v>
      </c>
    </row>
    <row r="102">
      <c r="A102" s="1" t="s">
        <v>27</v>
      </c>
      <c r="E102" s="1"/>
      <c r="I102" s="1"/>
      <c r="U102" s="1">
        <v>4.0</v>
      </c>
    </row>
    <row r="103">
      <c r="A103" s="1" t="s">
        <v>28</v>
      </c>
      <c r="F103" s="1">
        <v>4.0</v>
      </c>
      <c r="L103" s="1">
        <v>4.0</v>
      </c>
    </row>
    <row r="104">
      <c r="A104" s="1" t="s">
        <v>29</v>
      </c>
      <c r="C104" s="1"/>
      <c r="O104" s="1">
        <v>4.0</v>
      </c>
    </row>
    <row r="105">
      <c r="A105" s="1" t="s">
        <v>30</v>
      </c>
      <c r="F105" s="1">
        <v>4.0</v>
      </c>
      <c r="S105" s="1">
        <v>4.0</v>
      </c>
    </row>
    <row r="106">
      <c r="A106" s="1"/>
      <c r="B106" s="1" t="b">
        <v>1</v>
      </c>
      <c r="C106" s="1" t="b">
        <v>1</v>
      </c>
      <c r="D106" s="1" t="b">
        <v>1</v>
      </c>
      <c r="E106" s="1" t="b">
        <v>1</v>
      </c>
      <c r="F106" s="1" t="b">
        <v>1</v>
      </c>
      <c r="G106" s="1" t="b">
        <v>1</v>
      </c>
      <c r="H106" s="1" t="b">
        <v>1</v>
      </c>
      <c r="I106" s="1" t="b">
        <v>1</v>
      </c>
      <c r="J106" s="1" t="b">
        <v>1</v>
      </c>
      <c r="K106" s="1" t="b">
        <v>1</v>
      </c>
      <c r="L106" s="1" t="b">
        <v>1</v>
      </c>
      <c r="M106" s="1" t="b">
        <v>1</v>
      </c>
      <c r="N106" s="1" t="b">
        <v>1</v>
      </c>
      <c r="O106" s="1" t="b">
        <v>1</v>
      </c>
      <c r="P106" s="1" t="b">
        <v>1</v>
      </c>
      <c r="Q106" s="1" t="b">
        <v>1</v>
      </c>
      <c r="R106" s="1" t="b">
        <v>1</v>
      </c>
      <c r="S106" s="1" t="b">
        <v>1</v>
      </c>
      <c r="T106" s="1" t="b">
        <v>1</v>
      </c>
      <c r="U106" s="1" t="b">
        <v>1</v>
      </c>
    </row>
    <row r="107">
      <c r="A107" s="1" t="s">
        <v>18</v>
      </c>
      <c r="G107" s="1">
        <v>4.0</v>
      </c>
      <c r="L107" s="1">
        <v>4.0</v>
      </c>
    </row>
    <row r="108">
      <c r="A108" s="1" t="s">
        <v>26</v>
      </c>
      <c r="F108" s="1"/>
      <c r="H108" s="1"/>
      <c r="R108" s="1">
        <v>4.0</v>
      </c>
    </row>
    <row r="109">
      <c r="A109" s="1" t="s">
        <v>27</v>
      </c>
      <c r="F109" s="1"/>
      <c r="G109" s="1"/>
      <c r="L109" s="1">
        <v>4.0</v>
      </c>
    </row>
    <row r="110">
      <c r="A110" s="1" t="s">
        <v>28</v>
      </c>
      <c r="B110" s="1"/>
    </row>
    <row r="111">
      <c r="A111" s="1" t="s">
        <v>29</v>
      </c>
      <c r="G111" s="1">
        <v>4.0</v>
      </c>
      <c r="R111" s="1">
        <v>4.0</v>
      </c>
    </row>
    <row r="112">
      <c r="A112" s="1" t="s">
        <v>30</v>
      </c>
      <c r="F112" s="1">
        <v>4.0</v>
      </c>
      <c r="S112" s="1">
        <v>4.0</v>
      </c>
    </row>
    <row r="113">
      <c r="A113" s="1" t="s">
        <v>18</v>
      </c>
      <c r="C113" s="1"/>
      <c r="J113" s="1"/>
      <c r="L113" s="1">
        <v>-4.0</v>
      </c>
    </row>
    <row r="114">
      <c r="A114" s="1" t="s">
        <v>26</v>
      </c>
    </row>
    <row r="115">
      <c r="A115" s="1" t="s">
        <v>27</v>
      </c>
      <c r="F115" s="1">
        <v>4.0</v>
      </c>
      <c r="R115" s="1">
        <v>4.0</v>
      </c>
    </row>
    <row r="116">
      <c r="A116" s="1" t="s">
        <v>28</v>
      </c>
      <c r="B116" s="1">
        <v>-4.0</v>
      </c>
      <c r="J116" s="1">
        <v>-4.0</v>
      </c>
      <c r="M116" s="1">
        <v>4.0</v>
      </c>
    </row>
    <row r="117">
      <c r="A117" s="1" t="s">
        <v>29</v>
      </c>
      <c r="F117" s="1">
        <v>4.0</v>
      </c>
      <c r="O117" s="1">
        <v>4.0</v>
      </c>
    </row>
    <row r="118">
      <c r="A118" s="1" t="s">
        <v>30</v>
      </c>
      <c r="E118" s="1">
        <v>-4.0</v>
      </c>
      <c r="G118" s="1">
        <v>4.0</v>
      </c>
      <c r="L118" s="1">
        <v>4.0</v>
      </c>
    </row>
    <row r="121">
      <c r="A121" s="1"/>
      <c r="B121" s="1" t="s">
        <v>0</v>
      </c>
      <c r="G121" s="1" t="s">
        <v>3</v>
      </c>
      <c r="L121" s="1" t="s">
        <v>1</v>
      </c>
      <c r="Q121" s="1" t="s">
        <v>2</v>
      </c>
    </row>
    <row r="122">
      <c r="A122" s="1"/>
      <c r="B122" s="1" t="s">
        <v>4</v>
      </c>
      <c r="C122" s="1" t="s">
        <v>5</v>
      </c>
      <c r="D122" s="1" t="s">
        <v>6</v>
      </c>
      <c r="E122" s="1" t="s">
        <v>8</v>
      </c>
      <c r="F122" s="1" t="s">
        <v>10</v>
      </c>
      <c r="G122" s="1" t="s">
        <v>22</v>
      </c>
      <c r="H122" s="1" t="s">
        <v>23</v>
      </c>
      <c r="I122" s="1" t="s">
        <v>24</v>
      </c>
      <c r="J122" s="1" t="s">
        <v>25</v>
      </c>
      <c r="L122" s="1" t="s">
        <v>11</v>
      </c>
      <c r="M122" s="1" t="s">
        <v>12</v>
      </c>
      <c r="N122" s="1" t="s">
        <v>13</v>
      </c>
      <c r="O122" s="1" t="s">
        <v>14</v>
      </c>
      <c r="P122" s="1" t="s">
        <v>15</v>
      </c>
      <c r="Q122" s="1" t="s">
        <v>16</v>
      </c>
      <c r="R122" s="1" t="s">
        <v>17</v>
      </c>
      <c r="S122" s="1" t="s">
        <v>19</v>
      </c>
      <c r="T122" s="1" t="s">
        <v>20</v>
      </c>
      <c r="U122" s="1" t="s">
        <v>21</v>
      </c>
    </row>
    <row r="123">
      <c r="A123" s="1"/>
      <c r="B123" s="1" t="b">
        <v>1</v>
      </c>
      <c r="C123" s="1" t="b">
        <v>1</v>
      </c>
      <c r="D123" s="1" t="b">
        <v>1</v>
      </c>
      <c r="E123" s="1" t="b">
        <v>1</v>
      </c>
      <c r="F123" s="1" t="b">
        <v>1</v>
      </c>
      <c r="G123" s="1" t="b">
        <v>1</v>
      </c>
      <c r="H123" s="1" t="b">
        <v>1</v>
      </c>
      <c r="I123" s="1" t="b">
        <v>1</v>
      </c>
      <c r="J123" s="1" t="b">
        <v>1</v>
      </c>
      <c r="K123" s="1" t="b">
        <v>1</v>
      </c>
      <c r="L123" s="1" t="b">
        <v>1</v>
      </c>
      <c r="M123" s="1" t="b">
        <v>1</v>
      </c>
      <c r="N123" s="1" t="b">
        <v>1</v>
      </c>
      <c r="O123" s="1" t="b">
        <v>1</v>
      </c>
      <c r="P123" s="1" t="b">
        <v>1</v>
      </c>
      <c r="Q123" s="1" t="b">
        <v>1</v>
      </c>
      <c r="R123" s="1" t="b">
        <v>1</v>
      </c>
      <c r="S123" s="1" t="b">
        <v>1</v>
      </c>
      <c r="T123" s="1" t="b">
        <v>1</v>
      </c>
      <c r="U123" s="1" t="b">
        <v>1</v>
      </c>
    </row>
    <row r="124">
      <c r="A124" s="1" t="s">
        <v>18</v>
      </c>
      <c r="N124" s="1"/>
    </row>
    <row r="125">
      <c r="A125" s="1" t="s">
        <v>26</v>
      </c>
      <c r="C125" s="1">
        <v>4.0</v>
      </c>
      <c r="P125" s="1">
        <v>-4.0</v>
      </c>
    </row>
    <row r="126">
      <c r="A126" s="1" t="s">
        <v>27</v>
      </c>
      <c r="L126" s="1">
        <v>4.0</v>
      </c>
    </row>
    <row r="127">
      <c r="A127" s="1" t="s">
        <v>28</v>
      </c>
      <c r="G127" s="1">
        <v>-4.0</v>
      </c>
      <c r="R127" s="1">
        <v>-4.0</v>
      </c>
    </row>
    <row r="128">
      <c r="A128" s="1" t="s">
        <v>29</v>
      </c>
    </row>
    <row r="129">
      <c r="A129" s="1" t="s">
        <v>30</v>
      </c>
      <c r="L129" s="1">
        <v>4.0</v>
      </c>
    </row>
    <row r="130">
      <c r="A130" s="1" t="s">
        <v>18</v>
      </c>
      <c r="I130" s="1">
        <v>4.0</v>
      </c>
    </row>
    <row r="131">
      <c r="A131" s="1" t="s">
        <v>26</v>
      </c>
      <c r="E131" s="1"/>
      <c r="H131" s="1">
        <v>4.0</v>
      </c>
      <c r="M131" s="1">
        <v>-4.0</v>
      </c>
      <c r="T131" s="1">
        <v>-4.0</v>
      </c>
    </row>
    <row r="132">
      <c r="A132" s="1" t="s">
        <v>27</v>
      </c>
      <c r="C132" s="1"/>
      <c r="I132" s="1">
        <v>-4.0</v>
      </c>
      <c r="L132" s="1">
        <v>4.0</v>
      </c>
    </row>
    <row r="133">
      <c r="A133" s="1" t="s">
        <v>28</v>
      </c>
      <c r="F133" s="1"/>
      <c r="J133" s="1"/>
    </row>
    <row r="134">
      <c r="A134" s="1" t="s">
        <v>29</v>
      </c>
      <c r="G134" s="1"/>
      <c r="U134" s="1">
        <v>4.0</v>
      </c>
    </row>
    <row r="135">
      <c r="A135" s="1" t="s">
        <v>30</v>
      </c>
    </row>
    <row r="136">
      <c r="A136" s="1"/>
      <c r="B136" s="1" t="b">
        <v>1</v>
      </c>
      <c r="C136" s="1" t="b">
        <v>1</v>
      </c>
      <c r="D136" s="1" t="b">
        <v>1</v>
      </c>
      <c r="E136" s="1" t="b">
        <v>1</v>
      </c>
      <c r="F136" s="1" t="b">
        <v>1</v>
      </c>
      <c r="G136" s="1" t="b">
        <v>1</v>
      </c>
      <c r="H136" s="1" t="b">
        <v>1</v>
      </c>
      <c r="I136" s="1" t="b">
        <v>1</v>
      </c>
      <c r="J136" s="1" t="b">
        <v>1</v>
      </c>
      <c r="K136" s="1" t="b">
        <v>0</v>
      </c>
      <c r="L136" s="1" t="b">
        <v>1</v>
      </c>
      <c r="M136" s="1" t="b">
        <v>1</v>
      </c>
      <c r="N136" s="1" t="b">
        <v>1</v>
      </c>
      <c r="O136" s="1" t="b">
        <v>1</v>
      </c>
      <c r="P136" s="1" t="b">
        <v>1</v>
      </c>
      <c r="Q136" s="1" t="b">
        <v>1</v>
      </c>
      <c r="R136" s="1" t="b">
        <v>1</v>
      </c>
      <c r="S136" s="1" t="b">
        <v>1</v>
      </c>
      <c r="T136" s="1" t="b">
        <v>1</v>
      </c>
      <c r="U136" s="1" t="b">
        <v>1</v>
      </c>
    </row>
    <row r="137">
      <c r="A137" s="1" t="s">
        <v>18</v>
      </c>
      <c r="H137" s="1">
        <v>4.0</v>
      </c>
      <c r="K137" s="1"/>
      <c r="P137" s="1">
        <v>4.0</v>
      </c>
    </row>
    <row r="138">
      <c r="A138" s="1" t="s">
        <v>26</v>
      </c>
      <c r="E138" s="1">
        <v>4.0</v>
      </c>
      <c r="K138" s="1"/>
      <c r="N138" s="1">
        <v>4.0</v>
      </c>
    </row>
    <row r="139">
      <c r="A139" s="1" t="s">
        <v>27</v>
      </c>
      <c r="K139" s="1"/>
    </row>
    <row r="140">
      <c r="A140" s="1" t="s">
        <v>28</v>
      </c>
      <c r="F140" s="1">
        <v>4.0</v>
      </c>
      <c r="G140" s="1"/>
      <c r="K140" s="1"/>
      <c r="M140" s="1">
        <v>-4.0</v>
      </c>
      <c r="S140" s="1">
        <v>4.0</v>
      </c>
    </row>
    <row r="141">
      <c r="A141" s="1" t="s">
        <v>29</v>
      </c>
      <c r="K141" s="1"/>
      <c r="O141" s="1">
        <v>4.0</v>
      </c>
    </row>
    <row r="142">
      <c r="A142" s="1" t="s">
        <v>30</v>
      </c>
      <c r="K142" s="1"/>
    </row>
    <row r="143">
      <c r="A143" s="1" t="s">
        <v>18</v>
      </c>
      <c r="G143" s="1">
        <v>4.0</v>
      </c>
      <c r="K143" s="1"/>
      <c r="P143" s="1">
        <v>4.0</v>
      </c>
      <c r="T143" s="1">
        <v>-4.0</v>
      </c>
    </row>
    <row r="144">
      <c r="A144" s="1" t="s">
        <v>26</v>
      </c>
      <c r="C144" s="1">
        <v>4.0</v>
      </c>
      <c r="K144" s="1"/>
      <c r="U144" s="1">
        <v>4.0</v>
      </c>
    </row>
    <row r="145">
      <c r="A145" s="1" t="s">
        <v>27</v>
      </c>
      <c r="C145" s="1"/>
      <c r="H145" s="1"/>
      <c r="K145" s="1"/>
      <c r="L145" s="1">
        <v>4.0</v>
      </c>
    </row>
    <row r="146">
      <c r="A146" s="1" t="s">
        <v>28</v>
      </c>
      <c r="D146" s="1">
        <v>4.0</v>
      </c>
      <c r="K146" s="1"/>
    </row>
    <row r="147">
      <c r="A147" s="1" t="s">
        <v>29</v>
      </c>
      <c r="C147" s="1"/>
      <c r="K147" s="1"/>
    </row>
    <row r="148">
      <c r="A148" s="1" t="s">
        <v>30</v>
      </c>
      <c r="D148" s="1">
        <v>4.0</v>
      </c>
      <c r="K148" s="1"/>
      <c r="N148" s="1">
        <v>4.0</v>
      </c>
    </row>
    <row r="151">
      <c r="A151" s="1"/>
      <c r="B151" s="1" t="s">
        <v>1</v>
      </c>
      <c r="G151" s="1" t="s">
        <v>3</v>
      </c>
      <c r="L151" s="1" t="s">
        <v>0</v>
      </c>
      <c r="Q151" s="1" t="s">
        <v>2</v>
      </c>
    </row>
    <row r="152">
      <c r="A152" s="1"/>
      <c r="B152" s="1" t="s">
        <v>11</v>
      </c>
      <c r="C152" s="1" t="s">
        <v>12</v>
      </c>
      <c r="D152" s="1" t="s">
        <v>13</v>
      </c>
      <c r="E152" s="1" t="s">
        <v>14</v>
      </c>
      <c r="F152" s="1" t="s">
        <v>15</v>
      </c>
      <c r="G152" s="1" t="s">
        <v>22</v>
      </c>
      <c r="H152" s="1" t="s">
        <v>23</v>
      </c>
      <c r="I152" s="1" t="s">
        <v>24</v>
      </c>
      <c r="J152" s="1" t="s">
        <v>25</v>
      </c>
      <c r="L152" s="1" t="s">
        <v>4</v>
      </c>
      <c r="M152" s="1" t="s">
        <v>5</v>
      </c>
      <c r="N152" s="1" t="s">
        <v>6</v>
      </c>
      <c r="O152" s="1" t="s">
        <v>8</v>
      </c>
      <c r="P152" s="1" t="s">
        <v>10</v>
      </c>
      <c r="Q152" s="1" t="s">
        <v>16</v>
      </c>
      <c r="R152" s="1" t="s">
        <v>17</v>
      </c>
      <c r="S152" s="1" t="s">
        <v>19</v>
      </c>
      <c r="T152" s="1" t="s">
        <v>20</v>
      </c>
      <c r="U152" s="1" t="s">
        <v>21</v>
      </c>
    </row>
    <row r="153">
      <c r="A153" s="1"/>
      <c r="B153" s="1" t="b">
        <v>1</v>
      </c>
      <c r="C153" s="1" t="b">
        <v>1</v>
      </c>
      <c r="D153" s="1" t="b">
        <v>1</v>
      </c>
      <c r="E153" s="1" t="b">
        <v>1</v>
      </c>
      <c r="F153" s="1" t="b">
        <v>1</v>
      </c>
      <c r="G153" s="1" t="b">
        <v>1</v>
      </c>
      <c r="H153" s="1" t="b">
        <v>1</v>
      </c>
      <c r="I153" s="1" t="b">
        <v>1</v>
      </c>
      <c r="J153" s="1" t="b">
        <v>1</v>
      </c>
      <c r="K153" s="1" t="b">
        <v>0</v>
      </c>
      <c r="L153" s="1" t="b">
        <v>1</v>
      </c>
      <c r="M153" s="1" t="b">
        <v>1</v>
      </c>
      <c r="N153" s="1" t="b">
        <v>1</v>
      </c>
      <c r="O153" s="1" t="b">
        <v>1</v>
      </c>
      <c r="P153" s="1" t="b">
        <v>1</v>
      </c>
      <c r="Q153" s="1" t="b">
        <v>1</v>
      </c>
      <c r="R153" s="1" t="b">
        <v>1</v>
      </c>
      <c r="S153" s="1" t="b">
        <v>1</v>
      </c>
      <c r="T153" s="1" t="b">
        <v>1</v>
      </c>
      <c r="U153" s="1" t="b">
        <v>1</v>
      </c>
    </row>
    <row r="154">
      <c r="A154" s="1" t="s">
        <v>18</v>
      </c>
      <c r="B154" s="1">
        <v>4.0</v>
      </c>
      <c r="K154" s="1"/>
      <c r="N154" s="1">
        <v>4.0</v>
      </c>
    </row>
    <row r="155">
      <c r="A155" s="1" t="s">
        <v>26</v>
      </c>
      <c r="I155" s="1">
        <v>4.0</v>
      </c>
      <c r="K155" s="1"/>
      <c r="O155" s="1">
        <v>4.0</v>
      </c>
    </row>
    <row r="156">
      <c r="A156" s="1" t="s">
        <v>27</v>
      </c>
      <c r="B156" s="1">
        <v>4.0</v>
      </c>
      <c r="K156" s="1"/>
    </row>
    <row r="157">
      <c r="A157" s="1" t="s">
        <v>28</v>
      </c>
      <c r="K157" s="1"/>
      <c r="P157" s="1">
        <v>4.0</v>
      </c>
    </row>
    <row r="158">
      <c r="A158" s="1" t="s">
        <v>29</v>
      </c>
      <c r="K158" s="1"/>
    </row>
    <row r="159">
      <c r="A159" s="1" t="s">
        <v>30</v>
      </c>
      <c r="K159" s="1"/>
    </row>
    <row r="160">
      <c r="A160" s="1" t="s">
        <v>18</v>
      </c>
      <c r="H160" s="1">
        <v>4.0</v>
      </c>
      <c r="K160" s="1"/>
      <c r="M160" s="1">
        <v>4.0</v>
      </c>
    </row>
    <row r="161">
      <c r="A161" s="1" t="s">
        <v>26</v>
      </c>
      <c r="K161" s="1"/>
    </row>
    <row r="162">
      <c r="A162" s="1" t="s">
        <v>27</v>
      </c>
      <c r="B162" s="1">
        <v>-4.0</v>
      </c>
      <c r="I162" s="1">
        <v>-4.0</v>
      </c>
      <c r="K162" s="1"/>
    </row>
    <row r="163">
      <c r="A163" s="1" t="s">
        <v>28</v>
      </c>
      <c r="K163" s="1"/>
      <c r="P163" s="1">
        <v>4.0</v>
      </c>
    </row>
    <row r="164">
      <c r="A164" s="1" t="s">
        <v>29</v>
      </c>
      <c r="H164" s="1">
        <v>4.0</v>
      </c>
      <c r="K164" s="1"/>
      <c r="P164" s="1">
        <v>4.0</v>
      </c>
    </row>
    <row r="165">
      <c r="A165" s="1" t="s">
        <v>30</v>
      </c>
      <c r="G165" s="1">
        <v>4.0</v>
      </c>
      <c r="K165" s="1"/>
      <c r="P165" s="1">
        <v>4.0</v>
      </c>
    </row>
    <row r="166">
      <c r="A166" s="1"/>
      <c r="B166" s="1" t="b">
        <v>1</v>
      </c>
      <c r="C166" s="1" t="b">
        <v>1</v>
      </c>
      <c r="D166" s="1" t="b">
        <v>1</v>
      </c>
      <c r="E166" s="1" t="b">
        <v>1</v>
      </c>
      <c r="F166" s="1" t="b">
        <v>1</v>
      </c>
      <c r="G166" s="1" t="b">
        <v>1</v>
      </c>
      <c r="H166" s="1" t="b">
        <v>1</v>
      </c>
      <c r="I166" s="1" t="b">
        <v>1</v>
      </c>
      <c r="J166" s="1" t="b">
        <v>1</v>
      </c>
      <c r="K166" s="1" t="b">
        <v>0</v>
      </c>
      <c r="L166" s="1" t="b">
        <v>1</v>
      </c>
      <c r="M166" s="1" t="b">
        <v>1</v>
      </c>
      <c r="N166" s="1" t="b">
        <v>1</v>
      </c>
      <c r="O166" s="1" t="b">
        <v>1</v>
      </c>
      <c r="P166" s="1" t="b">
        <v>1</v>
      </c>
      <c r="Q166" s="1" t="b">
        <v>1</v>
      </c>
      <c r="R166" s="1" t="b">
        <v>1</v>
      </c>
      <c r="S166" s="1" t="b">
        <v>1</v>
      </c>
      <c r="T166" s="1" t="b">
        <v>1</v>
      </c>
      <c r="U166" s="1" t="b">
        <v>1</v>
      </c>
    </row>
    <row r="167">
      <c r="A167" s="1" t="s">
        <v>18</v>
      </c>
      <c r="K167" s="1"/>
      <c r="Q167" s="1">
        <v>4.0</v>
      </c>
    </row>
    <row r="168">
      <c r="A168" s="1" t="s">
        <v>26</v>
      </c>
      <c r="D168" s="1">
        <v>4.0</v>
      </c>
      <c r="K168" s="1"/>
      <c r="O168" s="1">
        <v>4.0</v>
      </c>
    </row>
    <row r="169">
      <c r="A169" s="1" t="s">
        <v>27</v>
      </c>
      <c r="B169" s="1">
        <v>4.0</v>
      </c>
      <c r="K169" s="1"/>
      <c r="M169" s="1">
        <v>4.0</v>
      </c>
      <c r="T169" s="1">
        <v>-4.0</v>
      </c>
    </row>
    <row r="170">
      <c r="A170" s="1" t="s">
        <v>28</v>
      </c>
      <c r="G170" s="1">
        <v>4.0</v>
      </c>
      <c r="K170" s="1"/>
    </row>
    <row r="171">
      <c r="A171" s="1" t="s">
        <v>29</v>
      </c>
      <c r="H171" s="1">
        <v>4.0</v>
      </c>
      <c r="K171" s="1"/>
      <c r="T171" s="1">
        <v>-4.0</v>
      </c>
    </row>
    <row r="172">
      <c r="A172" s="1" t="s">
        <v>30</v>
      </c>
      <c r="B172" s="1">
        <v>4.0</v>
      </c>
      <c r="K172" s="1"/>
      <c r="S172" s="1">
        <v>-4.0</v>
      </c>
    </row>
    <row r="173">
      <c r="A173" s="1" t="s">
        <v>18</v>
      </c>
      <c r="K173" s="1"/>
    </row>
    <row r="174">
      <c r="A174" s="1" t="s">
        <v>26</v>
      </c>
      <c r="K174" s="1"/>
      <c r="O174" s="1">
        <v>4.0</v>
      </c>
      <c r="U174" s="1">
        <v>-4.0</v>
      </c>
    </row>
    <row r="175">
      <c r="A175" s="1" t="s">
        <v>27</v>
      </c>
      <c r="D175" s="1">
        <v>4.0</v>
      </c>
      <c r="K175" s="1"/>
      <c r="S175" s="1">
        <v>4.0</v>
      </c>
    </row>
    <row r="176">
      <c r="A176" s="1" t="s">
        <v>28</v>
      </c>
      <c r="I176" s="1">
        <v>4.0</v>
      </c>
      <c r="K176" s="1"/>
      <c r="Q176" s="1">
        <v>4.0</v>
      </c>
    </row>
    <row r="177">
      <c r="A177" s="1" t="s">
        <v>29</v>
      </c>
      <c r="K177" s="1"/>
      <c r="P177" s="1">
        <v>4.0</v>
      </c>
    </row>
    <row r="178">
      <c r="A178" s="1" t="s">
        <v>30</v>
      </c>
      <c r="I178" s="1">
        <v>4.0</v>
      </c>
      <c r="K178" s="1"/>
      <c r="N178" s="1">
        <v>4.0</v>
      </c>
    </row>
    <row r="181">
      <c r="A181" s="1"/>
      <c r="B181" s="1" t="s">
        <v>1</v>
      </c>
      <c r="G181" s="1" t="s">
        <v>0</v>
      </c>
      <c r="L181" s="1" t="s">
        <v>2</v>
      </c>
      <c r="Q181" s="1" t="s">
        <v>3</v>
      </c>
    </row>
    <row r="182">
      <c r="A182" s="1"/>
      <c r="B182" s="1" t="s">
        <v>11</v>
      </c>
      <c r="C182" s="1" t="s">
        <v>12</v>
      </c>
      <c r="D182" s="1" t="s">
        <v>13</v>
      </c>
      <c r="E182" s="1" t="s">
        <v>14</v>
      </c>
      <c r="F182" s="1" t="s">
        <v>15</v>
      </c>
      <c r="G182" s="1" t="s">
        <v>4</v>
      </c>
      <c r="H182" s="1" t="s">
        <v>5</v>
      </c>
      <c r="I182" s="1" t="s">
        <v>6</v>
      </c>
      <c r="J182" s="1" t="s">
        <v>8</v>
      </c>
      <c r="K182" s="1" t="s">
        <v>10</v>
      </c>
      <c r="L182" s="1" t="s">
        <v>16</v>
      </c>
      <c r="M182" s="1" t="s">
        <v>17</v>
      </c>
      <c r="N182" s="1" t="s">
        <v>19</v>
      </c>
      <c r="O182" s="1" t="s">
        <v>20</v>
      </c>
      <c r="P182" s="1" t="s">
        <v>21</v>
      </c>
      <c r="Q182" s="1" t="s">
        <v>22</v>
      </c>
      <c r="R182" s="1" t="s">
        <v>23</v>
      </c>
      <c r="S182" s="1" t="s">
        <v>24</v>
      </c>
      <c r="T182" s="1" t="s">
        <v>25</v>
      </c>
    </row>
    <row r="183">
      <c r="A183" s="1"/>
      <c r="B183" s="1" t="b">
        <v>1</v>
      </c>
      <c r="C183" s="1" t="b">
        <v>1</v>
      </c>
      <c r="D183" s="1" t="b">
        <v>1</v>
      </c>
      <c r="E183" s="1" t="b">
        <v>1</v>
      </c>
      <c r="F183" s="1" t="b">
        <v>1</v>
      </c>
      <c r="G183" s="1" t="b">
        <v>1</v>
      </c>
      <c r="H183" s="1" t="b">
        <v>1</v>
      </c>
      <c r="I183" s="1" t="b">
        <v>1</v>
      </c>
      <c r="J183" s="1" t="b">
        <v>1</v>
      </c>
      <c r="K183" s="1" t="b">
        <v>1</v>
      </c>
      <c r="L183" s="1" t="b">
        <v>1</v>
      </c>
      <c r="M183" s="1" t="b">
        <v>1</v>
      </c>
      <c r="N183" s="1" t="b">
        <v>1</v>
      </c>
      <c r="O183" s="1" t="b">
        <v>1</v>
      </c>
      <c r="P183" s="1" t="b">
        <v>1</v>
      </c>
      <c r="Q183" s="1" t="b">
        <v>1</v>
      </c>
      <c r="R183" s="1" t="b">
        <v>1</v>
      </c>
      <c r="S183" s="1" t="b">
        <v>1</v>
      </c>
      <c r="T183" s="1" t="b">
        <v>1</v>
      </c>
      <c r="U183" s="1" t="b">
        <v>0</v>
      </c>
    </row>
    <row r="184">
      <c r="A184" s="1" t="s">
        <v>18</v>
      </c>
      <c r="F184" s="1">
        <v>-4.0</v>
      </c>
      <c r="K184" s="1">
        <v>4.0</v>
      </c>
      <c r="U184" s="1"/>
    </row>
    <row r="185">
      <c r="A185" s="1" t="s">
        <v>26</v>
      </c>
      <c r="U185" s="1"/>
    </row>
    <row r="186">
      <c r="A186" s="1" t="s">
        <v>27</v>
      </c>
      <c r="B186" s="1">
        <v>4.0</v>
      </c>
      <c r="U186" s="1"/>
    </row>
    <row r="187">
      <c r="A187" s="1" t="s">
        <v>28</v>
      </c>
      <c r="C187" s="1">
        <v>4.0</v>
      </c>
      <c r="R187" s="1">
        <v>4.0</v>
      </c>
      <c r="U187" s="1"/>
    </row>
    <row r="188">
      <c r="A188" s="1" t="s">
        <v>29</v>
      </c>
      <c r="E188" s="1">
        <v>4.0</v>
      </c>
      <c r="U188" s="1"/>
    </row>
    <row r="189">
      <c r="A189" s="1" t="s">
        <v>30</v>
      </c>
      <c r="B189" s="1">
        <v>4.0</v>
      </c>
      <c r="O189" s="1">
        <v>4.0</v>
      </c>
      <c r="U189" s="1"/>
    </row>
    <row r="190">
      <c r="A190" s="1" t="s">
        <v>18</v>
      </c>
      <c r="C190" s="1"/>
      <c r="K190" s="1"/>
      <c r="R190" s="1">
        <v>4.0</v>
      </c>
      <c r="U190" s="1"/>
    </row>
    <row r="191">
      <c r="A191" s="1" t="s">
        <v>26</v>
      </c>
      <c r="H191" s="1">
        <v>4.0</v>
      </c>
      <c r="P191" s="1">
        <v>-4.0</v>
      </c>
      <c r="S191" s="1">
        <v>4.0</v>
      </c>
      <c r="U191" s="1"/>
    </row>
    <row r="192">
      <c r="A192" s="1" t="s">
        <v>27</v>
      </c>
      <c r="B192" s="1">
        <v>4.0</v>
      </c>
      <c r="R192" s="1">
        <v>4.0</v>
      </c>
      <c r="U192" s="1"/>
    </row>
    <row r="193">
      <c r="A193" s="1" t="s">
        <v>28</v>
      </c>
      <c r="F193" s="1"/>
      <c r="I193" s="1"/>
      <c r="U193" s="1"/>
    </row>
    <row r="194">
      <c r="A194" s="1" t="s">
        <v>29</v>
      </c>
      <c r="E194" s="1">
        <v>4.0</v>
      </c>
      <c r="U194" s="1"/>
    </row>
    <row r="195">
      <c r="A195" s="1" t="s">
        <v>30</v>
      </c>
      <c r="K195" s="1">
        <v>4.0</v>
      </c>
      <c r="M195" s="1">
        <v>-4.0</v>
      </c>
      <c r="U195" s="1"/>
    </row>
    <row r="196">
      <c r="A196" s="1"/>
      <c r="B196" s="1" t="b">
        <v>1</v>
      </c>
      <c r="C196" s="1" t="b">
        <v>1</v>
      </c>
      <c r="D196" s="1" t="b">
        <v>1</v>
      </c>
      <c r="E196" s="1" t="b">
        <v>1</v>
      </c>
      <c r="F196" s="1" t="b">
        <v>1</v>
      </c>
      <c r="G196" s="1" t="b">
        <v>1</v>
      </c>
      <c r="H196" s="1" t="b">
        <v>1</v>
      </c>
      <c r="I196" s="1" t="b">
        <v>1</v>
      </c>
      <c r="J196" s="1" t="b">
        <v>1</v>
      </c>
      <c r="K196" s="1" t="b">
        <v>1</v>
      </c>
      <c r="L196" s="1" t="b">
        <v>1</v>
      </c>
      <c r="M196" s="1" t="b">
        <v>1</v>
      </c>
      <c r="N196" s="1" t="b">
        <v>1</v>
      </c>
      <c r="O196" s="1" t="b">
        <v>1</v>
      </c>
      <c r="P196" s="1" t="b">
        <v>1</v>
      </c>
      <c r="Q196" s="1" t="b">
        <v>1</v>
      </c>
      <c r="R196" s="1" t="b">
        <v>1</v>
      </c>
      <c r="S196" s="1" t="b">
        <v>1</v>
      </c>
      <c r="T196" s="1" t="b">
        <v>1</v>
      </c>
      <c r="U196" s="1" t="b">
        <v>0</v>
      </c>
    </row>
    <row r="197">
      <c r="A197" s="1" t="s">
        <v>18</v>
      </c>
      <c r="B197" s="1"/>
      <c r="H197" s="1"/>
      <c r="U197" s="1"/>
    </row>
    <row r="198">
      <c r="A198" s="1" t="s">
        <v>26</v>
      </c>
      <c r="J198" s="1">
        <v>4.0</v>
      </c>
      <c r="R198" s="1">
        <v>4.0</v>
      </c>
      <c r="U198" s="1"/>
    </row>
    <row r="199">
      <c r="A199" s="1" t="s">
        <v>27</v>
      </c>
      <c r="B199" s="1">
        <v>4.0</v>
      </c>
      <c r="Q199" s="1">
        <v>4.0</v>
      </c>
      <c r="U199" s="1"/>
    </row>
    <row r="200">
      <c r="A200" s="1" t="s">
        <v>28</v>
      </c>
      <c r="H200" s="1">
        <v>4.0</v>
      </c>
      <c r="U200" s="1"/>
    </row>
    <row r="201">
      <c r="A201" s="1" t="s">
        <v>29</v>
      </c>
      <c r="F201" s="1">
        <v>4.0</v>
      </c>
      <c r="K201" s="1"/>
      <c r="P201" s="1">
        <v>-4.0</v>
      </c>
      <c r="S201" s="1">
        <v>4.0</v>
      </c>
      <c r="U201" s="1"/>
    </row>
    <row r="202">
      <c r="A202" s="1" t="s">
        <v>30</v>
      </c>
      <c r="C202" s="1"/>
      <c r="K202" s="1"/>
      <c r="U202" s="1"/>
    </row>
    <row r="203">
      <c r="A203" s="1" t="s">
        <v>18</v>
      </c>
      <c r="F203" s="1"/>
      <c r="K203" s="1"/>
      <c r="O203" s="1">
        <v>-4.0</v>
      </c>
      <c r="Q203" s="1">
        <v>-4.0</v>
      </c>
      <c r="U203" s="1"/>
    </row>
    <row r="204">
      <c r="A204" s="1" t="s">
        <v>26</v>
      </c>
      <c r="F204" s="1"/>
      <c r="H204" s="1"/>
      <c r="U204" s="1"/>
    </row>
    <row r="205">
      <c r="A205" s="1" t="s">
        <v>27</v>
      </c>
      <c r="B205" s="1"/>
      <c r="K205" s="1"/>
      <c r="U205" s="1"/>
    </row>
    <row r="206">
      <c r="A206" s="1" t="s">
        <v>28</v>
      </c>
      <c r="C206" s="1"/>
      <c r="H206" s="1">
        <v>4.0</v>
      </c>
      <c r="S206" s="1">
        <v>4.0</v>
      </c>
      <c r="U206" s="1"/>
    </row>
    <row r="207">
      <c r="A207" s="1" t="s">
        <v>29</v>
      </c>
      <c r="E207" s="1">
        <v>4.0</v>
      </c>
      <c r="K207" s="1"/>
      <c r="U207" s="1"/>
    </row>
    <row r="208">
      <c r="A208" s="1" t="s">
        <v>30</v>
      </c>
      <c r="U208" s="1"/>
    </row>
    <row r="211">
      <c r="A211" s="1"/>
      <c r="B211" s="1" t="s">
        <v>3</v>
      </c>
      <c r="G211" s="1" t="s">
        <v>0</v>
      </c>
      <c r="L211" s="1" t="s">
        <v>2</v>
      </c>
      <c r="Q211" s="1" t="s">
        <v>1</v>
      </c>
    </row>
    <row r="212">
      <c r="A212" s="1"/>
      <c r="B212" s="1" t="s">
        <v>22</v>
      </c>
      <c r="C212" s="1" t="s">
        <v>23</v>
      </c>
      <c r="D212" s="1" t="s">
        <v>24</v>
      </c>
      <c r="E212" s="1" t="s">
        <v>25</v>
      </c>
      <c r="G212" s="1" t="s">
        <v>4</v>
      </c>
      <c r="H212" s="1" t="s">
        <v>5</v>
      </c>
      <c r="I212" s="1" t="s">
        <v>6</v>
      </c>
      <c r="J212" s="1" t="s">
        <v>8</v>
      </c>
      <c r="K212" s="1" t="s">
        <v>10</v>
      </c>
      <c r="L212" s="1" t="s">
        <v>16</v>
      </c>
      <c r="M212" s="1" t="s">
        <v>17</v>
      </c>
      <c r="N212" s="1" t="s">
        <v>19</v>
      </c>
      <c r="O212" s="1" t="s">
        <v>20</v>
      </c>
      <c r="P212" s="1" t="s">
        <v>21</v>
      </c>
      <c r="Q212" s="1" t="s">
        <v>11</v>
      </c>
      <c r="R212" s="1" t="s">
        <v>12</v>
      </c>
      <c r="S212" s="1" t="s">
        <v>13</v>
      </c>
      <c r="T212" s="1" t="s">
        <v>14</v>
      </c>
      <c r="U212" s="1" t="s">
        <v>15</v>
      </c>
    </row>
    <row r="213">
      <c r="A213" s="1"/>
      <c r="B213" s="1" t="b">
        <v>1</v>
      </c>
      <c r="C213" s="1" t="b">
        <v>1</v>
      </c>
      <c r="D213" s="1" t="b">
        <v>1</v>
      </c>
      <c r="E213" s="1" t="b">
        <v>1</v>
      </c>
      <c r="F213" s="1" t="b">
        <v>0</v>
      </c>
      <c r="G213" s="1" t="b">
        <v>1</v>
      </c>
      <c r="H213" s="1" t="b">
        <v>1</v>
      </c>
      <c r="I213" s="1" t="b">
        <v>1</v>
      </c>
      <c r="J213" s="1" t="b">
        <v>1</v>
      </c>
      <c r="K213" s="1" t="b">
        <v>1</v>
      </c>
      <c r="L213" s="1" t="b">
        <v>1</v>
      </c>
      <c r="M213" s="1" t="b">
        <v>1</v>
      </c>
      <c r="N213" s="1" t="b">
        <v>1</v>
      </c>
      <c r="O213" s="1" t="b">
        <v>1</v>
      </c>
      <c r="P213" s="1" t="b">
        <v>1</v>
      </c>
      <c r="Q213" s="1" t="b">
        <v>1</v>
      </c>
      <c r="R213" s="1" t="b">
        <v>1</v>
      </c>
      <c r="S213" s="1" t="b">
        <v>1</v>
      </c>
      <c r="T213" s="1" t="b">
        <v>1</v>
      </c>
      <c r="U213" s="1" t="b">
        <v>1</v>
      </c>
    </row>
    <row r="214">
      <c r="A214" s="1" t="s">
        <v>18</v>
      </c>
      <c r="D214" s="1"/>
      <c r="F214" s="1"/>
      <c r="K214" s="1">
        <v>4.0</v>
      </c>
    </row>
    <row r="215">
      <c r="A215" s="1" t="s">
        <v>26</v>
      </c>
      <c r="E215" s="1"/>
      <c r="F215" s="1"/>
      <c r="J215" s="1"/>
    </row>
    <row r="216">
      <c r="A216" s="1" t="s">
        <v>27</v>
      </c>
      <c r="F216" s="1"/>
      <c r="K216" s="1">
        <v>4.0</v>
      </c>
      <c r="Q216" s="1">
        <v>4.0</v>
      </c>
    </row>
    <row r="217">
      <c r="A217" s="1" t="s">
        <v>28</v>
      </c>
      <c r="B217" s="1"/>
      <c r="F217" s="1"/>
      <c r="K217" s="1"/>
      <c r="R217" s="1">
        <v>4.0</v>
      </c>
    </row>
    <row r="218">
      <c r="A218" s="1" t="s">
        <v>29</v>
      </c>
      <c r="C218" s="1"/>
      <c r="F218" s="1"/>
      <c r="K218" s="1"/>
    </row>
    <row r="219">
      <c r="A219" s="1" t="s">
        <v>30</v>
      </c>
      <c r="D219" s="1">
        <v>4.0</v>
      </c>
      <c r="F219" s="1"/>
      <c r="G219" s="1"/>
      <c r="P219" s="1">
        <v>4.0</v>
      </c>
    </row>
    <row r="220">
      <c r="A220" s="1" t="s">
        <v>18</v>
      </c>
      <c r="B220" s="1">
        <v>4.0</v>
      </c>
      <c r="F220" s="1"/>
      <c r="O220" s="1">
        <v>-4.0</v>
      </c>
      <c r="S220" s="1">
        <v>-4.0</v>
      </c>
    </row>
    <row r="221">
      <c r="A221" s="1" t="s">
        <v>26</v>
      </c>
      <c r="B221" s="1">
        <v>4.0</v>
      </c>
      <c r="F221" s="1"/>
      <c r="H221" s="1"/>
    </row>
    <row r="222">
      <c r="A222" s="1" t="s">
        <v>27</v>
      </c>
      <c r="B222" s="1"/>
      <c r="F222" s="1"/>
      <c r="H222" s="1">
        <v>4.0</v>
      </c>
      <c r="Q222" s="1">
        <v>4.0</v>
      </c>
    </row>
    <row r="223">
      <c r="A223" s="1" t="s">
        <v>28</v>
      </c>
      <c r="D223" s="1"/>
      <c r="F223" s="1"/>
      <c r="I223" s="1">
        <v>-4.0</v>
      </c>
      <c r="N223" s="1">
        <v>4.0</v>
      </c>
    </row>
    <row r="224">
      <c r="A224" s="1" t="s">
        <v>29</v>
      </c>
      <c r="C224" s="1">
        <v>4.0</v>
      </c>
      <c r="F224" s="1"/>
      <c r="T224" s="1">
        <v>4.0</v>
      </c>
    </row>
    <row r="225">
      <c r="A225" s="1" t="s">
        <v>30</v>
      </c>
      <c r="C225" s="1"/>
      <c r="F225" s="1"/>
      <c r="K225" s="1"/>
      <c r="M225" s="1">
        <v>-4.0</v>
      </c>
      <c r="Q225" s="1">
        <v>4.0</v>
      </c>
    </row>
    <row r="226">
      <c r="A226" s="1"/>
      <c r="B226" s="1" t="b">
        <v>1</v>
      </c>
      <c r="C226" s="1" t="b">
        <v>1</v>
      </c>
      <c r="D226" s="1" t="b">
        <v>1</v>
      </c>
      <c r="E226" s="1" t="b">
        <v>1</v>
      </c>
      <c r="F226" s="1" t="b">
        <v>0</v>
      </c>
      <c r="G226" s="1" t="b">
        <v>1</v>
      </c>
      <c r="H226" s="1" t="b">
        <v>1</v>
      </c>
      <c r="I226" s="1" t="b">
        <v>1</v>
      </c>
      <c r="J226" s="1" t="b">
        <v>1</v>
      </c>
      <c r="K226" s="1" t="b">
        <v>1</v>
      </c>
      <c r="L226" s="1" t="b">
        <v>1</v>
      </c>
      <c r="M226" s="1" t="b">
        <v>1</v>
      </c>
      <c r="N226" s="1" t="b">
        <v>1</v>
      </c>
      <c r="O226" s="1" t="b">
        <v>1</v>
      </c>
      <c r="P226" s="1" t="b">
        <v>1</v>
      </c>
      <c r="Q226" s="1" t="b">
        <v>1</v>
      </c>
      <c r="R226" s="1" t="b">
        <v>1</v>
      </c>
      <c r="S226" s="1" t="b">
        <v>1</v>
      </c>
      <c r="T226" s="1" t="b">
        <v>1</v>
      </c>
      <c r="U226" s="1" t="b">
        <v>1</v>
      </c>
    </row>
    <row r="227">
      <c r="A227" s="1" t="s">
        <v>18</v>
      </c>
      <c r="F227" s="1"/>
      <c r="H227" s="1">
        <v>4.0</v>
      </c>
      <c r="L227" s="1">
        <v>4.0</v>
      </c>
    </row>
    <row r="228">
      <c r="A228" s="1" t="s">
        <v>26</v>
      </c>
      <c r="F228" s="1"/>
    </row>
    <row r="229">
      <c r="A229" s="1" t="s">
        <v>27</v>
      </c>
      <c r="C229" s="1">
        <v>-4.0</v>
      </c>
      <c r="F229" s="1"/>
      <c r="K229" s="1">
        <v>4.0</v>
      </c>
      <c r="Q229" s="1">
        <v>4.0</v>
      </c>
    </row>
    <row r="230">
      <c r="A230" s="1" t="s">
        <v>28</v>
      </c>
      <c r="C230" s="1">
        <v>4.0</v>
      </c>
      <c r="F230" s="1"/>
      <c r="G230" s="1"/>
      <c r="R230" s="1">
        <v>4.0</v>
      </c>
    </row>
    <row r="231">
      <c r="A231" s="1" t="s">
        <v>29</v>
      </c>
      <c r="C231" s="1"/>
      <c r="F231" s="1"/>
      <c r="K231" s="1"/>
      <c r="P231" s="1">
        <v>4.0</v>
      </c>
    </row>
    <row r="232">
      <c r="A232" s="1" t="s">
        <v>30</v>
      </c>
      <c r="C232" s="1"/>
      <c r="F232" s="1"/>
      <c r="H232" s="1"/>
    </row>
    <row r="233">
      <c r="A233" s="1" t="s">
        <v>18</v>
      </c>
      <c r="B233" s="1"/>
      <c r="F233" s="1"/>
      <c r="T233" s="1">
        <v>4.0</v>
      </c>
    </row>
    <row r="234">
      <c r="A234" s="1" t="s">
        <v>26</v>
      </c>
      <c r="F234" s="1"/>
      <c r="S234" s="1">
        <v>4.0</v>
      </c>
    </row>
    <row r="235">
      <c r="A235" s="1" t="s">
        <v>27</v>
      </c>
      <c r="F235" s="1"/>
      <c r="K235" s="1">
        <v>4.0</v>
      </c>
      <c r="Q235" s="1">
        <v>4.0</v>
      </c>
    </row>
    <row r="236">
      <c r="A236" s="1" t="s">
        <v>28</v>
      </c>
      <c r="F236" s="1"/>
      <c r="I236" s="1">
        <v>4.0</v>
      </c>
    </row>
    <row r="237">
      <c r="A237" s="1" t="s">
        <v>29</v>
      </c>
      <c r="C237" s="1"/>
      <c r="F237" s="1"/>
      <c r="K237" s="1"/>
      <c r="P237" s="1">
        <v>-4.0</v>
      </c>
    </row>
    <row r="238">
      <c r="A238" s="1" t="s">
        <v>30</v>
      </c>
      <c r="C238" s="1">
        <v>4.0</v>
      </c>
      <c r="F238" s="1"/>
    </row>
    <row r="241">
      <c r="A241" s="1"/>
      <c r="B241" s="1" t="s">
        <v>2</v>
      </c>
      <c r="G241" s="1" t="s">
        <v>0</v>
      </c>
      <c r="L241" s="1" t="s">
        <v>1</v>
      </c>
      <c r="Q241" s="1" t="s">
        <v>3</v>
      </c>
    </row>
    <row r="242">
      <c r="A242" s="1"/>
      <c r="B242" s="1" t="s">
        <v>16</v>
      </c>
      <c r="C242" s="1" t="s">
        <v>17</v>
      </c>
      <c r="D242" s="1" t="s">
        <v>19</v>
      </c>
      <c r="E242" s="1" t="s">
        <v>20</v>
      </c>
      <c r="F242" s="1" t="s">
        <v>21</v>
      </c>
      <c r="G242" s="1" t="s">
        <v>4</v>
      </c>
      <c r="H242" s="1" t="s">
        <v>5</v>
      </c>
      <c r="I242" s="1" t="s">
        <v>6</v>
      </c>
      <c r="J242" s="1" t="s">
        <v>8</v>
      </c>
      <c r="K242" s="1" t="s">
        <v>10</v>
      </c>
      <c r="L242" s="1" t="s">
        <v>11</v>
      </c>
      <c r="M242" s="1" t="s">
        <v>12</v>
      </c>
      <c r="N242" s="1" t="s">
        <v>13</v>
      </c>
      <c r="O242" s="1" t="s">
        <v>14</v>
      </c>
      <c r="P242" s="1" t="s">
        <v>15</v>
      </c>
      <c r="Q242" s="1" t="s">
        <v>22</v>
      </c>
      <c r="R242" s="1" t="s">
        <v>23</v>
      </c>
      <c r="S242" s="1" t="s">
        <v>24</v>
      </c>
      <c r="T242" s="1" t="s">
        <v>25</v>
      </c>
    </row>
    <row r="243">
      <c r="A243" s="1"/>
      <c r="B243" s="1" t="b">
        <v>1</v>
      </c>
      <c r="C243" s="1" t="b">
        <v>1</v>
      </c>
      <c r="D243" s="1" t="b">
        <v>1</v>
      </c>
      <c r="E243" s="1" t="b">
        <v>1</v>
      </c>
      <c r="F243" s="1" t="b">
        <v>1</v>
      </c>
      <c r="G243" s="1" t="b">
        <v>1</v>
      </c>
      <c r="H243" s="1" t="b">
        <v>1</v>
      </c>
      <c r="I243" s="1" t="b">
        <v>1</v>
      </c>
      <c r="J243" s="1" t="b">
        <v>1</v>
      </c>
      <c r="K243" s="1" t="b">
        <v>1</v>
      </c>
      <c r="L243" s="1" t="b">
        <v>1</v>
      </c>
      <c r="M243" s="1" t="b">
        <v>1</v>
      </c>
      <c r="N243" s="1" t="b">
        <v>1</v>
      </c>
      <c r="O243" s="1" t="b">
        <v>1</v>
      </c>
      <c r="P243" s="1" t="b">
        <v>1</v>
      </c>
      <c r="Q243" s="1" t="b">
        <v>1</v>
      </c>
      <c r="R243" s="1" t="b">
        <v>1</v>
      </c>
      <c r="S243" s="1" t="b">
        <v>1</v>
      </c>
      <c r="T243" s="1" t="b">
        <v>1</v>
      </c>
      <c r="U243" s="1" t="b">
        <v>0</v>
      </c>
    </row>
    <row r="244">
      <c r="A244" s="1" t="s">
        <v>18</v>
      </c>
      <c r="E244" s="1"/>
      <c r="K244" s="1"/>
      <c r="R244" s="1">
        <v>4.0</v>
      </c>
      <c r="U244" s="1"/>
    </row>
    <row r="245">
      <c r="A245" s="1" t="s">
        <v>26</v>
      </c>
      <c r="U245" s="1"/>
    </row>
    <row r="246">
      <c r="A246" s="1" t="s">
        <v>27</v>
      </c>
      <c r="K246" s="1">
        <v>4.0</v>
      </c>
      <c r="Q246" s="1">
        <v>4.0</v>
      </c>
      <c r="U246" s="1"/>
    </row>
    <row r="247">
      <c r="A247" s="1" t="s">
        <v>28</v>
      </c>
      <c r="C247" s="1"/>
      <c r="K247" s="1"/>
      <c r="U247" s="1"/>
    </row>
    <row r="248">
      <c r="A248" s="1" t="s">
        <v>29</v>
      </c>
      <c r="B248" s="1">
        <v>4.0</v>
      </c>
      <c r="O248" s="1">
        <v>4.0</v>
      </c>
      <c r="U248" s="1"/>
    </row>
    <row r="249">
      <c r="A249" s="1" t="s">
        <v>30</v>
      </c>
      <c r="D249" s="1"/>
      <c r="K249" s="1"/>
      <c r="Q249" s="1">
        <v>4.0</v>
      </c>
      <c r="U249" s="1"/>
    </row>
    <row r="250">
      <c r="A250" s="1" t="s">
        <v>18</v>
      </c>
      <c r="C250" s="1">
        <v>-4.0</v>
      </c>
      <c r="G250" s="1"/>
      <c r="P250" s="1">
        <v>-4.0</v>
      </c>
      <c r="R250" s="1">
        <v>-4.0</v>
      </c>
      <c r="U250" s="1"/>
    </row>
    <row r="251">
      <c r="A251" s="1" t="s">
        <v>26</v>
      </c>
      <c r="F251" s="1"/>
      <c r="J251" s="1"/>
      <c r="U251" s="1"/>
    </row>
    <row r="252">
      <c r="A252" s="1" t="s">
        <v>27</v>
      </c>
      <c r="H252" s="1">
        <v>4.0</v>
      </c>
      <c r="L252" s="1">
        <v>4.0</v>
      </c>
      <c r="U252" s="1"/>
    </row>
    <row r="253">
      <c r="A253" s="1" t="s">
        <v>28</v>
      </c>
      <c r="B253" s="1">
        <v>4.0</v>
      </c>
      <c r="P253" s="1">
        <v>4.0</v>
      </c>
      <c r="U253" s="1"/>
    </row>
    <row r="254">
      <c r="A254" s="1" t="s">
        <v>29</v>
      </c>
      <c r="B254" s="1"/>
      <c r="K254" s="1"/>
      <c r="O254" s="1">
        <v>4.0</v>
      </c>
      <c r="U254" s="1"/>
    </row>
    <row r="255">
      <c r="A255" s="1" t="s">
        <v>30</v>
      </c>
      <c r="U255" s="1"/>
    </row>
    <row r="256">
      <c r="A256" s="1"/>
      <c r="B256" s="1" t="b">
        <v>1</v>
      </c>
      <c r="C256" s="1" t="b">
        <v>1</v>
      </c>
      <c r="D256" s="1" t="b">
        <v>1</v>
      </c>
      <c r="E256" s="1" t="b">
        <v>1</v>
      </c>
      <c r="F256" s="1" t="b">
        <v>1</v>
      </c>
      <c r="G256" s="1" t="b">
        <v>1</v>
      </c>
      <c r="H256" s="1" t="b">
        <v>1</v>
      </c>
      <c r="I256" s="1" t="b">
        <v>1</v>
      </c>
      <c r="J256" s="1" t="b">
        <v>1</v>
      </c>
      <c r="K256" s="1" t="b">
        <v>1</v>
      </c>
      <c r="L256" s="1" t="b">
        <v>1</v>
      </c>
      <c r="M256" s="1" t="b">
        <v>1</v>
      </c>
      <c r="N256" s="1" t="b">
        <v>1</v>
      </c>
      <c r="O256" s="1" t="b">
        <v>1</v>
      </c>
      <c r="P256" s="1" t="b">
        <v>1</v>
      </c>
      <c r="Q256" s="1" t="b">
        <v>1</v>
      </c>
      <c r="R256" s="1" t="b">
        <v>1</v>
      </c>
      <c r="S256" s="1" t="b">
        <v>1</v>
      </c>
      <c r="T256" s="1" t="b">
        <v>1</v>
      </c>
      <c r="U256" s="1" t="b">
        <v>0</v>
      </c>
    </row>
    <row r="257">
      <c r="A257" s="1" t="s">
        <v>18</v>
      </c>
      <c r="F257" s="1">
        <v>4.0</v>
      </c>
      <c r="P257" s="1">
        <v>4.0</v>
      </c>
      <c r="U257" s="1"/>
    </row>
    <row r="258">
      <c r="A258" s="1" t="s">
        <v>26</v>
      </c>
      <c r="U258" s="1"/>
    </row>
    <row r="259">
      <c r="A259" s="1" t="s">
        <v>27</v>
      </c>
      <c r="E259" s="1">
        <v>4.0</v>
      </c>
      <c r="S259" s="1">
        <v>4.0</v>
      </c>
      <c r="U259" s="1"/>
    </row>
    <row r="260">
      <c r="A260" s="1" t="s">
        <v>28</v>
      </c>
      <c r="H260" s="1">
        <v>4.0</v>
      </c>
      <c r="L260" s="1">
        <v>4.0</v>
      </c>
      <c r="U260" s="1"/>
    </row>
    <row r="261">
      <c r="A261" s="1" t="s">
        <v>29</v>
      </c>
      <c r="F261" s="1"/>
      <c r="K261" s="1"/>
      <c r="U261" s="1"/>
    </row>
    <row r="262">
      <c r="A262" s="1" t="s">
        <v>30</v>
      </c>
      <c r="F262" s="1"/>
      <c r="H262" s="1">
        <v>4.0</v>
      </c>
      <c r="U262" s="1"/>
    </row>
    <row r="263">
      <c r="A263" s="1" t="s">
        <v>18</v>
      </c>
      <c r="S263" s="1">
        <v>4.0</v>
      </c>
      <c r="U263" s="1"/>
    </row>
    <row r="264">
      <c r="A264" s="1" t="s">
        <v>26</v>
      </c>
      <c r="F264" s="1"/>
      <c r="J264" s="1"/>
      <c r="U264" s="1"/>
    </row>
    <row r="265">
      <c r="A265" s="1" t="s">
        <v>27</v>
      </c>
      <c r="D265" s="1"/>
      <c r="K265" s="1"/>
      <c r="L265" s="1">
        <v>4.0</v>
      </c>
      <c r="U265" s="1"/>
    </row>
    <row r="266">
      <c r="A266" s="1" t="s">
        <v>28</v>
      </c>
      <c r="B266" s="1">
        <v>-4.0</v>
      </c>
      <c r="H266" s="1"/>
      <c r="U266" s="1"/>
    </row>
    <row r="267">
      <c r="A267" s="1" t="s">
        <v>29</v>
      </c>
      <c r="E267" s="1">
        <v>4.0</v>
      </c>
      <c r="U267" s="1"/>
    </row>
    <row r="268">
      <c r="A268" s="1" t="s">
        <v>30</v>
      </c>
      <c r="E268" s="1"/>
      <c r="K268" s="1">
        <v>4.0</v>
      </c>
      <c r="R268" s="1">
        <v>4.0</v>
      </c>
      <c r="U268" s="1"/>
    </row>
    <row r="271">
      <c r="A271" s="1"/>
      <c r="B271" s="1" t="s">
        <v>0</v>
      </c>
      <c r="G271" s="1" t="s">
        <v>1</v>
      </c>
      <c r="L271" s="6" t="s">
        <v>2</v>
      </c>
      <c r="Q271" s="6" t="s">
        <v>3</v>
      </c>
    </row>
    <row r="272">
      <c r="A272" s="1"/>
      <c r="B272" s="1" t="s">
        <v>4</v>
      </c>
      <c r="C272" s="1" t="s">
        <v>5</v>
      </c>
      <c r="D272" s="1" t="s">
        <v>6</v>
      </c>
      <c r="E272" s="1" t="s">
        <v>8</v>
      </c>
      <c r="F272" s="1" t="s">
        <v>10</v>
      </c>
      <c r="G272" s="1" t="s">
        <v>11</v>
      </c>
      <c r="H272" s="1" t="s">
        <v>12</v>
      </c>
      <c r="I272" s="1" t="s">
        <v>13</v>
      </c>
      <c r="J272" s="1" t="s">
        <v>14</v>
      </c>
      <c r="K272" s="1" t="s">
        <v>15</v>
      </c>
      <c r="L272" s="6" t="s">
        <v>16</v>
      </c>
      <c r="M272" s="6" t="s">
        <v>17</v>
      </c>
      <c r="N272" s="6" t="s">
        <v>19</v>
      </c>
      <c r="O272" s="6" t="s">
        <v>20</v>
      </c>
      <c r="P272" s="6" t="s">
        <v>21</v>
      </c>
      <c r="Q272" s="6" t="s">
        <v>22</v>
      </c>
      <c r="R272" s="6" t="s">
        <v>23</v>
      </c>
      <c r="S272" s="6" t="s">
        <v>24</v>
      </c>
      <c r="T272" s="6" t="s">
        <v>25</v>
      </c>
    </row>
    <row r="273">
      <c r="A273" s="1"/>
      <c r="B273" s="1" t="b">
        <v>1</v>
      </c>
      <c r="C273" s="1" t="b">
        <v>1</v>
      </c>
      <c r="D273" s="1" t="b">
        <v>1</v>
      </c>
      <c r="E273" s="1" t="b">
        <v>1</v>
      </c>
      <c r="F273" s="1" t="b">
        <v>1</v>
      </c>
      <c r="G273" s="1" t="b">
        <v>1</v>
      </c>
      <c r="H273" s="1" t="b">
        <v>1</v>
      </c>
      <c r="I273" s="1" t="b">
        <v>1</v>
      </c>
      <c r="J273" s="1" t="b">
        <v>1</v>
      </c>
      <c r="K273" s="1" t="b">
        <v>1</v>
      </c>
      <c r="L273" s="1" t="b">
        <v>0</v>
      </c>
      <c r="M273" s="1" t="b">
        <v>0</v>
      </c>
      <c r="N273" s="1" t="b">
        <v>0</v>
      </c>
      <c r="O273" s="1" t="b">
        <v>0</v>
      </c>
      <c r="P273" s="1" t="b">
        <v>0</v>
      </c>
      <c r="Q273" s="1" t="b">
        <v>0</v>
      </c>
      <c r="R273" s="1" t="b">
        <v>0</v>
      </c>
      <c r="S273" s="1" t="b">
        <v>0</v>
      </c>
      <c r="T273" s="1" t="b">
        <v>0</v>
      </c>
      <c r="U273" s="1" t="b">
        <v>0</v>
      </c>
    </row>
    <row r="274">
      <c r="A274" s="1" t="s">
        <v>18</v>
      </c>
      <c r="J274" s="1">
        <v>4.0</v>
      </c>
    </row>
    <row r="275">
      <c r="A275" s="1" t="s">
        <v>26</v>
      </c>
    </row>
    <row r="276">
      <c r="A276" s="1" t="s">
        <v>27</v>
      </c>
      <c r="F276" s="1"/>
      <c r="G276" s="1">
        <v>4.0</v>
      </c>
    </row>
    <row r="277">
      <c r="A277" s="1" t="s">
        <v>28</v>
      </c>
      <c r="D277" s="1">
        <v>4.0</v>
      </c>
    </row>
    <row r="278">
      <c r="A278" s="1" t="s">
        <v>29</v>
      </c>
      <c r="F278" s="1">
        <v>4.0</v>
      </c>
    </row>
    <row r="279">
      <c r="A279" s="1" t="s">
        <v>30</v>
      </c>
      <c r="F279" s="1"/>
      <c r="I279" s="1"/>
    </row>
    <row r="280">
      <c r="A280" s="1" t="s">
        <v>18</v>
      </c>
      <c r="C280" s="1"/>
      <c r="G280" s="1"/>
    </row>
    <row r="281">
      <c r="A281" s="1" t="s">
        <v>26</v>
      </c>
      <c r="E281" s="1"/>
      <c r="I281" s="1"/>
    </row>
    <row r="282">
      <c r="A282" s="1" t="s">
        <v>27</v>
      </c>
      <c r="C282" s="1"/>
      <c r="G282" s="1">
        <v>4.0</v>
      </c>
    </row>
    <row r="283">
      <c r="A283" s="1" t="s">
        <v>28</v>
      </c>
      <c r="D283" s="1">
        <v>4.0</v>
      </c>
    </row>
    <row r="284">
      <c r="A284" s="1" t="s">
        <v>29</v>
      </c>
      <c r="J284" s="1">
        <v>4.0</v>
      </c>
    </row>
    <row r="285">
      <c r="A285" s="1" t="s">
        <v>30</v>
      </c>
      <c r="D285" s="1">
        <v>4.0</v>
      </c>
    </row>
    <row r="286">
      <c r="A286" s="1"/>
      <c r="B286" s="1" t="b">
        <v>1</v>
      </c>
      <c r="C286" s="1" t="b">
        <v>1</v>
      </c>
      <c r="D286" s="1" t="b">
        <v>1</v>
      </c>
      <c r="E286" s="1" t="b">
        <v>1</v>
      </c>
      <c r="F286" s="1" t="b">
        <v>1</v>
      </c>
      <c r="G286" s="1" t="b">
        <v>1</v>
      </c>
      <c r="H286" s="1" t="b">
        <v>1</v>
      </c>
      <c r="I286" s="1" t="b">
        <v>1</v>
      </c>
      <c r="J286" s="1" t="b">
        <v>1</v>
      </c>
      <c r="K286" s="1" t="b">
        <v>1</v>
      </c>
      <c r="L286" s="1" t="b">
        <v>0</v>
      </c>
      <c r="M286" s="1" t="b">
        <v>0</v>
      </c>
      <c r="N286" s="1" t="b">
        <v>0</v>
      </c>
      <c r="O286" s="1" t="b">
        <v>0</v>
      </c>
      <c r="P286" s="1" t="b">
        <v>0</v>
      </c>
      <c r="Q286" s="1" t="b">
        <v>0</v>
      </c>
      <c r="R286" s="1" t="b">
        <v>0</v>
      </c>
      <c r="S286" s="1" t="b">
        <v>0</v>
      </c>
      <c r="T286" s="1" t="b">
        <v>0</v>
      </c>
      <c r="U286" s="1" t="b">
        <v>0</v>
      </c>
    </row>
    <row r="287">
      <c r="A287" s="1" t="s">
        <v>18</v>
      </c>
      <c r="C287" s="1">
        <v>4.0</v>
      </c>
    </row>
    <row r="288">
      <c r="A288" s="1" t="s">
        <v>26</v>
      </c>
    </row>
    <row r="289">
      <c r="A289" s="1" t="s">
        <v>27</v>
      </c>
      <c r="G289" s="1">
        <v>4.0</v>
      </c>
    </row>
    <row r="290">
      <c r="A290" s="1" t="s">
        <v>28</v>
      </c>
      <c r="F290" s="1"/>
      <c r="H290" s="1"/>
    </row>
    <row r="291">
      <c r="A291" s="1" t="s">
        <v>29</v>
      </c>
      <c r="J291" s="1">
        <v>4.0</v>
      </c>
    </row>
    <row r="292">
      <c r="A292" s="1" t="s">
        <v>30</v>
      </c>
      <c r="F292" s="1">
        <v>4.0</v>
      </c>
    </row>
    <row r="293">
      <c r="A293" s="1" t="s">
        <v>18</v>
      </c>
      <c r="C293" s="1">
        <v>4.0</v>
      </c>
      <c r="K293" s="1">
        <v>-4.0</v>
      </c>
    </row>
    <row r="294">
      <c r="A294" s="1" t="s">
        <v>26</v>
      </c>
      <c r="E294" s="1">
        <v>4.0</v>
      </c>
    </row>
    <row r="295">
      <c r="A295" s="1" t="s">
        <v>27</v>
      </c>
      <c r="G295" s="1">
        <v>4.0</v>
      </c>
    </row>
    <row r="296">
      <c r="A296" s="1" t="s">
        <v>28</v>
      </c>
      <c r="D296" s="1"/>
      <c r="K296" s="1"/>
    </row>
    <row r="297">
      <c r="A297" s="1" t="s">
        <v>29</v>
      </c>
      <c r="F297" s="1">
        <v>-4.0</v>
      </c>
      <c r="K297" s="1">
        <v>4.0</v>
      </c>
    </row>
    <row r="298">
      <c r="A298" s="1" t="s">
        <v>30</v>
      </c>
      <c r="C298" s="1"/>
      <c r="I298" s="1"/>
    </row>
    <row r="302">
      <c r="A302" s="1"/>
    </row>
    <row r="303">
      <c r="A303" s="1"/>
    </row>
    <row r="304">
      <c r="A304" s="1" t="s">
        <v>18</v>
      </c>
    </row>
    <row r="305">
      <c r="A305" s="1" t="s">
        <v>26</v>
      </c>
    </row>
    <row r="306">
      <c r="A306" s="1" t="s">
        <v>27</v>
      </c>
    </row>
    <row r="307">
      <c r="A307" s="1" t="s">
        <v>28</v>
      </c>
    </row>
    <row r="308">
      <c r="A308" s="1" t="s">
        <v>29</v>
      </c>
    </row>
    <row r="309">
      <c r="A309" s="1" t="s">
        <v>30</v>
      </c>
    </row>
    <row r="310">
      <c r="A310" s="1" t="s">
        <v>18</v>
      </c>
    </row>
    <row r="311">
      <c r="A311" s="1" t="s">
        <v>26</v>
      </c>
    </row>
    <row r="312">
      <c r="A312" s="1" t="s">
        <v>27</v>
      </c>
    </row>
    <row r="313">
      <c r="A313" s="1" t="s">
        <v>28</v>
      </c>
    </row>
    <row r="314">
      <c r="A314" s="1" t="s">
        <v>29</v>
      </c>
    </row>
    <row r="315">
      <c r="A315" s="1" t="s">
        <v>30</v>
      </c>
    </row>
    <row r="316">
      <c r="A316" s="1"/>
    </row>
    <row r="317">
      <c r="A317" s="1" t="s">
        <v>18</v>
      </c>
    </row>
    <row r="318">
      <c r="A318" s="1" t="s">
        <v>26</v>
      </c>
    </row>
    <row r="319">
      <c r="A319" s="1" t="s">
        <v>27</v>
      </c>
    </row>
    <row r="320">
      <c r="A320" s="1" t="s">
        <v>28</v>
      </c>
    </row>
    <row r="321">
      <c r="A321" s="1" t="s">
        <v>29</v>
      </c>
    </row>
    <row r="322">
      <c r="A322" s="1" t="s">
        <v>30</v>
      </c>
    </row>
    <row r="323">
      <c r="A323" s="1" t="s">
        <v>18</v>
      </c>
    </row>
    <row r="324">
      <c r="A324" s="1" t="s">
        <v>26</v>
      </c>
    </row>
    <row r="325">
      <c r="A325" s="1" t="s">
        <v>27</v>
      </c>
    </row>
    <row r="326">
      <c r="A326" s="1" t="s">
        <v>28</v>
      </c>
    </row>
    <row r="327">
      <c r="A327" s="1" t="s">
        <v>29</v>
      </c>
    </row>
    <row r="328">
      <c r="A328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38"/>
  </cols>
  <sheetData>
    <row r="1">
      <c r="A1" s="1"/>
      <c r="B1" s="1" t="s">
        <v>0</v>
      </c>
      <c r="C1" s="1" t="s">
        <v>0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</row>
    <row r="2">
      <c r="A2" s="1"/>
      <c r="B2" s="1" t="s">
        <v>7</v>
      </c>
      <c r="C2" s="1" t="s">
        <v>9</v>
      </c>
      <c r="D2" s="1" t="s">
        <v>7</v>
      </c>
      <c r="E2" s="1" t="s">
        <v>9</v>
      </c>
      <c r="F2" s="1" t="s">
        <v>7</v>
      </c>
      <c r="G2" s="1" t="s">
        <v>9</v>
      </c>
      <c r="H2" s="1" t="s">
        <v>7</v>
      </c>
      <c r="I2" s="1" t="s">
        <v>9</v>
      </c>
    </row>
    <row r="3">
      <c r="A3" s="1"/>
    </row>
    <row r="4">
      <c r="A4" s="1" t="s">
        <v>18</v>
      </c>
      <c r="B4" s="1">
        <v>10.0</v>
      </c>
      <c r="C4" s="1">
        <v>18.0</v>
      </c>
      <c r="E4" s="1">
        <v>0.0</v>
      </c>
      <c r="G4" s="1">
        <v>0.0</v>
      </c>
      <c r="H4" s="1">
        <v>0.0</v>
      </c>
      <c r="I4" s="1">
        <v>4.0</v>
      </c>
    </row>
    <row r="5">
      <c r="A5" s="1" t="s">
        <v>26</v>
      </c>
      <c r="B5" s="1">
        <v>10.0</v>
      </c>
      <c r="C5" s="1">
        <v>32.0</v>
      </c>
      <c r="E5" s="1">
        <v>0.0</v>
      </c>
      <c r="G5" s="1">
        <v>0.0</v>
      </c>
      <c r="H5" s="1">
        <v>10.0</v>
      </c>
      <c r="I5" s="1">
        <v>18.0</v>
      </c>
    </row>
    <row r="6">
      <c r="A6" s="1" t="s">
        <v>27</v>
      </c>
      <c r="B6" s="1">
        <v>0.0</v>
      </c>
      <c r="C6" s="1">
        <v>40.0</v>
      </c>
      <c r="E6" s="1">
        <v>0.0</v>
      </c>
      <c r="G6" s="1">
        <v>0.0</v>
      </c>
      <c r="H6" s="1">
        <v>0.0</v>
      </c>
      <c r="I6" s="1">
        <v>22.0</v>
      </c>
    </row>
    <row r="7">
      <c r="A7" s="1" t="s">
        <v>28</v>
      </c>
      <c r="B7" s="1">
        <v>0.0</v>
      </c>
      <c r="C7" s="1">
        <v>48.0</v>
      </c>
      <c r="E7" s="1">
        <v>0.0</v>
      </c>
      <c r="F7" s="1">
        <v>10.0</v>
      </c>
      <c r="G7" s="1">
        <v>14.0</v>
      </c>
      <c r="I7" s="1">
        <v>22.0</v>
      </c>
    </row>
    <row r="8">
      <c r="A8" s="1" t="s">
        <v>29</v>
      </c>
      <c r="B8" s="1">
        <v>10.0</v>
      </c>
      <c r="C8" s="1">
        <v>62.0</v>
      </c>
      <c r="E8" s="1">
        <v>0.0</v>
      </c>
      <c r="G8" s="1">
        <v>14.0</v>
      </c>
      <c r="H8" s="1">
        <v>10.0</v>
      </c>
      <c r="I8" s="1">
        <v>36.0</v>
      </c>
    </row>
    <row r="9">
      <c r="A9" s="1" t="s">
        <v>30</v>
      </c>
      <c r="C9" s="1">
        <v>62.0</v>
      </c>
      <c r="D9" s="1">
        <v>10.0</v>
      </c>
      <c r="E9" s="1">
        <v>14.0</v>
      </c>
      <c r="F9" s="1">
        <v>0.0</v>
      </c>
      <c r="G9" s="1">
        <v>18.0</v>
      </c>
      <c r="I9" s="1">
        <v>36.0</v>
      </c>
    </row>
    <row r="10">
      <c r="A10" s="1" t="s">
        <v>18</v>
      </c>
      <c r="B10" s="1">
        <v>10.0</v>
      </c>
      <c r="C10" s="1">
        <v>76.0</v>
      </c>
      <c r="E10" s="1">
        <v>14.0</v>
      </c>
      <c r="G10" s="1">
        <v>18.0</v>
      </c>
      <c r="I10" s="1">
        <v>36.0</v>
      </c>
    </row>
    <row r="11">
      <c r="A11" s="1" t="s">
        <v>26</v>
      </c>
      <c r="B11" s="1">
        <v>0.0</v>
      </c>
      <c r="C11" s="1">
        <v>80.0</v>
      </c>
      <c r="E11" s="1">
        <v>14.0</v>
      </c>
      <c r="G11" s="1">
        <v>18.0</v>
      </c>
      <c r="I11" s="1">
        <v>40.0</v>
      </c>
    </row>
    <row r="12">
      <c r="A12" s="1" t="s">
        <v>27</v>
      </c>
      <c r="B12" s="1">
        <v>10.0</v>
      </c>
      <c r="C12" s="1">
        <v>94.0</v>
      </c>
      <c r="E12" s="1">
        <v>14.0</v>
      </c>
      <c r="G12" s="1">
        <v>18.0</v>
      </c>
      <c r="H12" s="1">
        <v>0.0</v>
      </c>
      <c r="I12" s="1">
        <v>44.0</v>
      </c>
    </row>
    <row r="13">
      <c r="A13" s="1" t="s">
        <v>28</v>
      </c>
      <c r="B13" s="1">
        <v>0.0</v>
      </c>
      <c r="C13" s="1">
        <v>98.0</v>
      </c>
      <c r="E13" s="1">
        <v>14.0</v>
      </c>
      <c r="G13" s="1">
        <v>18.0</v>
      </c>
      <c r="I13" s="1">
        <v>44.0</v>
      </c>
    </row>
    <row r="14">
      <c r="A14" s="1" t="s">
        <v>29</v>
      </c>
      <c r="C14" s="1">
        <v>98.0</v>
      </c>
      <c r="D14" s="1">
        <v>10.0</v>
      </c>
      <c r="E14" s="1">
        <v>28.0</v>
      </c>
      <c r="G14" s="1">
        <v>18.0</v>
      </c>
      <c r="H14" s="1">
        <v>10.0</v>
      </c>
      <c r="I14" s="1">
        <v>58.0</v>
      </c>
    </row>
    <row r="15">
      <c r="A15" s="1" t="s">
        <v>30</v>
      </c>
      <c r="B15" s="1">
        <v>0.0</v>
      </c>
      <c r="C15" s="1">
        <v>102.0</v>
      </c>
      <c r="E15" s="1">
        <v>28.0</v>
      </c>
      <c r="G15" s="1">
        <v>18.0</v>
      </c>
      <c r="H15" s="1">
        <v>10.0</v>
      </c>
      <c r="I15" s="1">
        <v>72.0</v>
      </c>
    </row>
    <row r="16">
      <c r="A16" s="1"/>
    </row>
    <row r="17">
      <c r="A17" s="1" t="s">
        <v>18</v>
      </c>
      <c r="C17" s="1">
        <v>102.0</v>
      </c>
      <c r="D17" s="1">
        <v>10.0</v>
      </c>
      <c r="E17" s="1">
        <v>42.0</v>
      </c>
      <c r="F17" s="1">
        <v>0.0</v>
      </c>
      <c r="G17" s="1">
        <v>22.0</v>
      </c>
      <c r="I17" s="1">
        <v>72.0</v>
      </c>
    </row>
    <row r="18">
      <c r="A18" s="1" t="s">
        <v>26</v>
      </c>
      <c r="C18" s="1">
        <v>102.0</v>
      </c>
      <c r="E18" s="1">
        <v>42.0</v>
      </c>
      <c r="F18" s="1">
        <v>0.0</v>
      </c>
      <c r="G18" s="1">
        <v>26.0</v>
      </c>
      <c r="I18" s="1">
        <v>72.0</v>
      </c>
    </row>
    <row r="19">
      <c r="A19" s="1" t="s">
        <v>27</v>
      </c>
      <c r="C19" s="1">
        <v>102.0</v>
      </c>
      <c r="D19" s="1">
        <v>0.0</v>
      </c>
      <c r="E19" s="1">
        <v>46.0</v>
      </c>
      <c r="F19" s="1">
        <v>0.0</v>
      </c>
      <c r="G19" s="1">
        <v>30.0</v>
      </c>
      <c r="I19" s="1">
        <v>72.0</v>
      </c>
    </row>
    <row r="20">
      <c r="A20" s="1" t="s">
        <v>28</v>
      </c>
      <c r="B20" s="1">
        <v>10.0</v>
      </c>
      <c r="C20" s="1">
        <v>116.0</v>
      </c>
      <c r="E20" s="1">
        <v>46.0</v>
      </c>
      <c r="F20" s="1">
        <v>10.0</v>
      </c>
      <c r="G20" s="1">
        <v>44.0</v>
      </c>
      <c r="I20" s="1">
        <v>72.0</v>
      </c>
    </row>
    <row r="21">
      <c r="A21" s="1" t="s">
        <v>29</v>
      </c>
      <c r="C21" s="1">
        <v>116.0</v>
      </c>
      <c r="D21" s="1">
        <v>10.0</v>
      </c>
      <c r="E21" s="1">
        <v>60.0</v>
      </c>
      <c r="G21" s="1">
        <v>44.0</v>
      </c>
      <c r="H21" s="1">
        <v>0.0</v>
      </c>
      <c r="I21" s="1">
        <v>76.0</v>
      </c>
    </row>
    <row r="22">
      <c r="A22" s="1" t="s">
        <v>30</v>
      </c>
      <c r="B22" s="1">
        <v>0.0</v>
      </c>
      <c r="C22" s="1">
        <v>124.0</v>
      </c>
      <c r="E22" s="1">
        <v>60.0</v>
      </c>
      <c r="G22" s="1">
        <v>44.0</v>
      </c>
      <c r="H22" s="1">
        <v>0.0</v>
      </c>
      <c r="I22" s="1">
        <v>80.0</v>
      </c>
    </row>
    <row r="23">
      <c r="A23" s="1" t="s">
        <v>18</v>
      </c>
      <c r="C23" s="1">
        <v>124.0</v>
      </c>
      <c r="D23" s="1">
        <v>10.0</v>
      </c>
      <c r="E23" s="1">
        <v>74.0</v>
      </c>
      <c r="G23" s="1">
        <v>48.0</v>
      </c>
      <c r="I23" s="1">
        <v>80.0</v>
      </c>
    </row>
    <row r="24">
      <c r="A24" s="1" t="s">
        <v>26</v>
      </c>
      <c r="B24" s="1">
        <v>10.0</v>
      </c>
      <c r="C24" s="1">
        <v>138.0</v>
      </c>
      <c r="E24" s="1">
        <v>74.0</v>
      </c>
      <c r="G24" s="1">
        <v>48.0</v>
      </c>
      <c r="H24" s="1">
        <v>10.0</v>
      </c>
      <c r="I24" s="1">
        <v>94.0</v>
      </c>
    </row>
    <row r="25">
      <c r="A25" s="1" t="s">
        <v>27</v>
      </c>
      <c r="C25" s="1">
        <v>138.0</v>
      </c>
      <c r="D25" s="1">
        <v>10.0</v>
      </c>
      <c r="E25" s="1">
        <v>88.0</v>
      </c>
      <c r="G25" s="1">
        <v>48.0</v>
      </c>
      <c r="H25" s="1">
        <v>10.0</v>
      </c>
      <c r="I25" s="1">
        <v>108.0</v>
      </c>
    </row>
    <row r="26">
      <c r="A26" s="1" t="s">
        <v>28</v>
      </c>
      <c r="C26" s="1">
        <v>138.0</v>
      </c>
      <c r="D26" s="1">
        <v>0.0</v>
      </c>
      <c r="E26" s="1">
        <v>92.0</v>
      </c>
      <c r="F26" s="1">
        <v>0.0</v>
      </c>
      <c r="G26" s="1">
        <v>52.0</v>
      </c>
      <c r="I26" s="1">
        <v>108.0</v>
      </c>
    </row>
    <row r="27">
      <c r="A27" s="1" t="s">
        <v>29</v>
      </c>
      <c r="C27" s="1">
        <v>138.0</v>
      </c>
      <c r="D27" s="1">
        <v>0.0</v>
      </c>
      <c r="E27" s="1">
        <v>96.0</v>
      </c>
      <c r="G27" s="1">
        <v>52.0</v>
      </c>
      <c r="I27" s="1">
        <v>108.0</v>
      </c>
    </row>
    <row r="28">
      <c r="A28" s="1" t="s">
        <v>30</v>
      </c>
      <c r="B28" s="1">
        <v>10.0</v>
      </c>
      <c r="C28" s="1">
        <v>152.0</v>
      </c>
      <c r="E28" s="1">
        <v>96.0</v>
      </c>
      <c r="G28" s="1">
        <v>52.0</v>
      </c>
      <c r="H28" s="1">
        <v>10.0</v>
      </c>
      <c r="I28" s="1">
        <v>126.0</v>
      </c>
    </row>
    <row r="31">
      <c r="A31" s="1"/>
      <c r="B31" s="1" t="s">
        <v>2</v>
      </c>
      <c r="C31" s="1" t="s">
        <v>2</v>
      </c>
      <c r="D31" s="1" t="s">
        <v>1</v>
      </c>
      <c r="E31" s="1" t="s">
        <v>1</v>
      </c>
      <c r="F31" s="1" t="s">
        <v>0</v>
      </c>
      <c r="G31" s="1" t="s">
        <v>0</v>
      </c>
      <c r="H31" s="1" t="s">
        <v>3</v>
      </c>
      <c r="I31" s="1" t="s">
        <v>3</v>
      </c>
    </row>
    <row r="32">
      <c r="A32" s="1"/>
      <c r="B32" s="1" t="s">
        <v>7</v>
      </c>
      <c r="C32" s="1" t="s">
        <v>9</v>
      </c>
      <c r="D32" s="1" t="s">
        <v>7</v>
      </c>
      <c r="E32" s="1" t="s">
        <v>9</v>
      </c>
      <c r="F32" s="1" t="s">
        <v>7</v>
      </c>
      <c r="G32" s="1" t="s">
        <v>9</v>
      </c>
      <c r="H32" s="1" t="s">
        <v>7</v>
      </c>
      <c r="I32" s="1" t="s">
        <v>9</v>
      </c>
    </row>
    <row r="33">
      <c r="A33" s="1"/>
    </row>
    <row r="34">
      <c r="A34" s="1" t="s">
        <v>18</v>
      </c>
      <c r="B34" s="1">
        <v>10.0</v>
      </c>
      <c r="C34" s="1">
        <v>14.0</v>
      </c>
      <c r="E34" s="1">
        <v>0.0</v>
      </c>
      <c r="F34" s="1">
        <v>10.0</v>
      </c>
      <c r="G34" s="1">
        <v>14.0</v>
      </c>
      <c r="I34" s="1">
        <v>0.0</v>
      </c>
    </row>
    <row r="35">
      <c r="A35" s="1" t="s">
        <v>26</v>
      </c>
      <c r="B35" s="1">
        <v>0.0</v>
      </c>
      <c r="C35" s="1">
        <v>18.0</v>
      </c>
      <c r="E35" s="1">
        <v>0.0</v>
      </c>
      <c r="F35" s="1">
        <v>10.0</v>
      </c>
      <c r="G35" s="1">
        <v>28.0</v>
      </c>
      <c r="I35" s="1">
        <v>0.0</v>
      </c>
    </row>
    <row r="36">
      <c r="A36" s="1" t="s">
        <v>27</v>
      </c>
      <c r="C36" s="1">
        <v>18.0</v>
      </c>
      <c r="E36" s="1">
        <v>0.0</v>
      </c>
      <c r="G36" s="1">
        <v>28.0</v>
      </c>
      <c r="I36" s="1">
        <v>0.0</v>
      </c>
    </row>
    <row r="37">
      <c r="A37" s="1" t="s">
        <v>28</v>
      </c>
      <c r="C37" s="1">
        <v>18.0</v>
      </c>
      <c r="D37" s="1">
        <v>10.0</v>
      </c>
      <c r="E37" s="1">
        <v>14.0</v>
      </c>
      <c r="G37" s="1">
        <v>28.0</v>
      </c>
      <c r="H37" s="1">
        <v>10.0</v>
      </c>
      <c r="I37" s="1">
        <v>14.0</v>
      </c>
    </row>
    <row r="38">
      <c r="A38" s="1" t="s">
        <v>29</v>
      </c>
      <c r="C38" s="1">
        <v>18.0</v>
      </c>
      <c r="D38" s="1">
        <v>0.0</v>
      </c>
      <c r="E38" s="1">
        <v>18.0</v>
      </c>
      <c r="G38" s="1">
        <v>28.0</v>
      </c>
      <c r="H38" s="1">
        <v>0.0</v>
      </c>
      <c r="I38" s="1">
        <v>18.0</v>
      </c>
    </row>
    <row r="39">
      <c r="A39" s="1" t="s">
        <v>30</v>
      </c>
      <c r="C39" s="1">
        <v>18.0</v>
      </c>
      <c r="D39" s="1">
        <v>0.0</v>
      </c>
      <c r="E39" s="1">
        <v>26.0</v>
      </c>
      <c r="F39" s="1">
        <v>0.0</v>
      </c>
      <c r="G39" s="1">
        <v>32.0</v>
      </c>
      <c r="I39" s="1">
        <v>18.0</v>
      </c>
    </row>
    <row r="40">
      <c r="A40" s="1" t="s">
        <v>18</v>
      </c>
      <c r="C40" s="1">
        <v>18.0</v>
      </c>
      <c r="D40" s="1">
        <v>10.0</v>
      </c>
      <c r="E40" s="1">
        <v>40.0</v>
      </c>
      <c r="G40" s="1">
        <v>32.0</v>
      </c>
      <c r="H40" s="1">
        <v>10.0</v>
      </c>
      <c r="I40" s="1">
        <v>32.0</v>
      </c>
    </row>
    <row r="41">
      <c r="A41" s="1" t="s">
        <v>26</v>
      </c>
      <c r="C41" s="1">
        <v>18.0</v>
      </c>
      <c r="D41" s="1">
        <v>0.0</v>
      </c>
      <c r="E41" s="1">
        <v>44.0</v>
      </c>
      <c r="F41" s="1">
        <v>0.0</v>
      </c>
      <c r="G41" s="1">
        <v>36.0</v>
      </c>
      <c r="I41" s="1">
        <v>32.0</v>
      </c>
    </row>
    <row r="42">
      <c r="A42" s="1" t="s">
        <v>27</v>
      </c>
      <c r="C42" s="1">
        <v>18.0</v>
      </c>
      <c r="D42" s="1">
        <v>10.0</v>
      </c>
      <c r="E42" s="1">
        <v>58.0</v>
      </c>
      <c r="F42" s="1">
        <v>10.0</v>
      </c>
      <c r="G42" s="1">
        <v>50.0</v>
      </c>
      <c r="I42" s="1">
        <v>32.0</v>
      </c>
    </row>
    <row r="43">
      <c r="A43" s="1" t="s">
        <v>28</v>
      </c>
      <c r="C43" s="1">
        <v>18.0</v>
      </c>
      <c r="D43" s="1">
        <v>10.0</v>
      </c>
      <c r="E43" s="1">
        <v>72.0</v>
      </c>
      <c r="F43" s="1">
        <v>0.0</v>
      </c>
      <c r="G43" s="1">
        <v>54.0</v>
      </c>
      <c r="I43" s="1">
        <v>32.0</v>
      </c>
    </row>
    <row r="44">
      <c r="A44" s="1" t="s">
        <v>29</v>
      </c>
      <c r="C44" s="1">
        <v>18.0</v>
      </c>
      <c r="D44" s="1">
        <v>10.0</v>
      </c>
      <c r="E44" s="1">
        <v>86.0</v>
      </c>
      <c r="G44" s="1">
        <v>54.0</v>
      </c>
      <c r="I44" s="1">
        <v>32.0</v>
      </c>
    </row>
    <row r="45">
      <c r="A45" s="1" t="s">
        <v>30</v>
      </c>
      <c r="C45" s="1">
        <v>18.0</v>
      </c>
      <c r="E45" s="1">
        <v>86.0</v>
      </c>
      <c r="F45" s="1">
        <v>0.0</v>
      </c>
      <c r="G45" s="1">
        <v>58.0</v>
      </c>
      <c r="I45" s="1">
        <v>32.0</v>
      </c>
    </row>
    <row r="46">
      <c r="A46" s="1"/>
    </row>
    <row r="47">
      <c r="A47" s="1" t="s">
        <v>18</v>
      </c>
      <c r="C47" s="1">
        <v>18.0</v>
      </c>
      <c r="E47" s="1">
        <v>86.0</v>
      </c>
      <c r="G47" s="1">
        <v>58.0</v>
      </c>
      <c r="I47" s="1">
        <v>32.0</v>
      </c>
    </row>
    <row r="48">
      <c r="A48" s="1" t="s">
        <v>26</v>
      </c>
      <c r="C48" s="1">
        <v>18.0</v>
      </c>
      <c r="E48" s="1">
        <v>90.0</v>
      </c>
      <c r="F48" s="1">
        <v>10.0</v>
      </c>
      <c r="G48" s="1">
        <v>72.0</v>
      </c>
      <c r="I48" s="1">
        <v>32.0</v>
      </c>
    </row>
    <row r="49">
      <c r="A49" s="1" t="s">
        <v>27</v>
      </c>
      <c r="C49" s="1">
        <v>18.0</v>
      </c>
      <c r="D49" s="1">
        <v>10.0</v>
      </c>
      <c r="E49" s="1">
        <v>104.0</v>
      </c>
      <c r="G49" s="1">
        <v>72.0</v>
      </c>
      <c r="H49" s="1">
        <v>10.0</v>
      </c>
      <c r="I49" s="1">
        <v>46.0</v>
      </c>
    </row>
    <row r="50">
      <c r="A50" s="1" t="s">
        <v>28</v>
      </c>
      <c r="C50" s="1">
        <v>18.0</v>
      </c>
      <c r="E50" s="1">
        <v>104.0</v>
      </c>
      <c r="G50" s="1">
        <v>72.0</v>
      </c>
      <c r="H50" s="1">
        <v>0.0</v>
      </c>
      <c r="I50" s="1">
        <v>50.0</v>
      </c>
    </row>
    <row r="51">
      <c r="A51" s="1" t="s">
        <v>29</v>
      </c>
      <c r="C51" s="1">
        <v>18.0</v>
      </c>
      <c r="D51" s="1">
        <v>10.0</v>
      </c>
      <c r="E51" s="1">
        <v>122.0</v>
      </c>
      <c r="F51" s="1">
        <v>10.0</v>
      </c>
      <c r="G51" s="1">
        <v>86.0</v>
      </c>
      <c r="I51" s="1">
        <v>50.0</v>
      </c>
    </row>
    <row r="52">
      <c r="A52" s="1" t="s">
        <v>30</v>
      </c>
      <c r="C52" s="1">
        <v>18.0</v>
      </c>
      <c r="E52" s="1">
        <v>122.0</v>
      </c>
      <c r="G52" s="1">
        <v>86.0</v>
      </c>
      <c r="H52" s="1">
        <v>0.0</v>
      </c>
      <c r="I52" s="1">
        <v>54.0</v>
      </c>
    </row>
    <row r="53">
      <c r="A53" s="1" t="s">
        <v>18</v>
      </c>
      <c r="C53" s="1">
        <v>18.0</v>
      </c>
      <c r="E53" s="1">
        <v>122.0</v>
      </c>
      <c r="F53" s="1">
        <v>10.0</v>
      </c>
      <c r="G53" s="1">
        <v>100.0</v>
      </c>
      <c r="I53" s="1">
        <v>54.0</v>
      </c>
    </row>
    <row r="54">
      <c r="A54" s="1" t="s">
        <v>26</v>
      </c>
      <c r="C54" s="1">
        <v>18.0</v>
      </c>
      <c r="D54" s="1">
        <v>0.0</v>
      </c>
      <c r="E54" s="1">
        <v>126.0</v>
      </c>
      <c r="G54" s="1">
        <v>100.0</v>
      </c>
      <c r="H54" s="1">
        <v>0.0</v>
      </c>
      <c r="I54" s="1">
        <v>58.0</v>
      </c>
    </row>
    <row r="55">
      <c r="A55" s="1" t="s">
        <v>27</v>
      </c>
      <c r="C55" s="1">
        <v>18.0</v>
      </c>
      <c r="D55" s="1">
        <v>0.0</v>
      </c>
      <c r="E55" s="1">
        <v>130.0</v>
      </c>
      <c r="G55" s="1">
        <v>100.0</v>
      </c>
      <c r="I55" s="1">
        <v>58.0</v>
      </c>
    </row>
    <row r="56">
      <c r="A56" s="1" t="s">
        <v>28</v>
      </c>
      <c r="C56" s="1">
        <v>18.0</v>
      </c>
      <c r="D56" s="1">
        <v>10.0</v>
      </c>
      <c r="E56" s="1">
        <v>144.0</v>
      </c>
      <c r="F56" s="1">
        <v>10.0</v>
      </c>
      <c r="G56" s="1">
        <v>114.0</v>
      </c>
      <c r="I56" s="1">
        <v>58.0</v>
      </c>
    </row>
    <row r="57">
      <c r="A57" s="1" t="s">
        <v>29</v>
      </c>
      <c r="C57" s="1">
        <v>18.0</v>
      </c>
      <c r="E57" s="1">
        <v>144.0</v>
      </c>
      <c r="G57" s="1">
        <v>114.0</v>
      </c>
      <c r="H57" s="1">
        <v>0.0</v>
      </c>
      <c r="I57" s="1">
        <v>62.0</v>
      </c>
    </row>
    <row r="58">
      <c r="A58" s="1" t="s">
        <v>30</v>
      </c>
      <c r="C58" s="1">
        <v>18.0</v>
      </c>
      <c r="E58" s="1">
        <v>144.0</v>
      </c>
      <c r="G58" s="1">
        <v>114.0</v>
      </c>
      <c r="I58" s="1">
        <v>62.0</v>
      </c>
    </row>
    <row r="61">
      <c r="A61" s="1"/>
      <c r="B61" s="1" t="s">
        <v>2</v>
      </c>
      <c r="C61" s="1" t="s">
        <v>2</v>
      </c>
      <c r="D61" s="1" t="s">
        <v>0</v>
      </c>
      <c r="E61" s="1" t="s">
        <v>0</v>
      </c>
      <c r="F61" s="1" t="s">
        <v>1</v>
      </c>
      <c r="G61" s="1" t="s">
        <v>1</v>
      </c>
      <c r="H61" s="1" t="s">
        <v>3</v>
      </c>
      <c r="I61" s="1" t="s">
        <v>3</v>
      </c>
      <c r="V61" s="3"/>
      <c r="W61" s="4"/>
      <c r="X61" s="4"/>
      <c r="Y61" s="4"/>
      <c r="Z61" s="4"/>
    </row>
    <row r="62">
      <c r="A62" s="1"/>
      <c r="B62" s="1" t="s">
        <v>7</v>
      </c>
      <c r="C62" s="1" t="s">
        <v>9</v>
      </c>
      <c r="D62" s="1" t="s">
        <v>7</v>
      </c>
      <c r="E62" s="1" t="s">
        <v>9</v>
      </c>
      <c r="F62" s="1" t="s">
        <v>7</v>
      </c>
      <c r="G62" s="1" t="s">
        <v>9</v>
      </c>
      <c r="H62" s="1" t="s">
        <v>7</v>
      </c>
      <c r="I62" s="1" t="s">
        <v>9</v>
      </c>
      <c r="V62" s="5"/>
      <c r="W62" s="5"/>
      <c r="X62" s="5"/>
      <c r="Y62" s="5"/>
      <c r="Z62" s="5"/>
    </row>
    <row r="63">
      <c r="A63" s="1"/>
    </row>
    <row r="64">
      <c r="A64" s="1" t="s">
        <v>18</v>
      </c>
      <c r="C64" s="1">
        <v>0.0</v>
      </c>
      <c r="D64" s="1">
        <v>0.0</v>
      </c>
      <c r="E64" s="1">
        <v>4.0</v>
      </c>
      <c r="G64" s="1">
        <v>0.0</v>
      </c>
      <c r="I64" s="1">
        <v>0.0</v>
      </c>
    </row>
    <row r="65">
      <c r="A65" s="1" t="s">
        <v>26</v>
      </c>
      <c r="C65" s="1">
        <v>0.0</v>
      </c>
      <c r="D65" s="1">
        <v>0.0</v>
      </c>
      <c r="E65" s="1">
        <v>8.0</v>
      </c>
      <c r="F65" s="1">
        <v>0.0</v>
      </c>
      <c r="G65" s="1">
        <v>4.0</v>
      </c>
      <c r="I65" s="1">
        <v>0.0</v>
      </c>
    </row>
    <row r="66">
      <c r="A66" s="1" t="s">
        <v>27</v>
      </c>
      <c r="C66" s="1">
        <v>0.0</v>
      </c>
      <c r="D66" s="1">
        <v>10.0</v>
      </c>
      <c r="E66" s="1">
        <v>22.0</v>
      </c>
      <c r="G66" s="1">
        <v>4.0</v>
      </c>
      <c r="I66" s="1">
        <v>0.0</v>
      </c>
    </row>
    <row r="67">
      <c r="A67" s="1" t="s">
        <v>28</v>
      </c>
      <c r="C67" s="1">
        <v>0.0</v>
      </c>
      <c r="D67" s="1">
        <v>0.0</v>
      </c>
      <c r="E67" s="1">
        <v>26.0</v>
      </c>
      <c r="F67" s="1">
        <v>0.0</v>
      </c>
      <c r="G67" s="1">
        <v>8.0</v>
      </c>
      <c r="I67" s="1">
        <v>0.0</v>
      </c>
    </row>
    <row r="68">
      <c r="A68" s="1" t="s">
        <v>29</v>
      </c>
      <c r="C68" s="1">
        <v>0.0</v>
      </c>
      <c r="E68" s="1">
        <v>26.0</v>
      </c>
      <c r="F68" s="1">
        <v>10.0</v>
      </c>
      <c r="G68" s="1">
        <v>22.0</v>
      </c>
      <c r="I68" s="1">
        <v>0.0</v>
      </c>
    </row>
    <row r="69">
      <c r="A69" s="1" t="s">
        <v>30</v>
      </c>
      <c r="C69" s="1">
        <v>0.0</v>
      </c>
      <c r="E69" s="1">
        <v>26.0</v>
      </c>
      <c r="G69" s="1">
        <v>22.0</v>
      </c>
      <c r="H69" s="1">
        <v>10.0</v>
      </c>
      <c r="I69" s="1">
        <v>14.0</v>
      </c>
    </row>
    <row r="70">
      <c r="A70" s="1" t="s">
        <v>18</v>
      </c>
      <c r="B70" s="1">
        <v>0.0</v>
      </c>
      <c r="C70" s="1">
        <v>4.0</v>
      </c>
      <c r="E70" s="1">
        <v>26.0</v>
      </c>
      <c r="G70" s="1">
        <v>22.0</v>
      </c>
      <c r="H70" s="1">
        <v>10.0</v>
      </c>
      <c r="I70" s="1">
        <v>28.0</v>
      </c>
    </row>
    <row r="71">
      <c r="A71" s="1" t="s">
        <v>26</v>
      </c>
      <c r="C71" s="1">
        <v>4.0</v>
      </c>
      <c r="D71" s="1">
        <v>0.0</v>
      </c>
      <c r="E71" s="1">
        <v>30.0</v>
      </c>
      <c r="F71" s="1">
        <v>0.0</v>
      </c>
      <c r="G71" s="1">
        <v>26.0</v>
      </c>
      <c r="I71" s="1">
        <v>28.0</v>
      </c>
    </row>
    <row r="72">
      <c r="A72" s="1" t="s">
        <v>27</v>
      </c>
      <c r="B72" s="1">
        <v>0.0</v>
      </c>
      <c r="C72" s="1">
        <v>8.0</v>
      </c>
      <c r="E72" s="1">
        <v>30.0</v>
      </c>
      <c r="F72" s="1">
        <v>10.0</v>
      </c>
      <c r="G72" s="1">
        <v>40.0</v>
      </c>
      <c r="I72" s="1">
        <v>28.0</v>
      </c>
    </row>
    <row r="73">
      <c r="A73" s="1" t="s">
        <v>28</v>
      </c>
      <c r="B73" s="1">
        <v>10.0</v>
      </c>
      <c r="C73" s="1">
        <v>22.0</v>
      </c>
      <c r="E73" s="1">
        <v>30.0</v>
      </c>
      <c r="F73" s="1">
        <v>10.0</v>
      </c>
      <c r="G73" s="1">
        <v>54.0</v>
      </c>
      <c r="I73" s="1">
        <v>28.0</v>
      </c>
    </row>
    <row r="74">
      <c r="A74" s="1" t="s">
        <v>29</v>
      </c>
      <c r="C74" s="1">
        <v>22.0</v>
      </c>
      <c r="E74" s="1">
        <v>30.0</v>
      </c>
      <c r="F74" s="1">
        <v>10.0</v>
      </c>
      <c r="G74" s="1">
        <v>68.0</v>
      </c>
      <c r="I74" s="1">
        <v>28.0</v>
      </c>
    </row>
    <row r="75">
      <c r="A75" s="1" t="s">
        <v>30</v>
      </c>
      <c r="B75" s="1">
        <v>0.0</v>
      </c>
      <c r="C75" s="1">
        <v>26.0</v>
      </c>
      <c r="E75" s="1">
        <v>30.0</v>
      </c>
      <c r="G75" s="1">
        <v>68.0</v>
      </c>
      <c r="I75" s="1">
        <v>28.0</v>
      </c>
    </row>
    <row r="76">
      <c r="A76" s="1"/>
    </row>
    <row r="77">
      <c r="A77" s="1" t="s">
        <v>18</v>
      </c>
      <c r="C77" s="1">
        <v>26.0</v>
      </c>
      <c r="D77" s="1">
        <v>0.0</v>
      </c>
      <c r="E77" s="1">
        <v>38.0</v>
      </c>
      <c r="G77" s="1">
        <v>68.0</v>
      </c>
      <c r="H77" s="1">
        <v>10.0</v>
      </c>
      <c r="I77" s="1">
        <v>46.0</v>
      </c>
    </row>
    <row r="78">
      <c r="A78" s="1" t="s">
        <v>26</v>
      </c>
      <c r="C78" s="1">
        <v>26.0</v>
      </c>
      <c r="D78" s="1">
        <v>0.0</v>
      </c>
      <c r="E78" s="1">
        <v>38.0</v>
      </c>
      <c r="G78" s="1">
        <v>68.0</v>
      </c>
      <c r="I78" s="1">
        <v>46.0</v>
      </c>
    </row>
    <row r="79">
      <c r="A79" s="1" t="s">
        <v>27</v>
      </c>
      <c r="C79" s="1">
        <v>26.0</v>
      </c>
      <c r="E79" s="1">
        <v>38.0</v>
      </c>
      <c r="G79" s="1">
        <v>68.0</v>
      </c>
      <c r="I79" s="1">
        <v>46.0</v>
      </c>
    </row>
    <row r="80">
      <c r="A80" s="1" t="s">
        <v>28</v>
      </c>
      <c r="C80" s="1">
        <v>26.0</v>
      </c>
      <c r="D80" s="1">
        <v>10.0</v>
      </c>
      <c r="E80" s="1">
        <v>52.0</v>
      </c>
      <c r="G80" s="1">
        <v>68.0</v>
      </c>
      <c r="I80" s="1">
        <v>46.0</v>
      </c>
    </row>
    <row r="81">
      <c r="A81" s="1" t="s">
        <v>29</v>
      </c>
      <c r="B81" s="1">
        <v>0.0</v>
      </c>
      <c r="C81" s="1">
        <v>30.0</v>
      </c>
      <c r="E81" s="1">
        <v>52.0</v>
      </c>
      <c r="G81" s="1">
        <v>68.0</v>
      </c>
      <c r="I81" s="1">
        <v>46.0</v>
      </c>
    </row>
    <row r="82">
      <c r="A82" s="1" t="s">
        <v>30</v>
      </c>
      <c r="C82" s="1">
        <v>30.0</v>
      </c>
      <c r="D82" s="1">
        <v>0.0</v>
      </c>
      <c r="E82" s="1">
        <v>56.0</v>
      </c>
      <c r="F82" s="1">
        <v>10.0</v>
      </c>
      <c r="G82" s="1">
        <v>82.0</v>
      </c>
      <c r="I82" s="1">
        <v>46.0</v>
      </c>
    </row>
    <row r="83">
      <c r="A83" s="1" t="s">
        <v>18</v>
      </c>
      <c r="B83" s="1">
        <v>0.0</v>
      </c>
      <c r="C83" s="1">
        <v>34.0</v>
      </c>
      <c r="E83" s="1">
        <v>56.0</v>
      </c>
      <c r="F83" s="1">
        <v>0.0</v>
      </c>
      <c r="G83" s="1">
        <v>86.0</v>
      </c>
      <c r="I83" s="1">
        <v>46.0</v>
      </c>
    </row>
    <row r="84">
      <c r="A84" s="1" t="s">
        <v>26</v>
      </c>
      <c r="C84" s="1">
        <v>34.0</v>
      </c>
      <c r="D84" s="1">
        <v>0.0</v>
      </c>
      <c r="E84" s="1">
        <v>60.0</v>
      </c>
      <c r="F84" s="1">
        <v>0.0</v>
      </c>
      <c r="G84" s="1">
        <v>90.0</v>
      </c>
      <c r="I84" s="1">
        <v>46.0</v>
      </c>
    </row>
    <row r="85">
      <c r="A85" s="1" t="s">
        <v>27</v>
      </c>
      <c r="C85" s="1">
        <v>34.0</v>
      </c>
      <c r="E85" s="1">
        <v>60.0</v>
      </c>
      <c r="G85" s="1">
        <v>90.0</v>
      </c>
      <c r="I85" s="1">
        <v>50.0</v>
      </c>
    </row>
    <row r="86">
      <c r="A86" s="1" t="s">
        <v>28</v>
      </c>
      <c r="C86" s="1">
        <v>34.0</v>
      </c>
      <c r="D86" s="1">
        <v>10.0</v>
      </c>
      <c r="E86" s="1">
        <v>74.0</v>
      </c>
      <c r="G86" s="1">
        <v>90.0</v>
      </c>
      <c r="H86" s="1">
        <v>10.0</v>
      </c>
      <c r="I86" s="1">
        <v>64.0</v>
      </c>
    </row>
    <row r="87">
      <c r="A87" s="1" t="s">
        <v>29</v>
      </c>
      <c r="C87" s="1">
        <v>34.0</v>
      </c>
      <c r="E87" s="1">
        <v>74.0</v>
      </c>
      <c r="G87" s="1">
        <v>90.0</v>
      </c>
      <c r="I87" s="1">
        <v>64.0</v>
      </c>
    </row>
    <row r="88">
      <c r="A88" s="1" t="s">
        <v>30</v>
      </c>
      <c r="C88" s="1">
        <v>34.0</v>
      </c>
      <c r="E88" s="1">
        <v>74.0</v>
      </c>
      <c r="F88" s="1">
        <v>0.0</v>
      </c>
      <c r="G88" s="1">
        <v>94.0</v>
      </c>
      <c r="I88" s="1">
        <v>64.0</v>
      </c>
    </row>
    <row r="91">
      <c r="A91" s="1"/>
      <c r="B91" s="1" t="s">
        <v>2</v>
      </c>
      <c r="C91" s="1" t="s">
        <v>2</v>
      </c>
      <c r="D91" s="1" t="s">
        <v>3</v>
      </c>
      <c r="E91" s="1" t="s">
        <v>3</v>
      </c>
      <c r="F91" s="1" t="s">
        <v>1</v>
      </c>
      <c r="G91" s="1" t="s">
        <v>1</v>
      </c>
      <c r="H91" s="1" t="s">
        <v>0</v>
      </c>
      <c r="I91" s="1" t="s">
        <v>0</v>
      </c>
    </row>
    <row r="92">
      <c r="A92" s="1"/>
      <c r="B92" s="1" t="s">
        <v>7</v>
      </c>
      <c r="C92" s="1" t="s">
        <v>9</v>
      </c>
      <c r="D92" s="1" t="s">
        <v>7</v>
      </c>
      <c r="E92" s="1" t="s">
        <v>9</v>
      </c>
      <c r="F92" s="1" t="s">
        <v>7</v>
      </c>
      <c r="G92" s="1" t="s">
        <v>9</v>
      </c>
      <c r="H92" s="1" t="s">
        <v>7</v>
      </c>
      <c r="I92" s="1" t="s">
        <v>9</v>
      </c>
    </row>
    <row r="93">
      <c r="A93" s="1"/>
    </row>
    <row r="94">
      <c r="A94" s="1" t="s">
        <v>18</v>
      </c>
      <c r="C94" s="1">
        <v>0.0</v>
      </c>
      <c r="E94" s="1">
        <v>4.0</v>
      </c>
      <c r="G94" s="1">
        <v>0.0</v>
      </c>
      <c r="I94" s="1">
        <v>0.0</v>
      </c>
    </row>
    <row r="95">
      <c r="A95" s="1" t="s">
        <v>26</v>
      </c>
      <c r="C95" s="1">
        <v>0.0</v>
      </c>
      <c r="E95" s="1">
        <v>4.0</v>
      </c>
      <c r="G95" s="1">
        <v>0.0</v>
      </c>
      <c r="I95" s="1">
        <v>0.0</v>
      </c>
    </row>
    <row r="96">
      <c r="A96" s="1" t="s">
        <v>27</v>
      </c>
      <c r="C96" s="1">
        <v>0.0</v>
      </c>
      <c r="E96" s="1">
        <v>4.0</v>
      </c>
      <c r="F96" s="1">
        <v>10.0</v>
      </c>
      <c r="G96" s="1">
        <v>14.0</v>
      </c>
      <c r="I96" s="1">
        <v>0.0</v>
      </c>
    </row>
    <row r="97">
      <c r="A97" s="1" t="s">
        <v>28</v>
      </c>
      <c r="B97" s="1">
        <v>0.0</v>
      </c>
      <c r="C97" s="1">
        <v>4.0</v>
      </c>
      <c r="E97" s="1">
        <v>4.0</v>
      </c>
      <c r="F97" s="1">
        <v>10.0</v>
      </c>
      <c r="G97" s="1">
        <v>28.0</v>
      </c>
      <c r="I97" s="1">
        <v>0.0</v>
      </c>
    </row>
    <row r="98">
      <c r="A98" s="1" t="s">
        <v>29</v>
      </c>
      <c r="C98" s="1">
        <v>4.0</v>
      </c>
      <c r="D98" s="1">
        <v>0.0</v>
      </c>
      <c r="E98" s="1">
        <v>8.0</v>
      </c>
      <c r="F98" s="1">
        <v>10.0</v>
      </c>
      <c r="G98" s="1">
        <v>42.0</v>
      </c>
      <c r="I98" s="1">
        <v>0.0</v>
      </c>
    </row>
    <row r="99">
      <c r="A99" s="1" t="s">
        <v>30</v>
      </c>
      <c r="C99" s="1">
        <v>4.0</v>
      </c>
      <c r="D99" s="1">
        <v>10.0</v>
      </c>
      <c r="E99" s="1">
        <v>22.0</v>
      </c>
      <c r="G99" s="1">
        <v>42.0</v>
      </c>
      <c r="H99" s="1">
        <v>0.0</v>
      </c>
      <c r="I99" s="1">
        <v>4.0</v>
      </c>
    </row>
    <row r="100">
      <c r="A100" s="1" t="s">
        <v>18</v>
      </c>
      <c r="B100" s="1">
        <v>10.0</v>
      </c>
      <c r="C100" s="1">
        <v>22.0</v>
      </c>
      <c r="E100" s="1">
        <v>22.0</v>
      </c>
      <c r="F100" s="1">
        <v>10.0</v>
      </c>
      <c r="G100" s="1">
        <v>56.0</v>
      </c>
      <c r="I100" s="1">
        <v>4.0</v>
      </c>
    </row>
    <row r="101">
      <c r="A101" s="1" t="s">
        <v>26</v>
      </c>
      <c r="C101" s="1">
        <v>22.0</v>
      </c>
      <c r="D101" s="1">
        <v>0.0</v>
      </c>
      <c r="E101" s="1">
        <v>26.0</v>
      </c>
      <c r="F101" s="1">
        <v>0.0</v>
      </c>
      <c r="G101" s="1">
        <v>60.0</v>
      </c>
      <c r="I101" s="1">
        <v>4.0</v>
      </c>
    </row>
    <row r="102">
      <c r="A102" s="1" t="s">
        <v>27</v>
      </c>
      <c r="C102" s="1">
        <v>22.0</v>
      </c>
      <c r="E102" s="1">
        <v>26.0</v>
      </c>
      <c r="G102" s="1">
        <v>60.0</v>
      </c>
      <c r="H102" s="1">
        <v>0.0</v>
      </c>
      <c r="I102" s="1">
        <v>8.0</v>
      </c>
    </row>
    <row r="103">
      <c r="A103" s="1" t="s">
        <v>28</v>
      </c>
      <c r="B103" s="1">
        <v>0.0</v>
      </c>
      <c r="C103" s="1">
        <v>26.0</v>
      </c>
      <c r="E103" s="1">
        <v>26.0</v>
      </c>
      <c r="F103" s="1">
        <v>10.0</v>
      </c>
      <c r="G103" s="1">
        <v>74.0</v>
      </c>
      <c r="I103" s="1">
        <v>8.0</v>
      </c>
    </row>
    <row r="104">
      <c r="A104" s="1" t="s">
        <v>29</v>
      </c>
      <c r="C104" s="1">
        <v>26.0</v>
      </c>
      <c r="E104" s="1">
        <v>26.0</v>
      </c>
      <c r="F104" s="1">
        <v>0.0</v>
      </c>
      <c r="G104" s="1">
        <v>78.0</v>
      </c>
      <c r="I104" s="1">
        <v>8.0</v>
      </c>
    </row>
    <row r="105">
      <c r="A105" s="1" t="s">
        <v>30</v>
      </c>
      <c r="B105" s="1">
        <v>0.0</v>
      </c>
      <c r="C105" s="1">
        <v>30.0</v>
      </c>
      <c r="E105" s="1">
        <v>26.0</v>
      </c>
      <c r="G105" s="1">
        <v>78.0</v>
      </c>
      <c r="H105" s="1">
        <v>0.0</v>
      </c>
      <c r="I105" s="1">
        <v>12.0</v>
      </c>
    </row>
    <row r="106">
      <c r="A106" s="1"/>
    </row>
    <row r="107">
      <c r="A107" s="1" t="s">
        <v>18</v>
      </c>
      <c r="C107" s="1">
        <v>30.0</v>
      </c>
      <c r="D107" s="1">
        <v>0.0</v>
      </c>
      <c r="E107" s="1">
        <v>30.0</v>
      </c>
      <c r="F107" s="1">
        <v>0.0</v>
      </c>
      <c r="G107" s="1">
        <v>82.0</v>
      </c>
      <c r="I107" s="1">
        <v>12.0</v>
      </c>
    </row>
    <row r="108">
      <c r="A108" s="1" t="s">
        <v>26</v>
      </c>
      <c r="C108" s="1">
        <v>30.0</v>
      </c>
      <c r="E108" s="1">
        <v>30.0</v>
      </c>
      <c r="G108" s="1">
        <v>82.0</v>
      </c>
      <c r="H108" s="1">
        <v>10.0</v>
      </c>
      <c r="I108" s="1">
        <v>26.0</v>
      </c>
    </row>
    <row r="109">
      <c r="A109" s="1" t="s">
        <v>27</v>
      </c>
      <c r="C109" s="1">
        <v>30.0</v>
      </c>
      <c r="E109" s="1">
        <v>30.0</v>
      </c>
      <c r="F109" s="1">
        <v>0.0</v>
      </c>
      <c r="G109" s="1">
        <v>86.0</v>
      </c>
      <c r="I109" s="1">
        <v>26.0</v>
      </c>
    </row>
    <row r="110">
      <c r="A110" s="1" t="s">
        <v>28</v>
      </c>
      <c r="C110" s="1">
        <v>30.0</v>
      </c>
      <c r="E110" s="1">
        <v>30.0</v>
      </c>
      <c r="G110" s="1">
        <v>86.0</v>
      </c>
      <c r="I110" s="1">
        <v>26.0</v>
      </c>
    </row>
    <row r="111">
      <c r="A111" s="1" t="s">
        <v>29</v>
      </c>
      <c r="C111" s="1">
        <v>30.0</v>
      </c>
      <c r="D111" s="1">
        <v>10.0</v>
      </c>
      <c r="E111" s="1">
        <v>44.0</v>
      </c>
      <c r="G111" s="1">
        <v>86.0</v>
      </c>
      <c r="H111" s="1">
        <v>10.0</v>
      </c>
      <c r="I111" s="1">
        <v>40.0</v>
      </c>
    </row>
    <row r="112">
      <c r="A112" s="1" t="s">
        <v>30</v>
      </c>
      <c r="B112" s="1">
        <v>0.0</v>
      </c>
      <c r="C112" s="1">
        <v>34.0</v>
      </c>
      <c r="E112" s="1">
        <v>44.0</v>
      </c>
      <c r="G112" s="1">
        <v>86.0</v>
      </c>
      <c r="H112" s="1">
        <v>0.0</v>
      </c>
      <c r="I112" s="1">
        <v>44.0</v>
      </c>
    </row>
    <row r="113">
      <c r="A113" s="1" t="s">
        <v>18</v>
      </c>
      <c r="C113" s="1">
        <v>34.0</v>
      </c>
      <c r="E113" s="1">
        <v>44.0</v>
      </c>
      <c r="G113" s="1">
        <v>86.0</v>
      </c>
      <c r="I113" s="1">
        <v>48.0</v>
      </c>
    </row>
    <row r="114">
      <c r="A114" s="1" t="s">
        <v>26</v>
      </c>
      <c r="C114" s="1">
        <v>34.0</v>
      </c>
      <c r="E114" s="1">
        <v>44.0</v>
      </c>
      <c r="G114" s="1">
        <v>86.0</v>
      </c>
      <c r="I114" s="1">
        <v>48.0</v>
      </c>
    </row>
    <row r="115">
      <c r="A115" s="1" t="s">
        <v>27</v>
      </c>
      <c r="B115" s="1">
        <v>0.0</v>
      </c>
      <c r="C115" s="1">
        <v>38.0</v>
      </c>
      <c r="E115" s="1">
        <v>44.0</v>
      </c>
      <c r="G115" s="1">
        <v>86.0</v>
      </c>
      <c r="H115" s="1">
        <v>0.0</v>
      </c>
      <c r="I115" s="1">
        <v>52.0</v>
      </c>
    </row>
    <row r="116">
      <c r="A116" s="1" t="s">
        <v>28</v>
      </c>
      <c r="C116" s="1">
        <v>42.0</v>
      </c>
      <c r="E116" s="1">
        <v>48.0</v>
      </c>
      <c r="F116" s="1">
        <v>10.0</v>
      </c>
      <c r="G116" s="1">
        <v>100.0</v>
      </c>
      <c r="I116" s="1">
        <v>52.0</v>
      </c>
    </row>
    <row r="117">
      <c r="A117" s="1" t="s">
        <v>29</v>
      </c>
      <c r="B117" s="1">
        <v>0.0</v>
      </c>
      <c r="C117" s="1">
        <v>46.0</v>
      </c>
      <c r="E117" s="1">
        <v>48.0</v>
      </c>
      <c r="F117" s="1">
        <v>10.0</v>
      </c>
      <c r="G117" s="1">
        <v>114.0</v>
      </c>
      <c r="I117" s="1">
        <v>52.0</v>
      </c>
    </row>
    <row r="118">
      <c r="A118" s="1" t="s">
        <v>30</v>
      </c>
      <c r="C118" s="1">
        <v>46.0</v>
      </c>
      <c r="D118" s="1">
        <v>10.0</v>
      </c>
      <c r="E118" s="1">
        <v>66.0</v>
      </c>
      <c r="F118" s="1">
        <v>0.0</v>
      </c>
      <c r="G118" s="1">
        <v>118.0</v>
      </c>
      <c r="I118" s="1">
        <v>52.0</v>
      </c>
    </row>
    <row r="121">
      <c r="A121" s="1"/>
      <c r="B121" s="1" t="s">
        <v>0</v>
      </c>
      <c r="C121" s="1" t="s">
        <v>0</v>
      </c>
      <c r="D121" s="1" t="s">
        <v>3</v>
      </c>
      <c r="E121" s="1" t="s">
        <v>3</v>
      </c>
      <c r="F121" s="1" t="s">
        <v>1</v>
      </c>
      <c r="G121" s="1" t="s">
        <v>1</v>
      </c>
      <c r="H121" s="1" t="s">
        <v>2</v>
      </c>
      <c r="I121" s="1" t="s">
        <v>2</v>
      </c>
    </row>
    <row r="122">
      <c r="A122" s="1"/>
      <c r="B122" s="1" t="s">
        <v>7</v>
      </c>
      <c r="C122" s="1" t="s">
        <v>9</v>
      </c>
      <c r="D122" s="1" t="s">
        <v>7</v>
      </c>
      <c r="E122" s="1" t="s">
        <v>9</v>
      </c>
      <c r="F122" s="1" t="s">
        <v>7</v>
      </c>
      <c r="G122" s="1" t="s">
        <v>9</v>
      </c>
      <c r="H122" s="1" t="s">
        <v>7</v>
      </c>
      <c r="I122" s="1" t="s">
        <v>9</v>
      </c>
    </row>
    <row r="123">
      <c r="A123" s="1"/>
    </row>
    <row r="124">
      <c r="A124" s="1" t="s">
        <v>18</v>
      </c>
      <c r="C124" s="1">
        <v>0.0</v>
      </c>
      <c r="E124" s="1">
        <v>0.0</v>
      </c>
      <c r="G124" s="1">
        <v>0.0</v>
      </c>
      <c r="I124" s="1">
        <v>0.0</v>
      </c>
    </row>
    <row r="125">
      <c r="A125" s="1" t="s">
        <v>26</v>
      </c>
      <c r="B125" s="1">
        <v>0.0</v>
      </c>
      <c r="C125" s="1">
        <v>4.0</v>
      </c>
      <c r="E125" s="1">
        <v>0.0</v>
      </c>
      <c r="G125" s="1">
        <v>0.0</v>
      </c>
      <c r="I125" s="1">
        <v>4.0</v>
      </c>
    </row>
    <row r="126">
      <c r="A126" s="1" t="s">
        <v>27</v>
      </c>
      <c r="C126" s="1">
        <v>4.0</v>
      </c>
      <c r="E126" s="1">
        <v>0.0</v>
      </c>
      <c r="F126" s="1">
        <v>10.0</v>
      </c>
      <c r="G126" s="1">
        <v>14.0</v>
      </c>
      <c r="I126" s="1">
        <v>4.0</v>
      </c>
    </row>
    <row r="127">
      <c r="A127" s="1" t="s">
        <v>28</v>
      </c>
      <c r="C127" s="1">
        <v>8.0</v>
      </c>
      <c r="E127" s="1">
        <v>0.0</v>
      </c>
      <c r="G127" s="1">
        <v>18.0</v>
      </c>
      <c r="I127" s="1">
        <v>4.0</v>
      </c>
    </row>
    <row r="128">
      <c r="A128" s="1" t="s">
        <v>29</v>
      </c>
      <c r="C128" s="1">
        <v>8.0</v>
      </c>
      <c r="E128" s="1">
        <v>0.0</v>
      </c>
      <c r="G128" s="1">
        <v>18.0</v>
      </c>
      <c r="I128" s="1">
        <v>4.0</v>
      </c>
    </row>
    <row r="129">
      <c r="A129" s="1" t="s">
        <v>30</v>
      </c>
      <c r="C129" s="1">
        <v>8.0</v>
      </c>
      <c r="E129" s="1">
        <v>0.0</v>
      </c>
      <c r="F129" s="1">
        <v>0.0</v>
      </c>
      <c r="G129" s="1">
        <v>22.0</v>
      </c>
      <c r="I129" s="1">
        <v>4.0</v>
      </c>
    </row>
    <row r="130">
      <c r="A130" s="1" t="s">
        <v>18</v>
      </c>
      <c r="C130" s="1">
        <v>8.0</v>
      </c>
      <c r="D130" s="1">
        <v>10.0</v>
      </c>
      <c r="E130" s="1">
        <v>14.0</v>
      </c>
      <c r="G130" s="1">
        <v>22.0</v>
      </c>
      <c r="I130" s="1">
        <v>4.0</v>
      </c>
    </row>
    <row r="131">
      <c r="A131" s="1" t="s">
        <v>26</v>
      </c>
      <c r="C131" s="1">
        <v>8.0</v>
      </c>
      <c r="D131" s="1">
        <v>0.0</v>
      </c>
      <c r="E131" s="1">
        <v>18.0</v>
      </c>
      <c r="G131" s="1">
        <v>26.0</v>
      </c>
      <c r="I131" s="1">
        <v>8.0</v>
      </c>
    </row>
    <row r="132">
      <c r="A132" s="1" t="s">
        <v>27</v>
      </c>
      <c r="C132" s="1">
        <v>12.0</v>
      </c>
      <c r="E132" s="1">
        <v>18.0</v>
      </c>
      <c r="F132" s="1">
        <v>10.0</v>
      </c>
      <c r="G132" s="1">
        <v>40.0</v>
      </c>
      <c r="I132" s="1">
        <v>8.0</v>
      </c>
    </row>
    <row r="133">
      <c r="A133" s="1" t="s">
        <v>28</v>
      </c>
      <c r="C133" s="1">
        <v>12.0</v>
      </c>
      <c r="E133" s="1">
        <v>18.0</v>
      </c>
      <c r="G133" s="1">
        <v>40.0</v>
      </c>
      <c r="I133" s="1">
        <v>8.0</v>
      </c>
    </row>
    <row r="134">
      <c r="A134" s="1" t="s">
        <v>29</v>
      </c>
      <c r="C134" s="1">
        <v>12.0</v>
      </c>
      <c r="E134" s="1">
        <v>18.0</v>
      </c>
      <c r="G134" s="1">
        <v>40.0</v>
      </c>
      <c r="H134" s="1">
        <v>10.0</v>
      </c>
      <c r="I134" s="1">
        <v>22.0</v>
      </c>
    </row>
    <row r="135">
      <c r="A135" s="1" t="s">
        <v>30</v>
      </c>
      <c r="C135" s="1">
        <v>12.0</v>
      </c>
      <c r="E135" s="1">
        <v>18.0</v>
      </c>
      <c r="G135" s="1">
        <v>40.0</v>
      </c>
      <c r="I135" s="1">
        <v>22.0</v>
      </c>
    </row>
    <row r="136">
      <c r="A136" s="1"/>
    </row>
    <row r="137">
      <c r="A137" s="1" t="s">
        <v>18</v>
      </c>
      <c r="C137" s="1">
        <v>12.0</v>
      </c>
      <c r="D137" s="1">
        <v>0.0</v>
      </c>
      <c r="E137" s="1">
        <v>22.0</v>
      </c>
      <c r="F137" s="1">
        <v>0.0</v>
      </c>
      <c r="G137" s="1">
        <v>44.0</v>
      </c>
      <c r="I137" s="1">
        <v>22.0</v>
      </c>
    </row>
    <row r="138">
      <c r="A138" s="1" t="s">
        <v>26</v>
      </c>
      <c r="B138" s="1">
        <v>0.0</v>
      </c>
      <c r="C138" s="1">
        <v>16.0</v>
      </c>
      <c r="E138" s="1">
        <v>22.0</v>
      </c>
      <c r="F138" s="1">
        <v>0.0</v>
      </c>
      <c r="G138" s="1">
        <v>48.0</v>
      </c>
      <c r="I138" s="1">
        <v>22.0</v>
      </c>
    </row>
    <row r="139">
      <c r="A139" s="1" t="s">
        <v>27</v>
      </c>
      <c r="C139" s="1">
        <v>16.0</v>
      </c>
      <c r="E139" s="1">
        <v>22.0</v>
      </c>
      <c r="G139" s="1">
        <v>48.0</v>
      </c>
      <c r="I139" s="1">
        <v>22.0</v>
      </c>
    </row>
    <row r="140">
      <c r="A140" s="1" t="s">
        <v>28</v>
      </c>
      <c r="B140" s="1">
        <v>0.0</v>
      </c>
      <c r="C140" s="1">
        <v>20.0</v>
      </c>
      <c r="E140" s="1">
        <v>22.0</v>
      </c>
      <c r="G140" s="1">
        <v>48.0</v>
      </c>
      <c r="H140" s="1">
        <v>0.0</v>
      </c>
      <c r="I140" s="1">
        <v>30.0</v>
      </c>
    </row>
    <row r="141">
      <c r="A141" s="1" t="s">
        <v>29</v>
      </c>
      <c r="C141" s="1">
        <v>20.0</v>
      </c>
      <c r="E141" s="1">
        <v>22.0</v>
      </c>
      <c r="F141" s="1">
        <v>10.0</v>
      </c>
      <c r="G141" s="1">
        <v>62.0</v>
      </c>
      <c r="I141" s="1">
        <v>30.0</v>
      </c>
    </row>
    <row r="142">
      <c r="A142" s="1" t="s">
        <v>30</v>
      </c>
      <c r="C142" s="1">
        <v>20.0</v>
      </c>
      <c r="E142" s="1">
        <v>22.0</v>
      </c>
      <c r="G142" s="1">
        <v>62.0</v>
      </c>
      <c r="I142" s="1">
        <v>30.0</v>
      </c>
    </row>
    <row r="143">
      <c r="A143" s="1" t="s">
        <v>18</v>
      </c>
      <c r="C143" s="1">
        <v>20.0</v>
      </c>
      <c r="D143" s="1">
        <v>10.0</v>
      </c>
      <c r="E143" s="1">
        <v>36.0</v>
      </c>
      <c r="F143" s="1">
        <v>10.0</v>
      </c>
      <c r="G143" s="1">
        <v>80.0</v>
      </c>
      <c r="I143" s="1">
        <v>30.0</v>
      </c>
    </row>
    <row r="144">
      <c r="A144" s="1" t="s">
        <v>26</v>
      </c>
      <c r="B144" s="1">
        <v>10.0</v>
      </c>
      <c r="C144" s="1">
        <v>34.0</v>
      </c>
      <c r="E144" s="1">
        <v>36.0</v>
      </c>
      <c r="G144" s="1">
        <v>80.0</v>
      </c>
      <c r="H144" s="1">
        <v>10.0</v>
      </c>
      <c r="I144" s="1">
        <v>44.0</v>
      </c>
    </row>
    <row r="145">
      <c r="A145" s="1" t="s">
        <v>27</v>
      </c>
      <c r="C145" s="1">
        <v>34.0</v>
      </c>
      <c r="E145" s="1">
        <v>36.0</v>
      </c>
      <c r="F145" s="1">
        <v>0.0</v>
      </c>
      <c r="G145" s="1">
        <v>84.0</v>
      </c>
      <c r="I145" s="1">
        <v>44.0</v>
      </c>
    </row>
    <row r="146">
      <c r="A146" s="1" t="s">
        <v>28</v>
      </c>
      <c r="B146" s="1">
        <v>0.0</v>
      </c>
      <c r="C146" s="1">
        <v>38.0</v>
      </c>
      <c r="E146" s="1">
        <v>36.0</v>
      </c>
      <c r="G146" s="1">
        <v>84.0</v>
      </c>
      <c r="I146" s="1">
        <v>44.0</v>
      </c>
    </row>
    <row r="147">
      <c r="A147" s="1" t="s">
        <v>29</v>
      </c>
      <c r="C147" s="1">
        <v>38.0</v>
      </c>
      <c r="E147" s="1">
        <v>36.0</v>
      </c>
      <c r="G147" s="1">
        <v>84.0</v>
      </c>
      <c r="I147" s="1">
        <v>44.0</v>
      </c>
    </row>
    <row r="148">
      <c r="A148" s="1" t="s">
        <v>30</v>
      </c>
      <c r="B148" s="1">
        <v>0.0</v>
      </c>
      <c r="C148" s="1">
        <v>42.0</v>
      </c>
      <c r="E148" s="1">
        <v>36.0</v>
      </c>
      <c r="F148" s="1">
        <v>0.0</v>
      </c>
      <c r="G148" s="1">
        <v>88.0</v>
      </c>
      <c r="I148" s="1">
        <v>44.0</v>
      </c>
    </row>
    <row r="151">
      <c r="A151" s="1"/>
      <c r="B151" s="1" t="s">
        <v>1</v>
      </c>
      <c r="C151" s="1" t="s">
        <v>1</v>
      </c>
      <c r="D151" s="1" t="s">
        <v>3</v>
      </c>
      <c r="E151" s="1" t="s">
        <v>3</v>
      </c>
      <c r="F151" s="1" t="s">
        <v>0</v>
      </c>
      <c r="G151" s="1" t="s">
        <v>0</v>
      </c>
      <c r="H151" s="1" t="s">
        <v>2</v>
      </c>
      <c r="I151" s="1" t="s">
        <v>2</v>
      </c>
    </row>
    <row r="152">
      <c r="A152" s="1"/>
      <c r="B152" s="1" t="s">
        <v>7</v>
      </c>
      <c r="C152" s="1" t="s">
        <v>9</v>
      </c>
      <c r="D152" s="1" t="s">
        <v>7</v>
      </c>
      <c r="E152" s="1" t="s">
        <v>9</v>
      </c>
      <c r="F152" s="1" t="s">
        <v>7</v>
      </c>
      <c r="G152" s="1" t="s">
        <v>9</v>
      </c>
      <c r="H152" s="1" t="s">
        <v>7</v>
      </c>
      <c r="I152" s="1" t="s">
        <v>9</v>
      </c>
    </row>
    <row r="153">
      <c r="A153" s="1"/>
    </row>
    <row r="154">
      <c r="A154" s="1" t="s">
        <v>18</v>
      </c>
      <c r="B154" s="1">
        <v>10.0</v>
      </c>
      <c r="C154" s="1">
        <v>14.0</v>
      </c>
      <c r="E154" s="1">
        <v>0.0</v>
      </c>
      <c r="F154" s="1">
        <v>10.0</v>
      </c>
      <c r="G154" s="1">
        <v>14.0</v>
      </c>
      <c r="I154" s="1">
        <v>0.0</v>
      </c>
    </row>
    <row r="155">
      <c r="A155" s="1" t="s">
        <v>26</v>
      </c>
      <c r="C155" s="1">
        <v>14.0</v>
      </c>
      <c r="D155" s="1">
        <v>0.0</v>
      </c>
      <c r="E155" s="1">
        <v>4.0</v>
      </c>
      <c r="F155" s="1">
        <v>0.0</v>
      </c>
      <c r="G155" s="1">
        <v>18.0</v>
      </c>
      <c r="I155" s="1">
        <v>0.0</v>
      </c>
    </row>
    <row r="156">
      <c r="A156" s="1" t="s">
        <v>27</v>
      </c>
      <c r="B156" s="1">
        <v>0.0</v>
      </c>
      <c r="C156" s="1">
        <v>18.0</v>
      </c>
      <c r="E156" s="1">
        <v>4.0</v>
      </c>
      <c r="G156" s="1">
        <v>18.0</v>
      </c>
      <c r="I156" s="1">
        <v>0.0</v>
      </c>
    </row>
    <row r="157">
      <c r="A157" s="1" t="s">
        <v>28</v>
      </c>
      <c r="C157" s="1">
        <v>18.0</v>
      </c>
      <c r="E157" s="1">
        <v>4.0</v>
      </c>
      <c r="F157" s="1">
        <v>0.0</v>
      </c>
      <c r="G157" s="1">
        <v>22.0</v>
      </c>
      <c r="I157" s="1">
        <v>0.0</v>
      </c>
    </row>
    <row r="158">
      <c r="A158" s="1" t="s">
        <v>29</v>
      </c>
      <c r="C158" s="1">
        <v>18.0</v>
      </c>
      <c r="E158" s="1">
        <v>4.0</v>
      </c>
      <c r="G158" s="1">
        <v>22.0</v>
      </c>
      <c r="I158" s="1">
        <v>0.0</v>
      </c>
    </row>
    <row r="159">
      <c r="A159" s="1" t="s">
        <v>30</v>
      </c>
      <c r="C159" s="1">
        <v>18.0</v>
      </c>
      <c r="E159" s="1">
        <v>4.0</v>
      </c>
      <c r="G159" s="1">
        <v>22.0</v>
      </c>
      <c r="I159" s="1">
        <v>0.0</v>
      </c>
    </row>
    <row r="160">
      <c r="A160" s="1" t="s">
        <v>18</v>
      </c>
      <c r="C160" s="1">
        <v>18.0</v>
      </c>
      <c r="D160" s="1">
        <v>0.0</v>
      </c>
      <c r="E160" s="1">
        <v>8.0</v>
      </c>
      <c r="F160" s="1">
        <v>0.0</v>
      </c>
      <c r="G160" s="1">
        <v>26.0</v>
      </c>
      <c r="I160" s="1">
        <v>0.0</v>
      </c>
    </row>
    <row r="161">
      <c r="A161" s="1" t="s">
        <v>26</v>
      </c>
      <c r="C161" s="1">
        <v>18.0</v>
      </c>
      <c r="E161" s="1">
        <v>8.0</v>
      </c>
      <c r="G161" s="1">
        <v>26.0</v>
      </c>
      <c r="I161" s="1">
        <v>0.0</v>
      </c>
    </row>
    <row r="162">
      <c r="A162" s="1" t="s">
        <v>27</v>
      </c>
      <c r="C162" s="1">
        <v>22.0</v>
      </c>
      <c r="E162" s="1">
        <v>12.0</v>
      </c>
      <c r="G162" s="1">
        <v>26.0</v>
      </c>
      <c r="I162" s="1">
        <v>0.0</v>
      </c>
    </row>
    <row r="163">
      <c r="A163" s="1" t="s">
        <v>28</v>
      </c>
      <c r="C163" s="1">
        <v>22.0</v>
      </c>
      <c r="E163" s="1">
        <v>12.0</v>
      </c>
      <c r="F163" s="1">
        <v>10.0</v>
      </c>
      <c r="G163" s="1">
        <v>40.0</v>
      </c>
      <c r="I163" s="1">
        <v>0.0</v>
      </c>
    </row>
    <row r="164">
      <c r="A164" s="1" t="s">
        <v>29</v>
      </c>
      <c r="C164" s="1">
        <v>22.0</v>
      </c>
      <c r="D164" s="1">
        <v>10.0</v>
      </c>
      <c r="E164" s="1">
        <v>26.0</v>
      </c>
      <c r="F164" s="1">
        <v>0.0</v>
      </c>
      <c r="G164" s="1">
        <v>44.0</v>
      </c>
      <c r="I164" s="1">
        <v>0.0</v>
      </c>
    </row>
    <row r="165">
      <c r="A165" s="1" t="s">
        <v>30</v>
      </c>
      <c r="C165" s="1">
        <v>22.0</v>
      </c>
      <c r="D165" s="1">
        <v>0.0</v>
      </c>
      <c r="E165" s="1">
        <v>30.0</v>
      </c>
      <c r="F165" s="1">
        <v>0.0</v>
      </c>
      <c r="G165" s="1">
        <v>48.0</v>
      </c>
      <c r="I165" s="1">
        <v>0.0</v>
      </c>
    </row>
    <row r="166">
      <c r="A166" s="1"/>
    </row>
    <row r="167">
      <c r="A167" s="1" t="s">
        <v>18</v>
      </c>
      <c r="C167" s="1">
        <v>22.0</v>
      </c>
      <c r="E167" s="1">
        <v>30.0</v>
      </c>
      <c r="G167" s="1">
        <v>48.0</v>
      </c>
      <c r="H167" s="1">
        <v>0.0</v>
      </c>
      <c r="I167" s="1">
        <v>4.0</v>
      </c>
    </row>
    <row r="168">
      <c r="A168" s="1" t="s">
        <v>26</v>
      </c>
      <c r="B168" s="1">
        <v>0.0</v>
      </c>
      <c r="C168" s="1">
        <v>26.0</v>
      </c>
      <c r="E168" s="1">
        <v>30.0</v>
      </c>
      <c r="F168" s="1">
        <v>10.0</v>
      </c>
      <c r="G168" s="1">
        <v>62.0</v>
      </c>
      <c r="I168" s="1">
        <v>4.0</v>
      </c>
    </row>
    <row r="169">
      <c r="A169" s="1" t="s">
        <v>27</v>
      </c>
      <c r="B169" s="1">
        <v>10.0</v>
      </c>
      <c r="C169" s="1">
        <v>40.0</v>
      </c>
      <c r="E169" s="1">
        <v>30.0</v>
      </c>
      <c r="F169" s="1">
        <v>10.0</v>
      </c>
      <c r="G169" s="1">
        <v>80.0</v>
      </c>
      <c r="I169" s="1">
        <v>4.0</v>
      </c>
    </row>
    <row r="170">
      <c r="A170" s="1" t="s">
        <v>28</v>
      </c>
      <c r="C170" s="1">
        <v>40.0</v>
      </c>
      <c r="D170" s="1">
        <v>10.0</v>
      </c>
      <c r="E170" s="1">
        <v>44.0</v>
      </c>
      <c r="G170" s="1">
        <v>80.0</v>
      </c>
      <c r="I170" s="1">
        <v>4.0</v>
      </c>
    </row>
    <row r="171">
      <c r="A171" s="1" t="s">
        <v>29</v>
      </c>
      <c r="C171" s="1">
        <v>40.0</v>
      </c>
      <c r="D171" s="1">
        <v>0.0</v>
      </c>
      <c r="E171" s="1">
        <v>48.0</v>
      </c>
      <c r="G171" s="1">
        <v>84.0</v>
      </c>
      <c r="I171" s="1">
        <v>4.0</v>
      </c>
    </row>
    <row r="172">
      <c r="A172" s="1" t="s">
        <v>30</v>
      </c>
      <c r="B172" s="1">
        <v>0.0</v>
      </c>
      <c r="C172" s="1">
        <v>44.0</v>
      </c>
      <c r="E172" s="1">
        <v>48.0</v>
      </c>
      <c r="G172" s="1">
        <v>88.0</v>
      </c>
      <c r="I172" s="1">
        <v>4.0</v>
      </c>
    </row>
    <row r="173">
      <c r="A173" s="1" t="s">
        <v>18</v>
      </c>
      <c r="C173" s="1">
        <v>44.0</v>
      </c>
      <c r="E173" s="1">
        <v>48.0</v>
      </c>
      <c r="G173" s="1">
        <v>88.0</v>
      </c>
      <c r="I173" s="1">
        <v>4.0</v>
      </c>
    </row>
    <row r="174">
      <c r="A174" s="1" t="s">
        <v>26</v>
      </c>
      <c r="C174" s="1">
        <v>44.0</v>
      </c>
      <c r="E174" s="1">
        <v>48.0</v>
      </c>
      <c r="F174" s="1">
        <v>0.0</v>
      </c>
      <c r="G174" s="1">
        <v>96.0</v>
      </c>
      <c r="I174" s="1">
        <v>4.0</v>
      </c>
    </row>
    <row r="175">
      <c r="A175" s="1" t="s">
        <v>27</v>
      </c>
      <c r="B175" s="1">
        <v>10.0</v>
      </c>
      <c r="C175" s="1">
        <v>58.0</v>
      </c>
      <c r="E175" s="1">
        <v>48.0</v>
      </c>
      <c r="G175" s="1">
        <v>96.0</v>
      </c>
      <c r="H175" s="1">
        <v>0.0</v>
      </c>
      <c r="I175" s="1">
        <v>8.0</v>
      </c>
    </row>
    <row r="176">
      <c r="A176" s="1" t="s">
        <v>28</v>
      </c>
      <c r="C176" s="1">
        <v>58.0</v>
      </c>
      <c r="D176" s="1">
        <v>0.0</v>
      </c>
      <c r="E176" s="1">
        <v>52.0</v>
      </c>
      <c r="G176" s="1">
        <v>96.0</v>
      </c>
      <c r="H176" s="1">
        <v>0.0</v>
      </c>
      <c r="I176" s="1">
        <v>12.0</v>
      </c>
    </row>
    <row r="177">
      <c r="A177" s="1" t="s">
        <v>29</v>
      </c>
      <c r="C177" s="1">
        <v>58.0</v>
      </c>
      <c r="E177" s="1">
        <v>52.0</v>
      </c>
      <c r="F177" s="1">
        <v>10.0</v>
      </c>
      <c r="G177" s="1">
        <v>110.0</v>
      </c>
      <c r="I177" s="1">
        <v>12.0</v>
      </c>
    </row>
    <row r="178">
      <c r="A178" s="1" t="s">
        <v>30</v>
      </c>
      <c r="C178" s="1">
        <v>58.0</v>
      </c>
      <c r="D178" s="1">
        <v>0.0</v>
      </c>
      <c r="E178" s="1">
        <v>56.0</v>
      </c>
      <c r="F178" s="1">
        <v>0.0</v>
      </c>
      <c r="G178" s="1">
        <v>114.0</v>
      </c>
      <c r="I178" s="1">
        <v>12.0</v>
      </c>
    </row>
    <row r="181">
      <c r="A181" s="1"/>
      <c r="B181" s="1" t="s">
        <v>1</v>
      </c>
      <c r="C181" s="1" t="s">
        <v>1</v>
      </c>
      <c r="D181" s="1" t="s">
        <v>0</v>
      </c>
      <c r="E181" s="1" t="s">
        <v>0</v>
      </c>
      <c r="F181" s="1" t="s">
        <v>2</v>
      </c>
      <c r="G181" s="1" t="s">
        <v>2</v>
      </c>
      <c r="H181" s="1" t="s">
        <v>3</v>
      </c>
      <c r="I181" s="1" t="s">
        <v>3</v>
      </c>
    </row>
    <row r="182">
      <c r="A182" s="1"/>
      <c r="B182" s="1" t="s">
        <v>7</v>
      </c>
      <c r="C182" s="1" t="s">
        <v>9</v>
      </c>
      <c r="D182" s="1" t="s">
        <v>7</v>
      </c>
      <c r="E182" s="1" t="s">
        <v>9</v>
      </c>
      <c r="F182" s="1" t="s">
        <v>7</v>
      </c>
      <c r="G182" s="1" t="s">
        <v>9</v>
      </c>
      <c r="H182" s="1" t="s">
        <v>7</v>
      </c>
      <c r="I182" s="1" t="s">
        <v>9</v>
      </c>
    </row>
    <row r="183">
      <c r="A183" s="1"/>
    </row>
    <row r="184">
      <c r="A184" s="1" t="s">
        <v>18</v>
      </c>
      <c r="C184" s="1">
        <v>0.0</v>
      </c>
      <c r="D184" s="1">
        <v>10.0</v>
      </c>
      <c r="E184" s="1">
        <v>18.0</v>
      </c>
      <c r="G184" s="1">
        <v>0.0</v>
      </c>
      <c r="I184" s="1">
        <v>0.0</v>
      </c>
    </row>
    <row r="185">
      <c r="A185" s="1" t="s">
        <v>26</v>
      </c>
      <c r="C185" s="1">
        <v>0.0</v>
      </c>
      <c r="E185" s="1">
        <v>18.0</v>
      </c>
      <c r="G185" s="1">
        <v>0.0</v>
      </c>
      <c r="I185" s="1">
        <v>0.0</v>
      </c>
    </row>
    <row r="186">
      <c r="A186" s="1" t="s">
        <v>27</v>
      </c>
      <c r="B186" s="1">
        <v>0.0</v>
      </c>
      <c r="C186" s="1">
        <v>4.0</v>
      </c>
      <c r="E186" s="1">
        <v>18.0</v>
      </c>
      <c r="G186" s="1">
        <v>0.0</v>
      </c>
      <c r="I186" s="1">
        <v>0.0</v>
      </c>
    </row>
    <row r="187">
      <c r="A187" s="1" t="s">
        <v>28</v>
      </c>
      <c r="B187" s="1">
        <v>10.0</v>
      </c>
      <c r="C187" s="1">
        <v>18.0</v>
      </c>
      <c r="E187" s="1">
        <v>18.0</v>
      </c>
      <c r="G187" s="1">
        <v>0.0</v>
      </c>
      <c r="I187" s="1">
        <v>4.0</v>
      </c>
    </row>
    <row r="188">
      <c r="A188" s="1" t="s">
        <v>29</v>
      </c>
      <c r="B188" s="1">
        <v>10.0</v>
      </c>
      <c r="C188" s="1">
        <v>32.0</v>
      </c>
      <c r="E188" s="1">
        <v>18.0</v>
      </c>
      <c r="G188" s="1">
        <v>0.0</v>
      </c>
      <c r="I188" s="1">
        <v>4.0</v>
      </c>
    </row>
    <row r="189">
      <c r="A189" s="1" t="s">
        <v>30</v>
      </c>
      <c r="B189" s="1">
        <v>0.0</v>
      </c>
      <c r="C189" s="1">
        <v>36.0</v>
      </c>
      <c r="E189" s="1">
        <v>18.0</v>
      </c>
      <c r="F189" s="1">
        <v>10.0</v>
      </c>
      <c r="G189" s="1">
        <v>14.0</v>
      </c>
      <c r="I189" s="1">
        <v>4.0</v>
      </c>
    </row>
    <row r="190">
      <c r="A190" s="1" t="s">
        <v>18</v>
      </c>
      <c r="C190" s="1">
        <v>36.0</v>
      </c>
      <c r="E190" s="1">
        <v>18.0</v>
      </c>
      <c r="G190" s="1">
        <v>14.0</v>
      </c>
      <c r="I190" s="1">
        <v>8.0</v>
      </c>
    </row>
    <row r="191">
      <c r="A191" s="1" t="s">
        <v>26</v>
      </c>
      <c r="C191" s="1">
        <v>36.0</v>
      </c>
      <c r="D191" s="1">
        <v>0.0</v>
      </c>
      <c r="E191" s="1">
        <v>22.0</v>
      </c>
      <c r="G191" s="1">
        <v>14.0</v>
      </c>
      <c r="I191" s="1">
        <v>16.0</v>
      </c>
    </row>
    <row r="192">
      <c r="A192" s="1" t="s">
        <v>27</v>
      </c>
      <c r="B192" s="1">
        <v>0.0</v>
      </c>
      <c r="C192" s="1">
        <v>40.0</v>
      </c>
      <c r="E192" s="1">
        <v>22.0</v>
      </c>
      <c r="G192" s="1">
        <v>14.0</v>
      </c>
      <c r="I192" s="1">
        <v>20.0</v>
      </c>
    </row>
    <row r="193">
      <c r="A193" s="1" t="s">
        <v>28</v>
      </c>
      <c r="C193" s="1">
        <v>40.0</v>
      </c>
      <c r="E193" s="1">
        <v>22.0</v>
      </c>
      <c r="G193" s="1">
        <v>14.0</v>
      </c>
      <c r="I193" s="1">
        <v>20.0</v>
      </c>
    </row>
    <row r="194">
      <c r="A194" s="1" t="s">
        <v>29</v>
      </c>
      <c r="B194" s="1">
        <v>0.0</v>
      </c>
      <c r="C194" s="1">
        <v>44.0</v>
      </c>
      <c r="E194" s="1">
        <v>22.0</v>
      </c>
      <c r="G194" s="1">
        <v>14.0</v>
      </c>
      <c r="I194" s="1">
        <v>20.0</v>
      </c>
    </row>
    <row r="195">
      <c r="A195" s="1" t="s">
        <v>30</v>
      </c>
      <c r="C195" s="1">
        <v>44.0</v>
      </c>
      <c r="D195" s="1">
        <v>0.0</v>
      </c>
      <c r="E195" s="1">
        <v>26.0</v>
      </c>
      <c r="G195" s="1">
        <v>14.0</v>
      </c>
      <c r="I195" s="1">
        <v>24.0</v>
      </c>
    </row>
    <row r="196">
      <c r="A196" s="1"/>
    </row>
    <row r="197">
      <c r="A197" s="1" t="s">
        <v>18</v>
      </c>
      <c r="C197" s="1">
        <v>44.0</v>
      </c>
      <c r="E197" s="1">
        <v>26.0</v>
      </c>
      <c r="G197" s="1">
        <v>14.0</v>
      </c>
      <c r="I197" s="1">
        <v>24.0</v>
      </c>
    </row>
    <row r="198">
      <c r="A198" s="1" t="s">
        <v>26</v>
      </c>
      <c r="C198" s="1">
        <v>44.0</v>
      </c>
      <c r="D198" s="1">
        <v>0.0</v>
      </c>
      <c r="E198" s="1">
        <v>30.0</v>
      </c>
      <c r="G198" s="1">
        <v>14.0</v>
      </c>
      <c r="I198" s="1">
        <v>28.0</v>
      </c>
    </row>
    <row r="199">
      <c r="A199" s="1" t="s">
        <v>27</v>
      </c>
      <c r="B199" s="1">
        <v>10.0</v>
      </c>
      <c r="C199" s="1">
        <v>58.0</v>
      </c>
      <c r="E199" s="1">
        <v>30.0</v>
      </c>
      <c r="G199" s="1">
        <v>14.0</v>
      </c>
      <c r="I199" s="1">
        <v>32.0</v>
      </c>
    </row>
    <row r="200">
      <c r="A200" s="1" t="s">
        <v>28</v>
      </c>
      <c r="C200" s="1">
        <v>58.0</v>
      </c>
      <c r="D200" s="1">
        <v>0.0</v>
      </c>
      <c r="E200" s="1">
        <v>34.0</v>
      </c>
      <c r="G200" s="1">
        <v>14.0</v>
      </c>
      <c r="I200" s="1">
        <v>32.0</v>
      </c>
    </row>
    <row r="201">
      <c r="A201" s="1" t="s">
        <v>29</v>
      </c>
      <c r="B201" s="1">
        <v>10.0</v>
      </c>
      <c r="C201" s="1">
        <v>72.0</v>
      </c>
      <c r="E201" s="1">
        <v>34.0</v>
      </c>
      <c r="G201" s="1">
        <v>14.0</v>
      </c>
      <c r="I201" s="1">
        <v>40.0</v>
      </c>
    </row>
    <row r="202">
      <c r="A202" s="1" t="s">
        <v>30</v>
      </c>
      <c r="C202" s="1">
        <v>72.0</v>
      </c>
      <c r="E202" s="1">
        <v>34.0</v>
      </c>
      <c r="G202" s="1">
        <v>14.0</v>
      </c>
      <c r="I202" s="1">
        <v>40.0</v>
      </c>
    </row>
    <row r="203">
      <c r="A203" s="1" t="s">
        <v>18</v>
      </c>
      <c r="C203" s="1">
        <v>72.0</v>
      </c>
      <c r="E203" s="1">
        <v>34.0</v>
      </c>
      <c r="G203" s="1">
        <v>18.0</v>
      </c>
      <c r="I203" s="1">
        <v>44.0</v>
      </c>
    </row>
    <row r="204">
      <c r="A204" s="1" t="s">
        <v>26</v>
      </c>
      <c r="C204" s="1">
        <v>72.0</v>
      </c>
      <c r="E204" s="1">
        <v>34.0</v>
      </c>
      <c r="G204" s="1">
        <v>18.0</v>
      </c>
      <c r="I204" s="1">
        <v>44.0</v>
      </c>
    </row>
    <row r="205">
      <c r="A205" s="1" t="s">
        <v>27</v>
      </c>
      <c r="C205" s="1">
        <v>72.0</v>
      </c>
      <c r="E205" s="1">
        <v>34.0</v>
      </c>
      <c r="G205" s="1">
        <v>18.0</v>
      </c>
      <c r="I205" s="1">
        <v>44.0</v>
      </c>
    </row>
    <row r="206">
      <c r="A206" s="1" t="s">
        <v>28</v>
      </c>
      <c r="C206" s="1">
        <v>72.0</v>
      </c>
      <c r="D206" s="1">
        <v>0.0</v>
      </c>
      <c r="E206" s="1">
        <v>38.0</v>
      </c>
      <c r="G206" s="1">
        <v>18.0</v>
      </c>
      <c r="H206" s="1">
        <v>10.0</v>
      </c>
      <c r="I206" s="1">
        <v>58.0</v>
      </c>
    </row>
    <row r="207">
      <c r="A207" s="1" t="s">
        <v>29</v>
      </c>
      <c r="B207" s="1">
        <v>10.0</v>
      </c>
      <c r="C207" s="1">
        <v>86.0</v>
      </c>
      <c r="E207" s="1">
        <v>38.0</v>
      </c>
      <c r="G207" s="1">
        <v>18.0</v>
      </c>
      <c r="I207" s="1">
        <v>58.0</v>
      </c>
    </row>
    <row r="208">
      <c r="A208" s="1" t="s">
        <v>30</v>
      </c>
      <c r="C208" s="1">
        <v>86.0</v>
      </c>
      <c r="E208" s="1">
        <v>38.0</v>
      </c>
      <c r="G208" s="1">
        <v>18.0</v>
      </c>
      <c r="I208" s="1">
        <v>58.0</v>
      </c>
    </row>
    <row r="211">
      <c r="A211" s="1"/>
      <c r="B211" s="1" t="s">
        <v>3</v>
      </c>
      <c r="C211" s="1" t="s">
        <v>3</v>
      </c>
      <c r="D211" s="1" t="s">
        <v>0</v>
      </c>
      <c r="E211" s="1" t="s">
        <v>0</v>
      </c>
      <c r="F211" s="1" t="s">
        <v>2</v>
      </c>
      <c r="G211" s="1" t="s">
        <v>2</v>
      </c>
      <c r="H211" s="1" t="s">
        <v>1</v>
      </c>
      <c r="I211" s="1" t="s">
        <v>1</v>
      </c>
    </row>
    <row r="212">
      <c r="A212" s="1"/>
      <c r="B212" s="1" t="s">
        <v>7</v>
      </c>
      <c r="C212" s="1" t="s">
        <v>9</v>
      </c>
      <c r="D212" s="1" t="s">
        <v>7</v>
      </c>
      <c r="E212" s="1" t="s">
        <v>9</v>
      </c>
      <c r="F212" s="1" t="s">
        <v>7</v>
      </c>
      <c r="G212" s="1" t="s">
        <v>9</v>
      </c>
      <c r="H212" s="1" t="s">
        <v>7</v>
      </c>
      <c r="I212" s="1" t="s">
        <v>9</v>
      </c>
    </row>
    <row r="213">
      <c r="A213" s="1"/>
    </row>
    <row r="214">
      <c r="A214" s="1" t="s">
        <v>18</v>
      </c>
      <c r="C214" s="1">
        <v>0.0</v>
      </c>
      <c r="D214" s="1">
        <v>0.0</v>
      </c>
      <c r="E214" s="1">
        <v>4.0</v>
      </c>
      <c r="G214" s="1">
        <v>0.0</v>
      </c>
      <c r="I214" s="1">
        <v>0.0</v>
      </c>
    </row>
    <row r="215">
      <c r="A215" s="1" t="s">
        <v>26</v>
      </c>
      <c r="C215" s="1">
        <v>0.0</v>
      </c>
      <c r="E215" s="1">
        <v>4.0</v>
      </c>
      <c r="G215" s="1">
        <v>0.0</v>
      </c>
      <c r="I215" s="1">
        <v>0.0</v>
      </c>
    </row>
    <row r="216">
      <c r="A216" s="1" t="s">
        <v>27</v>
      </c>
      <c r="C216" s="1">
        <v>0.0</v>
      </c>
      <c r="D216" s="1">
        <v>10.0</v>
      </c>
      <c r="E216" s="1">
        <v>18.0</v>
      </c>
      <c r="G216" s="1">
        <v>0.0</v>
      </c>
      <c r="H216" s="1">
        <v>10.0</v>
      </c>
      <c r="I216" s="1">
        <v>14.0</v>
      </c>
    </row>
    <row r="217">
      <c r="A217" s="1" t="s">
        <v>28</v>
      </c>
      <c r="C217" s="1">
        <v>0.0</v>
      </c>
      <c r="E217" s="1">
        <v>18.0</v>
      </c>
      <c r="G217" s="1">
        <v>0.0</v>
      </c>
      <c r="H217" s="1">
        <v>0.0</v>
      </c>
      <c r="I217" s="1">
        <v>18.0</v>
      </c>
    </row>
    <row r="218">
      <c r="A218" s="1" t="s">
        <v>29</v>
      </c>
      <c r="C218" s="1">
        <v>0.0</v>
      </c>
      <c r="E218" s="1">
        <v>18.0</v>
      </c>
      <c r="G218" s="1">
        <v>0.0</v>
      </c>
      <c r="I218" s="1">
        <v>18.0</v>
      </c>
    </row>
    <row r="219">
      <c r="A219" s="1" t="s">
        <v>30</v>
      </c>
      <c r="B219" s="1">
        <v>10.0</v>
      </c>
      <c r="C219" s="1">
        <v>14.0</v>
      </c>
      <c r="E219" s="1">
        <v>18.0</v>
      </c>
      <c r="F219" s="1">
        <v>0.0</v>
      </c>
      <c r="G219" s="1">
        <v>4.0</v>
      </c>
      <c r="I219" s="1">
        <v>18.0</v>
      </c>
    </row>
    <row r="220">
      <c r="A220" s="1" t="s">
        <v>18</v>
      </c>
      <c r="B220" s="1">
        <v>10.0</v>
      </c>
      <c r="C220" s="1">
        <v>28.0</v>
      </c>
      <c r="E220" s="1">
        <v>18.0</v>
      </c>
      <c r="G220" s="1">
        <v>8.0</v>
      </c>
      <c r="I220" s="1">
        <v>22.0</v>
      </c>
    </row>
    <row r="221">
      <c r="A221" s="1" t="s">
        <v>26</v>
      </c>
      <c r="B221" s="1">
        <v>0.0</v>
      </c>
      <c r="C221" s="1">
        <v>32.0</v>
      </c>
      <c r="E221" s="1">
        <v>18.0</v>
      </c>
      <c r="G221" s="1">
        <v>8.0</v>
      </c>
      <c r="I221" s="1">
        <v>22.0</v>
      </c>
    </row>
    <row r="222">
      <c r="A222" s="1" t="s">
        <v>27</v>
      </c>
      <c r="C222" s="1">
        <v>32.0</v>
      </c>
      <c r="D222" s="1">
        <v>0.0</v>
      </c>
      <c r="E222" s="1">
        <v>22.0</v>
      </c>
      <c r="G222" s="1">
        <v>8.0</v>
      </c>
      <c r="H222" s="1">
        <v>10.0</v>
      </c>
      <c r="I222" s="1">
        <v>36.0</v>
      </c>
    </row>
    <row r="223">
      <c r="A223" s="1" t="s">
        <v>28</v>
      </c>
      <c r="C223" s="1">
        <v>36.0</v>
      </c>
      <c r="E223" s="1">
        <v>22.0</v>
      </c>
      <c r="F223" s="1">
        <v>10.0</v>
      </c>
      <c r="G223" s="1">
        <v>22.0</v>
      </c>
      <c r="I223" s="1">
        <v>36.0</v>
      </c>
    </row>
    <row r="224">
      <c r="A224" s="1" t="s">
        <v>29</v>
      </c>
      <c r="B224" s="1">
        <v>0.0</v>
      </c>
      <c r="C224" s="1">
        <v>40.0</v>
      </c>
      <c r="E224" s="1">
        <v>22.0</v>
      </c>
      <c r="G224" s="1">
        <v>22.0</v>
      </c>
      <c r="H224" s="1">
        <v>0.0</v>
      </c>
      <c r="I224" s="1">
        <v>40.0</v>
      </c>
    </row>
    <row r="225">
      <c r="A225" s="1" t="s">
        <v>30</v>
      </c>
      <c r="C225" s="1">
        <v>40.0</v>
      </c>
      <c r="E225" s="1">
        <v>22.0</v>
      </c>
      <c r="G225" s="1">
        <v>22.0</v>
      </c>
      <c r="H225" s="1">
        <v>0.0</v>
      </c>
      <c r="I225" s="1">
        <v>48.0</v>
      </c>
    </row>
    <row r="226">
      <c r="A226" s="1"/>
    </row>
    <row r="227">
      <c r="A227" s="1" t="s">
        <v>18</v>
      </c>
      <c r="C227" s="1">
        <v>40.0</v>
      </c>
      <c r="D227" s="1">
        <v>0.0</v>
      </c>
      <c r="E227" s="1">
        <v>26.0</v>
      </c>
      <c r="F227" s="1">
        <v>0.0</v>
      </c>
      <c r="G227" s="1">
        <v>26.0</v>
      </c>
      <c r="I227" s="1">
        <v>48.0</v>
      </c>
    </row>
    <row r="228">
      <c r="A228" s="1" t="s">
        <v>26</v>
      </c>
      <c r="C228" s="1">
        <v>40.0</v>
      </c>
      <c r="E228" s="1">
        <v>26.0</v>
      </c>
      <c r="G228" s="1">
        <v>26.0</v>
      </c>
      <c r="I228" s="1">
        <v>48.0</v>
      </c>
    </row>
    <row r="229">
      <c r="A229" s="1" t="s">
        <v>27</v>
      </c>
      <c r="C229" s="1">
        <v>40.0</v>
      </c>
      <c r="D229" s="1">
        <v>0.0</v>
      </c>
      <c r="E229" s="1">
        <v>34.0</v>
      </c>
      <c r="G229" s="1">
        <v>26.0</v>
      </c>
      <c r="H229" s="1">
        <v>10.0</v>
      </c>
      <c r="I229" s="1">
        <v>62.0</v>
      </c>
    </row>
    <row r="230">
      <c r="A230" s="1" t="s">
        <v>28</v>
      </c>
      <c r="B230" s="1">
        <v>0.0</v>
      </c>
      <c r="C230" s="1">
        <v>44.0</v>
      </c>
      <c r="E230" s="1">
        <v>34.0</v>
      </c>
      <c r="G230" s="1">
        <v>26.0</v>
      </c>
      <c r="H230" s="1">
        <v>10.0</v>
      </c>
      <c r="I230" s="1">
        <v>76.0</v>
      </c>
    </row>
    <row r="231">
      <c r="A231" s="1" t="s">
        <v>29</v>
      </c>
      <c r="C231" s="1">
        <v>44.0</v>
      </c>
      <c r="E231" s="1">
        <v>34.0</v>
      </c>
      <c r="F231" s="1">
        <v>0.0</v>
      </c>
      <c r="G231" s="1">
        <v>30.0</v>
      </c>
      <c r="I231" s="1">
        <v>76.0</v>
      </c>
    </row>
    <row r="232">
      <c r="A232" s="1" t="s">
        <v>30</v>
      </c>
      <c r="C232" s="1">
        <v>44.0</v>
      </c>
      <c r="E232" s="1">
        <v>34.0</v>
      </c>
      <c r="G232" s="1">
        <v>30.0</v>
      </c>
      <c r="I232" s="1">
        <v>76.0</v>
      </c>
    </row>
    <row r="233">
      <c r="A233" s="1" t="s">
        <v>18</v>
      </c>
      <c r="C233" s="1">
        <v>44.0</v>
      </c>
      <c r="E233" s="1">
        <v>34.0</v>
      </c>
      <c r="G233" s="1">
        <v>30.0</v>
      </c>
      <c r="H233" s="1">
        <v>10.0</v>
      </c>
      <c r="I233" s="1">
        <v>90.0</v>
      </c>
    </row>
    <row r="234">
      <c r="A234" s="1" t="s">
        <v>26</v>
      </c>
      <c r="C234" s="1">
        <v>44.0</v>
      </c>
      <c r="E234" s="1">
        <v>34.0</v>
      </c>
      <c r="G234" s="1">
        <v>30.0</v>
      </c>
      <c r="H234" s="1">
        <v>10.0</v>
      </c>
      <c r="I234" s="1">
        <v>104.0</v>
      </c>
    </row>
    <row r="235">
      <c r="A235" s="1" t="s">
        <v>27</v>
      </c>
      <c r="C235" s="1">
        <v>44.0</v>
      </c>
      <c r="D235" s="1">
        <v>0.0</v>
      </c>
      <c r="E235" s="1">
        <v>38.0</v>
      </c>
      <c r="G235" s="1">
        <v>30.0</v>
      </c>
      <c r="H235" s="1">
        <v>10.0</v>
      </c>
      <c r="I235" s="1">
        <v>118.0</v>
      </c>
    </row>
    <row r="236">
      <c r="A236" s="1" t="s">
        <v>28</v>
      </c>
      <c r="C236" s="1">
        <v>44.0</v>
      </c>
      <c r="D236" s="1">
        <v>10.0</v>
      </c>
      <c r="E236" s="1">
        <v>52.0</v>
      </c>
      <c r="G236" s="1">
        <v>30.0</v>
      </c>
      <c r="I236" s="1">
        <v>118.0</v>
      </c>
    </row>
    <row r="237">
      <c r="A237" s="1" t="s">
        <v>29</v>
      </c>
      <c r="C237" s="1">
        <v>44.0</v>
      </c>
      <c r="E237" s="1">
        <v>52.0</v>
      </c>
      <c r="G237" s="1">
        <v>30.0</v>
      </c>
      <c r="I237" s="1">
        <v>122.0</v>
      </c>
    </row>
    <row r="238">
      <c r="A238" s="1" t="s">
        <v>30</v>
      </c>
      <c r="B238" s="1">
        <v>0.0</v>
      </c>
      <c r="C238" s="1">
        <v>48.0</v>
      </c>
      <c r="E238" s="1">
        <v>52.0</v>
      </c>
      <c r="G238" s="1">
        <v>30.0</v>
      </c>
      <c r="I238" s="1">
        <v>122.0</v>
      </c>
    </row>
    <row r="241">
      <c r="A241" s="1"/>
      <c r="B241" s="1" t="s">
        <v>2</v>
      </c>
      <c r="C241" s="1" t="s">
        <v>2</v>
      </c>
      <c r="D241" s="1" t="s">
        <v>0</v>
      </c>
      <c r="E241" s="1" t="s">
        <v>0</v>
      </c>
      <c r="F241" s="1" t="s">
        <v>1</v>
      </c>
      <c r="G241" s="1" t="s">
        <v>1</v>
      </c>
      <c r="H241" s="1" t="s">
        <v>3</v>
      </c>
      <c r="I241" s="1" t="s">
        <v>3</v>
      </c>
    </row>
    <row r="242">
      <c r="A242" s="1"/>
      <c r="B242" s="1" t="s">
        <v>7</v>
      </c>
      <c r="C242" s="1" t="s">
        <v>9</v>
      </c>
      <c r="D242" s="1" t="s">
        <v>7</v>
      </c>
      <c r="E242" s="1" t="s">
        <v>9</v>
      </c>
      <c r="F242" s="1" t="s">
        <v>7</v>
      </c>
      <c r="G242" s="1" t="s">
        <v>9</v>
      </c>
      <c r="H242" s="1" t="s">
        <v>7</v>
      </c>
      <c r="I242" s="1" t="s">
        <v>9</v>
      </c>
    </row>
    <row r="243">
      <c r="A243" s="1"/>
    </row>
    <row r="244">
      <c r="A244" s="1" t="s">
        <v>18</v>
      </c>
      <c r="C244" s="1">
        <v>0.0</v>
      </c>
      <c r="E244" s="1">
        <v>0.0</v>
      </c>
      <c r="G244" s="1">
        <v>0.0</v>
      </c>
      <c r="H244" s="1">
        <v>0.0</v>
      </c>
      <c r="I244" s="1">
        <v>4.0</v>
      </c>
    </row>
    <row r="245">
      <c r="A245" s="1" t="s">
        <v>26</v>
      </c>
      <c r="C245" s="1">
        <v>0.0</v>
      </c>
      <c r="E245" s="1">
        <v>0.0</v>
      </c>
      <c r="G245" s="1">
        <v>0.0</v>
      </c>
      <c r="I245" s="1">
        <v>4.0</v>
      </c>
    </row>
    <row r="246">
      <c r="A246" s="1" t="s">
        <v>27</v>
      </c>
      <c r="C246" s="1">
        <v>0.0</v>
      </c>
      <c r="D246" s="1">
        <v>0.0</v>
      </c>
      <c r="E246" s="1">
        <v>4.0</v>
      </c>
      <c r="G246" s="1">
        <v>0.0</v>
      </c>
      <c r="H246" s="1">
        <v>0.0</v>
      </c>
      <c r="I246" s="1">
        <v>8.0</v>
      </c>
    </row>
    <row r="247">
      <c r="A247" s="1" t="s">
        <v>28</v>
      </c>
      <c r="C247" s="1">
        <v>0.0</v>
      </c>
      <c r="E247" s="1">
        <v>4.0</v>
      </c>
      <c r="G247" s="1">
        <v>0.0</v>
      </c>
      <c r="I247" s="1">
        <v>8.0</v>
      </c>
    </row>
    <row r="248">
      <c r="A248" s="1" t="s">
        <v>29</v>
      </c>
      <c r="B248" s="1">
        <v>10.0</v>
      </c>
      <c r="C248" s="1">
        <v>14.0</v>
      </c>
      <c r="E248" s="1">
        <v>4.0</v>
      </c>
      <c r="F248" s="1">
        <v>10.0</v>
      </c>
      <c r="G248" s="1">
        <v>14.0</v>
      </c>
      <c r="I248" s="1">
        <v>8.0</v>
      </c>
    </row>
    <row r="249">
      <c r="A249" s="1" t="s">
        <v>30</v>
      </c>
      <c r="C249" s="1">
        <v>14.0</v>
      </c>
      <c r="E249" s="1">
        <v>4.0</v>
      </c>
      <c r="G249" s="1">
        <v>14.0</v>
      </c>
      <c r="H249" s="1">
        <v>10.0</v>
      </c>
      <c r="I249" s="1">
        <v>22.0</v>
      </c>
    </row>
    <row r="250">
      <c r="A250" s="1" t="s">
        <v>18</v>
      </c>
      <c r="C250" s="1">
        <v>14.0</v>
      </c>
      <c r="E250" s="1">
        <v>8.0</v>
      </c>
      <c r="G250" s="1">
        <v>18.0</v>
      </c>
      <c r="I250" s="1">
        <v>26.0</v>
      </c>
    </row>
    <row r="251">
      <c r="A251" s="1" t="s">
        <v>26</v>
      </c>
      <c r="C251" s="1">
        <v>14.0</v>
      </c>
      <c r="E251" s="1">
        <v>8.0</v>
      </c>
      <c r="G251" s="1">
        <v>18.0</v>
      </c>
      <c r="I251" s="1">
        <v>26.0</v>
      </c>
    </row>
    <row r="252">
      <c r="A252" s="1" t="s">
        <v>27</v>
      </c>
      <c r="C252" s="1">
        <v>14.0</v>
      </c>
      <c r="D252" s="1">
        <v>10.0</v>
      </c>
      <c r="E252" s="1">
        <v>22.0</v>
      </c>
      <c r="F252" s="1">
        <v>0.0</v>
      </c>
      <c r="G252" s="1">
        <v>22.0</v>
      </c>
      <c r="I252" s="1">
        <v>26.0</v>
      </c>
    </row>
    <row r="253">
      <c r="A253" s="1" t="s">
        <v>28</v>
      </c>
      <c r="B253" s="1">
        <v>10.0</v>
      </c>
      <c r="C253" s="1">
        <v>28.0</v>
      </c>
      <c r="E253" s="1">
        <v>22.0</v>
      </c>
      <c r="F253" s="1">
        <v>0.0</v>
      </c>
      <c r="G253" s="1">
        <v>26.0</v>
      </c>
      <c r="I253" s="1">
        <v>26.0</v>
      </c>
    </row>
    <row r="254">
      <c r="A254" s="1" t="s">
        <v>29</v>
      </c>
      <c r="C254" s="1">
        <v>28.0</v>
      </c>
      <c r="E254" s="1">
        <v>22.0</v>
      </c>
      <c r="F254" s="1">
        <v>10.0</v>
      </c>
      <c r="G254" s="1">
        <v>40.0</v>
      </c>
      <c r="I254" s="1">
        <v>26.0</v>
      </c>
    </row>
    <row r="255">
      <c r="A255" s="1" t="s">
        <v>30</v>
      </c>
      <c r="C255" s="1">
        <v>28.0</v>
      </c>
      <c r="E255" s="1">
        <v>22.0</v>
      </c>
      <c r="G255" s="1">
        <v>40.0</v>
      </c>
      <c r="I255" s="1">
        <v>26.0</v>
      </c>
    </row>
    <row r="256">
      <c r="A256" s="1"/>
    </row>
    <row r="257">
      <c r="A257" s="1" t="s">
        <v>18</v>
      </c>
      <c r="B257" s="1">
        <v>0.0</v>
      </c>
      <c r="C257" s="1">
        <v>32.0</v>
      </c>
      <c r="E257" s="1">
        <v>22.0</v>
      </c>
      <c r="F257" s="1">
        <v>10.0</v>
      </c>
      <c r="G257" s="1">
        <v>54.0</v>
      </c>
      <c r="I257" s="1">
        <v>26.0</v>
      </c>
    </row>
    <row r="258">
      <c r="A258" s="1" t="s">
        <v>26</v>
      </c>
      <c r="C258" s="1">
        <v>32.0</v>
      </c>
      <c r="E258" s="1">
        <v>22.0</v>
      </c>
      <c r="G258" s="1">
        <v>54.0</v>
      </c>
      <c r="I258" s="1">
        <v>26.0</v>
      </c>
    </row>
    <row r="259">
      <c r="A259" s="1" t="s">
        <v>27</v>
      </c>
      <c r="B259" s="1">
        <v>0.0</v>
      </c>
      <c r="C259" s="1">
        <v>36.0</v>
      </c>
      <c r="E259" s="1">
        <v>22.0</v>
      </c>
      <c r="G259" s="1">
        <v>54.0</v>
      </c>
      <c r="H259" s="1">
        <v>0.0</v>
      </c>
      <c r="I259" s="1">
        <v>30.0</v>
      </c>
    </row>
    <row r="260">
      <c r="A260" s="1" t="s">
        <v>28</v>
      </c>
      <c r="C260" s="1">
        <v>36.0</v>
      </c>
      <c r="D260" s="1">
        <v>10.0</v>
      </c>
      <c r="E260" s="1">
        <v>36.0</v>
      </c>
      <c r="F260" s="1">
        <v>0.0</v>
      </c>
      <c r="G260" s="1">
        <v>58.0</v>
      </c>
      <c r="I260" s="1">
        <v>30.0</v>
      </c>
    </row>
    <row r="261">
      <c r="A261" s="1" t="s">
        <v>29</v>
      </c>
      <c r="C261" s="1">
        <v>36.0</v>
      </c>
      <c r="E261" s="1">
        <v>36.0</v>
      </c>
      <c r="G261" s="1">
        <v>58.0</v>
      </c>
      <c r="I261" s="1">
        <v>30.0</v>
      </c>
    </row>
    <row r="262">
      <c r="A262" s="1" t="s">
        <v>30</v>
      </c>
      <c r="C262" s="1">
        <v>36.0</v>
      </c>
      <c r="D262" s="1">
        <v>10.0</v>
      </c>
      <c r="E262" s="1">
        <v>50.0</v>
      </c>
      <c r="G262" s="1">
        <v>58.0</v>
      </c>
      <c r="I262" s="1">
        <v>30.0</v>
      </c>
    </row>
    <row r="263">
      <c r="A263" s="1" t="s">
        <v>18</v>
      </c>
      <c r="C263" s="1">
        <v>36.0</v>
      </c>
      <c r="E263" s="1">
        <v>50.0</v>
      </c>
      <c r="G263" s="1">
        <v>58.0</v>
      </c>
      <c r="H263" s="1">
        <v>0.0</v>
      </c>
      <c r="I263" s="1">
        <v>34.0</v>
      </c>
    </row>
    <row r="264">
      <c r="A264" s="1" t="s">
        <v>26</v>
      </c>
      <c r="C264" s="1">
        <v>36.0</v>
      </c>
      <c r="E264" s="1">
        <v>50.0</v>
      </c>
      <c r="G264" s="1">
        <v>58.0</v>
      </c>
      <c r="I264" s="1">
        <v>34.0</v>
      </c>
    </row>
    <row r="265">
      <c r="A265" s="1" t="s">
        <v>27</v>
      </c>
      <c r="C265" s="1">
        <v>36.0</v>
      </c>
      <c r="E265" s="1">
        <v>50.0</v>
      </c>
      <c r="F265" s="1">
        <v>10.0</v>
      </c>
      <c r="G265" s="1">
        <v>72.0</v>
      </c>
      <c r="I265" s="1">
        <v>34.0</v>
      </c>
    </row>
    <row r="266">
      <c r="A266" s="1" t="s">
        <v>28</v>
      </c>
      <c r="C266" s="1">
        <v>36.0</v>
      </c>
      <c r="E266" s="1">
        <v>54.0</v>
      </c>
      <c r="G266" s="1">
        <v>72.0</v>
      </c>
      <c r="I266" s="1">
        <v>34.0</v>
      </c>
    </row>
    <row r="267">
      <c r="A267" s="1" t="s">
        <v>29</v>
      </c>
      <c r="B267" s="1">
        <v>0.0</v>
      </c>
      <c r="C267" s="1">
        <v>40.0</v>
      </c>
      <c r="E267" s="1">
        <v>54.0</v>
      </c>
      <c r="G267" s="1">
        <v>72.0</v>
      </c>
      <c r="I267" s="1">
        <v>34.0</v>
      </c>
    </row>
    <row r="268">
      <c r="A268" s="1" t="s">
        <v>30</v>
      </c>
      <c r="C268" s="1">
        <v>40.0</v>
      </c>
      <c r="D268" s="1">
        <v>0.0</v>
      </c>
      <c r="E268" s="1">
        <v>58.0</v>
      </c>
      <c r="G268" s="1">
        <v>72.0</v>
      </c>
      <c r="H268" s="1">
        <v>0.0</v>
      </c>
      <c r="I268" s="1">
        <v>38.0</v>
      </c>
    </row>
    <row r="271">
      <c r="A271" s="1"/>
      <c r="B271" s="1" t="s">
        <v>0</v>
      </c>
      <c r="C271" s="1" t="s">
        <v>0</v>
      </c>
      <c r="D271" s="1" t="s">
        <v>1</v>
      </c>
      <c r="E271" s="1" t="s">
        <v>1</v>
      </c>
      <c r="F271" s="1" t="s">
        <v>2</v>
      </c>
      <c r="G271" s="1" t="s">
        <v>2</v>
      </c>
      <c r="H271" s="1" t="s">
        <v>3</v>
      </c>
      <c r="I271" s="1" t="s">
        <v>3</v>
      </c>
    </row>
    <row r="272">
      <c r="A272" s="1"/>
      <c r="B272" s="1" t="s">
        <v>7</v>
      </c>
      <c r="C272" s="1" t="s">
        <v>9</v>
      </c>
      <c r="D272" s="1" t="s">
        <v>7</v>
      </c>
      <c r="E272" s="1" t="s">
        <v>9</v>
      </c>
      <c r="F272" s="1" t="s">
        <v>7</v>
      </c>
      <c r="G272" s="1" t="s">
        <v>9</v>
      </c>
      <c r="H272" s="1" t="s">
        <v>7</v>
      </c>
      <c r="I272" s="1" t="s">
        <v>9</v>
      </c>
    </row>
    <row r="273">
      <c r="A273" s="1"/>
    </row>
    <row r="274">
      <c r="A274" s="1" t="s">
        <v>18</v>
      </c>
      <c r="C274" s="1">
        <v>0.0</v>
      </c>
      <c r="D274" s="1">
        <v>0.0</v>
      </c>
      <c r="E274" s="1">
        <v>4.0</v>
      </c>
    </row>
    <row r="275">
      <c r="A275" s="1" t="s">
        <v>26</v>
      </c>
      <c r="C275" s="1">
        <v>0.0</v>
      </c>
      <c r="E275" s="1">
        <v>4.0</v>
      </c>
    </row>
    <row r="276">
      <c r="A276" s="1" t="s">
        <v>27</v>
      </c>
      <c r="C276" s="1">
        <v>0.0</v>
      </c>
      <c r="D276" s="1">
        <v>0.0</v>
      </c>
      <c r="E276" s="1">
        <v>8.0</v>
      </c>
    </row>
    <row r="277">
      <c r="A277" s="1" t="s">
        <v>28</v>
      </c>
      <c r="B277" s="1">
        <v>10.0</v>
      </c>
      <c r="C277" s="1">
        <v>14.0</v>
      </c>
      <c r="E277" s="1">
        <v>8.0</v>
      </c>
    </row>
    <row r="278">
      <c r="A278" s="1" t="s">
        <v>29</v>
      </c>
      <c r="B278" s="1">
        <v>0.0</v>
      </c>
      <c r="C278" s="1">
        <v>18.0</v>
      </c>
      <c r="E278" s="1">
        <v>8.0</v>
      </c>
    </row>
    <row r="279">
      <c r="A279" s="1" t="s">
        <v>30</v>
      </c>
      <c r="C279" s="1">
        <v>18.0</v>
      </c>
      <c r="E279" s="1">
        <v>8.0</v>
      </c>
    </row>
    <row r="280">
      <c r="A280" s="1" t="s">
        <v>18</v>
      </c>
      <c r="C280" s="1">
        <v>18.0</v>
      </c>
      <c r="E280" s="1">
        <v>8.0</v>
      </c>
    </row>
    <row r="281">
      <c r="A281" s="1" t="s">
        <v>26</v>
      </c>
      <c r="C281" s="1">
        <v>18.0</v>
      </c>
      <c r="E281" s="1">
        <v>8.0</v>
      </c>
    </row>
    <row r="282">
      <c r="A282" s="1" t="s">
        <v>27</v>
      </c>
      <c r="C282" s="1">
        <v>18.0</v>
      </c>
      <c r="D282" s="1">
        <v>10.0</v>
      </c>
      <c r="E282" s="1">
        <v>22.0</v>
      </c>
    </row>
    <row r="283">
      <c r="A283" s="1" t="s">
        <v>28</v>
      </c>
      <c r="B283" s="1">
        <v>0.0</v>
      </c>
      <c r="C283" s="1">
        <v>22.0</v>
      </c>
      <c r="E283" s="1">
        <v>22.0</v>
      </c>
    </row>
    <row r="284">
      <c r="A284" s="1" t="s">
        <v>29</v>
      </c>
      <c r="C284" s="1">
        <v>22.0</v>
      </c>
      <c r="D284" s="1">
        <v>0.0</v>
      </c>
      <c r="E284" s="1">
        <v>26.0</v>
      </c>
    </row>
    <row r="285">
      <c r="A285" s="1" t="s">
        <v>30</v>
      </c>
      <c r="B285" s="1">
        <v>0.0</v>
      </c>
      <c r="C285" s="1">
        <v>26.0</v>
      </c>
      <c r="E285" s="1">
        <v>26.0</v>
      </c>
    </row>
    <row r="286">
      <c r="A286" s="1"/>
    </row>
    <row r="287">
      <c r="A287" s="1" t="s">
        <v>18</v>
      </c>
      <c r="B287" s="1">
        <v>0.0</v>
      </c>
      <c r="C287" s="1">
        <v>30.0</v>
      </c>
      <c r="E287" s="1">
        <v>26.0</v>
      </c>
    </row>
    <row r="288">
      <c r="A288" s="1" t="s">
        <v>26</v>
      </c>
      <c r="C288" s="1">
        <v>30.0</v>
      </c>
      <c r="E288" s="1">
        <v>26.0</v>
      </c>
    </row>
    <row r="289">
      <c r="A289" s="1" t="s">
        <v>27</v>
      </c>
      <c r="C289" s="1">
        <v>30.0</v>
      </c>
      <c r="D289" s="1">
        <v>10.0</v>
      </c>
      <c r="E289" s="1">
        <v>40.0</v>
      </c>
    </row>
    <row r="290">
      <c r="A290" s="1" t="s">
        <v>28</v>
      </c>
      <c r="C290" s="1">
        <v>30.0</v>
      </c>
      <c r="E290" s="1">
        <v>40.0</v>
      </c>
    </row>
    <row r="291">
      <c r="A291" s="1" t="s">
        <v>29</v>
      </c>
      <c r="C291" s="1">
        <v>30.0</v>
      </c>
      <c r="D291" s="1">
        <v>10.0</v>
      </c>
      <c r="E291" s="1">
        <v>54.0</v>
      </c>
    </row>
    <row r="292">
      <c r="A292" s="1" t="s">
        <v>30</v>
      </c>
      <c r="B292" s="1">
        <v>0.0</v>
      </c>
      <c r="C292" s="1">
        <v>34.0</v>
      </c>
      <c r="E292" s="1">
        <v>54.0</v>
      </c>
    </row>
    <row r="293">
      <c r="A293" s="1" t="s">
        <v>18</v>
      </c>
      <c r="B293" s="1">
        <v>0.0</v>
      </c>
      <c r="C293" s="1">
        <v>42.0</v>
      </c>
      <c r="E293" s="1">
        <v>54.0</v>
      </c>
    </row>
    <row r="294">
      <c r="A294" s="1" t="s">
        <v>26</v>
      </c>
      <c r="B294" s="1">
        <v>0.0</v>
      </c>
      <c r="C294" s="1">
        <v>46.0</v>
      </c>
      <c r="E294" s="1">
        <v>54.0</v>
      </c>
    </row>
    <row r="295">
      <c r="A295" s="1" t="s">
        <v>27</v>
      </c>
      <c r="C295" s="1">
        <v>46.0</v>
      </c>
      <c r="D295" s="1">
        <v>10.0</v>
      </c>
      <c r="E295" s="1">
        <v>68.0</v>
      </c>
    </row>
    <row r="296">
      <c r="A296" s="1" t="s">
        <v>28</v>
      </c>
      <c r="C296" s="1">
        <v>46.0</v>
      </c>
      <c r="E296" s="1">
        <v>68.0</v>
      </c>
    </row>
    <row r="297">
      <c r="A297" s="1" t="s">
        <v>29</v>
      </c>
      <c r="C297" s="1">
        <v>46.0</v>
      </c>
      <c r="D297" s="1">
        <v>10.0</v>
      </c>
      <c r="E297" s="1">
        <v>86.0</v>
      </c>
    </row>
    <row r="298">
      <c r="A298" s="1" t="s">
        <v>30</v>
      </c>
      <c r="C298" s="1">
        <v>46.0</v>
      </c>
      <c r="E298" s="1">
        <v>86.0</v>
      </c>
    </row>
    <row r="302">
      <c r="A302" s="1"/>
    </row>
    <row r="303">
      <c r="A303" s="1"/>
    </row>
    <row r="304">
      <c r="A304" s="1" t="s">
        <v>18</v>
      </c>
    </row>
    <row r="305">
      <c r="A305" s="1" t="s">
        <v>26</v>
      </c>
    </row>
    <row r="306">
      <c r="A306" s="1" t="s">
        <v>27</v>
      </c>
    </row>
    <row r="307">
      <c r="A307" s="1" t="s">
        <v>28</v>
      </c>
    </row>
    <row r="308">
      <c r="A308" s="1" t="s">
        <v>29</v>
      </c>
    </row>
    <row r="309">
      <c r="A309" s="1" t="s">
        <v>30</v>
      </c>
    </row>
    <row r="310">
      <c r="A310" s="1" t="s">
        <v>18</v>
      </c>
    </row>
    <row r="311">
      <c r="A311" s="1" t="s">
        <v>26</v>
      </c>
    </row>
    <row r="312">
      <c r="A312" s="1" t="s">
        <v>27</v>
      </c>
    </row>
    <row r="313">
      <c r="A313" s="1" t="s">
        <v>28</v>
      </c>
    </row>
    <row r="314">
      <c r="A314" s="1" t="s">
        <v>29</v>
      </c>
    </row>
    <row r="315">
      <c r="A315" s="1" t="s">
        <v>30</v>
      </c>
    </row>
    <row r="316">
      <c r="A316" s="1"/>
    </row>
    <row r="317">
      <c r="A317" s="1" t="s">
        <v>18</v>
      </c>
    </row>
    <row r="318">
      <c r="A318" s="1" t="s">
        <v>26</v>
      </c>
    </row>
    <row r="319">
      <c r="A319" s="1" t="s">
        <v>27</v>
      </c>
    </row>
    <row r="320">
      <c r="A320" s="1" t="s">
        <v>28</v>
      </c>
    </row>
    <row r="321">
      <c r="A321" s="1" t="s">
        <v>29</v>
      </c>
    </row>
    <row r="322">
      <c r="A322" s="1" t="s">
        <v>30</v>
      </c>
    </row>
    <row r="323">
      <c r="A323" s="1" t="s">
        <v>18</v>
      </c>
    </row>
    <row r="324">
      <c r="A324" s="1" t="s">
        <v>26</v>
      </c>
    </row>
    <row r="325">
      <c r="A325" s="1" t="s">
        <v>27</v>
      </c>
    </row>
    <row r="326">
      <c r="A326" s="1" t="s">
        <v>28</v>
      </c>
    </row>
    <row r="327">
      <c r="A327" s="1" t="s">
        <v>29</v>
      </c>
    </row>
    <row r="328">
      <c r="A328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 t="shared" ref="A1:A330" si="1">U1</f>
        <v/>
      </c>
      <c r="B1" s="2" t="str">
        <f t="array" ref="B1:AM30">transpose(sort(transpose(All!A1:AL30),2,true))</f>
        <v/>
      </c>
      <c r="C1" s="2"/>
      <c r="D1" s="2"/>
      <c r="E1" s="2"/>
      <c r="F1" s="2"/>
      <c r="G1" s="2"/>
      <c r="H1" s="2"/>
      <c r="I1" s="2" t="s">
        <v>0</v>
      </c>
      <c r="J1" s="2"/>
      <c r="K1" s="2"/>
      <c r="L1" s="2"/>
      <c r="M1" s="2" t="s">
        <v>1</v>
      </c>
      <c r="N1" s="2" t="s">
        <v>2</v>
      </c>
      <c r="O1" s="2"/>
      <c r="P1" s="2"/>
      <c r="Q1" s="2"/>
      <c r="R1" s="2"/>
      <c r="S1" s="2" t="s">
        <v>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>
      <c r="A2" s="2" t="str">
        <f t="shared" si="1"/>
        <v/>
      </c>
      <c r="B2" s="2" t="s">
        <v>5</v>
      </c>
      <c r="C2" s="2" t="s">
        <v>12</v>
      </c>
      <c r="D2" s="2" t="s">
        <v>6</v>
      </c>
      <c r="E2" s="2" t="s">
        <v>19</v>
      </c>
      <c r="F2" s="2" t="s">
        <v>25</v>
      </c>
      <c r="G2" s="2" t="s">
        <v>14</v>
      </c>
      <c r="H2" s="2" t="s">
        <v>21</v>
      </c>
      <c r="I2" s="2" t="s">
        <v>4</v>
      </c>
      <c r="J2" s="2" t="s">
        <v>20</v>
      </c>
      <c r="K2" s="2" t="s">
        <v>8</v>
      </c>
      <c r="L2" s="2" t="s">
        <v>15</v>
      </c>
      <c r="M2" s="2" t="s">
        <v>11</v>
      </c>
      <c r="N2" s="2" t="s">
        <v>16</v>
      </c>
      <c r="O2" s="2" t="s">
        <v>17</v>
      </c>
      <c r="P2" s="2" t="s">
        <v>10</v>
      </c>
      <c r="Q2" s="2" t="s">
        <v>23</v>
      </c>
      <c r="R2" s="2" t="s">
        <v>24</v>
      </c>
      <c r="S2" s="2" t="s">
        <v>22</v>
      </c>
      <c r="T2" s="2" t="s">
        <v>13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 t="str">
        <f t="shared" si="1"/>
        <v/>
      </c>
      <c r="B3" s="2" t="b">
        <v>1</v>
      </c>
      <c r="C3" s="2" t="b">
        <v>1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2" t="b">
        <v>1</v>
      </c>
      <c r="N3" s="2" t="b">
        <v>1</v>
      </c>
      <c r="O3" s="2" t="b">
        <v>1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/>
      <c r="V3" s="2" t="b">
        <v>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2" t="str">
        <f t="shared" si="1"/>
        <v>X</v>
      </c>
      <c r="B4" s="2"/>
      <c r="C4" s="2"/>
      <c r="D4" s="2">
        <v>4.0</v>
      </c>
      <c r="E4" s="2"/>
      <c r="F4" s="2"/>
      <c r="G4" s="2"/>
      <c r="H4" s="2"/>
      <c r="I4" s="2"/>
      <c r="J4" s="2"/>
      <c r="K4" s="2"/>
      <c r="L4" s="2">
        <v>-4.0</v>
      </c>
      <c r="M4" s="2"/>
      <c r="N4" s="2"/>
      <c r="O4" s="2"/>
      <c r="P4" s="2"/>
      <c r="Q4" s="2"/>
      <c r="R4" s="2">
        <v>4.0</v>
      </c>
      <c r="S4" s="2"/>
      <c r="T4" s="2"/>
      <c r="U4" s="2" t="s">
        <v>18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>
      <c r="A5" s="2" t="str">
        <f t="shared" si="1"/>
        <v>M</v>
      </c>
      <c r="B5" s="2"/>
      <c r="C5" s="2"/>
      <c r="D5" s="2"/>
      <c r="E5" s="2"/>
      <c r="F5" s="2"/>
      <c r="G5" s="2"/>
      <c r="H5" s="2"/>
      <c r="I5" s="2"/>
      <c r="J5" s="2"/>
      <c r="K5" s="2">
        <v>4.0</v>
      </c>
      <c r="L5" s="2"/>
      <c r="M5" s="2"/>
      <c r="N5" s="2"/>
      <c r="O5" s="2"/>
      <c r="P5" s="2"/>
      <c r="Q5" s="2"/>
      <c r="R5" s="2">
        <v>4.0</v>
      </c>
      <c r="S5" s="2"/>
      <c r="T5" s="2"/>
      <c r="U5" s="2" t="s">
        <v>26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>
      <c r="A6" s="2" t="str">
        <f t="shared" si="1"/>
        <v>C</v>
      </c>
      <c r="B6" s="2">
        <v>4.0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-4.0</v>
      </c>
      <c r="N6" s="2"/>
      <c r="O6" s="2"/>
      <c r="P6" s="2"/>
      <c r="Q6" s="2">
        <v>4.0</v>
      </c>
      <c r="R6" s="2"/>
      <c r="S6" s="2"/>
      <c r="T6" s="2"/>
      <c r="U6" s="2" t="s">
        <v>27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>
      <c r="A7" s="2" t="str">
        <f t="shared" si="1"/>
        <v>E</v>
      </c>
      <c r="B7" s="2"/>
      <c r="C7" s="2"/>
      <c r="D7" s="2"/>
      <c r="E7" s="2"/>
      <c r="F7" s="2"/>
      <c r="G7" s="2"/>
      <c r="H7" s="2"/>
      <c r="I7" s="2"/>
      <c r="J7" s="2">
        <v>4.0</v>
      </c>
      <c r="K7" s="2"/>
      <c r="L7" s="2"/>
      <c r="M7" s="2">
        <v>-4.0</v>
      </c>
      <c r="N7" s="2"/>
      <c r="O7" s="2"/>
      <c r="P7" s="2">
        <v>4.0</v>
      </c>
      <c r="Q7" s="2"/>
      <c r="R7" s="2"/>
      <c r="S7" s="2"/>
      <c r="T7" s="2"/>
      <c r="U7" s="2" t="s">
        <v>28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>
      <c r="A8" s="2" t="str">
        <f t="shared" si="1"/>
        <v>B</v>
      </c>
      <c r="B8" s="2">
        <v>4.0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4.0</v>
      </c>
      <c r="R8" s="2"/>
      <c r="S8" s="2"/>
      <c r="T8" s="2"/>
      <c r="U8" s="2" t="s">
        <v>29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>
      <c r="A9" s="2" t="str">
        <f t="shared" si="1"/>
        <v>P</v>
      </c>
      <c r="B9" s="2"/>
      <c r="C9" s="2"/>
      <c r="D9" s="2"/>
      <c r="E9" s="2"/>
      <c r="F9" s="2"/>
      <c r="G9" s="2"/>
      <c r="H9" s="2"/>
      <c r="I9" s="2"/>
      <c r="J9" s="2">
        <v>4.0</v>
      </c>
      <c r="K9" s="2"/>
      <c r="L9" s="2"/>
      <c r="M9" s="2"/>
      <c r="N9" s="2"/>
      <c r="O9" s="2"/>
      <c r="P9" s="2"/>
      <c r="Q9" s="2"/>
      <c r="R9" s="2"/>
      <c r="S9" s="2"/>
      <c r="T9" s="2">
        <v>4.0</v>
      </c>
      <c r="U9" s="2" t="s">
        <v>30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>
      <c r="A10" s="2" t="str">
        <f t="shared" si="1"/>
        <v>X</v>
      </c>
      <c r="B10" s="2">
        <v>4.0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18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>
      <c r="A11" s="2" t="str">
        <f t="shared" si="1"/>
        <v>M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-4.0</v>
      </c>
      <c r="O11" s="2"/>
      <c r="P11" s="2">
        <v>4.0</v>
      </c>
      <c r="Q11" s="2"/>
      <c r="R11" s="2"/>
      <c r="S11" s="2"/>
      <c r="T11" s="2"/>
      <c r="U11" s="2" t="s">
        <v>26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>
      <c r="A12" s="2" t="str">
        <f t="shared" si="1"/>
        <v>C</v>
      </c>
      <c r="B12" s="2">
        <v>4.0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>
        <v>4.0</v>
      </c>
      <c r="S12" s="2"/>
      <c r="T12" s="2"/>
      <c r="U12" s="2" t="s">
        <v>27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>
      <c r="A13" s="2" t="str">
        <f t="shared" si="1"/>
        <v>E</v>
      </c>
      <c r="B13" s="2"/>
      <c r="C13" s="2"/>
      <c r="D13" s="2">
        <v>4.0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28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>
      <c r="A14" s="2" t="str">
        <f t="shared" si="1"/>
        <v>B</v>
      </c>
      <c r="B14" s="2"/>
      <c r="C14" s="2"/>
      <c r="D14" s="2"/>
      <c r="E14" s="2"/>
      <c r="F14" s="2"/>
      <c r="G14" s="2">
        <v>4.0</v>
      </c>
      <c r="H14" s="2"/>
      <c r="I14" s="2"/>
      <c r="J14" s="2"/>
      <c r="K14" s="2"/>
      <c r="L14" s="2"/>
      <c r="M14" s="2"/>
      <c r="N14" s="2"/>
      <c r="O14" s="2"/>
      <c r="P14" s="2"/>
      <c r="Q14" s="2">
        <v>4.0</v>
      </c>
      <c r="R14" s="2"/>
      <c r="S14" s="2"/>
      <c r="T14" s="2"/>
      <c r="U14" s="2" t="s">
        <v>29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>
      <c r="A15" s="2" t="str">
        <f t="shared" si="1"/>
        <v>P</v>
      </c>
      <c r="B15" s="2"/>
      <c r="C15" s="2"/>
      <c r="D15" s="2">
        <v>4.0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v>4.0</v>
      </c>
      <c r="S15" s="2"/>
      <c r="T15" s="2"/>
      <c r="U15" s="2" t="s">
        <v>30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>
      <c r="A16" s="2" t="str">
        <f t="shared" si="1"/>
        <v/>
      </c>
      <c r="B16" s="2" t="b">
        <v>1</v>
      </c>
      <c r="C16" s="2" t="b">
        <v>1</v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1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1</v>
      </c>
      <c r="U16" s="2"/>
      <c r="V16" s="2" t="b"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>
      <c r="A17" s="2" t="str">
        <f t="shared" si="1"/>
        <v>X</v>
      </c>
      <c r="B17" s="2"/>
      <c r="C17" s="2"/>
      <c r="D17" s="2"/>
      <c r="E17" s="2"/>
      <c r="F17" s="2"/>
      <c r="G17" s="2"/>
      <c r="H17" s="2"/>
      <c r="I17" s="2"/>
      <c r="J17" s="2">
        <v>4.0</v>
      </c>
      <c r="K17" s="2"/>
      <c r="L17" s="2">
        <v>4.0</v>
      </c>
      <c r="M17" s="2"/>
      <c r="N17" s="2"/>
      <c r="O17" s="2"/>
      <c r="P17" s="2"/>
      <c r="Q17" s="2"/>
      <c r="R17" s="2"/>
      <c r="S17" s="2"/>
      <c r="T17" s="2"/>
      <c r="U17" s="2" t="s">
        <v>18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>
      <c r="A18" s="2" t="str">
        <f t="shared" si="1"/>
        <v>M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4.0</v>
      </c>
      <c r="O18" s="2"/>
      <c r="P18" s="2"/>
      <c r="Q18" s="2"/>
      <c r="R18" s="2"/>
      <c r="S18" s="2"/>
      <c r="T18" s="2"/>
      <c r="U18" s="2" t="s">
        <v>26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>
      <c r="A19" s="2" t="str">
        <f t="shared" si="1"/>
        <v>C</v>
      </c>
      <c r="B19" s="2"/>
      <c r="C19" s="2"/>
      <c r="D19" s="2"/>
      <c r="E19" s="2"/>
      <c r="F19" s="2"/>
      <c r="G19" s="2"/>
      <c r="H19" s="2">
        <v>4.0</v>
      </c>
      <c r="I19" s="2"/>
      <c r="J19" s="2"/>
      <c r="K19" s="2"/>
      <c r="L19" s="2"/>
      <c r="M19" s="2">
        <v>4.0</v>
      </c>
      <c r="N19" s="2"/>
      <c r="O19" s="2"/>
      <c r="P19" s="2"/>
      <c r="Q19" s="2"/>
      <c r="R19" s="2"/>
      <c r="S19" s="2"/>
      <c r="T19" s="2"/>
      <c r="U19" s="2" t="s">
        <v>27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>
      <c r="A20" s="2" t="str">
        <f t="shared" si="1"/>
        <v>E</v>
      </c>
      <c r="B20" s="2">
        <v>4.0</v>
      </c>
      <c r="C20" s="2"/>
      <c r="D20" s="2"/>
      <c r="E20" s="2"/>
      <c r="F20" s="2"/>
      <c r="G20" s="2"/>
      <c r="H20" s="2">
        <v>4.0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28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>
      <c r="A21" s="2" t="str">
        <f t="shared" si="1"/>
        <v>B</v>
      </c>
      <c r="B21" s="2"/>
      <c r="C21" s="2"/>
      <c r="D21" s="2"/>
      <c r="E21" s="2"/>
      <c r="F21" s="2"/>
      <c r="G21" s="2">
        <v>4.0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>
        <v>4.0</v>
      </c>
      <c r="S21" s="2"/>
      <c r="T21" s="2"/>
      <c r="U21" s="2" t="s">
        <v>29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>
      <c r="A22" s="2" t="str">
        <f t="shared" si="1"/>
        <v>P</v>
      </c>
      <c r="B22" s="2"/>
      <c r="C22" s="2">
        <v>-4.0</v>
      </c>
      <c r="D22" s="2">
        <v>4.0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>
        <v>4.0</v>
      </c>
      <c r="T22" s="2"/>
      <c r="U22" s="2" t="s">
        <v>30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2" t="str">
        <f t="shared" si="1"/>
        <v>X</v>
      </c>
      <c r="B23" s="2"/>
      <c r="C23" s="2">
        <v>4.0</v>
      </c>
      <c r="D23" s="2"/>
      <c r="E23" s="2"/>
      <c r="F23" s="2">
        <v>-4.0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18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2" t="str">
        <f t="shared" si="1"/>
        <v>M</v>
      </c>
      <c r="B24" s="2"/>
      <c r="C24" s="2"/>
      <c r="D24" s="2"/>
      <c r="E24" s="2"/>
      <c r="F24" s="2"/>
      <c r="G24" s="2"/>
      <c r="H24" s="2"/>
      <c r="I24" s="2"/>
      <c r="J24" s="2"/>
      <c r="K24" s="2">
        <v>4.0</v>
      </c>
      <c r="L24" s="2"/>
      <c r="M24" s="2"/>
      <c r="N24" s="2"/>
      <c r="O24" s="2"/>
      <c r="P24" s="2"/>
      <c r="Q24" s="2">
        <v>4.0</v>
      </c>
      <c r="R24" s="2"/>
      <c r="S24" s="2"/>
      <c r="T24" s="2"/>
      <c r="U24" s="2" t="s">
        <v>26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2" t="str">
        <f t="shared" si="1"/>
        <v>C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4.0</v>
      </c>
      <c r="N25" s="2"/>
      <c r="O25" s="2"/>
      <c r="P25" s="2"/>
      <c r="Q25" s="2"/>
      <c r="R25" s="2"/>
      <c r="S25" s="2">
        <v>4.0</v>
      </c>
      <c r="T25" s="2"/>
      <c r="U25" s="2" t="s">
        <v>27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2" t="str">
        <f t="shared" si="1"/>
        <v>E</v>
      </c>
      <c r="B26" s="2"/>
      <c r="C26" s="2"/>
      <c r="D26" s="2"/>
      <c r="E26" s="2"/>
      <c r="F26" s="2"/>
      <c r="G26" s="2"/>
      <c r="H26" s="2">
        <v>4.0</v>
      </c>
      <c r="I26" s="2"/>
      <c r="J26" s="2"/>
      <c r="K26" s="2"/>
      <c r="L26" s="2">
        <v>4.0</v>
      </c>
      <c r="M26" s="2"/>
      <c r="N26" s="2"/>
      <c r="O26" s="2"/>
      <c r="P26" s="2"/>
      <c r="Q26" s="2"/>
      <c r="R26" s="2"/>
      <c r="S26" s="2"/>
      <c r="T26" s="2"/>
      <c r="U26" s="2" t="s">
        <v>28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2" t="str">
        <f t="shared" si="1"/>
        <v>B</v>
      </c>
      <c r="B27" s="2"/>
      <c r="C27" s="2"/>
      <c r="D27" s="2"/>
      <c r="E27" s="2"/>
      <c r="F27" s="2"/>
      <c r="G27" s="2">
        <v>4.0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29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2" t="str">
        <f t="shared" si="1"/>
        <v>P</v>
      </c>
      <c r="B28" s="2"/>
      <c r="C28" s="2"/>
      <c r="D28" s="2">
        <v>4.0</v>
      </c>
      <c r="E28" s="2"/>
      <c r="F28" s="2"/>
      <c r="G28" s="2"/>
      <c r="H28" s="2"/>
      <c r="I28" s="2"/>
      <c r="J28" s="2"/>
      <c r="K28" s="2"/>
      <c r="L28" s="2"/>
      <c r="M28" s="2"/>
      <c r="N28" s="2">
        <v>-4.0</v>
      </c>
      <c r="O28" s="2"/>
      <c r="P28" s="2"/>
      <c r="Q28" s="2"/>
      <c r="R28" s="2">
        <v>4.0</v>
      </c>
      <c r="S28" s="2"/>
      <c r="T28" s="2"/>
      <c r="U28" s="2" t="s">
        <v>30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>
      <c r="A29" s="2" t="str">
        <f t="shared" si="1"/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2" t="str">
        <f t="shared" si="1"/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2" t="str">
        <f t="shared" si="1"/>
        <v/>
      </c>
      <c r="B31" s="2" t="str">
        <f t="array" ref="B31:AM60">transpose(sort(transpose(All!A31:AL60),2,true))</f>
        <v/>
      </c>
      <c r="C31" s="2"/>
      <c r="D31" s="2"/>
      <c r="E31" s="2"/>
      <c r="F31" s="2"/>
      <c r="G31" s="2"/>
      <c r="H31" s="2"/>
      <c r="I31" s="2" t="s">
        <v>0</v>
      </c>
      <c r="J31" s="2"/>
      <c r="K31" s="2"/>
      <c r="L31" s="2"/>
      <c r="M31" s="2" t="s">
        <v>1</v>
      </c>
      <c r="N31" s="2" t="s">
        <v>2</v>
      </c>
      <c r="O31" s="2"/>
      <c r="P31" s="2"/>
      <c r="Q31" s="2"/>
      <c r="R31" s="2"/>
      <c r="S31" s="2" t="s">
        <v>3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2" t="str">
        <f t="shared" si="1"/>
        <v/>
      </c>
      <c r="B32" s="2" t="s">
        <v>5</v>
      </c>
      <c r="C32" s="2" t="s">
        <v>12</v>
      </c>
      <c r="D32" s="2" t="s">
        <v>6</v>
      </c>
      <c r="E32" s="2" t="s">
        <v>19</v>
      </c>
      <c r="F32" s="2" t="s">
        <v>25</v>
      </c>
      <c r="G32" s="2" t="s">
        <v>14</v>
      </c>
      <c r="H32" s="2" t="s">
        <v>21</v>
      </c>
      <c r="I32" s="2" t="s">
        <v>4</v>
      </c>
      <c r="J32" s="2" t="s">
        <v>20</v>
      </c>
      <c r="K32" s="2" t="s">
        <v>8</v>
      </c>
      <c r="L32" s="2" t="s">
        <v>15</v>
      </c>
      <c r="M32" s="2" t="s">
        <v>11</v>
      </c>
      <c r="N32" s="2" t="s">
        <v>16</v>
      </c>
      <c r="O32" s="2" t="s">
        <v>17</v>
      </c>
      <c r="P32" s="2" t="s">
        <v>10</v>
      </c>
      <c r="Q32" s="2" t="s">
        <v>23</v>
      </c>
      <c r="R32" s="2" t="s">
        <v>24</v>
      </c>
      <c r="S32" s="2" t="s">
        <v>22</v>
      </c>
      <c r="T32" s="2" t="s">
        <v>13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2" t="str">
        <f t="shared" si="1"/>
        <v/>
      </c>
      <c r="B33" s="2" t="b">
        <v>1</v>
      </c>
      <c r="C33" s="2" t="b">
        <v>1</v>
      </c>
      <c r="D33" s="2" t="b">
        <v>1</v>
      </c>
      <c r="E33" s="2" t="b">
        <v>1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1</v>
      </c>
      <c r="M33" s="2" t="b">
        <v>1</v>
      </c>
      <c r="N33" s="2" t="b">
        <v>1</v>
      </c>
      <c r="O33" s="2" t="b">
        <v>1</v>
      </c>
      <c r="P33" s="2" t="b">
        <v>1</v>
      </c>
      <c r="Q33" s="2" t="b">
        <v>1</v>
      </c>
      <c r="R33" s="2" t="b">
        <v>1</v>
      </c>
      <c r="S33" s="2" t="b">
        <v>1</v>
      </c>
      <c r="T33" s="2" t="b">
        <v>1</v>
      </c>
      <c r="U33" s="2"/>
      <c r="V33" s="2" t="b">
        <v>0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2" t="str">
        <f t="shared" si="1"/>
        <v>X</v>
      </c>
      <c r="B34" s="2"/>
      <c r="C34" s="2"/>
      <c r="D34" s="2"/>
      <c r="E34" s="2"/>
      <c r="F34" s="2"/>
      <c r="G34" s="2"/>
      <c r="H34" s="2">
        <v>4.0</v>
      </c>
      <c r="I34" s="2"/>
      <c r="J34" s="2"/>
      <c r="K34" s="2"/>
      <c r="L34" s="2"/>
      <c r="M34" s="2"/>
      <c r="N34" s="2"/>
      <c r="O34" s="2"/>
      <c r="P34" s="2">
        <v>4.0</v>
      </c>
      <c r="Q34" s="2"/>
      <c r="R34" s="2"/>
      <c r="S34" s="2"/>
      <c r="T34" s="2"/>
      <c r="U34" s="2" t="s">
        <v>18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2" t="str">
        <f t="shared" si="1"/>
        <v>M</v>
      </c>
      <c r="B35" s="2">
        <v>4.0</v>
      </c>
      <c r="C35" s="2"/>
      <c r="D35" s="2"/>
      <c r="E35" s="2"/>
      <c r="F35" s="2"/>
      <c r="G35" s="2"/>
      <c r="H35" s="2">
        <v>4.0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26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2" t="str">
        <f t="shared" si="1"/>
        <v>C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27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2" t="str">
        <f t="shared" si="1"/>
        <v>E</v>
      </c>
      <c r="B37" s="2"/>
      <c r="C37" s="2">
        <v>4.0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v>4.0</v>
      </c>
      <c r="R37" s="2"/>
      <c r="S37" s="2"/>
      <c r="T37" s="2"/>
      <c r="U37" s="2" t="s">
        <v>28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2" t="str">
        <f t="shared" si="1"/>
        <v>B</v>
      </c>
      <c r="B38" s="2"/>
      <c r="C38" s="2">
        <v>4.0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v>4.0</v>
      </c>
      <c r="S38" s="2"/>
      <c r="T38" s="2"/>
      <c r="U38" s="2" t="s">
        <v>29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2" t="str">
        <f t="shared" si="1"/>
        <v>P</v>
      </c>
      <c r="B39" s="2"/>
      <c r="C39" s="2"/>
      <c r="D39" s="2"/>
      <c r="E39" s="2"/>
      <c r="F39" s="2"/>
      <c r="G39" s="2"/>
      <c r="H39" s="2">
        <v>-4.0</v>
      </c>
      <c r="I39" s="2"/>
      <c r="J39" s="2"/>
      <c r="K39" s="2"/>
      <c r="L39" s="2"/>
      <c r="M39" s="2"/>
      <c r="N39" s="2"/>
      <c r="O39" s="2"/>
      <c r="P39" s="2">
        <v>4.0</v>
      </c>
      <c r="Q39" s="2"/>
      <c r="R39" s="2"/>
      <c r="S39" s="2"/>
      <c r="T39" s="2">
        <v>4.0</v>
      </c>
      <c r="U39" s="2" t="s">
        <v>30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2" t="str">
        <f t="shared" si="1"/>
        <v>X</v>
      </c>
      <c r="B40" s="2"/>
      <c r="C40" s="2">
        <v>4.0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v>4.0</v>
      </c>
      <c r="R40" s="2"/>
      <c r="S40" s="2"/>
      <c r="T40" s="2"/>
      <c r="U40" s="2" t="s">
        <v>18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2" t="str">
        <f t="shared" si="1"/>
        <v>M</v>
      </c>
      <c r="B41" s="2">
        <v>4.0</v>
      </c>
      <c r="C41" s="2"/>
      <c r="D41" s="2"/>
      <c r="E41" s="2"/>
      <c r="F41" s="2"/>
      <c r="G41" s="2"/>
      <c r="H41" s="2"/>
      <c r="I41" s="2"/>
      <c r="J41" s="2"/>
      <c r="K41" s="2"/>
      <c r="L41" s="2">
        <v>4.0</v>
      </c>
      <c r="M41" s="2"/>
      <c r="N41" s="2"/>
      <c r="O41" s="2"/>
      <c r="P41" s="2"/>
      <c r="Q41" s="2"/>
      <c r="R41" s="2"/>
      <c r="S41" s="2"/>
      <c r="T41" s="2"/>
      <c r="U41" s="2" t="s">
        <v>26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2" t="str">
        <f t="shared" si="1"/>
        <v>C</v>
      </c>
      <c r="B42" s="2">
        <v>4.0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>
        <v>4.0</v>
      </c>
      <c r="N42" s="2"/>
      <c r="O42" s="2"/>
      <c r="P42" s="2"/>
      <c r="Q42" s="2"/>
      <c r="R42" s="2"/>
      <c r="S42" s="2"/>
      <c r="T42" s="2"/>
      <c r="U42" s="2" t="s">
        <v>27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2" t="str">
        <f t="shared" si="1"/>
        <v>E</v>
      </c>
      <c r="B43" s="2"/>
      <c r="C43" s="2">
        <v>4.0</v>
      </c>
      <c r="D43" s="2">
        <v>4.0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28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2" t="str">
        <f t="shared" si="1"/>
        <v>B</v>
      </c>
      <c r="B44" s="2"/>
      <c r="C44" s="2"/>
      <c r="D44" s="2"/>
      <c r="E44" s="2"/>
      <c r="F44" s="2"/>
      <c r="G44" s="2">
        <v>4.0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29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2" t="str">
        <f t="shared" si="1"/>
        <v>P</v>
      </c>
      <c r="B45" s="2"/>
      <c r="C45" s="2"/>
      <c r="D45" s="2">
        <v>4.0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30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2" t="str">
        <f t="shared" si="1"/>
        <v/>
      </c>
      <c r="B46" s="2" t="b">
        <v>1</v>
      </c>
      <c r="C46" s="2" t="b">
        <v>1</v>
      </c>
      <c r="D46" s="2" t="b">
        <v>1</v>
      </c>
      <c r="E46" s="2" t="b">
        <v>1</v>
      </c>
      <c r="F46" s="2" t="b">
        <v>1</v>
      </c>
      <c r="G46" s="2" t="b">
        <v>1</v>
      </c>
      <c r="H46" s="2" t="b">
        <v>1</v>
      </c>
      <c r="I46" s="2" t="b">
        <v>1</v>
      </c>
      <c r="J46" s="2" t="b">
        <v>1</v>
      </c>
      <c r="K46" s="2" t="b">
        <v>1</v>
      </c>
      <c r="L46" s="2" t="b">
        <v>1</v>
      </c>
      <c r="M46" s="2" t="b">
        <v>1</v>
      </c>
      <c r="N46" s="2" t="b">
        <v>1</v>
      </c>
      <c r="O46" s="2" t="b">
        <v>1</v>
      </c>
      <c r="P46" s="2" t="b">
        <v>1</v>
      </c>
      <c r="Q46" s="2" t="b">
        <v>1</v>
      </c>
      <c r="R46" s="2" t="b">
        <v>1</v>
      </c>
      <c r="S46" s="2" t="b">
        <v>1</v>
      </c>
      <c r="T46" s="2" t="b">
        <v>1</v>
      </c>
      <c r="U46" s="2"/>
      <c r="V46" s="2" t="b">
        <v>0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2" t="str">
        <f t="shared" si="1"/>
        <v>X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18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2" t="str">
        <f t="shared" si="1"/>
        <v>M</v>
      </c>
      <c r="B48" s="2"/>
      <c r="C48" s="2"/>
      <c r="D48" s="2"/>
      <c r="E48" s="2"/>
      <c r="F48" s="2"/>
      <c r="G48" s="2"/>
      <c r="H48" s="2">
        <v>-4.0</v>
      </c>
      <c r="I48" s="2"/>
      <c r="J48" s="2"/>
      <c r="K48" s="2">
        <v>4.0</v>
      </c>
      <c r="L48" s="2"/>
      <c r="M48" s="2"/>
      <c r="N48" s="2"/>
      <c r="O48" s="2"/>
      <c r="P48" s="2"/>
      <c r="Q48" s="2"/>
      <c r="R48" s="2"/>
      <c r="S48" s="2"/>
      <c r="T48" s="2"/>
      <c r="U48" s="2" t="s">
        <v>26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2" t="str">
        <f t="shared" si="1"/>
        <v>C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>
        <v>4.0</v>
      </c>
      <c r="N49" s="2"/>
      <c r="O49" s="2"/>
      <c r="P49" s="2"/>
      <c r="Q49" s="2"/>
      <c r="R49" s="2">
        <v>4.0</v>
      </c>
      <c r="S49" s="2"/>
      <c r="T49" s="2"/>
      <c r="U49" s="2" t="s">
        <v>27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2" t="str">
        <f t="shared" si="1"/>
        <v>E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>
        <v>4.0</v>
      </c>
      <c r="R50" s="2"/>
      <c r="S50" s="2"/>
      <c r="T50" s="2"/>
      <c r="U50" s="2" t="s">
        <v>28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2" t="str">
        <f t="shared" si="1"/>
        <v>B</v>
      </c>
      <c r="B51" s="2"/>
      <c r="C51" s="2"/>
      <c r="D51" s="2"/>
      <c r="E51" s="2"/>
      <c r="F51" s="2"/>
      <c r="G51" s="2">
        <v>4.0</v>
      </c>
      <c r="H51" s="2"/>
      <c r="I51" s="2"/>
      <c r="J51" s="2">
        <v>-4.0</v>
      </c>
      <c r="K51" s="2"/>
      <c r="L51" s="2"/>
      <c r="M51" s="2"/>
      <c r="N51" s="2"/>
      <c r="O51" s="2"/>
      <c r="P51" s="2">
        <v>4.0</v>
      </c>
      <c r="Q51" s="2"/>
      <c r="R51" s="2"/>
      <c r="S51" s="2"/>
      <c r="T51" s="2"/>
      <c r="U51" s="2" t="s">
        <v>29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2" t="str">
        <f t="shared" si="1"/>
        <v>P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>
        <v>4.0</v>
      </c>
      <c r="R52" s="2"/>
      <c r="S52" s="2"/>
      <c r="T52" s="2"/>
      <c r="U52" s="2" t="s">
        <v>30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2" t="str">
        <f t="shared" si="1"/>
        <v>X</v>
      </c>
      <c r="B53" s="2"/>
      <c r="C53" s="2"/>
      <c r="D53" s="2">
        <v>4.0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18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2" t="str">
        <f t="shared" si="1"/>
        <v>M</v>
      </c>
      <c r="B54" s="2"/>
      <c r="C54" s="2">
        <v>4.0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>
        <v>4.0</v>
      </c>
      <c r="S54" s="2"/>
      <c r="T54" s="2"/>
      <c r="U54" s="2" t="s">
        <v>26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2" t="str">
        <f t="shared" si="1"/>
        <v>C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>
        <v>4.0</v>
      </c>
      <c r="N55" s="2"/>
      <c r="O55" s="2"/>
      <c r="P55" s="2"/>
      <c r="Q55" s="2"/>
      <c r="R55" s="2"/>
      <c r="S55" s="2"/>
      <c r="T55" s="2"/>
      <c r="U55" s="2" t="s">
        <v>27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2" t="str">
        <f t="shared" si="1"/>
        <v>E</v>
      </c>
      <c r="B56" s="2"/>
      <c r="C56" s="2">
        <v>4.0</v>
      </c>
      <c r="D56" s="2">
        <v>4.0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28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2" t="str">
        <f t="shared" si="1"/>
        <v>B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>
        <v>4.0</v>
      </c>
      <c r="T57" s="2"/>
      <c r="U57" s="2" t="s">
        <v>29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2" t="str">
        <f t="shared" si="1"/>
        <v>P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30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2" t="str">
        <f t="shared" si="1"/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2" t="str">
        <f t="shared" si="1"/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2" t="str">
        <f t="shared" si="1"/>
        <v/>
      </c>
      <c r="B61" s="2" t="str">
        <f t="array" ref="B61:AM90">transpose(sort(transpose(All!A61:AL90),2,true))</f>
        <v/>
      </c>
      <c r="C61" s="2"/>
      <c r="D61" s="2"/>
      <c r="E61" s="2"/>
      <c r="F61" s="2"/>
      <c r="G61" s="2"/>
      <c r="H61" s="2"/>
      <c r="I61" s="2" t="s">
        <v>0</v>
      </c>
      <c r="J61" s="2"/>
      <c r="K61" s="2"/>
      <c r="L61" s="2"/>
      <c r="M61" s="2" t="s">
        <v>1</v>
      </c>
      <c r="N61" s="2" t="s">
        <v>2</v>
      </c>
      <c r="O61" s="2"/>
      <c r="P61" s="2"/>
      <c r="Q61" s="2"/>
      <c r="R61" s="2"/>
      <c r="S61" s="2" t="s">
        <v>3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2" t="str">
        <f t="shared" si="1"/>
        <v/>
      </c>
      <c r="B62" s="2" t="s">
        <v>5</v>
      </c>
      <c r="C62" s="2" t="s">
        <v>12</v>
      </c>
      <c r="D62" s="2" t="s">
        <v>6</v>
      </c>
      <c r="E62" s="2" t="s">
        <v>19</v>
      </c>
      <c r="F62" s="2" t="s">
        <v>25</v>
      </c>
      <c r="G62" s="2" t="s">
        <v>14</v>
      </c>
      <c r="H62" s="2" t="s">
        <v>21</v>
      </c>
      <c r="I62" s="2" t="s">
        <v>4</v>
      </c>
      <c r="J62" s="2" t="s">
        <v>20</v>
      </c>
      <c r="K62" s="2" t="s">
        <v>8</v>
      </c>
      <c r="L62" s="2" t="s">
        <v>15</v>
      </c>
      <c r="M62" s="2" t="s">
        <v>11</v>
      </c>
      <c r="N62" s="2" t="s">
        <v>16</v>
      </c>
      <c r="O62" s="2" t="s">
        <v>17</v>
      </c>
      <c r="P62" s="2" t="s">
        <v>10</v>
      </c>
      <c r="Q62" s="2" t="s">
        <v>23</v>
      </c>
      <c r="R62" s="2" t="s">
        <v>24</v>
      </c>
      <c r="S62" s="2" t="s">
        <v>22</v>
      </c>
      <c r="T62" s="2" t="s">
        <v>13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2" t="str">
        <f t="shared" si="1"/>
        <v/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1</v>
      </c>
      <c r="M63" s="2" t="b">
        <v>1</v>
      </c>
      <c r="N63" s="2" t="b">
        <v>1</v>
      </c>
      <c r="O63" s="2" t="b">
        <v>1</v>
      </c>
      <c r="P63" s="2" t="b">
        <v>1</v>
      </c>
      <c r="Q63" s="2" t="b">
        <v>1</v>
      </c>
      <c r="R63" s="2" t="b">
        <v>1</v>
      </c>
      <c r="S63" s="2" t="b">
        <v>1</v>
      </c>
      <c r="T63" s="2" t="b">
        <v>1</v>
      </c>
      <c r="U63" s="2"/>
      <c r="V63" s="2" t="b">
        <v>0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2" t="str">
        <f t="shared" si="1"/>
        <v>X</v>
      </c>
      <c r="B64" s="2"/>
      <c r="C64" s="2"/>
      <c r="D64" s="2">
        <v>4.0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18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2" t="str">
        <f t="shared" si="1"/>
        <v>M</v>
      </c>
      <c r="B65" s="2"/>
      <c r="C65" s="2"/>
      <c r="D65" s="2"/>
      <c r="E65" s="2"/>
      <c r="F65" s="2"/>
      <c r="G65" s="2"/>
      <c r="H65" s="2"/>
      <c r="I65" s="2"/>
      <c r="J65" s="2"/>
      <c r="K65" s="2">
        <v>4.0</v>
      </c>
      <c r="L65" s="2">
        <v>4.0</v>
      </c>
      <c r="M65" s="2"/>
      <c r="N65" s="2"/>
      <c r="O65" s="2"/>
      <c r="P65" s="2"/>
      <c r="Q65" s="2"/>
      <c r="R65" s="2"/>
      <c r="S65" s="2"/>
      <c r="T65" s="2"/>
      <c r="U65" s="2" t="s">
        <v>26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2" t="str">
        <f t="shared" si="1"/>
        <v>C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4.0</v>
      </c>
      <c r="Q66" s="2"/>
      <c r="R66" s="2"/>
      <c r="S66" s="2"/>
      <c r="T66" s="2"/>
      <c r="U66" s="2" t="s">
        <v>27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2" t="str">
        <f t="shared" si="1"/>
        <v>E</v>
      </c>
      <c r="B67" s="2"/>
      <c r="C67" s="2">
        <v>4.0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4.0</v>
      </c>
      <c r="Q67" s="2"/>
      <c r="R67" s="2"/>
      <c r="S67" s="2"/>
      <c r="T67" s="2"/>
      <c r="U67" s="2" t="s">
        <v>28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2" t="str">
        <f t="shared" si="1"/>
        <v>B</v>
      </c>
      <c r="B68" s="2"/>
      <c r="C68" s="2"/>
      <c r="D68" s="2"/>
      <c r="E68" s="2"/>
      <c r="F68" s="2"/>
      <c r="G68" s="2">
        <v>4.0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29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2" t="str">
        <f t="shared" si="1"/>
        <v>P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>
        <v>4.0</v>
      </c>
      <c r="S69" s="2"/>
      <c r="T69" s="2"/>
      <c r="U69" s="2" t="s">
        <v>30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2" t="str">
        <f t="shared" si="1"/>
        <v>X</v>
      </c>
      <c r="B70" s="2"/>
      <c r="C70" s="2"/>
      <c r="D70" s="2"/>
      <c r="E70" s="2"/>
      <c r="F70" s="2"/>
      <c r="G70" s="2"/>
      <c r="H70" s="2"/>
      <c r="I70" s="2"/>
      <c r="J70" s="2">
        <v>4.0</v>
      </c>
      <c r="K70" s="2"/>
      <c r="L70" s="2"/>
      <c r="M70" s="2"/>
      <c r="N70" s="2"/>
      <c r="O70" s="2"/>
      <c r="P70" s="2"/>
      <c r="Q70" s="2"/>
      <c r="R70" s="2"/>
      <c r="S70" s="2">
        <v>4.0</v>
      </c>
      <c r="T70" s="2"/>
      <c r="U70" s="2" t="s">
        <v>18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2" t="str">
        <f t="shared" si="1"/>
        <v>M</v>
      </c>
      <c r="B71" s="2">
        <v>4.0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4.0</v>
      </c>
      <c r="U71" s="2" t="s">
        <v>26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2" t="str">
        <f t="shared" si="1"/>
        <v>C</v>
      </c>
      <c r="B72" s="2"/>
      <c r="C72" s="2"/>
      <c r="D72" s="2"/>
      <c r="E72" s="2"/>
      <c r="F72" s="2"/>
      <c r="G72" s="2"/>
      <c r="H72" s="2"/>
      <c r="I72" s="2"/>
      <c r="J72" s="2">
        <v>4.0</v>
      </c>
      <c r="K72" s="2"/>
      <c r="L72" s="2"/>
      <c r="M72" s="2">
        <v>4.0</v>
      </c>
      <c r="N72" s="2"/>
      <c r="O72" s="2"/>
      <c r="P72" s="2"/>
      <c r="Q72" s="2"/>
      <c r="R72" s="2"/>
      <c r="S72" s="2"/>
      <c r="T72" s="2"/>
      <c r="U72" s="2" t="s">
        <v>27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2" t="str">
        <f t="shared" si="1"/>
        <v>E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>
        <v>4.0</v>
      </c>
      <c r="M73" s="2"/>
      <c r="N73" s="2">
        <v>4.0</v>
      </c>
      <c r="O73" s="2"/>
      <c r="P73" s="2"/>
      <c r="Q73" s="2"/>
      <c r="R73" s="2"/>
      <c r="S73" s="2"/>
      <c r="T73" s="2"/>
      <c r="U73" s="2" t="s">
        <v>28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2" t="str">
        <f t="shared" si="1"/>
        <v>B</v>
      </c>
      <c r="B74" s="2"/>
      <c r="C74" s="2"/>
      <c r="D74" s="2"/>
      <c r="E74" s="2"/>
      <c r="F74" s="2"/>
      <c r="G74" s="2">
        <v>4.0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29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2" t="str">
        <f t="shared" si="1"/>
        <v>P</v>
      </c>
      <c r="B75" s="2"/>
      <c r="C75" s="2"/>
      <c r="D75" s="2"/>
      <c r="E75" s="2"/>
      <c r="F75" s="2"/>
      <c r="G75" s="2"/>
      <c r="H75" s="2"/>
      <c r="I75" s="2"/>
      <c r="J75" s="2">
        <v>4.0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30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2" t="str">
        <f t="shared" si="1"/>
        <v/>
      </c>
      <c r="B76" s="2" t="b">
        <v>1</v>
      </c>
      <c r="C76" s="2" t="b">
        <v>1</v>
      </c>
      <c r="D76" s="2" t="b">
        <v>1</v>
      </c>
      <c r="E76" s="2" t="b">
        <v>1</v>
      </c>
      <c r="F76" s="2" t="b">
        <v>1</v>
      </c>
      <c r="G76" s="2" t="b">
        <v>1</v>
      </c>
      <c r="H76" s="2" t="b">
        <v>1</v>
      </c>
      <c r="I76" s="2" t="b">
        <v>1</v>
      </c>
      <c r="J76" s="2" t="b">
        <v>1</v>
      </c>
      <c r="K76" s="2" t="b">
        <v>1</v>
      </c>
      <c r="L76" s="2" t="b">
        <v>1</v>
      </c>
      <c r="M76" s="2" t="b">
        <v>1</v>
      </c>
      <c r="N76" s="2" t="b">
        <v>1</v>
      </c>
      <c r="O76" s="2" t="b">
        <v>1</v>
      </c>
      <c r="P76" s="2" t="b">
        <v>1</v>
      </c>
      <c r="Q76" s="2" t="b">
        <v>1</v>
      </c>
      <c r="R76" s="2" t="b">
        <v>1</v>
      </c>
      <c r="S76" s="2" t="b">
        <v>1</v>
      </c>
      <c r="T76" s="2" t="b">
        <v>1</v>
      </c>
      <c r="U76" s="2"/>
      <c r="V76" s="2" t="b">
        <v>0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2" t="str">
        <f t="shared" si="1"/>
        <v>X</v>
      </c>
      <c r="B77" s="2">
        <v>4.0</v>
      </c>
      <c r="C77" s="2"/>
      <c r="D77" s="2"/>
      <c r="E77" s="2">
        <v>-4.0</v>
      </c>
      <c r="F77" s="2"/>
      <c r="G77" s="2"/>
      <c r="H77" s="2"/>
      <c r="I77" s="2"/>
      <c r="J77" s="2"/>
      <c r="K77" s="2"/>
      <c r="L77" s="2"/>
      <c r="M77" s="2">
        <v>-4.0</v>
      </c>
      <c r="N77" s="2"/>
      <c r="O77" s="2"/>
      <c r="P77" s="2"/>
      <c r="Q77" s="2">
        <v>4.0</v>
      </c>
      <c r="R77" s="2"/>
      <c r="S77" s="2"/>
      <c r="T77" s="2"/>
      <c r="U77" s="2" t="s">
        <v>18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2" t="str">
        <f t="shared" si="1"/>
        <v>M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26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2" t="str">
        <f t="shared" si="1"/>
        <v>C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27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2" t="str">
        <f t="shared" si="1"/>
        <v>E</v>
      </c>
      <c r="B80" s="2">
        <v>4.0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28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2" t="str">
        <f t="shared" si="1"/>
        <v>B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>
        <v>4.0</v>
      </c>
      <c r="O81" s="2"/>
      <c r="P81" s="2"/>
      <c r="Q81" s="2"/>
      <c r="R81" s="2"/>
      <c r="S81" s="2"/>
      <c r="T81" s="2"/>
      <c r="U81" s="2" t="s">
        <v>29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2" t="str">
        <f t="shared" si="1"/>
        <v>P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>
        <v>4.0</v>
      </c>
      <c r="N82" s="2"/>
      <c r="O82" s="2"/>
      <c r="P82" s="2">
        <v>4.0</v>
      </c>
      <c r="Q82" s="2"/>
      <c r="R82" s="2"/>
      <c r="S82" s="2"/>
      <c r="T82" s="2"/>
      <c r="U82" s="2" t="s">
        <v>30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2" t="str">
        <f t="shared" si="1"/>
        <v>X</v>
      </c>
      <c r="B83" s="2"/>
      <c r="C83" s="2">
        <v>4.0</v>
      </c>
      <c r="D83" s="2"/>
      <c r="E83" s="2"/>
      <c r="F83" s="2"/>
      <c r="G83" s="2"/>
      <c r="H83" s="2"/>
      <c r="I83" s="2"/>
      <c r="J83" s="2">
        <v>4.0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18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2" t="str">
        <f t="shared" si="1"/>
        <v>M</v>
      </c>
      <c r="B84" s="2">
        <v>4.0</v>
      </c>
      <c r="C84" s="2">
        <v>4.0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26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2" t="str">
        <f t="shared" si="1"/>
        <v>C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>
        <v>-4.0</v>
      </c>
      <c r="N85" s="2"/>
      <c r="O85" s="2"/>
      <c r="P85" s="2"/>
      <c r="Q85" s="2"/>
      <c r="R85" s="2"/>
      <c r="S85" s="2"/>
      <c r="T85" s="2"/>
      <c r="U85" s="2" t="s">
        <v>27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2" t="str">
        <f t="shared" si="1"/>
        <v>E</v>
      </c>
      <c r="B86" s="2"/>
      <c r="C86" s="2"/>
      <c r="D86" s="2"/>
      <c r="E86" s="2"/>
      <c r="F86" s="2"/>
      <c r="G86" s="2"/>
      <c r="H86" s="2"/>
      <c r="I86" s="2">
        <v>4.0</v>
      </c>
      <c r="J86" s="2"/>
      <c r="K86" s="2"/>
      <c r="L86" s="2"/>
      <c r="M86" s="2"/>
      <c r="N86" s="2"/>
      <c r="O86" s="2"/>
      <c r="P86" s="2"/>
      <c r="Q86" s="2"/>
      <c r="R86" s="2">
        <v>4.0</v>
      </c>
      <c r="S86" s="2"/>
      <c r="T86" s="2"/>
      <c r="U86" s="2" t="s">
        <v>28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2" t="str">
        <f t="shared" si="1"/>
        <v>B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29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2" t="str">
        <f t="shared" si="1"/>
        <v>P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>
        <v>4.0</v>
      </c>
      <c r="N88" s="2"/>
      <c r="O88" s="2"/>
      <c r="P88" s="2"/>
      <c r="Q88" s="2"/>
      <c r="R88" s="2"/>
      <c r="S88" s="2"/>
      <c r="T88" s="2"/>
      <c r="U88" s="2" t="s">
        <v>30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2" t="str">
        <f t="shared" si="1"/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2" t="str">
        <f t="shared" si="1"/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2" t="str">
        <f t="shared" si="1"/>
        <v/>
      </c>
      <c r="B91" s="2" t="str">
        <f t="array" ref="B91:AM120">transpose(sort(transpose(All!A91:AL120),2,true))</f>
        <v/>
      </c>
      <c r="C91" s="2"/>
      <c r="D91" s="2"/>
      <c r="E91" s="2"/>
      <c r="F91" s="2"/>
      <c r="G91" s="2"/>
      <c r="H91" s="2"/>
      <c r="I91" s="2" t="s">
        <v>0</v>
      </c>
      <c r="J91" s="2"/>
      <c r="K91" s="2"/>
      <c r="L91" s="2"/>
      <c r="M91" s="2" t="s">
        <v>1</v>
      </c>
      <c r="N91" s="2" t="s">
        <v>2</v>
      </c>
      <c r="O91" s="2"/>
      <c r="P91" s="2"/>
      <c r="Q91" s="2"/>
      <c r="R91" s="2"/>
      <c r="S91" s="2" t="s">
        <v>3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2" t="str">
        <f t="shared" si="1"/>
        <v/>
      </c>
      <c r="B92" s="2" t="s">
        <v>5</v>
      </c>
      <c r="C92" s="2" t="s">
        <v>12</v>
      </c>
      <c r="D92" s="2" t="s">
        <v>6</v>
      </c>
      <c r="E92" s="2" t="s">
        <v>19</v>
      </c>
      <c r="F92" s="2" t="s">
        <v>25</v>
      </c>
      <c r="G92" s="2" t="s">
        <v>14</v>
      </c>
      <c r="H92" s="2" t="s">
        <v>21</v>
      </c>
      <c r="I92" s="2" t="s">
        <v>4</v>
      </c>
      <c r="J92" s="2" t="s">
        <v>20</v>
      </c>
      <c r="K92" s="2" t="s">
        <v>8</v>
      </c>
      <c r="L92" s="2" t="s">
        <v>15</v>
      </c>
      <c r="M92" s="2" t="s">
        <v>11</v>
      </c>
      <c r="N92" s="2" t="s">
        <v>16</v>
      </c>
      <c r="O92" s="2" t="s">
        <v>17</v>
      </c>
      <c r="P92" s="2" t="s">
        <v>10</v>
      </c>
      <c r="Q92" s="2" t="s">
        <v>23</v>
      </c>
      <c r="R92" s="2" t="s">
        <v>24</v>
      </c>
      <c r="S92" s="2" t="s">
        <v>22</v>
      </c>
      <c r="T92" s="2" t="s">
        <v>13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2" t="str">
        <f t="shared" si="1"/>
        <v/>
      </c>
      <c r="B93" s="2" t="b">
        <v>1</v>
      </c>
      <c r="C93" s="2" t="b">
        <v>1</v>
      </c>
      <c r="D93" s="2" t="b">
        <v>1</v>
      </c>
      <c r="E93" s="2" t="b">
        <v>1</v>
      </c>
      <c r="F93" s="2" t="b">
        <v>1</v>
      </c>
      <c r="G93" s="2" t="b">
        <v>1</v>
      </c>
      <c r="H93" s="2" t="b">
        <v>1</v>
      </c>
      <c r="I93" s="2" t="b">
        <v>1</v>
      </c>
      <c r="J93" s="2" t="b">
        <v>1</v>
      </c>
      <c r="K93" s="2" t="b">
        <v>1</v>
      </c>
      <c r="L93" s="2" t="b">
        <v>1</v>
      </c>
      <c r="M93" s="2" t="b">
        <v>1</v>
      </c>
      <c r="N93" s="2" t="b">
        <v>1</v>
      </c>
      <c r="O93" s="2" t="b">
        <v>1</v>
      </c>
      <c r="P93" s="2" t="b">
        <v>1</v>
      </c>
      <c r="Q93" s="2" t="b">
        <v>1</v>
      </c>
      <c r="R93" s="2" t="b">
        <v>1</v>
      </c>
      <c r="S93" s="2" t="b">
        <v>1</v>
      </c>
      <c r="T93" s="2" t="b">
        <v>1</v>
      </c>
      <c r="U93" s="2"/>
      <c r="V93" s="2" t="b">
        <v>1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2" t="str">
        <f t="shared" si="1"/>
        <v>X</v>
      </c>
      <c r="B94" s="2"/>
      <c r="C94" s="2"/>
      <c r="D94" s="2"/>
      <c r="E94" s="2"/>
      <c r="F94" s="2"/>
      <c r="G94" s="2"/>
      <c r="H94" s="2"/>
      <c r="I94" s="2"/>
      <c r="J94" s="2">
        <v>-4.0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18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2" t="str">
        <f t="shared" si="1"/>
        <v>M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26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2" t="str">
        <f t="shared" si="1"/>
        <v>C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>
        <v>4.0</v>
      </c>
      <c r="N96" s="2"/>
      <c r="O96" s="2"/>
      <c r="P96" s="2"/>
      <c r="Q96" s="2"/>
      <c r="R96" s="2"/>
      <c r="S96" s="2"/>
      <c r="T96" s="2"/>
      <c r="U96" s="2" t="s">
        <v>27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2" t="str">
        <f t="shared" si="1"/>
        <v>E</v>
      </c>
      <c r="B97" s="2"/>
      <c r="C97" s="2">
        <v>4.0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>
        <v>4.0</v>
      </c>
      <c r="O97" s="2"/>
      <c r="P97" s="2"/>
      <c r="Q97" s="2"/>
      <c r="R97" s="2"/>
      <c r="S97" s="2"/>
      <c r="T97" s="2"/>
      <c r="U97" s="2" t="s">
        <v>28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2" t="str">
        <f t="shared" si="1"/>
        <v>B</v>
      </c>
      <c r="B98" s="2"/>
      <c r="C98" s="2"/>
      <c r="D98" s="2"/>
      <c r="E98" s="2"/>
      <c r="F98" s="2"/>
      <c r="G98" s="2">
        <v>4.0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>
        <v>4.0</v>
      </c>
      <c r="S98" s="2"/>
      <c r="T98" s="2"/>
      <c r="U98" s="2" t="s">
        <v>29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2" t="str">
        <f t="shared" si="1"/>
        <v>P</v>
      </c>
      <c r="B99" s="2"/>
      <c r="C99" s="2"/>
      <c r="D99" s="2"/>
      <c r="E99" s="2"/>
      <c r="F99" s="2"/>
      <c r="G99" s="2"/>
      <c r="H99" s="2"/>
      <c r="I99" s="2">
        <v>4.0</v>
      </c>
      <c r="J99" s="2"/>
      <c r="K99" s="2"/>
      <c r="L99" s="2"/>
      <c r="M99" s="2"/>
      <c r="N99" s="2"/>
      <c r="O99" s="2"/>
      <c r="P99" s="2"/>
      <c r="Q99" s="2"/>
      <c r="R99" s="2"/>
      <c r="S99" s="2">
        <v>4.0</v>
      </c>
      <c r="T99" s="2"/>
      <c r="U99" s="2" t="s">
        <v>30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2" t="str">
        <f t="shared" si="1"/>
        <v>X</v>
      </c>
      <c r="B100" s="2"/>
      <c r="C100" s="2"/>
      <c r="D100" s="2"/>
      <c r="E100" s="2"/>
      <c r="F100" s="2"/>
      <c r="G100" s="2"/>
      <c r="H100" s="2"/>
      <c r="I100" s="2"/>
      <c r="J100" s="2">
        <v>4.0</v>
      </c>
      <c r="K100" s="2"/>
      <c r="L100" s="2"/>
      <c r="M100" s="2"/>
      <c r="N100" s="2"/>
      <c r="O100" s="2"/>
      <c r="P100" s="2"/>
      <c r="Q100" s="2">
        <v>-4.0</v>
      </c>
      <c r="R100" s="2"/>
      <c r="S100" s="2"/>
      <c r="T100" s="2">
        <v>4.0</v>
      </c>
      <c r="U100" s="2" t="s">
        <v>18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2" t="str">
        <f t="shared" si="1"/>
        <v>M</v>
      </c>
      <c r="B101" s="2"/>
      <c r="C101" s="2">
        <v>4.0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>
        <v>4.0</v>
      </c>
      <c r="R101" s="2"/>
      <c r="S101" s="2"/>
      <c r="T101" s="2"/>
      <c r="U101" s="2" t="s">
        <v>26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2" t="str">
        <f t="shared" si="1"/>
        <v>C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4.0</v>
      </c>
      <c r="Q102" s="2"/>
      <c r="R102" s="2"/>
      <c r="S102" s="2"/>
      <c r="T102" s="2"/>
      <c r="U102" s="2" t="s">
        <v>27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2" t="str">
        <f t="shared" si="1"/>
        <v>E</v>
      </c>
      <c r="B103" s="2"/>
      <c r="C103" s="2"/>
      <c r="D103" s="2"/>
      <c r="E103" s="2"/>
      <c r="F103" s="2"/>
      <c r="G103" s="2"/>
      <c r="H103" s="2">
        <v>4.0</v>
      </c>
      <c r="I103" s="2"/>
      <c r="J103" s="2"/>
      <c r="K103" s="2"/>
      <c r="L103" s="2"/>
      <c r="M103" s="2">
        <v>4.0</v>
      </c>
      <c r="N103" s="2"/>
      <c r="O103" s="2"/>
      <c r="P103" s="2"/>
      <c r="Q103" s="2"/>
      <c r="R103" s="2"/>
      <c r="S103" s="2"/>
      <c r="T103" s="2"/>
      <c r="U103" s="2" t="s">
        <v>28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2" t="str">
        <f t="shared" si="1"/>
        <v>B</v>
      </c>
      <c r="B104" s="2"/>
      <c r="C104" s="2"/>
      <c r="D104" s="2"/>
      <c r="E104" s="2"/>
      <c r="F104" s="2"/>
      <c r="G104" s="2">
        <v>4.0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29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2" t="str">
        <f t="shared" si="1"/>
        <v>P</v>
      </c>
      <c r="B105" s="2"/>
      <c r="C105" s="2"/>
      <c r="D105" s="2">
        <v>4.0</v>
      </c>
      <c r="E105" s="2"/>
      <c r="F105" s="2"/>
      <c r="G105" s="2"/>
      <c r="H105" s="2">
        <v>4.0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30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2" t="str">
        <f t="shared" si="1"/>
        <v/>
      </c>
      <c r="B106" s="2" t="b">
        <v>1</v>
      </c>
      <c r="C106" s="2" t="b">
        <v>1</v>
      </c>
      <c r="D106" s="2" t="b">
        <v>1</v>
      </c>
      <c r="E106" s="2" t="b">
        <v>1</v>
      </c>
      <c r="F106" s="2" t="b">
        <v>1</v>
      </c>
      <c r="G106" s="2" t="b">
        <v>1</v>
      </c>
      <c r="H106" s="2" t="b">
        <v>1</v>
      </c>
      <c r="I106" s="2" t="b">
        <v>1</v>
      </c>
      <c r="J106" s="2" t="b">
        <v>1</v>
      </c>
      <c r="K106" s="2" t="b">
        <v>1</v>
      </c>
      <c r="L106" s="2" t="b">
        <v>1</v>
      </c>
      <c r="M106" s="2" t="b">
        <v>1</v>
      </c>
      <c r="N106" s="2" t="b">
        <v>1</v>
      </c>
      <c r="O106" s="2" t="b">
        <v>1</v>
      </c>
      <c r="P106" s="2" t="b">
        <v>1</v>
      </c>
      <c r="Q106" s="2" t="b">
        <v>1</v>
      </c>
      <c r="R106" s="2" t="b">
        <v>1</v>
      </c>
      <c r="S106" s="2" t="b">
        <v>1</v>
      </c>
      <c r="T106" s="2" t="b">
        <v>1</v>
      </c>
      <c r="U106" s="2"/>
      <c r="V106" s="2" t="b">
        <v>1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2" t="str">
        <f t="shared" si="1"/>
        <v>X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>
        <v>4.0</v>
      </c>
      <c r="N107" s="2"/>
      <c r="O107" s="2"/>
      <c r="P107" s="2"/>
      <c r="Q107" s="2"/>
      <c r="R107" s="2"/>
      <c r="S107" s="2">
        <v>4.0</v>
      </c>
      <c r="T107" s="2"/>
      <c r="U107" s="2" t="s">
        <v>18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2" t="str">
        <f t="shared" si="1"/>
        <v>M</v>
      </c>
      <c r="B108" s="2">
        <v>4.0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26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2" t="str">
        <f t="shared" si="1"/>
        <v>C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>
        <v>4.0</v>
      </c>
      <c r="N109" s="2"/>
      <c r="O109" s="2"/>
      <c r="P109" s="2"/>
      <c r="Q109" s="2"/>
      <c r="R109" s="2"/>
      <c r="S109" s="2"/>
      <c r="T109" s="2"/>
      <c r="U109" s="2" t="s">
        <v>27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2" t="str">
        <f t="shared" si="1"/>
        <v>E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28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2" t="str">
        <f t="shared" si="1"/>
        <v>B</v>
      </c>
      <c r="B111" s="2">
        <v>4.0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>
        <v>4.0</v>
      </c>
      <c r="T111" s="2"/>
      <c r="U111" s="2" t="s">
        <v>29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2" t="str">
        <f t="shared" si="1"/>
        <v>P</v>
      </c>
      <c r="B112" s="2"/>
      <c r="C112" s="2"/>
      <c r="D112" s="2">
        <v>4.0</v>
      </c>
      <c r="E112" s="2"/>
      <c r="F112" s="2"/>
      <c r="G112" s="2"/>
      <c r="H112" s="2">
        <v>4.0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30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2" t="str">
        <f t="shared" si="1"/>
        <v>X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>
        <v>-4.0</v>
      </c>
      <c r="N113" s="2"/>
      <c r="O113" s="2"/>
      <c r="P113" s="2"/>
      <c r="Q113" s="2"/>
      <c r="R113" s="2"/>
      <c r="S113" s="2"/>
      <c r="T113" s="2"/>
      <c r="U113" s="2" t="s">
        <v>18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2" t="str">
        <f t="shared" si="1"/>
        <v>M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26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2" t="str">
        <f t="shared" si="1"/>
        <v>C</v>
      </c>
      <c r="B115" s="2">
        <v>4.0</v>
      </c>
      <c r="C115" s="2"/>
      <c r="D115" s="2"/>
      <c r="E115" s="2"/>
      <c r="F115" s="2"/>
      <c r="G115" s="2"/>
      <c r="H115" s="2">
        <v>4.0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27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2" t="str">
        <f t="shared" si="1"/>
        <v>E</v>
      </c>
      <c r="B116" s="2"/>
      <c r="C116" s="2">
        <v>4.0</v>
      </c>
      <c r="D116" s="2"/>
      <c r="E116" s="2"/>
      <c r="F116" s="2">
        <v>-4.0</v>
      </c>
      <c r="G116" s="2"/>
      <c r="H116" s="2"/>
      <c r="I116" s="2"/>
      <c r="J116" s="2"/>
      <c r="K116" s="2"/>
      <c r="L116" s="2"/>
      <c r="M116" s="2"/>
      <c r="N116" s="2">
        <v>-4.0</v>
      </c>
      <c r="O116" s="2"/>
      <c r="P116" s="2"/>
      <c r="Q116" s="2"/>
      <c r="R116" s="2"/>
      <c r="S116" s="2"/>
      <c r="T116" s="2"/>
      <c r="U116" s="2" t="s">
        <v>28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2" t="str">
        <f t="shared" si="1"/>
        <v>B</v>
      </c>
      <c r="B117" s="2"/>
      <c r="C117" s="2"/>
      <c r="D117" s="2"/>
      <c r="E117" s="2"/>
      <c r="F117" s="2"/>
      <c r="G117" s="2">
        <v>4.0</v>
      </c>
      <c r="H117" s="2">
        <v>4.0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29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2" t="str">
        <f t="shared" si="1"/>
        <v>P</v>
      </c>
      <c r="B118" s="2"/>
      <c r="C118" s="2"/>
      <c r="D118" s="2"/>
      <c r="E118" s="2"/>
      <c r="F118" s="2"/>
      <c r="G118" s="2"/>
      <c r="H118" s="2"/>
      <c r="I118" s="2"/>
      <c r="J118" s="2">
        <v>-4.0</v>
      </c>
      <c r="K118" s="2"/>
      <c r="L118" s="2"/>
      <c r="M118" s="2">
        <v>4.0</v>
      </c>
      <c r="N118" s="2"/>
      <c r="O118" s="2"/>
      <c r="P118" s="2"/>
      <c r="Q118" s="2"/>
      <c r="R118" s="2"/>
      <c r="S118" s="2">
        <v>4.0</v>
      </c>
      <c r="T118" s="2"/>
      <c r="U118" s="2" t="s">
        <v>30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2" t="str">
        <f t="shared" si="1"/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2" t="str">
        <f t="shared" si="1"/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 t="str">
        <f t="shared" si="1"/>
        <v/>
      </c>
      <c r="B121" s="2" t="str">
        <f t="array" ref="B121:AM150">transpose(sort(transpose(All!A121:AL150),2,true))</f>
        <v/>
      </c>
      <c r="C121" s="2"/>
      <c r="D121" s="2"/>
      <c r="E121" s="2"/>
      <c r="F121" s="2"/>
      <c r="G121" s="2"/>
      <c r="H121" s="2"/>
      <c r="I121" s="2" t="s">
        <v>0</v>
      </c>
      <c r="J121" s="2"/>
      <c r="K121" s="2"/>
      <c r="L121" s="2"/>
      <c r="M121" s="2" t="s">
        <v>1</v>
      </c>
      <c r="N121" s="2" t="s">
        <v>2</v>
      </c>
      <c r="O121" s="2"/>
      <c r="P121" s="2"/>
      <c r="Q121" s="2"/>
      <c r="R121" s="2"/>
      <c r="S121" s="2" t="s">
        <v>3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2" t="str">
        <f t="shared" si="1"/>
        <v/>
      </c>
      <c r="B122" s="2" t="s">
        <v>5</v>
      </c>
      <c r="C122" s="2" t="s">
        <v>12</v>
      </c>
      <c r="D122" s="2" t="s">
        <v>6</v>
      </c>
      <c r="E122" s="2" t="s">
        <v>19</v>
      </c>
      <c r="F122" s="2" t="s">
        <v>25</v>
      </c>
      <c r="G122" s="2" t="s">
        <v>14</v>
      </c>
      <c r="H122" s="2" t="s">
        <v>21</v>
      </c>
      <c r="I122" s="2" t="s">
        <v>4</v>
      </c>
      <c r="J122" s="2" t="s">
        <v>20</v>
      </c>
      <c r="K122" s="2" t="s">
        <v>8</v>
      </c>
      <c r="L122" s="2" t="s">
        <v>15</v>
      </c>
      <c r="M122" s="2" t="s">
        <v>11</v>
      </c>
      <c r="N122" s="2" t="s">
        <v>16</v>
      </c>
      <c r="O122" s="2" t="s">
        <v>17</v>
      </c>
      <c r="P122" s="2" t="s">
        <v>10</v>
      </c>
      <c r="Q122" s="2" t="s">
        <v>23</v>
      </c>
      <c r="R122" s="2" t="s">
        <v>24</v>
      </c>
      <c r="S122" s="2" t="s">
        <v>22</v>
      </c>
      <c r="T122" s="2" t="s">
        <v>13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2" t="str">
        <f t="shared" si="1"/>
        <v/>
      </c>
      <c r="B123" s="2" t="b">
        <v>1</v>
      </c>
      <c r="C123" s="2" t="b">
        <v>1</v>
      </c>
      <c r="D123" s="2" t="b">
        <v>1</v>
      </c>
      <c r="E123" s="2" t="b">
        <v>1</v>
      </c>
      <c r="F123" s="2" t="b">
        <v>1</v>
      </c>
      <c r="G123" s="2" t="b">
        <v>1</v>
      </c>
      <c r="H123" s="2" t="b">
        <v>1</v>
      </c>
      <c r="I123" s="2" t="b">
        <v>1</v>
      </c>
      <c r="J123" s="2" t="b">
        <v>1</v>
      </c>
      <c r="K123" s="2" t="b">
        <v>1</v>
      </c>
      <c r="L123" s="2" t="b">
        <v>1</v>
      </c>
      <c r="M123" s="2" t="b">
        <v>1</v>
      </c>
      <c r="N123" s="2" t="b">
        <v>1</v>
      </c>
      <c r="O123" s="2" t="b">
        <v>1</v>
      </c>
      <c r="P123" s="2" t="b">
        <v>1</v>
      </c>
      <c r="Q123" s="2" t="b">
        <v>1</v>
      </c>
      <c r="R123" s="2" t="b">
        <v>1</v>
      </c>
      <c r="S123" s="2" t="b">
        <v>1</v>
      </c>
      <c r="T123" s="2" t="b">
        <v>1</v>
      </c>
      <c r="U123" s="2"/>
      <c r="V123" s="2" t="b">
        <v>1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2" t="str">
        <f t="shared" si="1"/>
        <v>X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18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2" t="str">
        <f t="shared" si="1"/>
        <v>M</v>
      </c>
      <c r="B125" s="2">
        <v>4.0</v>
      </c>
      <c r="C125" s="2"/>
      <c r="D125" s="2"/>
      <c r="E125" s="2"/>
      <c r="F125" s="2"/>
      <c r="G125" s="2"/>
      <c r="H125" s="2"/>
      <c r="I125" s="2"/>
      <c r="J125" s="2"/>
      <c r="K125" s="2"/>
      <c r="L125" s="2">
        <v>-4.0</v>
      </c>
      <c r="M125" s="2"/>
      <c r="N125" s="2"/>
      <c r="O125" s="2"/>
      <c r="P125" s="2"/>
      <c r="Q125" s="2"/>
      <c r="R125" s="2"/>
      <c r="S125" s="2"/>
      <c r="T125" s="2"/>
      <c r="U125" s="2" t="s">
        <v>26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2" t="str">
        <f t="shared" si="1"/>
        <v>C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>
        <v>4.0</v>
      </c>
      <c r="N126" s="2"/>
      <c r="O126" s="2"/>
      <c r="P126" s="2"/>
      <c r="Q126" s="2"/>
      <c r="R126" s="2"/>
      <c r="S126" s="2"/>
      <c r="T126" s="2"/>
      <c r="U126" s="2" t="s">
        <v>27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2" t="str">
        <f t="shared" si="1"/>
        <v>E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>
        <v>-4.0</v>
      </c>
      <c r="P127" s="2"/>
      <c r="Q127" s="2"/>
      <c r="R127" s="2"/>
      <c r="S127" s="2">
        <v>-4.0</v>
      </c>
      <c r="T127" s="2"/>
      <c r="U127" s="2" t="s">
        <v>28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2" t="str">
        <f t="shared" si="1"/>
        <v>B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29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2" t="str">
        <f t="shared" si="1"/>
        <v>P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>
        <v>4.0</v>
      </c>
      <c r="N129" s="2"/>
      <c r="O129" s="2"/>
      <c r="P129" s="2"/>
      <c r="Q129" s="2"/>
      <c r="R129" s="2"/>
      <c r="S129" s="2"/>
      <c r="T129" s="2"/>
      <c r="U129" s="2" t="s">
        <v>30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2" t="str">
        <f t="shared" si="1"/>
        <v>X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>
        <v>4.0</v>
      </c>
      <c r="S130" s="2"/>
      <c r="T130" s="2"/>
      <c r="U130" s="2" t="s">
        <v>18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2" t="str">
        <f t="shared" si="1"/>
        <v>M</v>
      </c>
      <c r="B131" s="2"/>
      <c r="C131" s="2">
        <v>-4.0</v>
      </c>
      <c r="D131" s="2"/>
      <c r="E131" s="2"/>
      <c r="F131" s="2"/>
      <c r="G131" s="2"/>
      <c r="H131" s="2"/>
      <c r="I131" s="2"/>
      <c r="J131" s="2">
        <v>-4.0</v>
      </c>
      <c r="K131" s="2"/>
      <c r="L131" s="2"/>
      <c r="M131" s="2"/>
      <c r="N131" s="2"/>
      <c r="O131" s="2"/>
      <c r="P131" s="2"/>
      <c r="Q131" s="2">
        <v>4.0</v>
      </c>
      <c r="R131" s="2"/>
      <c r="S131" s="2"/>
      <c r="T131" s="2"/>
      <c r="U131" s="2" t="s">
        <v>26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2" t="str">
        <f t="shared" si="1"/>
        <v>C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>
        <v>4.0</v>
      </c>
      <c r="N132" s="2"/>
      <c r="O132" s="2"/>
      <c r="P132" s="2"/>
      <c r="Q132" s="2"/>
      <c r="R132" s="2">
        <v>-4.0</v>
      </c>
      <c r="S132" s="2"/>
      <c r="T132" s="2"/>
      <c r="U132" s="2" t="s">
        <v>27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2" t="str">
        <f t="shared" si="1"/>
        <v>E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28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2" t="str">
        <f t="shared" si="1"/>
        <v>B</v>
      </c>
      <c r="B134" s="2"/>
      <c r="C134" s="2"/>
      <c r="D134" s="2"/>
      <c r="E134" s="2"/>
      <c r="F134" s="2"/>
      <c r="G134" s="2"/>
      <c r="H134" s="2">
        <v>4.0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29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2" t="str">
        <f t="shared" si="1"/>
        <v>P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30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2" t="str">
        <f t="shared" si="1"/>
        <v/>
      </c>
      <c r="B136" s="2" t="b">
        <v>1</v>
      </c>
      <c r="C136" s="2" t="b">
        <v>1</v>
      </c>
      <c r="D136" s="2" t="b">
        <v>1</v>
      </c>
      <c r="E136" s="2" t="b">
        <v>1</v>
      </c>
      <c r="F136" s="2" t="b">
        <v>1</v>
      </c>
      <c r="G136" s="2" t="b">
        <v>1</v>
      </c>
      <c r="H136" s="2" t="b">
        <v>1</v>
      </c>
      <c r="I136" s="2" t="b">
        <v>1</v>
      </c>
      <c r="J136" s="2" t="b">
        <v>1</v>
      </c>
      <c r="K136" s="2" t="b">
        <v>1</v>
      </c>
      <c r="L136" s="2" t="b">
        <v>1</v>
      </c>
      <c r="M136" s="2" t="b">
        <v>1</v>
      </c>
      <c r="N136" s="2" t="b">
        <v>1</v>
      </c>
      <c r="O136" s="2" t="b">
        <v>1</v>
      </c>
      <c r="P136" s="2" t="b">
        <v>1</v>
      </c>
      <c r="Q136" s="2" t="b">
        <v>1</v>
      </c>
      <c r="R136" s="2" t="b">
        <v>1</v>
      </c>
      <c r="S136" s="2" t="b">
        <v>1</v>
      </c>
      <c r="T136" s="2" t="b">
        <v>1</v>
      </c>
      <c r="U136" s="2"/>
      <c r="V136" s="2" t="b">
        <v>0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2" t="str">
        <f t="shared" si="1"/>
        <v>X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>
        <v>4.0</v>
      </c>
      <c r="M137" s="2"/>
      <c r="N137" s="2"/>
      <c r="O137" s="2"/>
      <c r="P137" s="2"/>
      <c r="Q137" s="2">
        <v>4.0</v>
      </c>
      <c r="R137" s="2"/>
      <c r="S137" s="2"/>
      <c r="T137" s="2"/>
      <c r="U137" s="2" t="s">
        <v>18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2" t="str">
        <f t="shared" si="1"/>
        <v>M</v>
      </c>
      <c r="B138" s="2"/>
      <c r="C138" s="2"/>
      <c r="D138" s="2"/>
      <c r="E138" s="2"/>
      <c r="F138" s="2"/>
      <c r="G138" s="2"/>
      <c r="H138" s="2"/>
      <c r="I138" s="2"/>
      <c r="J138" s="2"/>
      <c r="K138" s="2">
        <v>4.0</v>
      </c>
      <c r="L138" s="2"/>
      <c r="M138" s="2"/>
      <c r="N138" s="2"/>
      <c r="O138" s="2"/>
      <c r="P138" s="2"/>
      <c r="Q138" s="2"/>
      <c r="R138" s="2"/>
      <c r="S138" s="2"/>
      <c r="T138" s="2">
        <v>4.0</v>
      </c>
      <c r="U138" s="2" t="s">
        <v>26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2" t="str">
        <f t="shared" si="1"/>
        <v>C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27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2" t="str">
        <f t="shared" si="1"/>
        <v>E</v>
      </c>
      <c r="B140" s="2"/>
      <c r="C140" s="2">
        <v>-4.0</v>
      </c>
      <c r="D140" s="2"/>
      <c r="E140" s="2">
        <v>4.0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>
        <v>4.0</v>
      </c>
      <c r="Q140" s="2"/>
      <c r="R140" s="2"/>
      <c r="S140" s="2"/>
      <c r="T140" s="2"/>
      <c r="U140" s="2" t="s">
        <v>28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2" t="str">
        <f t="shared" si="1"/>
        <v>B</v>
      </c>
      <c r="B141" s="2"/>
      <c r="C141" s="2"/>
      <c r="D141" s="2"/>
      <c r="E141" s="2"/>
      <c r="F141" s="2"/>
      <c r="G141" s="2">
        <v>4.0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29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2" t="str">
        <f t="shared" si="1"/>
        <v>P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30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2" t="str">
        <f t="shared" si="1"/>
        <v>X</v>
      </c>
      <c r="B143" s="2"/>
      <c r="C143" s="2"/>
      <c r="D143" s="2"/>
      <c r="E143" s="2"/>
      <c r="F143" s="2"/>
      <c r="G143" s="2"/>
      <c r="H143" s="2"/>
      <c r="I143" s="2"/>
      <c r="J143" s="2">
        <v>-4.0</v>
      </c>
      <c r="K143" s="2"/>
      <c r="L143" s="2">
        <v>4.0</v>
      </c>
      <c r="M143" s="2"/>
      <c r="N143" s="2"/>
      <c r="O143" s="2"/>
      <c r="P143" s="2"/>
      <c r="Q143" s="2"/>
      <c r="R143" s="2"/>
      <c r="S143" s="2">
        <v>4.0</v>
      </c>
      <c r="T143" s="2"/>
      <c r="U143" s="2" t="s">
        <v>18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2" t="str">
        <f t="shared" si="1"/>
        <v>M</v>
      </c>
      <c r="B144" s="2">
        <v>4.0</v>
      </c>
      <c r="C144" s="2"/>
      <c r="D144" s="2"/>
      <c r="E144" s="2"/>
      <c r="F144" s="2"/>
      <c r="G144" s="2"/>
      <c r="H144" s="2">
        <v>4.0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26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2" t="str">
        <f t="shared" si="1"/>
        <v>C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>
        <v>4.0</v>
      </c>
      <c r="N145" s="2"/>
      <c r="O145" s="2"/>
      <c r="P145" s="2"/>
      <c r="Q145" s="2"/>
      <c r="R145" s="2"/>
      <c r="S145" s="2"/>
      <c r="T145" s="2"/>
      <c r="U145" s="2" t="s">
        <v>27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" t="str">
        <f t="shared" si="1"/>
        <v>E</v>
      </c>
      <c r="B146" s="2"/>
      <c r="C146" s="2"/>
      <c r="D146" s="2">
        <v>4.0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28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2" t="str">
        <f t="shared" si="1"/>
        <v>B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29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2" t="str">
        <f t="shared" si="1"/>
        <v>P</v>
      </c>
      <c r="B148" s="2"/>
      <c r="C148" s="2"/>
      <c r="D148" s="2">
        <v>4.0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>
        <v>4.0</v>
      </c>
      <c r="U148" s="2" t="s">
        <v>30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2" t="str">
        <f t="shared" si="1"/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2" t="str">
        <f t="shared" si="1"/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 t="str">
        <f t="shared" si="1"/>
        <v/>
      </c>
      <c r="B151" s="2" t="str">
        <f t="array" ref="B151:AM180">transpose(sort(transpose(All!A151:AL180),2,true))</f>
        <v/>
      </c>
      <c r="C151" s="2"/>
      <c r="D151" s="2"/>
      <c r="E151" s="2"/>
      <c r="F151" s="2"/>
      <c r="G151" s="2"/>
      <c r="H151" s="2"/>
      <c r="I151" s="2" t="s">
        <v>0</v>
      </c>
      <c r="J151" s="2"/>
      <c r="K151" s="2"/>
      <c r="L151" s="2"/>
      <c r="M151" s="2" t="s">
        <v>1</v>
      </c>
      <c r="N151" s="2" t="s">
        <v>2</v>
      </c>
      <c r="O151" s="2"/>
      <c r="P151" s="2"/>
      <c r="Q151" s="2"/>
      <c r="R151" s="2"/>
      <c r="S151" s="2" t="s">
        <v>3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 t="str">
        <f t="shared" si="1"/>
        <v/>
      </c>
      <c r="B152" s="2" t="s">
        <v>5</v>
      </c>
      <c r="C152" s="2" t="s">
        <v>12</v>
      </c>
      <c r="D152" s="2" t="s">
        <v>6</v>
      </c>
      <c r="E152" s="2" t="s">
        <v>19</v>
      </c>
      <c r="F152" s="2" t="s">
        <v>25</v>
      </c>
      <c r="G152" s="2" t="s">
        <v>14</v>
      </c>
      <c r="H152" s="2" t="s">
        <v>21</v>
      </c>
      <c r="I152" s="2" t="s">
        <v>4</v>
      </c>
      <c r="J152" s="2" t="s">
        <v>20</v>
      </c>
      <c r="K152" s="2" t="s">
        <v>8</v>
      </c>
      <c r="L152" s="2" t="s">
        <v>15</v>
      </c>
      <c r="M152" s="2" t="s">
        <v>11</v>
      </c>
      <c r="N152" s="2" t="s">
        <v>16</v>
      </c>
      <c r="O152" s="2" t="s">
        <v>17</v>
      </c>
      <c r="P152" s="2" t="s">
        <v>10</v>
      </c>
      <c r="Q152" s="2" t="s">
        <v>23</v>
      </c>
      <c r="R152" s="2" t="s">
        <v>24</v>
      </c>
      <c r="S152" s="2" t="s">
        <v>22</v>
      </c>
      <c r="T152" s="2" t="s">
        <v>13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 t="str">
        <f t="shared" si="1"/>
        <v/>
      </c>
      <c r="B153" s="2" t="b">
        <v>1</v>
      </c>
      <c r="C153" s="2" t="b">
        <v>1</v>
      </c>
      <c r="D153" s="2" t="b">
        <v>1</v>
      </c>
      <c r="E153" s="2" t="b">
        <v>1</v>
      </c>
      <c r="F153" s="2" t="b">
        <v>1</v>
      </c>
      <c r="G153" s="2" t="b">
        <v>1</v>
      </c>
      <c r="H153" s="2" t="b">
        <v>1</v>
      </c>
      <c r="I153" s="2" t="b">
        <v>1</v>
      </c>
      <c r="J153" s="2" t="b">
        <v>1</v>
      </c>
      <c r="K153" s="2" t="b">
        <v>1</v>
      </c>
      <c r="L153" s="2" t="b">
        <v>1</v>
      </c>
      <c r="M153" s="2" t="b">
        <v>1</v>
      </c>
      <c r="N153" s="2" t="b">
        <v>1</v>
      </c>
      <c r="O153" s="2" t="b">
        <v>1</v>
      </c>
      <c r="P153" s="2" t="b">
        <v>1</v>
      </c>
      <c r="Q153" s="2" t="b">
        <v>1</v>
      </c>
      <c r="R153" s="2" t="b">
        <v>1</v>
      </c>
      <c r="S153" s="2" t="b">
        <v>1</v>
      </c>
      <c r="T153" s="2" t="b">
        <v>1</v>
      </c>
      <c r="U153" s="2"/>
      <c r="V153" s="2" t="b">
        <v>0</v>
      </c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 t="str">
        <f t="shared" si="1"/>
        <v>X</v>
      </c>
      <c r="B154" s="2"/>
      <c r="C154" s="2"/>
      <c r="D154" s="2">
        <v>4.0</v>
      </c>
      <c r="E154" s="2"/>
      <c r="F154" s="2"/>
      <c r="G154" s="2"/>
      <c r="H154" s="2"/>
      <c r="I154" s="2"/>
      <c r="J154" s="2"/>
      <c r="K154" s="2"/>
      <c r="L154" s="2"/>
      <c r="M154" s="2">
        <v>4.0</v>
      </c>
      <c r="N154" s="2"/>
      <c r="O154" s="2"/>
      <c r="P154" s="2"/>
      <c r="Q154" s="2"/>
      <c r="R154" s="2"/>
      <c r="S154" s="2"/>
      <c r="T154" s="2"/>
      <c r="U154" s="2" t="s">
        <v>18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 t="str">
        <f t="shared" si="1"/>
        <v>M</v>
      </c>
      <c r="B155" s="2"/>
      <c r="C155" s="2"/>
      <c r="D155" s="2"/>
      <c r="E155" s="2"/>
      <c r="F155" s="2"/>
      <c r="G155" s="2"/>
      <c r="H155" s="2"/>
      <c r="I155" s="2"/>
      <c r="J155" s="2"/>
      <c r="K155" s="2">
        <v>4.0</v>
      </c>
      <c r="L155" s="2"/>
      <c r="M155" s="2"/>
      <c r="N155" s="2"/>
      <c r="O155" s="2"/>
      <c r="P155" s="2"/>
      <c r="Q155" s="2"/>
      <c r="R155" s="2">
        <v>4.0</v>
      </c>
      <c r="S155" s="2"/>
      <c r="T155" s="2"/>
      <c r="U155" s="2" t="s">
        <v>26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 t="str">
        <f t="shared" si="1"/>
        <v>C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>
        <v>4.0</v>
      </c>
      <c r="N156" s="2"/>
      <c r="O156" s="2"/>
      <c r="P156" s="2"/>
      <c r="Q156" s="2"/>
      <c r="R156" s="2"/>
      <c r="S156" s="2"/>
      <c r="T156" s="2"/>
      <c r="U156" s="2" t="s">
        <v>27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 t="str">
        <f t="shared" si="1"/>
        <v>E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>
        <v>4.0</v>
      </c>
      <c r="Q157" s="2"/>
      <c r="R157" s="2"/>
      <c r="S157" s="2"/>
      <c r="T157" s="2"/>
      <c r="U157" s="2" t="s">
        <v>28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 t="str">
        <f t="shared" si="1"/>
        <v>B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29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 t="str">
        <f t="shared" si="1"/>
        <v>P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30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 t="str">
        <f t="shared" si="1"/>
        <v>X</v>
      </c>
      <c r="B160" s="2">
        <v>4.0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>
        <v>4.0</v>
      </c>
      <c r="R160" s="2"/>
      <c r="S160" s="2"/>
      <c r="T160" s="2"/>
      <c r="U160" s="2" t="s">
        <v>18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 t="str">
        <f t="shared" si="1"/>
        <v>M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26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 t="str">
        <f t="shared" si="1"/>
        <v>C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>
        <v>-4.0</v>
      </c>
      <c r="N162" s="2"/>
      <c r="O162" s="2"/>
      <c r="P162" s="2"/>
      <c r="Q162" s="2"/>
      <c r="R162" s="2">
        <v>-4.0</v>
      </c>
      <c r="S162" s="2"/>
      <c r="T162" s="2"/>
      <c r="U162" s="2" t="s">
        <v>27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 t="str">
        <f t="shared" si="1"/>
        <v>E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>
        <v>4.0</v>
      </c>
      <c r="Q163" s="2"/>
      <c r="R163" s="2"/>
      <c r="S163" s="2"/>
      <c r="T163" s="2"/>
      <c r="U163" s="2" t="s">
        <v>28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 t="str">
        <f t="shared" si="1"/>
        <v>B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>
        <v>4.0</v>
      </c>
      <c r="Q164" s="2">
        <v>4.0</v>
      </c>
      <c r="R164" s="2"/>
      <c r="S164" s="2"/>
      <c r="T164" s="2"/>
      <c r="U164" s="2" t="s">
        <v>29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 t="str">
        <f t="shared" si="1"/>
        <v>P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>
        <v>4.0</v>
      </c>
      <c r="Q165" s="2"/>
      <c r="R165" s="2"/>
      <c r="S165" s="2">
        <v>4.0</v>
      </c>
      <c r="T165" s="2"/>
      <c r="U165" s="2" t="s">
        <v>30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 t="str">
        <f t="shared" si="1"/>
        <v/>
      </c>
      <c r="B166" s="2" t="b">
        <v>1</v>
      </c>
      <c r="C166" s="2" t="b">
        <v>1</v>
      </c>
      <c r="D166" s="2" t="b">
        <v>1</v>
      </c>
      <c r="E166" s="2" t="b">
        <v>1</v>
      </c>
      <c r="F166" s="2" t="b">
        <v>1</v>
      </c>
      <c r="G166" s="2" t="b">
        <v>1</v>
      </c>
      <c r="H166" s="2" t="b">
        <v>1</v>
      </c>
      <c r="I166" s="2" t="b">
        <v>1</v>
      </c>
      <c r="J166" s="2" t="b">
        <v>1</v>
      </c>
      <c r="K166" s="2" t="b">
        <v>1</v>
      </c>
      <c r="L166" s="2" t="b">
        <v>1</v>
      </c>
      <c r="M166" s="2" t="b">
        <v>1</v>
      </c>
      <c r="N166" s="2" t="b">
        <v>1</v>
      </c>
      <c r="O166" s="2" t="b">
        <v>1</v>
      </c>
      <c r="P166" s="2" t="b">
        <v>1</v>
      </c>
      <c r="Q166" s="2" t="b">
        <v>1</v>
      </c>
      <c r="R166" s="2" t="b">
        <v>1</v>
      </c>
      <c r="S166" s="2" t="b">
        <v>1</v>
      </c>
      <c r="T166" s="2" t="b">
        <v>1</v>
      </c>
      <c r="U166" s="2"/>
      <c r="V166" s="2" t="b">
        <v>0</v>
      </c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 t="str">
        <f t="shared" si="1"/>
        <v>X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>
        <v>4.0</v>
      </c>
      <c r="O167" s="2"/>
      <c r="P167" s="2"/>
      <c r="Q167" s="2"/>
      <c r="R167" s="2"/>
      <c r="S167" s="2"/>
      <c r="T167" s="2"/>
      <c r="U167" s="2" t="s">
        <v>18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 t="str">
        <f t="shared" si="1"/>
        <v>M</v>
      </c>
      <c r="B168" s="2"/>
      <c r="C168" s="2"/>
      <c r="D168" s="2"/>
      <c r="E168" s="2"/>
      <c r="F168" s="2"/>
      <c r="G168" s="2"/>
      <c r="H168" s="2"/>
      <c r="I168" s="2"/>
      <c r="J168" s="2"/>
      <c r="K168" s="2">
        <v>4.0</v>
      </c>
      <c r="L168" s="2"/>
      <c r="M168" s="2"/>
      <c r="N168" s="2"/>
      <c r="O168" s="2"/>
      <c r="P168" s="2"/>
      <c r="Q168" s="2"/>
      <c r="R168" s="2"/>
      <c r="S168" s="2"/>
      <c r="T168" s="2">
        <v>4.0</v>
      </c>
      <c r="U168" s="2" t="s">
        <v>26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 t="str">
        <f t="shared" si="1"/>
        <v>C</v>
      </c>
      <c r="B169" s="2">
        <v>4.0</v>
      </c>
      <c r="C169" s="2"/>
      <c r="D169" s="2"/>
      <c r="E169" s="2"/>
      <c r="F169" s="2"/>
      <c r="G169" s="2"/>
      <c r="H169" s="2"/>
      <c r="I169" s="2"/>
      <c r="J169" s="2">
        <v>-4.0</v>
      </c>
      <c r="K169" s="2"/>
      <c r="L169" s="2"/>
      <c r="M169" s="2">
        <v>4.0</v>
      </c>
      <c r="N169" s="2"/>
      <c r="O169" s="2"/>
      <c r="P169" s="2"/>
      <c r="Q169" s="2"/>
      <c r="R169" s="2"/>
      <c r="S169" s="2"/>
      <c r="T169" s="2"/>
      <c r="U169" s="2" t="s">
        <v>27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 t="str">
        <f t="shared" si="1"/>
        <v>E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>
        <v>4.0</v>
      </c>
      <c r="T170" s="2"/>
      <c r="U170" s="2" t="s">
        <v>28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 t="str">
        <f t="shared" si="1"/>
        <v>B</v>
      </c>
      <c r="B171" s="2"/>
      <c r="C171" s="2"/>
      <c r="D171" s="2"/>
      <c r="E171" s="2"/>
      <c r="F171" s="2"/>
      <c r="G171" s="2"/>
      <c r="H171" s="2"/>
      <c r="I171" s="2"/>
      <c r="J171" s="2">
        <v>-4.0</v>
      </c>
      <c r="K171" s="2"/>
      <c r="L171" s="2"/>
      <c r="M171" s="2"/>
      <c r="N171" s="2"/>
      <c r="O171" s="2"/>
      <c r="P171" s="2"/>
      <c r="Q171" s="2">
        <v>4.0</v>
      </c>
      <c r="R171" s="2"/>
      <c r="S171" s="2"/>
      <c r="T171" s="2"/>
      <c r="U171" s="2" t="s">
        <v>29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 t="str">
        <f t="shared" si="1"/>
        <v>P</v>
      </c>
      <c r="B172" s="2"/>
      <c r="C172" s="2"/>
      <c r="D172" s="2"/>
      <c r="E172" s="2">
        <v>-4.0</v>
      </c>
      <c r="F172" s="2"/>
      <c r="G172" s="2"/>
      <c r="H172" s="2"/>
      <c r="I172" s="2"/>
      <c r="J172" s="2"/>
      <c r="K172" s="2"/>
      <c r="L172" s="2"/>
      <c r="M172" s="2">
        <v>4.0</v>
      </c>
      <c r="N172" s="2"/>
      <c r="O172" s="2"/>
      <c r="P172" s="2"/>
      <c r="Q172" s="2"/>
      <c r="R172" s="2"/>
      <c r="S172" s="2"/>
      <c r="T172" s="2"/>
      <c r="U172" s="2" t="s">
        <v>30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 t="str">
        <f t="shared" si="1"/>
        <v>X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18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 t="str">
        <f t="shared" si="1"/>
        <v>M</v>
      </c>
      <c r="B174" s="2"/>
      <c r="C174" s="2"/>
      <c r="D174" s="2"/>
      <c r="E174" s="2"/>
      <c r="F174" s="2"/>
      <c r="G174" s="2"/>
      <c r="H174" s="2">
        <v>-4.0</v>
      </c>
      <c r="I174" s="2"/>
      <c r="J174" s="2"/>
      <c r="K174" s="2">
        <v>4.0</v>
      </c>
      <c r="L174" s="2"/>
      <c r="M174" s="2"/>
      <c r="N174" s="2"/>
      <c r="O174" s="2"/>
      <c r="P174" s="2"/>
      <c r="Q174" s="2"/>
      <c r="R174" s="2"/>
      <c r="S174" s="2"/>
      <c r="T174" s="2"/>
      <c r="U174" s="2" t="s">
        <v>26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 t="str">
        <f t="shared" si="1"/>
        <v>C</v>
      </c>
      <c r="B175" s="2"/>
      <c r="C175" s="2"/>
      <c r="D175" s="2"/>
      <c r="E175" s="2">
        <v>4.0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>
        <v>4.0</v>
      </c>
      <c r="U175" s="2" t="s">
        <v>27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 t="str">
        <f t="shared" si="1"/>
        <v>E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>
        <v>4.0</v>
      </c>
      <c r="O176" s="2"/>
      <c r="P176" s="2"/>
      <c r="Q176" s="2"/>
      <c r="R176" s="2">
        <v>4.0</v>
      </c>
      <c r="S176" s="2"/>
      <c r="T176" s="2"/>
      <c r="U176" s="2" t="s">
        <v>28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 t="str">
        <f t="shared" si="1"/>
        <v>B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>
        <v>4.0</v>
      </c>
      <c r="Q177" s="2"/>
      <c r="R177" s="2"/>
      <c r="S177" s="2"/>
      <c r="T177" s="2"/>
      <c r="U177" s="2" t="s">
        <v>29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 t="str">
        <f t="shared" si="1"/>
        <v>P</v>
      </c>
      <c r="B178" s="2"/>
      <c r="C178" s="2"/>
      <c r="D178" s="2">
        <v>4.0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>
        <v>4.0</v>
      </c>
      <c r="S178" s="2"/>
      <c r="T178" s="2"/>
      <c r="U178" s="2" t="s">
        <v>30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 t="str">
        <f t="shared" si="1"/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 t="str">
        <f t="shared" si="1"/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 t="str">
        <f t="shared" si="1"/>
        <v/>
      </c>
      <c r="B181" s="2" t="str">
        <f t="array" ref="B181:AM210">transpose(sort(transpose(All!A181:AL210),2,true))</f>
        <v/>
      </c>
      <c r="C181" s="2"/>
      <c r="D181" s="2"/>
      <c r="E181" s="2"/>
      <c r="F181" s="2"/>
      <c r="G181" s="2"/>
      <c r="H181" s="2"/>
      <c r="I181" s="2" t="s">
        <v>0</v>
      </c>
      <c r="J181" s="2"/>
      <c r="K181" s="2"/>
      <c r="L181" s="2"/>
      <c r="M181" s="2" t="s">
        <v>1</v>
      </c>
      <c r="N181" s="2" t="s">
        <v>2</v>
      </c>
      <c r="O181" s="2"/>
      <c r="P181" s="2"/>
      <c r="Q181" s="2"/>
      <c r="R181" s="2"/>
      <c r="S181" s="2" t="s">
        <v>3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 t="str">
        <f t="shared" si="1"/>
        <v/>
      </c>
      <c r="B182" s="2" t="s">
        <v>5</v>
      </c>
      <c r="C182" s="2" t="s">
        <v>12</v>
      </c>
      <c r="D182" s="2" t="s">
        <v>6</v>
      </c>
      <c r="E182" s="2" t="s">
        <v>19</v>
      </c>
      <c r="F182" s="2" t="s">
        <v>25</v>
      </c>
      <c r="G182" s="2" t="s">
        <v>14</v>
      </c>
      <c r="H182" s="2" t="s">
        <v>21</v>
      </c>
      <c r="I182" s="2" t="s">
        <v>4</v>
      </c>
      <c r="J182" s="2" t="s">
        <v>20</v>
      </c>
      <c r="K182" s="2" t="s">
        <v>8</v>
      </c>
      <c r="L182" s="2" t="s">
        <v>15</v>
      </c>
      <c r="M182" s="2" t="s">
        <v>11</v>
      </c>
      <c r="N182" s="2" t="s">
        <v>16</v>
      </c>
      <c r="O182" s="2" t="s">
        <v>17</v>
      </c>
      <c r="P182" s="2" t="s">
        <v>10</v>
      </c>
      <c r="Q182" s="2" t="s">
        <v>23</v>
      </c>
      <c r="R182" s="2" t="s">
        <v>24</v>
      </c>
      <c r="S182" s="2" t="s">
        <v>22</v>
      </c>
      <c r="T182" s="2" t="s">
        <v>13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 t="str">
        <f t="shared" si="1"/>
        <v/>
      </c>
      <c r="B183" s="2" t="b">
        <v>1</v>
      </c>
      <c r="C183" s="2" t="b">
        <v>1</v>
      </c>
      <c r="D183" s="2" t="b">
        <v>1</v>
      </c>
      <c r="E183" s="2" t="b">
        <v>1</v>
      </c>
      <c r="F183" s="2" t="b">
        <v>1</v>
      </c>
      <c r="G183" s="2" t="b">
        <v>1</v>
      </c>
      <c r="H183" s="2" t="b">
        <v>1</v>
      </c>
      <c r="I183" s="2" t="b">
        <v>1</v>
      </c>
      <c r="J183" s="2" t="b">
        <v>1</v>
      </c>
      <c r="K183" s="2" t="b">
        <v>1</v>
      </c>
      <c r="L183" s="2" t="b">
        <v>1</v>
      </c>
      <c r="M183" s="2" t="b">
        <v>1</v>
      </c>
      <c r="N183" s="2" t="b">
        <v>1</v>
      </c>
      <c r="O183" s="2" t="b">
        <v>1</v>
      </c>
      <c r="P183" s="2" t="b">
        <v>1</v>
      </c>
      <c r="Q183" s="2" t="b">
        <v>1</v>
      </c>
      <c r="R183" s="2" t="b">
        <v>1</v>
      </c>
      <c r="S183" s="2" t="b">
        <v>1</v>
      </c>
      <c r="T183" s="2" t="b">
        <v>1</v>
      </c>
      <c r="U183" s="2"/>
      <c r="V183" s="2" t="b">
        <v>0</v>
      </c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 t="str">
        <f t="shared" si="1"/>
        <v>X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>
        <v>-4.0</v>
      </c>
      <c r="M184" s="2"/>
      <c r="N184" s="2"/>
      <c r="O184" s="2"/>
      <c r="P184" s="2">
        <v>4.0</v>
      </c>
      <c r="Q184" s="2"/>
      <c r="R184" s="2"/>
      <c r="S184" s="2"/>
      <c r="T184" s="2"/>
      <c r="U184" s="2" t="s">
        <v>18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 t="str">
        <f t="shared" si="1"/>
        <v>M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26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 t="str">
        <f t="shared" si="1"/>
        <v>C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>
        <v>4.0</v>
      </c>
      <c r="N186" s="2"/>
      <c r="O186" s="2"/>
      <c r="P186" s="2"/>
      <c r="Q186" s="2"/>
      <c r="R186" s="2"/>
      <c r="S186" s="2"/>
      <c r="T186" s="2"/>
      <c r="U186" s="2" t="s">
        <v>27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 t="str">
        <f t="shared" si="1"/>
        <v>E</v>
      </c>
      <c r="B187" s="2"/>
      <c r="C187" s="2">
        <v>4.0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>
        <v>4.0</v>
      </c>
      <c r="R187" s="2"/>
      <c r="S187" s="2"/>
      <c r="T187" s="2"/>
      <c r="U187" s="2" t="s">
        <v>28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 t="str">
        <f t="shared" si="1"/>
        <v>B</v>
      </c>
      <c r="B188" s="2"/>
      <c r="C188" s="2"/>
      <c r="D188" s="2"/>
      <c r="E188" s="2"/>
      <c r="F188" s="2"/>
      <c r="G188" s="2">
        <v>4.0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29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 t="str">
        <f t="shared" si="1"/>
        <v>P</v>
      </c>
      <c r="B189" s="2"/>
      <c r="C189" s="2"/>
      <c r="D189" s="2"/>
      <c r="E189" s="2"/>
      <c r="F189" s="2"/>
      <c r="G189" s="2"/>
      <c r="H189" s="2"/>
      <c r="I189" s="2"/>
      <c r="J189" s="2">
        <v>4.0</v>
      </c>
      <c r="K189" s="2"/>
      <c r="L189" s="2"/>
      <c r="M189" s="2">
        <v>4.0</v>
      </c>
      <c r="N189" s="2"/>
      <c r="O189" s="2"/>
      <c r="P189" s="2"/>
      <c r="Q189" s="2"/>
      <c r="R189" s="2"/>
      <c r="S189" s="2"/>
      <c r="T189" s="2"/>
      <c r="U189" s="2" t="s">
        <v>30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 t="str">
        <f t="shared" si="1"/>
        <v>X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>
        <v>4.0</v>
      </c>
      <c r="R190" s="2"/>
      <c r="S190" s="2"/>
      <c r="T190" s="2"/>
      <c r="U190" s="2" t="s">
        <v>18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 t="str">
        <f t="shared" si="1"/>
        <v>M</v>
      </c>
      <c r="B191" s="2">
        <v>4.0</v>
      </c>
      <c r="C191" s="2"/>
      <c r="D191" s="2"/>
      <c r="E191" s="2"/>
      <c r="F191" s="2"/>
      <c r="G191" s="2"/>
      <c r="H191" s="2">
        <v>-4.0</v>
      </c>
      <c r="I191" s="2"/>
      <c r="J191" s="2"/>
      <c r="K191" s="2"/>
      <c r="L191" s="2"/>
      <c r="M191" s="2"/>
      <c r="N191" s="2"/>
      <c r="O191" s="2"/>
      <c r="P191" s="2"/>
      <c r="Q191" s="2"/>
      <c r="R191" s="2">
        <v>4.0</v>
      </c>
      <c r="S191" s="2"/>
      <c r="T191" s="2"/>
      <c r="U191" s="2" t="s">
        <v>26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 t="str">
        <f t="shared" si="1"/>
        <v>C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>
        <v>4.0</v>
      </c>
      <c r="N192" s="2"/>
      <c r="O192" s="2"/>
      <c r="P192" s="2"/>
      <c r="Q192" s="2">
        <v>4.0</v>
      </c>
      <c r="R192" s="2"/>
      <c r="S192" s="2"/>
      <c r="T192" s="2"/>
      <c r="U192" s="2" t="s">
        <v>27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 t="str">
        <f t="shared" si="1"/>
        <v>E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28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 t="str">
        <f t="shared" si="1"/>
        <v>B</v>
      </c>
      <c r="B194" s="2"/>
      <c r="C194" s="2"/>
      <c r="D194" s="2"/>
      <c r="E194" s="2"/>
      <c r="F194" s="2"/>
      <c r="G194" s="2">
        <v>4.0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29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 t="str">
        <f t="shared" si="1"/>
        <v>P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>
        <v>-4.0</v>
      </c>
      <c r="P195" s="2">
        <v>4.0</v>
      </c>
      <c r="Q195" s="2"/>
      <c r="R195" s="2"/>
      <c r="S195" s="2"/>
      <c r="T195" s="2"/>
      <c r="U195" s="2" t="s">
        <v>30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 t="str">
        <f t="shared" si="1"/>
        <v/>
      </c>
      <c r="B196" s="2" t="b">
        <v>1</v>
      </c>
      <c r="C196" s="2" t="b">
        <v>1</v>
      </c>
      <c r="D196" s="2" t="b">
        <v>1</v>
      </c>
      <c r="E196" s="2" t="b">
        <v>1</v>
      </c>
      <c r="F196" s="2" t="b">
        <v>1</v>
      </c>
      <c r="G196" s="2" t="b">
        <v>1</v>
      </c>
      <c r="H196" s="2" t="b">
        <v>1</v>
      </c>
      <c r="I196" s="2" t="b">
        <v>1</v>
      </c>
      <c r="J196" s="2" t="b">
        <v>1</v>
      </c>
      <c r="K196" s="2" t="b">
        <v>1</v>
      </c>
      <c r="L196" s="2" t="b">
        <v>1</v>
      </c>
      <c r="M196" s="2" t="b">
        <v>1</v>
      </c>
      <c r="N196" s="2" t="b">
        <v>1</v>
      </c>
      <c r="O196" s="2" t="b">
        <v>1</v>
      </c>
      <c r="P196" s="2" t="b">
        <v>1</v>
      </c>
      <c r="Q196" s="2" t="b">
        <v>1</v>
      </c>
      <c r="R196" s="2" t="b">
        <v>1</v>
      </c>
      <c r="S196" s="2" t="b">
        <v>1</v>
      </c>
      <c r="T196" s="2" t="b">
        <v>1</v>
      </c>
      <c r="U196" s="2"/>
      <c r="V196" s="2" t="b">
        <v>0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 t="str">
        <f t="shared" si="1"/>
        <v>X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18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 t="str">
        <f t="shared" si="1"/>
        <v>M</v>
      </c>
      <c r="B198" s="2"/>
      <c r="C198" s="2"/>
      <c r="D198" s="2"/>
      <c r="E198" s="2"/>
      <c r="F198" s="2"/>
      <c r="G198" s="2"/>
      <c r="H198" s="2"/>
      <c r="I198" s="2"/>
      <c r="J198" s="2"/>
      <c r="K198" s="2">
        <v>4.0</v>
      </c>
      <c r="L198" s="2"/>
      <c r="M198" s="2"/>
      <c r="N198" s="2"/>
      <c r="O198" s="2"/>
      <c r="P198" s="2"/>
      <c r="Q198" s="2">
        <v>4.0</v>
      </c>
      <c r="R198" s="2"/>
      <c r="S198" s="2"/>
      <c r="T198" s="2"/>
      <c r="U198" s="2" t="s">
        <v>26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 t="str">
        <f t="shared" si="1"/>
        <v>C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>
        <v>4.0</v>
      </c>
      <c r="N199" s="2"/>
      <c r="O199" s="2"/>
      <c r="P199" s="2"/>
      <c r="Q199" s="2"/>
      <c r="R199" s="2"/>
      <c r="S199" s="2">
        <v>4.0</v>
      </c>
      <c r="T199" s="2"/>
      <c r="U199" s="2" t="s">
        <v>27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 t="str">
        <f t="shared" si="1"/>
        <v>E</v>
      </c>
      <c r="B200" s="2">
        <v>4.0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28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 t="str">
        <f t="shared" si="1"/>
        <v>B</v>
      </c>
      <c r="B201" s="2"/>
      <c r="C201" s="2"/>
      <c r="D201" s="2"/>
      <c r="E201" s="2"/>
      <c r="F201" s="2"/>
      <c r="G201" s="2"/>
      <c r="H201" s="2">
        <v>-4.0</v>
      </c>
      <c r="I201" s="2"/>
      <c r="J201" s="2"/>
      <c r="K201" s="2"/>
      <c r="L201" s="2">
        <v>4.0</v>
      </c>
      <c r="M201" s="2"/>
      <c r="N201" s="2"/>
      <c r="O201" s="2"/>
      <c r="P201" s="2"/>
      <c r="Q201" s="2"/>
      <c r="R201" s="2">
        <v>4.0</v>
      </c>
      <c r="S201" s="2"/>
      <c r="T201" s="2"/>
      <c r="U201" s="2" t="s">
        <v>29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 t="str">
        <f t="shared" si="1"/>
        <v>P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30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 t="str">
        <f t="shared" si="1"/>
        <v>X</v>
      </c>
      <c r="B203" s="2"/>
      <c r="C203" s="2"/>
      <c r="D203" s="2"/>
      <c r="E203" s="2"/>
      <c r="F203" s="2"/>
      <c r="G203" s="2"/>
      <c r="H203" s="2"/>
      <c r="I203" s="2"/>
      <c r="J203" s="2">
        <v>-4.0</v>
      </c>
      <c r="K203" s="2"/>
      <c r="L203" s="2"/>
      <c r="M203" s="2"/>
      <c r="N203" s="2"/>
      <c r="O203" s="2"/>
      <c r="P203" s="2"/>
      <c r="Q203" s="2"/>
      <c r="R203" s="2"/>
      <c r="S203" s="2">
        <v>-4.0</v>
      </c>
      <c r="T203" s="2"/>
      <c r="U203" s="2" t="s">
        <v>18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 t="str">
        <f t="shared" si="1"/>
        <v>M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26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 t="str">
        <f t="shared" si="1"/>
        <v>C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27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 t="str">
        <f t="shared" si="1"/>
        <v>E</v>
      </c>
      <c r="B206" s="2">
        <v>4.0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>
        <v>4.0</v>
      </c>
      <c r="S206" s="2"/>
      <c r="T206" s="2"/>
      <c r="U206" s="2" t="s">
        <v>28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 t="str">
        <f t="shared" si="1"/>
        <v>B</v>
      </c>
      <c r="B207" s="2"/>
      <c r="C207" s="2"/>
      <c r="D207" s="2"/>
      <c r="E207" s="2"/>
      <c r="F207" s="2"/>
      <c r="G207" s="2">
        <v>4.0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29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 t="str">
        <f t="shared" si="1"/>
        <v>P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30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 t="str">
        <f t="shared" si="1"/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 t="str">
        <f t="shared" si="1"/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 t="str">
        <f t="shared" si="1"/>
        <v/>
      </c>
      <c r="B211" s="2" t="str">
        <f t="array" ref="B211:AM240">transpose(sort(transpose(All!A211:AL240),2,true))</f>
        <v/>
      </c>
      <c r="C211" s="2"/>
      <c r="D211" s="2"/>
      <c r="E211" s="2"/>
      <c r="F211" s="2"/>
      <c r="G211" s="2"/>
      <c r="H211" s="2"/>
      <c r="I211" s="2" t="s">
        <v>0</v>
      </c>
      <c r="J211" s="2"/>
      <c r="K211" s="2"/>
      <c r="L211" s="2"/>
      <c r="M211" s="2" t="s">
        <v>1</v>
      </c>
      <c r="N211" s="2" t="s">
        <v>2</v>
      </c>
      <c r="O211" s="2"/>
      <c r="P211" s="2"/>
      <c r="Q211" s="2"/>
      <c r="R211" s="2"/>
      <c r="S211" s="2" t="s">
        <v>3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 t="str">
        <f t="shared" si="1"/>
        <v/>
      </c>
      <c r="B212" s="2" t="s">
        <v>5</v>
      </c>
      <c r="C212" s="2" t="s">
        <v>12</v>
      </c>
      <c r="D212" s="2" t="s">
        <v>6</v>
      </c>
      <c r="E212" s="2" t="s">
        <v>19</v>
      </c>
      <c r="F212" s="2" t="s">
        <v>25</v>
      </c>
      <c r="G212" s="2" t="s">
        <v>14</v>
      </c>
      <c r="H212" s="2" t="s">
        <v>21</v>
      </c>
      <c r="I212" s="2" t="s">
        <v>4</v>
      </c>
      <c r="J212" s="2" t="s">
        <v>20</v>
      </c>
      <c r="K212" s="2" t="s">
        <v>8</v>
      </c>
      <c r="L212" s="2" t="s">
        <v>15</v>
      </c>
      <c r="M212" s="2" t="s">
        <v>11</v>
      </c>
      <c r="N212" s="2" t="s">
        <v>16</v>
      </c>
      <c r="O212" s="2" t="s">
        <v>17</v>
      </c>
      <c r="P212" s="2" t="s">
        <v>10</v>
      </c>
      <c r="Q212" s="2" t="s">
        <v>23</v>
      </c>
      <c r="R212" s="2" t="s">
        <v>24</v>
      </c>
      <c r="S212" s="2" t="s">
        <v>22</v>
      </c>
      <c r="T212" s="2" t="s">
        <v>13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 t="str">
        <f t="shared" si="1"/>
        <v/>
      </c>
      <c r="B213" s="2" t="b">
        <v>1</v>
      </c>
      <c r="C213" s="2" t="b">
        <v>1</v>
      </c>
      <c r="D213" s="2" t="b">
        <v>1</v>
      </c>
      <c r="E213" s="2" t="b">
        <v>1</v>
      </c>
      <c r="F213" s="2" t="b">
        <v>1</v>
      </c>
      <c r="G213" s="2" t="b">
        <v>1</v>
      </c>
      <c r="H213" s="2" t="b">
        <v>1</v>
      </c>
      <c r="I213" s="2" t="b">
        <v>1</v>
      </c>
      <c r="J213" s="2" t="b">
        <v>1</v>
      </c>
      <c r="K213" s="2" t="b">
        <v>1</v>
      </c>
      <c r="L213" s="2" t="b">
        <v>1</v>
      </c>
      <c r="M213" s="2" t="b">
        <v>1</v>
      </c>
      <c r="N213" s="2" t="b">
        <v>1</v>
      </c>
      <c r="O213" s="2" t="b">
        <v>1</v>
      </c>
      <c r="P213" s="2" t="b">
        <v>1</v>
      </c>
      <c r="Q213" s="2" t="b">
        <v>1</v>
      </c>
      <c r="R213" s="2" t="b">
        <v>1</v>
      </c>
      <c r="S213" s="2" t="b">
        <v>1</v>
      </c>
      <c r="T213" s="2" t="b">
        <v>1</v>
      </c>
      <c r="U213" s="2"/>
      <c r="V213" s="2" t="b">
        <v>0</v>
      </c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 t="str">
        <f t="shared" si="1"/>
        <v>X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>
        <v>4.0</v>
      </c>
      <c r="Q214" s="2"/>
      <c r="R214" s="2"/>
      <c r="S214" s="2"/>
      <c r="T214" s="2"/>
      <c r="U214" s="2" t="s">
        <v>18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 t="str">
        <f t="shared" si="1"/>
        <v>M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26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 t="str">
        <f t="shared" si="1"/>
        <v>C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>
        <v>4.0</v>
      </c>
      <c r="N216" s="2"/>
      <c r="O216" s="2"/>
      <c r="P216" s="2">
        <v>4.0</v>
      </c>
      <c r="Q216" s="2"/>
      <c r="R216" s="2"/>
      <c r="S216" s="2"/>
      <c r="T216" s="2"/>
      <c r="U216" s="2" t="s">
        <v>27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 t="str">
        <f t="shared" si="1"/>
        <v>E</v>
      </c>
      <c r="B217" s="2"/>
      <c r="C217" s="2">
        <v>4.0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28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 t="str">
        <f t="shared" si="1"/>
        <v>B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29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 t="str">
        <f t="shared" si="1"/>
        <v>P</v>
      </c>
      <c r="B219" s="2"/>
      <c r="C219" s="2"/>
      <c r="D219" s="2"/>
      <c r="E219" s="2"/>
      <c r="F219" s="2"/>
      <c r="G219" s="2"/>
      <c r="H219" s="2">
        <v>4.0</v>
      </c>
      <c r="I219" s="2"/>
      <c r="J219" s="2"/>
      <c r="K219" s="2"/>
      <c r="L219" s="2"/>
      <c r="M219" s="2"/>
      <c r="N219" s="2"/>
      <c r="O219" s="2"/>
      <c r="P219" s="2"/>
      <c r="Q219" s="2"/>
      <c r="R219" s="2">
        <v>4.0</v>
      </c>
      <c r="S219" s="2"/>
      <c r="T219" s="2"/>
      <c r="U219" s="2" t="s">
        <v>30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 t="str">
        <f t="shared" si="1"/>
        <v>X</v>
      </c>
      <c r="B220" s="2"/>
      <c r="C220" s="2"/>
      <c r="D220" s="2"/>
      <c r="E220" s="2"/>
      <c r="F220" s="2"/>
      <c r="G220" s="2"/>
      <c r="H220" s="2"/>
      <c r="I220" s="2"/>
      <c r="J220" s="2">
        <v>-4.0</v>
      </c>
      <c r="K220" s="2"/>
      <c r="L220" s="2"/>
      <c r="M220" s="2"/>
      <c r="N220" s="2"/>
      <c r="O220" s="2"/>
      <c r="P220" s="2"/>
      <c r="Q220" s="2"/>
      <c r="R220" s="2"/>
      <c r="S220" s="2">
        <v>4.0</v>
      </c>
      <c r="T220" s="2">
        <v>-4.0</v>
      </c>
      <c r="U220" s="2" t="s">
        <v>18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 t="str">
        <f t="shared" si="1"/>
        <v>M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>
        <v>4.0</v>
      </c>
      <c r="T221" s="2"/>
      <c r="U221" s="2" t="s">
        <v>26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 t="str">
        <f t="shared" si="1"/>
        <v>C</v>
      </c>
      <c r="B222" s="2">
        <v>4.0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>
        <v>4.0</v>
      </c>
      <c r="N222" s="2"/>
      <c r="O222" s="2"/>
      <c r="P222" s="2"/>
      <c r="Q222" s="2"/>
      <c r="R222" s="2"/>
      <c r="S222" s="2"/>
      <c r="T222" s="2"/>
      <c r="U222" s="2" t="s">
        <v>27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 t="str">
        <f t="shared" si="1"/>
        <v>E</v>
      </c>
      <c r="B223" s="2"/>
      <c r="C223" s="2"/>
      <c r="D223" s="2">
        <v>-4.0</v>
      </c>
      <c r="E223" s="2">
        <v>4.0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28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 t="str">
        <f t="shared" si="1"/>
        <v>B</v>
      </c>
      <c r="B224" s="2"/>
      <c r="C224" s="2"/>
      <c r="D224" s="2"/>
      <c r="E224" s="2"/>
      <c r="F224" s="2"/>
      <c r="G224" s="2">
        <v>4.0</v>
      </c>
      <c r="H224" s="2"/>
      <c r="I224" s="2"/>
      <c r="J224" s="2"/>
      <c r="K224" s="2"/>
      <c r="L224" s="2"/>
      <c r="M224" s="2"/>
      <c r="N224" s="2"/>
      <c r="O224" s="2"/>
      <c r="P224" s="2"/>
      <c r="Q224" s="2">
        <v>4.0</v>
      </c>
      <c r="R224" s="2"/>
      <c r="S224" s="2"/>
      <c r="T224" s="2"/>
      <c r="U224" s="2" t="s">
        <v>29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 t="str">
        <f t="shared" si="1"/>
        <v>P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>
        <v>4.0</v>
      </c>
      <c r="N225" s="2"/>
      <c r="O225" s="2">
        <v>-4.0</v>
      </c>
      <c r="P225" s="2"/>
      <c r="Q225" s="2"/>
      <c r="R225" s="2"/>
      <c r="S225" s="2"/>
      <c r="T225" s="2"/>
      <c r="U225" s="2" t="s">
        <v>30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 t="str">
        <f t="shared" si="1"/>
        <v/>
      </c>
      <c r="B226" s="2" t="b">
        <v>1</v>
      </c>
      <c r="C226" s="2" t="b">
        <v>1</v>
      </c>
      <c r="D226" s="2" t="b">
        <v>1</v>
      </c>
      <c r="E226" s="2" t="b">
        <v>1</v>
      </c>
      <c r="F226" s="2" t="b">
        <v>1</v>
      </c>
      <c r="G226" s="2" t="b">
        <v>1</v>
      </c>
      <c r="H226" s="2" t="b">
        <v>1</v>
      </c>
      <c r="I226" s="2" t="b">
        <v>1</v>
      </c>
      <c r="J226" s="2" t="b">
        <v>1</v>
      </c>
      <c r="K226" s="2" t="b">
        <v>1</v>
      </c>
      <c r="L226" s="2" t="b">
        <v>1</v>
      </c>
      <c r="M226" s="2" t="b">
        <v>1</v>
      </c>
      <c r="N226" s="2" t="b">
        <v>1</v>
      </c>
      <c r="O226" s="2" t="b">
        <v>1</v>
      </c>
      <c r="P226" s="2" t="b">
        <v>1</v>
      </c>
      <c r="Q226" s="2" t="b">
        <v>1</v>
      </c>
      <c r="R226" s="2" t="b">
        <v>1</v>
      </c>
      <c r="S226" s="2" t="b">
        <v>1</v>
      </c>
      <c r="T226" s="2" t="b">
        <v>1</v>
      </c>
      <c r="U226" s="2"/>
      <c r="V226" s="2" t="b">
        <v>0</v>
      </c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 t="str">
        <f t="shared" si="1"/>
        <v>X</v>
      </c>
      <c r="B227" s="2">
        <v>4.0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>
        <v>4.0</v>
      </c>
      <c r="O227" s="2"/>
      <c r="P227" s="2"/>
      <c r="Q227" s="2"/>
      <c r="R227" s="2"/>
      <c r="S227" s="2"/>
      <c r="T227" s="2"/>
      <c r="U227" s="2" t="s">
        <v>18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 t="str">
        <f t="shared" si="1"/>
        <v>M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26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 t="str">
        <f t="shared" si="1"/>
        <v>C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>
        <v>4.0</v>
      </c>
      <c r="N229" s="2"/>
      <c r="O229" s="2"/>
      <c r="P229" s="2">
        <v>4.0</v>
      </c>
      <c r="Q229" s="2">
        <v>-4.0</v>
      </c>
      <c r="R229" s="2"/>
      <c r="S229" s="2"/>
      <c r="T229" s="2"/>
      <c r="U229" s="2" t="s">
        <v>27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 t="str">
        <f t="shared" si="1"/>
        <v>E</v>
      </c>
      <c r="B230" s="2"/>
      <c r="C230" s="2">
        <v>4.0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>
        <v>4.0</v>
      </c>
      <c r="R230" s="2"/>
      <c r="S230" s="2"/>
      <c r="T230" s="2"/>
      <c r="U230" s="2" t="s">
        <v>28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 t="str">
        <f t="shared" si="1"/>
        <v>B</v>
      </c>
      <c r="B231" s="2"/>
      <c r="C231" s="2"/>
      <c r="D231" s="2"/>
      <c r="E231" s="2"/>
      <c r="F231" s="2"/>
      <c r="G231" s="2"/>
      <c r="H231" s="2">
        <v>4.0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29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 t="str">
        <f t="shared" si="1"/>
        <v>P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30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 t="str">
        <f t="shared" si="1"/>
        <v>X</v>
      </c>
      <c r="B233" s="2"/>
      <c r="C233" s="2"/>
      <c r="D233" s="2"/>
      <c r="E233" s="2"/>
      <c r="F233" s="2"/>
      <c r="G233" s="2">
        <v>4.0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18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 t="str">
        <f t="shared" si="1"/>
        <v>M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>
        <v>4.0</v>
      </c>
      <c r="U234" s="2" t="s">
        <v>26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 t="str">
        <f t="shared" si="1"/>
        <v>C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>
        <v>4.0</v>
      </c>
      <c r="N235" s="2"/>
      <c r="O235" s="2"/>
      <c r="P235" s="2">
        <v>4.0</v>
      </c>
      <c r="Q235" s="2"/>
      <c r="R235" s="2"/>
      <c r="S235" s="2"/>
      <c r="T235" s="2"/>
      <c r="U235" s="2" t="s">
        <v>27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 t="str">
        <f t="shared" si="1"/>
        <v>E</v>
      </c>
      <c r="B236" s="2"/>
      <c r="C236" s="2"/>
      <c r="D236" s="2">
        <v>4.0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28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 t="str">
        <f t="shared" si="1"/>
        <v>B</v>
      </c>
      <c r="B237" s="2"/>
      <c r="C237" s="2"/>
      <c r="D237" s="2"/>
      <c r="E237" s="2"/>
      <c r="F237" s="2"/>
      <c r="G237" s="2"/>
      <c r="H237" s="2">
        <v>-4.0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29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 t="str">
        <f t="shared" si="1"/>
        <v>P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>
        <v>4.0</v>
      </c>
      <c r="R238" s="2"/>
      <c r="S238" s="2"/>
      <c r="T238" s="2"/>
      <c r="U238" s="2" t="s">
        <v>30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 t="str">
        <f t="shared" si="1"/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 t="str">
        <f t="shared" si="1"/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 t="str">
        <f t="shared" si="1"/>
        <v/>
      </c>
      <c r="B241" s="2" t="str">
        <f t="array" ref="B241:AM270">transpose(sort(transpose(All!A241:AL270),2,true))</f>
        <v/>
      </c>
      <c r="C241" s="2"/>
      <c r="D241" s="2"/>
      <c r="E241" s="2"/>
      <c r="F241" s="2"/>
      <c r="G241" s="2"/>
      <c r="H241" s="2"/>
      <c r="I241" s="2" t="s">
        <v>0</v>
      </c>
      <c r="J241" s="2"/>
      <c r="K241" s="2"/>
      <c r="L241" s="2"/>
      <c r="M241" s="2" t="s">
        <v>1</v>
      </c>
      <c r="N241" s="2" t="s">
        <v>2</v>
      </c>
      <c r="O241" s="2"/>
      <c r="P241" s="2"/>
      <c r="Q241" s="2"/>
      <c r="R241" s="2"/>
      <c r="S241" s="2" t="s">
        <v>3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 t="str">
        <f t="shared" si="1"/>
        <v/>
      </c>
      <c r="B242" s="2" t="s">
        <v>5</v>
      </c>
      <c r="C242" s="2" t="s">
        <v>12</v>
      </c>
      <c r="D242" s="2" t="s">
        <v>6</v>
      </c>
      <c r="E242" s="2" t="s">
        <v>19</v>
      </c>
      <c r="F242" s="2" t="s">
        <v>25</v>
      </c>
      <c r="G242" s="2" t="s">
        <v>14</v>
      </c>
      <c r="H242" s="2" t="s">
        <v>21</v>
      </c>
      <c r="I242" s="2" t="s">
        <v>4</v>
      </c>
      <c r="J242" s="2" t="s">
        <v>20</v>
      </c>
      <c r="K242" s="2" t="s">
        <v>8</v>
      </c>
      <c r="L242" s="2" t="s">
        <v>15</v>
      </c>
      <c r="M242" s="2" t="s">
        <v>11</v>
      </c>
      <c r="N242" s="2" t="s">
        <v>16</v>
      </c>
      <c r="O242" s="2" t="s">
        <v>17</v>
      </c>
      <c r="P242" s="2" t="s">
        <v>10</v>
      </c>
      <c r="Q242" s="2" t="s">
        <v>23</v>
      </c>
      <c r="R242" s="2" t="s">
        <v>24</v>
      </c>
      <c r="S242" s="2" t="s">
        <v>22</v>
      </c>
      <c r="T242" s="2" t="s">
        <v>13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 t="str">
        <f t="shared" si="1"/>
        <v/>
      </c>
      <c r="B243" s="2" t="b">
        <v>1</v>
      </c>
      <c r="C243" s="2" t="b">
        <v>1</v>
      </c>
      <c r="D243" s="2" t="b">
        <v>1</v>
      </c>
      <c r="E243" s="2" t="b">
        <v>1</v>
      </c>
      <c r="F243" s="2" t="b">
        <v>1</v>
      </c>
      <c r="G243" s="2" t="b">
        <v>1</v>
      </c>
      <c r="H243" s="2" t="b">
        <v>1</v>
      </c>
      <c r="I243" s="2" t="b">
        <v>1</v>
      </c>
      <c r="J243" s="2" t="b">
        <v>1</v>
      </c>
      <c r="K243" s="2" t="b">
        <v>1</v>
      </c>
      <c r="L243" s="2" t="b">
        <v>1</v>
      </c>
      <c r="M243" s="2" t="b">
        <v>1</v>
      </c>
      <c r="N243" s="2" t="b">
        <v>1</v>
      </c>
      <c r="O243" s="2" t="b">
        <v>1</v>
      </c>
      <c r="P243" s="2" t="b">
        <v>1</v>
      </c>
      <c r="Q243" s="2" t="b">
        <v>1</v>
      </c>
      <c r="R243" s="2" t="b">
        <v>1</v>
      </c>
      <c r="S243" s="2" t="b">
        <v>1</v>
      </c>
      <c r="T243" s="2" t="b">
        <v>1</v>
      </c>
      <c r="U243" s="2"/>
      <c r="V243" s="2" t="b">
        <v>0</v>
      </c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 t="str">
        <f t="shared" si="1"/>
        <v>X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>
        <v>4.0</v>
      </c>
      <c r="R244" s="2"/>
      <c r="S244" s="2"/>
      <c r="T244" s="2"/>
      <c r="U244" s="2" t="s">
        <v>18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 t="str">
        <f t="shared" si="1"/>
        <v>M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26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 t="str">
        <f t="shared" si="1"/>
        <v>C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>
        <v>4.0</v>
      </c>
      <c r="Q246" s="2"/>
      <c r="R246" s="2"/>
      <c r="S246" s="2">
        <v>4.0</v>
      </c>
      <c r="T246" s="2"/>
      <c r="U246" s="2" t="s">
        <v>27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 t="str">
        <f t="shared" si="1"/>
        <v>E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28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 t="str">
        <f t="shared" si="1"/>
        <v>B</v>
      </c>
      <c r="B248" s="2"/>
      <c r="C248" s="2"/>
      <c r="D248" s="2"/>
      <c r="E248" s="2"/>
      <c r="F248" s="2"/>
      <c r="G248" s="2">
        <v>4.0</v>
      </c>
      <c r="H248" s="2"/>
      <c r="I248" s="2"/>
      <c r="J248" s="2"/>
      <c r="K248" s="2"/>
      <c r="L248" s="2"/>
      <c r="M248" s="2"/>
      <c r="N248" s="2">
        <v>4.0</v>
      </c>
      <c r="O248" s="2"/>
      <c r="P248" s="2"/>
      <c r="Q248" s="2"/>
      <c r="R248" s="2"/>
      <c r="S248" s="2"/>
      <c r="T248" s="2"/>
      <c r="U248" s="2" t="s">
        <v>29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 t="str">
        <f t="shared" si="1"/>
        <v>P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>
        <v>4.0</v>
      </c>
      <c r="T249" s="2"/>
      <c r="U249" s="2" t="s">
        <v>30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 t="str">
        <f t="shared" si="1"/>
        <v>X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>
        <v>-4.0</v>
      </c>
      <c r="M250" s="2"/>
      <c r="N250" s="2"/>
      <c r="O250" s="2">
        <v>-4.0</v>
      </c>
      <c r="P250" s="2"/>
      <c r="Q250" s="2">
        <v>-4.0</v>
      </c>
      <c r="R250" s="2"/>
      <c r="S250" s="2"/>
      <c r="T250" s="2"/>
      <c r="U250" s="2" t="s">
        <v>18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 t="str">
        <f t="shared" si="1"/>
        <v>M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26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 t="str">
        <f t="shared" si="1"/>
        <v>C</v>
      </c>
      <c r="B252" s="2">
        <v>4.0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>
        <v>4.0</v>
      </c>
      <c r="N252" s="2"/>
      <c r="O252" s="2"/>
      <c r="P252" s="2"/>
      <c r="Q252" s="2"/>
      <c r="R252" s="2"/>
      <c r="S252" s="2"/>
      <c r="T252" s="2"/>
      <c r="U252" s="2" t="s">
        <v>27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 t="str">
        <f t="shared" si="1"/>
        <v>E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>
        <v>4.0</v>
      </c>
      <c r="M253" s="2"/>
      <c r="N253" s="2">
        <v>4.0</v>
      </c>
      <c r="O253" s="2"/>
      <c r="P253" s="2"/>
      <c r="Q253" s="2"/>
      <c r="R253" s="2"/>
      <c r="S253" s="2"/>
      <c r="T253" s="2"/>
      <c r="U253" s="2" t="s">
        <v>28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 t="str">
        <f t="shared" si="1"/>
        <v>B</v>
      </c>
      <c r="B254" s="2"/>
      <c r="C254" s="2"/>
      <c r="D254" s="2"/>
      <c r="E254" s="2"/>
      <c r="F254" s="2"/>
      <c r="G254" s="2">
        <v>4.0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29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 t="str">
        <f t="shared" si="1"/>
        <v>P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30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 t="str">
        <f t="shared" si="1"/>
        <v/>
      </c>
      <c r="B256" s="2" t="b">
        <v>1</v>
      </c>
      <c r="C256" s="2" t="b">
        <v>1</v>
      </c>
      <c r="D256" s="2" t="b">
        <v>1</v>
      </c>
      <c r="E256" s="2" t="b">
        <v>1</v>
      </c>
      <c r="F256" s="2" t="b">
        <v>1</v>
      </c>
      <c r="G256" s="2" t="b">
        <v>1</v>
      </c>
      <c r="H256" s="2" t="b">
        <v>1</v>
      </c>
      <c r="I256" s="2" t="b">
        <v>1</v>
      </c>
      <c r="J256" s="2" t="b">
        <v>1</v>
      </c>
      <c r="K256" s="2" t="b">
        <v>1</v>
      </c>
      <c r="L256" s="2" t="b">
        <v>1</v>
      </c>
      <c r="M256" s="2" t="b">
        <v>1</v>
      </c>
      <c r="N256" s="2" t="b">
        <v>1</v>
      </c>
      <c r="O256" s="2" t="b">
        <v>1</v>
      </c>
      <c r="P256" s="2" t="b">
        <v>1</v>
      </c>
      <c r="Q256" s="2" t="b">
        <v>1</v>
      </c>
      <c r="R256" s="2" t="b">
        <v>1</v>
      </c>
      <c r="S256" s="2" t="b">
        <v>1</v>
      </c>
      <c r="T256" s="2" t="b">
        <v>1</v>
      </c>
      <c r="U256" s="2"/>
      <c r="V256" s="2" t="b">
        <v>0</v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 t="str">
        <f t="shared" si="1"/>
        <v>X</v>
      </c>
      <c r="B257" s="2"/>
      <c r="C257" s="2"/>
      <c r="D257" s="2"/>
      <c r="E257" s="2"/>
      <c r="F257" s="2"/>
      <c r="G257" s="2"/>
      <c r="H257" s="2">
        <v>4.0</v>
      </c>
      <c r="I257" s="2"/>
      <c r="J257" s="2"/>
      <c r="K257" s="2"/>
      <c r="L257" s="2">
        <v>4.0</v>
      </c>
      <c r="M257" s="2"/>
      <c r="N257" s="2"/>
      <c r="O257" s="2"/>
      <c r="P257" s="2"/>
      <c r="Q257" s="2"/>
      <c r="R257" s="2"/>
      <c r="S257" s="2"/>
      <c r="T257" s="2"/>
      <c r="U257" s="2" t="s">
        <v>18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 t="str">
        <f t="shared" si="1"/>
        <v>M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26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 t="str">
        <f t="shared" si="1"/>
        <v>C</v>
      </c>
      <c r="B259" s="2"/>
      <c r="C259" s="2"/>
      <c r="D259" s="2"/>
      <c r="E259" s="2"/>
      <c r="F259" s="2"/>
      <c r="G259" s="2"/>
      <c r="H259" s="2"/>
      <c r="I259" s="2"/>
      <c r="J259" s="2">
        <v>4.0</v>
      </c>
      <c r="K259" s="2"/>
      <c r="L259" s="2"/>
      <c r="M259" s="2"/>
      <c r="N259" s="2"/>
      <c r="O259" s="2"/>
      <c r="P259" s="2"/>
      <c r="Q259" s="2"/>
      <c r="R259" s="2">
        <v>4.0</v>
      </c>
      <c r="S259" s="2"/>
      <c r="T259" s="2"/>
      <c r="U259" s="2" t="s">
        <v>27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 t="str">
        <f t="shared" si="1"/>
        <v>E</v>
      </c>
      <c r="B260" s="2">
        <v>4.0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>
        <v>4.0</v>
      </c>
      <c r="N260" s="2"/>
      <c r="O260" s="2"/>
      <c r="P260" s="2"/>
      <c r="Q260" s="2"/>
      <c r="R260" s="2"/>
      <c r="S260" s="2"/>
      <c r="T260" s="2"/>
      <c r="U260" s="2" t="s">
        <v>28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 t="str">
        <f t="shared" si="1"/>
        <v>B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29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 t="str">
        <f t="shared" si="1"/>
        <v>P</v>
      </c>
      <c r="B262" s="2">
        <v>4.0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30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 t="str">
        <f t="shared" si="1"/>
        <v>X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>
        <v>4.0</v>
      </c>
      <c r="S263" s="2"/>
      <c r="T263" s="2"/>
      <c r="U263" s="2" t="s">
        <v>18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 t="str">
        <f t="shared" si="1"/>
        <v>M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26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 t="str">
        <f t="shared" si="1"/>
        <v>C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>
        <v>4.0</v>
      </c>
      <c r="N265" s="2"/>
      <c r="O265" s="2"/>
      <c r="P265" s="2"/>
      <c r="Q265" s="2"/>
      <c r="R265" s="2"/>
      <c r="S265" s="2"/>
      <c r="T265" s="2"/>
      <c r="U265" s="2" t="s">
        <v>27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 t="str">
        <f t="shared" si="1"/>
        <v>E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>
        <v>-4.0</v>
      </c>
      <c r="O266" s="2"/>
      <c r="P266" s="2"/>
      <c r="Q266" s="2"/>
      <c r="R266" s="2"/>
      <c r="S266" s="2"/>
      <c r="T266" s="2"/>
      <c r="U266" s="2" t="s">
        <v>28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 t="str">
        <f t="shared" si="1"/>
        <v>B</v>
      </c>
      <c r="B267" s="2"/>
      <c r="C267" s="2"/>
      <c r="D267" s="2"/>
      <c r="E267" s="2"/>
      <c r="F267" s="2"/>
      <c r="G267" s="2"/>
      <c r="H267" s="2"/>
      <c r="I267" s="2"/>
      <c r="J267" s="2">
        <v>4.0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29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 t="str">
        <f t="shared" si="1"/>
        <v>P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>
        <v>4.0</v>
      </c>
      <c r="Q268" s="2">
        <v>4.0</v>
      </c>
      <c r="R268" s="2"/>
      <c r="S268" s="2"/>
      <c r="T268" s="2"/>
      <c r="U268" s="2" t="s">
        <v>30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 t="str">
        <f t="shared" si="1"/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 t="str">
        <f t="shared" si="1"/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 t="str">
        <f t="shared" si="1"/>
        <v/>
      </c>
      <c r="B271" s="2" t="str">
        <f t="array" ref="B271:AM300">transpose(sort(transpose(All!A271:AL300),2,true))</f>
        <v/>
      </c>
      <c r="C271" s="2"/>
      <c r="D271" s="2"/>
      <c r="E271" s="2"/>
      <c r="F271" s="2"/>
      <c r="G271" s="2"/>
      <c r="H271" s="2"/>
      <c r="I271" s="2" t="s">
        <v>0</v>
      </c>
      <c r="J271" s="2"/>
      <c r="K271" s="2"/>
      <c r="L271" s="2"/>
      <c r="M271" s="2" t="s">
        <v>1</v>
      </c>
      <c r="N271" s="2" t="s">
        <v>2</v>
      </c>
      <c r="O271" s="2"/>
      <c r="P271" s="2"/>
      <c r="Q271" s="2"/>
      <c r="R271" s="2"/>
      <c r="S271" s="2" t="s">
        <v>3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 t="str">
        <f t="shared" si="1"/>
        <v/>
      </c>
      <c r="B272" s="2" t="s">
        <v>5</v>
      </c>
      <c r="C272" s="2" t="s">
        <v>12</v>
      </c>
      <c r="D272" s="2" t="s">
        <v>6</v>
      </c>
      <c r="E272" s="2" t="s">
        <v>19</v>
      </c>
      <c r="F272" s="2" t="s">
        <v>25</v>
      </c>
      <c r="G272" s="2" t="s">
        <v>14</v>
      </c>
      <c r="H272" s="2" t="s">
        <v>21</v>
      </c>
      <c r="I272" s="2" t="s">
        <v>4</v>
      </c>
      <c r="J272" s="2" t="s">
        <v>20</v>
      </c>
      <c r="K272" s="2" t="s">
        <v>8</v>
      </c>
      <c r="L272" s="2" t="s">
        <v>15</v>
      </c>
      <c r="M272" s="2" t="s">
        <v>11</v>
      </c>
      <c r="N272" s="2" t="s">
        <v>16</v>
      </c>
      <c r="O272" s="2" t="s">
        <v>17</v>
      </c>
      <c r="P272" s="2" t="s">
        <v>10</v>
      </c>
      <c r="Q272" s="2" t="s">
        <v>23</v>
      </c>
      <c r="R272" s="2" t="s">
        <v>24</v>
      </c>
      <c r="S272" s="2" t="s">
        <v>22</v>
      </c>
      <c r="T272" s="2" t="s">
        <v>13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 t="str">
        <f t="shared" si="1"/>
        <v/>
      </c>
      <c r="B273" s="2" t="b">
        <v>1</v>
      </c>
      <c r="C273" s="2" t="b">
        <v>1</v>
      </c>
      <c r="D273" s="2" t="b">
        <v>1</v>
      </c>
      <c r="E273" s="2" t="b">
        <v>0</v>
      </c>
      <c r="F273" s="2" t="b">
        <v>0</v>
      </c>
      <c r="G273" s="2" t="b">
        <v>1</v>
      </c>
      <c r="H273" s="2" t="b">
        <v>0</v>
      </c>
      <c r="I273" s="2" t="b">
        <v>1</v>
      </c>
      <c r="J273" s="2" t="b">
        <v>0</v>
      </c>
      <c r="K273" s="2" t="b">
        <v>1</v>
      </c>
      <c r="L273" s="2" t="b">
        <v>1</v>
      </c>
      <c r="M273" s="2" t="b">
        <v>1</v>
      </c>
      <c r="N273" s="2" t="b">
        <v>0</v>
      </c>
      <c r="O273" s="2" t="b">
        <v>0</v>
      </c>
      <c r="P273" s="2" t="b">
        <v>1</v>
      </c>
      <c r="Q273" s="2" t="b">
        <v>0</v>
      </c>
      <c r="R273" s="2" t="b">
        <v>0</v>
      </c>
      <c r="S273" s="2" t="b">
        <v>0</v>
      </c>
      <c r="T273" s="2" t="b">
        <v>1</v>
      </c>
      <c r="U273" s="2"/>
      <c r="V273" s="2" t="b">
        <v>0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 t="str">
        <f t="shared" si="1"/>
        <v>X</v>
      </c>
      <c r="B274" s="2"/>
      <c r="C274" s="2"/>
      <c r="D274" s="2"/>
      <c r="E274" s="2"/>
      <c r="F274" s="2"/>
      <c r="G274" s="2">
        <v>4.0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18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 t="str">
        <f t="shared" si="1"/>
        <v>M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26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 t="str">
        <f t="shared" si="1"/>
        <v>C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>
        <v>4.0</v>
      </c>
      <c r="N276" s="2"/>
      <c r="O276" s="2"/>
      <c r="P276" s="2"/>
      <c r="Q276" s="2"/>
      <c r="R276" s="2"/>
      <c r="S276" s="2"/>
      <c r="T276" s="2"/>
      <c r="U276" s="2" t="s">
        <v>27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 t="str">
        <f t="shared" si="1"/>
        <v>E</v>
      </c>
      <c r="B277" s="2"/>
      <c r="C277" s="2"/>
      <c r="D277" s="2">
        <v>4.0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28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 t="str">
        <f t="shared" si="1"/>
        <v>B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>
        <v>4.0</v>
      </c>
      <c r="Q278" s="2"/>
      <c r="R278" s="2"/>
      <c r="S278" s="2"/>
      <c r="T278" s="2"/>
      <c r="U278" s="2" t="s">
        <v>29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 t="str">
        <f t="shared" si="1"/>
        <v>P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30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 t="str">
        <f t="shared" si="1"/>
        <v>X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18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 t="str">
        <f t="shared" si="1"/>
        <v>M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26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 t="str">
        <f t="shared" si="1"/>
        <v>C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>
        <v>4.0</v>
      </c>
      <c r="N282" s="2"/>
      <c r="O282" s="2"/>
      <c r="P282" s="2"/>
      <c r="Q282" s="2"/>
      <c r="R282" s="2"/>
      <c r="S282" s="2"/>
      <c r="T282" s="2"/>
      <c r="U282" s="2" t="s">
        <v>27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 t="str">
        <f t="shared" si="1"/>
        <v>E</v>
      </c>
      <c r="B283" s="2"/>
      <c r="C283" s="2"/>
      <c r="D283" s="2">
        <v>4.0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28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 t="str">
        <f t="shared" si="1"/>
        <v>B</v>
      </c>
      <c r="B284" s="2"/>
      <c r="C284" s="2"/>
      <c r="D284" s="2"/>
      <c r="E284" s="2"/>
      <c r="F284" s="2"/>
      <c r="G284" s="2">
        <v>4.0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29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 t="str">
        <f t="shared" si="1"/>
        <v>P</v>
      </c>
      <c r="B285" s="2"/>
      <c r="C285" s="2"/>
      <c r="D285" s="2">
        <v>4.0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30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 t="str">
        <f t="shared" si="1"/>
        <v/>
      </c>
      <c r="B286" s="2" t="b">
        <v>1</v>
      </c>
      <c r="C286" s="2" t="b">
        <v>1</v>
      </c>
      <c r="D286" s="2" t="b">
        <v>1</v>
      </c>
      <c r="E286" s="2" t="b">
        <v>0</v>
      </c>
      <c r="F286" s="2" t="b">
        <v>0</v>
      </c>
      <c r="G286" s="2" t="b">
        <v>1</v>
      </c>
      <c r="H286" s="2" t="b">
        <v>0</v>
      </c>
      <c r="I286" s="2" t="b">
        <v>1</v>
      </c>
      <c r="J286" s="2" t="b">
        <v>0</v>
      </c>
      <c r="K286" s="2" t="b">
        <v>1</v>
      </c>
      <c r="L286" s="2" t="b">
        <v>1</v>
      </c>
      <c r="M286" s="2" t="b">
        <v>1</v>
      </c>
      <c r="N286" s="2" t="b">
        <v>0</v>
      </c>
      <c r="O286" s="2" t="b">
        <v>0</v>
      </c>
      <c r="P286" s="2" t="b">
        <v>1</v>
      </c>
      <c r="Q286" s="2" t="b">
        <v>0</v>
      </c>
      <c r="R286" s="2" t="b">
        <v>0</v>
      </c>
      <c r="S286" s="2" t="b">
        <v>0</v>
      </c>
      <c r="T286" s="2" t="b">
        <v>1</v>
      </c>
      <c r="U286" s="2"/>
      <c r="V286" s="2" t="b">
        <v>0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 t="str">
        <f t="shared" si="1"/>
        <v>X</v>
      </c>
      <c r="B287" s="2">
        <v>4.0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18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 t="str">
        <f t="shared" si="1"/>
        <v>M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26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 t="str">
        <f t="shared" si="1"/>
        <v>C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>
        <v>4.0</v>
      </c>
      <c r="N289" s="2"/>
      <c r="O289" s="2"/>
      <c r="P289" s="2"/>
      <c r="Q289" s="2"/>
      <c r="R289" s="2"/>
      <c r="S289" s="2"/>
      <c r="T289" s="2"/>
      <c r="U289" s="2" t="s">
        <v>27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 t="str">
        <f t="shared" si="1"/>
        <v>E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28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 t="str">
        <f t="shared" si="1"/>
        <v>B</v>
      </c>
      <c r="B291" s="2"/>
      <c r="C291" s="2"/>
      <c r="D291" s="2"/>
      <c r="E291" s="2"/>
      <c r="F291" s="2"/>
      <c r="G291" s="2">
        <v>4.0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29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 t="str">
        <f t="shared" si="1"/>
        <v>P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>
        <v>4.0</v>
      </c>
      <c r="Q292" s="2"/>
      <c r="R292" s="2"/>
      <c r="S292" s="2"/>
      <c r="T292" s="2"/>
      <c r="U292" s="2" t="s">
        <v>30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 t="str">
        <f t="shared" si="1"/>
        <v>X</v>
      </c>
      <c r="B293" s="2">
        <v>4.0</v>
      </c>
      <c r="C293" s="2"/>
      <c r="D293" s="2"/>
      <c r="E293" s="2"/>
      <c r="F293" s="2"/>
      <c r="G293" s="2"/>
      <c r="H293" s="2"/>
      <c r="I293" s="2"/>
      <c r="J293" s="2"/>
      <c r="K293" s="2"/>
      <c r="L293" s="2">
        <v>-4.0</v>
      </c>
      <c r="M293" s="2"/>
      <c r="N293" s="2"/>
      <c r="O293" s="2"/>
      <c r="P293" s="2"/>
      <c r="Q293" s="2"/>
      <c r="R293" s="2"/>
      <c r="S293" s="2"/>
      <c r="T293" s="2"/>
      <c r="U293" s="2" t="s">
        <v>18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 t="str">
        <f t="shared" si="1"/>
        <v>M</v>
      </c>
      <c r="B294" s="2"/>
      <c r="C294" s="2"/>
      <c r="D294" s="2"/>
      <c r="E294" s="2"/>
      <c r="F294" s="2"/>
      <c r="G294" s="2"/>
      <c r="H294" s="2"/>
      <c r="I294" s="2"/>
      <c r="J294" s="2"/>
      <c r="K294" s="2">
        <v>4.0</v>
      </c>
      <c r="L294" s="2"/>
      <c r="M294" s="2"/>
      <c r="N294" s="2"/>
      <c r="O294" s="2"/>
      <c r="P294" s="2"/>
      <c r="Q294" s="2"/>
      <c r="R294" s="2"/>
      <c r="S294" s="2"/>
      <c r="T294" s="2"/>
      <c r="U294" s="2" t="s">
        <v>26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 t="str">
        <f t="shared" si="1"/>
        <v>C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>
        <v>4.0</v>
      </c>
      <c r="N295" s="2"/>
      <c r="O295" s="2"/>
      <c r="P295" s="2"/>
      <c r="Q295" s="2"/>
      <c r="R295" s="2"/>
      <c r="S295" s="2"/>
      <c r="T295" s="2"/>
      <c r="U295" s="2" t="s">
        <v>27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 t="str">
        <f t="shared" si="1"/>
        <v>E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28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 t="str">
        <f t="shared" si="1"/>
        <v>B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>
        <v>4.0</v>
      </c>
      <c r="M297" s="2"/>
      <c r="N297" s="2"/>
      <c r="O297" s="2"/>
      <c r="P297" s="2">
        <v>-4.0</v>
      </c>
      <c r="Q297" s="2"/>
      <c r="R297" s="2"/>
      <c r="S297" s="2"/>
      <c r="T297" s="2"/>
      <c r="U297" s="2" t="s">
        <v>29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 t="str">
        <f t="shared" si="1"/>
        <v>P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30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 t="str">
        <f t="shared" si="1"/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 t="str">
        <f t="shared" si="1"/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 t="str">
        <f t="shared" si="1"/>
        <v/>
      </c>
      <c r="B301" s="2" t="str">
        <f t="array" ref="B301:AM330">transpose(sort(transpose(All!A301:AL330),2,true))</f>
        <v/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 t="str">
        <f t="shared" si="1"/>
        <v/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 t="str">
        <f t="shared" si="1"/>
        <v/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 t="str">
        <f t="shared" si="1"/>
        <v/>
      </c>
      <c r="B304" s="2" t="s">
        <v>18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 t="str">
        <f t="shared" si="1"/>
        <v/>
      </c>
      <c r="B305" s="2" t="s">
        <v>26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 t="str">
        <f t="shared" si="1"/>
        <v/>
      </c>
      <c r="B306" s="2" t="s">
        <v>27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 t="str">
        <f t="shared" si="1"/>
        <v/>
      </c>
      <c r="B307" s="2" t="s">
        <v>28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 t="str">
        <f t="shared" si="1"/>
        <v/>
      </c>
      <c r="B308" s="2" t="s">
        <v>29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 t="str">
        <f t="shared" si="1"/>
        <v/>
      </c>
      <c r="B309" s="2" t="s">
        <v>30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 t="str">
        <f t="shared" si="1"/>
        <v/>
      </c>
      <c r="B310" s="2" t="s">
        <v>18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 t="str">
        <f t="shared" si="1"/>
        <v/>
      </c>
      <c r="B311" s="2" t="s">
        <v>26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 t="str">
        <f t="shared" si="1"/>
        <v/>
      </c>
      <c r="B312" s="2" t="s">
        <v>27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 t="str">
        <f t="shared" si="1"/>
        <v/>
      </c>
      <c r="B313" s="2" t="s">
        <v>28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 t="str">
        <f t="shared" si="1"/>
        <v/>
      </c>
      <c r="B314" s="2" t="s">
        <v>29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 t="str">
        <f t="shared" si="1"/>
        <v/>
      </c>
      <c r="B315" s="2" t="s">
        <v>30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 t="str">
        <f t="shared" si="1"/>
        <v/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 t="str">
        <f t="shared" si="1"/>
        <v/>
      </c>
      <c r="B317" s="2" t="s">
        <v>18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 t="str">
        <f t="shared" si="1"/>
        <v/>
      </c>
      <c r="B318" s="2" t="s">
        <v>26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 t="str">
        <f t="shared" si="1"/>
        <v/>
      </c>
      <c r="B319" s="2" t="s">
        <v>27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 t="str">
        <f t="shared" si="1"/>
        <v/>
      </c>
      <c r="B320" s="2" t="s">
        <v>28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 t="str">
        <f t="shared" si="1"/>
        <v/>
      </c>
      <c r="B321" s="2" t="s">
        <v>29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 t="str">
        <f t="shared" si="1"/>
        <v/>
      </c>
      <c r="B322" s="2" t="s">
        <v>30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 t="str">
        <f t="shared" si="1"/>
        <v/>
      </c>
      <c r="B323" s="2" t="s">
        <v>18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 t="str">
        <f t="shared" si="1"/>
        <v/>
      </c>
      <c r="B324" s="2" t="s">
        <v>26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 t="str">
        <f t="shared" si="1"/>
        <v/>
      </c>
      <c r="B325" s="2" t="s">
        <v>27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 t="str">
        <f t="shared" si="1"/>
        <v/>
      </c>
      <c r="B326" s="2" t="s">
        <v>28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 t="str">
        <f t="shared" si="1"/>
        <v/>
      </c>
      <c r="B327" s="2" t="s">
        <v>29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 t="str">
        <f t="shared" si="1"/>
        <v/>
      </c>
      <c r="B328" s="2" t="s">
        <v>30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 t="str">
        <f t="shared" si="1"/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 t="str">
        <f t="shared" si="1"/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7" t="s">
        <v>71</v>
      </c>
      <c r="B331" s="10" t="s">
        <v>5</v>
      </c>
      <c r="C331" s="10" t="s">
        <v>12</v>
      </c>
      <c r="D331" s="10" t="s">
        <v>6</v>
      </c>
      <c r="E331" s="10" t="s">
        <v>19</v>
      </c>
      <c r="F331" s="10" t="s">
        <v>25</v>
      </c>
      <c r="G331" s="10" t="s">
        <v>14</v>
      </c>
      <c r="H331" s="10" t="s">
        <v>21</v>
      </c>
      <c r="I331" s="10" t="s">
        <v>4</v>
      </c>
      <c r="J331" s="10" t="s">
        <v>20</v>
      </c>
      <c r="K331" s="10" t="s">
        <v>8</v>
      </c>
      <c r="L331" s="10" t="s">
        <v>15</v>
      </c>
      <c r="M331" s="10" t="s">
        <v>11</v>
      </c>
      <c r="N331" s="10" t="s">
        <v>16</v>
      </c>
      <c r="O331" s="10" t="s">
        <v>17</v>
      </c>
      <c r="P331" s="10" t="s">
        <v>10</v>
      </c>
      <c r="Q331" s="10" t="s">
        <v>23</v>
      </c>
      <c r="R331" s="10" t="s">
        <v>24</v>
      </c>
      <c r="S331" s="10" t="s">
        <v>22</v>
      </c>
      <c r="T331" s="10" t="s">
        <v>13</v>
      </c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 t="s">
        <v>72</v>
      </c>
      <c r="AK331" s="10" t="s">
        <v>73</v>
      </c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</row>
    <row r="332">
      <c r="A332" s="7" t="s">
        <v>34</v>
      </c>
      <c r="B332" s="10">
        <f t="shared" ref="B332:T332" si="2">countif(B1:B330,"TRUE")/2</f>
        <v>10</v>
      </c>
      <c r="C332" s="10">
        <f t="shared" si="2"/>
        <v>10</v>
      </c>
      <c r="D332" s="10">
        <f t="shared" si="2"/>
        <v>10</v>
      </c>
      <c r="E332" s="10">
        <f t="shared" si="2"/>
        <v>9</v>
      </c>
      <c r="F332" s="10">
        <f t="shared" si="2"/>
        <v>9</v>
      </c>
      <c r="G332" s="10">
        <f t="shared" si="2"/>
        <v>10</v>
      </c>
      <c r="H332" s="10">
        <f t="shared" si="2"/>
        <v>9</v>
      </c>
      <c r="I332" s="10">
        <f t="shared" si="2"/>
        <v>10</v>
      </c>
      <c r="J332" s="10">
        <f t="shared" si="2"/>
        <v>9</v>
      </c>
      <c r="K332" s="10">
        <f t="shared" si="2"/>
        <v>10</v>
      </c>
      <c r="L332" s="10">
        <f t="shared" si="2"/>
        <v>10</v>
      </c>
      <c r="M332" s="10">
        <f t="shared" si="2"/>
        <v>10</v>
      </c>
      <c r="N332" s="10">
        <f t="shared" si="2"/>
        <v>9</v>
      </c>
      <c r="O332" s="10">
        <f t="shared" si="2"/>
        <v>9</v>
      </c>
      <c r="P332" s="10">
        <f t="shared" si="2"/>
        <v>10</v>
      </c>
      <c r="Q332" s="10">
        <f t="shared" si="2"/>
        <v>9</v>
      </c>
      <c r="R332" s="10">
        <f t="shared" si="2"/>
        <v>9</v>
      </c>
      <c r="S332" s="10">
        <f t="shared" si="2"/>
        <v>9</v>
      </c>
      <c r="T332" s="10">
        <f t="shared" si="2"/>
        <v>10</v>
      </c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>
        <f t="shared" ref="AJ332:AK332" si="3">countif(AJ1:AJ330,"TRUE")/2</f>
        <v>0</v>
      </c>
      <c r="AK332" s="10">
        <f t="shared" si="3"/>
        <v>0</v>
      </c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</row>
    <row r="333">
      <c r="A333" s="7" t="s">
        <v>35</v>
      </c>
      <c r="B333" s="10">
        <f t="shared" ref="B333:T333" si="4">countif(B1:B330,"4")</f>
        <v>29</v>
      </c>
      <c r="C333" s="10">
        <f t="shared" si="4"/>
        <v>16</v>
      </c>
      <c r="D333" s="10">
        <f t="shared" si="4"/>
        <v>20</v>
      </c>
      <c r="E333" s="10">
        <f t="shared" si="4"/>
        <v>3</v>
      </c>
      <c r="F333" s="10">
        <f t="shared" si="4"/>
        <v>0</v>
      </c>
      <c r="G333" s="10">
        <f t="shared" si="4"/>
        <v>21</v>
      </c>
      <c r="H333" s="10">
        <f t="shared" si="4"/>
        <v>15</v>
      </c>
      <c r="I333" s="10">
        <f t="shared" si="4"/>
        <v>2</v>
      </c>
      <c r="J333" s="10">
        <f t="shared" si="4"/>
        <v>11</v>
      </c>
      <c r="K333" s="10">
        <f t="shared" si="4"/>
        <v>10</v>
      </c>
      <c r="L333" s="10">
        <f t="shared" si="4"/>
        <v>11</v>
      </c>
      <c r="M333" s="10">
        <f t="shared" si="4"/>
        <v>37</v>
      </c>
      <c r="N333" s="10">
        <f t="shared" si="4"/>
        <v>9</v>
      </c>
      <c r="O333" s="10">
        <f t="shared" si="4"/>
        <v>0</v>
      </c>
      <c r="P333" s="10">
        <f t="shared" si="4"/>
        <v>25</v>
      </c>
      <c r="Q333" s="10">
        <f t="shared" si="4"/>
        <v>24</v>
      </c>
      <c r="R333" s="10">
        <f t="shared" si="4"/>
        <v>22</v>
      </c>
      <c r="S333" s="10">
        <f t="shared" si="4"/>
        <v>16</v>
      </c>
      <c r="T333" s="10">
        <f t="shared" si="4"/>
        <v>9</v>
      </c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>
        <f t="shared" ref="AJ333:AK333" si="5">countif(AJ1:AJ330,"4")</f>
        <v>0</v>
      </c>
      <c r="AK333" s="10">
        <f t="shared" si="5"/>
        <v>0</v>
      </c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</row>
    <row r="334">
      <c r="A334" s="7" t="s">
        <v>36</v>
      </c>
      <c r="B334" s="10">
        <f t="shared" ref="B334:T334" si="6">countif(B2:B331,"-4")</f>
        <v>0</v>
      </c>
      <c r="C334" s="10">
        <f t="shared" si="6"/>
        <v>3</v>
      </c>
      <c r="D334" s="10">
        <f t="shared" si="6"/>
        <v>1</v>
      </c>
      <c r="E334" s="10">
        <f t="shared" si="6"/>
        <v>2</v>
      </c>
      <c r="F334" s="10">
        <f t="shared" si="6"/>
        <v>2</v>
      </c>
      <c r="G334" s="10">
        <f t="shared" si="6"/>
        <v>0</v>
      </c>
      <c r="H334" s="10">
        <f t="shared" si="6"/>
        <v>6</v>
      </c>
      <c r="I334" s="10">
        <f t="shared" si="6"/>
        <v>0</v>
      </c>
      <c r="J334" s="10">
        <f t="shared" si="6"/>
        <v>9</v>
      </c>
      <c r="K334" s="10">
        <f t="shared" si="6"/>
        <v>0</v>
      </c>
      <c r="L334" s="10">
        <f t="shared" si="6"/>
        <v>5</v>
      </c>
      <c r="M334" s="10">
        <f t="shared" si="6"/>
        <v>6</v>
      </c>
      <c r="N334" s="10">
        <f t="shared" si="6"/>
        <v>4</v>
      </c>
      <c r="O334" s="10">
        <f t="shared" si="6"/>
        <v>4</v>
      </c>
      <c r="P334" s="10">
        <f t="shared" si="6"/>
        <v>1</v>
      </c>
      <c r="Q334" s="10">
        <f t="shared" si="6"/>
        <v>3</v>
      </c>
      <c r="R334" s="10">
        <f t="shared" si="6"/>
        <v>2</v>
      </c>
      <c r="S334" s="10">
        <f t="shared" si="6"/>
        <v>2</v>
      </c>
      <c r="T334" s="10">
        <f t="shared" si="6"/>
        <v>1</v>
      </c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>
        <f t="shared" ref="AJ334:AK334" si="7">countif(AJ2:AJ331,"-4")</f>
        <v>0</v>
      </c>
      <c r="AK334" s="10">
        <f t="shared" si="7"/>
        <v>0</v>
      </c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</row>
    <row r="335">
      <c r="A335" s="7" t="s">
        <v>38</v>
      </c>
      <c r="B335" s="7" t="s">
        <v>70</v>
      </c>
      <c r="C335" s="10">
        <f t="shared" ref="C335:F335" si="8">C333/C334</f>
        <v>5.333333333</v>
      </c>
      <c r="D335" s="10">
        <f t="shared" si="8"/>
        <v>20</v>
      </c>
      <c r="E335" s="10">
        <f t="shared" si="8"/>
        <v>1.5</v>
      </c>
      <c r="F335" s="10">
        <f t="shared" si="8"/>
        <v>0</v>
      </c>
      <c r="G335" s="7" t="s">
        <v>70</v>
      </c>
      <c r="H335" s="10">
        <f>H333/H334</f>
        <v>2.5</v>
      </c>
      <c r="I335" s="7" t="s">
        <v>70</v>
      </c>
      <c r="J335" s="10">
        <f>J333/J334</f>
        <v>1.222222222</v>
      </c>
      <c r="K335" s="7" t="s">
        <v>70</v>
      </c>
      <c r="L335" s="10">
        <f t="shared" ref="L335:T335" si="9">L333/L334</f>
        <v>2.2</v>
      </c>
      <c r="M335" s="10">
        <f t="shared" si="9"/>
        <v>6.166666667</v>
      </c>
      <c r="N335" s="10">
        <f t="shared" si="9"/>
        <v>2.25</v>
      </c>
      <c r="O335" s="10">
        <f t="shared" si="9"/>
        <v>0</v>
      </c>
      <c r="P335" s="10">
        <f t="shared" si="9"/>
        <v>25</v>
      </c>
      <c r="Q335" s="10">
        <f t="shared" si="9"/>
        <v>8</v>
      </c>
      <c r="R335" s="10">
        <f t="shared" si="9"/>
        <v>11</v>
      </c>
      <c r="S335" s="10">
        <f t="shared" si="9"/>
        <v>8</v>
      </c>
      <c r="T335" s="10">
        <f t="shared" si="9"/>
        <v>9</v>
      </c>
      <c r="U335" s="10"/>
      <c r="V335" s="10"/>
      <c r="W335" s="10"/>
      <c r="X335" s="10"/>
      <c r="Y335" s="10"/>
      <c r="Z335" s="10"/>
      <c r="AA335" s="10"/>
      <c r="AB335" s="10"/>
      <c r="AC335" s="10"/>
      <c r="AD335" s="7"/>
      <c r="AE335" s="7"/>
      <c r="AF335" s="10"/>
      <c r="AG335" s="10"/>
      <c r="AH335" s="7"/>
      <c r="AI335" s="7"/>
      <c r="AJ335" s="10" t="str">
        <f t="shared" ref="AJ335:AK335" si="10">AJ333/AJ334</f>
        <v>#DIV/0!</v>
      </c>
      <c r="AK335" s="10" t="str">
        <f t="shared" si="10"/>
        <v>#DIV/0!</v>
      </c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</row>
    <row r="336">
      <c r="A336" s="7" t="s">
        <v>40</v>
      </c>
      <c r="B336" s="10">
        <f t="shared" ref="B336:T336" si="11">4*B333-4*B334</f>
        <v>116</v>
      </c>
      <c r="C336" s="10">
        <f t="shared" si="11"/>
        <v>52</v>
      </c>
      <c r="D336" s="10">
        <f t="shared" si="11"/>
        <v>76</v>
      </c>
      <c r="E336" s="10">
        <f t="shared" si="11"/>
        <v>4</v>
      </c>
      <c r="F336" s="10">
        <f t="shared" si="11"/>
        <v>-8</v>
      </c>
      <c r="G336" s="10">
        <f t="shared" si="11"/>
        <v>84</v>
      </c>
      <c r="H336" s="10">
        <f t="shared" si="11"/>
        <v>36</v>
      </c>
      <c r="I336" s="10">
        <f t="shared" si="11"/>
        <v>8</v>
      </c>
      <c r="J336" s="10">
        <f t="shared" si="11"/>
        <v>8</v>
      </c>
      <c r="K336" s="10">
        <f t="shared" si="11"/>
        <v>40</v>
      </c>
      <c r="L336" s="10">
        <f t="shared" si="11"/>
        <v>24</v>
      </c>
      <c r="M336" s="10">
        <f t="shared" si="11"/>
        <v>124</v>
      </c>
      <c r="N336" s="10">
        <f t="shared" si="11"/>
        <v>20</v>
      </c>
      <c r="O336" s="10">
        <f t="shared" si="11"/>
        <v>-16</v>
      </c>
      <c r="P336" s="10">
        <f t="shared" si="11"/>
        <v>96</v>
      </c>
      <c r="Q336" s="10">
        <f t="shared" si="11"/>
        <v>84</v>
      </c>
      <c r="R336" s="10">
        <f t="shared" si="11"/>
        <v>80</v>
      </c>
      <c r="S336" s="10">
        <f t="shared" si="11"/>
        <v>56</v>
      </c>
      <c r="T336" s="10">
        <f t="shared" si="11"/>
        <v>32</v>
      </c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>
        <f t="shared" ref="AJ336:AK336" si="12">4*AJ333-4*AJ334</f>
        <v>0</v>
      </c>
      <c r="AK336" s="10">
        <f t="shared" si="12"/>
        <v>0</v>
      </c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</row>
    <row r="337">
      <c r="A337" s="7" t="s">
        <v>33</v>
      </c>
      <c r="B337" s="10">
        <f t="shared" ref="B337:T337" si="13">B336/B332</f>
        <v>11.6</v>
      </c>
      <c r="C337" s="10">
        <f t="shared" si="13"/>
        <v>5.2</v>
      </c>
      <c r="D337" s="10">
        <f t="shared" si="13"/>
        <v>7.6</v>
      </c>
      <c r="E337" s="10">
        <f t="shared" si="13"/>
        <v>0.4444444444</v>
      </c>
      <c r="F337" s="10">
        <f t="shared" si="13"/>
        <v>-0.8888888889</v>
      </c>
      <c r="G337" s="10">
        <f t="shared" si="13"/>
        <v>8.4</v>
      </c>
      <c r="H337" s="10">
        <f t="shared" si="13"/>
        <v>4</v>
      </c>
      <c r="I337" s="10">
        <f t="shared" si="13"/>
        <v>0.8</v>
      </c>
      <c r="J337" s="10">
        <f t="shared" si="13"/>
        <v>0.8888888889</v>
      </c>
      <c r="K337" s="10">
        <f t="shared" si="13"/>
        <v>4</v>
      </c>
      <c r="L337" s="10">
        <f t="shared" si="13"/>
        <v>2.4</v>
      </c>
      <c r="M337" s="10">
        <f t="shared" si="13"/>
        <v>12.4</v>
      </c>
      <c r="N337" s="10">
        <f t="shared" si="13"/>
        <v>2.222222222</v>
      </c>
      <c r="O337" s="10">
        <f t="shared" si="13"/>
        <v>-1.777777778</v>
      </c>
      <c r="P337" s="10">
        <f t="shared" si="13"/>
        <v>9.6</v>
      </c>
      <c r="Q337" s="10">
        <f t="shared" si="13"/>
        <v>9.333333333</v>
      </c>
      <c r="R337" s="10">
        <f t="shared" si="13"/>
        <v>8.888888889</v>
      </c>
      <c r="S337" s="10">
        <f t="shared" si="13"/>
        <v>6.222222222</v>
      </c>
      <c r="T337" s="10">
        <f t="shared" si="13"/>
        <v>3.2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 t="str">
        <f t="shared" ref="AJ337:AK337" si="14">AJ336/AJ332</f>
        <v>#DIV/0!</v>
      </c>
      <c r="AK337" s="10" t="str">
        <f t="shared" si="14"/>
        <v>#DIV/0!</v>
      </c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</row>
    <row r="338">
      <c r="A338" s="7" t="s">
        <v>46</v>
      </c>
      <c r="B338" s="10">
        <f t="shared" ref="B338:T338" si="15">countifs(B$1:B$330,4,$A$1:$A$330,"X")</f>
        <v>6</v>
      </c>
      <c r="C338" s="10">
        <f t="shared" si="15"/>
        <v>3</v>
      </c>
      <c r="D338" s="10">
        <f t="shared" si="15"/>
        <v>4</v>
      </c>
      <c r="E338" s="10">
        <f t="shared" si="15"/>
        <v>0</v>
      </c>
      <c r="F338" s="10">
        <f t="shared" si="15"/>
        <v>0</v>
      </c>
      <c r="G338" s="10">
        <f t="shared" si="15"/>
        <v>2</v>
      </c>
      <c r="H338" s="10">
        <f t="shared" si="15"/>
        <v>2</v>
      </c>
      <c r="I338" s="10">
        <f t="shared" si="15"/>
        <v>0</v>
      </c>
      <c r="J338" s="10">
        <f t="shared" si="15"/>
        <v>4</v>
      </c>
      <c r="K338" s="10">
        <f t="shared" si="15"/>
        <v>0</v>
      </c>
      <c r="L338" s="10">
        <f t="shared" si="15"/>
        <v>4</v>
      </c>
      <c r="M338" s="10">
        <f t="shared" si="15"/>
        <v>2</v>
      </c>
      <c r="N338" s="10">
        <f t="shared" si="15"/>
        <v>2</v>
      </c>
      <c r="O338" s="10">
        <f t="shared" si="15"/>
        <v>0</v>
      </c>
      <c r="P338" s="10">
        <f t="shared" si="15"/>
        <v>3</v>
      </c>
      <c r="Q338" s="10">
        <f t="shared" si="15"/>
        <v>6</v>
      </c>
      <c r="R338" s="10">
        <f t="shared" si="15"/>
        <v>3</v>
      </c>
      <c r="S338" s="10">
        <f t="shared" si="15"/>
        <v>4</v>
      </c>
      <c r="T338" s="10">
        <f t="shared" si="15"/>
        <v>1</v>
      </c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>
        <f t="shared" ref="AJ338:AK338" si="16">countifs(AJ$1:AJ$330,4,$A$1:$A$330,"X")</f>
        <v>0</v>
      </c>
      <c r="AK338" s="10">
        <f t="shared" si="16"/>
        <v>0</v>
      </c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</row>
    <row r="339">
      <c r="A339" s="7" t="s">
        <v>48</v>
      </c>
      <c r="B339" s="10">
        <f t="shared" ref="B339:T339" si="17">countifs(B$1:B$330,-4,$A$1:$A$330,"X")</f>
        <v>0</v>
      </c>
      <c r="C339" s="10">
        <f t="shared" si="17"/>
        <v>0</v>
      </c>
      <c r="D339" s="10">
        <f t="shared" si="17"/>
        <v>0</v>
      </c>
      <c r="E339" s="10">
        <f t="shared" si="17"/>
        <v>1</v>
      </c>
      <c r="F339" s="10">
        <f t="shared" si="17"/>
        <v>1</v>
      </c>
      <c r="G339" s="10">
        <f t="shared" si="17"/>
        <v>0</v>
      </c>
      <c r="H339" s="10">
        <f t="shared" si="17"/>
        <v>0</v>
      </c>
      <c r="I339" s="10">
        <f t="shared" si="17"/>
        <v>0</v>
      </c>
      <c r="J339" s="10">
        <f t="shared" si="17"/>
        <v>4</v>
      </c>
      <c r="K339" s="10">
        <f t="shared" si="17"/>
        <v>0</v>
      </c>
      <c r="L339" s="10">
        <f t="shared" si="17"/>
        <v>4</v>
      </c>
      <c r="M339" s="10">
        <f t="shared" si="17"/>
        <v>2</v>
      </c>
      <c r="N339" s="10">
        <f t="shared" si="17"/>
        <v>0</v>
      </c>
      <c r="O339" s="10">
        <f t="shared" si="17"/>
        <v>1</v>
      </c>
      <c r="P339" s="10">
        <f t="shared" si="17"/>
        <v>0</v>
      </c>
      <c r="Q339" s="10">
        <f t="shared" si="17"/>
        <v>2</v>
      </c>
      <c r="R339" s="10">
        <f t="shared" si="17"/>
        <v>0</v>
      </c>
      <c r="S339" s="10">
        <f t="shared" si="17"/>
        <v>1</v>
      </c>
      <c r="T339" s="10">
        <f t="shared" si="17"/>
        <v>1</v>
      </c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>
        <f t="shared" ref="AJ339:AK339" si="18">countifs(AJ$1:AJ$330,-4,$A$1:$A$330,"X")</f>
        <v>0</v>
      </c>
      <c r="AK339" s="10">
        <f t="shared" si="18"/>
        <v>0</v>
      </c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</row>
    <row r="340">
      <c r="A340" s="7" t="s">
        <v>50</v>
      </c>
      <c r="B340" s="10">
        <f t="shared" ref="B340:T340" si="19">4*(B338-B339)/B$332</f>
        <v>2.4</v>
      </c>
      <c r="C340" s="10">
        <f t="shared" si="19"/>
        <v>1.2</v>
      </c>
      <c r="D340" s="10">
        <f t="shared" si="19"/>
        <v>1.6</v>
      </c>
      <c r="E340" s="10">
        <f t="shared" si="19"/>
        <v>-0.4444444444</v>
      </c>
      <c r="F340" s="10">
        <f t="shared" si="19"/>
        <v>-0.4444444444</v>
      </c>
      <c r="G340" s="10">
        <f t="shared" si="19"/>
        <v>0.8</v>
      </c>
      <c r="H340" s="10">
        <f t="shared" si="19"/>
        <v>0.8888888889</v>
      </c>
      <c r="I340" s="10">
        <f t="shared" si="19"/>
        <v>0</v>
      </c>
      <c r="J340" s="10">
        <f t="shared" si="19"/>
        <v>0</v>
      </c>
      <c r="K340" s="10">
        <f t="shared" si="19"/>
        <v>0</v>
      </c>
      <c r="L340" s="10">
        <f t="shared" si="19"/>
        <v>0</v>
      </c>
      <c r="M340" s="10">
        <f t="shared" si="19"/>
        <v>0</v>
      </c>
      <c r="N340" s="10">
        <f t="shared" si="19"/>
        <v>0.8888888889</v>
      </c>
      <c r="O340" s="10">
        <f t="shared" si="19"/>
        <v>-0.4444444444</v>
      </c>
      <c r="P340" s="10">
        <f t="shared" si="19"/>
        <v>1.2</v>
      </c>
      <c r="Q340" s="10">
        <f t="shared" si="19"/>
        <v>1.777777778</v>
      </c>
      <c r="R340" s="10">
        <f t="shared" si="19"/>
        <v>1.333333333</v>
      </c>
      <c r="S340" s="10">
        <f t="shared" si="19"/>
        <v>1.333333333</v>
      </c>
      <c r="T340" s="10">
        <f t="shared" si="19"/>
        <v>0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 t="str">
        <f t="shared" ref="AJ340:AK340" si="20">4*(AJ338-AJ339)/AJ$332</f>
        <v>#DIV/0!</v>
      </c>
      <c r="AK340" s="10" t="str">
        <f t="shared" si="20"/>
        <v>#DIV/0!</v>
      </c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</row>
    <row r="341">
      <c r="A341" s="7" t="s">
        <v>53</v>
      </c>
      <c r="B341" s="10">
        <f t="shared" ref="B341:T341" si="21">countifs(B$1:B$330,4,$A$1:$A$330,"M")</f>
        <v>8</v>
      </c>
      <c r="C341" s="10">
        <f t="shared" si="21"/>
        <v>3</v>
      </c>
      <c r="D341" s="10">
        <f t="shared" si="21"/>
        <v>0</v>
      </c>
      <c r="E341" s="10">
        <f t="shared" si="21"/>
        <v>0</v>
      </c>
      <c r="F341" s="10">
        <f t="shared" si="21"/>
        <v>0</v>
      </c>
      <c r="G341" s="10">
        <f t="shared" si="21"/>
        <v>0</v>
      </c>
      <c r="H341" s="10">
        <f t="shared" si="21"/>
        <v>2</v>
      </c>
      <c r="I341" s="10">
        <f t="shared" si="21"/>
        <v>0</v>
      </c>
      <c r="J341" s="10">
        <f t="shared" si="21"/>
        <v>0</v>
      </c>
      <c r="K341" s="10">
        <f t="shared" si="21"/>
        <v>10</v>
      </c>
      <c r="L341" s="10">
        <f t="shared" si="21"/>
        <v>2</v>
      </c>
      <c r="M341" s="10">
        <f t="shared" si="21"/>
        <v>0</v>
      </c>
      <c r="N341" s="10">
        <f t="shared" si="21"/>
        <v>1</v>
      </c>
      <c r="O341" s="10">
        <f t="shared" si="21"/>
        <v>0</v>
      </c>
      <c r="P341" s="10">
        <f t="shared" si="21"/>
        <v>1</v>
      </c>
      <c r="Q341" s="10">
        <f t="shared" si="21"/>
        <v>4</v>
      </c>
      <c r="R341" s="10">
        <f t="shared" si="21"/>
        <v>4</v>
      </c>
      <c r="S341" s="10">
        <f t="shared" si="21"/>
        <v>1</v>
      </c>
      <c r="T341" s="10">
        <f t="shared" si="21"/>
        <v>4</v>
      </c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>
        <f t="shared" ref="AJ341:AK341" si="22">countifs(AJ$1:AJ$330,4,$A$1:$A$330,"M")</f>
        <v>0</v>
      </c>
      <c r="AK341" s="10">
        <f t="shared" si="22"/>
        <v>0</v>
      </c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</row>
    <row r="342">
      <c r="A342" s="7" t="s">
        <v>55</v>
      </c>
      <c r="B342" s="10">
        <f t="shared" ref="B342:T342" si="23">countifs(B$1:B$330,-4,$A$1:$A$330,"M")</f>
        <v>0</v>
      </c>
      <c r="C342" s="10">
        <f t="shared" si="23"/>
        <v>1</v>
      </c>
      <c r="D342" s="10">
        <f t="shared" si="23"/>
        <v>0</v>
      </c>
      <c r="E342" s="10">
        <f t="shared" si="23"/>
        <v>0</v>
      </c>
      <c r="F342" s="10">
        <f t="shared" si="23"/>
        <v>0</v>
      </c>
      <c r="G342" s="10">
        <f t="shared" si="23"/>
        <v>0</v>
      </c>
      <c r="H342" s="10">
        <f t="shared" si="23"/>
        <v>3</v>
      </c>
      <c r="I342" s="10">
        <f t="shared" si="23"/>
        <v>0</v>
      </c>
      <c r="J342" s="10">
        <f t="shared" si="23"/>
        <v>1</v>
      </c>
      <c r="K342" s="10">
        <f t="shared" si="23"/>
        <v>0</v>
      </c>
      <c r="L342" s="10">
        <f t="shared" si="23"/>
        <v>1</v>
      </c>
      <c r="M342" s="10">
        <f t="shared" si="23"/>
        <v>0</v>
      </c>
      <c r="N342" s="10">
        <f t="shared" si="23"/>
        <v>1</v>
      </c>
      <c r="O342" s="10">
        <f t="shared" si="23"/>
        <v>0</v>
      </c>
      <c r="P342" s="10">
        <f t="shared" si="23"/>
        <v>0</v>
      </c>
      <c r="Q342" s="10">
        <f t="shared" si="23"/>
        <v>0</v>
      </c>
      <c r="R342" s="10">
        <f t="shared" si="23"/>
        <v>0</v>
      </c>
      <c r="S342" s="10">
        <f t="shared" si="23"/>
        <v>0</v>
      </c>
      <c r="T342" s="10">
        <f t="shared" si="23"/>
        <v>0</v>
      </c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>
        <f t="shared" ref="AJ342:AK342" si="24">countifs(AJ$1:AJ$330,-4,$A$1:$A$330,"M")</f>
        <v>0</v>
      </c>
      <c r="AK342" s="10">
        <f t="shared" si="24"/>
        <v>0</v>
      </c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</row>
    <row r="343">
      <c r="A343" s="7" t="s">
        <v>57</v>
      </c>
      <c r="B343" s="10">
        <f t="shared" ref="B343:T343" si="25">4*(B341-B342)/B$332</f>
        <v>3.2</v>
      </c>
      <c r="C343" s="10">
        <f t="shared" si="25"/>
        <v>0.8</v>
      </c>
      <c r="D343" s="10">
        <f t="shared" si="25"/>
        <v>0</v>
      </c>
      <c r="E343" s="10">
        <f t="shared" si="25"/>
        <v>0</v>
      </c>
      <c r="F343" s="10">
        <f t="shared" si="25"/>
        <v>0</v>
      </c>
      <c r="G343" s="10">
        <f t="shared" si="25"/>
        <v>0</v>
      </c>
      <c r="H343" s="10">
        <f t="shared" si="25"/>
        <v>-0.4444444444</v>
      </c>
      <c r="I343" s="10">
        <f t="shared" si="25"/>
        <v>0</v>
      </c>
      <c r="J343" s="10">
        <f t="shared" si="25"/>
        <v>-0.4444444444</v>
      </c>
      <c r="K343" s="10">
        <f t="shared" si="25"/>
        <v>4</v>
      </c>
      <c r="L343" s="10">
        <f t="shared" si="25"/>
        <v>0.4</v>
      </c>
      <c r="M343" s="10">
        <f t="shared" si="25"/>
        <v>0</v>
      </c>
      <c r="N343" s="10">
        <f t="shared" si="25"/>
        <v>0</v>
      </c>
      <c r="O343" s="10">
        <f t="shared" si="25"/>
        <v>0</v>
      </c>
      <c r="P343" s="10">
        <f t="shared" si="25"/>
        <v>0.4</v>
      </c>
      <c r="Q343" s="10">
        <f t="shared" si="25"/>
        <v>1.777777778</v>
      </c>
      <c r="R343" s="10">
        <f t="shared" si="25"/>
        <v>1.777777778</v>
      </c>
      <c r="S343" s="10">
        <f t="shared" si="25"/>
        <v>0.4444444444</v>
      </c>
      <c r="T343" s="10">
        <f t="shared" si="25"/>
        <v>1.6</v>
      </c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 t="str">
        <f t="shared" ref="AJ343:AK343" si="26">4*(AJ341-AJ342)/AJ$332</f>
        <v>#DIV/0!</v>
      </c>
      <c r="AK343" s="10" t="str">
        <f t="shared" si="26"/>
        <v>#DIV/0!</v>
      </c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</row>
    <row r="344">
      <c r="A344" s="7" t="s">
        <v>58</v>
      </c>
      <c r="B344" s="10">
        <f t="shared" ref="B344:T344" si="27">countifs(B$1:B$330,4,$A$1:$A$330,"C")</f>
        <v>7</v>
      </c>
      <c r="C344" s="10">
        <f t="shared" si="27"/>
        <v>0</v>
      </c>
      <c r="D344" s="10">
        <f t="shared" si="27"/>
        <v>0</v>
      </c>
      <c r="E344" s="10">
        <f t="shared" si="27"/>
        <v>1</v>
      </c>
      <c r="F344" s="10">
        <f t="shared" si="27"/>
        <v>0</v>
      </c>
      <c r="G344" s="10">
        <f t="shared" si="27"/>
        <v>0</v>
      </c>
      <c r="H344" s="10">
        <f t="shared" si="27"/>
        <v>2</v>
      </c>
      <c r="I344" s="10">
        <f t="shared" si="27"/>
        <v>0</v>
      </c>
      <c r="J344" s="10">
        <f t="shared" si="27"/>
        <v>2</v>
      </c>
      <c r="K344" s="10">
        <f t="shared" si="27"/>
        <v>0</v>
      </c>
      <c r="L344" s="10">
        <f t="shared" si="27"/>
        <v>0</v>
      </c>
      <c r="M344" s="10">
        <f t="shared" si="27"/>
        <v>26</v>
      </c>
      <c r="N344" s="10">
        <f t="shared" si="27"/>
        <v>0</v>
      </c>
      <c r="O344" s="10">
        <f t="shared" si="27"/>
        <v>0</v>
      </c>
      <c r="P344" s="10">
        <f t="shared" si="27"/>
        <v>6</v>
      </c>
      <c r="Q344" s="10">
        <f t="shared" si="27"/>
        <v>2</v>
      </c>
      <c r="R344" s="10">
        <f t="shared" si="27"/>
        <v>3</v>
      </c>
      <c r="S344" s="10">
        <f t="shared" si="27"/>
        <v>3</v>
      </c>
      <c r="T344" s="10">
        <f t="shared" si="27"/>
        <v>1</v>
      </c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>
        <f t="shared" ref="AJ344:AK344" si="28">countifs(AJ$1:AJ$330,4,$A$1:$A$330,"C")</f>
        <v>0</v>
      </c>
      <c r="AK344" s="10">
        <f t="shared" si="28"/>
        <v>0</v>
      </c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</row>
    <row r="345">
      <c r="A345" s="7" t="s">
        <v>59</v>
      </c>
      <c r="B345" s="10">
        <f t="shared" ref="B345:T345" si="29">countifs(B$1:B$330,-4,$A$1:$A$330,"C")</f>
        <v>0</v>
      </c>
      <c r="C345" s="10">
        <f t="shared" si="29"/>
        <v>0</v>
      </c>
      <c r="D345" s="10">
        <f t="shared" si="29"/>
        <v>0</v>
      </c>
      <c r="E345" s="10">
        <f t="shared" si="29"/>
        <v>0</v>
      </c>
      <c r="F345" s="10">
        <f t="shared" si="29"/>
        <v>0</v>
      </c>
      <c r="G345" s="10">
        <f t="shared" si="29"/>
        <v>0</v>
      </c>
      <c r="H345" s="10">
        <f t="shared" si="29"/>
        <v>0</v>
      </c>
      <c r="I345" s="10">
        <f t="shared" si="29"/>
        <v>0</v>
      </c>
      <c r="J345" s="10">
        <f t="shared" si="29"/>
        <v>1</v>
      </c>
      <c r="K345" s="10">
        <f t="shared" si="29"/>
        <v>0</v>
      </c>
      <c r="L345" s="10">
        <f t="shared" si="29"/>
        <v>0</v>
      </c>
      <c r="M345" s="10">
        <f t="shared" si="29"/>
        <v>3</v>
      </c>
      <c r="N345" s="10">
        <f t="shared" si="29"/>
        <v>0</v>
      </c>
      <c r="O345" s="10">
        <f t="shared" si="29"/>
        <v>0</v>
      </c>
      <c r="P345" s="10">
        <f t="shared" si="29"/>
        <v>0</v>
      </c>
      <c r="Q345" s="10">
        <f t="shared" si="29"/>
        <v>1</v>
      </c>
      <c r="R345" s="10">
        <f t="shared" si="29"/>
        <v>2</v>
      </c>
      <c r="S345" s="10">
        <f t="shared" si="29"/>
        <v>0</v>
      </c>
      <c r="T345" s="10">
        <f t="shared" si="29"/>
        <v>0</v>
      </c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>
        <f t="shared" ref="AJ345:AK345" si="30">countifs(AJ$1:AJ$330,-4,$A$1:$A$330,"C")</f>
        <v>0</v>
      </c>
      <c r="AK345" s="10">
        <f t="shared" si="30"/>
        <v>0</v>
      </c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</row>
    <row r="346">
      <c r="A346" s="7" t="s">
        <v>60</v>
      </c>
      <c r="B346" s="10">
        <f t="shared" ref="B346:T346" si="31">4*(B344-B345)/B$332</f>
        <v>2.8</v>
      </c>
      <c r="C346" s="10">
        <f t="shared" si="31"/>
        <v>0</v>
      </c>
      <c r="D346" s="10">
        <f t="shared" si="31"/>
        <v>0</v>
      </c>
      <c r="E346" s="10">
        <f t="shared" si="31"/>
        <v>0.4444444444</v>
      </c>
      <c r="F346" s="10">
        <f t="shared" si="31"/>
        <v>0</v>
      </c>
      <c r="G346" s="10">
        <f t="shared" si="31"/>
        <v>0</v>
      </c>
      <c r="H346" s="10">
        <f t="shared" si="31"/>
        <v>0.8888888889</v>
      </c>
      <c r="I346" s="10">
        <f t="shared" si="31"/>
        <v>0</v>
      </c>
      <c r="J346" s="10">
        <f t="shared" si="31"/>
        <v>0.4444444444</v>
      </c>
      <c r="K346" s="10">
        <f t="shared" si="31"/>
        <v>0</v>
      </c>
      <c r="L346" s="10">
        <f t="shared" si="31"/>
        <v>0</v>
      </c>
      <c r="M346" s="10">
        <f t="shared" si="31"/>
        <v>9.2</v>
      </c>
      <c r="N346" s="10">
        <f t="shared" si="31"/>
        <v>0</v>
      </c>
      <c r="O346" s="10">
        <f t="shared" si="31"/>
        <v>0</v>
      </c>
      <c r="P346" s="10">
        <f t="shared" si="31"/>
        <v>2.4</v>
      </c>
      <c r="Q346" s="10">
        <f t="shared" si="31"/>
        <v>0.4444444444</v>
      </c>
      <c r="R346" s="10">
        <f t="shared" si="31"/>
        <v>0.4444444444</v>
      </c>
      <c r="S346" s="10">
        <f t="shared" si="31"/>
        <v>1.333333333</v>
      </c>
      <c r="T346" s="10">
        <f t="shared" si="31"/>
        <v>0.4</v>
      </c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 t="str">
        <f t="shared" ref="AJ346:AK346" si="32">4*(AJ344-AJ345)/AJ$332</f>
        <v>#DIV/0!</v>
      </c>
      <c r="AK346" s="10" t="str">
        <f t="shared" si="32"/>
        <v>#DIV/0!</v>
      </c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</row>
    <row r="347">
      <c r="A347" s="7" t="s">
        <v>61</v>
      </c>
      <c r="B347" s="10">
        <f t="shared" ref="B347:T347" si="33">countifs(B$1:B$330,4,$A$1:$A$330,"E")</f>
        <v>5</v>
      </c>
      <c r="C347" s="10">
        <f t="shared" si="33"/>
        <v>9</v>
      </c>
      <c r="D347" s="10">
        <f t="shared" si="33"/>
        <v>7</v>
      </c>
      <c r="E347" s="10">
        <f t="shared" si="33"/>
        <v>2</v>
      </c>
      <c r="F347" s="10">
        <f t="shared" si="33"/>
        <v>0</v>
      </c>
      <c r="G347" s="10">
        <f t="shared" si="33"/>
        <v>0</v>
      </c>
      <c r="H347" s="10">
        <f t="shared" si="33"/>
        <v>3</v>
      </c>
      <c r="I347" s="10">
        <f t="shared" si="33"/>
        <v>1</v>
      </c>
      <c r="J347" s="10">
        <f t="shared" si="33"/>
        <v>1</v>
      </c>
      <c r="K347" s="10">
        <f t="shared" si="33"/>
        <v>0</v>
      </c>
      <c r="L347" s="10">
        <f t="shared" si="33"/>
        <v>3</v>
      </c>
      <c r="M347" s="10">
        <f t="shared" si="33"/>
        <v>2</v>
      </c>
      <c r="N347" s="10">
        <f t="shared" si="33"/>
        <v>4</v>
      </c>
      <c r="O347" s="10">
        <f t="shared" si="33"/>
        <v>0</v>
      </c>
      <c r="P347" s="10">
        <f t="shared" si="33"/>
        <v>5</v>
      </c>
      <c r="Q347" s="10">
        <f t="shared" si="33"/>
        <v>4</v>
      </c>
      <c r="R347" s="10">
        <f t="shared" si="33"/>
        <v>3</v>
      </c>
      <c r="S347" s="10">
        <f t="shared" si="33"/>
        <v>1</v>
      </c>
      <c r="T347" s="10">
        <f t="shared" si="33"/>
        <v>0</v>
      </c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>
        <f t="shared" ref="AJ347:AK347" si="34">countifs(AJ$1:AJ$330,4,$A$1:$A$330,"E")</f>
        <v>0</v>
      </c>
      <c r="AK347" s="10">
        <f t="shared" si="34"/>
        <v>0</v>
      </c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</row>
    <row r="348">
      <c r="A348" s="7" t="s">
        <v>62</v>
      </c>
      <c r="B348" s="10">
        <f t="shared" ref="B348:T348" si="35">countifs(B$1:B$330,-4,$A$1:$A$330,"E")</f>
        <v>0</v>
      </c>
      <c r="C348" s="10">
        <f t="shared" si="35"/>
        <v>1</v>
      </c>
      <c r="D348" s="10">
        <f t="shared" si="35"/>
        <v>1</v>
      </c>
      <c r="E348" s="10">
        <f t="shared" si="35"/>
        <v>0</v>
      </c>
      <c r="F348" s="10">
        <f t="shared" si="35"/>
        <v>1</v>
      </c>
      <c r="G348" s="10">
        <f t="shared" si="35"/>
        <v>0</v>
      </c>
      <c r="H348" s="10">
        <f t="shared" si="35"/>
        <v>0</v>
      </c>
      <c r="I348" s="10">
        <f t="shared" si="35"/>
        <v>0</v>
      </c>
      <c r="J348" s="10">
        <f t="shared" si="35"/>
        <v>0</v>
      </c>
      <c r="K348" s="10">
        <f t="shared" si="35"/>
        <v>0</v>
      </c>
      <c r="L348" s="10">
        <f t="shared" si="35"/>
        <v>0</v>
      </c>
      <c r="M348" s="10">
        <f t="shared" si="35"/>
        <v>1</v>
      </c>
      <c r="N348" s="10">
        <f t="shared" si="35"/>
        <v>2</v>
      </c>
      <c r="O348" s="10">
        <f t="shared" si="35"/>
        <v>1</v>
      </c>
      <c r="P348" s="10">
        <f t="shared" si="35"/>
        <v>0</v>
      </c>
      <c r="Q348" s="10">
        <f t="shared" si="35"/>
        <v>0</v>
      </c>
      <c r="R348" s="10">
        <f t="shared" si="35"/>
        <v>0</v>
      </c>
      <c r="S348" s="10">
        <f t="shared" si="35"/>
        <v>1</v>
      </c>
      <c r="T348" s="10">
        <f t="shared" si="35"/>
        <v>0</v>
      </c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>
        <f t="shared" ref="AJ348:AK348" si="36">countifs(AJ$1:AJ$330,-4,$A$1:$A$330,"E")</f>
        <v>0</v>
      </c>
      <c r="AK348" s="10">
        <f t="shared" si="36"/>
        <v>0</v>
      </c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</row>
    <row r="349">
      <c r="A349" s="7" t="s">
        <v>63</v>
      </c>
      <c r="B349" s="10">
        <f t="shared" ref="B349:T349" si="37">4*(B347-B348)/B$332</f>
        <v>2</v>
      </c>
      <c r="C349" s="10">
        <f t="shared" si="37"/>
        <v>3.2</v>
      </c>
      <c r="D349" s="10">
        <f t="shared" si="37"/>
        <v>2.4</v>
      </c>
      <c r="E349" s="10">
        <f t="shared" si="37"/>
        <v>0.8888888889</v>
      </c>
      <c r="F349" s="10">
        <f t="shared" si="37"/>
        <v>-0.4444444444</v>
      </c>
      <c r="G349" s="10">
        <f t="shared" si="37"/>
        <v>0</v>
      </c>
      <c r="H349" s="10">
        <f t="shared" si="37"/>
        <v>1.333333333</v>
      </c>
      <c r="I349" s="10">
        <f t="shared" si="37"/>
        <v>0.4</v>
      </c>
      <c r="J349" s="10">
        <f t="shared" si="37"/>
        <v>0.4444444444</v>
      </c>
      <c r="K349" s="10">
        <f t="shared" si="37"/>
        <v>0</v>
      </c>
      <c r="L349" s="10">
        <f t="shared" si="37"/>
        <v>1.2</v>
      </c>
      <c r="M349" s="10">
        <f t="shared" si="37"/>
        <v>0.4</v>
      </c>
      <c r="N349" s="10">
        <f t="shared" si="37"/>
        <v>0.8888888889</v>
      </c>
      <c r="O349" s="10">
        <f t="shared" si="37"/>
        <v>-0.4444444444</v>
      </c>
      <c r="P349" s="10">
        <f t="shared" si="37"/>
        <v>2</v>
      </c>
      <c r="Q349" s="10">
        <f t="shared" si="37"/>
        <v>1.777777778</v>
      </c>
      <c r="R349" s="10">
        <f t="shared" si="37"/>
        <v>1.333333333</v>
      </c>
      <c r="S349" s="10">
        <f t="shared" si="37"/>
        <v>0</v>
      </c>
      <c r="T349" s="10">
        <f t="shared" si="37"/>
        <v>0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 t="str">
        <f t="shared" ref="AJ349:AK349" si="38">4*(AJ347-AJ348)/AJ$332</f>
        <v>#DIV/0!</v>
      </c>
      <c r="AK349" s="10" t="str">
        <f t="shared" si="38"/>
        <v>#DIV/0!</v>
      </c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</row>
    <row r="350">
      <c r="A350" s="7" t="s">
        <v>64</v>
      </c>
      <c r="B350" s="10">
        <f t="shared" ref="B350:T350" si="39">countifs(B$1:B$330,4,$A$1:$A$330,"B")</f>
        <v>2</v>
      </c>
      <c r="C350" s="10">
        <f t="shared" si="39"/>
        <v>1</v>
      </c>
      <c r="D350" s="10">
        <f t="shared" si="39"/>
        <v>0</v>
      </c>
      <c r="E350" s="10">
        <f t="shared" si="39"/>
        <v>0</v>
      </c>
      <c r="F350" s="10">
        <f t="shared" si="39"/>
        <v>0</v>
      </c>
      <c r="G350" s="10">
        <f t="shared" si="39"/>
        <v>19</v>
      </c>
      <c r="H350" s="10">
        <f t="shared" si="39"/>
        <v>3</v>
      </c>
      <c r="I350" s="10">
        <f t="shared" si="39"/>
        <v>0</v>
      </c>
      <c r="J350" s="10">
        <f t="shared" si="39"/>
        <v>1</v>
      </c>
      <c r="K350" s="10">
        <f t="shared" si="39"/>
        <v>0</v>
      </c>
      <c r="L350" s="10">
        <f t="shared" si="39"/>
        <v>2</v>
      </c>
      <c r="M350" s="10">
        <f t="shared" si="39"/>
        <v>0</v>
      </c>
      <c r="N350" s="10">
        <f t="shared" si="39"/>
        <v>2</v>
      </c>
      <c r="O350" s="10">
        <f t="shared" si="39"/>
        <v>0</v>
      </c>
      <c r="P350" s="10">
        <f t="shared" si="39"/>
        <v>4</v>
      </c>
      <c r="Q350" s="10">
        <f t="shared" si="39"/>
        <v>5</v>
      </c>
      <c r="R350" s="10">
        <f t="shared" si="39"/>
        <v>4</v>
      </c>
      <c r="S350" s="10">
        <f t="shared" si="39"/>
        <v>2</v>
      </c>
      <c r="T350" s="10">
        <f t="shared" si="39"/>
        <v>0</v>
      </c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>
        <f t="shared" ref="AJ350:AK350" si="40">countifs(AJ$1:AJ$330,4,$A$1:$A$330,"B")</f>
        <v>0</v>
      </c>
      <c r="AK350" s="10">
        <f t="shared" si="40"/>
        <v>0</v>
      </c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</row>
    <row r="351">
      <c r="A351" s="7" t="s">
        <v>65</v>
      </c>
      <c r="B351" s="10">
        <f t="shared" ref="B351:T351" si="41">countifs(B$1:B$330,-4,$A$1:$A$330,"B")</f>
        <v>0</v>
      </c>
      <c r="C351" s="10">
        <f t="shared" si="41"/>
        <v>0</v>
      </c>
      <c r="D351" s="10">
        <f t="shared" si="41"/>
        <v>0</v>
      </c>
      <c r="E351" s="10">
        <f t="shared" si="41"/>
        <v>0</v>
      </c>
      <c r="F351" s="10">
        <f t="shared" si="41"/>
        <v>0</v>
      </c>
      <c r="G351" s="10">
        <f t="shared" si="41"/>
        <v>0</v>
      </c>
      <c r="H351" s="10">
        <f t="shared" si="41"/>
        <v>2</v>
      </c>
      <c r="I351" s="10">
        <f t="shared" si="41"/>
        <v>0</v>
      </c>
      <c r="J351" s="10">
        <f t="shared" si="41"/>
        <v>2</v>
      </c>
      <c r="K351" s="10">
        <f t="shared" si="41"/>
        <v>0</v>
      </c>
      <c r="L351" s="10">
        <f t="shared" si="41"/>
        <v>0</v>
      </c>
      <c r="M351" s="10">
        <f t="shared" si="41"/>
        <v>0</v>
      </c>
      <c r="N351" s="10">
        <f t="shared" si="41"/>
        <v>0</v>
      </c>
      <c r="O351" s="10">
        <f t="shared" si="41"/>
        <v>0</v>
      </c>
      <c r="P351" s="10">
        <f t="shared" si="41"/>
        <v>1</v>
      </c>
      <c r="Q351" s="10">
        <f t="shared" si="41"/>
        <v>0</v>
      </c>
      <c r="R351" s="10">
        <f t="shared" si="41"/>
        <v>0</v>
      </c>
      <c r="S351" s="10">
        <f t="shared" si="41"/>
        <v>0</v>
      </c>
      <c r="T351" s="10">
        <f t="shared" si="41"/>
        <v>0</v>
      </c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>
        <f t="shared" ref="AJ351:AK351" si="42">countifs(AJ$1:AJ$330,-4,$A$1:$A$330,"B")</f>
        <v>0</v>
      </c>
      <c r="AK351" s="10">
        <f t="shared" si="42"/>
        <v>0</v>
      </c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</row>
    <row r="352">
      <c r="A352" s="7" t="s">
        <v>66</v>
      </c>
      <c r="B352" s="10">
        <f t="shared" ref="B352:T352" si="43">4*(B350-B351)/B$332</f>
        <v>0.8</v>
      </c>
      <c r="C352" s="10">
        <f t="shared" si="43"/>
        <v>0.4</v>
      </c>
      <c r="D352" s="10">
        <f t="shared" si="43"/>
        <v>0</v>
      </c>
      <c r="E352" s="10">
        <f t="shared" si="43"/>
        <v>0</v>
      </c>
      <c r="F352" s="10">
        <f t="shared" si="43"/>
        <v>0</v>
      </c>
      <c r="G352" s="10">
        <f t="shared" si="43"/>
        <v>7.6</v>
      </c>
      <c r="H352" s="10">
        <f t="shared" si="43"/>
        <v>0.4444444444</v>
      </c>
      <c r="I352" s="10">
        <f t="shared" si="43"/>
        <v>0</v>
      </c>
      <c r="J352" s="10">
        <f t="shared" si="43"/>
        <v>-0.4444444444</v>
      </c>
      <c r="K352" s="10">
        <f t="shared" si="43"/>
        <v>0</v>
      </c>
      <c r="L352" s="10">
        <f t="shared" si="43"/>
        <v>0.8</v>
      </c>
      <c r="M352" s="10">
        <f t="shared" si="43"/>
        <v>0</v>
      </c>
      <c r="N352" s="10">
        <f t="shared" si="43"/>
        <v>0.8888888889</v>
      </c>
      <c r="O352" s="10">
        <f t="shared" si="43"/>
        <v>0</v>
      </c>
      <c r="P352" s="10">
        <f t="shared" si="43"/>
        <v>1.2</v>
      </c>
      <c r="Q352" s="10">
        <f t="shared" si="43"/>
        <v>2.222222222</v>
      </c>
      <c r="R352" s="10">
        <f t="shared" si="43"/>
        <v>1.777777778</v>
      </c>
      <c r="S352" s="10">
        <f t="shared" si="43"/>
        <v>0.8888888889</v>
      </c>
      <c r="T352" s="10">
        <f t="shared" si="43"/>
        <v>0</v>
      </c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 t="str">
        <f t="shared" ref="AJ352:AK352" si="44">4*(AJ350-AJ351)/AJ$332</f>
        <v>#DIV/0!</v>
      </c>
      <c r="AK352" s="10" t="str">
        <f t="shared" si="44"/>
        <v>#DIV/0!</v>
      </c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</row>
    <row r="353">
      <c r="A353" s="7" t="s">
        <v>67</v>
      </c>
      <c r="B353" s="10">
        <f t="shared" ref="B353:T353" si="45">countifs(B$1:B$330,4,$A$1:$A$330,"P")</f>
        <v>1</v>
      </c>
      <c r="C353" s="10">
        <f t="shared" si="45"/>
        <v>0</v>
      </c>
      <c r="D353" s="10">
        <f t="shared" si="45"/>
        <v>9</v>
      </c>
      <c r="E353" s="10">
        <f t="shared" si="45"/>
        <v>0</v>
      </c>
      <c r="F353" s="10">
        <f t="shared" si="45"/>
        <v>0</v>
      </c>
      <c r="G353" s="10">
        <f t="shared" si="45"/>
        <v>0</v>
      </c>
      <c r="H353" s="10">
        <f t="shared" si="45"/>
        <v>3</v>
      </c>
      <c r="I353" s="10">
        <f t="shared" si="45"/>
        <v>1</v>
      </c>
      <c r="J353" s="10">
        <f t="shared" si="45"/>
        <v>3</v>
      </c>
      <c r="K353" s="10">
        <f t="shared" si="45"/>
        <v>0</v>
      </c>
      <c r="L353" s="10">
        <f t="shared" si="45"/>
        <v>0</v>
      </c>
      <c r="M353" s="10">
        <f t="shared" si="45"/>
        <v>7</v>
      </c>
      <c r="N353" s="10">
        <f t="shared" si="45"/>
        <v>0</v>
      </c>
      <c r="O353" s="10">
        <f t="shared" si="45"/>
        <v>0</v>
      </c>
      <c r="P353" s="10">
        <f t="shared" si="45"/>
        <v>6</v>
      </c>
      <c r="Q353" s="10">
        <f t="shared" si="45"/>
        <v>3</v>
      </c>
      <c r="R353" s="10">
        <f t="shared" si="45"/>
        <v>5</v>
      </c>
      <c r="S353" s="10">
        <f t="shared" si="45"/>
        <v>5</v>
      </c>
      <c r="T353" s="10">
        <f t="shared" si="45"/>
        <v>3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>
        <f t="shared" ref="AJ353:AK353" si="46">countifs(AJ$1:AJ$330,4,$A$1:$A$330,"P")</f>
        <v>0</v>
      </c>
      <c r="AK353" s="10">
        <f t="shared" si="46"/>
        <v>0</v>
      </c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</row>
    <row r="354">
      <c r="A354" s="7" t="s">
        <v>68</v>
      </c>
      <c r="B354" s="10">
        <f t="shared" ref="B354:T354" si="47">countifs(B$1:B$330,-4,$A$1:$A$330,"P")</f>
        <v>0</v>
      </c>
      <c r="C354" s="10">
        <f t="shared" si="47"/>
        <v>1</v>
      </c>
      <c r="D354" s="10">
        <f t="shared" si="47"/>
        <v>0</v>
      </c>
      <c r="E354" s="10">
        <f t="shared" si="47"/>
        <v>1</v>
      </c>
      <c r="F354" s="10">
        <f t="shared" si="47"/>
        <v>0</v>
      </c>
      <c r="G354" s="10">
        <f t="shared" si="47"/>
        <v>0</v>
      </c>
      <c r="H354" s="10">
        <f t="shared" si="47"/>
        <v>1</v>
      </c>
      <c r="I354" s="10">
        <f t="shared" si="47"/>
        <v>0</v>
      </c>
      <c r="J354" s="10">
        <f t="shared" si="47"/>
        <v>1</v>
      </c>
      <c r="K354" s="10">
        <f t="shared" si="47"/>
        <v>0</v>
      </c>
      <c r="L354" s="10">
        <f t="shared" si="47"/>
        <v>0</v>
      </c>
      <c r="M354" s="10">
        <f t="shared" si="47"/>
        <v>0</v>
      </c>
      <c r="N354" s="10">
        <f t="shared" si="47"/>
        <v>1</v>
      </c>
      <c r="O354" s="10">
        <f t="shared" si="47"/>
        <v>2</v>
      </c>
      <c r="P354" s="10">
        <f t="shared" si="47"/>
        <v>0</v>
      </c>
      <c r="Q354" s="10">
        <f t="shared" si="47"/>
        <v>0</v>
      </c>
      <c r="R354" s="10">
        <f t="shared" si="47"/>
        <v>0</v>
      </c>
      <c r="S354" s="10">
        <f t="shared" si="47"/>
        <v>0</v>
      </c>
      <c r="T354" s="10">
        <f t="shared" si="47"/>
        <v>0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>
        <f t="shared" ref="AJ354:AK354" si="48">countifs(AJ$1:AJ$330,-4,$A$1:$A$330,"P")</f>
        <v>0</v>
      </c>
      <c r="AK354" s="10">
        <f t="shared" si="48"/>
        <v>0</v>
      </c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</row>
    <row r="355">
      <c r="A355" s="7" t="s">
        <v>69</v>
      </c>
      <c r="B355" s="10">
        <f t="shared" ref="B355:T355" si="49">4*(B353-B354)/B$332</f>
        <v>0.4</v>
      </c>
      <c r="C355" s="10">
        <f t="shared" si="49"/>
        <v>-0.4</v>
      </c>
      <c r="D355" s="10">
        <f t="shared" si="49"/>
        <v>3.6</v>
      </c>
      <c r="E355" s="10">
        <f t="shared" si="49"/>
        <v>-0.4444444444</v>
      </c>
      <c r="F355" s="10">
        <f t="shared" si="49"/>
        <v>0</v>
      </c>
      <c r="G355" s="10">
        <f t="shared" si="49"/>
        <v>0</v>
      </c>
      <c r="H355" s="10">
        <f t="shared" si="49"/>
        <v>0.8888888889</v>
      </c>
      <c r="I355" s="10">
        <f t="shared" si="49"/>
        <v>0.4</v>
      </c>
      <c r="J355" s="10">
        <f t="shared" si="49"/>
        <v>0.8888888889</v>
      </c>
      <c r="K355" s="10">
        <f t="shared" si="49"/>
        <v>0</v>
      </c>
      <c r="L355" s="10">
        <f t="shared" si="49"/>
        <v>0</v>
      </c>
      <c r="M355" s="10">
        <f t="shared" si="49"/>
        <v>2.8</v>
      </c>
      <c r="N355" s="10">
        <f t="shared" si="49"/>
        <v>-0.4444444444</v>
      </c>
      <c r="O355" s="10">
        <f t="shared" si="49"/>
        <v>-0.8888888889</v>
      </c>
      <c r="P355" s="10">
        <f t="shared" si="49"/>
        <v>2.4</v>
      </c>
      <c r="Q355" s="10">
        <f t="shared" si="49"/>
        <v>1.333333333</v>
      </c>
      <c r="R355" s="10">
        <f t="shared" si="49"/>
        <v>2.222222222</v>
      </c>
      <c r="S355" s="10">
        <f t="shared" si="49"/>
        <v>2.222222222</v>
      </c>
      <c r="T355" s="10">
        <f t="shared" si="49"/>
        <v>1.2</v>
      </c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 t="str">
        <f t="shared" ref="AJ355:AK355" si="50">4*(AJ353-AJ354)/AJ$332</f>
        <v>#DIV/0!</v>
      </c>
      <c r="AK355" s="10" t="str">
        <f t="shared" si="50"/>
        <v>#DIV/0!</v>
      </c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tr">
        <f t="array" ref="B1:L30">transpose(sort(transpose(Full!A1:K30),1,true))</f>
        <v>LASA</v>
      </c>
      <c r="C1" s="2" t="s">
        <v>3</v>
      </c>
      <c r="D1" s="2" t="s">
        <v>1</v>
      </c>
      <c r="E1" s="2" t="s">
        <v>1</v>
      </c>
      <c r="F1" s="2" t="s">
        <v>0</v>
      </c>
      <c r="G1" s="2" t="s">
        <v>0</v>
      </c>
      <c r="H1" s="2" t="s">
        <v>2</v>
      </c>
      <c r="I1" s="2" t="s">
        <v>2</v>
      </c>
      <c r="J1" s="2"/>
      <c r="K1" s="2"/>
      <c r="L1" s="2"/>
    </row>
    <row r="2">
      <c r="B2" s="2" t="s">
        <v>7</v>
      </c>
      <c r="C2" s="2" t="s">
        <v>9</v>
      </c>
      <c r="D2" s="2" t="s">
        <v>7</v>
      </c>
      <c r="E2" s="2" t="s">
        <v>9</v>
      </c>
      <c r="F2" s="2" t="s">
        <v>7</v>
      </c>
      <c r="G2" s="2" t="s">
        <v>9</v>
      </c>
      <c r="H2" s="2" t="s">
        <v>7</v>
      </c>
      <c r="I2" s="2" t="s">
        <v>9</v>
      </c>
      <c r="J2" s="2"/>
      <c r="K2" s="2"/>
      <c r="L2" s="2"/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18</v>
      </c>
      <c r="B4" s="2">
        <v>0.0</v>
      </c>
      <c r="C4" s="2">
        <v>4.0</v>
      </c>
      <c r="D4" s="2"/>
      <c r="E4" s="2">
        <v>0.0</v>
      </c>
      <c r="F4" s="2">
        <v>10.0</v>
      </c>
      <c r="G4" s="2">
        <v>18.0</v>
      </c>
      <c r="H4" s="2"/>
      <c r="I4" s="2">
        <v>0.0</v>
      </c>
      <c r="J4" s="2" t="s">
        <v>18</v>
      </c>
      <c r="K4" s="2"/>
      <c r="L4" s="2"/>
    </row>
    <row r="5">
      <c r="A5" s="2" t="s">
        <v>26</v>
      </c>
      <c r="B5" s="2">
        <v>10.0</v>
      </c>
      <c r="C5" s="2">
        <v>18.0</v>
      </c>
      <c r="D5" s="2"/>
      <c r="E5" s="2">
        <v>0.0</v>
      </c>
      <c r="F5" s="2">
        <v>10.0</v>
      </c>
      <c r="G5" s="2">
        <v>32.0</v>
      </c>
      <c r="H5" s="2"/>
      <c r="I5" s="2">
        <v>0.0</v>
      </c>
      <c r="J5" s="2" t="s">
        <v>26</v>
      </c>
      <c r="K5" s="2"/>
      <c r="L5" s="2"/>
    </row>
    <row r="6">
      <c r="A6" s="2" t="s">
        <v>27</v>
      </c>
      <c r="B6" s="2">
        <v>0.0</v>
      </c>
      <c r="C6" s="2">
        <v>22.0</v>
      </c>
      <c r="D6" s="2"/>
      <c r="E6" s="2">
        <v>0.0</v>
      </c>
      <c r="F6" s="2">
        <v>0.0</v>
      </c>
      <c r="G6" s="2">
        <v>40.0</v>
      </c>
      <c r="H6" s="2"/>
      <c r="I6" s="2">
        <v>0.0</v>
      </c>
      <c r="J6" s="2" t="s">
        <v>27</v>
      </c>
      <c r="K6" s="2"/>
      <c r="L6" s="2"/>
    </row>
    <row r="7">
      <c r="A7" s="2" t="s">
        <v>28</v>
      </c>
      <c r="B7" s="2"/>
      <c r="C7" s="2">
        <v>22.0</v>
      </c>
      <c r="D7" s="2"/>
      <c r="E7" s="2">
        <v>0.0</v>
      </c>
      <c r="F7" s="2">
        <v>0.0</v>
      </c>
      <c r="G7" s="2">
        <v>48.0</v>
      </c>
      <c r="H7" s="2">
        <v>10.0</v>
      </c>
      <c r="I7" s="2">
        <v>14.0</v>
      </c>
      <c r="J7" s="2" t="s">
        <v>28</v>
      </c>
      <c r="K7" s="2"/>
      <c r="L7" s="2"/>
    </row>
    <row r="8">
      <c r="A8" s="2" t="s">
        <v>29</v>
      </c>
      <c r="B8" s="2">
        <v>10.0</v>
      </c>
      <c r="C8" s="2">
        <v>36.0</v>
      </c>
      <c r="D8" s="2"/>
      <c r="E8" s="2">
        <v>0.0</v>
      </c>
      <c r="F8" s="2">
        <v>10.0</v>
      </c>
      <c r="G8" s="2">
        <v>62.0</v>
      </c>
      <c r="H8" s="2"/>
      <c r="I8" s="2">
        <v>14.0</v>
      </c>
      <c r="J8" s="2" t="s">
        <v>29</v>
      </c>
      <c r="K8" s="2"/>
      <c r="L8" s="2"/>
    </row>
    <row r="9">
      <c r="A9" s="2" t="s">
        <v>30</v>
      </c>
      <c r="B9" s="2"/>
      <c r="C9" s="2">
        <v>36.0</v>
      </c>
      <c r="D9" s="2">
        <v>10.0</v>
      </c>
      <c r="E9" s="2">
        <v>14.0</v>
      </c>
      <c r="F9" s="2"/>
      <c r="G9" s="2">
        <v>62.0</v>
      </c>
      <c r="H9" s="2">
        <v>0.0</v>
      </c>
      <c r="I9" s="2">
        <v>18.0</v>
      </c>
      <c r="J9" s="2" t="s">
        <v>30</v>
      </c>
      <c r="K9" s="2"/>
      <c r="L9" s="2"/>
    </row>
    <row r="10">
      <c r="A10" s="2" t="s">
        <v>18</v>
      </c>
      <c r="B10" s="2"/>
      <c r="C10" s="2">
        <v>36.0</v>
      </c>
      <c r="D10" s="2"/>
      <c r="E10" s="2">
        <v>14.0</v>
      </c>
      <c r="F10" s="2">
        <v>10.0</v>
      </c>
      <c r="G10" s="2">
        <v>76.0</v>
      </c>
      <c r="H10" s="2"/>
      <c r="I10" s="2">
        <v>18.0</v>
      </c>
      <c r="J10" s="2" t="s">
        <v>18</v>
      </c>
      <c r="K10" s="2"/>
      <c r="L10" s="2"/>
    </row>
    <row r="11">
      <c r="A11" s="2" t="s">
        <v>26</v>
      </c>
      <c r="B11" s="2"/>
      <c r="C11" s="2">
        <v>40.0</v>
      </c>
      <c r="D11" s="2"/>
      <c r="E11" s="2">
        <v>14.0</v>
      </c>
      <c r="F11" s="2">
        <v>0.0</v>
      </c>
      <c r="G11" s="2">
        <v>80.0</v>
      </c>
      <c r="H11" s="2"/>
      <c r="I11" s="2">
        <v>18.0</v>
      </c>
      <c r="J11" s="2" t="s">
        <v>26</v>
      </c>
      <c r="K11" s="2"/>
      <c r="L11" s="2"/>
    </row>
    <row r="12">
      <c r="A12" s="2" t="s">
        <v>27</v>
      </c>
      <c r="B12" s="2">
        <v>0.0</v>
      </c>
      <c r="C12" s="2">
        <v>44.0</v>
      </c>
      <c r="D12" s="2"/>
      <c r="E12" s="2">
        <v>14.0</v>
      </c>
      <c r="F12" s="2">
        <v>10.0</v>
      </c>
      <c r="G12" s="2">
        <v>94.0</v>
      </c>
      <c r="H12" s="2"/>
      <c r="I12" s="2">
        <v>18.0</v>
      </c>
      <c r="J12" s="2" t="s">
        <v>27</v>
      </c>
      <c r="K12" s="2"/>
      <c r="L12" s="2"/>
    </row>
    <row r="13">
      <c r="A13" s="2" t="s">
        <v>28</v>
      </c>
      <c r="B13" s="2"/>
      <c r="C13" s="2">
        <v>44.0</v>
      </c>
      <c r="D13" s="2"/>
      <c r="E13" s="2">
        <v>14.0</v>
      </c>
      <c r="F13" s="2">
        <v>0.0</v>
      </c>
      <c r="G13" s="2">
        <v>98.0</v>
      </c>
      <c r="H13" s="2"/>
      <c r="I13" s="2">
        <v>18.0</v>
      </c>
      <c r="J13" s="2" t="s">
        <v>28</v>
      </c>
      <c r="K13" s="2"/>
      <c r="L13" s="2"/>
    </row>
    <row r="14">
      <c r="A14" s="2" t="s">
        <v>29</v>
      </c>
      <c r="B14" s="2">
        <v>10.0</v>
      </c>
      <c r="C14" s="2">
        <v>58.0</v>
      </c>
      <c r="D14" s="2">
        <v>10.0</v>
      </c>
      <c r="E14" s="2">
        <v>28.0</v>
      </c>
      <c r="F14" s="2"/>
      <c r="G14" s="2">
        <v>98.0</v>
      </c>
      <c r="H14" s="2"/>
      <c r="I14" s="2">
        <v>18.0</v>
      </c>
      <c r="J14" s="2" t="s">
        <v>29</v>
      </c>
      <c r="K14" s="2"/>
      <c r="L14" s="2"/>
    </row>
    <row r="15">
      <c r="A15" s="2" t="s">
        <v>30</v>
      </c>
      <c r="B15" s="2">
        <v>10.0</v>
      </c>
      <c r="C15" s="2">
        <v>72.0</v>
      </c>
      <c r="D15" s="2"/>
      <c r="E15" s="2">
        <v>28.0</v>
      </c>
      <c r="F15" s="2">
        <v>0.0</v>
      </c>
      <c r="G15" s="2">
        <v>102.0</v>
      </c>
      <c r="H15" s="2"/>
      <c r="I15" s="2">
        <v>18.0</v>
      </c>
      <c r="J15" s="2" t="s">
        <v>30</v>
      </c>
      <c r="K15" s="2"/>
      <c r="L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 t="s">
        <v>18</v>
      </c>
      <c r="B17" s="2"/>
      <c r="C17" s="2">
        <v>72.0</v>
      </c>
      <c r="D17" s="2">
        <v>10.0</v>
      </c>
      <c r="E17" s="2">
        <v>42.0</v>
      </c>
      <c r="F17" s="2"/>
      <c r="G17" s="2">
        <v>102.0</v>
      </c>
      <c r="H17" s="2">
        <v>0.0</v>
      </c>
      <c r="I17" s="2">
        <v>22.0</v>
      </c>
      <c r="J17" s="2" t="s">
        <v>18</v>
      </c>
      <c r="K17" s="2"/>
      <c r="L17" s="2"/>
    </row>
    <row r="18">
      <c r="A18" s="2" t="s">
        <v>26</v>
      </c>
      <c r="B18" s="2"/>
      <c r="C18" s="2">
        <v>72.0</v>
      </c>
      <c r="D18" s="2"/>
      <c r="E18" s="2">
        <v>42.0</v>
      </c>
      <c r="F18" s="2"/>
      <c r="G18" s="2">
        <v>102.0</v>
      </c>
      <c r="H18" s="2">
        <v>0.0</v>
      </c>
      <c r="I18" s="2">
        <v>26.0</v>
      </c>
      <c r="J18" s="2" t="s">
        <v>26</v>
      </c>
      <c r="K18" s="2"/>
      <c r="L18" s="2"/>
    </row>
    <row r="19">
      <c r="A19" s="2" t="s">
        <v>27</v>
      </c>
      <c r="B19" s="2"/>
      <c r="C19" s="2">
        <v>72.0</v>
      </c>
      <c r="D19" s="2">
        <v>0.0</v>
      </c>
      <c r="E19" s="2">
        <v>46.0</v>
      </c>
      <c r="F19" s="2"/>
      <c r="G19" s="2">
        <v>102.0</v>
      </c>
      <c r="H19" s="2">
        <v>0.0</v>
      </c>
      <c r="I19" s="2">
        <v>30.0</v>
      </c>
      <c r="J19" s="2" t="s">
        <v>27</v>
      </c>
      <c r="K19" s="2"/>
      <c r="L19" s="2"/>
    </row>
    <row r="20">
      <c r="A20" s="2" t="s">
        <v>28</v>
      </c>
      <c r="B20" s="2"/>
      <c r="C20" s="2">
        <v>72.0</v>
      </c>
      <c r="D20" s="2"/>
      <c r="E20" s="2">
        <v>46.0</v>
      </c>
      <c r="F20" s="2">
        <v>10.0</v>
      </c>
      <c r="G20" s="2">
        <v>116.0</v>
      </c>
      <c r="H20" s="2">
        <v>10.0</v>
      </c>
      <c r="I20" s="2">
        <v>44.0</v>
      </c>
      <c r="J20" s="2" t="s">
        <v>28</v>
      </c>
      <c r="K20" s="2"/>
      <c r="L20" s="2"/>
    </row>
    <row r="21">
      <c r="A21" s="2" t="s">
        <v>29</v>
      </c>
      <c r="B21" s="2">
        <v>0.0</v>
      </c>
      <c r="C21" s="2">
        <v>76.0</v>
      </c>
      <c r="D21" s="2">
        <v>10.0</v>
      </c>
      <c r="E21" s="2">
        <v>60.0</v>
      </c>
      <c r="F21" s="2"/>
      <c r="G21" s="2">
        <v>116.0</v>
      </c>
      <c r="H21" s="2"/>
      <c r="I21" s="2">
        <v>44.0</v>
      </c>
      <c r="J21" s="2" t="s">
        <v>29</v>
      </c>
      <c r="K21" s="2"/>
      <c r="L21" s="2"/>
    </row>
    <row r="22">
      <c r="A22" s="2" t="s">
        <v>30</v>
      </c>
      <c r="B22" s="2">
        <v>0.0</v>
      </c>
      <c r="C22" s="2">
        <v>80.0</v>
      </c>
      <c r="D22" s="2"/>
      <c r="E22" s="2">
        <v>60.0</v>
      </c>
      <c r="F22" s="2">
        <v>0.0</v>
      </c>
      <c r="G22" s="2">
        <v>124.0</v>
      </c>
      <c r="H22" s="2"/>
      <c r="I22" s="2">
        <v>44.0</v>
      </c>
      <c r="J22" s="2" t="s">
        <v>30</v>
      </c>
      <c r="K22" s="2"/>
      <c r="L22" s="2"/>
    </row>
    <row r="23">
      <c r="A23" s="2" t="s">
        <v>18</v>
      </c>
      <c r="B23" s="2"/>
      <c r="C23" s="2">
        <v>80.0</v>
      </c>
      <c r="D23" s="2">
        <v>10.0</v>
      </c>
      <c r="E23" s="2">
        <v>74.0</v>
      </c>
      <c r="F23" s="2"/>
      <c r="G23" s="2">
        <v>124.0</v>
      </c>
      <c r="H23" s="2"/>
      <c r="I23" s="2">
        <v>48.0</v>
      </c>
      <c r="J23" s="2" t="s">
        <v>18</v>
      </c>
      <c r="K23" s="2"/>
      <c r="L23" s="2"/>
    </row>
    <row r="24">
      <c r="A24" s="2" t="s">
        <v>26</v>
      </c>
      <c r="B24" s="2">
        <v>10.0</v>
      </c>
      <c r="C24" s="2">
        <v>94.0</v>
      </c>
      <c r="D24" s="2"/>
      <c r="E24" s="2">
        <v>74.0</v>
      </c>
      <c r="F24" s="2">
        <v>10.0</v>
      </c>
      <c r="G24" s="2">
        <v>138.0</v>
      </c>
      <c r="H24" s="2"/>
      <c r="I24" s="2">
        <v>48.0</v>
      </c>
      <c r="J24" s="2" t="s">
        <v>26</v>
      </c>
      <c r="K24" s="2"/>
      <c r="L24" s="2"/>
    </row>
    <row r="25">
      <c r="A25" s="2" t="s">
        <v>27</v>
      </c>
      <c r="B25" s="2">
        <v>10.0</v>
      </c>
      <c r="C25" s="2">
        <v>108.0</v>
      </c>
      <c r="D25" s="2">
        <v>10.0</v>
      </c>
      <c r="E25" s="2">
        <v>88.0</v>
      </c>
      <c r="F25" s="2"/>
      <c r="G25" s="2">
        <v>138.0</v>
      </c>
      <c r="H25" s="2"/>
      <c r="I25" s="2">
        <v>48.0</v>
      </c>
      <c r="J25" s="2" t="s">
        <v>27</v>
      </c>
      <c r="K25" s="2"/>
      <c r="L25" s="2"/>
    </row>
    <row r="26">
      <c r="A26" s="2" t="s">
        <v>28</v>
      </c>
      <c r="B26" s="2"/>
      <c r="C26" s="2">
        <v>108.0</v>
      </c>
      <c r="D26" s="2">
        <v>0.0</v>
      </c>
      <c r="E26" s="2">
        <v>92.0</v>
      </c>
      <c r="F26" s="2"/>
      <c r="G26" s="2">
        <v>138.0</v>
      </c>
      <c r="H26" s="2">
        <v>0.0</v>
      </c>
      <c r="I26" s="2">
        <v>52.0</v>
      </c>
      <c r="J26" s="2" t="s">
        <v>28</v>
      </c>
      <c r="K26" s="2"/>
      <c r="L26" s="2"/>
    </row>
    <row r="27">
      <c r="A27" s="2" t="s">
        <v>29</v>
      </c>
      <c r="B27" s="2"/>
      <c r="C27" s="2">
        <v>108.0</v>
      </c>
      <c r="D27" s="2">
        <v>0.0</v>
      </c>
      <c r="E27" s="2">
        <v>96.0</v>
      </c>
      <c r="F27" s="2"/>
      <c r="G27" s="2">
        <v>138.0</v>
      </c>
      <c r="H27" s="2"/>
      <c r="I27" s="2">
        <v>52.0</v>
      </c>
      <c r="J27" s="2" t="s">
        <v>29</v>
      </c>
      <c r="K27" s="2"/>
      <c r="L27" s="2"/>
    </row>
    <row r="28">
      <c r="A28" s="2" t="s">
        <v>30</v>
      </c>
      <c r="B28" s="2">
        <v>10.0</v>
      </c>
      <c r="C28" s="2">
        <v>126.0</v>
      </c>
      <c r="D28" s="2"/>
      <c r="E28" s="2">
        <v>96.0</v>
      </c>
      <c r="F28" s="2">
        <v>10.0</v>
      </c>
      <c r="G28" s="2">
        <v>152.0</v>
      </c>
      <c r="H28" s="2"/>
      <c r="I28" s="2">
        <v>52.0</v>
      </c>
      <c r="J28" s="2" t="s">
        <v>30</v>
      </c>
      <c r="K28" s="2"/>
      <c r="L28" s="2"/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>
      <c r="B31" s="2" t="str">
        <f t="array" ref="B31:S60">transpose(sort(transpose(Full!A31:R60),1,true))</f>
        <v>LASA</v>
      </c>
      <c r="C31" s="2" t="s">
        <v>3</v>
      </c>
      <c r="D31" s="2" t="s">
        <v>1</v>
      </c>
      <c r="E31" s="2" t="s">
        <v>1</v>
      </c>
      <c r="F31" s="2" t="s">
        <v>0</v>
      </c>
      <c r="G31" s="2" t="s">
        <v>0</v>
      </c>
      <c r="H31" s="2" t="s">
        <v>2</v>
      </c>
      <c r="I31" s="2" t="s">
        <v>2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B32" s="2" t="s">
        <v>7</v>
      </c>
      <c r="C32" s="2" t="s">
        <v>9</v>
      </c>
      <c r="D32" s="2" t="s">
        <v>7</v>
      </c>
      <c r="E32" s="2" t="s">
        <v>9</v>
      </c>
      <c r="F32" s="2" t="s">
        <v>7</v>
      </c>
      <c r="G32" s="2" t="s">
        <v>9</v>
      </c>
      <c r="H32" s="2" t="s">
        <v>7</v>
      </c>
      <c r="I32" s="2" t="s">
        <v>9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 t="s">
        <v>18</v>
      </c>
      <c r="B34" s="2"/>
      <c r="C34" s="2">
        <v>0.0</v>
      </c>
      <c r="D34" s="2"/>
      <c r="E34" s="2">
        <v>0.0</v>
      </c>
      <c r="F34" s="2">
        <v>10.0</v>
      </c>
      <c r="G34" s="2">
        <v>14.0</v>
      </c>
      <c r="H34" s="2">
        <v>10.0</v>
      </c>
      <c r="I34" s="2">
        <v>14.0</v>
      </c>
      <c r="J34" s="2" t="s">
        <v>18</v>
      </c>
      <c r="K34" s="2"/>
      <c r="L34" s="2"/>
      <c r="M34" s="2"/>
      <c r="N34" s="2"/>
      <c r="O34" s="2"/>
      <c r="P34" s="2"/>
      <c r="Q34" s="2"/>
      <c r="R34" s="2"/>
      <c r="S34" s="2"/>
    </row>
    <row r="35">
      <c r="A35" s="2" t="s">
        <v>26</v>
      </c>
      <c r="B35" s="2"/>
      <c r="C35" s="2">
        <v>0.0</v>
      </c>
      <c r="D35" s="2"/>
      <c r="E35" s="2">
        <v>0.0</v>
      </c>
      <c r="F35" s="2">
        <v>10.0</v>
      </c>
      <c r="G35" s="2">
        <v>28.0</v>
      </c>
      <c r="H35" s="2">
        <v>0.0</v>
      </c>
      <c r="I35" s="2">
        <v>18.0</v>
      </c>
      <c r="J35" s="2" t="s">
        <v>26</v>
      </c>
      <c r="K35" s="2"/>
      <c r="L35" s="2"/>
      <c r="M35" s="2"/>
      <c r="N35" s="2"/>
      <c r="O35" s="2"/>
      <c r="P35" s="2"/>
      <c r="Q35" s="2"/>
      <c r="R35" s="2"/>
      <c r="S35" s="2"/>
    </row>
    <row r="36">
      <c r="A36" s="2" t="s">
        <v>27</v>
      </c>
      <c r="B36" s="2"/>
      <c r="C36" s="2">
        <v>0.0</v>
      </c>
      <c r="D36" s="2"/>
      <c r="E36" s="2">
        <v>0.0</v>
      </c>
      <c r="F36" s="2"/>
      <c r="G36" s="2">
        <v>28.0</v>
      </c>
      <c r="H36" s="2"/>
      <c r="I36" s="2">
        <v>18.0</v>
      </c>
      <c r="J36" s="2" t="s">
        <v>27</v>
      </c>
      <c r="K36" s="2"/>
      <c r="L36" s="2"/>
      <c r="M36" s="2"/>
      <c r="N36" s="2"/>
      <c r="O36" s="2"/>
      <c r="P36" s="2"/>
      <c r="Q36" s="2"/>
      <c r="R36" s="2"/>
      <c r="S36" s="2"/>
    </row>
    <row r="37">
      <c r="A37" s="2" t="s">
        <v>28</v>
      </c>
      <c r="B37" s="2">
        <v>10.0</v>
      </c>
      <c r="C37" s="2">
        <v>14.0</v>
      </c>
      <c r="D37" s="2">
        <v>10.0</v>
      </c>
      <c r="E37" s="2">
        <v>14.0</v>
      </c>
      <c r="F37" s="2"/>
      <c r="G37" s="2">
        <v>28.0</v>
      </c>
      <c r="H37" s="2"/>
      <c r="I37" s="2">
        <v>18.0</v>
      </c>
      <c r="J37" s="2" t="s">
        <v>28</v>
      </c>
      <c r="K37" s="2"/>
      <c r="L37" s="2"/>
      <c r="M37" s="2"/>
      <c r="N37" s="2"/>
      <c r="O37" s="2"/>
      <c r="P37" s="2"/>
      <c r="Q37" s="2"/>
      <c r="R37" s="2"/>
      <c r="S37" s="2"/>
    </row>
    <row r="38">
      <c r="A38" s="2" t="s">
        <v>29</v>
      </c>
      <c r="B38" s="2">
        <v>0.0</v>
      </c>
      <c r="C38" s="2">
        <v>18.0</v>
      </c>
      <c r="D38" s="2">
        <v>0.0</v>
      </c>
      <c r="E38" s="2">
        <v>18.0</v>
      </c>
      <c r="F38" s="2"/>
      <c r="G38" s="2">
        <v>28.0</v>
      </c>
      <c r="H38" s="2"/>
      <c r="I38" s="2">
        <v>18.0</v>
      </c>
      <c r="J38" s="2" t="s">
        <v>29</v>
      </c>
      <c r="K38" s="2"/>
      <c r="L38" s="2"/>
      <c r="M38" s="2"/>
      <c r="N38" s="2"/>
      <c r="O38" s="2"/>
      <c r="P38" s="2"/>
      <c r="Q38" s="2"/>
      <c r="R38" s="2"/>
      <c r="S38" s="2"/>
    </row>
    <row r="39">
      <c r="A39" s="2" t="s">
        <v>30</v>
      </c>
      <c r="B39" s="2"/>
      <c r="C39" s="2">
        <v>18.0</v>
      </c>
      <c r="D39" s="2">
        <v>0.0</v>
      </c>
      <c r="E39" s="2">
        <v>26.0</v>
      </c>
      <c r="F39" s="2">
        <v>0.0</v>
      </c>
      <c r="G39" s="2">
        <v>32.0</v>
      </c>
      <c r="H39" s="2"/>
      <c r="I39" s="2">
        <v>18.0</v>
      </c>
      <c r="J39" s="2" t="s">
        <v>30</v>
      </c>
      <c r="K39" s="2"/>
      <c r="L39" s="2"/>
      <c r="M39" s="2"/>
      <c r="N39" s="2"/>
      <c r="O39" s="2"/>
      <c r="P39" s="2"/>
      <c r="Q39" s="2"/>
      <c r="R39" s="2"/>
      <c r="S39" s="2"/>
    </row>
    <row r="40">
      <c r="A40" s="2" t="s">
        <v>18</v>
      </c>
      <c r="B40" s="2">
        <v>10.0</v>
      </c>
      <c r="C40" s="2">
        <v>32.0</v>
      </c>
      <c r="D40" s="2">
        <v>10.0</v>
      </c>
      <c r="E40" s="2">
        <v>40.0</v>
      </c>
      <c r="F40" s="2"/>
      <c r="G40" s="2">
        <v>32.0</v>
      </c>
      <c r="H40" s="2"/>
      <c r="I40" s="2">
        <v>18.0</v>
      </c>
      <c r="J40" s="2" t="s">
        <v>18</v>
      </c>
      <c r="K40" s="2"/>
      <c r="L40" s="2"/>
      <c r="M40" s="2"/>
      <c r="N40" s="2"/>
      <c r="O40" s="2"/>
      <c r="P40" s="2"/>
      <c r="Q40" s="2"/>
      <c r="R40" s="2"/>
      <c r="S40" s="2"/>
    </row>
    <row r="41">
      <c r="A41" s="2" t="s">
        <v>26</v>
      </c>
      <c r="B41" s="2"/>
      <c r="C41" s="2">
        <v>32.0</v>
      </c>
      <c r="D41" s="2">
        <v>0.0</v>
      </c>
      <c r="E41" s="2">
        <v>44.0</v>
      </c>
      <c r="F41" s="2">
        <v>0.0</v>
      </c>
      <c r="G41" s="2">
        <v>36.0</v>
      </c>
      <c r="H41" s="2"/>
      <c r="I41" s="2">
        <v>18.0</v>
      </c>
      <c r="J41" s="2" t="s">
        <v>26</v>
      </c>
      <c r="K41" s="2"/>
      <c r="L41" s="2"/>
      <c r="M41" s="2"/>
      <c r="N41" s="2"/>
      <c r="O41" s="2"/>
      <c r="P41" s="2"/>
      <c r="Q41" s="2"/>
      <c r="R41" s="2"/>
      <c r="S41" s="2"/>
    </row>
    <row r="42">
      <c r="A42" s="2" t="s">
        <v>27</v>
      </c>
      <c r="B42" s="2"/>
      <c r="C42" s="2">
        <v>32.0</v>
      </c>
      <c r="D42" s="2">
        <v>10.0</v>
      </c>
      <c r="E42" s="2">
        <v>58.0</v>
      </c>
      <c r="F42" s="2">
        <v>10.0</v>
      </c>
      <c r="G42" s="2">
        <v>50.0</v>
      </c>
      <c r="H42" s="2"/>
      <c r="I42" s="2">
        <v>18.0</v>
      </c>
      <c r="J42" s="2" t="s">
        <v>27</v>
      </c>
      <c r="K42" s="2"/>
      <c r="L42" s="2"/>
      <c r="M42" s="2"/>
      <c r="N42" s="2"/>
      <c r="O42" s="2"/>
      <c r="P42" s="2"/>
      <c r="Q42" s="2"/>
      <c r="R42" s="2"/>
      <c r="S42" s="2"/>
    </row>
    <row r="43">
      <c r="A43" s="2" t="s">
        <v>28</v>
      </c>
      <c r="B43" s="2"/>
      <c r="C43" s="2">
        <v>32.0</v>
      </c>
      <c r="D43" s="2">
        <v>10.0</v>
      </c>
      <c r="E43" s="2">
        <v>72.0</v>
      </c>
      <c r="F43" s="2">
        <v>0.0</v>
      </c>
      <c r="G43" s="2">
        <v>54.0</v>
      </c>
      <c r="H43" s="2"/>
      <c r="I43" s="2">
        <v>18.0</v>
      </c>
      <c r="J43" s="2" t="s">
        <v>28</v>
      </c>
      <c r="K43" s="2"/>
      <c r="L43" s="2"/>
      <c r="M43" s="2"/>
      <c r="N43" s="2"/>
      <c r="O43" s="2"/>
      <c r="P43" s="2"/>
      <c r="Q43" s="2"/>
      <c r="R43" s="2"/>
      <c r="S43" s="2"/>
    </row>
    <row r="44">
      <c r="A44" s="2" t="s">
        <v>29</v>
      </c>
      <c r="B44" s="2"/>
      <c r="C44" s="2">
        <v>32.0</v>
      </c>
      <c r="D44" s="2">
        <v>10.0</v>
      </c>
      <c r="E44" s="2">
        <v>86.0</v>
      </c>
      <c r="F44" s="2"/>
      <c r="G44" s="2">
        <v>54.0</v>
      </c>
      <c r="H44" s="2"/>
      <c r="I44" s="2">
        <v>18.0</v>
      </c>
      <c r="J44" s="2" t="s">
        <v>29</v>
      </c>
      <c r="K44" s="2"/>
      <c r="L44" s="2"/>
      <c r="M44" s="2"/>
      <c r="N44" s="2"/>
      <c r="O44" s="2"/>
      <c r="P44" s="2"/>
      <c r="Q44" s="2"/>
      <c r="R44" s="2"/>
      <c r="S44" s="2"/>
    </row>
    <row r="45">
      <c r="A45" s="2" t="s">
        <v>30</v>
      </c>
      <c r="B45" s="2"/>
      <c r="C45" s="2">
        <v>32.0</v>
      </c>
      <c r="D45" s="2"/>
      <c r="E45" s="2">
        <v>86.0</v>
      </c>
      <c r="F45" s="2">
        <v>0.0</v>
      </c>
      <c r="G45" s="2">
        <v>58.0</v>
      </c>
      <c r="H45" s="2"/>
      <c r="I45" s="2">
        <v>18.0</v>
      </c>
      <c r="J45" s="2" t="s">
        <v>30</v>
      </c>
      <c r="K45" s="2"/>
      <c r="L45" s="2"/>
      <c r="M45" s="2"/>
      <c r="N45" s="2"/>
      <c r="O45" s="2"/>
      <c r="P45" s="2"/>
      <c r="Q45" s="2"/>
      <c r="R45" s="2"/>
      <c r="S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 t="s">
        <v>18</v>
      </c>
      <c r="B47" s="2"/>
      <c r="C47" s="2">
        <v>32.0</v>
      </c>
      <c r="D47" s="2"/>
      <c r="E47" s="2">
        <v>86.0</v>
      </c>
      <c r="F47" s="2"/>
      <c r="G47" s="2">
        <v>58.0</v>
      </c>
      <c r="H47" s="2"/>
      <c r="I47" s="2">
        <v>18.0</v>
      </c>
      <c r="J47" s="2" t="s">
        <v>18</v>
      </c>
      <c r="K47" s="2"/>
      <c r="L47" s="2"/>
      <c r="M47" s="2"/>
      <c r="N47" s="2"/>
      <c r="O47" s="2"/>
      <c r="P47" s="2"/>
      <c r="Q47" s="2"/>
      <c r="R47" s="2"/>
      <c r="S47" s="2"/>
    </row>
    <row r="48">
      <c r="A48" s="2" t="s">
        <v>26</v>
      </c>
      <c r="B48" s="2"/>
      <c r="C48" s="2">
        <v>32.0</v>
      </c>
      <c r="D48" s="2"/>
      <c r="E48" s="2">
        <v>90.0</v>
      </c>
      <c r="F48" s="2">
        <v>10.0</v>
      </c>
      <c r="G48" s="2">
        <v>72.0</v>
      </c>
      <c r="H48" s="2"/>
      <c r="I48" s="2">
        <v>18.0</v>
      </c>
      <c r="J48" s="2" t="s">
        <v>26</v>
      </c>
      <c r="K48" s="2"/>
      <c r="L48" s="2"/>
      <c r="M48" s="2"/>
      <c r="N48" s="2"/>
      <c r="O48" s="2"/>
      <c r="P48" s="2"/>
      <c r="Q48" s="2"/>
      <c r="R48" s="2"/>
      <c r="S48" s="2"/>
    </row>
    <row r="49">
      <c r="A49" s="2" t="s">
        <v>27</v>
      </c>
      <c r="B49" s="2">
        <v>10.0</v>
      </c>
      <c r="C49" s="2">
        <v>46.0</v>
      </c>
      <c r="D49" s="2">
        <v>10.0</v>
      </c>
      <c r="E49" s="2">
        <v>104.0</v>
      </c>
      <c r="F49" s="2"/>
      <c r="G49" s="2">
        <v>72.0</v>
      </c>
      <c r="H49" s="2"/>
      <c r="I49" s="2">
        <v>18.0</v>
      </c>
      <c r="J49" s="2" t="s">
        <v>27</v>
      </c>
      <c r="K49" s="2"/>
      <c r="L49" s="2"/>
      <c r="M49" s="2"/>
      <c r="N49" s="2"/>
      <c r="O49" s="2"/>
      <c r="P49" s="2"/>
      <c r="Q49" s="2"/>
      <c r="R49" s="2"/>
      <c r="S49" s="2"/>
    </row>
    <row r="50">
      <c r="A50" s="2" t="s">
        <v>28</v>
      </c>
      <c r="B50" s="2">
        <v>0.0</v>
      </c>
      <c r="C50" s="2">
        <v>50.0</v>
      </c>
      <c r="D50" s="2"/>
      <c r="E50" s="2">
        <v>104.0</v>
      </c>
      <c r="F50" s="2"/>
      <c r="G50" s="2">
        <v>72.0</v>
      </c>
      <c r="H50" s="2"/>
      <c r="I50" s="2">
        <v>18.0</v>
      </c>
      <c r="J50" s="2" t="s">
        <v>28</v>
      </c>
      <c r="K50" s="2"/>
      <c r="L50" s="2"/>
      <c r="M50" s="2"/>
      <c r="N50" s="2"/>
      <c r="O50" s="2"/>
      <c r="P50" s="2"/>
      <c r="Q50" s="2"/>
      <c r="R50" s="2"/>
      <c r="S50" s="2"/>
    </row>
    <row r="51">
      <c r="A51" s="2" t="s">
        <v>29</v>
      </c>
      <c r="B51" s="2"/>
      <c r="C51" s="2">
        <v>50.0</v>
      </c>
      <c r="D51" s="2">
        <v>10.0</v>
      </c>
      <c r="E51" s="2">
        <v>122.0</v>
      </c>
      <c r="F51" s="2">
        <v>10.0</v>
      </c>
      <c r="G51" s="2">
        <v>86.0</v>
      </c>
      <c r="H51" s="2"/>
      <c r="I51" s="2">
        <v>18.0</v>
      </c>
      <c r="J51" s="2" t="s">
        <v>29</v>
      </c>
      <c r="K51" s="2"/>
      <c r="L51" s="2"/>
      <c r="M51" s="2"/>
      <c r="N51" s="2"/>
      <c r="O51" s="2"/>
      <c r="P51" s="2"/>
      <c r="Q51" s="2"/>
      <c r="R51" s="2"/>
      <c r="S51" s="2"/>
    </row>
    <row r="52">
      <c r="A52" s="2" t="s">
        <v>30</v>
      </c>
      <c r="B52" s="2">
        <v>0.0</v>
      </c>
      <c r="C52" s="2">
        <v>54.0</v>
      </c>
      <c r="D52" s="2"/>
      <c r="E52" s="2">
        <v>122.0</v>
      </c>
      <c r="F52" s="2"/>
      <c r="G52" s="2">
        <v>86.0</v>
      </c>
      <c r="H52" s="2"/>
      <c r="I52" s="2">
        <v>18.0</v>
      </c>
      <c r="J52" s="2" t="s">
        <v>30</v>
      </c>
      <c r="K52" s="2"/>
      <c r="L52" s="2"/>
      <c r="M52" s="2"/>
      <c r="N52" s="2"/>
      <c r="O52" s="2"/>
      <c r="P52" s="2"/>
      <c r="Q52" s="2"/>
      <c r="R52" s="2"/>
      <c r="S52" s="2"/>
    </row>
    <row r="53">
      <c r="A53" s="2" t="s">
        <v>18</v>
      </c>
      <c r="B53" s="2"/>
      <c r="C53" s="2">
        <v>54.0</v>
      </c>
      <c r="D53" s="2"/>
      <c r="E53" s="2">
        <v>122.0</v>
      </c>
      <c r="F53" s="2">
        <v>10.0</v>
      </c>
      <c r="G53" s="2">
        <v>100.0</v>
      </c>
      <c r="H53" s="2"/>
      <c r="I53" s="2">
        <v>18.0</v>
      </c>
      <c r="J53" s="2" t="s">
        <v>18</v>
      </c>
      <c r="K53" s="2"/>
      <c r="L53" s="2"/>
      <c r="M53" s="2"/>
      <c r="N53" s="2"/>
      <c r="O53" s="2"/>
      <c r="P53" s="2"/>
      <c r="Q53" s="2"/>
      <c r="R53" s="2"/>
      <c r="S53" s="2"/>
    </row>
    <row r="54">
      <c r="A54" s="2" t="s">
        <v>26</v>
      </c>
      <c r="B54" s="2">
        <v>0.0</v>
      </c>
      <c r="C54" s="2">
        <v>58.0</v>
      </c>
      <c r="D54" s="2">
        <v>0.0</v>
      </c>
      <c r="E54" s="2">
        <v>126.0</v>
      </c>
      <c r="F54" s="2"/>
      <c r="G54" s="2">
        <v>100.0</v>
      </c>
      <c r="H54" s="2"/>
      <c r="I54" s="2">
        <v>18.0</v>
      </c>
      <c r="J54" s="2" t="s">
        <v>26</v>
      </c>
      <c r="K54" s="2"/>
      <c r="L54" s="2"/>
      <c r="M54" s="2"/>
      <c r="N54" s="2"/>
      <c r="O54" s="2"/>
      <c r="P54" s="2"/>
      <c r="Q54" s="2"/>
      <c r="R54" s="2"/>
      <c r="S54" s="2"/>
    </row>
    <row r="55">
      <c r="A55" s="2" t="s">
        <v>27</v>
      </c>
      <c r="B55" s="2"/>
      <c r="C55" s="2">
        <v>58.0</v>
      </c>
      <c r="D55" s="2">
        <v>0.0</v>
      </c>
      <c r="E55" s="2">
        <v>130.0</v>
      </c>
      <c r="F55" s="2"/>
      <c r="G55" s="2">
        <v>100.0</v>
      </c>
      <c r="H55" s="2"/>
      <c r="I55" s="2">
        <v>18.0</v>
      </c>
      <c r="J55" s="2" t="s">
        <v>27</v>
      </c>
      <c r="K55" s="2"/>
      <c r="L55" s="2"/>
      <c r="M55" s="2"/>
      <c r="N55" s="2"/>
      <c r="O55" s="2"/>
      <c r="P55" s="2"/>
      <c r="Q55" s="2"/>
      <c r="R55" s="2"/>
      <c r="S55" s="2"/>
    </row>
    <row r="56">
      <c r="A56" s="2" t="s">
        <v>28</v>
      </c>
      <c r="B56" s="2"/>
      <c r="C56" s="2">
        <v>58.0</v>
      </c>
      <c r="D56" s="2">
        <v>10.0</v>
      </c>
      <c r="E56" s="2">
        <v>144.0</v>
      </c>
      <c r="F56" s="2">
        <v>10.0</v>
      </c>
      <c r="G56" s="2">
        <v>114.0</v>
      </c>
      <c r="H56" s="2"/>
      <c r="I56" s="2">
        <v>18.0</v>
      </c>
      <c r="J56" s="2" t="s">
        <v>28</v>
      </c>
      <c r="K56" s="2"/>
      <c r="L56" s="2"/>
      <c r="M56" s="2"/>
      <c r="N56" s="2"/>
      <c r="O56" s="2"/>
      <c r="P56" s="2"/>
      <c r="Q56" s="2"/>
      <c r="R56" s="2"/>
      <c r="S56" s="2"/>
    </row>
    <row r="57">
      <c r="A57" s="2" t="s">
        <v>29</v>
      </c>
      <c r="B57" s="2">
        <v>0.0</v>
      </c>
      <c r="C57" s="2">
        <v>62.0</v>
      </c>
      <c r="D57" s="2"/>
      <c r="E57" s="2">
        <v>144.0</v>
      </c>
      <c r="F57" s="2"/>
      <c r="G57" s="2">
        <v>114.0</v>
      </c>
      <c r="H57" s="2"/>
      <c r="I57" s="2">
        <v>18.0</v>
      </c>
      <c r="J57" s="2" t="s">
        <v>29</v>
      </c>
      <c r="K57" s="2"/>
      <c r="L57" s="2"/>
      <c r="M57" s="2"/>
      <c r="N57" s="2"/>
      <c r="O57" s="2"/>
      <c r="P57" s="2"/>
      <c r="Q57" s="2"/>
      <c r="R57" s="2"/>
      <c r="S57" s="2"/>
    </row>
    <row r="58">
      <c r="A58" s="2" t="s">
        <v>30</v>
      </c>
      <c r="B58" s="2"/>
      <c r="C58" s="2">
        <v>62.0</v>
      </c>
      <c r="D58" s="2"/>
      <c r="E58" s="2">
        <v>144.0</v>
      </c>
      <c r="F58" s="2"/>
      <c r="G58" s="2">
        <v>114.0</v>
      </c>
      <c r="H58" s="2"/>
      <c r="I58" s="2">
        <v>18.0</v>
      </c>
      <c r="J58" s="2" t="s">
        <v>30</v>
      </c>
      <c r="K58" s="2"/>
      <c r="L58" s="2"/>
      <c r="M58" s="2"/>
      <c r="N58" s="2"/>
      <c r="O58" s="2"/>
      <c r="P58" s="2"/>
      <c r="Q58" s="2"/>
      <c r="R58" s="2"/>
      <c r="S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B61" s="2" t="str">
        <f t="array" ref="B61:S90">transpose(sort(transpose(Full!A61:R90),1,true))</f>
        <v>LASA</v>
      </c>
      <c r="C61" s="2" t="s">
        <v>3</v>
      </c>
      <c r="D61" s="2" t="s">
        <v>1</v>
      </c>
      <c r="E61" s="2" t="s">
        <v>1</v>
      </c>
      <c r="F61" s="2" t="s">
        <v>0</v>
      </c>
      <c r="G61" s="2" t="s">
        <v>0</v>
      </c>
      <c r="H61" s="2" t="s">
        <v>2</v>
      </c>
      <c r="I61" s="2" t="s">
        <v>2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B62" s="2" t="s">
        <v>7</v>
      </c>
      <c r="C62" s="2" t="s">
        <v>9</v>
      </c>
      <c r="D62" s="2" t="s">
        <v>7</v>
      </c>
      <c r="E62" s="2" t="s">
        <v>9</v>
      </c>
      <c r="F62" s="2" t="s">
        <v>7</v>
      </c>
      <c r="G62" s="2" t="s">
        <v>9</v>
      </c>
      <c r="H62" s="2" t="s">
        <v>7</v>
      </c>
      <c r="I62" s="2" t="s">
        <v>9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 t="s">
        <v>18</v>
      </c>
      <c r="B64" s="2"/>
      <c r="C64" s="2">
        <v>0.0</v>
      </c>
      <c r="D64" s="2"/>
      <c r="E64" s="2">
        <v>0.0</v>
      </c>
      <c r="F64" s="2">
        <v>0.0</v>
      </c>
      <c r="G64" s="2">
        <v>4.0</v>
      </c>
      <c r="H64" s="2"/>
      <c r="I64" s="2">
        <v>0.0</v>
      </c>
      <c r="J64" s="2" t="s">
        <v>18</v>
      </c>
      <c r="K64" s="2"/>
      <c r="L64" s="2"/>
      <c r="M64" s="2"/>
      <c r="N64" s="2"/>
      <c r="O64" s="2"/>
      <c r="P64" s="2"/>
      <c r="Q64" s="2"/>
      <c r="R64" s="2"/>
      <c r="S64" s="2"/>
    </row>
    <row r="65">
      <c r="A65" s="2" t="s">
        <v>26</v>
      </c>
      <c r="B65" s="2"/>
      <c r="C65" s="2">
        <v>0.0</v>
      </c>
      <c r="D65" s="2">
        <v>0.0</v>
      </c>
      <c r="E65" s="2">
        <v>4.0</v>
      </c>
      <c r="F65" s="2">
        <v>0.0</v>
      </c>
      <c r="G65" s="2">
        <v>8.0</v>
      </c>
      <c r="H65" s="2"/>
      <c r="I65" s="2">
        <v>0.0</v>
      </c>
      <c r="J65" s="2" t="s">
        <v>26</v>
      </c>
      <c r="K65" s="2"/>
      <c r="L65" s="2"/>
      <c r="M65" s="2"/>
      <c r="N65" s="2"/>
      <c r="O65" s="2"/>
      <c r="P65" s="2"/>
      <c r="Q65" s="2"/>
      <c r="R65" s="2"/>
      <c r="S65" s="2"/>
    </row>
    <row r="66">
      <c r="A66" s="2" t="s">
        <v>27</v>
      </c>
      <c r="B66" s="2"/>
      <c r="C66" s="2">
        <v>0.0</v>
      </c>
      <c r="D66" s="2"/>
      <c r="E66" s="2">
        <v>4.0</v>
      </c>
      <c r="F66" s="2">
        <v>10.0</v>
      </c>
      <c r="G66" s="2">
        <v>22.0</v>
      </c>
      <c r="H66" s="2"/>
      <c r="I66" s="2">
        <v>0.0</v>
      </c>
      <c r="J66" s="2" t="s">
        <v>27</v>
      </c>
      <c r="K66" s="2"/>
      <c r="L66" s="2"/>
      <c r="M66" s="2"/>
      <c r="N66" s="2"/>
      <c r="O66" s="2"/>
      <c r="P66" s="2"/>
      <c r="Q66" s="2"/>
      <c r="R66" s="2"/>
      <c r="S66" s="2"/>
    </row>
    <row r="67">
      <c r="A67" s="2" t="s">
        <v>28</v>
      </c>
      <c r="B67" s="2"/>
      <c r="C67" s="2">
        <v>0.0</v>
      </c>
      <c r="D67" s="2">
        <v>0.0</v>
      </c>
      <c r="E67" s="2">
        <v>8.0</v>
      </c>
      <c r="F67" s="2">
        <v>0.0</v>
      </c>
      <c r="G67" s="2">
        <v>26.0</v>
      </c>
      <c r="H67" s="2"/>
      <c r="I67" s="2">
        <v>0.0</v>
      </c>
      <c r="J67" s="2" t="s">
        <v>28</v>
      </c>
      <c r="K67" s="2"/>
      <c r="L67" s="2"/>
      <c r="M67" s="2"/>
      <c r="N67" s="2"/>
      <c r="O67" s="2"/>
      <c r="P67" s="2"/>
      <c r="Q67" s="2"/>
      <c r="R67" s="2"/>
      <c r="S67" s="2"/>
    </row>
    <row r="68">
      <c r="A68" s="2" t="s">
        <v>29</v>
      </c>
      <c r="B68" s="2"/>
      <c r="C68" s="2">
        <v>0.0</v>
      </c>
      <c r="D68" s="2">
        <v>10.0</v>
      </c>
      <c r="E68" s="2">
        <v>22.0</v>
      </c>
      <c r="F68" s="2"/>
      <c r="G68" s="2">
        <v>26.0</v>
      </c>
      <c r="H68" s="2"/>
      <c r="I68" s="2">
        <v>0.0</v>
      </c>
      <c r="J68" s="2" t="s">
        <v>29</v>
      </c>
      <c r="K68" s="2"/>
      <c r="L68" s="2"/>
      <c r="M68" s="2"/>
      <c r="N68" s="2"/>
      <c r="O68" s="2"/>
      <c r="P68" s="2"/>
      <c r="Q68" s="2"/>
      <c r="R68" s="2"/>
      <c r="S68" s="2"/>
    </row>
    <row r="69">
      <c r="A69" s="2" t="s">
        <v>30</v>
      </c>
      <c r="B69" s="2">
        <v>10.0</v>
      </c>
      <c r="C69" s="2">
        <v>14.0</v>
      </c>
      <c r="D69" s="2"/>
      <c r="E69" s="2">
        <v>22.0</v>
      </c>
      <c r="F69" s="2"/>
      <c r="G69" s="2">
        <v>26.0</v>
      </c>
      <c r="H69" s="2"/>
      <c r="I69" s="2">
        <v>0.0</v>
      </c>
      <c r="J69" s="2" t="s">
        <v>30</v>
      </c>
      <c r="K69" s="2"/>
      <c r="L69" s="2"/>
      <c r="M69" s="2"/>
      <c r="N69" s="2"/>
      <c r="O69" s="2"/>
      <c r="P69" s="2"/>
      <c r="Q69" s="2"/>
      <c r="R69" s="2"/>
      <c r="S69" s="2"/>
    </row>
    <row r="70">
      <c r="A70" s="2" t="s">
        <v>18</v>
      </c>
      <c r="B70" s="2">
        <v>10.0</v>
      </c>
      <c r="C70" s="2">
        <v>28.0</v>
      </c>
      <c r="D70" s="2"/>
      <c r="E70" s="2">
        <v>22.0</v>
      </c>
      <c r="F70" s="2"/>
      <c r="G70" s="2">
        <v>26.0</v>
      </c>
      <c r="H70" s="2">
        <v>0.0</v>
      </c>
      <c r="I70" s="2">
        <v>4.0</v>
      </c>
      <c r="J70" s="2" t="s">
        <v>18</v>
      </c>
      <c r="K70" s="2"/>
      <c r="L70" s="2"/>
      <c r="M70" s="2"/>
      <c r="N70" s="2"/>
      <c r="O70" s="2"/>
      <c r="P70" s="2"/>
      <c r="Q70" s="2"/>
      <c r="R70" s="2"/>
      <c r="S70" s="2"/>
    </row>
    <row r="71">
      <c r="A71" s="2" t="s">
        <v>26</v>
      </c>
      <c r="B71" s="2"/>
      <c r="C71" s="2">
        <v>28.0</v>
      </c>
      <c r="D71" s="2">
        <v>0.0</v>
      </c>
      <c r="E71" s="2">
        <v>26.0</v>
      </c>
      <c r="F71" s="2">
        <v>0.0</v>
      </c>
      <c r="G71" s="2">
        <v>30.0</v>
      </c>
      <c r="H71" s="2"/>
      <c r="I71" s="2">
        <v>4.0</v>
      </c>
      <c r="J71" s="2" t="s">
        <v>26</v>
      </c>
      <c r="K71" s="2"/>
      <c r="L71" s="2"/>
      <c r="M71" s="2"/>
      <c r="N71" s="2"/>
      <c r="O71" s="2"/>
      <c r="P71" s="2"/>
      <c r="Q71" s="2"/>
      <c r="R71" s="2"/>
      <c r="S71" s="2"/>
    </row>
    <row r="72">
      <c r="A72" s="2" t="s">
        <v>27</v>
      </c>
      <c r="B72" s="2"/>
      <c r="C72" s="2">
        <v>28.0</v>
      </c>
      <c r="D72" s="2">
        <v>10.0</v>
      </c>
      <c r="E72" s="2">
        <v>40.0</v>
      </c>
      <c r="F72" s="2"/>
      <c r="G72" s="2">
        <v>30.0</v>
      </c>
      <c r="H72" s="2">
        <v>0.0</v>
      </c>
      <c r="I72" s="2">
        <v>8.0</v>
      </c>
      <c r="J72" s="2" t="s">
        <v>27</v>
      </c>
      <c r="K72" s="2"/>
      <c r="L72" s="2"/>
      <c r="M72" s="2"/>
      <c r="N72" s="2"/>
      <c r="O72" s="2"/>
      <c r="P72" s="2"/>
      <c r="Q72" s="2"/>
      <c r="R72" s="2"/>
      <c r="S72" s="2"/>
    </row>
    <row r="73">
      <c r="A73" s="2" t="s">
        <v>28</v>
      </c>
      <c r="B73" s="2"/>
      <c r="C73" s="2">
        <v>28.0</v>
      </c>
      <c r="D73" s="2">
        <v>10.0</v>
      </c>
      <c r="E73" s="2">
        <v>54.0</v>
      </c>
      <c r="F73" s="2"/>
      <c r="G73" s="2">
        <v>30.0</v>
      </c>
      <c r="H73" s="2">
        <v>10.0</v>
      </c>
      <c r="I73" s="2">
        <v>22.0</v>
      </c>
      <c r="J73" s="2" t="s">
        <v>28</v>
      </c>
      <c r="K73" s="2"/>
      <c r="L73" s="2"/>
      <c r="M73" s="2"/>
      <c r="N73" s="2"/>
      <c r="O73" s="2"/>
      <c r="P73" s="2"/>
      <c r="Q73" s="2"/>
      <c r="R73" s="2"/>
      <c r="S73" s="2"/>
    </row>
    <row r="74">
      <c r="A74" s="2" t="s">
        <v>29</v>
      </c>
      <c r="B74" s="2"/>
      <c r="C74" s="2">
        <v>28.0</v>
      </c>
      <c r="D74" s="2">
        <v>10.0</v>
      </c>
      <c r="E74" s="2">
        <v>68.0</v>
      </c>
      <c r="F74" s="2"/>
      <c r="G74" s="2">
        <v>30.0</v>
      </c>
      <c r="H74" s="2"/>
      <c r="I74" s="2">
        <v>22.0</v>
      </c>
      <c r="J74" s="2" t="s">
        <v>29</v>
      </c>
      <c r="K74" s="2"/>
      <c r="L74" s="2"/>
      <c r="M74" s="2"/>
      <c r="N74" s="2"/>
      <c r="O74" s="2"/>
      <c r="P74" s="2"/>
      <c r="Q74" s="2"/>
      <c r="R74" s="2"/>
      <c r="S74" s="2"/>
    </row>
    <row r="75">
      <c r="A75" s="2" t="s">
        <v>30</v>
      </c>
      <c r="B75" s="2"/>
      <c r="C75" s="2">
        <v>28.0</v>
      </c>
      <c r="D75" s="2"/>
      <c r="E75" s="2">
        <v>68.0</v>
      </c>
      <c r="F75" s="2"/>
      <c r="G75" s="2">
        <v>30.0</v>
      </c>
      <c r="H75" s="2">
        <v>0.0</v>
      </c>
      <c r="I75" s="2">
        <v>26.0</v>
      </c>
      <c r="J75" s="2" t="s">
        <v>30</v>
      </c>
      <c r="K75" s="2"/>
      <c r="L75" s="2"/>
      <c r="M75" s="2"/>
      <c r="N75" s="2"/>
      <c r="O75" s="2"/>
      <c r="P75" s="2"/>
      <c r="Q75" s="2"/>
      <c r="R75" s="2"/>
      <c r="S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 t="s">
        <v>18</v>
      </c>
      <c r="B77" s="2">
        <v>10.0</v>
      </c>
      <c r="C77" s="2">
        <v>46.0</v>
      </c>
      <c r="D77" s="2"/>
      <c r="E77" s="2">
        <v>68.0</v>
      </c>
      <c r="F77" s="2">
        <v>0.0</v>
      </c>
      <c r="G77" s="2">
        <v>38.0</v>
      </c>
      <c r="H77" s="2"/>
      <c r="I77" s="2">
        <v>26.0</v>
      </c>
      <c r="J77" s="2" t="s">
        <v>18</v>
      </c>
      <c r="K77" s="2"/>
      <c r="L77" s="2"/>
      <c r="M77" s="2"/>
      <c r="N77" s="2"/>
      <c r="O77" s="2"/>
      <c r="P77" s="2"/>
      <c r="Q77" s="2"/>
      <c r="R77" s="2"/>
      <c r="S77" s="2"/>
    </row>
    <row r="78">
      <c r="A78" s="2" t="s">
        <v>26</v>
      </c>
      <c r="B78" s="2"/>
      <c r="C78" s="2">
        <v>46.0</v>
      </c>
      <c r="D78" s="2"/>
      <c r="E78" s="2">
        <v>68.0</v>
      </c>
      <c r="F78" s="2">
        <v>0.0</v>
      </c>
      <c r="G78" s="2">
        <v>38.0</v>
      </c>
      <c r="H78" s="2"/>
      <c r="I78" s="2">
        <v>26.0</v>
      </c>
      <c r="J78" s="2" t="s">
        <v>26</v>
      </c>
      <c r="K78" s="2"/>
      <c r="L78" s="2"/>
      <c r="M78" s="2"/>
      <c r="N78" s="2"/>
      <c r="O78" s="2"/>
      <c r="P78" s="2"/>
      <c r="Q78" s="2"/>
      <c r="R78" s="2"/>
      <c r="S78" s="2"/>
    </row>
    <row r="79">
      <c r="A79" s="2" t="s">
        <v>27</v>
      </c>
      <c r="B79" s="2"/>
      <c r="C79" s="2">
        <v>46.0</v>
      </c>
      <c r="D79" s="2"/>
      <c r="E79" s="2">
        <v>68.0</v>
      </c>
      <c r="F79" s="2"/>
      <c r="G79" s="2">
        <v>38.0</v>
      </c>
      <c r="H79" s="2"/>
      <c r="I79" s="2">
        <v>26.0</v>
      </c>
      <c r="J79" s="2" t="s">
        <v>27</v>
      </c>
      <c r="K79" s="2"/>
      <c r="L79" s="2"/>
      <c r="M79" s="2"/>
      <c r="N79" s="2"/>
      <c r="O79" s="2"/>
      <c r="P79" s="2"/>
      <c r="Q79" s="2"/>
      <c r="R79" s="2"/>
      <c r="S79" s="2"/>
    </row>
    <row r="80">
      <c r="A80" s="2" t="s">
        <v>28</v>
      </c>
      <c r="B80" s="2"/>
      <c r="C80" s="2">
        <v>46.0</v>
      </c>
      <c r="D80" s="2"/>
      <c r="E80" s="2">
        <v>68.0</v>
      </c>
      <c r="F80" s="2">
        <v>10.0</v>
      </c>
      <c r="G80" s="2">
        <v>52.0</v>
      </c>
      <c r="H80" s="2"/>
      <c r="I80" s="2">
        <v>26.0</v>
      </c>
      <c r="J80" s="2" t="s">
        <v>28</v>
      </c>
      <c r="K80" s="2"/>
      <c r="L80" s="2"/>
      <c r="M80" s="2"/>
      <c r="N80" s="2"/>
      <c r="O80" s="2"/>
      <c r="P80" s="2"/>
      <c r="Q80" s="2"/>
      <c r="R80" s="2"/>
      <c r="S80" s="2"/>
    </row>
    <row r="81">
      <c r="A81" s="2" t="s">
        <v>29</v>
      </c>
      <c r="B81" s="2"/>
      <c r="C81" s="2">
        <v>46.0</v>
      </c>
      <c r="D81" s="2"/>
      <c r="E81" s="2">
        <v>68.0</v>
      </c>
      <c r="F81" s="2"/>
      <c r="G81" s="2">
        <v>52.0</v>
      </c>
      <c r="H81" s="2">
        <v>0.0</v>
      </c>
      <c r="I81" s="2">
        <v>30.0</v>
      </c>
      <c r="J81" s="2" t="s">
        <v>29</v>
      </c>
      <c r="K81" s="2"/>
      <c r="L81" s="2"/>
      <c r="M81" s="2"/>
      <c r="N81" s="2"/>
      <c r="O81" s="2"/>
      <c r="P81" s="2"/>
      <c r="Q81" s="2"/>
      <c r="R81" s="2"/>
      <c r="S81" s="2"/>
    </row>
    <row r="82">
      <c r="A82" s="2" t="s">
        <v>30</v>
      </c>
      <c r="B82" s="2"/>
      <c r="C82" s="2">
        <v>46.0</v>
      </c>
      <c r="D82" s="2">
        <v>10.0</v>
      </c>
      <c r="E82" s="2">
        <v>82.0</v>
      </c>
      <c r="F82" s="2">
        <v>0.0</v>
      </c>
      <c r="G82" s="2">
        <v>56.0</v>
      </c>
      <c r="H82" s="2"/>
      <c r="I82" s="2">
        <v>30.0</v>
      </c>
      <c r="J82" s="2" t="s">
        <v>30</v>
      </c>
      <c r="K82" s="2"/>
      <c r="L82" s="2"/>
      <c r="M82" s="2"/>
      <c r="N82" s="2"/>
      <c r="O82" s="2"/>
      <c r="P82" s="2"/>
      <c r="Q82" s="2"/>
      <c r="R82" s="2"/>
      <c r="S82" s="2"/>
    </row>
    <row r="83">
      <c r="A83" s="2" t="s">
        <v>18</v>
      </c>
      <c r="B83" s="2"/>
      <c r="C83" s="2">
        <v>46.0</v>
      </c>
      <c r="D83" s="2">
        <v>0.0</v>
      </c>
      <c r="E83" s="2">
        <v>86.0</v>
      </c>
      <c r="F83" s="2"/>
      <c r="G83" s="2">
        <v>56.0</v>
      </c>
      <c r="H83" s="2">
        <v>0.0</v>
      </c>
      <c r="I83" s="2">
        <v>34.0</v>
      </c>
      <c r="J83" s="2" t="s">
        <v>18</v>
      </c>
      <c r="K83" s="2"/>
      <c r="L83" s="2"/>
      <c r="M83" s="2"/>
      <c r="N83" s="2"/>
      <c r="O83" s="2"/>
      <c r="P83" s="2"/>
      <c r="Q83" s="2"/>
      <c r="R83" s="2"/>
      <c r="S83" s="2"/>
    </row>
    <row r="84">
      <c r="A84" s="2" t="s">
        <v>26</v>
      </c>
      <c r="B84" s="2"/>
      <c r="C84" s="2">
        <v>46.0</v>
      </c>
      <c r="D84" s="2">
        <v>0.0</v>
      </c>
      <c r="E84" s="2">
        <v>90.0</v>
      </c>
      <c r="F84" s="2">
        <v>0.0</v>
      </c>
      <c r="G84" s="2">
        <v>60.0</v>
      </c>
      <c r="H84" s="2"/>
      <c r="I84" s="2">
        <v>34.0</v>
      </c>
      <c r="J84" s="2" t="s">
        <v>26</v>
      </c>
      <c r="K84" s="2"/>
      <c r="L84" s="2"/>
      <c r="M84" s="2"/>
      <c r="N84" s="2"/>
      <c r="O84" s="2"/>
      <c r="P84" s="2"/>
      <c r="Q84" s="2"/>
      <c r="R84" s="2"/>
      <c r="S84" s="2"/>
    </row>
    <row r="85">
      <c r="A85" s="2" t="s">
        <v>27</v>
      </c>
      <c r="B85" s="2"/>
      <c r="C85" s="2">
        <v>50.0</v>
      </c>
      <c r="D85" s="2"/>
      <c r="E85" s="2">
        <v>90.0</v>
      </c>
      <c r="F85" s="2"/>
      <c r="G85" s="2">
        <v>60.0</v>
      </c>
      <c r="H85" s="2"/>
      <c r="I85" s="2">
        <v>34.0</v>
      </c>
      <c r="J85" s="2" t="s">
        <v>27</v>
      </c>
      <c r="K85" s="2"/>
      <c r="L85" s="2"/>
      <c r="M85" s="2"/>
      <c r="N85" s="2"/>
      <c r="O85" s="2"/>
      <c r="P85" s="2"/>
      <c r="Q85" s="2"/>
      <c r="R85" s="2"/>
      <c r="S85" s="2"/>
    </row>
    <row r="86">
      <c r="A86" s="2" t="s">
        <v>28</v>
      </c>
      <c r="B86" s="2">
        <v>10.0</v>
      </c>
      <c r="C86" s="2">
        <v>64.0</v>
      </c>
      <c r="D86" s="2"/>
      <c r="E86" s="2">
        <v>90.0</v>
      </c>
      <c r="F86" s="2">
        <v>10.0</v>
      </c>
      <c r="G86" s="2">
        <v>74.0</v>
      </c>
      <c r="H86" s="2"/>
      <c r="I86" s="2">
        <v>34.0</v>
      </c>
      <c r="J86" s="2" t="s">
        <v>28</v>
      </c>
      <c r="K86" s="2"/>
      <c r="L86" s="2"/>
      <c r="M86" s="2"/>
      <c r="N86" s="2"/>
      <c r="O86" s="2"/>
      <c r="P86" s="2"/>
      <c r="Q86" s="2"/>
      <c r="R86" s="2"/>
      <c r="S86" s="2"/>
    </row>
    <row r="87">
      <c r="A87" s="2" t="s">
        <v>29</v>
      </c>
      <c r="B87" s="2"/>
      <c r="C87" s="2">
        <v>64.0</v>
      </c>
      <c r="D87" s="2"/>
      <c r="E87" s="2">
        <v>90.0</v>
      </c>
      <c r="F87" s="2"/>
      <c r="G87" s="2">
        <v>74.0</v>
      </c>
      <c r="H87" s="2"/>
      <c r="I87" s="2">
        <v>34.0</v>
      </c>
      <c r="J87" s="2" t="s">
        <v>29</v>
      </c>
      <c r="K87" s="2"/>
      <c r="L87" s="2"/>
      <c r="M87" s="2"/>
      <c r="N87" s="2"/>
      <c r="O87" s="2"/>
      <c r="P87" s="2"/>
      <c r="Q87" s="2"/>
      <c r="R87" s="2"/>
      <c r="S87" s="2"/>
    </row>
    <row r="88">
      <c r="A88" s="2" t="s">
        <v>30</v>
      </c>
      <c r="B88" s="2"/>
      <c r="C88" s="2">
        <v>64.0</v>
      </c>
      <c r="D88" s="2">
        <v>0.0</v>
      </c>
      <c r="E88" s="2">
        <v>94.0</v>
      </c>
      <c r="F88" s="2"/>
      <c r="G88" s="2">
        <v>74.0</v>
      </c>
      <c r="H88" s="2"/>
      <c r="I88" s="2">
        <v>34.0</v>
      </c>
      <c r="J88" s="2" t="s">
        <v>30</v>
      </c>
      <c r="K88" s="2"/>
      <c r="L88" s="2"/>
      <c r="M88" s="2"/>
      <c r="N88" s="2"/>
      <c r="O88" s="2"/>
      <c r="P88" s="2"/>
      <c r="Q88" s="2"/>
      <c r="R88" s="2"/>
      <c r="S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B91" s="2" t="str">
        <f t="array" ref="B91:S120">transpose(sort(transpose(Full!A91:R120),1,true))</f>
        <v>LASA</v>
      </c>
      <c r="C91" s="2" t="s">
        <v>3</v>
      </c>
      <c r="D91" s="2" t="s">
        <v>1</v>
      </c>
      <c r="E91" s="2" t="s">
        <v>1</v>
      </c>
      <c r="F91" s="2" t="s">
        <v>0</v>
      </c>
      <c r="G91" s="2" t="s">
        <v>0</v>
      </c>
      <c r="H91" s="2" t="s">
        <v>2</v>
      </c>
      <c r="I91" s="2" t="s">
        <v>2</v>
      </c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B92" s="2" t="s">
        <v>7</v>
      </c>
      <c r="C92" s="2" t="s">
        <v>9</v>
      </c>
      <c r="D92" s="2" t="s">
        <v>7</v>
      </c>
      <c r="E92" s="2" t="s">
        <v>9</v>
      </c>
      <c r="F92" s="2" t="s">
        <v>7</v>
      </c>
      <c r="G92" s="2" t="s">
        <v>9</v>
      </c>
      <c r="H92" s="2" t="s">
        <v>7</v>
      </c>
      <c r="I92" s="2" t="s">
        <v>9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 t="s">
        <v>18</v>
      </c>
      <c r="B94" s="2"/>
      <c r="C94" s="2">
        <v>4.0</v>
      </c>
      <c r="D94" s="2"/>
      <c r="E94" s="2">
        <v>0.0</v>
      </c>
      <c r="F94" s="2"/>
      <c r="G94" s="2">
        <v>0.0</v>
      </c>
      <c r="H94" s="2"/>
      <c r="I94" s="2">
        <v>0.0</v>
      </c>
      <c r="J94" s="2" t="s">
        <v>18</v>
      </c>
      <c r="K94" s="2"/>
      <c r="L94" s="2"/>
      <c r="M94" s="2"/>
      <c r="N94" s="2"/>
      <c r="O94" s="2"/>
      <c r="P94" s="2"/>
      <c r="Q94" s="2"/>
      <c r="R94" s="2"/>
      <c r="S94" s="2"/>
    </row>
    <row r="95">
      <c r="A95" s="2" t="s">
        <v>26</v>
      </c>
      <c r="B95" s="2"/>
      <c r="C95" s="2">
        <v>4.0</v>
      </c>
      <c r="D95" s="2"/>
      <c r="E95" s="2">
        <v>0.0</v>
      </c>
      <c r="F95" s="2"/>
      <c r="G95" s="2">
        <v>0.0</v>
      </c>
      <c r="H95" s="2"/>
      <c r="I95" s="2">
        <v>0.0</v>
      </c>
      <c r="J95" s="2" t="s">
        <v>26</v>
      </c>
      <c r="K95" s="2"/>
      <c r="L95" s="2"/>
      <c r="M95" s="2"/>
      <c r="N95" s="2"/>
      <c r="O95" s="2"/>
      <c r="P95" s="2"/>
      <c r="Q95" s="2"/>
      <c r="R95" s="2"/>
      <c r="S95" s="2"/>
    </row>
    <row r="96">
      <c r="A96" s="2" t="s">
        <v>27</v>
      </c>
      <c r="B96" s="2"/>
      <c r="C96" s="2">
        <v>4.0</v>
      </c>
      <c r="D96" s="2">
        <v>10.0</v>
      </c>
      <c r="E96" s="2">
        <v>14.0</v>
      </c>
      <c r="F96" s="2"/>
      <c r="G96" s="2">
        <v>0.0</v>
      </c>
      <c r="H96" s="2"/>
      <c r="I96" s="2">
        <v>0.0</v>
      </c>
      <c r="J96" s="2" t="s">
        <v>27</v>
      </c>
      <c r="K96" s="2"/>
      <c r="L96" s="2"/>
      <c r="M96" s="2"/>
      <c r="N96" s="2"/>
      <c r="O96" s="2"/>
      <c r="P96" s="2"/>
      <c r="Q96" s="2"/>
      <c r="R96" s="2"/>
      <c r="S96" s="2"/>
    </row>
    <row r="97">
      <c r="A97" s="2" t="s">
        <v>28</v>
      </c>
      <c r="B97" s="2"/>
      <c r="C97" s="2">
        <v>4.0</v>
      </c>
      <c r="D97" s="2">
        <v>10.0</v>
      </c>
      <c r="E97" s="2">
        <v>28.0</v>
      </c>
      <c r="F97" s="2"/>
      <c r="G97" s="2">
        <v>0.0</v>
      </c>
      <c r="H97" s="2">
        <v>0.0</v>
      </c>
      <c r="I97" s="2">
        <v>4.0</v>
      </c>
      <c r="J97" s="2" t="s">
        <v>28</v>
      </c>
      <c r="K97" s="2"/>
      <c r="L97" s="2"/>
      <c r="M97" s="2"/>
      <c r="N97" s="2"/>
      <c r="O97" s="2"/>
      <c r="P97" s="2"/>
      <c r="Q97" s="2"/>
      <c r="R97" s="2"/>
      <c r="S97" s="2"/>
    </row>
    <row r="98">
      <c r="A98" s="2" t="s">
        <v>29</v>
      </c>
      <c r="B98" s="2">
        <v>0.0</v>
      </c>
      <c r="C98" s="2">
        <v>8.0</v>
      </c>
      <c r="D98" s="2">
        <v>10.0</v>
      </c>
      <c r="E98" s="2">
        <v>42.0</v>
      </c>
      <c r="F98" s="2"/>
      <c r="G98" s="2">
        <v>0.0</v>
      </c>
      <c r="H98" s="2"/>
      <c r="I98" s="2">
        <v>4.0</v>
      </c>
      <c r="J98" s="2" t="s">
        <v>29</v>
      </c>
      <c r="K98" s="2"/>
      <c r="L98" s="2"/>
      <c r="M98" s="2"/>
      <c r="N98" s="2"/>
      <c r="O98" s="2"/>
      <c r="P98" s="2"/>
      <c r="Q98" s="2"/>
      <c r="R98" s="2"/>
      <c r="S98" s="2"/>
    </row>
    <row r="99">
      <c r="A99" s="2" t="s">
        <v>30</v>
      </c>
      <c r="B99" s="2">
        <v>10.0</v>
      </c>
      <c r="C99" s="2">
        <v>22.0</v>
      </c>
      <c r="D99" s="2"/>
      <c r="E99" s="2">
        <v>42.0</v>
      </c>
      <c r="F99" s="2">
        <v>0.0</v>
      </c>
      <c r="G99" s="2">
        <v>4.0</v>
      </c>
      <c r="H99" s="2"/>
      <c r="I99" s="2">
        <v>4.0</v>
      </c>
      <c r="J99" s="2" t="s">
        <v>30</v>
      </c>
      <c r="K99" s="2"/>
      <c r="L99" s="2"/>
      <c r="M99" s="2"/>
      <c r="N99" s="2"/>
      <c r="O99" s="2"/>
      <c r="P99" s="2"/>
      <c r="Q99" s="2"/>
      <c r="R99" s="2"/>
      <c r="S99" s="2"/>
    </row>
    <row r="100">
      <c r="A100" s="2" t="s">
        <v>18</v>
      </c>
      <c r="B100" s="2"/>
      <c r="C100" s="2">
        <v>22.0</v>
      </c>
      <c r="D100" s="2">
        <v>10.0</v>
      </c>
      <c r="E100" s="2">
        <v>56.0</v>
      </c>
      <c r="F100" s="2"/>
      <c r="G100" s="2">
        <v>4.0</v>
      </c>
      <c r="H100" s="2">
        <v>10.0</v>
      </c>
      <c r="I100" s="2">
        <v>22.0</v>
      </c>
      <c r="J100" s="2" t="s">
        <v>18</v>
      </c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 t="s">
        <v>26</v>
      </c>
      <c r="B101" s="2">
        <v>0.0</v>
      </c>
      <c r="C101" s="2">
        <v>26.0</v>
      </c>
      <c r="D101" s="2">
        <v>0.0</v>
      </c>
      <c r="E101" s="2">
        <v>60.0</v>
      </c>
      <c r="F101" s="2"/>
      <c r="G101" s="2">
        <v>4.0</v>
      </c>
      <c r="H101" s="2"/>
      <c r="I101" s="2">
        <v>22.0</v>
      </c>
      <c r="J101" s="2" t="s">
        <v>26</v>
      </c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 t="s">
        <v>27</v>
      </c>
      <c r="B102" s="2"/>
      <c r="C102" s="2">
        <v>26.0</v>
      </c>
      <c r="D102" s="2"/>
      <c r="E102" s="2">
        <v>60.0</v>
      </c>
      <c r="F102" s="2">
        <v>0.0</v>
      </c>
      <c r="G102" s="2">
        <v>8.0</v>
      </c>
      <c r="H102" s="2"/>
      <c r="I102" s="2">
        <v>22.0</v>
      </c>
      <c r="J102" s="2" t="s">
        <v>27</v>
      </c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 t="s">
        <v>28</v>
      </c>
      <c r="B103" s="2"/>
      <c r="C103" s="2">
        <v>26.0</v>
      </c>
      <c r="D103" s="2">
        <v>10.0</v>
      </c>
      <c r="E103" s="2">
        <v>74.0</v>
      </c>
      <c r="F103" s="2"/>
      <c r="G103" s="2">
        <v>8.0</v>
      </c>
      <c r="H103" s="2">
        <v>0.0</v>
      </c>
      <c r="I103" s="2">
        <v>26.0</v>
      </c>
      <c r="J103" s="2" t="s">
        <v>28</v>
      </c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 t="s">
        <v>29</v>
      </c>
      <c r="B104" s="2"/>
      <c r="C104" s="2">
        <v>26.0</v>
      </c>
      <c r="D104" s="2">
        <v>0.0</v>
      </c>
      <c r="E104" s="2">
        <v>78.0</v>
      </c>
      <c r="F104" s="2"/>
      <c r="G104" s="2">
        <v>8.0</v>
      </c>
      <c r="H104" s="2"/>
      <c r="I104" s="2">
        <v>26.0</v>
      </c>
      <c r="J104" s="2" t="s">
        <v>29</v>
      </c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 t="s">
        <v>30</v>
      </c>
      <c r="B105" s="2"/>
      <c r="C105" s="2">
        <v>26.0</v>
      </c>
      <c r="D105" s="2"/>
      <c r="E105" s="2">
        <v>78.0</v>
      </c>
      <c r="F105" s="2">
        <v>0.0</v>
      </c>
      <c r="G105" s="2">
        <v>12.0</v>
      </c>
      <c r="H105" s="2">
        <v>0.0</v>
      </c>
      <c r="I105" s="2">
        <v>30.0</v>
      </c>
      <c r="J105" s="2" t="s">
        <v>30</v>
      </c>
      <c r="K105" s="2"/>
      <c r="L105" s="2"/>
      <c r="M105" s="2"/>
      <c r="N105" s="2"/>
      <c r="O105" s="2"/>
      <c r="P105" s="2"/>
      <c r="Q105" s="2"/>
      <c r="R105" s="2"/>
      <c r="S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 t="s">
        <v>18</v>
      </c>
      <c r="B107" s="2">
        <v>0.0</v>
      </c>
      <c r="C107" s="2">
        <v>30.0</v>
      </c>
      <c r="D107" s="2">
        <v>0.0</v>
      </c>
      <c r="E107" s="2">
        <v>82.0</v>
      </c>
      <c r="F107" s="2"/>
      <c r="G107" s="2">
        <v>12.0</v>
      </c>
      <c r="H107" s="2"/>
      <c r="I107" s="2">
        <v>30.0</v>
      </c>
      <c r="J107" s="2" t="s">
        <v>18</v>
      </c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 t="s">
        <v>26</v>
      </c>
      <c r="B108" s="2"/>
      <c r="C108" s="2">
        <v>30.0</v>
      </c>
      <c r="D108" s="2"/>
      <c r="E108" s="2">
        <v>82.0</v>
      </c>
      <c r="F108" s="2">
        <v>10.0</v>
      </c>
      <c r="G108" s="2">
        <v>26.0</v>
      </c>
      <c r="H108" s="2"/>
      <c r="I108" s="2">
        <v>30.0</v>
      </c>
      <c r="J108" s="2" t="s">
        <v>26</v>
      </c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 t="s">
        <v>27</v>
      </c>
      <c r="B109" s="2"/>
      <c r="C109" s="2">
        <v>30.0</v>
      </c>
      <c r="D109" s="2">
        <v>0.0</v>
      </c>
      <c r="E109" s="2">
        <v>86.0</v>
      </c>
      <c r="F109" s="2"/>
      <c r="G109" s="2">
        <v>26.0</v>
      </c>
      <c r="H109" s="2"/>
      <c r="I109" s="2">
        <v>30.0</v>
      </c>
      <c r="J109" s="2" t="s">
        <v>27</v>
      </c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 t="s">
        <v>28</v>
      </c>
      <c r="B110" s="2"/>
      <c r="C110" s="2">
        <v>30.0</v>
      </c>
      <c r="D110" s="2"/>
      <c r="E110" s="2">
        <v>86.0</v>
      </c>
      <c r="F110" s="2"/>
      <c r="G110" s="2">
        <v>26.0</v>
      </c>
      <c r="H110" s="2"/>
      <c r="I110" s="2">
        <v>30.0</v>
      </c>
      <c r="J110" s="2" t="s">
        <v>28</v>
      </c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 t="s">
        <v>29</v>
      </c>
      <c r="B111" s="2">
        <v>10.0</v>
      </c>
      <c r="C111" s="2">
        <v>44.0</v>
      </c>
      <c r="D111" s="2"/>
      <c r="E111" s="2">
        <v>86.0</v>
      </c>
      <c r="F111" s="2">
        <v>10.0</v>
      </c>
      <c r="G111" s="2">
        <v>40.0</v>
      </c>
      <c r="H111" s="2"/>
      <c r="I111" s="2">
        <v>30.0</v>
      </c>
      <c r="J111" s="2" t="s">
        <v>29</v>
      </c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 t="s">
        <v>30</v>
      </c>
      <c r="B112" s="2"/>
      <c r="C112" s="2">
        <v>44.0</v>
      </c>
      <c r="D112" s="2"/>
      <c r="E112" s="2">
        <v>86.0</v>
      </c>
      <c r="F112" s="2">
        <v>0.0</v>
      </c>
      <c r="G112" s="2">
        <v>44.0</v>
      </c>
      <c r="H112" s="2">
        <v>0.0</v>
      </c>
      <c r="I112" s="2">
        <v>34.0</v>
      </c>
      <c r="J112" s="2" t="s">
        <v>30</v>
      </c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 t="s">
        <v>18</v>
      </c>
      <c r="B113" s="2"/>
      <c r="C113" s="2">
        <v>44.0</v>
      </c>
      <c r="D113" s="2"/>
      <c r="E113" s="2">
        <v>86.0</v>
      </c>
      <c r="F113" s="2"/>
      <c r="G113" s="2">
        <v>48.0</v>
      </c>
      <c r="H113" s="2"/>
      <c r="I113" s="2">
        <v>34.0</v>
      </c>
      <c r="J113" s="2" t="s">
        <v>18</v>
      </c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 t="s">
        <v>26</v>
      </c>
      <c r="B114" s="2"/>
      <c r="C114" s="2">
        <v>44.0</v>
      </c>
      <c r="D114" s="2"/>
      <c r="E114" s="2">
        <v>86.0</v>
      </c>
      <c r="F114" s="2"/>
      <c r="G114" s="2">
        <v>48.0</v>
      </c>
      <c r="H114" s="2"/>
      <c r="I114" s="2">
        <v>34.0</v>
      </c>
      <c r="J114" s="2" t="s">
        <v>26</v>
      </c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 t="s">
        <v>27</v>
      </c>
      <c r="B115" s="2"/>
      <c r="C115" s="2">
        <v>44.0</v>
      </c>
      <c r="D115" s="2"/>
      <c r="E115" s="2">
        <v>86.0</v>
      </c>
      <c r="F115" s="2">
        <v>0.0</v>
      </c>
      <c r="G115" s="2">
        <v>52.0</v>
      </c>
      <c r="H115" s="2">
        <v>0.0</v>
      </c>
      <c r="I115" s="2">
        <v>38.0</v>
      </c>
      <c r="J115" s="2" t="s">
        <v>27</v>
      </c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 t="s">
        <v>28</v>
      </c>
      <c r="B116" s="2"/>
      <c r="C116" s="2">
        <v>48.0</v>
      </c>
      <c r="D116" s="2">
        <v>10.0</v>
      </c>
      <c r="E116" s="2">
        <v>100.0</v>
      </c>
      <c r="F116" s="2"/>
      <c r="G116" s="2">
        <v>52.0</v>
      </c>
      <c r="H116" s="2"/>
      <c r="I116" s="2">
        <v>42.0</v>
      </c>
      <c r="J116" s="2" t="s">
        <v>28</v>
      </c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 t="s">
        <v>29</v>
      </c>
      <c r="B117" s="2"/>
      <c r="C117" s="2">
        <v>48.0</v>
      </c>
      <c r="D117" s="2">
        <v>10.0</v>
      </c>
      <c r="E117" s="2">
        <v>114.0</v>
      </c>
      <c r="F117" s="2"/>
      <c r="G117" s="2">
        <v>52.0</v>
      </c>
      <c r="H117" s="2">
        <v>0.0</v>
      </c>
      <c r="I117" s="2">
        <v>46.0</v>
      </c>
      <c r="J117" s="2" t="s">
        <v>29</v>
      </c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 t="s">
        <v>30</v>
      </c>
      <c r="B118" s="2">
        <v>10.0</v>
      </c>
      <c r="C118" s="2">
        <v>66.0</v>
      </c>
      <c r="D118" s="2">
        <v>0.0</v>
      </c>
      <c r="E118" s="2">
        <v>118.0</v>
      </c>
      <c r="F118" s="2"/>
      <c r="G118" s="2">
        <v>52.0</v>
      </c>
      <c r="H118" s="2"/>
      <c r="I118" s="2">
        <v>46.0</v>
      </c>
      <c r="J118" s="2" t="s">
        <v>30</v>
      </c>
      <c r="K118" s="2"/>
      <c r="L118" s="2"/>
      <c r="M118" s="2"/>
      <c r="N118" s="2"/>
      <c r="O118" s="2"/>
      <c r="P118" s="2"/>
      <c r="Q118" s="2"/>
      <c r="R118" s="2"/>
      <c r="S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B121" s="2" t="str">
        <f t="array" ref="B121:S150">transpose(sort(transpose(Full!A121:R150),1,true))</f>
        <v>LASA</v>
      </c>
      <c r="C121" s="2" t="s">
        <v>3</v>
      </c>
      <c r="D121" s="2" t="s">
        <v>1</v>
      </c>
      <c r="E121" s="2" t="s">
        <v>1</v>
      </c>
      <c r="F121" s="2" t="s">
        <v>0</v>
      </c>
      <c r="G121" s="2" t="s">
        <v>0</v>
      </c>
      <c r="H121" s="2" t="s">
        <v>2</v>
      </c>
      <c r="I121" s="2" t="s">
        <v>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B122" s="2" t="s">
        <v>7</v>
      </c>
      <c r="C122" s="2" t="s">
        <v>9</v>
      </c>
      <c r="D122" s="2" t="s">
        <v>7</v>
      </c>
      <c r="E122" s="2" t="s">
        <v>9</v>
      </c>
      <c r="F122" s="2" t="s">
        <v>7</v>
      </c>
      <c r="G122" s="2" t="s">
        <v>9</v>
      </c>
      <c r="H122" s="2" t="s">
        <v>7</v>
      </c>
      <c r="I122" s="2" t="s">
        <v>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 t="s">
        <v>18</v>
      </c>
      <c r="B124" s="2"/>
      <c r="C124" s="2">
        <v>0.0</v>
      </c>
      <c r="D124" s="2"/>
      <c r="E124" s="2">
        <v>0.0</v>
      </c>
      <c r="F124" s="2"/>
      <c r="G124" s="2">
        <v>0.0</v>
      </c>
      <c r="H124" s="2"/>
      <c r="I124" s="2">
        <v>0.0</v>
      </c>
      <c r="J124" s="2" t="s">
        <v>18</v>
      </c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 t="s">
        <v>26</v>
      </c>
      <c r="B125" s="2"/>
      <c r="C125" s="2">
        <v>0.0</v>
      </c>
      <c r="D125" s="2"/>
      <c r="E125" s="2">
        <v>0.0</v>
      </c>
      <c r="F125" s="2">
        <v>0.0</v>
      </c>
      <c r="G125" s="2">
        <v>4.0</v>
      </c>
      <c r="H125" s="2"/>
      <c r="I125" s="2">
        <v>4.0</v>
      </c>
      <c r="J125" s="2" t="s">
        <v>26</v>
      </c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 t="s">
        <v>27</v>
      </c>
      <c r="B126" s="2"/>
      <c r="C126" s="2">
        <v>0.0</v>
      </c>
      <c r="D126" s="2">
        <v>10.0</v>
      </c>
      <c r="E126" s="2">
        <v>14.0</v>
      </c>
      <c r="F126" s="2"/>
      <c r="G126" s="2">
        <v>4.0</v>
      </c>
      <c r="H126" s="2"/>
      <c r="I126" s="2">
        <v>4.0</v>
      </c>
      <c r="J126" s="2" t="s">
        <v>27</v>
      </c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 t="s">
        <v>28</v>
      </c>
      <c r="B127" s="2"/>
      <c r="C127" s="2">
        <v>0.0</v>
      </c>
      <c r="D127" s="2"/>
      <c r="E127" s="2">
        <v>18.0</v>
      </c>
      <c r="F127" s="2"/>
      <c r="G127" s="2">
        <v>8.0</v>
      </c>
      <c r="H127" s="2"/>
      <c r="I127" s="2">
        <v>4.0</v>
      </c>
      <c r="J127" s="2" t="s">
        <v>28</v>
      </c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 t="s">
        <v>29</v>
      </c>
      <c r="B128" s="2"/>
      <c r="C128" s="2">
        <v>0.0</v>
      </c>
      <c r="D128" s="2"/>
      <c r="E128" s="2">
        <v>18.0</v>
      </c>
      <c r="F128" s="2"/>
      <c r="G128" s="2">
        <v>8.0</v>
      </c>
      <c r="H128" s="2"/>
      <c r="I128" s="2">
        <v>4.0</v>
      </c>
      <c r="J128" s="2" t="s">
        <v>29</v>
      </c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 t="s">
        <v>30</v>
      </c>
      <c r="B129" s="2"/>
      <c r="C129" s="2">
        <v>0.0</v>
      </c>
      <c r="D129" s="2">
        <v>0.0</v>
      </c>
      <c r="E129" s="2">
        <v>22.0</v>
      </c>
      <c r="F129" s="2"/>
      <c r="G129" s="2">
        <v>8.0</v>
      </c>
      <c r="H129" s="2"/>
      <c r="I129" s="2">
        <v>4.0</v>
      </c>
      <c r="J129" s="2" t="s">
        <v>30</v>
      </c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 t="s">
        <v>18</v>
      </c>
      <c r="B130" s="2">
        <v>10.0</v>
      </c>
      <c r="C130" s="2">
        <v>14.0</v>
      </c>
      <c r="D130" s="2"/>
      <c r="E130" s="2">
        <v>22.0</v>
      </c>
      <c r="F130" s="2"/>
      <c r="G130" s="2">
        <v>8.0</v>
      </c>
      <c r="H130" s="2"/>
      <c r="I130" s="2">
        <v>4.0</v>
      </c>
      <c r="J130" s="2" t="s">
        <v>18</v>
      </c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 t="s">
        <v>26</v>
      </c>
      <c r="B131" s="2">
        <v>0.0</v>
      </c>
      <c r="C131" s="2">
        <v>18.0</v>
      </c>
      <c r="D131" s="2"/>
      <c r="E131" s="2">
        <v>26.0</v>
      </c>
      <c r="F131" s="2"/>
      <c r="G131" s="2">
        <v>8.0</v>
      </c>
      <c r="H131" s="2"/>
      <c r="I131" s="2">
        <v>8.0</v>
      </c>
      <c r="J131" s="2" t="s">
        <v>26</v>
      </c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 t="s">
        <v>27</v>
      </c>
      <c r="B132" s="2"/>
      <c r="C132" s="2">
        <v>18.0</v>
      </c>
      <c r="D132" s="2">
        <v>10.0</v>
      </c>
      <c r="E132" s="2">
        <v>40.0</v>
      </c>
      <c r="F132" s="2"/>
      <c r="G132" s="2">
        <v>12.0</v>
      </c>
      <c r="H132" s="2"/>
      <c r="I132" s="2">
        <v>8.0</v>
      </c>
      <c r="J132" s="2" t="s">
        <v>27</v>
      </c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 t="s">
        <v>28</v>
      </c>
      <c r="B133" s="2"/>
      <c r="C133" s="2">
        <v>18.0</v>
      </c>
      <c r="D133" s="2"/>
      <c r="E133" s="2">
        <v>40.0</v>
      </c>
      <c r="F133" s="2"/>
      <c r="G133" s="2">
        <v>12.0</v>
      </c>
      <c r="H133" s="2"/>
      <c r="I133" s="2">
        <v>8.0</v>
      </c>
      <c r="J133" s="2" t="s">
        <v>28</v>
      </c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 t="s">
        <v>29</v>
      </c>
      <c r="B134" s="2"/>
      <c r="C134" s="2">
        <v>18.0</v>
      </c>
      <c r="D134" s="2"/>
      <c r="E134" s="2">
        <v>40.0</v>
      </c>
      <c r="F134" s="2"/>
      <c r="G134" s="2">
        <v>12.0</v>
      </c>
      <c r="H134" s="2">
        <v>10.0</v>
      </c>
      <c r="I134" s="2">
        <v>22.0</v>
      </c>
      <c r="J134" s="2" t="s">
        <v>29</v>
      </c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 t="s">
        <v>30</v>
      </c>
      <c r="B135" s="2"/>
      <c r="C135" s="2">
        <v>18.0</v>
      </c>
      <c r="D135" s="2"/>
      <c r="E135" s="2">
        <v>40.0</v>
      </c>
      <c r="F135" s="2"/>
      <c r="G135" s="2">
        <v>12.0</v>
      </c>
      <c r="H135" s="2"/>
      <c r="I135" s="2">
        <v>22.0</v>
      </c>
      <c r="J135" s="2" t="s">
        <v>30</v>
      </c>
      <c r="K135" s="2"/>
      <c r="L135" s="2"/>
      <c r="M135" s="2"/>
      <c r="N135" s="2"/>
      <c r="O135" s="2"/>
      <c r="P135" s="2"/>
      <c r="Q135" s="2"/>
      <c r="R135" s="2"/>
      <c r="S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 t="s">
        <v>18</v>
      </c>
      <c r="B137" s="2">
        <v>0.0</v>
      </c>
      <c r="C137" s="2">
        <v>22.0</v>
      </c>
      <c r="D137" s="2">
        <v>0.0</v>
      </c>
      <c r="E137" s="2">
        <v>44.0</v>
      </c>
      <c r="F137" s="2"/>
      <c r="G137" s="2">
        <v>12.0</v>
      </c>
      <c r="H137" s="2"/>
      <c r="I137" s="2">
        <v>22.0</v>
      </c>
      <c r="J137" s="2" t="s">
        <v>18</v>
      </c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 t="s">
        <v>26</v>
      </c>
      <c r="B138" s="2"/>
      <c r="C138" s="2">
        <v>22.0</v>
      </c>
      <c r="D138" s="2">
        <v>0.0</v>
      </c>
      <c r="E138" s="2">
        <v>48.0</v>
      </c>
      <c r="F138" s="2">
        <v>0.0</v>
      </c>
      <c r="G138" s="2">
        <v>16.0</v>
      </c>
      <c r="H138" s="2"/>
      <c r="I138" s="2">
        <v>22.0</v>
      </c>
      <c r="J138" s="2" t="s">
        <v>26</v>
      </c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 t="s">
        <v>27</v>
      </c>
      <c r="B139" s="2"/>
      <c r="C139" s="2">
        <v>22.0</v>
      </c>
      <c r="D139" s="2"/>
      <c r="E139" s="2">
        <v>48.0</v>
      </c>
      <c r="F139" s="2"/>
      <c r="G139" s="2">
        <v>16.0</v>
      </c>
      <c r="H139" s="2"/>
      <c r="I139" s="2">
        <v>22.0</v>
      </c>
      <c r="J139" s="2" t="s">
        <v>27</v>
      </c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 t="s">
        <v>28</v>
      </c>
      <c r="B140" s="2"/>
      <c r="C140" s="2">
        <v>22.0</v>
      </c>
      <c r="D140" s="2"/>
      <c r="E140" s="2">
        <v>48.0</v>
      </c>
      <c r="F140" s="2">
        <v>0.0</v>
      </c>
      <c r="G140" s="2">
        <v>20.0</v>
      </c>
      <c r="H140" s="2">
        <v>0.0</v>
      </c>
      <c r="I140" s="2">
        <v>30.0</v>
      </c>
      <c r="J140" s="2" t="s">
        <v>28</v>
      </c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 t="s">
        <v>29</v>
      </c>
      <c r="B141" s="2"/>
      <c r="C141" s="2">
        <v>22.0</v>
      </c>
      <c r="D141" s="2">
        <v>10.0</v>
      </c>
      <c r="E141" s="2">
        <v>62.0</v>
      </c>
      <c r="F141" s="2"/>
      <c r="G141" s="2">
        <v>20.0</v>
      </c>
      <c r="H141" s="2"/>
      <c r="I141" s="2">
        <v>30.0</v>
      </c>
      <c r="J141" s="2" t="s">
        <v>29</v>
      </c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 t="s">
        <v>30</v>
      </c>
      <c r="B142" s="2"/>
      <c r="C142" s="2">
        <v>22.0</v>
      </c>
      <c r="D142" s="2"/>
      <c r="E142" s="2">
        <v>62.0</v>
      </c>
      <c r="F142" s="2"/>
      <c r="G142" s="2">
        <v>20.0</v>
      </c>
      <c r="H142" s="2"/>
      <c r="I142" s="2">
        <v>30.0</v>
      </c>
      <c r="J142" s="2" t="s">
        <v>30</v>
      </c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 t="s">
        <v>18</v>
      </c>
      <c r="B143" s="2">
        <v>10.0</v>
      </c>
      <c r="C143" s="2">
        <v>36.0</v>
      </c>
      <c r="D143" s="2">
        <v>10.0</v>
      </c>
      <c r="E143" s="2">
        <v>80.0</v>
      </c>
      <c r="F143" s="2"/>
      <c r="G143" s="2">
        <v>20.0</v>
      </c>
      <c r="H143" s="2"/>
      <c r="I143" s="2">
        <v>30.0</v>
      </c>
      <c r="J143" s="2" t="s">
        <v>18</v>
      </c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 t="s">
        <v>26</v>
      </c>
      <c r="B144" s="2"/>
      <c r="C144" s="2">
        <v>36.0</v>
      </c>
      <c r="D144" s="2"/>
      <c r="E144" s="2">
        <v>80.0</v>
      </c>
      <c r="F144" s="2">
        <v>10.0</v>
      </c>
      <c r="G144" s="2">
        <v>34.0</v>
      </c>
      <c r="H144" s="2">
        <v>10.0</v>
      </c>
      <c r="I144" s="2">
        <v>44.0</v>
      </c>
      <c r="J144" s="2" t="s">
        <v>26</v>
      </c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 t="s">
        <v>27</v>
      </c>
      <c r="B145" s="2"/>
      <c r="C145" s="2">
        <v>36.0</v>
      </c>
      <c r="D145" s="2">
        <v>0.0</v>
      </c>
      <c r="E145" s="2">
        <v>84.0</v>
      </c>
      <c r="F145" s="2"/>
      <c r="G145" s="2">
        <v>34.0</v>
      </c>
      <c r="H145" s="2"/>
      <c r="I145" s="2">
        <v>44.0</v>
      </c>
      <c r="J145" s="2" t="s">
        <v>27</v>
      </c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 t="s">
        <v>28</v>
      </c>
      <c r="B146" s="2"/>
      <c r="C146" s="2">
        <v>36.0</v>
      </c>
      <c r="D146" s="2"/>
      <c r="E146" s="2">
        <v>84.0</v>
      </c>
      <c r="F146" s="2">
        <v>0.0</v>
      </c>
      <c r="G146" s="2">
        <v>38.0</v>
      </c>
      <c r="H146" s="2"/>
      <c r="I146" s="2">
        <v>44.0</v>
      </c>
      <c r="J146" s="2" t="s">
        <v>28</v>
      </c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 t="s">
        <v>29</v>
      </c>
      <c r="B147" s="2"/>
      <c r="C147" s="2">
        <v>36.0</v>
      </c>
      <c r="D147" s="2"/>
      <c r="E147" s="2">
        <v>84.0</v>
      </c>
      <c r="F147" s="2"/>
      <c r="G147" s="2">
        <v>38.0</v>
      </c>
      <c r="H147" s="2"/>
      <c r="I147" s="2">
        <v>44.0</v>
      </c>
      <c r="J147" s="2" t="s">
        <v>29</v>
      </c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 t="s">
        <v>30</v>
      </c>
      <c r="B148" s="2"/>
      <c r="C148" s="2">
        <v>36.0</v>
      </c>
      <c r="D148" s="2">
        <v>0.0</v>
      </c>
      <c r="E148" s="2">
        <v>88.0</v>
      </c>
      <c r="F148" s="2">
        <v>0.0</v>
      </c>
      <c r="G148" s="2">
        <v>42.0</v>
      </c>
      <c r="H148" s="2"/>
      <c r="I148" s="2">
        <v>44.0</v>
      </c>
      <c r="J148" s="2" t="s">
        <v>30</v>
      </c>
      <c r="K148" s="2"/>
      <c r="L148" s="2"/>
      <c r="M148" s="2"/>
      <c r="N148" s="2"/>
      <c r="O148" s="2"/>
      <c r="P148" s="2"/>
      <c r="Q148" s="2"/>
      <c r="R148" s="2"/>
      <c r="S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B151" s="2" t="str">
        <f t="array" ref="B151:S180">transpose(sort(transpose(Full!A151:R180),1,true))</f>
        <v>LASA</v>
      </c>
      <c r="C151" s="2" t="s">
        <v>3</v>
      </c>
      <c r="D151" s="2" t="s">
        <v>1</v>
      </c>
      <c r="E151" s="2" t="s">
        <v>1</v>
      </c>
      <c r="F151" s="2" t="s">
        <v>0</v>
      </c>
      <c r="G151" s="2" t="s">
        <v>0</v>
      </c>
      <c r="H151" s="2" t="s">
        <v>2</v>
      </c>
      <c r="I151" s="2" t="s">
        <v>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B152" s="2" t="s">
        <v>7</v>
      </c>
      <c r="C152" s="2" t="s">
        <v>9</v>
      </c>
      <c r="D152" s="2" t="s">
        <v>7</v>
      </c>
      <c r="E152" s="2" t="s">
        <v>9</v>
      </c>
      <c r="F152" s="2" t="s">
        <v>7</v>
      </c>
      <c r="G152" s="2" t="s">
        <v>9</v>
      </c>
      <c r="H152" s="2" t="s">
        <v>7</v>
      </c>
      <c r="I152" s="2" t="s">
        <v>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 t="s">
        <v>18</v>
      </c>
      <c r="B154" s="2"/>
      <c r="C154" s="2">
        <v>0.0</v>
      </c>
      <c r="D154" s="2">
        <v>10.0</v>
      </c>
      <c r="E154" s="2">
        <v>14.0</v>
      </c>
      <c r="F154" s="2">
        <v>10.0</v>
      </c>
      <c r="G154" s="2">
        <v>14.0</v>
      </c>
      <c r="H154" s="2"/>
      <c r="I154" s="2">
        <v>0.0</v>
      </c>
      <c r="J154" s="2" t="s">
        <v>18</v>
      </c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 t="s">
        <v>26</v>
      </c>
      <c r="B155" s="2">
        <v>0.0</v>
      </c>
      <c r="C155" s="2">
        <v>4.0</v>
      </c>
      <c r="D155" s="2"/>
      <c r="E155" s="2">
        <v>14.0</v>
      </c>
      <c r="F155" s="2">
        <v>0.0</v>
      </c>
      <c r="G155" s="2">
        <v>18.0</v>
      </c>
      <c r="H155" s="2"/>
      <c r="I155" s="2">
        <v>0.0</v>
      </c>
      <c r="J155" s="2" t="s">
        <v>26</v>
      </c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 t="s">
        <v>27</v>
      </c>
      <c r="B156" s="2"/>
      <c r="C156" s="2">
        <v>4.0</v>
      </c>
      <c r="D156" s="2">
        <v>0.0</v>
      </c>
      <c r="E156" s="2">
        <v>18.0</v>
      </c>
      <c r="F156" s="2"/>
      <c r="G156" s="2">
        <v>18.0</v>
      </c>
      <c r="H156" s="2"/>
      <c r="I156" s="2">
        <v>0.0</v>
      </c>
      <c r="J156" s="2" t="s">
        <v>27</v>
      </c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 t="s">
        <v>28</v>
      </c>
      <c r="B157" s="2"/>
      <c r="C157" s="2">
        <v>4.0</v>
      </c>
      <c r="D157" s="2"/>
      <c r="E157" s="2">
        <v>18.0</v>
      </c>
      <c r="F157" s="2">
        <v>0.0</v>
      </c>
      <c r="G157" s="2">
        <v>22.0</v>
      </c>
      <c r="H157" s="2"/>
      <c r="I157" s="2">
        <v>0.0</v>
      </c>
      <c r="J157" s="2" t="s">
        <v>28</v>
      </c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 t="s">
        <v>29</v>
      </c>
      <c r="B158" s="2"/>
      <c r="C158" s="2">
        <v>4.0</v>
      </c>
      <c r="D158" s="2"/>
      <c r="E158" s="2">
        <v>18.0</v>
      </c>
      <c r="F158" s="2"/>
      <c r="G158" s="2">
        <v>22.0</v>
      </c>
      <c r="H158" s="2"/>
      <c r="I158" s="2">
        <v>0.0</v>
      </c>
      <c r="J158" s="2" t="s">
        <v>29</v>
      </c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 t="s">
        <v>30</v>
      </c>
      <c r="B159" s="2"/>
      <c r="C159" s="2">
        <v>4.0</v>
      </c>
      <c r="D159" s="2"/>
      <c r="E159" s="2">
        <v>18.0</v>
      </c>
      <c r="F159" s="2"/>
      <c r="G159" s="2">
        <v>22.0</v>
      </c>
      <c r="H159" s="2"/>
      <c r="I159" s="2">
        <v>0.0</v>
      </c>
      <c r="J159" s="2" t="s">
        <v>30</v>
      </c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 t="s">
        <v>18</v>
      </c>
      <c r="B160" s="2">
        <v>0.0</v>
      </c>
      <c r="C160" s="2">
        <v>8.0</v>
      </c>
      <c r="D160" s="2"/>
      <c r="E160" s="2">
        <v>18.0</v>
      </c>
      <c r="F160" s="2">
        <v>0.0</v>
      </c>
      <c r="G160" s="2">
        <v>26.0</v>
      </c>
      <c r="H160" s="2"/>
      <c r="I160" s="2">
        <v>0.0</v>
      </c>
      <c r="J160" s="2" t="s">
        <v>18</v>
      </c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 t="s">
        <v>26</v>
      </c>
      <c r="B161" s="2"/>
      <c r="C161" s="2">
        <v>8.0</v>
      </c>
      <c r="D161" s="2"/>
      <c r="E161" s="2">
        <v>18.0</v>
      </c>
      <c r="F161" s="2"/>
      <c r="G161" s="2">
        <v>26.0</v>
      </c>
      <c r="H161" s="2"/>
      <c r="I161" s="2">
        <v>0.0</v>
      </c>
      <c r="J161" s="2" t="s">
        <v>26</v>
      </c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 t="s">
        <v>27</v>
      </c>
      <c r="B162" s="2"/>
      <c r="C162" s="2">
        <v>12.0</v>
      </c>
      <c r="D162" s="2"/>
      <c r="E162" s="2">
        <v>22.0</v>
      </c>
      <c r="F162" s="2"/>
      <c r="G162" s="2">
        <v>26.0</v>
      </c>
      <c r="H162" s="2"/>
      <c r="I162" s="2">
        <v>0.0</v>
      </c>
      <c r="J162" s="2" t="s">
        <v>27</v>
      </c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 t="s">
        <v>28</v>
      </c>
      <c r="B163" s="2"/>
      <c r="C163" s="2">
        <v>12.0</v>
      </c>
      <c r="D163" s="2"/>
      <c r="E163" s="2">
        <v>22.0</v>
      </c>
      <c r="F163" s="2">
        <v>10.0</v>
      </c>
      <c r="G163" s="2">
        <v>40.0</v>
      </c>
      <c r="H163" s="2"/>
      <c r="I163" s="2">
        <v>0.0</v>
      </c>
      <c r="J163" s="2" t="s">
        <v>28</v>
      </c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 t="s">
        <v>29</v>
      </c>
      <c r="B164" s="2">
        <v>10.0</v>
      </c>
      <c r="C164" s="2">
        <v>26.0</v>
      </c>
      <c r="D164" s="2"/>
      <c r="E164" s="2">
        <v>22.0</v>
      </c>
      <c r="F164" s="2">
        <v>0.0</v>
      </c>
      <c r="G164" s="2">
        <v>44.0</v>
      </c>
      <c r="H164" s="2"/>
      <c r="I164" s="2">
        <v>0.0</v>
      </c>
      <c r="J164" s="2" t="s">
        <v>29</v>
      </c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 t="s">
        <v>30</v>
      </c>
      <c r="B165" s="2">
        <v>0.0</v>
      </c>
      <c r="C165" s="2">
        <v>30.0</v>
      </c>
      <c r="D165" s="2"/>
      <c r="E165" s="2">
        <v>22.0</v>
      </c>
      <c r="F165" s="2">
        <v>0.0</v>
      </c>
      <c r="G165" s="2">
        <v>48.0</v>
      </c>
      <c r="H165" s="2"/>
      <c r="I165" s="2">
        <v>0.0</v>
      </c>
      <c r="J165" s="2" t="s">
        <v>30</v>
      </c>
      <c r="K165" s="2"/>
      <c r="L165" s="2"/>
      <c r="M165" s="2"/>
      <c r="N165" s="2"/>
      <c r="O165" s="2"/>
      <c r="P165" s="2"/>
      <c r="Q165" s="2"/>
      <c r="R165" s="2"/>
      <c r="S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 t="s">
        <v>18</v>
      </c>
      <c r="B167" s="2"/>
      <c r="C167" s="2">
        <v>30.0</v>
      </c>
      <c r="D167" s="2"/>
      <c r="E167" s="2">
        <v>22.0</v>
      </c>
      <c r="F167" s="2"/>
      <c r="G167" s="2">
        <v>48.0</v>
      </c>
      <c r="H167" s="2">
        <v>0.0</v>
      </c>
      <c r="I167" s="2">
        <v>4.0</v>
      </c>
      <c r="J167" s="2" t="s">
        <v>18</v>
      </c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 t="s">
        <v>26</v>
      </c>
      <c r="B168" s="2"/>
      <c r="C168" s="2">
        <v>30.0</v>
      </c>
      <c r="D168" s="2">
        <v>0.0</v>
      </c>
      <c r="E168" s="2">
        <v>26.0</v>
      </c>
      <c r="F168" s="2">
        <v>10.0</v>
      </c>
      <c r="G168" s="2">
        <v>62.0</v>
      </c>
      <c r="H168" s="2"/>
      <c r="I168" s="2">
        <v>4.0</v>
      </c>
      <c r="J168" s="2" t="s">
        <v>26</v>
      </c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 t="s">
        <v>27</v>
      </c>
      <c r="B169" s="2"/>
      <c r="C169" s="2">
        <v>30.0</v>
      </c>
      <c r="D169" s="2">
        <v>10.0</v>
      </c>
      <c r="E169" s="2">
        <v>40.0</v>
      </c>
      <c r="F169" s="2">
        <v>10.0</v>
      </c>
      <c r="G169" s="2">
        <v>80.0</v>
      </c>
      <c r="H169" s="2"/>
      <c r="I169" s="2">
        <v>4.0</v>
      </c>
      <c r="J169" s="2" t="s">
        <v>27</v>
      </c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 t="s">
        <v>28</v>
      </c>
      <c r="B170" s="2">
        <v>10.0</v>
      </c>
      <c r="C170" s="2">
        <v>44.0</v>
      </c>
      <c r="D170" s="2"/>
      <c r="E170" s="2">
        <v>40.0</v>
      </c>
      <c r="F170" s="2"/>
      <c r="G170" s="2">
        <v>80.0</v>
      </c>
      <c r="H170" s="2"/>
      <c r="I170" s="2">
        <v>4.0</v>
      </c>
      <c r="J170" s="2" t="s">
        <v>28</v>
      </c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 t="s">
        <v>29</v>
      </c>
      <c r="B171" s="2">
        <v>0.0</v>
      </c>
      <c r="C171" s="2">
        <v>48.0</v>
      </c>
      <c r="D171" s="2"/>
      <c r="E171" s="2">
        <v>40.0</v>
      </c>
      <c r="F171" s="2"/>
      <c r="G171" s="2">
        <v>84.0</v>
      </c>
      <c r="H171" s="2"/>
      <c r="I171" s="2">
        <v>4.0</v>
      </c>
      <c r="J171" s="2" t="s">
        <v>29</v>
      </c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 t="s">
        <v>30</v>
      </c>
      <c r="B172" s="2"/>
      <c r="C172" s="2">
        <v>48.0</v>
      </c>
      <c r="D172" s="2">
        <v>0.0</v>
      </c>
      <c r="E172" s="2">
        <v>44.0</v>
      </c>
      <c r="F172" s="2"/>
      <c r="G172" s="2">
        <v>88.0</v>
      </c>
      <c r="H172" s="2"/>
      <c r="I172" s="2">
        <v>4.0</v>
      </c>
      <c r="J172" s="2" t="s">
        <v>30</v>
      </c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 t="s">
        <v>18</v>
      </c>
      <c r="B173" s="2"/>
      <c r="C173" s="2">
        <v>48.0</v>
      </c>
      <c r="D173" s="2"/>
      <c r="E173" s="2">
        <v>44.0</v>
      </c>
      <c r="F173" s="2"/>
      <c r="G173" s="2">
        <v>88.0</v>
      </c>
      <c r="H173" s="2"/>
      <c r="I173" s="2">
        <v>4.0</v>
      </c>
      <c r="J173" s="2" t="s">
        <v>18</v>
      </c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 t="s">
        <v>26</v>
      </c>
      <c r="B174" s="2"/>
      <c r="C174" s="2">
        <v>48.0</v>
      </c>
      <c r="D174" s="2"/>
      <c r="E174" s="2">
        <v>44.0</v>
      </c>
      <c r="F174" s="2">
        <v>0.0</v>
      </c>
      <c r="G174" s="2">
        <v>96.0</v>
      </c>
      <c r="H174" s="2"/>
      <c r="I174" s="2">
        <v>4.0</v>
      </c>
      <c r="J174" s="2" t="s">
        <v>26</v>
      </c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 t="s">
        <v>27</v>
      </c>
      <c r="B175" s="2"/>
      <c r="C175" s="2">
        <v>48.0</v>
      </c>
      <c r="D175" s="2">
        <v>10.0</v>
      </c>
      <c r="E175" s="2">
        <v>58.0</v>
      </c>
      <c r="F175" s="2"/>
      <c r="G175" s="2">
        <v>96.0</v>
      </c>
      <c r="H175" s="2">
        <v>0.0</v>
      </c>
      <c r="I175" s="2">
        <v>8.0</v>
      </c>
      <c r="J175" s="2" t="s">
        <v>27</v>
      </c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 t="s">
        <v>28</v>
      </c>
      <c r="B176" s="2">
        <v>0.0</v>
      </c>
      <c r="C176" s="2">
        <v>52.0</v>
      </c>
      <c r="D176" s="2"/>
      <c r="E176" s="2">
        <v>58.0</v>
      </c>
      <c r="F176" s="2"/>
      <c r="G176" s="2">
        <v>96.0</v>
      </c>
      <c r="H176" s="2">
        <v>0.0</v>
      </c>
      <c r="I176" s="2">
        <v>12.0</v>
      </c>
      <c r="J176" s="2" t="s">
        <v>28</v>
      </c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 t="s">
        <v>29</v>
      </c>
      <c r="B177" s="2"/>
      <c r="C177" s="2">
        <v>52.0</v>
      </c>
      <c r="D177" s="2"/>
      <c r="E177" s="2">
        <v>58.0</v>
      </c>
      <c r="F177" s="2">
        <v>10.0</v>
      </c>
      <c r="G177" s="2">
        <v>110.0</v>
      </c>
      <c r="H177" s="2"/>
      <c r="I177" s="2">
        <v>12.0</v>
      </c>
      <c r="J177" s="2" t="s">
        <v>29</v>
      </c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 t="s">
        <v>30</v>
      </c>
      <c r="B178" s="2">
        <v>0.0</v>
      </c>
      <c r="C178" s="2">
        <v>56.0</v>
      </c>
      <c r="D178" s="2"/>
      <c r="E178" s="2">
        <v>58.0</v>
      </c>
      <c r="F178" s="2">
        <v>0.0</v>
      </c>
      <c r="G178" s="2">
        <v>114.0</v>
      </c>
      <c r="H178" s="2"/>
      <c r="I178" s="2">
        <v>12.0</v>
      </c>
      <c r="J178" s="2" t="s">
        <v>30</v>
      </c>
      <c r="K178" s="2"/>
      <c r="L178" s="2"/>
      <c r="M178" s="2"/>
      <c r="N178" s="2"/>
      <c r="O178" s="2"/>
      <c r="P178" s="2"/>
      <c r="Q178" s="2"/>
      <c r="R178" s="2"/>
      <c r="S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B181" s="2" t="str">
        <f t="array" ref="B181:S210">transpose(sort(transpose(Full!A181:R210),1,true))</f>
        <v>LASA</v>
      </c>
      <c r="C181" s="2" t="s">
        <v>3</v>
      </c>
      <c r="D181" s="2" t="s">
        <v>1</v>
      </c>
      <c r="E181" s="2" t="s">
        <v>1</v>
      </c>
      <c r="F181" s="2" t="s">
        <v>0</v>
      </c>
      <c r="G181" s="2" t="s">
        <v>0</v>
      </c>
      <c r="H181" s="2" t="s">
        <v>2</v>
      </c>
      <c r="I181" s="2" t="s">
        <v>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B182" s="2" t="s">
        <v>7</v>
      </c>
      <c r="C182" s="2" t="s">
        <v>9</v>
      </c>
      <c r="D182" s="2" t="s">
        <v>7</v>
      </c>
      <c r="E182" s="2" t="s">
        <v>9</v>
      </c>
      <c r="F182" s="2" t="s">
        <v>7</v>
      </c>
      <c r="G182" s="2" t="s">
        <v>9</v>
      </c>
      <c r="H182" s="2" t="s">
        <v>7</v>
      </c>
      <c r="I182" s="2" t="s">
        <v>9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 t="s">
        <v>18</v>
      </c>
      <c r="B184" s="2"/>
      <c r="C184" s="2">
        <v>0.0</v>
      </c>
      <c r="D184" s="2"/>
      <c r="E184" s="2">
        <v>0.0</v>
      </c>
      <c r="F184" s="2">
        <v>10.0</v>
      </c>
      <c r="G184" s="2">
        <v>18.0</v>
      </c>
      <c r="H184" s="2"/>
      <c r="I184" s="2">
        <v>0.0</v>
      </c>
      <c r="J184" s="2" t="s">
        <v>18</v>
      </c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 t="s">
        <v>26</v>
      </c>
      <c r="B185" s="2"/>
      <c r="C185" s="2">
        <v>0.0</v>
      </c>
      <c r="D185" s="2"/>
      <c r="E185" s="2">
        <v>0.0</v>
      </c>
      <c r="F185" s="2"/>
      <c r="G185" s="2">
        <v>18.0</v>
      </c>
      <c r="H185" s="2"/>
      <c r="I185" s="2">
        <v>0.0</v>
      </c>
      <c r="J185" s="2" t="s">
        <v>26</v>
      </c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 t="s">
        <v>27</v>
      </c>
      <c r="B186" s="2"/>
      <c r="C186" s="2">
        <v>0.0</v>
      </c>
      <c r="D186" s="2">
        <v>0.0</v>
      </c>
      <c r="E186" s="2">
        <v>4.0</v>
      </c>
      <c r="F186" s="2"/>
      <c r="G186" s="2">
        <v>18.0</v>
      </c>
      <c r="H186" s="2"/>
      <c r="I186" s="2">
        <v>0.0</v>
      </c>
      <c r="J186" s="2" t="s">
        <v>27</v>
      </c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 t="s">
        <v>28</v>
      </c>
      <c r="B187" s="2"/>
      <c r="C187" s="2">
        <v>4.0</v>
      </c>
      <c r="D187" s="2">
        <v>10.0</v>
      </c>
      <c r="E187" s="2">
        <v>18.0</v>
      </c>
      <c r="F187" s="2"/>
      <c r="G187" s="2">
        <v>18.0</v>
      </c>
      <c r="H187" s="2"/>
      <c r="I187" s="2">
        <v>0.0</v>
      </c>
      <c r="J187" s="2" t="s">
        <v>28</v>
      </c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 t="s">
        <v>29</v>
      </c>
      <c r="B188" s="2"/>
      <c r="C188" s="2">
        <v>4.0</v>
      </c>
      <c r="D188" s="2">
        <v>10.0</v>
      </c>
      <c r="E188" s="2">
        <v>32.0</v>
      </c>
      <c r="F188" s="2"/>
      <c r="G188" s="2">
        <v>18.0</v>
      </c>
      <c r="H188" s="2"/>
      <c r="I188" s="2">
        <v>0.0</v>
      </c>
      <c r="J188" s="2" t="s">
        <v>29</v>
      </c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 t="s">
        <v>30</v>
      </c>
      <c r="B189" s="2"/>
      <c r="C189" s="2">
        <v>4.0</v>
      </c>
      <c r="D189" s="2">
        <v>0.0</v>
      </c>
      <c r="E189" s="2">
        <v>36.0</v>
      </c>
      <c r="F189" s="2"/>
      <c r="G189" s="2">
        <v>18.0</v>
      </c>
      <c r="H189" s="2">
        <v>10.0</v>
      </c>
      <c r="I189" s="2">
        <v>14.0</v>
      </c>
      <c r="J189" s="2" t="s">
        <v>30</v>
      </c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 t="s">
        <v>18</v>
      </c>
      <c r="B190" s="2"/>
      <c r="C190" s="2">
        <v>8.0</v>
      </c>
      <c r="D190" s="2"/>
      <c r="E190" s="2">
        <v>36.0</v>
      </c>
      <c r="F190" s="2"/>
      <c r="G190" s="2">
        <v>18.0</v>
      </c>
      <c r="H190" s="2"/>
      <c r="I190" s="2">
        <v>14.0</v>
      </c>
      <c r="J190" s="2" t="s">
        <v>18</v>
      </c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 t="s">
        <v>26</v>
      </c>
      <c r="B191" s="2"/>
      <c r="C191" s="2">
        <v>16.0</v>
      </c>
      <c r="D191" s="2"/>
      <c r="E191" s="2">
        <v>36.0</v>
      </c>
      <c r="F191" s="2">
        <v>0.0</v>
      </c>
      <c r="G191" s="2">
        <v>22.0</v>
      </c>
      <c r="H191" s="2"/>
      <c r="I191" s="2">
        <v>14.0</v>
      </c>
      <c r="J191" s="2" t="s">
        <v>26</v>
      </c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 t="s">
        <v>27</v>
      </c>
      <c r="B192" s="2"/>
      <c r="C192" s="2">
        <v>20.0</v>
      </c>
      <c r="D192" s="2">
        <v>0.0</v>
      </c>
      <c r="E192" s="2">
        <v>40.0</v>
      </c>
      <c r="F192" s="2"/>
      <c r="G192" s="2">
        <v>22.0</v>
      </c>
      <c r="H192" s="2"/>
      <c r="I192" s="2">
        <v>14.0</v>
      </c>
      <c r="J192" s="2" t="s">
        <v>27</v>
      </c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 t="s">
        <v>28</v>
      </c>
      <c r="B193" s="2"/>
      <c r="C193" s="2">
        <v>20.0</v>
      </c>
      <c r="D193" s="2"/>
      <c r="E193" s="2">
        <v>40.0</v>
      </c>
      <c r="F193" s="2"/>
      <c r="G193" s="2">
        <v>22.0</v>
      </c>
      <c r="H193" s="2"/>
      <c r="I193" s="2">
        <v>14.0</v>
      </c>
      <c r="J193" s="2" t="s">
        <v>28</v>
      </c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 t="s">
        <v>29</v>
      </c>
      <c r="B194" s="2"/>
      <c r="C194" s="2">
        <v>20.0</v>
      </c>
      <c r="D194" s="2">
        <v>0.0</v>
      </c>
      <c r="E194" s="2">
        <v>44.0</v>
      </c>
      <c r="F194" s="2"/>
      <c r="G194" s="2">
        <v>22.0</v>
      </c>
      <c r="H194" s="2"/>
      <c r="I194" s="2">
        <v>14.0</v>
      </c>
      <c r="J194" s="2" t="s">
        <v>29</v>
      </c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 t="s">
        <v>30</v>
      </c>
      <c r="B195" s="2"/>
      <c r="C195" s="2">
        <v>24.0</v>
      </c>
      <c r="D195" s="2"/>
      <c r="E195" s="2">
        <v>44.0</v>
      </c>
      <c r="F195" s="2">
        <v>0.0</v>
      </c>
      <c r="G195" s="2">
        <v>26.0</v>
      </c>
      <c r="H195" s="2"/>
      <c r="I195" s="2">
        <v>14.0</v>
      </c>
      <c r="J195" s="2" t="s">
        <v>30</v>
      </c>
      <c r="K195" s="2"/>
      <c r="L195" s="2"/>
      <c r="M195" s="2"/>
      <c r="N195" s="2"/>
      <c r="O195" s="2"/>
      <c r="P195" s="2"/>
      <c r="Q195" s="2"/>
      <c r="R195" s="2"/>
      <c r="S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 t="s">
        <v>18</v>
      </c>
      <c r="B197" s="2"/>
      <c r="C197" s="2">
        <v>24.0</v>
      </c>
      <c r="D197" s="2"/>
      <c r="E197" s="2">
        <v>44.0</v>
      </c>
      <c r="F197" s="2"/>
      <c r="G197" s="2">
        <v>26.0</v>
      </c>
      <c r="H197" s="2"/>
      <c r="I197" s="2">
        <v>14.0</v>
      </c>
      <c r="J197" s="2" t="s">
        <v>18</v>
      </c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 t="s">
        <v>26</v>
      </c>
      <c r="B198" s="2"/>
      <c r="C198" s="2">
        <v>28.0</v>
      </c>
      <c r="D198" s="2"/>
      <c r="E198" s="2">
        <v>44.0</v>
      </c>
      <c r="F198" s="2">
        <v>0.0</v>
      </c>
      <c r="G198" s="2">
        <v>30.0</v>
      </c>
      <c r="H198" s="2"/>
      <c r="I198" s="2">
        <v>14.0</v>
      </c>
      <c r="J198" s="2" t="s">
        <v>26</v>
      </c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 t="s">
        <v>27</v>
      </c>
      <c r="B199" s="2"/>
      <c r="C199" s="2">
        <v>32.0</v>
      </c>
      <c r="D199" s="2">
        <v>10.0</v>
      </c>
      <c r="E199" s="2">
        <v>58.0</v>
      </c>
      <c r="F199" s="2"/>
      <c r="G199" s="2">
        <v>30.0</v>
      </c>
      <c r="H199" s="2"/>
      <c r="I199" s="2">
        <v>14.0</v>
      </c>
      <c r="J199" s="2" t="s">
        <v>27</v>
      </c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 t="s">
        <v>28</v>
      </c>
      <c r="B200" s="2"/>
      <c r="C200" s="2">
        <v>32.0</v>
      </c>
      <c r="D200" s="2"/>
      <c r="E200" s="2">
        <v>58.0</v>
      </c>
      <c r="F200" s="2">
        <v>0.0</v>
      </c>
      <c r="G200" s="2">
        <v>34.0</v>
      </c>
      <c r="H200" s="2"/>
      <c r="I200" s="2">
        <v>14.0</v>
      </c>
      <c r="J200" s="2" t="s">
        <v>28</v>
      </c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 t="s">
        <v>29</v>
      </c>
      <c r="B201" s="2"/>
      <c r="C201" s="2">
        <v>40.0</v>
      </c>
      <c r="D201" s="2">
        <v>10.0</v>
      </c>
      <c r="E201" s="2">
        <v>72.0</v>
      </c>
      <c r="F201" s="2"/>
      <c r="G201" s="2">
        <v>34.0</v>
      </c>
      <c r="H201" s="2"/>
      <c r="I201" s="2">
        <v>14.0</v>
      </c>
      <c r="J201" s="2" t="s">
        <v>29</v>
      </c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 t="s">
        <v>30</v>
      </c>
      <c r="B202" s="2"/>
      <c r="C202" s="2">
        <v>40.0</v>
      </c>
      <c r="D202" s="2"/>
      <c r="E202" s="2">
        <v>72.0</v>
      </c>
      <c r="F202" s="2"/>
      <c r="G202" s="2">
        <v>34.0</v>
      </c>
      <c r="H202" s="2"/>
      <c r="I202" s="2">
        <v>14.0</v>
      </c>
      <c r="J202" s="2" t="s">
        <v>30</v>
      </c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 t="s">
        <v>18</v>
      </c>
      <c r="B203" s="2"/>
      <c r="C203" s="2">
        <v>44.0</v>
      </c>
      <c r="D203" s="2"/>
      <c r="E203" s="2">
        <v>72.0</v>
      </c>
      <c r="F203" s="2"/>
      <c r="G203" s="2">
        <v>34.0</v>
      </c>
      <c r="H203" s="2"/>
      <c r="I203" s="2">
        <v>18.0</v>
      </c>
      <c r="J203" s="2" t="s">
        <v>18</v>
      </c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 t="s">
        <v>26</v>
      </c>
      <c r="B204" s="2"/>
      <c r="C204" s="2">
        <v>44.0</v>
      </c>
      <c r="D204" s="2"/>
      <c r="E204" s="2">
        <v>72.0</v>
      </c>
      <c r="F204" s="2"/>
      <c r="G204" s="2">
        <v>34.0</v>
      </c>
      <c r="H204" s="2"/>
      <c r="I204" s="2">
        <v>18.0</v>
      </c>
      <c r="J204" s="2" t="s">
        <v>26</v>
      </c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 t="s">
        <v>27</v>
      </c>
      <c r="B205" s="2"/>
      <c r="C205" s="2">
        <v>44.0</v>
      </c>
      <c r="D205" s="2"/>
      <c r="E205" s="2">
        <v>72.0</v>
      </c>
      <c r="F205" s="2"/>
      <c r="G205" s="2">
        <v>34.0</v>
      </c>
      <c r="H205" s="2"/>
      <c r="I205" s="2">
        <v>18.0</v>
      </c>
      <c r="J205" s="2" t="s">
        <v>27</v>
      </c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 t="s">
        <v>28</v>
      </c>
      <c r="B206" s="2">
        <v>10.0</v>
      </c>
      <c r="C206" s="2">
        <v>58.0</v>
      </c>
      <c r="D206" s="2"/>
      <c r="E206" s="2">
        <v>72.0</v>
      </c>
      <c r="F206" s="2">
        <v>0.0</v>
      </c>
      <c r="G206" s="2">
        <v>38.0</v>
      </c>
      <c r="H206" s="2"/>
      <c r="I206" s="2">
        <v>18.0</v>
      </c>
      <c r="J206" s="2" t="s">
        <v>28</v>
      </c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 t="s">
        <v>29</v>
      </c>
      <c r="B207" s="2"/>
      <c r="C207" s="2">
        <v>58.0</v>
      </c>
      <c r="D207" s="2">
        <v>10.0</v>
      </c>
      <c r="E207" s="2">
        <v>86.0</v>
      </c>
      <c r="F207" s="2"/>
      <c r="G207" s="2">
        <v>38.0</v>
      </c>
      <c r="H207" s="2"/>
      <c r="I207" s="2">
        <v>18.0</v>
      </c>
      <c r="J207" s="2" t="s">
        <v>29</v>
      </c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 t="s">
        <v>30</v>
      </c>
      <c r="B208" s="2"/>
      <c r="C208" s="2">
        <v>58.0</v>
      </c>
      <c r="D208" s="2"/>
      <c r="E208" s="2">
        <v>86.0</v>
      </c>
      <c r="F208" s="2"/>
      <c r="G208" s="2">
        <v>38.0</v>
      </c>
      <c r="H208" s="2"/>
      <c r="I208" s="2">
        <v>18.0</v>
      </c>
      <c r="J208" s="2" t="s">
        <v>30</v>
      </c>
      <c r="K208" s="2"/>
      <c r="L208" s="2"/>
      <c r="M208" s="2"/>
      <c r="N208" s="2"/>
      <c r="O208" s="2"/>
      <c r="P208" s="2"/>
      <c r="Q208" s="2"/>
      <c r="R208" s="2"/>
      <c r="S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B211" s="2" t="str">
        <f t="array" ref="B211:S240">transpose(sort(transpose(Full!A211:R240),1,true))</f>
        <v>LASA</v>
      </c>
      <c r="C211" s="2" t="s">
        <v>3</v>
      </c>
      <c r="D211" s="2" t="s">
        <v>1</v>
      </c>
      <c r="E211" s="2" t="s">
        <v>1</v>
      </c>
      <c r="F211" s="2" t="s">
        <v>0</v>
      </c>
      <c r="G211" s="2" t="s">
        <v>0</v>
      </c>
      <c r="H211" s="2" t="s">
        <v>2</v>
      </c>
      <c r="I211" s="2" t="s">
        <v>2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B212" s="2" t="s">
        <v>7</v>
      </c>
      <c r="C212" s="2" t="s">
        <v>9</v>
      </c>
      <c r="D212" s="2" t="s">
        <v>7</v>
      </c>
      <c r="E212" s="2" t="s">
        <v>9</v>
      </c>
      <c r="F212" s="2" t="s">
        <v>7</v>
      </c>
      <c r="G212" s="2" t="s">
        <v>9</v>
      </c>
      <c r="H212" s="2" t="s">
        <v>7</v>
      </c>
      <c r="I212" s="2" t="s">
        <v>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 t="s">
        <v>18</v>
      </c>
      <c r="B214" s="2"/>
      <c r="C214" s="2">
        <v>0.0</v>
      </c>
      <c r="D214" s="2"/>
      <c r="E214" s="2">
        <v>0.0</v>
      </c>
      <c r="F214" s="2">
        <v>0.0</v>
      </c>
      <c r="G214" s="2">
        <v>4.0</v>
      </c>
      <c r="H214" s="2"/>
      <c r="I214" s="2">
        <v>0.0</v>
      </c>
      <c r="J214" s="2" t="s">
        <v>18</v>
      </c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 t="s">
        <v>26</v>
      </c>
      <c r="B215" s="2"/>
      <c r="C215" s="2">
        <v>0.0</v>
      </c>
      <c r="D215" s="2"/>
      <c r="E215" s="2">
        <v>0.0</v>
      </c>
      <c r="F215" s="2"/>
      <c r="G215" s="2">
        <v>4.0</v>
      </c>
      <c r="H215" s="2"/>
      <c r="I215" s="2">
        <v>0.0</v>
      </c>
      <c r="J215" s="2" t="s">
        <v>26</v>
      </c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 t="s">
        <v>27</v>
      </c>
      <c r="B216" s="2"/>
      <c r="C216" s="2">
        <v>0.0</v>
      </c>
      <c r="D216" s="2">
        <v>10.0</v>
      </c>
      <c r="E216" s="2">
        <v>14.0</v>
      </c>
      <c r="F216" s="2">
        <v>10.0</v>
      </c>
      <c r="G216" s="2">
        <v>18.0</v>
      </c>
      <c r="H216" s="2"/>
      <c r="I216" s="2">
        <v>0.0</v>
      </c>
      <c r="J216" s="2" t="s">
        <v>27</v>
      </c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 t="s">
        <v>28</v>
      </c>
      <c r="B217" s="2"/>
      <c r="C217" s="2">
        <v>0.0</v>
      </c>
      <c r="D217" s="2">
        <v>0.0</v>
      </c>
      <c r="E217" s="2">
        <v>18.0</v>
      </c>
      <c r="F217" s="2"/>
      <c r="G217" s="2">
        <v>18.0</v>
      </c>
      <c r="H217" s="2"/>
      <c r="I217" s="2">
        <v>0.0</v>
      </c>
      <c r="J217" s="2" t="s">
        <v>28</v>
      </c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 t="s">
        <v>29</v>
      </c>
      <c r="B218" s="2"/>
      <c r="C218" s="2">
        <v>0.0</v>
      </c>
      <c r="D218" s="2"/>
      <c r="E218" s="2">
        <v>18.0</v>
      </c>
      <c r="F218" s="2"/>
      <c r="G218" s="2">
        <v>18.0</v>
      </c>
      <c r="H218" s="2"/>
      <c r="I218" s="2">
        <v>0.0</v>
      </c>
      <c r="J218" s="2" t="s">
        <v>29</v>
      </c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 t="s">
        <v>30</v>
      </c>
      <c r="B219" s="2">
        <v>10.0</v>
      </c>
      <c r="C219" s="2">
        <v>14.0</v>
      </c>
      <c r="D219" s="2"/>
      <c r="E219" s="2">
        <v>18.0</v>
      </c>
      <c r="F219" s="2"/>
      <c r="G219" s="2">
        <v>18.0</v>
      </c>
      <c r="H219" s="2">
        <v>0.0</v>
      </c>
      <c r="I219" s="2">
        <v>4.0</v>
      </c>
      <c r="J219" s="2" t="s">
        <v>30</v>
      </c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 t="s">
        <v>18</v>
      </c>
      <c r="B220" s="2">
        <v>10.0</v>
      </c>
      <c r="C220" s="2">
        <v>28.0</v>
      </c>
      <c r="D220" s="2"/>
      <c r="E220" s="2">
        <v>22.0</v>
      </c>
      <c r="F220" s="2"/>
      <c r="G220" s="2">
        <v>18.0</v>
      </c>
      <c r="H220" s="2"/>
      <c r="I220" s="2">
        <v>8.0</v>
      </c>
      <c r="J220" s="2" t="s">
        <v>18</v>
      </c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 t="s">
        <v>26</v>
      </c>
      <c r="B221" s="2">
        <v>0.0</v>
      </c>
      <c r="C221" s="2">
        <v>32.0</v>
      </c>
      <c r="D221" s="2"/>
      <c r="E221" s="2">
        <v>22.0</v>
      </c>
      <c r="F221" s="2"/>
      <c r="G221" s="2">
        <v>18.0</v>
      </c>
      <c r="H221" s="2"/>
      <c r="I221" s="2">
        <v>8.0</v>
      </c>
      <c r="J221" s="2" t="s">
        <v>26</v>
      </c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 t="s">
        <v>27</v>
      </c>
      <c r="B222" s="2"/>
      <c r="C222" s="2">
        <v>32.0</v>
      </c>
      <c r="D222" s="2">
        <v>10.0</v>
      </c>
      <c r="E222" s="2">
        <v>36.0</v>
      </c>
      <c r="F222" s="2">
        <v>0.0</v>
      </c>
      <c r="G222" s="2">
        <v>22.0</v>
      </c>
      <c r="H222" s="2"/>
      <c r="I222" s="2">
        <v>8.0</v>
      </c>
      <c r="J222" s="2" t="s">
        <v>27</v>
      </c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 t="s">
        <v>28</v>
      </c>
      <c r="B223" s="2"/>
      <c r="C223" s="2">
        <v>36.0</v>
      </c>
      <c r="D223" s="2"/>
      <c r="E223" s="2">
        <v>36.0</v>
      </c>
      <c r="F223" s="2"/>
      <c r="G223" s="2">
        <v>22.0</v>
      </c>
      <c r="H223" s="2">
        <v>10.0</v>
      </c>
      <c r="I223" s="2">
        <v>22.0</v>
      </c>
      <c r="J223" s="2" t="s">
        <v>28</v>
      </c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 t="s">
        <v>29</v>
      </c>
      <c r="B224" s="2">
        <v>0.0</v>
      </c>
      <c r="C224" s="2">
        <v>40.0</v>
      </c>
      <c r="D224" s="2">
        <v>0.0</v>
      </c>
      <c r="E224" s="2">
        <v>40.0</v>
      </c>
      <c r="F224" s="2"/>
      <c r="G224" s="2">
        <v>22.0</v>
      </c>
      <c r="H224" s="2"/>
      <c r="I224" s="2">
        <v>22.0</v>
      </c>
      <c r="J224" s="2" t="s">
        <v>29</v>
      </c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 t="s">
        <v>30</v>
      </c>
      <c r="B225" s="2"/>
      <c r="C225" s="2">
        <v>40.0</v>
      </c>
      <c r="D225" s="2">
        <v>0.0</v>
      </c>
      <c r="E225" s="2">
        <v>48.0</v>
      </c>
      <c r="F225" s="2"/>
      <c r="G225" s="2">
        <v>22.0</v>
      </c>
      <c r="H225" s="2"/>
      <c r="I225" s="2">
        <v>22.0</v>
      </c>
      <c r="J225" s="2" t="s">
        <v>30</v>
      </c>
      <c r="K225" s="2"/>
      <c r="L225" s="2"/>
      <c r="M225" s="2"/>
      <c r="N225" s="2"/>
      <c r="O225" s="2"/>
      <c r="P225" s="2"/>
      <c r="Q225" s="2"/>
      <c r="R225" s="2"/>
      <c r="S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 t="s">
        <v>18</v>
      </c>
      <c r="B227" s="2"/>
      <c r="C227" s="2">
        <v>40.0</v>
      </c>
      <c r="D227" s="2"/>
      <c r="E227" s="2">
        <v>48.0</v>
      </c>
      <c r="F227" s="2">
        <v>0.0</v>
      </c>
      <c r="G227" s="2">
        <v>26.0</v>
      </c>
      <c r="H227" s="2">
        <v>0.0</v>
      </c>
      <c r="I227" s="2">
        <v>26.0</v>
      </c>
      <c r="J227" s="2" t="s">
        <v>18</v>
      </c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 t="s">
        <v>26</v>
      </c>
      <c r="B228" s="2"/>
      <c r="C228" s="2">
        <v>40.0</v>
      </c>
      <c r="D228" s="2"/>
      <c r="E228" s="2">
        <v>48.0</v>
      </c>
      <c r="F228" s="2"/>
      <c r="G228" s="2">
        <v>26.0</v>
      </c>
      <c r="H228" s="2"/>
      <c r="I228" s="2">
        <v>26.0</v>
      </c>
      <c r="J228" s="2" t="s">
        <v>26</v>
      </c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 t="s">
        <v>27</v>
      </c>
      <c r="B229" s="2"/>
      <c r="C229" s="2">
        <v>40.0</v>
      </c>
      <c r="D229" s="2">
        <v>10.0</v>
      </c>
      <c r="E229" s="2">
        <v>62.0</v>
      </c>
      <c r="F229" s="2">
        <v>0.0</v>
      </c>
      <c r="G229" s="2">
        <v>34.0</v>
      </c>
      <c r="H229" s="2"/>
      <c r="I229" s="2">
        <v>26.0</v>
      </c>
      <c r="J229" s="2" t="s">
        <v>27</v>
      </c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 t="s">
        <v>28</v>
      </c>
      <c r="B230" s="2">
        <v>0.0</v>
      </c>
      <c r="C230" s="2">
        <v>44.0</v>
      </c>
      <c r="D230" s="2">
        <v>10.0</v>
      </c>
      <c r="E230" s="2">
        <v>76.0</v>
      </c>
      <c r="F230" s="2"/>
      <c r="G230" s="2">
        <v>34.0</v>
      </c>
      <c r="H230" s="2"/>
      <c r="I230" s="2">
        <v>26.0</v>
      </c>
      <c r="J230" s="2" t="s">
        <v>28</v>
      </c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 t="s">
        <v>29</v>
      </c>
      <c r="B231" s="2"/>
      <c r="C231" s="2">
        <v>44.0</v>
      </c>
      <c r="D231" s="2"/>
      <c r="E231" s="2">
        <v>76.0</v>
      </c>
      <c r="F231" s="2"/>
      <c r="G231" s="2">
        <v>34.0</v>
      </c>
      <c r="H231" s="2">
        <v>0.0</v>
      </c>
      <c r="I231" s="2">
        <v>30.0</v>
      </c>
      <c r="J231" s="2" t="s">
        <v>29</v>
      </c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 t="s">
        <v>30</v>
      </c>
      <c r="B232" s="2"/>
      <c r="C232" s="2">
        <v>44.0</v>
      </c>
      <c r="D232" s="2"/>
      <c r="E232" s="2">
        <v>76.0</v>
      </c>
      <c r="F232" s="2"/>
      <c r="G232" s="2">
        <v>34.0</v>
      </c>
      <c r="H232" s="2"/>
      <c r="I232" s="2">
        <v>30.0</v>
      </c>
      <c r="J232" s="2" t="s">
        <v>30</v>
      </c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 t="s">
        <v>18</v>
      </c>
      <c r="B233" s="2"/>
      <c r="C233" s="2">
        <v>44.0</v>
      </c>
      <c r="D233" s="2">
        <v>10.0</v>
      </c>
      <c r="E233" s="2">
        <v>90.0</v>
      </c>
      <c r="F233" s="2"/>
      <c r="G233" s="2">
        <v>34.0</v>
      </c>
      <c r="H233" s="2"/>
      <c r="I233" s="2">
        <v>30.0</v>
      </c>
      <c r="J233" s="2" t="s">
        <v>18</v>
      </c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 t="s">
        <v>26</v>
      </c>
      <c r="B234" s="2"/>
      <c r="C234" s="2">
        <v>44.0</v>
      </c>
      <c r="D234" s="2">
        <v>10.0</v>
      </c>
      <c r="E234" s="2">
        <v>104.0</v>
      </c>
      <c r="F234" s="2"/>
      <c r="G234" s="2">
        <v>34.0</v>
      </c>
      <c r="H234" s="2"/>
      <c r="I234" s="2">
        <v>30.0</v>
      </c>
      <c r="J234" s="2" t="s">
        <v>26</v>
      </c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 t="s">
        <v>27</v>
      </c>
      <c r="B235" s="2"/>
      <c r="C235" s="2">
        <v>44.0</v>
      </c>
      <c r="D235" s="2">
        <v>10.0</v>
      </c>
      <c r="E235" s="2">
        <v>118.0</v>
      </c>
      <c r="F235" s="2">
        <v>0.0</v>
      </c>
      <c r="G235" s="2">
        <v>38.0</v>
      </c>
      <c r="H235" s="2"/>
      <c r="I235" s="2">
        <v>30.0</v>
      </c>
      <c r="J235" s="2" t="s">
        <v>27</v>
      </c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 t="s">
        <v>28</v>
      </c>
      <c r="B236" s="2"/>
      <c r="C236" s="2">
        <v>44.0</v>
      </c>
      <c r="D236" s="2"/>
      <c r="E236" s="2">
        <v>118.0</v>
      </c>
      <c r="F236" s="2">
        <v>10.0</v>
      </c>
      <c r="G236" s="2">
        <v>52.0</v>
      </c>
      <c r="H236" s="2"/>
      <c r="I236" s="2">
        <v>30.0</v>
      </c>
      <c r="J236" s="2" t="s">
        <v>28</v>
      </c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 t="s">
        <v>29</v>
      </c>
      <c r="B237" s="2"/>
      <c r="C237" s="2">
        <v>44.0</v>
      </c>
      <c r="D237" s="2"/>
      <c r="E237" s="2">
        <v>122.0</v>
      </c>
      <c r="F237" s="2"/>
      <c r="G237" s="2">
        <v>52.0</v>
      </c>
      <c r="H237" s="2"/>
      <c r="I237" s="2">
        <v>30.0</v>
      </c>
      <c r="J237" s="2" t="s">
        <v>29</v>
      </c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 t="s">
        <v>30</v>
      </c>
      <c r="B238" s="2">
        <v>0.0</v>
      </c>
      <c r="C238" s="2">
        <v>48.0</v>
      </c>
      <c r="D238" s="2"/>
      <c r="E238" s="2">
        <v>122.0</v>
      </c>
      <c r="F238" s="2"/>
      <c r="G238" s="2">
        <v>52.0</v>
      </c>
      <c r="H238" s="2"/>
      <c r="I238" s="2">
        <v>30.0</v>
      </c>
      <c r="J238" s="2" t="s">
        <v>30</v>
      </c>
      <c r="K238" s="2"/>
      <c r="L238" s="2"/>
      <c r="M238" s="2"/>
      <c r="N238" s="2"/>
      <c r="O238" s="2"/>
      <c r="P238" s="2"/>
      <c r="Q238" s="2"/>
      <c r="R238" s="2"/>
      <c r="S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B241" s="2" t="str">
        <f t="array" ref="B241:S270">transpose(sort(transpose(Full!A241:R270),1,true))</f>
        <v>LASA</v>
      </c>
      <c r="C241" s="2" t="s">
        <v>3</v>
      </c>
      <c r="D241" s="2" t="s">
        <v>1</v>
      </c>
      <c r="E241" s="2" t="s">
        <v>1</v>
      </c>
      <c r="F241" s="2" t="s">
        <v>0</v>
      </c>
      <c r="G241" s="2" t="s">
        <v>0</v>
      </c>
      <c r="H241" s="2" t="s">
        <v>2</v>
      </c>
      <c r="I241" s="2" t="s">
        <v>2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B242" s="2" t="s">
        <v>7</v>
      </c>
      <c r="C242" s="2" t="s">
        <v>9</v>
      </c>
      <c r="D242" s="2" t="s">
        <v>7</v>
      </c>
      <c r="E242" s="2" t="s">
        <v>9</v>
      </c>
      <c r="F242" s="2" t="s">
        <v>7</v>
      </c>
      <c r="G242" s="2" t="s">
        <v>9</v>
      </c>
      <c r="H242" s="2" t="s">
        <v>7</v>
      </c>
      <c r="I242" s="2" t="s">
        <v>9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 t="s">
        <v>18</v>
      </c>
      <c r="B244" s="2">
        <v>0.0</v>
      </c>
      <c r="C244" s="2">
        <v>4.0</v>
      </c>
      <c r="D244" s="2"/>
      <c r="E244" s="2">
        <v>0.0</v>
      </c>
      <c r="F244" s="2"/>
      <c r="G244" s="2">
        <v>0.0</v>
      </c>
      <c r="H244" s="2"/>
      <c r="I244" s="2">
        <v>0.0</v>
      </c>
      <c r="J244" s="2" t="s">
        <v>18</v>
      </c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 t="s">
        <v>26</v>
      </c>
      <c r="B245" s="2"/>
      <c r="C245" s="2">
        <v>4.0</v>
      </c>
      <c r="D245" s="2"/>
      <c r="E245" s="2">
        <v>0.0</v>
      </c>
      <c r="F245" s="2"/>
      <c r="G245" s="2">
        <v>0.0</v>
      </c>
      <c r="H245" s="2"/>
      <c r="I245" s="2">
        <v>0.0</v>
      </c>
      <c r="J245" s="2" t="s">
        <v>26</v>
      </c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 t="s">
        <v>27</v>
      </c>
      <c r="B246" s="2">
        <v>0.0</v>
      </c>
      <c r="C246" s="2">
        <v>8.0</v>
      </c>
      <c r="D246" s="2"/>
      <c r="E246" s="2">
        <v>0.0</v>
      </c>
      <c r="F246" s="2">
        <v>0.0</v>
      </c>
      <c r="G246" s="2">
        <v>4.0</v>
      </c>
      <c r="H246" s="2"/>
      <c r="I246" s="2">
        <v>0.0</v>
      </c>
      <c r="J246" s="2" t="s">
        <v>27</v>
      </c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 t="s">
        <v>28</v>
      </c>
      <c r="B247" s="2"/>
      <c r="C247" s="2">
        <v>8.0</v>
      </c>
      <c r="D247" s="2"/>
      <c r="E247" s="2">
        <v>0.0</v>
      </c>
      <c r="F247" s="2"/>
      <c r="G247" s="2">
        <v>4.0</v>
      </c>
      <c r="H247" s="2"/>
      <c r="I247" s="2">
        <v>0.0</v>
      </c>
      <c r="J247" s="2" t="s">
        <v>28</v>
      </c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 t="s">
        <v>29</v>
      </c>
      <c r="B248" s="2"/>
      <c r="C248" s="2">
        <v>8.0</v>
      </c>
      <c r="D248" s="2">
        <v>10.0</v>
      </c>
      <c r="E248" s="2">
        <v>14.0</v>
      </c>
      <c r="F248" s="2"/>
      <c r="G248" s="2">
        <v>4.0</v>
      </c>
      <c r="H248" s="2">
        <v>10.0</v>
      </c>
      <c r="I248" s="2">
        <v>14.0</v>
      </c>
      <c r="J248" s="2" t="s">
        <v>29</v>
      </c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 t="s">
        <v>30</v>
      </c>
      <c r="B249" s="2">
        <v>10.0</v>
      </c>
      <c r="C249" s="2">
        <v>22.0</v>
      </c>
      <c r="D249" s="2"/>
      <c r="E249" s="2">
        <v>14.0</v>
      </c>
      <c r="F249" s="2"/>
      <c r="G249" s="2">
        <v>4.0</v>
      </c>
      <c r="H249" s="2"/>
      <c r="I249" s="2">
        <v>14.0</v>
      </c>
      <c r="J249" s="2" t="s">
        <v>30</v>
      </c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 t="s">
        <v>18</v>
      </c>
      <c r="B250" s="2"/>
      <c r="C250" s="2">
        <v>26.0</v>
      </c>
      <c r="D250" s="2"/>
      <c r="E250" s="2">
        <v>18.0</v>
      </c>
      <c r="F250" s="2"/>
      <c r="G250" s="2">
        <v>8.0</v>
      </c>
      <c r="H250" s="2"/>
      <c r="I250" s="2">
        <v>14.0</v>
      </c>
      <c r="J250" s="2" t="s">
        <v>18</v>
      </c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 t="s">
        <v>26</v>
      </c>
      <c r="B251" s="2"/>
      <c r="C251" s="2">
        <v>26.0</v>
      </c>
      <c r="D251" s="2"/>
      <c r="E251" s="2">
        <v>18.0</v>
      </c>
      <c r="F251" s="2"/>
      <c r="G251" s="2">
        <v>8.0</v>
      </c>
      <c r="H251" s="2"/>
      <c r="I251" s="2">
        <v>14.0</v>
      </c>
      <c r="J251" s="2" t="s">
        <v>26</v>
      </c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 t="s">
        <v>27</v>
      </c>
      <c r="B252" s="2"/>
      <c r="C252" s="2">
        <v>26.0</v>
      </c>
      <c r="D252" s="2">
        <v>0.0</v>
      </c>
      <c r="E252" s="2">
        <v>22.0</v>
      </c>
      <c r="F252" s="2">
        <v>10.0</v>
      </c>
      <c r="G252" s="2">
        <v>22.0</v>
      </c>
      <c r="H252" s="2"/>
      <c r="I252" s="2">
        <v>14.0</v>
      </c>
      <c r="J252" s="2" t="s">
        <v>27</v>
      </c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 t="s">
        <v>28</v>
      </c>
      <c r="B253" s="2"/>
      <c r="C253" s="2">
        <v>26.0</v>
      </c>
      <c r="D253" s="2">
        <v>0.0</v>
      </c>
      <c r="E253" s="2">
        <v>26.0</v>
      </c>
      <c r="F253" s="2"/>
      <c r="G253" s="2">
        <v>22.0</v>
      </c>
      <c r="H253" s="2">
        <v>10.0</v>
      </c>
      <c r="I253" s="2">
        <v>28.0</v>
      </c>
      <c r="J253" s="2" t="s">
        <v>28</v>
      </c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 t="s">
        <v>29</v>
      </c>
      <c r="B254" s="2"/>
      <c r="C254" s="2">
        <v>26.0</v>
      </c>
      <c r="D254" s="2">
        <v>10.0</v>
      </c>
      <c r="E254" s="2">
        <v>40.0</v>
      </c>
      <c r="F254" s="2"/>
      <c r="G254" s="2">
        <v>22.0</v>
      </c>
      <c r="H254" s="2"/>
      <c r="I254" s="2">
        <v>28.0</v>
      </c>
      <c r="J254" s="2" t="s">
        <v>29</v>
      </c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 t="s">
        <v>30</v>
      </c>
      <c r="B255" s="2"/>
      <c r="C255" s="2">
        <v>26.0</v>
      </c>
      <c r="D255" s="2"/>
      <c r="E255" s="2">
        <v>40.0</v>
      </c>
      <c r="F255" s="2"/>
      <c r="G255" s="2">
        <v>22.0</v>
      </c>
      <c r="H255" s="2"/>
      <c r="I255" s="2">
        <v>28.0</v>
      </c>
      <c r="J255" s="2" t="s">
        <v>30</v>
      </c>
      <c r="K255" s="2"/>
      <c r="L255" s="2"/>
      <c r="M255" s="2"/>
      <c r="N255" s="2"/>
      <c r="O255" s="2"/>
      <c r="P255" s="2"/>
      <c r="Q255" s="2"/>
      <c r="R255" s="2"/>
      <c r="S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 t="s">
        <v>18</v>
      </c>
      <c r="B257" s="2"/>
      <c r="C257" s="2">
        <v>26.0</v>
      </c>
      <c r="D257" s="2">
        <v>10.0</v>
      </c>
      <c r="E257" s="2">
        <v>54.0</v>
      </c>
      <c r="F257" s="2"/>
      <c r="G257" s="2">
        <v>22.0</v>
      </c>
      <c r="H257" s="2">
        <v>0.0</v>
      </c>
      <c r="I257" s="2">
        <v>32.0</v>
      </c>
      <c r="J257" s="2" t="s">
        <v>18</v>
      </c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 t="s">
        <v>26</v>
      </c>
      <c r="B258" s="2"/>
      <c r="C258" s="2">
        <v>26.0</v>
      </c>
      <c r="D258" s="2"/>
      <c r="E258" s="2">
        <v>54.0</v>
      </c>
      <c r="F258" s="2"/>
      <c r="G258" s="2">
        <v>22.0</v>
      </c>
      <c r="H258" s="2"/>
      <c r="I258" s="2">
        <v>32.0</v>
      </c>
      <c r="J258" s="2" t="s">
        <v>26</v>
      </c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 t="s">
        <v>27</v>
      </c>
      <c r="B259" s="2">
        <v>0.0</v>
      </c>
      <c r="C259" s="2">
        <v>30.0</v>
      </c>
      <c r="D259" s="2"/>
      <c r="E259" s="2">
        <v>54.0</v>
      </c>
      <c r="F259" s="2"/>
      <c r="G259" s="2">
        <v>22.0</v>
      </c>
      <c r="H259" s="2">
        <v>0.0</v>
      </c>
      <c r="I259" s="2">
        <v>36.0</v>
      </c>
      <c r="J259" s="2" t="s">
        <v>27</v>
      </c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 t="s">
        <v>28</v>
      </c>
      <c r="B260" s="2"/>
      <c r="C260" s="2">
        <v>30.0</v>
      </c>
      <c r="D260" s="2">
        <v>0.0</v>
      </c>
      <c r="E260" s="2">
        <v>58.0</v>
      </c>
      <c r="F260" s="2">
        <v>10.0</v>
      </c>
      <c r="G260" s="2">
        <v>36.0</v>
      </c>
      <c r="H260" s="2"/>
      <c r="I260" s="2">
        <v>36.0</v>
      </c>
      <c r="J260" s="2" t="s">
        <v>28</v>
      </c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 t="s">
        <v>29</v>
      </c>
      <c r="B261" s="2"/>
      <c r="C261" s="2">
        <v>30.0</v>
      </c>
      <c r="D261" s="2"/>
      <c r="E261" s="2">
        <v>58.0</v>
      </c>
      <c r="F261" s="2"/>
      <c r="G261" s="2">
        <v>36.0</v>
      </c>
      <c r="H261" s="2"/>
      <c r="I261" s="2">
        <v>36.0</v>
      </c>
      <c r="J261" s="2" t="s">
        <v>29</v>
      </c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 t="s">
        <v>30</v>
      </c>
      <c r="B262" s="2"/>
      <c r="C262" s="2">
        <v>30.0</v>
      </c>
      <c r="D262" s="2"/>
      <c r="E262" s="2">
        <v>58.0</v>
      </c>
      <c r="F262" s="2">
        <v>10.0</v>
      </c>
      <c r="G262" s="2">
        <v>50.0</v>
      </c>
      <c r="H262" s="2"/>
      <c r="I262" s="2">
        <v>36.0</v>
      </c>
      <c r="J262" s="2" t="s">
        <v>30</v>
      </c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 t="s">
        <v>18</v>
      </c>
      <c r="B263" s="2">
        <v>0.0</v>
      </c>
      <c r="C263" s="2">
        <v>34.0</v>
      </c>
      <c r="D263" s="2"/>
      <c r="E263" s="2">
        <v>58.0</v>
      </c>
      <c r="F263" s="2"/>
      <c r="G263" s="2">
        <v>50.0</v>
      </c>
      <c r="H263" s="2"/>
      <c r="I263" s="2">
        <v>36.0</v>
      </c>
      <c r="J263" s="2" t="s">
        <v>18</v>
      </c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 t="s">
        <v>26</v>
      </c>
      <c r="B264" s="2"/>
      <c r="C264" s="2">
        <v>34.0</v>
      </c>
      <c r="D264" s="2"/>
      <c r="E264" s="2">
        <v>58.0</v>
      </c>
      <c r="F264" s="2"/>
      <c r="G264" s="2">
        <v>50.0</v>
      </c>
      <c r="H264" s="2"/>
      <c r="I264" s="2">
        <v>36.0</v>
      </c>
      <c r="J264" s="2" t="s">
        <v>26</v>
      </c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 t="s">
        <v>27</v>
      </c>
      <c r="B265" s="2"/>
      <c r="C265" s="2">
        <v>34.0</v>
      </c>
      <c r="D265" s="2">
        <v>10.0</v>
      </c>
      <c r="E265" s="2">
        <v>72.0</v>
      </c>
      <c r="F265" s="2"/>
      <c r="G265" s="2">
        <v>50.0</v>
      </c>
      <c r="H265" s="2"/>
      <c r="I265" s="2">
        <v>36.0</v>
      </c>
      <c r="J265" s="2" t="s">
        <v>27</v>
      </c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 t="s">
        <v>28</v>
      </c>
      <c r="B266" s="2"/>
      <c r="C266" s="2">
        <v>34.0</v>
      </c>
      <c r="D266" s="2"/>
      <c r="E266" s="2">
        <v>72.0</v>
      </c>
      <c r="F266" s="2"/>
      <c r="G266" s="2">
        <v>54.0</v>
      </c>
      <c r="H266" s="2"/>
      <c r="I266" s="2">
        <v>36.0</v>
      </c>
      <c r="J266" s="2" t="s">
        <v>28</v>
      </c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 t="s">
        <v>29</v>
      </c>
      <c r="B267" s="2"/>
      <c r="C267" s="2">
        <v>34.0</v>
      </c>
      <c r="D267" s="2"/>
      <c r="E267" s="2">
        <v>72.0</v>
      </c>
      <c r="F267" s="2"/>
      <c r="G267" s="2">
        <v>54.0</v>
      </c>
      <c r="H267" s="2">
        <v>0.0</v>
      </c>
      <c r="I267" s="2">
        <v>40.0</v>
      </c>
      <c r="J267" s="2" t="s">
        <v>29</v>
      </c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 t="s">
        <v>30</v>
      </c>
      <c r="B268" s="2">
        <v>0.0</v>
      </c>
      <c r="C268" s="2">
        <v>38.0</v>
      </c>
      <c r="D268" s="2"/>
      <c r="E268" s="2">
        <v>72.0</v>
      </c>
      <c r="F268" s="2">
        <v>0.0</v>
      </c>
      <c r="G268" s="2">
        <v>58.0</v>
      </c>
      <c r="H268" s="2"/>
      <c r="I268" s="2">
        <v>40.0</v>
      </c>
      <c r="J268" s="2" t="s">
        <v>30</v>
      </c>
      <c r="K268" s="2"/>
      <c r="L268" s="2"/>
      <c r="M268" s="2"/>
      <c r="N268" s="2"/>
      <c r="O268" s="2"/>
      <c r="P268" s="2"/>
      <c r="Q268" s="2"/>
      <c r="R268" s="2"/>
      <c r="S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B271" s="2" t="str">
        <f t="array" ref="B271:S300">transpose(sort(transpose(Full!A271:R300),1,true))</f>
        <v>LASA</v>
      </c>
      <c r="C271" s="2" t="s">
        <v>3</v>
      </c>
      <c r="D271" s="2" t="s">
        <v>1</v>
      </c>
      <c r="E271" s="2" t="s">
        <v>1</v>
      </c>
      <c r="F271" s="2" t="s">
        <v>0</v>
      </c>
      <c r="G271" s="2" t="s">
        <v>0</v>
      </c>
      <c r="H271" s="2" t="s">
        <v>2</v>
      </c>
      <c r="I271" s="2" t="s">
        <v>2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B272" s="2" t="s">
        <v>7</v>
      </c>
      <c r="C272" s="2" t="s">
        <v>9</v>
      </c>
      <c r="D272" s="2" t="s">
        <v>7</v>
      </c>
      <c r="E272" s="2" t="s">
        <v>9</v>
      </c>
      <c r="F272" s="2" t="s">
        <v>7</v>
      </c>
      <c r="G272" s="2" t="s">
        <v>9</v>
      </c>
      <c r="H272" s="2" t="s">
        <v>7</v>
      </c>
      <c r="I272" s="2" t="s">
        <v>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 t="s">
        <v>18</v>
      </c>
      <c r="B274" s="2"/>
      <c r="C274" s="2"/>
      <c r="D274" s="2">
        <v>0.0</v>
      </c>
      <c r="E274" s="2">
        <v>4.0</v>
      </c>
      <c r="F274" s="2"/>
      <c r="G274" s="2">
        <v>0.0</v>
      </c>
      <c r="H274" s="2"/>
      <c r="I274" s="2"/>
      <c r="J274" s="2" t="s">
        <v>18</v>
      </c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 t="s">
        <v>26</v>
      </c>
      <c r="B275" s="2"/>
      <c r="C275" s="2"/>
      <c r="D275" s="2"/>
      <c r="E275" s="2">
        <v>4.0</v>
      </c>
      <c r="F275" s="2"/>
      <c r="G275" s="2">
        <v>0.0</v>
      </c>
      <c r="H275" s="2"/>
      <c r="I275" s="2"/>
      <c r="J275" s="2" t="s">
        <v>26</v>
      </c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 t="s">
        <v>27</v>
      </c>
      <c r="B276" s="2"/>
      <c r="C276" s="2"/>
      <c r="D276" s="2">
        <v>0.0</v>
      </c>
      <c r="E276" s="2">
        <v>8.0</v>
      </c>
      <c r="F276" s="2"/>
      <c r="G276" s="2">
        <v>0.0</v>
      </c>
      <c r="H276" s="2"/>
      <c r="I276" s="2"/>
      <c r="J276" s="2" t="s">
        <v>27</v>
      </c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 t="s">
        <v>28</v>
      </c>
      <c r="B277" s="2"/>
      <c r="C277" s="2"/>
      <c r="D277" s="2"/>
      <c r="E277" s="2">
        <v>8.0</v>
      </c>
      <c r="F277" s="2">
        <v>10.0</v>
      </c>
      <c r="G277" s="2">
        <v>14.0</v>
      </c>
      <c r="H277" s="2"/>
      <c r="I277" s="2"/>
      <c r="J277" s="2" t="s">
        <v>28</v>
      </c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 t="s">
        <v>29</v>
      </c>
      <c r="B278" s="2"/>
      <c r="C278" s="2"/>
      <c r="D278" s="2"/>
      <c r="E278" s="2">
        <v>8.0</v>
      </c>
      <c r="F278" s="2">
        <v>0.0</v>
      </c>
      <c r="G278" s="2">
        <v>18.0</v>
      </c>
      <c r="H278" s="2"/>
      <c r="I278" s="2"/>
      <c r="J278" s="2" t="s">
        <v>29</v>
      </c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 t="s">
        <v>30</v>
      </c>
      <c r="B279" s="2"/>
      <c r="C279" s="2"/>
      <c r="D279" s="2"/>
      <c r="E279" s="2">
        <v>8.0</v>
      </c>
      <c r="F279" s="2"/>
      <c r="G279" s="2">
        <v>18.0</v>
      </c>
      <c r="H279" s="2"/>
      <c r="I279" s="2"/>
      <c r="J279" s="2" t="s">
        <v>30</v>
      </c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 t="s">
        <v>18</v>
      </c>
      <c r="B280" s="2"/>
      <c r="C280" s="2"/>
      <c r="D280" s="2"/>
      <c r="E280" s="2">
        <v>8.0</v>
      </c>
      <c r="F280" s="2"/>
      <c r="G280" s="2">
        <v>18.0</v>
      </c>
      <c r="H280" s="2"/>
      <c r="I280" s="2"/>
      <c r="J280" s="2" t="s">
        <v>18</v>
      </c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 t="s">
        <v>26</v>
      </c>
      <c r="B281" s="2"/>
      <c r="C281" s="2"/>
      <c r="D281" s="2"/>
      <c r="E281" s="2">
        <v>8.0</v>
      </c>
      <c r="F281" s="2"/>
      <c r="G281" s="2">
        <v>18.0</v>
      </c>
      <c r="H281" s="2"/>
      <c r="I281" s="2"/>
      <c r="J281" s="2" t="s">
        <v>26</v>
      </c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 t="s">
        <v>27</v>
      </c>
      <c r="B282" s="2"/>
      <c r="C282" s="2"/>
      <c r="D282" s="2">
        <v>10.0</v>
      </c>
      <c r="E282" s="2">
        <v>22.0</v>
      </c>
      <c r="F282" s="2"/>
      <c r="G282" s="2">
        <v>18.0</v>
      </c>
      <c r="H282" s="2"/>
      <c r="I282" s="2"/>
      <c r="J282" s="2" t="s">
        <v>27</v>
      </c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 t="s">
        <v>28</v>
      </c>
      <c r="B283" s="2"/>
      <c r="C283" s="2"/>
      <c r="D283" s="2"/>
      <c r="E283" s="2">
        <v>22.0</v>
      </c>
      <c r="F283" s="2">
        <v>0.0</v>
      </c>
      <c r="G283" s="2">
        <v>22.0</v>
      </c>
      <c r="H283" s="2"/>
      <c r="I283" s="2"/>
      <c r="J283" s="2" t="s">
        <v>28</v>
      </c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 t="s">
        <v>29</v>
      </c>
      <c r="B284" s="2"/>
      <c r="C284" s="2"/>
      <c r="D284" s="2">
        <v>0.0</v>
      </c>
      <c r="E284" s="2">
        <v>26.0</v>
      </c>
      <c r="F284" s="2"/>
      <c r="G284" s="2">
        <v>22.0</v>
      </c>
      <c r="H284" s="2"/>
      <c r="I284" s="2"/>
      <c r="J284" s="2" t="s">
        <v>29</v>
      </c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 t="s">
        <v>30</v>
      </c>
      <c r="B285" s="2"/>
      <c r="C285" s="2"/>
      <c r="D285" s="2"/>
      <c r="E285" s="2">
        <v>26.0</v>
      </c>
      <c r="F285" s="2">
        <v>0.0</v>
      </c>
      <c r="G285" s="2">
        <v>26.0</v>
      </c>
      <c r="H285" s="2"/>
      <c r="I285" s="2"/>
      <c r="J285" s="2" t="s">
        <v>30</v>
      </c>
      <c r="K285" s="2"/>
      <c r="L285" s="2"/>
      <c r="M285" s="2"/>
      <c r="N285" s="2"/>
      <c r="O285" s="2"/>
      <c r="P285" s="2"/>
      <c r="Q285" s="2"/>
      <c r="R285" s="2"/>
      <c r="S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 t="s">
        <v>18</v>
      </c>
      <c r="B287" s="2"/>
      <c r="C287" s="2"/>
      <c r="D287" s="2"/>
      <c r="E287" s="2">
        <v>26.0</v>
      </c>
      <c r="F287" s="2">
        <v>0.0</v>
      </c>
      <c r="G287" s="2">
        <v>30.0</v>
      </c>
      <c r="H287" s="2"/>
      <c r="I287" s="2"/>
      <c r="J287" s="2" t="s">
        <v>18</v>
      </c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 t="s">
        <v>26</v>
      </c>
      <c r="B288" s="2"/>
      <c r="C288" s="2"/>
      <c r="D288" s="2"/>
      <c r="E288" s="2">
        <v>26.0</v>
      </c>
      <c r="F288" s="2"/>
      <c r="G288" s="2">
        <v>30.0</v>
      </c>
      <c r="H288" s="2"/>
      <c r="I288" s="2"/>
      <c r="J288" s="2" t="s">
        <v>26</v>
      </c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 t="s">
        <v>27</v>
      </c>
      <c r="B289" s="2"/>
      <c r="C289" s="2"/>
      <c r="D289" s="2">
        <v>10.0</v>
      </c>
      <c r="E289" s="2">
        <v>40.0</v>
      </c>
      <c r="F289" s="2"/>
      <c r="G289" s="2">
        <v>30.0</v>
      </c>
      <c r="H289" s="2"/>
      <c r="I289" s="2"/>
      <c r="J289" s="2" t="s">
        <v>27</v>
      </c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 t="s">
        <v>28</v>
      </c>
      <c r="B290" s="2"/>
      <c r="C290" s="2"/>
      <c r="D290" s="2"/>
      <c r="E290" s="2">
        <v>40.0</v>
      </c>
      <c r="F290" s="2"/>
      <c r="G290" s="2">
        <v>30.0</v>
      </c>
      <c r="H290" s="2"/>
      <c r="I290" s="2"/>
      <c r="J290" s="2" t="s">
        <v>28</v>
      </c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 t="s">
        <v>29</v>
      </c>
      <c r="B291" s="2"/>
      <c r="C291" s="2"/>
      <c r="D291" s="2">
        <v>10.0</v>
      </c>
      <c r="E291" s="2">
        <v>54.0</v>
      </c>
      <c r="F291" s="2"/>
      <c r="G291" s="2">
        <v>30.0</v>
      </c>
      <c r="H291" s="2"/>
      <c r="I291" s="2"/>
      <c r="J291" s="2" t="s">
        <v>29</v>
      </c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 t="s">
        <v>30</v>
      </c>
      <c r="B292" s="2"/>
      <c r="C292" s="2"/>
      <c r="D292" s="2"/>
      <c r="E292" s="2">
        <v>54.0</v>
      </c>
      <c r="F292" s="2">
        <v>0.0</v>
      </c>
      <c r="G292" s="2">
        <v>34.0</v>
      </c>
      <c r="H292" s="2"/>
      <c r="I292" s="2"/>
      <c r="J292" s="2" t="s">
        <v>30</v>
      </c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 t="s">
        <v>18</v>
      </c>
      <c r="B293" s="2"/>
      <c r="C293" s="2"/>
      <c r="D293" s="2"/>
      <c r="E293" s="2">
        <v>54.0</v>
      </c>
      <c r="F293" s="2">
        <v>0.0</v>
      </c>
      <c r="G293" s="2">
        <v>42.0</v>
      </c>
      <c r="H293" s="2"/>
      <c r="I293" s="2"/>
      <c r="J293" s="2" t="s">
        <v>18</v>
      </c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 t="s">
        <v>26</v>
      </c>
      <c r="B294" s="2"/>
      <c r="C294" s="2"/>
      <c r="D294" s="2"/>
      <c r="E294" s="2">
        <v>54.0</v>
      </c>
      <c r="F294" s="2">
        <v>0.0</v>
      </c>
      <c r="G294" s="2">
        <v>46.0</v>
      </c>
      <c r="H294" s="2"/>
      <c r="I294" s="2"/>
      <c r="J294" s="2" t="s">
        <v>26</v>
      </c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 t="s">
        <v>27</v>
      </c>
      <c r="B295" s="2"/>
      <c r="C295" s="2"/>
      <c r="D295" s="2">
        <v>10.0</v>
      </c>
      <c r="E295" s="2">
        <v>68.0</v>
      </c>
      <c r="F295" s="2"/>
      <c r="G295" s="2">
        <v>46.0</v>
      </c>
      <c r="H295" s="2"/>
      <c r="I295" s="2"/>
      <c r="J295" s="2" t="s">
        <v>27</v>
      </c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 t="s">
        <v>28</v>
      </c>
      <c r="B296" s="2"/>
      <c r="C296" s="2"/>
      <c r="D296" s="2"/>
      <c r="E296" s="2">
        <v>68.0</v>
      </c>
      <c r="F296" s="2"/>
      <c r="G296" s="2">
        <v>46.0</v>
      </c>
      <c r="H296" s="2"/>
      <c r="I296" s="2"/>
      <c r="J296" s="2" t="s">
        <v>28</v>
      </c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 t="s">
        <v>29</v>
      </c>
      <c r="B297" s="2"/>
      <c r="C297" s="2"/>
      <c r="D297" s="2">
        <v>10.0</v>
      </c>
      <c r="E297" s="2">
        <v>86.0</v>
      </c>
      <c r="F297" s="2"/>
      <c r="G297" s="2">
        <v>46.0</v>
      </c>
      <c r="H297" s="2"/>
      <c r="I297" s="2"/>
      <c r="J297" s="2" t="s">
        <v>29</v>
      </c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 t="s">
        <v>30</v>
      </c>
      <c r="B298" s="2"/>
      <c r="C298" s="2"/>
      <c r="D298" s="2"/>
      <c r="E298" s="2">
        <v>86.0</v>
      </c>
      <c r="F298" s="2"/>
      <c r="G298" s="2">
        <v>46.0</v>
      </c>
      <c r="H298" s="2"/>
      <c r="I298" s="2"/>
      <c r="J298" s="2" t="s">
        <v>30</v>
      </c>
      <c r="K298" s="2"/>
      <c r="L298" s="2"/>
      <c r="M298" s="2"/>
      <c r="N298" s="2"/>
      <c r="O298" s="2"/>
      <c r="P298" s="2"/>
      <c r="Q298" s="2"/>
      <c r="R298" s="2"/>
      <c r="S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4">
      <c r="A304" s="2" t="s">
        <v>18</v>
      </c>
    </row>
    <row r="305">
      <c r="A305" s="2" t="s">
        <v>26</v>
      </c>
    </row>
    <row r="306">
      <c r="A306" s="2" t="s">
        <v>27</v>
      </c>
    </row>
    <row r="307">
      <c r="A307" s="2" t="s">
        <v>28</v>
      </c>
    </row>
    <row r="308">
      <c r="A308" s="2" t="s">
        <v>29</v>
      </c>
    </row>
    <row r="309">
      <c r="A309" s="2" t="s">
        <v>30</v>
      </c>
    </row>
    <row r="310">
      <c r="A310" s="2" t="s">
        <v>18</v>
      </c>
    </row>
    <row r="311">
      <c r="A311" s="2" t="s">
        <v>26</v>
      </c>
    </row>
    <row r="312">
      <c r="A312" s="2" t="s">
        <v>27</v>
      </c>
    </row>
    <row r="313">
      <c r="A313" s="2" t="s">
        <v>28</v>
      </c>
    </row>
    <row r="314">
      <c r="A314" s="2" t="s">
        <v>29</v>
      </c>
    </row>
    <row r="315">
      <c r="A315" s="2" t="s">
        <v>30</v>
      </c>
    </row>
    <row r="317">
      <c r="A317" s="2" t="s">
        <v>18</v>
      </c>
    </row>
    <row r="318">
      <c r="A318" s="2" t="s">
        <v>26</v>
      </c>
    </row>
    <row r="319">
      <c r="A319" s="2" t="s">
        <v>27</v>
      </c>
    </row>
    <row r="320">
      <c r="A320" s="2" t="s">
        <v>28</v>
      </c>
    </row>
    <row r="321">
      <c r="A321" s="2" t="s">
        <v>29</v>
      </c>
    </row>
    <row r="322">
      <c r="A322" s="2" t="s">
        <v>30</v>
      </c>
    </row>
    <row r="323">
      <c r="A323" s="2" t="s">
        <v>18</v>
      </c>
    </row>
    <row r="324">
      <c r="A324" s="2" t="s">
        <v>26</v>
      </c>
    </row>
    <row r="325">
      <c r="A325" s="2" t="s">
        <v>27</v>
      </c>
    </row>
    <row r="326">
      <c r="A326" s="2" t="s">
        <v>28</v>
      </c>
    </row>
    <row r="327">
      <c r="A327" s="2" t="s">
        <v>29</v>
      </c>
    </row>
    <row r="328">
      <c r="A328" s="2" t="s">
        <v>30</v>
      </c>
    </row>
    <row r="331">
      <c r="A331" s="1"/>
      <c r="B331" s="2" t="str">
        <f>B1</f>
        <v>LASA</v>
      </c>
      <c r="D331" s="2" t="str">
        <f>D1</f>
        <v>Seven Lakes A</v>
      </c>
      <c r="F331" s="2" t="str">
        <f>F1</f>
        <v>Seven Lakes B</v>
      </c>
      <c r="H331" s="2" t="str">
        <f>H1</f>
        <v>Seven Lakes C</v>
      </c>
      <c r="J331" s="2" t="str">
        <f>J1</f>
        <v/>
      </c>
      <c r="L331" s="2" t="str">
        <f>L1</f>
        <v/>
      </c>
      <c r="N331" s="2" t="str">
        <f>N1</f>
        <v/>
      </c>
      <c r="P331" s="2" t="str">
        <f>P1</f>
        <v/>
      </c>
      <c r="R331" s="2" t="str">
        <f>R1</f>
        <v/>
      </c>
    </row>
    <row r="332">
      <c r="A332" s="1" t="s">
        <v>33</v>
      </c>
      <c r="B332" s="2">
        <f>average(C28,C58,C88,C118,C148,C178,C208,C238,C268,C298,C328)</f>
        <v>61.55555556</v>
      </c>
      <c r="D332" s="2">
        <f>average(E28,E58,E88,E118,E148,E178,E208,E238,E268,E298,E328)</f>
        <v>96.4</v>
      </c>
      <c r="F332" s="2">
        <f>average(G28,G58,G88,G118,G148,G178,G208,G238,G268,G298,G328)</f>
        <v>74.2</v>
      </c>
      <c r="H332" s="2">
        <f>average(I28,I58,I88,I118,I148,I178,I208,I238,I268,I298,I328)</f>
        <v>32.66666667</v>
      </c>
    </row>
    <row r="333">
      <c r="A333" s="1" t="s">
        <v>34</v>
      </c>
      <c r="B333" s="1">
        <v>9.0</v>
      </c>
      <c r="D333" s="1">
        <v>10.0</v>
      </c>
      <c r="F333" s="1">
        <v>10.0</v>
      </c>
      <c r="H333" s="1">
        <v>9.0</v>
      </c>
    </row>
    <row r="334">
      <c r="A334" s="1" t="s">
        <v>7</v>
      </c>
      <c r="B334" s="2">
        <f>countif(B1:B330,"10")</f>
        <v>25</v>
      </c>
      <c r="D334" s="2">
        <f>countif(D1:D330,"10")</f>
        <v>54</v>
      </c>
      <c r="F334" s="2">
        <f>countif(F1:F330,"10")</f>
        <v>33</v>
      </c>
      <c r="H334" s="2">
        <f>countif(H1:H330,"10")</f>
        <v>11</v>
      </c>
    </row>
    <row r="335">
      <c r="A335" s="1" t="s">
        <v>37</v>
      </c>
      <c r="B335" s="2">
        <f>countif(B1:B330,"10")/(countif(B1:B330,"10")+countif(B1:B330,"0"))</f>
        <v>0.4545454545</v>
      </c>
      <c r="D335" s="2">
        <f>countif(D1:D330,"10")/(countif(D1:D330,"10")+countif(D1:D330,"0"))</f>
        <v>0.5744680851</v>
      </c>
      <c r="F335" s="2">
        <f>countif(F1:F330,"10")/(countif(F1:F330,"10")+countif(F1:F330,"0"))</f>
        <v>0.3793103448</v>
      </c>
      <c r="H335" s="2">
        <f>countif(H1:H330,"10")/(countif(H1:H330,"10")+countif(H1:H330,"0"))</f>
        <v>0.2894736842</v>
      </c>
    </row>
    <row r="336">
      <c r="A336" s="1" t="s">
        <v>39</v>
      </c>
      <c r="B336" s="2">
        <f>countifs(B$2:B$330,"10",$A$2:$A$330,"X")</f>
        <v>6</v>
      </c>
      <c r="D336" s="2">
        <f>countifs(D$2:D$330,"10",$A$2:$A$330,"X")</f>
        <v>8</v>
      </c>
      <c r="F336" s="2">
        <f>countifs(F$2:F$330,"10",$A$2:$A$330,"X")</f>
        <v>6</v>
      </c>
      <c r="H336" s="2">
        <f>countifs(H$2:H$330,"10",$A$2:$A$330,"X")</f>
        <v>2</v>
      </c>
    </row>
    <row r="337">
      <c r="A337" s="1" t="s">
        <v>41</v>
      </c>
      <c r="B337" s="2">
        <f>countifs(B$1:B$330,"10",$A$1:$A$330,"X")/(countifs(B$1:B$330,"10",$A$1:$A$330,"X")+COUNTIFS(B$1:B$330,"0",$A$1:$A$330,"X"))</f>
        <v>0.5</v>
      </c>
      <c r="D337" s="2">
        <f>countifs(D$1:D$330,"10",$A$1:$A$330,"X")/(countifs(D$1:D$330,"10",$A$1:$A$330,"X")+COUNTIFS(D$1:D$330,"0",$A$1:$A$330,"X"))</f>
        <v>0.6666666667</v>
      </c>
      <c r="F337" s="2">
        <f>countifs(F$1:F$330,"10",$A$1:$A$330,"X")/(countifs(F$1:F$330,"10",$A$1:$A$330,"X")+COUNTIFS(F$1:F$330,"0",$A$1:$A$330,"X"))</f>
        <v>0.4615384615</v>
      </c>
      <c r="H337" s="2">
        <f>countifs(H$1:H$330,"10",$A$1:$A$330,"X")/(countifs(H$1:H$330,"10",$A$1:$A$330,"X")+COUNTIFS(H$1:H$330,"0",$A$1:$A$330,"X"))</f>
        <v>0.25</v>
      </c>
    </row>
    <row r="338">
      <c r="A338" s="1" t="s">
        <v>42</v>
      </c>
      <c r="B338" s="2">
        <f>countifs(B$2:B$330,"10",$A$2:$A$330,"M")</f>
        <v>2</v>
      </c>
      <c r="D338" s="2">
        <f>countifs(D$2:D$330,"10",$A$2:$A$330,"M")</f>
        <v>1</v>
      </c>
      <c r="F338" s="2">
        <f>countifs(F$2:F$330,"10",$A$2:$A$330,"M")</f>
        <v>7</v>
      </c>
      <c r="H338" s="2">
        <f>countifs(H$2:H$330,"10",$A$2:$A$330,"M")</f>
        <v>1</v>
      </c>
    </row>
    <row r="339">
      <c r="A339" s="1" t="s">
        <v>43</v>
      </c>
      <c r="B339" s="2">
        <f>countifs(B$1:B$330,"10",$A$1:$A$330,"M")/(countifs(B$1:B$330,"10",$A$1:$A$330,"M")+COUNTIFS(B$1:B$330,"0",$A$1:$A$330,"M"))</f>
        <v>0.2857142857</v>
      </c>
      <c r="D339" s="2">
        <f>countifs(D$1:D$330,"10",$A$1:$A$330,"M")/(countifs(D$1:D$330,"10",$A$1:$A$330,"M")+COUNTIFS(D$1:D$330,"0",$A$1:$A$330,"M"))</f>
        <v>0.1111111111</v>
      </c>
      <c r="F339" s="2">
        <f>countifs(F$1:F$330,"10",$A$1:$A$330,"M")/(countifs(F$1:F$330,"10",$A$1:$A$330,"M")+COUNTIFS(F$1:F$330,"0",$A$1:$A$330,"M"))</f>
        <v>0.35</v>
      </c>
      <c r="H339" s="2">
        <f>countifs(H$1:H$330,"10",$A$1:$A$330,"M")/(countifs(H$1:H$330,"10",$A$1:$A$330,"M")+COUNTIFS(H$1:H$330,"0",$A$1:$A$330,"M"))</f>
        <v>0.3333333333</v>
      </c>
    </row>
    <row r="340">
      <c r="A340" s="1" t="s">
        <v>44</v>
      </c>
      <c r="B340" s="2">
        <f>countifs(B$2:B$330,"10",$A$2:$A$330,"C")</f>
        <v>2</v>
      </c>
      <c r="D340" s="2">
        <f>countifs(D$2:D$330,"10",$A$2:$A$330,"C")</f>
        <v>18</v>
      </c>
      <c r="F340" s="2">
        <f>countifs(F$2:F$330,"10",$A$2:$A$330,"C")</f>
        <v>6</v>
      </c>
      <c r="H340" s="2">
        <f>countifs(H$2:H$330,"10",$A$2:$A$330,"C")</f>
        <v>0</v>
      </c>
    </row>
    <row r="341">
      <c r="A341" s="1" t="s">
        <v>45</v>
      </c>
      <c r="B341" s="2">
        <f>countifs(B$1:B$330,"10",$A$1:$A$330,"C")/(countifs(B$1:B$330,"10",$A$1:$A$330,"C")+COUNTIFS(B$1:B$330,"0",$A$1:$A$330,"C"))</f>
        <v>0.3333333333</v>
      </c>
      <c r="D341" s="2">
        <f>countifs(D$1:D$330,"10",$A$1:$A$330,"C")/(countifs(D$1:D$330,"10",$A$1:$A$330,"C")+COUNTIFS(D$1:D$330,"0",$A$1:$A$330,"C"))</f>
        <v>0.6666666667</v>
      </c>
      <c r="F341" s="2">
        <f>countifs(F$1:F$330,"10",$A$1:$A$330,"C")/(countifs(F$1:F$330,"10",$A$1:$A$330,"C")+COUNTIFS(F$1:F$330,"0",$A$1:$A$330,"C"))</f>
        <v>0.4615384615</v>
      </c>
      <c r="H341" s="2">
        <f>countifs(H$1:H$330,"10",$A$1:$A$330,"C")/(countifs(H$1:H$330,"10",$A$1:$A$330,"C")+COUNTIFS(H$1:H$330,"0",$A$1:$A$330,"C"))</f>
        <v>0</v>
      </c>
    </row>
    <row r="342">
      <c r="A342" s="1" t="s">
        <v>47</v>
      </c>
      <c r="B342" s="2">
        <f>countifs(B$2:B$330,"10",$A$2:$A$330,"E")</f>
        <v>4</v>
      </c>
      <c r="D342" s="2">
        <f>countifs(D$2:D$330,"10",$A$2:$A$330,"E")</f>
        <v>9</v>
      </c>
      <c r="F342" s="2">
        <f>countifs(F$2:F$330,"10",$A$2:$A$330,"E")</f>
        <v>8</v>
      </c>
      <c r="H342" s="2">
        <f>countifs(H$2:H$330,"10",$A$2:$A$330,"E")</f>
        <v>5</v>
      </c>
    </row>
    <row r="343">
      <c r="A343" s="1" t="s">
        <v>49</v>
      </c>
      <c r="B343" s="2">
        <f>countifs(B$1:B$330,"10",$A$1:$A$330,"E")/(countifs(B$1:B$330,"10",$A$1:$A$330,"E")+COUNTIFS(B$1:B$330,"0",$A$1:$A$330,"E"))</f>
        <v>0.5714285714</v>
      </c>
      <c r="D343" s="2">
        <f>countifs(D$1:D$330,"10",$A$1:$A$330,"E")/(countifs(D$1:D$330,"10",$A$1:$A$330,"E")+COUNTIFS(D$1:D$330,"0",$A$1:$A$330,"E"))</f>
        <v>0.6428571429</v>
      </c>
      <c r="F343" s="2">
        <f>countifs(F$1:F$330,"10",$A$1:$A$330,"E")/(countifs(F$1:F$330,"10",$A$1:$A$330,"E")+COUNTIFS(F$1:F$330,"0",$A$1:$A$330,"E"))</f>
        <v>0.4444444444</v>
      </c>
      <c r="H343" s="2">
        <f>countifs(H$1:H$330,"10",$A$1:$A$330,"E")/(countifs(H$1:H$330,"10",$A$1:$A$330,"E")+COUNTIFS(H$1:H$330,"0",$A$1:$A$330,"E"))</f>
        <v>0.5</v>
      </c>
    </row>
    <row r="344">
      <c r="A344" s="1" t="s">
        <v>51</v>
      </c>
      <c r="B344" s="2">
        <f>countifs(B$2:B$330,"10",$A$2:$A$330,"B")</f>
        <v>4</v>
      </c>
      <c r="D344" s="2">
        <f>countifs(D$2:D$330,"10",$A$2:$A$330,"B")</f>
        <v>16</v>
      </c>
      <c r="F344" s="2">
        <f>countifs(F$2:F$330,"10",$A$2:$A$330,"B")</f>
        <v>4</v>
      </c>
      <c r="H344" s="2">
        <f>countifs(H$2:H$330,"10",$A$2:$A$330,"B")</f>
        <v>2</v>
      </c>
    </row>
    <row r="345">
      <c r="A345" s="1" t="s">
        <v>52</v>
      </c>
      <c r="B345" s="2">
        <f>countifs(B$1:B$330,"10",$A$1:$A$330,"B")/(countifs(B$1:B$330,"10",$A$1:$A$330,"B")+COUNTIFS(B$1:B$330,"0",$A$1:$A$330,"B"))</f>
        <v>0.4</v>
      </c>
      <c r="D345" s="2">
        <f>countifs(D$1:D$330,"10",$A$1:$A$330,"B")/(countifs(D$1:D$330,"10",$A$1:$A$330,"B")+COUNTIFS(D$1:D$330,"0",$A$1:$A$330,"B"))</f>
        <v>0.7272727273</v>
      </c>
      <c r="F345" s="2">
        <f>countifs(F$1:F$330,"10",$A$1:$A$330,"B")/(countifs(F$1:F$330,"10",$A$1:$A$330,"B")+COUNTIFS(F$1:F$330,"0",$A$1:$A$330,"B"))</f>
        <v>0.6666666667</v>
      </c>
      <c r="H345" s="2">
        <f>countifs(H$1:H$330,"10",$A$1:$A$330,"B")/(countifs(H$1:H$330,"10",$A$1:$A$330,"B")+COUNTIFS(H$1:H$330,"0",$A$1:$A$330,"B"))</f>
        <v>0.3333333333</v>
      </c>
    </row>
    <row r="346">
      <c r="A346" s="1" t="s">
        <v>54</v>
      </c>
      <c r="B346" s="2">
        <f>countifs(B$2:B$330,"10",$A$2:$A$330,"P")</f>
        <v>7</v>
      </c>
      <c r="D346" s="2">
        <f>countifs(D$2:D$330,"10",$A$2:$A$330,"P")</f>
        <v>2</v>
      </c>
      <c r="F346" s="2">
        <f>countifs(F$2:F$330,"10",$A$2:$A$330,"P")</f>
        <v>2</v>
      </c>
      <c r="H346" s="2">
        <f>countifs(H$2:H$330,"10",$A$2:$A$330,"P")</f>
        <v>1</v>
      </c>
    </row>
    <row r="347">
      <c r="A347" s="1" t="s">
        <v>56</v>
      </c>
      <c r="B347" s="2">
        <f>countifs(B$1:B$330,"10",$A$1:$A$330,"P")/(countifs(B$1:B$330,"10",$A$1:$A$330,"P")+COUNTIFS(B$1:B$330,"0",$A$1:$A$330,"P"))</f>
        <v>0.5384615385</v>
      </c>
      <c r="D347" s="2">
        <f>countifs(D$1:D$330,"10",$A$1:$A$330,"P")/(countifs(D$1:D$330,"10",$A$1:$A$330,"P")+COUNTIFS(D$1:D$330,"0",$A$1:$A$330,"P"))</f>
        <v>0.2</v>
      </c>
      <c r="F347" s="2">
        <f>countifs(F$1:F$330,"10",$A$1:$A$330,"P")/(countifs(F$1:F$330,"10",$A$1:$A$330,"P")+COUNTIFS(F$1:F$330,"0",$A$1:$A$330,"P"))</f>
        <v>0.1176470588</v>
      </c>
      <c r="H347" s="2">
        <f>countifs(H$1:H$330,"10",$A$1:$A$330,"P")/(countifs(H$1:H$330,"10",$A$1:$A$330,"P")+COUNTIFS(H$1:H$330,"0",$A$1:$A$330,"P"))</f>
        <v>0.1666666667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8" width="7.63"/>
    <col customWidth="1" hidden="1" min="9" max="10" width="7.63"/>
    <col customWidth="1" min="11" max="11" width="7.63"/>
    <col customWidth="1" hidden="1" min="12" max="13" width="7.63"/>
    <col customWidth="1" min="14" max="14" width="7.63"/>
    <col customWidth="1" hidden="1" min="15" max="16" width="7.63"/>
    <col customWidth="1" min="17" max="17" width="7.63"/>
    <col customWidth="1" hidden="1" min="18" max="19" width="7.63"/>
    <col customWidth="1" min="20" max="20" width="7.63"/>
    <col customWidth="1" hidden="1" min="21" max="22" width="7.63"/>
    <col customWidth="1" min="23" max="23" width="7.63"/>
    <col customWidth="1" hidden="1" min="24" max="25" width="7.63"/>
    <col customWidth="1" min="26" max="26" width="7.63"/>
  </cols>
  <sheetData>
    <row r="1">
      <c r="A1" s="7" t="s">
        <v>32</v>
      </c>
      <c r="B1" s="7" t="s">
        <v>31</v>
      </c>
      <c r="C1" s="8" t="s">
        <v>34</v>
      </c>
      <c r="D1" s="8" t="s">
        <v>35</v>
      </c>
      <c r="E1" s="8" t="s">
        <v>36</v>
      </c>
      <c r="F1" s="8" t="s">
        <v>38</v>
      </c>
      <c r="G1" s="8" t="s">
        <v>40</v>
      </c>
      <c r="H1" s="9" t="s">
        <v>33</v>
      </c>
      <c r="I1" s="8" t="s">
        <v>46</v>
      </c>
      <c r="J1" s="8" t="s">
        <v>48</v>
      </c>
      <c r="K1" s="7" t="s">
        <v>50</v>
      </c>
      <c r="L1" s="8" t="s">
        <v>53</v>
      </c>
      <c r="M1" s="8" t="s">
        <v>55</v>
      </c>
      <c r="N1" s="7" t="s">
        <v>57</v>
      </c>
      <c r="O1" s="8" t="s">
        <v>58</v>
      </c>
      <c r="P1" s="8" t="s">
        <v>59</v>
      </c>
      <c r="Q1" s="7" t="s">
        <v>60</v>
      </c>
      <c r="R1" s="8" t="s">
        <v>61</v>
      </c>
      <c r="S1" s="8" t="s">
        <v>62</v>
      </c>
      <c r="T1" s="7" t="s">
        <v>63</v>
      </c>
      <c r="U1" s="8" t="s">
        <v>64</v>
      </c>
      <c r="V1" s="8" t="s">
        <v>65</v>
      </c>
      <c r="W1" s="7" t="s">
        <v>66</v>
      </c>
      <c r="X1" s="8" t="s">
        <v>67</v>
      </c>
      <c r="Y1" s="8" t="s">
        <v>68</v>
      </c>
      <c r="Z1" s="7" t="s">
        <v>69</v>
      </c>
    </row>
    <row r="2">
      <c r="A2" s="8" t="s">
        <v>11</v>
      </c>
      <c r="B2" s="12" t="s">
        <v>1</v>
      </c>
      <c r="C2" s="8">
        <v>10.0</v>
      </c>
      <c r="D2" s="8">
        <v>37.0</v>
      </c>
      <c r="E2" s="8">
        <v>6.0</v>
      </c>
      <c r="F2" s="13">
        <v>6.166666666666667</v>
      </c>
      <c r="G2" s="8">
        <v>124.0</v>
      </c>
      <c r="H2" s="9">
        <v>12.4</v>
      </c>
      <c r="I2" s="8">
        <v>2.0</v>
      </c>
      <c r="J2" s="8">
        <v>2.0</v>
      </c>
      <c r="K2" s="8">
        <v>0.0</v>
      </c>
      <c r="L2" s="8">
        <v>0.0</v>
      </c>
      <c r="M2" s="8">
        <v>0.0</v>
      </c>
      <c r="N2" s="8">
        <v>0.0</v>
      </c>
      <c r="O2" s="8">
        <v>26.0</v>
      </c>
      <c r="P2" s="8">
        <v>3.0</v>
      </c>
      <c r="Q2" s="8">
        <v>9.2</v>
      </c>
      <c r="R2" s="8">
        <v>2.0</v>
      </c>
      <c r="S2" s="8">
        <v>1.0</v>
      </c>
      <c r="T2" s="8">
        <v>0.4</v>
      </c>
      <c r="U2" s="8">
        <v>0.0</v>
      </c>
      <c r="V2" s="8">
        <v>0.0</v>
      </c>
      <c r="W2" s="8">
        <v>0.0</v>
      </c>
      <c r="X2" s="8">
        <v>7.0</v>
      </c>
      <c r="Y2" s="8">
        <v>0.0</v>
      </c>
      <c r="Z2" s="8">
        <v>2.8</v>
      </c>
    </row>
    <row r="3">
      <c r="A3" s="8" t="s">
        <v>5</v>
      </c>
      <c r="B3" s="12" t="s">
        <v>0</v>
      </c>
      <c r="C3" s="8">
        <v>10.0</v>
      </c>
      <c r="D3" s="8">
        <v>29.0</v>
      </c>
      <c r="E3" s="8">
        <v>0.0</v>
      </c>
      <c r="F3" s="8" t="s">
        <v>70</v>
      </c>
      <c r="G3" s="8">
        <v>116.0</v>
      </c>
      <c r="H3" s="9">
        <v>11.6</v>
      </c>
      <c r="I3" s="8">
        <v>6.0</v>
      </c>
      <c r="J3" s="8">
        <v>0.0</v>
      </c>
      <c r="K3" s="8">
        <v>2.4</v>
      </c>
      <c r="L3" s="8">
        <v>8.0</v>
      </c>
      <c r="M3" s="8">
        <v>0.0</v>
      </c>
      <c r="N3" s="8">
        <v>3.2</v>
      </c>
      <c r="O3" s="8">
        <v>7.0</v>
      </c>
      <c r="P3" s="8">
        <v>0.0</v>
      </c>
      <c r="Q3" s="8">
        <v>2.8</v>
      </c>
      <c r="R3" s="8">
        <v>5.0</v>
      </c>
      <c r="S3" s="8">
        <v>0.0</v>
      </c>
      <c r="T3" s="8">
        <v>2.0</v>
      </c>
      <c r="U3" s="8">
        <v>2.0</v>
      </c>
      <c r="V3" s="8">
        <v>0.0</v>
      </c>
      <c r="W3" s="8">
        <v>0.8</v>
      </c>
      <c r="X3" s="8">
        <v>1.0</v>
      </c>
      <c r="Y3" s="8">
        <v>0.0</v>
      </c>
      <c r="Z3" s="8">
        <v>0.4</v>
      </c>
    </row>
    <row r="4">
      <c r="A4" s="8" t="s">
        <v>10</v>
      </c>
      <c r="B4" s="12" t="s">
        <v>0</v>
      </c>
      <c r="C4" s="8">
        <v>10.0</v>
      </c>
      <c r="D4" s="8">
        <v>25.0</v>
      </c>
      <c r="E4" s="8">
        <v>1.0</v>
      </c>
      <c r="F4" s="8">
        <v>25.0</v>
      </c>
      <c r="G4" s="8">
        <v>96.0</v>
      </c>
      <c r="H4" s="9">
        <v>9.6</v>
      </c>
      <c r="I4" s="8">
        <v>3.0</v>
      </c>
      <c r="J4" s="8">
        <v>0.0</v>
      </c>
      <c r="K4" s="8">
        <v>1.2</v>
      </c>
      <c r="L4" s="8">
        <v>1.0</v>
      </c>
      <c r="M4" s="8">
        <v>0.0</v>
      </c>
      <c r="N4" s="8">
        <v>0.4</v>
      </c>
      <c r="O4" s="8">
        <v>6.0</v>
      </c>
      <c r="P4" s="8">
        <v>0.0</v>
      </c>
      <c r="Q4" s="8">
        <v>2.4</v>
      </c>
      <c r="R4" s="8">
        <v>5.0</v>
      </c>
      <c r="S4" s="8">
        <v>0.0</v>
      </c>
      <c r="T4" s="8">
        <v>2.0</v>
      </c>
      <c r="U4" s="8">
        <v>4.0</v>
      </c>
      <c r="V4" s="8">
        <v>1.0</v>
      </c>
      <c r="W4" s="8">
        <v>1.2</v>
      </c>
      <c r="X4" s="8">
        <v>6.0</v>
      </c>
      <c r="Y4" s="8">
        <v>0.0</v>
      </c>
      <c r="Z4" s="8">
        <v>2.4</v>
      </c>
    </row>
    <row r="5">
      <c r="A5" s="8" t="s">
        <v>23</v>
      </c>
      <c r="B5" s="7" t="s">
        <v>3</v>
      </c>
      <c r="C5" s="8">
        <v>9.0</v>
      </c>
      <c r="D5" s="8">
        <v>24.0</v>
      </c>
      <c r="E5" s="8">
        <v>3.0</v>
      </c>
      <c r="F5" s="8">
        <v>8.0</v>
      </c>
      <c r="G5" s="8">
        <v>84.0</v>
      </c>
      <c r="H5" s="15">
        <v>9.333333333333334</v>
      </c>
      <c r="I5" s="13">
        <v>6.0</v>
      </c>
      <c r="J5" s="13">
        <v>2.0</v>
      </c>
      <c r="K5" s="13">
        <v>1.7777777777777777</v>
      </c>
      <c r="L5" s="13">
        <v>4.0</v>
      </c>
      <c r="M5" s="13">
        <v>0.0</v>
      </c>
      <c r="N5" s="13">
        <v>1.7777777777777777</v>
      </c>
      <c r="O5" s="13">
        <v>2.0</v>
      </c>
      <c r="P5" s="13">
        <v>1.0</v>
      </c>
      <c r="Q5" s="13">
        <v>0.4444444444444444</v>
      </c>
      <c r="R5" s="13">
        <v>4.0</v>
      </c>
      <c r="S5" s="13">
        <v>0.0</v>
      </c>
      <c r="T5" s="13">
        <v>1.7777777777777777</v>
      </c>
      <c r="U5" s="13">
        <v>5.0</v>
      </c>
      <c r="V5" s="13">
        <v>0.0</v>
      </c>
      <c r="W5" s="13">
        <v>2.2222222222222223</v>
      </c>
      <c r="X5" s="13">
        <v>3.0</v>
      </c>
      <c r="Y5" s="13">
        <v>0.0</v>
      </c>
      <c r="Z5" s="13">
        <v>1.3333333333333333</v>
      </c>
    </row>
    <row r="6">
      <c r="A6" s="8" t="s">
        <v>24</v>
      </c>
      <c r="B6" s="7" t="s">
        <v>3</v>
      </c>
      <c r="C6" s="8">
        <v>9.0</v>
      </c>
      <c r="D6" s="8">
        <v>22.0</v>
      </c>
      <c r="E6" s="8">
        <v>2.0</v>
      </c>
      <c r="F6" s="8">
        <v>11.0</v>
      </c>
      <c r="G6" s="8">
        <v>80.0</v>
      </c>
      <c r="H6" s="15">
        <v>8.88888888888889</v>
      </c>
      <c r="I6" s="13">
        <v>3.0</v>
      </c>
      <c r="J6" s="13">
        <v>0.0</v>
      </c>
      <c r="K6" s="13">
        <v>1.3333333333333333</v>
      </c>
      <c r="L6" s="13">
        <v>4.0</v>
      </c>
      <c r="M6" s="13">
        <v>0.0</v>
      </c>
      <c r="N6" s="13">
        <v>1.7777777777777777</v>
      </c>
      <c r="O6" s="13">
        <v>3.0</v>
      </c>
      <c r="P6" s="13">
        <v>2.0</v>
      </c>
      <c r="Q6" s="13">
        <v>0.4444444444444444</v>
      </c>
      <c r="R6" s="13">
        <v>3.0</v>
      </c>
      <c r="S6" s="13">
        <v>0.0</v>
      </c>
      <c r="T6" s="13">
        <v>1.3333333333333333</v>
      </c>
      <c r="U6" s="13">
        <v>4.0</v>
      </c>
      <c r="V6" s="13">
        <v>0.0</v>
      </c>
      <c r="W6" s="13">
        <v>1.7777777777777777</v>
      </c>
      <c r="X6" s="13">
        <v>5.0</v>
      </c>
      <c r="Y6" s="13">
        <v>0.0</v>
      </c>
      <c r="Z6" s="13">
        <v>2.2222222222222223</v>
      </c>
    </row>
    <row r="7">
      <c r="A7" s="8" t="s">
        <v>14</v>
      </c>
      <c r="B7" s="12" t="s">
        <v>1</v>
      </c>
      <c r="C7" s="8">
        <v>10.0</v>
      </c>
      <c r="D7" s="8">
        <v>21.0</v>
      </c>
      <c r="E7" s="8">
        <v>0.0</v>
      </c>
      <c r="F7" s="8" t="s">
        <v>70</v>
      </c>
      <c r="G7" s="8">
        <v>84.0</v>
      </c>
      <c r="H7" s="9">
        <v>8.4</v>
      </c>
      <c r="I7" s="8">
        <v>2.0</v>
      </c>
      <c r="J7" s="8">
        <v>0.0</v>
      </c>
      <c r="K7" s="8">
        <v>0.8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0.0</v>
      </c>
      <c r="T7" s="8">
        <v>0.0</v>
      </c>
      <c r="U7" s="8">
        <v>19.0</v>
      </c>
      <c r="V7" s="8">
        <v>0.0</v>
      </c>
      <c r="W7" s="8">
        <v>7.6</v>
      </c>
      <c r="X7" s="8">
        <v>0.0</v>
      </c>
      <c r="Y7" s="8">
        <v>0.0</v>
      </c>
      <c r="Z7" s="8">
        <v>0.0</v>
      </c>
    </row>
    <row r="8">
      <c r="A8" s="8" t="s">
        <v>6</v>
      </c>
      <c r="B8" s="12" t="s">
        <v>0</v>
      </c>
      <c r="C8" s="8">
        <v>10.0</v>
      </c>
      <c r="D8" s="8">
        <v>20.0</v>
      </c>
      <c r="E8" s="8">
        <v>1.0</v>
      </c>
      <c r="F8" s="8">
        <v>20.0</v>
      </c>
      <c r="G8" s="8">
        <v>76.0</v>
      </c>
      <c r="H8" s="9">
        <v>7.6</v>
      </c>
      <c r="I8" s="8">
        <v>4.0</v>
      </c>
      <c r="J8" s="8">
        <v>0.0</v>
      </c>
      <c r="K8" s="8">
        <v>1.6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7.0</v>
      </c>
      <c r="S8" s="8">
        <v>1.0</v>
      </c>
      <c r="T8" s="8">
        <v>2.4</v>
      </c>
      <c r="U8" s="8">
        <v>0.0</v>
      </c>
      <c r="V8" s="8">
        <v>0.0</v>
      </c>
      <c r="W8" s="8">
        <v>0.0</v>
      </c>
      <c r="X8" s="8">
        <v>9.0</v>
      </c>
      <c r="Y8" s="8">
        <v>0.0</v>
      </c>
      <c r="Z8" s="8">
        <v>3.6</v>
      </c>
    </row>
    <row r="9">
      <c r="A9" s="8" t="s">
        <v>22</v>
      </c>
      <c r="B9" s="7" t="s">
        <v>3</v>
      </c>
      <c r="C9" s="8">
        <v>9.0</v>
      </c>
      <c r="D9" s="8">
        <v>16.0</v>
      </c>
      <c r="E9" s="8">
        <v>2.0</v>
      </c>
      <c r="F9" s="8">
        <v>8.0</v>
      </c>
      <c r="G9" s="8">
        <v>56.0</v>
      </c>
      <c r="H9" s="15">
        <v>6.222222222222222</v>
      </c>
      <c r="I9" s="13">
        <v>4.0</v>
      </c>
      <c r="J9" s="13">
        <v>1.0</v>
      </c>
      <c r="K9" s="13">
        <v>1.3333333333333333</v>
      </c>
      <c r="L9" s="13">
        <v>1.0</v>
      </c>
      <c r="M9" s="13">
        <v>0.0</v>
      </c>
      <c r="N9" s="13">
        <v>0.4444444444444444</v>
      </c>
      <c r="O9" s="13">
        <v>3.0</v>
      </c>
      <c r="P9" s="13">
        <v>0.0</v>
      </c>
      <c r="Q9" s="13">
        <v>1.3333333333333333</v>
      </c>
      <c r="R9" s="8">
        <v>1.0</v>
      </c>
      <c r="S9" s="8">
        <v>1.0</v>
      </c>
      <c r="T9" s="8">
        <v>0.0</v>
      </c>
      <c r="U9" s="8">
        <v>2.0</v>
      </c>
      <c r="V9" s="8">
        <v>0.0</v>
      </c>
      <c r="W9" s="13">
        <v>0.8888888888888888</v>
      </c>
      <c r="X9" s="13">
        <v>5.0</v>
      </c>
      <c r="Y9" s="13">
        <v>0.0</v>
      </c>
      <c r="Z9" s="13">
        <v>2.2222222222222223</v>
      </c>
    </row>
    <row r="10">
      <c r="A10" s="8" t="s">
        <v>12</v>
      </c>
      <c r="B10" s="12" t="s">
        <v>1</v>
      </c>
      <c r="C10" s="8">
        <v>10.0</v>
      </c>
      <c r="D10" s="8">
        <v>16.0</v>
      </c>
      <c r="E10" s="8">
        <v>3.0</v>
      </c>
      <c r="F10" s="13">
        <v>5.333333333333333</v>
      </c>
      <c r="G10" s="8">
        <v>52.0</v>
      </c>
      <c r="H10" s="9">
        <v>5.2</v>
      </c>
      <c r="I10" s="8">
        <v>3.0</v>
      </c>
      <c r="J10" s="8">
        <v>0.0</v>
      </c>
      <c r="K10" s="8">
        <v>1.2</v>
      </c>
      <c r="L10" s="8">
        <v>3.0</v>
      </c>
      <c r="M10" s="8">
        <v>1.0</v>
      </c>
      <c r="N10" s="8">
        <v>0.8</v>
      </c>
      <c r="O10" s="8">
        <v>0.0</v>
      </c>
      <c r="P10" s="8">
        <v>0.0</v>
      </c>
      <c r="Q10" s="8">
        <v>0.0</v>
      </c>
      <c r="R10" s="8">
        <v>9.0</v>
      </c>
      <c r="S10" s="8">
        <v>1.0</v>
      </c>
      <c r="T10" s="8">
        <v>3.2</v>
      </c>
      <c r="U10" s="8">
        <v>1.0</v>
      </c>
      <c r="V10" s="8">
        <v>0.0</v>
      </c>
      <c r="W10" s="8">
        <v>0.4</v>
      </c>
      <c r="X10" s="8">
        <v>0.0</v>
      </c>
      <c r="Y10" s="8">
        <v>1.0</v>
      </c>
      <c r="Z10" s="8">
        <v>-0.4</v>
      </c>
    </row>
    <row r="11">
      <c r="A11" s="8" t="s">
        <v>21</v>
      </c>
      <c r="B11" s="12" t="s">
        <v>2</v>
      </c>
      <c r="C11" s="8">
        <v>9.0</v>
      </c>
      <c r="D11" s="8">
        <v>15.0</v>
      </c>
      <c r="E11" s="8">
        <v>6.0</v>
      </c>
      <c r="F11" s="8">
        <v>2.5</v>
      </c>
      <c r="G11" s="8">
        <v>36.0</v>
      </c>
      <c r="H11" s="9">
        <v>4.0</v>
      </c>
      <c r="I11" s="8">
        <v>2.0</v>
      </c>
      <c r="J11" s="8">
        <v>0.0</v>
      </c>
      <c r="K11" s="13">
        <v>0.8888888888888888</v>
      </c>
      <c r="L11" s="13">
        <v>2.0</v>
      </c>
      <c r="M11" s="13">
        <v>3.0</v>
      </c>
      <c r="N11" s="13">
        <v>-0.4444444444444444</v>
      </c>
      <c r="O11" s="13">
        <v>2.0</v>
      </c>
      <c r="P11" s="13">
        <v>0.0</v>
      </c>
      <c r="Q11" s="13">
        <v>0.8888888888888888</v>
      </c>
      <c r="R11" s="13">
        <v>3.0</v>
      </c>
      <c r="S11" s="13">
        <v>0.0</v>
      </c>
      <c r="T11" s="13">
        <v>1.3333333333333333</v>
      </c>
      <c r="U11" s="13">
        <v>3.0</v>
      </c>
      <c r="V11" s="13">
        <v>2.0</v>
      </c>
      <c r="W11" s="13">
        <v>0.4444444444444444</v>
      </c>
      <c r="X11" s="13">
        <v>3.0</v>
      </c>
      <c r="Y11" s="13">
        <v>1.0</v>
      </c>
      <c r="Z11" s="13">
        <v>0.8888888888888888</v>
      </c>
    </row>
    <row r="12">
      <c r="A12" s="8" t="s">
        <v>8</v>
      </c>
      <c r="B12" s="12" t="s">
        <v>0</v>
      </c>
      <c r="C12" s="8">
        <v>10.0</v>
      </c>
      <c r="D12" s="8">
        <v>10.0</v>
      </c>
      <c r="E12" s="8">
        <v>0.0</v>
      </c>
      <c r="F12" s="8" t="s">
        <v>70</v>
      </c>
      <c r="G12" s="8">
        <v>40.0</v>
      </c>
      <c r="H12" s="9">
        <v>4.0</v>
      </c>
      <c r="I12" s="8">
        <v>0.0</v>
      </c>
      <c r="J12" s="8">
        <v>0.0</v>
      </c>
      <c r="K12" s="8">
        <v>0.0</v>
      </c>
      <c r="L12" s="8">
        <v>10.0</v>
      </c>
      <c r="M12" s="8">
        <v>0.0</v>
      </c>
      <c r="N12" s="8">
        <v>4.0</v>
      </c>
      <c r="O12" s="8">
        <v>0.0</v>
      </c>
      <c r="P12" s="8">
        <v>0.0</v>
      </c>
      <c r="Q12" s="8">
        <v>0.0</v>
      </c>
      <c r="R12" s="8">
        <v>0.0</v>
      </c>
      <c r="S12" s="8">
        <v>0.0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</row>
    <row r="13">
      <c r="A13" s="8" t="s">
        <v>13</v>
      </c>
      <c r="B13" s="12" t="s">
        <v>1</v>
      </c>
      <c r="C13" s="8">
        <v>10.0</v>
      </c>
      <c r="D13" s="8">
        <v>9.0</v>
      </c>
      <c r="E13" s="8">
        <v>1.0</v>
      </c>
      <c r="F13" s="8">
        <v>9.0</v>
      </c>
      <c r="G13" s="8">
        <v>32.0</v>
      </c>
      <c r="H13" s="9">
        <v>3.2</v>
      </c>
      <c r="I13" s="8">
        <v>1.0</v>
      </c>
      <c r="J13" s="8">
        <v>1.0</v>
      </c>
      <c r="K13" s="8">
        <v>0.0</v>
      </c>
      <c r="L13" s="8">
        <v>4.0</v>
      </c>
      <c r="M13" s="8">
        <v>0.0</v>
      </c>
      <c r="N13" s="8">
        <v>1.6</v>
      </c>
      <c r="O13" s="8">
        <v>1.0</v>
      </c>
      <c r="P13" s="8">
        <v>0.0</v>
      </c>
      <c r="Q13" s="8">
        <v>0.4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3.0</v>
      </c>
      <c r="Y13" s="8">
        <v>0.0</v>
      </c>
      <c r="Z13" s="8">
        <v>1.2</v>
      </c>
    </row>
    <row r="14">
      <c r="A14" s="8" t="s">
        <v>15</v>
      </c>
      <c r="B14" s="12" t="s">
        <v>1</v>
      </c>
      <c r="C14" s="8">
        <v>10.0</v>
      </c>
      <c r="D14" s="8">
        <v>11.0</v>
      </c>
      <c r="E14" s="8">
        <v>5.0</v>
      </c>
      <c r="F14" s="8">
        <v>2.2</v>
      </c>
      <c r="G14" s="8">
        <v>24.0</v>
      </c>
      <c r="H14" s="9">
        <v>2.4</v>
      </c>
      <c r="I14" s="8">
        <v>4.0</v>
      </c>
      <c r="J14" s="8">
        <v>4.0</v>
      </c>
      <c r="K14" s="8">
        <v>0.0</v>
      </c>
      <c r="L14" s="8">
        <v>2.0</v>
      </c>
      <c r="M14" s="8">
        <v>1.0</v>
      </c>
      <c r="N14" s="8">
        <v>0.4</v>
      </c>
      <c r="O14" s="8">
        <v>0.0</v>
      </c>
      <c r="P14" s="8">
        <v>0.0</v>
      </c>
      <c r="Q14" s="8">
        <v>0.0</v>
      </c>
      <c r="R14" s="8">
        <v>3.0</v>
      </c>
      <c r="S14" s="8">
        <v>0.0</v>
      </c>
      <c r="T14" s="8">
        <v>1.2</v>
      </c>
      <c r="U14" s="8">
        <v>2.0</v>
      </c>
      <c r="V14" s="8">
        <v>0.0</v>
      </c>
      <c r="W14" s="8">
        <v>0.8</v>
      </c>
      <c r="X14" s="8">
        <v>0.0</v>
      </c>
      <c r="Y14" s="8">
        <v>0.0</v>
      </c>
      <c r="Z14" s="8">
        <v>0.0</v>
      </c>
    </row>
    <row r="15">
      <c r="A15" s="8" t="s">
        <v>16</v>
      </c>
      <c r="B15" s="12" t="s">
        <v>2</v>
      </c>
      <c r="C15" s="8">
        <v>9.0</v>
      </c>
      <c r="D15" s="8">
        <v>9.0</v>
      </c>
      <c r="E15" s="8">
        <v>4.0</v>
      </c>
      <c r="F15" s="13">
        <v>2.25</v>
      </c>
      <c r="G15" s="8">
        <v>20.0</v>
      </c>
      <c r="H15" s="15">
        <v>2.2222222222222223</v>
      </c>
      <c r="I15" s="13">
        <v>2.0</v>
      </c>
      <c r="J15" s="13">
        <v>0.0</v>
      </c>
      <c r="K15" s="13">
        <v>0.8888888888888888</v>
      </c>
      <c r="L15" s="8">
        <v>1.0</v>
      </c>
      <c r="M15" s="8">
        <v>1.0</v>
      </c>
      <c r="N15" s="8">
        <v>0.0</v>
      </c>
      <c r="O15" s="8">
        <v>0.0</v>
      </c>
      <c r="P15" s="8">
        <v>0.0</v>
      </c>
      <c r="Q15" s="8">
        <v>0.0</v>
      </c>
      <c r="R15" s="8">
        <v>4.0</v>
      </c>
      <c r="S15" s="8">
        <v>2.0</v>
      </c>
      <c r="T15" s="13">
        <v>0.8888888888888888</v>
      </c>
      <c r="U15" s="13">
        <v>2.0</v>
      </c>
      <c r="V15" s="13">
        <v>0.0</v>
      </c>
      <c r="W15" s="13">
        <v>0.8888888888888888</v>
      </c>
      <c r="X15" s="13">
        <v>0.0</v>
      </c>
      <c r="Y15" s="13">
        <v>1.0</v>
      </c>
      <c r="Z15" s="13">
        <v>-0.4444444444444444</v>
      </c>
    </row>
    <row r="16">
      <c r="A16" s="8" t="s">
        <v>20</v>
      </c>
      <c r="B16" s="12" t="s">
        <v>2</v>
      </c>
      <c r="C16" s="8">
        <v>9.0</v>
      </c>
      <c r="D16" s="8">
        <v>11.0</v>
      </c>
      <c r="E16" s="8">
        <v>9.0</v>
      </c>
      <c r="F16" s="13">
        <v>1.2222222222222223</v>
      </c>
      <c r="G16" s="8">
        <v>8.0</v>
      </c>
      <c r="H16" s="15">
        <v>0.8888888888888888</v>
      </c>
      <c r="I16" s="8">
        <v>4.0</v>
      </c>
      <c r="J16" s="8">
        <v>4.0</v>
      </c>
      <c r="K16" s="8">
        <v>0.0</v>
      </c>
      <c r="L16" s="8">
        <v>0.0</v>
      </c>
      <c r="M16" s="8">
        <v>1.0</v>
      </c>
      <c r="N16" s="13">
        <v>-0.4444444444444444</v>
      </c>
      <c r="O16" s="13">
        <v>2.0</v>
      </c>
      <c r="P16" s="13">
        <v>1.0</v>
      </c>
      <c r="Q16" s="13">
        <v>0.4444444444444444</v>
      </c>
      <c r="R16" s="13">
        <v>1.0</v>
      </c>
      <c r="S16" s="13">
        <v>0.0</v>
      </c>
      <c r="T16" s="13">
        <v>0.4444444444444444</v>
      </c>
      <c r="U16" s="13">
        <v>1.0</v>
      </c>
      <c r="V16" s="13">
        <v>2.0</v>
      </c>
      <c r="W16" s="13">
        <v>-0.4444444444444444</v>
      </c>
      <c r="X16" s="13">
        <v>3.0</v>
      </c>
      <c r="Y16" s="13">
        <v>1.0</v>
      </c>
      <c r="Z16" s="13">
        <v>0.8888888888888888</v>
      </c>
    </row>
    <row r="17">
      <c r="A17" s="8" t="s">
        <v>4</v>
      </c>
      <c r="B17" s="12" t="s">
        <v>0</v>
      </c>
      <c r="C17" s="8">
        <v>10.0</v>
      </c>
      <c r="D17" s="8">
        <v>2.0</v>
      </c>
      <c r="E17" s="8">
        <v>0.0</v>
      </c>
      <c r="F17" s="8" t="s">
        <v>70</v>
      </c>
      <c r="G17" s="8">
        <v>8.0</v>
      </c>
      <c r="H17" s="9">
        <v>0.8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1.0</v>
      </c>
      <c r="S17" s="8">
        <v>0.0</v>
      </c>
      <c r="T17" s="8">
        <v>0.4</v>
      </c>
      <c r="U17" s="8">
        <v>0.0</v>
      </c>
      <c r="V17" s="8">
        <v>0.0</v>
      </c>
      <c r="W17" s="8">
        <v>0.0</v>
      </c>
      <c r="X17" s="8">
        <v>1.0</v>
      </c>
      <c r="Y17" s="8">
        <v>0.0</v>
      </c>
      <c r="Z17" s="8">
        <v>0.4</v>
      </c>
    </row>
    <row r="18">
      <c r="A18" s="8" t="s">
        <v>19</v>
      </c>
      <c r="B18" s="12" t="s">
        <v>2</v>
      </c>
      <c r="C18" s="8">
        <v>9.0</v>
      </c>
      <c r="D18" s="8">
        <v>3.0</v>
      </c>
      <c r="E18" s="8">
        <v>2.0</v>
      </c>
      <c r="F18" s="8">
        <v>1.5</v>
      </c>
      <c r="G18" s="8">
        <v>4.0</v>
      </c>
      <c r="H18" s="15">
        <v>0.4444444444444444</v>
      </c>
      <c r="I18" s="13">
        <v>0.0</v>
      </c>
      <c r="J18" s="13">
        <v>1.0</v>
      </c>
      <c r="K18" s="13">
        <v>-0.4444444444444444</v>
      </c>
      <c r="L18" s="8">
        <v>0.0</v>
      </c>
      <c r="M18" s="8">
        <v>0.0</v>
      </c>
      <c r="N18" s="8">
        <v>0.0</v>
      </c>
      <c r="O18" s="8">
        <v>1.0</v>
      </c>
      <c r="P18" s="8">
        <v>0.0</v>
      </c>
      <c r="Q18" s="13">
        <v>0.4444444444444444</v>
      </c>
      <c r="R18" s="13">
        <v>2.0</v>
      </c>
      <c r="S18" s="13">
        <v>0.0</v>
      </c>
      <c r="T18" s="13">
        <v>0.8888888888888888</v>
      </c>
      <c r="U18" s="8">
        <v>0.0</v>
      </c>
      <c r="V18" s="8">
        <v>0.0</v>
      </c>
      <c r="W18" s="8">
        <v>0.0</v>
      </c>
      <c r="X18" s="8">
        <v>0.0</v>
      </c>
      <c r="Y18" s="8">
        <v>1.0</v>
      </c>
      <c r="Z18" s="13">
        <v>-0.4444444444444444</v>
      </c>
    </row>
    <row r="19">
      <c r="A19" s="8" t="s">
        <v>25</v>
      </c>
      <c r="B19" s="7" t="s">
        <v>3</v>
      </c>
      <c r="C19" s="8">
        <v>9.0</v>
      </c>
      <c r="D19" s="8">
        <v>0.0</v>
      </c>
      <c r="E19" s="8">
        <v>2.0</v>
      </c>
      <c r="F19" s="8">
        <v>0.0</v>
      </c>
      <c r="G19" s="8">
        <v>-8.0</v>
      </c>
      <c r="H19" s="15">
        <v>-0.8888888888888888</v>
      </c>
      <c r="I19" s="13">
        <v>0.0</v>
      </c>
      <c r="J19" s="13">
        <v>1.0</v>
      </c>
      <c r="K19" s="13">
        <v>-0.4444444444444444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1.0</v>
      </c>
      <c r="T19" s="13">
        <v>-0.4444444444444444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</row>
    <row r="20">
      <c r="A20" s="8" t="s">
        <v>17</v>
      </c>
      <c r="B20" s="12" t="s">
        <v>2</v>
      </c>
      <c r="C20" s="8">
        <v>9.0</v>
      </c>
      <c r="D20" s="8">
        <v>0.0</v>
      </c>
      <c r="E20" s="8">
        <v>4.0</v>
      </c>
      <c r="F20" s="8">
        <v>0.0</v>
      </c>
      <c r="G20" s="8">
        <v>-16.0</v>
      </c>
      <c r="H20" s="15">
        <v>-1.7777777777777777</v>
      </c>
      <c r="I20" s="13">
        <v>0.0</v>
      </c>
      <c r="J20" s="13">
        <v>1.0</v>
      </c>
      <c r="K20" s="13">
        <v>-0.4444444444444444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1.0</v>
      </c>
      <c r="T20" s="13">
        <v>-0.4444444444444444</v>
      </c>
      <c r="U20" s="8">
        <v>0.0</v>
      </c>
      <c r="V20" s="8">
        <v>0.0</v>
      </c>
      <c r="W20" s="8">
        <v>0.0</v>
      </c>
      <c r="X20" s="8">
        <v>0.0</v>
      </c>
      <c r="Y20" s="8">
        <v>2.0</v>
      </c>
      <c r="Z20" s="13">
        <v>-0.8888888888888888</v>
      </c>
    </row>
    <row r="21">
      <c r="A21" s="10"/>
      <c r="B21" s="10"/>
      <c r="C21" s="10"/>
      <c r="D21" s="10"/>
      <c r="E21" s="10"/>
      <c r="F21" s="14"/>
      <c r="G21" s="10"/>
      <c r="H21" s="1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4"/>
      <c r="G26" s="10"/>
      <c r="H26" s="1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6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6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6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4"/>
      <c r="G34" s="10"/>
      <c r="H34" s="16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6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H37" s="17"/>
    </row>
    <row r="38"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  <row r="47">
      <c r="H47" s="17"/>
    </row>
    <row r="48">
      <c r="H48" s="17"/>
    </row>
    <row r="49">
      <c r="H49" s="17"/>
    </row>
    <row r="50">
      <c r="H50" s="17"/>
    </row>
    <row r="51">
      <c r="H51" s="17"/>
    </row>
    <row r="52">
      <c r="H52" s="17"/>
    </row>
    <row r="53">
      <c r="H53" s="17"/>
    </row>
    <row r="54">
      <c r="H54" s="17"/>
    </row>
    <row r="55">
      <c r="H55" s="17"/>
    </row>
    <row r="56">
      <c r="H56" s="17"/>
    </row>
    <row r="57">
      <c r="H57" s="17"/>
    </row>
    <row r="58">
      <c r="H58" s="17"/>
    </row>
    <row r="59">
      <c r="H59" s="17"/>
    </row>
    <row r="60">
      <c r="H60" s="17"/>
    </row>
    <row r="61">
      <c r="H61" s="17"/>
    </row>
    <row r="62">
      <c r="H62" s="17"/>
    </row>
    <row r="63">
      <c r="H63" s="17"/>
    </row>
    <row r="64">
      <c r="H64" s="17"/>
    </row>
    <row r="65">
      <c r="H65" s="17"/>
    </row>
    <row r="66">
      <c r="H66" s="17"/>
    </row>
    <row r="67">
      <c r="H67" s="17"/>
    </row>
    <row r="68">
      <c r="H68" s="17"/>
    </row>
    <row r="69">
      <c r="H69" s="17"/>
    </row>
    <row r="70">
      <c r="H70" s="17"/>
    </row>
    <row r="71">
      <c r="H71" s="17"/>
    </row>
    <row r="72">
      <c r="H72" s="17"/>
    </row>
    <row r="73">
      <c r="H73" s="17"/>
    </row>
    <row r="74">
      <c r="H74" s="17"/>
    </row>
    <row r="75">
      <c r="H75" s="17"/>
    </row>
    <row r="76">
      <c r="H76" s="17"/>
    </row>
    <row r="77">
      <c r="H77" s="17"/>
    </row>
    <row r="78">
      <c r="H78" s="17"/>
    </row>
    <row r="79">
      <c r="H79" s="17"/>
    </row>
    <row r="80">
      <c r="H80" s="17"/>
    </row>
    <row r="81">
      <c r="H81" s="17"/>
    </row>
    <row r="82">
      <c r="H82" s="17"/>
    </row>
    <row r="83">
      <c r="H83" s="17"/>
    </row>
    <row r="84">
      <c r="H84" s="17"/>
    </row>
    <row r="85">
      <c r="H85" s="17"/>
    </row>
    <row r="86">
      <c r="H86" s="17"/>
    </row>
    <row r="87">
      <c r="H87" s="17"/>
    </row>
    <row r="88">
      <c r="H88" s="17"/>
    </row>
    <row r="89">
      <c r="H89" s="17"/>
    </row>
    <row r="90">
      <c r="H90" s="17"/>
    </row>
    <row r="91">
      <c r="H91" s="17"/>
    </row>
    <row r="92">
      <c r="H92" s="17"/>
    </row>
    <row r="93">
      <c r="H93" s="17"/>
    </row>
    <row r="94">
      <c r="H94" s="17"/>
    </row>
    <row r="95"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5" width="7.63"/>
    <col customWidth="1" min="6" max="18" width="10.13"/>
    <col customWidth="1" min="19" max="25" width="7.63"/>
  </cols>
  <sheetData>
    <row r="1">
      <c r="A1" s="7" t="s">
        <v>31</v>
      </c>
      <c r="B1" s="8" t="s">
        <v>33</v>
      </c>
      <c r="C1" s="8" t="s">
        <v>34</v>
      </c>
      <c r="D1" s="8" t="s">
        <v>7</v>
      </c>
      <c r="E1" s="8" t="s">
        <v>37</v>
      </c>
      <c r="F1" s="8" t="s">
        <v>39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47</v>
      </c>
      <c r="M1" s="8" t="s">
        <v>49</v>
      </c>
      <c r="N1" s="8" t="s">
        <v>51</v>
      </c>
      <c r="O1" s="8" t="s">
        <v>52</v>
      </c>
      <c r="P1" s="8" t="s">
        <v>54</v>
      </c>
      <c r="Q1" s="8" t="s">
        <v>56</v>
      </c>
      <c r="R1" s="10"/>
      <c r="S1" s="10"/>
      <c r="T1" s="10"/>
      <c r="U1" s="10"/>
      <c r="V1" s="10"/>
      <c r="W1" s="10"/>
      <c r="X1" s="10"/>
      <c r="Y1" s="10"/>
    </row>
    <row r="2">
      <c r="A2" s="7" t="s">
        <v>1</v>
      </c>
      <c r="B2" s="7">
        <v>96.4</v>
      </c>
      <c r="C2" s="8">
        <v>10.0</v>
      </c>
      <c r="D2" s="8">
        <v>54.0</v>
      </c>
      <c r="E2" s="11">
        <v>0.574468085106383</v>
      </c>
      <c r="F2" s="8">
        <v>8.0</v>
      </c>
      <c r="G2" s="11">
        <v>0.6666666666666666</v>
      </c>
      <c r="H2" s="8">
        <v>1.0</v>
      </c>
      <c r="I2" s="11">
        <v>0.1111111111111111</v>
      </c>
      <c r="J2" s="8">
        <v>18.0</v>
      </c>
      <c r="K2" s="11">
        <v>0.6666666666666666</v>
      </c>
      <c r="L2" s="8">
        <v>9.0</v>
      </c>
      <c r="M2" s="11">
        <v>0.6428571428571429</v>
      </c>
      <c r="N2" s="8">
        <v>16.0</v>
      </c>
      <c r="O2" s="11">
        <v>0.7272727272727273</v>
      </c>
      <c r="P2" s="8">
        <v>2.0</v>
      </c>
      <c r="Q2" s="11">
        <v>0.2</v>
      </c>
      <c r="R2" s="10"/>
      <c r="S2" s="10"/>
      <c r="T2" s="10"/>
      <c r="U2" s="10"/>
      <c r="V2" s="10"/>
      <c r="W2" s="10"/>
      <c r="X2" s="10"/>
      <c r="Y2" s="10"/>
    </row>
    <row r="3">
      <c r="A3" s="8" t="s">
        <v>0</v>
      </c>
      <c r="B3" s="8">
        <v>74.2</v>
      </c>
      <c r="C3" s="8">
        <v>10.0</v>
      </c>
      <c r="D3" s="8">
        <v>33.0</v>
      </c>
      <c r="E3" s="11">
        <v>0.3793103448275862</v>
      </c>
      <c r="F3" s="8">
        <v>6.0</v>
      </c>
      <c r="G3" s="11">
        <v>0.46153846153846156</v>
      </c>
      <c r="H3" s="8">
        <v>7.0</v>
      </c>
      <c r="I3" s="11">
        <v>0.35</v>
      </c>
      <c r="J3" s="8">
        <v>6.0</v>
      </c>
      <c r="K3" s="11">
        <v>0.46153846153846156</v>
      </c>
      <c r="L3" s="8">
        <v>8.0</v>
      </c>
      <c r="M3" s="11">
        <v>0.4444444444444444</v>
      </c>
      <c r="N3" s="8">
        <v>4.0</v>
      </c>
      <c r="O3" s="11">
        <v>0.6666666666666666</v>
      </c>
      <c r="P3" s="8">
        <v>2.0</v>
      </c>
      <c r="Q3" s="11">
        <v>0.11764705882352941</v>
      </c>
      <c r="R3" s="10"/>
      <c r="S3" s="10"/>
      <c r="T3" s="10"/>
      <c r="U3" s="10"/>
      <c r="V3" s="10"/>
      <c r="W3" s="10"/>
      <c r="X3" s="10"/>
      <c r="Y3" s="10"/>
    </row>
    <row r="4">
      <c r="A4" s="8" t="s">
        <v>3</v>
      </c>
      <c r="B4" s="14">
        <v>61.55555555555556</v>
      </c>
      <c r="C4" s="8">
        <v>9.0</v>
      </c>
      <c r="D4" s="8">
        <v>25.0</v>
      </c>
      <c r="E4" s="11">
        <v>0.45454545454545453</v>
      </c>
      <c r="F4" s="8">
        <v>6.0</v>
      </c>
      <c r="G4" s="11">
        <v>0.5</v>
      </c>
      <c r="H4" s="8">
        <v>2.0</v>
      </c>
      <c r="I4" s="11">
        <v>0.2857142857142857</v>
      </c>
      <c r="J4" s="8">
        <v>2.0</v>
      </c>
      <c r="K4" s="11">
        <v>0.3333333333333333</v>
      </c>
      <c r="L4" s="8">
        <v>4.0</v>
      </c>
      <c r="M4" s="11">
        <v>0.5714285714285714</v>
      </c>
      <c r="N4" s="8">
        <v>4.0</v>
      </c>
      <c r="O4" s="11">
        <v>0.4</v>
      </c>
      <c r="P4" s="8">
        <v>7.0</v>
      </c>
      <c r="Q4" s="11">
        <v>0.5384615384615384</v>
      </c>
      <c r="R4" s="10"/>
      <c r="S4" s="10"/>
      <c r="T4" s="10"/>
      <c r="U4" s="10"/>
      <c r="V4" s="10"/>
      <c r="W4" s="10"/>
      <c r="X4" s="10"/>
      <c r="Y4" s="10"/>
    </row>
    <row r="5">
      <c r="A5" s="8" t="s">
        <v>2</v>
      </c>
      <c r="B5" s="14">
        <v>32.666666666666664</v>
      </c>
      <c r="C5" s="8">
        <v>9.0</v>
      </c>
      <c r="D5" s="8">
        <v>11.0</v>
      </c>
      <c r="E5" s="11">
        <v>0.2894736842105263</v>
      </c>
      <c r="F5" s="8">
        <v>2.0</v>
      </c>
      <c r="G5" s="11">
        <v>0.25</v>
      </c>
      <c r="H5" s="8">
        <v>1.0</v>
      </c>
      <c r="I5" s="11">
        <v>0.3333333333333333</v>
      </c>
      <c r="J5" s="8">
        <v>0.0</v>
      </c>
      <c r="K5" s="11">
        <v>0.0</v>
      </c>
      <c r="L5" s="8">
        <v>5.0</v>
      </c>
      <c r="M5" s="11">
        <v>0.5</v>
      </c>
      <c r="N5" s="8">
        <v>2.0</v>
      </c>
      <c r="O5" s="11">
        <v>0.3333333333333333</v>
      </c>
      <c r="P5" s="8">
        <v>1.0</v>
      </c>
      <c r="Q5" s="11">
        <v>0.16666666666666666</v>
      </c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4"/>
      <c r="F6" s="14"/>
      <c r="G6" s="10"/>
      <c r="H6" s="10"/>
      <c r="I6" s="10"/>
      <c r="J6" s="1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0"/>
      <c r="C7" s="10"/>
      <c r="D7" s="10"/>
      <c r="E7" s="10"/>
      <c r="F7" s="1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4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0"/>
      <c r="B9" s="10"/>
      <c r="C9" s="10"/>
      <c r="D9" s="10"/>
      <c r="E9" s="14"/>
      <c r="F9" s="14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0"/>
      <c r="B10" s="10"/>
      <c r="C10" s="10"/>
      <c r="D10" s="10"/>
      <c r="E10" s="14"/>
      <c r="F10" s="1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0"/>
      <c r="B21" s="10"/>
      <c r="C21" s="10"/>
      <c r="D21" s="10"/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4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4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sort(Stats!A1:A1000,Stats!K1:K1000,false)</f>
        <v>Player</v>
      </c>
      <c r="B1" s="18" t="str">
        <f t="array" ref="B1:B1000">sort(Stats!C1:C1000,Stats!K1:K1000,false)</f>
        <v>GP</v>
      </c>
      <c r="C1" s="2" t="str">
        <f t="array" ref="C1:E1000">sort(Stats!I1:K1000,Stats!K1:K1000,false)</f>
        <v>X TU</v>
      </c>
      <c r="D1" s="2" t="s">
        <v>48</v>
      </c>
      <c r="E1" s="2" t="s">
        <v>50</v>
      </c>
    </row>
    <row r="2">
      <c r="A2" s="2" t="s">
        <v>5</v>
      </c>
      <c r="B2" s="18">
        <v>10.0</v>
      </c>
      <c r="C2" s="18">
        <v>6.0</v>
      </c>
      <c r="D2" s="18">
        <v>0.0</v>
      </c>
      <c r="E2" s="2">
        <v>2.4</v>
      </c>
    </row>
    <row r="3">
      <c r="A3" s="2" t="s">
        <v>23</v>
      </c>
      <c r="B3" s="18">
        <v>9.0</v>
      </c>
      <c r="C3" s="18">
        <v>6.0</v>
      </c>
      <c r="D3" s="18">
        <v>2.0</v>
      </c>
      <c r="E3" s="19">
        <v>1.7777777777777777</v>
      </c>
    </row>
    <row r="4">
      <c r="A4" s="2" t="s">
        <v>6</v>
      </c>
      <c r="B4" s="18">
        <v>10.0</v>
      </c>
      <c r="C4" s="18">
        <v>4.0</v>
      </c>
      <c r="D4" s="18">
        <v>0.0</v>
      </c>
      <c r="E4" s="2">
        <v>1.6</v>
      </c>
    </row>
    <row r="5">
      <c r="A5" s="2" t="s">
        <v>24</v>
      </c>
      <c r="B5" s="18">
        <v>9.0</v>
      </c>
      <c r="C5" s="18">
        <v>3.0</v>
      </c>
      <c r="D5" s="18">
        <v>0.0</v>
      </c>
      <c r="E5" s="19">
        <v>1.3333333333333333</v>
      </c>
    </row>
    <row r="6">
      <c r="A6" s="2" t="s">
        <v>22</v>
      </c>
      <c r="B6" s="18">
        <v>9.0</v>
      </c>
      <c r="C6" s="18">
        <v>4.0</v>
      </c>
      <c r="D6" s="18">
        <v>1.0</v>
      </c>
      <c r="E6" s="19">
        <v>1.3333333333333333</v>
      </c>
    </row>
    <row r="7">
      <c r="A7" s="2" t="s">
        <v>10</v>
      </c>
      <c r="B7" s="18">
        <v>10.0</v>
      </c>
      <c r="C7" s="18">
        <v>3.0</v>
      </c>
      <c r="D7" s="18">
        <v>0.0</v>
      </c>
      <c r="E7" s="2">
        <v>1.2</v>
      </c>
    </row>
    <row r="8">
      <c r="A8" s="2" t="s">
        <v>12</v>
      </c>
      <c r="B8" s="18">
        <v>10.0</v>
      </c>
      <c r="C8" s="18">
        <v>3.0</v>
      </c>
      <c r="D8" s="18">
        <v>0.0</v>
      </c>
      <c r="E8" s="2">
        <v>1.2</v>
      </c>
    </row>
    <row r="9">
      <c r="A9" s="2" t="s">
        <v>21</v>
      </c>
      <c r="B9" s="18">
        <v>9.0</v>
      </c>
      <c r="C9" s="18">
        <v>2.0</v>
      </c>
      <c r="D9" s="18">
        <v>0.0</v>
      </c>
      <c r="E9" s="19">
        <v>0.8888888888888888</v>
      </c>
    </row>
    <row r="10">
      <c r="A10" s="2" t="s">
        <v>16</v>
      </c>
      <c r="B10" s="18">
        <v>9.0</v>
      </c>
      <c r="C10" s="18">
        <v>2.0</v>
      </c>
      <c r="D10" s="18">
        <v>0.0</v>
      </c>
      <c r="E10" s="19">
        <v>0.8888888888888888</v>
      </c>
    </row>
    <row r="11">
      <c r="A11" s="2" t="s">
        <v>14</v>
      </c>
      <c r="B11" s="18">
        <v>10.0</v>
      </c>
      <c r="C11" s="18">
        <v>2.0</v>
      </c>
      <c r="D11" s="18">
        <v>0.0</v>
      </c>
      <c r="E11" s="2">
        <v>0.8</v>
      </c>
    </row>
    <row r="12">
      <c r="A12" s="2" t="s">
        <v>11</v>
      </c>
      <c r="B12" s="18">
        <v>10.0</v>
      </c>
      <c r="C12" s="18">
        <v>2.0</v>
      </c>
      <c r="D12" s="18">
        <v>2.0</v>
      </c>
      <c r="E12" s="2">
        <v>0.0</v>
      </c>
    </row>
    <row r="13">
      <c r="A13" s="2" t="s">
        <v>8</v>
      </c>
      <c r="B13" s="18">
        <v>10.0</v>
      </c>
      <c r="C13" s="18">
        <v>0.0</v>
      </c>
      <c r="D13" s="18">
        <v>0.0</v>
      </c>
      <c r="E13" s="2">
        <v>0.0</v>
      </c>
    </row>
    <row r="14">
      <c r="A14" s="2" t="s">
        <v>13</v>
      </c>
      <c r="B14" s="18">
        <v>10.0</v>
      </c>
      <c r="C14" s="18">
        <v>1.0</v>
      </c>
      <c r="D14" s="18">
        <v>1.0</v>
      </c>
      <c r="E14" s="2">
        <v>0.0</v>
      </c>
    </row>
    <row r="15">
      <c r="A15" s="2" t="s">
        <v>15</v>
      </c>
      <c r="B15" s="18">
        <v>10.0</v>
      </c>
      <c r="C15" s="18">
        <v>4.0</v>
      </c>
      <c r="D15" s="18">
        <v>4.0</v>
      </c>
      <c r="E15" s="2">
        <v>0.0</v>
      </c>
    </row>
    <row r="16">
      <c r="A16" s="2" t="s">
        <v>20</v>
      </c>
      <c r="B16" s="18">
        <v>9.0</v>
      </c>
      <c r="C16" s="18">
        <v>4.0</v>
      </c>
      <c r="D16" s="18">
        <v>4.0</v>
      </c>
      <c r="E16" s="2">
        <v>0.0</v>
      </c>
    </row>
    <row r="17">
      <c r="A17" s="2" t="s">
        <v>4</v>
      </c>
      <c r="B17" s="18">
        <v>10.0</v>
      </c>
      <c r="C17" s="18">
        <v>0.0</v>
      </c>
      <c r="D17" s="18">
        <v>0.0</v>
      </c>
      <c r="E17" s="2">
        <v>0.0</v>
      </c>
    </row>
    <row r="18">
      <c r="A18" s="2" t="s">
        <v>19</v>
      </c>
      <c r="B18" s="18">
        <v>9.0</v>
      </c>
      <c r="C18" s="18">
        <v>0.0</v>
      </c>
      <c r="D18" s="18">
        <v>1.0</v>
      </c>
      <c r="E18" s="19">
        <v>-0.4444444444444444</v>
      </c>
    </row>
    <row r="19">
      <c r="A19" s="2" t="s">
        <v>25</v>
      </c>
      <c r="B19" s="18">
        <v>9.0</v>
      </c>
      <c r="C19" s="18">
        <v>0.0</v>
      </c>
      <c r="D19" s="18">
        <v>1.0</v>
      </c>
      <c r="E19" s="19">
        <v>-0.4444444444444444</v>
      </c>
    </row>
    <row r="20">
      <c r="A20" s="2" t="s">
        <v>17</v>
      </c>
      <c r="B20" s="18">
        <v>9.0</v>
      </c>
      <c r="C20" s="18">
        <v>0.0</v>
      </c>
      <c r="D20" s="18">
        <v>1.0</v>
      </c>
      <c r="E20" s="19">
        <v>-0.4444444444444444</v>
      </c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sort(Stats!A1:A1000,Stats!N1:N1000,false)</f>
        <v>Player</v>
      </c>
      <c r="B1" s="18" t="str">
        <f t="array" ref="B1:B1000">sort(Stats!C1:C1000,Stats!N1:N1000,false)</f>
        <v>GP</v>
      </c>
      <c r="C1" s="2" t="str">
        <f t="array" ref="C1:E1000">sort(Stats!L1:N1000,Stats!N1:N1000,false)</f>
        <v>M TU</v>
      </c>
      <c r="D1" s="2" t="s">
        <v>55</v>
      </c>
      <c r="E1" s="2" t="s">
        <v>57</v>
      </c>
    </row>
    <row r="2">
      <c r="A2" s="2" t="s">
        <v>8</v>
      </c>
      <c r="B2" s="18">
        <v>10.0</v>
      </c>
      <c r="C2" s="18">
        <v>10.0</v>
      </c>
      <c r="D2" s="18">
        <v>0.0</v>
      </c>
      <c r="E2" s="2">
        <v>4.0</v>
      </c>
    </row>
    <row r="3">
      <c r="A3" s="2" t="s">
        <v>5</v>
      </c>
      <c r="B3" s="18">
        <v>10.0</v>
      </c>
      <c r="C3" s="18">
        <v>8.0</v>
      </c>
      <c r="D3" s="18">
        <v>0.0</v>
      </c>
      <c r="E3" s="2">
        <v>3.2</v>
      </c>
    </row>
    <row r="4">
      <c r="A4" s="2" t="s">
        <v>23</v>
      </c>
      <c r="B4" s="18">
        <v>9.0</v>
      </c>
      <c r="C4" s="18">
        <v>4.0</v>
      </c>
      <c r="D4" s="18">
        <v>0.0</v>
      </c>
      <c r="E4" s="19">
        <v>1.7777777777777777</v>
      </c>
    </row>
    <row r="5">
      <c r="A5" s="2" t="s">
        <v>24</v>
      </c>
      <c r="B5" s="18">
        <v>9.0</v>
      </c>
      <c r="C5" s="18">
        <v>4.0</v>
      </c>
      <c r="D5" s="18">
        <v>0.0</v>
      </c>
      <c r="E5" s="19">
        <v>1.7777777777777777</v>
      </c>
    </row>
    <row r="6">
      <c r="A6" s="2" t="s">
        <v>13</v>
      </c>
      <c r="B6" s="18">
        <v>10.0</v>
      </c>
      <c r="C6" s="18">
        <v>4.0</v>
      </c>
      <c r="D6" s="18">
        <v>0.0</v>
      </c>
      <c r="E6" s="2">
        <v>1.6</v>
      </c>
    </row>
    <row r="7">
      <c r="A7" s="2" t="s">
        <v>12</v>
      </c>
      <c r="B7" s="18">
        <v>10.0</v>
      </c>
      <c r="C7" s="18">
        <v>3.0</v>
      </c>
      <c r="D7" s="18">
        <v>1.0</v>
      </c>
      <c r="E7" s="2">
        <v>0.8</v>
      </c>
    </row>
    <row r="8">
      <c r="A8" s="2" t="s">
        <v>22</v>
      </c>
      <c r="B8" s="18">
        <v>9.0</v>
      </c>
      <c r="C8" s="18">
        <v>1.0</v>
      </c>
      <c r="D8" s="18">
        <v>0.0</v>
      </c>
      <c r="E8" s="19">
        <v>0.4444444444444444</v>
      </c>
    </row>
    <row r="9">
      <c r="A9" s="2" t="s">
        <v>10</v>
      </c>
      <c r="B9" s="18">
        <v>10.0</v>
      </c>
      <c r="C9" s="18">
        <v>1.0</v>
      </c>
      <c r="D9" s="18">
        <v>0.0</v>
      </c>
      <c r="E9" s="2">
        <v>0.4</v>
      </c>
    </row>
    <row r="10">
      <c r="A10" s="2" t="s">
        <v>15</v>
      </c>
      <c r="B10" s="18">
        <v>10.0</v>
      </c>
      <c r="C10" s="18">
        <v>2.0</v>
      </c>
      <c r="D10" s="18">
        <v>1.0</v>
      </c>
      <c r="E10" s="2">
        <v>0.4</v>
      </c>
    </row>
    <row r="11">
      <c r="A11" s="2" t="s">
        <v>11</v>
      </c>
      <c r="B11" s="18">
        <v>10.0</v>
      </c>
      <c r="C11" s="18">
        <v>0.0</v>
      </c>
      <c r="D11" s="18">
        <v>0.0</v>
      </c>
      <c r="E11" s="2">
        <v>0.0</v>
      </c>
    </row>
    <row r="12">
      <c r="A12" s="2" t="s">
        <v>14</v>
      </c>
      <c r="B12" s="18">
        <v>10.0</v>
      </c>
      <c r="C12" s="18">
        <v>0.0</v>
      </c>
      <c r="D12" s="18">
        <v>0.0</v>
      </c>
      <c r="E12" s="2">
        <v>0.0</v>
      </c>
    </row>
    <row r="13">
      <c r="A13" s="2" t="s">
        <v>6</v>
      </c>
      <c r="B13" s="18">
        <v>10.0</v>
      </c>
      <c r="C13" s="18">
        <v>0.0</v>
      </c>
      <c r="D13" s="18">
        <v>0.0</v>
      </c>
      <c r="E13" s="2">
        <v>0.0</v>
      </c>
    </row>
    <row r="14">
      <c r="A14" s="2" t="s">
        <v>16</v>
      </c>
      <c r="B14" s="18">
        <v>9.0</v>
      </c>
      <c r="C14" s="18">
        <v>1.0</v>
      </c>
      <c r="D14" s="18">
        <v>1.0</v>
      </c>
      <c r="E14" s="2">
        <v>0.0</v>
      </c>
    </row>
    <row r="15">
      <c r="A15" s="2" t="s">
        <v>4</v>
      </c>
      <c r="B15" s="18">
        <v>10.0</v>
      </c>
      <c r="C15" s="18">
        <v>0.0</v>
      </c>
      <c r="D15" s="18">
        <v>0.0</v>
      </c>
      <c r="E15" s="2">
        <v>0.0</v>
      </c>
    </row>
    <row r="16">
      <c r="A16" s="2" t="s">
        <v>19</v>
      </c>
      <c r="B16" s="18">
        <v>9.0</v>
      </c>
      <c r="C16" s="18">
        <v>0.0</v>
      </c>
      <c r="D16" s="18">
        <v>0.0</v>
      </c>
      <c r="E16" s="2">
        <v>0.0</v>
      </c>
    </row>
    <row r="17">
      <c r="A17" s="2" t="s">
        <v>25</v>
      </c>
      <c r="B17" s="18">
        <v>9.0</v>
      </c>
      <c r="C17" s="18">
        <v>0.0</v>
      </c>
      <c r="D17" s="18">
        <v>0.0</v>
      </c>
      <c r="E17" s="2">
        <v>0.0</v>
      </c>
    </row>
    <row r="18">
      <c r="A18" s="2" t="s">
        <v>17</v>
      </c>
      <c r="B18" s="18">
        <v>9.0</v>
      </c>
      <c r="C18" s="18">
        <v>0.0</v>
      </c>
      <c r="D18" s="18">
        <v>0.0</v>
      </c>
      <c r="E18" s="2">
        <v>0.0</v>
      </c>
    </row>
    <row r="19">
      <c r="A19" s="2" t="s">
        <v>21</v>
      </c>
      <c r="B19" s="18">
        <v>9.0</v>
      </c>
      <c r="C19" s="18">
        <v>2.0</v>
      </c>
      <c r="D19" s="18">
        <v>3.0</v>
      </c>
      <c r="E19" s="19">
        <v>-0.4444444444444444</v>
      </c>
    </row>
    <row r="20">
      <c r="A20" s="2" t="s">
        <v>20</v>
      </c>
      <c r="B20" s="18">
        <v>9.0</v>
      </c>
      <c r="C20" s="18">
        <v>0.0</v>
      </c>
      <c r="D20" s="18">
        <v>1.0</v>
      </c>
      <c r="E20" s="19">
        <v>-0.4444444444444444</v>
      </c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sort(Stats!A1:A1000,Stats!Q1:Q1000,false)</f>
        <v>Player</v>
      </c>
      <c r="B1" s="18" t="str">
        <f t="array" ref="B1:B1000">sort(Stats!C1:C1000,Stats!Q1:Q1000,false)</f>
        <v>GP</v>
      </c>
      <c r="C1" s="2" t="str">
        <f t="array" ref="C1:E1000">sort(Stats!O1:Q1000,Stats!Q1:Q1000,false)</f>
        <v>C TU</v>
      </c>
      <c r="D1" s="2" t="s">
        <v>59</v>
      </c>
      <c r="E1" s="2" t="s">
        <v>60</v>
      </c>
    </row>
    <row r="2">
      <c r="A2" s="2" t="s">
        <v>11</v>
      </c>
      <c r="B2" s="18">
        <v>10.0</v>
      </c>
      <c r="C2" s="18">
        <v>26.0</v>
      </c>
      <c r="D2" s="18">
        <v>3.0</v>
      </c>
      <c r="E2" s="2">
        <v>9.2</v>
      </c>
    </row>
    <row r="3">
      <c r="A3" s="2" t="s">
        <v>5</v>
      </c>
      <c r="B3" s="18">
        <v>10.0</v>
      </c>
      <c r="C3" s="18">
        <v>7.0</v>
      </c>
      <c r="D3" s="18">
        <v>0.0</v>
      </c>
      <c r="E3" s="2">
        <v>2.8</v>
      </c>
    </row>
    <row r="4">
      <c r="A4" s="2" t="s">
        <v>10</v>
      </c>
      <c r="B4" s="18">
        <v>10.0</v>
      </c>
      <c r="C4" s="18">
        <v>6.0</v>
      </c>
      <c r="D4" s="18">
        <v>0.0</v>
      </c>
      <c r="E4" s="2">
        <v>2.4</v>
      </c>
    </row>
    <row r="5">
      <c r="A5" s="2" t="s">
        <v>22</v>
      </c>
      <c r="B5" s="18">
        <v>9.0</v>
      </c>
      <c r="C5" s="18">
        <v>3.0</v>
      </c>
      <c r="D5" s="18">
        <v>0.0</v>
      </c>
      <c r="E5" s="19">
        <v>1.3333333333333333</v>
      </c>
    </row>
    <row r="6">
      <c r="A6" s="2" t="s">
        <v>21</v>
      </c>
      <c r="B6" s="18">
        <v>9.0</v>
      </c>
      <c r="C6" s="18">
        <v>2.0</v>
      </c>
      <c r="D6" s="18">
        <v>0.0</v>
      </c>
      <c r="E6" s="19">
        <v>0.8888888888888888</v>
      </c>
    </row>
    <row r="7">
      <c r="A7" s="2" t="s">
        <v>23</v>
      </c>
      <c r="B7" s="18">
        <v>9.0</v>
      </c>
      <c r="C7" s="18">
        <v>2.0</v>
      </c>
      <c r="D7" s="18">
        <v>1.0</v>
      </c>
      <c r="E7" s="19">
        <v>0.4444444444444444</v>
      </c>
    </row>
    <row r="8">
      <c r="A8" s="2" t="s">
        <v>24</v>
      </c>
      <c r="B8" s="18">
        <v>9.0</v>
      </c>
      <c r="C8" s="18">
        <v>3.0</v>
      </c>
      <c r="D8" s="18">
        <v>2.0</v>
      </c>
      <c r="E8" s="19">
        <v>0.4444444444444444</v>
      </c>
    </row>
    <row r="9">
      <c r="A9" s="2" t="s">
        <v>20</v>
      </c>
      <c r="B9" s="18">
        <v>9.0</v>
      </c>
      <c r="C9" s="18">
        <v>2.0</v>
      </c>
      <c r="D9" s="18">
        <v>1.0</v>
      </c>
      <c r="E9" s="19">
        <v>0.4444444444444444</v>
      </c>
    </row>
    <row r="10">
      <c r="A10" s="2" t="s">
        <v>19</v>
      </c>
      <c r="B10" s="18">
        <v>9.0</v>
      </c>
      <c r="C10" s="18">
        <v>1.0</v>
      </c>
      <c r="D10" s="18">
        <v>0.0</v>
      </c>
      <c r="E10" s="19">
        <v>0.4444444444444444</v>
      </c>
    </row>
    <row r="11">
      <c r="A11" s="2" t="s">
        <v>13</v>
      </c>
      <c r="B11" s="18">
        <v>10.0</v>
      </c>
      <c r="C11" s="18">
        <v>1.0</v>
      </c>
      <c r="D11" s="18">
        <v>0.0</v>
      </c>
      <c r="E11" s="2">
        <v>0.4</v>
      </c>
    </row>
    <row r="12">
      <c r="A12" s="2" t="s">
        <v>14</v>
      </c>
      <c r="B12" s="18">
        <v>10.0</v>
      </c>
      <c r="C12" s="18">
        <v>0.0</v>
      </c>
      <c r="D12" s="18">
        <v>0.0</v>
      </c>
      <c r="E12" s="2">
        <v>0.0</v>
      </c>
    </row>
    <row r="13">
      <c r="A13" s="2" t="s">
        <v>6</v>
      </c>
      <c r="B13" s="18">
        <v>10.0</v>
      </c>
      <c r="C13" s="18">
        <v>0.0</v>
      </c>
      <c r="D13" s="18">
        <v>0.0</v>
      </c>
      <c r="E13" s="2">
        <v>0.0</v>
      </c>
    </row>
    <row r="14">
      <c r="A14" s="2" t="s">
        <v>12</v>
      </c>
      <c r="B14" s="18">
        <v>10.0</v>
      </c>
      <c r="C14" s="18">
        <v>0.0</v>
      </c>
      <c r="D14" s="18">
        <v>0.0</v>
      </c>
      <c r="E14" s="2">
        <v>0.0</v>
      </c>
    </row>
    <row r="15">
      <c r="A15" s="2" t="s">
        <v>8</v>
      </c>
      <c r="B15" s="18">
        <v>10.0</v>
      </c>
      <c r="C15" s="18">
        <v>0.0</v>
      </c>
      <c r="D15" s="18">
        <v>0.0</v>
      </c>
      <c r="E15" s="2">
        <v>0.0</v>
      </c>
    </row>
    <row r="16">
      <c r="A16" s="2" t="s">
        <v>15</v>
      </c>
      <c r="B16" s="18">
        <v>10.0</v>
      </c>
      <c r="C16" s="18">
        <v>0.0</v>
      </c>
      <c r="D16" s="18">
        <v>0.0</v>
      </c>
      <c r="E16" s="2">
        <v>0.0</v>
      </c>
    </row>
    <row r="17">
      <c r="A17" s="2" t="s">
        <v>16</v>
      </c>
      <c r="B17" s="18">
        <v>9.0</v>
      </c>
      <c r="C17" s="18">
        <v>0.0</v>
      </c>
      <c r="D17" s="18">
        <v>0.0</v>
      </c>
      <c r="E17" s="2">
        <v>0.0</v>
      </c>
    </row>
    <row r="18">
      <c r="A18" s="2" t="s">
        <v>4</v>
      </c>
      <c r="B18" s="18">
        <v>10.0</v>
      </c>
      <c r="C18" s="18">
        <v>0.0</v>
      </c>
      <c r="D18" s="18">
        <v>0.0</v>
      </c>
      <c r="E18" s="2">
        <v>0.0</v>
      </c>
    </row>
    <row r="19">
      <c r="A19" s="2" t="s">
        <v>25</v>
      </c>
      <c r="B19" s="18">
        <v>9.0</v>
      </c>
      <c r="C19" s="18">
        <v>0.0</v>
      </c>
      <c r="D19" s="18">
        <v>0.0</v>
      </c>
      <c r="E19" s="2">
        <v>0.0</v>
      </c>
    </row>
    <row r="20">
      <c r="A20" s="2" t="s">
        <v>17</v>
      </c>
      <c r="B20" s="18">
        <v>9.0</v>
      </c>
      <c r="C20" s="18">
        <v>0.0</v>
      </c>
      <c r="D20" s="18">
        <v>0.0</v>
      </c>
      <c r="E20" s="2">
        <v>0.0</v>
      </c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sort(Stats!A1:A1000,Stats!T1:T1000,false)</f>
        <v>Player</v>
      </c>
      <c r="B1" s="18" t="str">
        <f t="array" ref="B1:B1000">sort(Stats!C1:C1000,Stats!T1:T1000,false)</f>
        <v>GP</v>
      </c>
      <c r="C1" s="2" t="str">
        <f t="array" ref="C1:E1000">sort(Stats!R1:T1000,Stats!T1:T1000,false)</f>
        <v>E TU</v>
      </c>
      <c r="D1" s="2" t="s">
        <v>62</v>
      </c>
      <c r="E1" s="2" t="s">
        <v>63</v>
      </c>
    </row>
    <row r="2">
      <c r="A2" s="2" t="s">
        <v>12</v>
      </c>
      <c r="B2" s="18">
        <v>10.0</v>
      </c>
      <c r="C2" s="18">
        <v>9.0</v>
      </c>
      <c r="D2" s="18">
        <v>1.0</v>
      </c>
      <c r="E2" s="2">
        <v>3.2</v>
      </c>
    </row>
    <row r="3">
      <c r="A3" s="2" t="s">
        <v>6</v>
      </c>
      <c r="B3" s="18">
        <v>10.0</v>
      </c>
      <c r="C3" s="18">
        <v>7.0</v>
      </c>
      <c r="D3" s="18">
        <v>1.0</v>
      </c>
      <c r="E3" s="2">
        <v>2.4</v>
      </c>
    </row>
    <row r="4">
      <c r="A4" s="2" t="s">
        <v>5</v>
      </c>
      <c r="B4" s="18">
        <v>10.0</v>
      </c>
      <c r="C4" s="18">
        <v>5.0</v>
      </c>
      <c r="D4" s="18">
        <v>0.0</v>
      </c>
      <c r="E4" s="2">
        <v>2.0</v>
      </c>
    </row>
    <row r="5">
      <c r="A5" s="2" t="s">
        <v>10</v>
      </c>
      <c r="B5" s="18">
        <v>10.0</v>
      </c>
      <c r="C5" s="18">
        <v>5.0</v>
      </c>
      <c r="D5" s="18">
        <v>0.0</v>
      </c>
      <c r="E5" s="2">
        <v>2.0</v>
      </c>
    </row>
    <row r="6">
      <c r="A6" s="2" t="s">
        <v>23</v>
      </c>
      <c r="B6" s="18">
        <v>9.0</v>
      </c>
      <c r="C6" s="18">
        <v>4.0</v>
      </c>
      <c r="D6" s="18">
        <v>0.0</v>
      </c>
      <c r="E6" s="19">
        <v>1.7777777777777777</v>
      </c>
    </row>
    <row r="7">
      <c r="A7" s="2" t="s">
        <v>24</v>
      </c>
      <c r="B7" s="18">
        <v>9.0</v>
      </c>
      <c r="C7" s="18">
        <v>3.0</v>
      </c>
      <c r="D7" s="18">
        <v>0.0</v>
      </c>
      <c r="E7" s="19">
        <v>1.3333333333333333</v>
      </c>
    </row>
    <row r="8">
      <c r="A8" s="2" t="s">
        <v>21</v>
      </c>
      <c r="B8" s="18">
        <v>9.0</v>
      </c>
      <c r="C8" s="18">
        <v>3.0</v>
      </c>
      <c r="D8" s="18">
        <v>0.0</v>
      </c>
      <c r="E8" s="19">
        <v>1.3333333333333333</v>
      </c>
    </row>
    <row r="9">
      <c r="A9" s="2" t="s">
        <v>15</v>
      </c>
      <c r="B9" s="18">
        <v>10.0</v>
      </c>
      <c r="C9" s="18">
        <v>3.0</v>
      </c>
      <c r="D9" s="18">
        <v>0.0</v>
      </c>
      <c r="E9" s="2">
        <v>1.2</v>
      </c>
    </row>
    <row r="10">
      <c r="A10" s="2" t="s">
        <v>16</v>
      </c>
      <c r="B10" s="18">
        <v>9.0</v>
      </c>
      <c r="C10" s="18">
        <v>4.0</v>
      </c>
      <c r="D10" s="18">
        <v>2.0</v>
      </c>
      <c r="E10" s="19">
        <v>0.8888888888888888</v>
      </c>
    </row>
    <row r="11">
      <c r="A11" s="2" t="s">
        <v>19</v>
      </c>
      <c r="B11" s="18">
        <v>9.0</v>
      </c>
      <c r="C11" s="18">
        <v>2.0</v>
      </c>
      <c r="D11" s="18">
        <v>0.0</v>
      </c>
      <c r="E11" s="19">
        <v>0.8888888888888888</v>
      </c>
    </row>
    <row r="12">
      <c r="A12" s="2" t="s">
        <v>20</v>
      </c>
      <c r="B12" s="18">
        <v>9.0</v>
      </c>
      <c r="C12" s="18">
        <v>1.0</v>
      </c>
      <c r="D12" s="18">
        <v>0.0</v>
      </c>
      <c r="E12" s="19">
        <v>0.4444444444444444</v>
      </c>
    </row>
    <row r="13">
      <c r="A13" s="2" t="s">
        <v>11</v>
      </c>
      <c r="B13" s="18">
        <v>10.0</v>
      </c>
      <c r="C13" s="18">
        <v>2.0</v>
      </c>
      <c r="D13" s="18">
        <v>1.0</v>
      </c>
      <c r="E13" s="2">
        <v>0.4</v>
      </c>
    </row>
    <row r="14">
      <c r="A14" s="2" t="s">
        <v>4</v>
      </c>
      <c r="B14" s="18">
        <v>10.0</v>
      </c>
      <c r="C14" s="18">
        <v>1.0</v>
      </c>
      <c r="D14" s="18">
        <v>0.0</v>
      </c>
      <c r="E14" s="2">
        <v>0.4</v>
      </c>
    </row>
    <row r="15">
      <c r="A15" s="2" t="s">
        <v>14</v>
      </c>
      <c r="B15" s="18">
        <v>10.0</v>
      </c>
      <c r="C15" s="18">
        <v>0.0</v>
      </c>
      <c r="D15" s="18">
        <v>0.0</v>
      </c>
      <c r="E15" s="2">
        <v>0.0</v>
      </c>
    </row>
    <row r="16">
      <c r="A16" s="2" t="s">
        <v>22</v>
      </c>
      <c r="B16" s="18">
        <v>9.0</v>
      </c>
      <c r="C16" s="18">
        <v>1.0</v>
      </c>
      <c r="D16" s="18">
        <v>1.0</v>
      </c>
      <c r="E16" s="2">
        <v>0.0</v>
      </c>
    </row>
    <row r="17">
      <c r="A17" s="2" t="s">
        <v>8</v>
      </c>
      <c r="B17" s="18">
        <v>10.0</v>
      </c>
      <c r="C17" s="18">
        <v>0.0</v>
      </c>
      <c r="D17" s="18">
        <v>0.0</v>
      </c>
      <c r="E17" s="2">
        <v>0.0</v>
      </c>
    </row>
    <row r="18">
      <c r="A18" s="2" t="s">
        <v>13</v>
      </c>
      <c r="B18" s="18">
        <v>10.0</v>
      </c>
      <c r="C18" s="18">
        <v>0.0</v>
      </c>
      <c r="D18" s="18">
        <v>0.0</v>
      </c>
      <c r="E18" s="2">
        <v>0.0</v>
      </c>
    </row>
    <row r="19">
      <c r="A19" s="2" t="s">
        <v>25</v>
      </c>
      <c r="B19" s="18">
        <v>9.0</v>
      </c>
      <c r="C19" s="18">
        <v>0.0</v>
      </c>
      <c r="D19" s="18">
        <v>1.0</v>
      </c>
      <c r="E19" s="19">
        <v>-0.4444444444444444</v>
      </c>
    </row>
    <row r="20">
      <c r="A20" s="2" t="s">
        <v>17</v>
      </c>
      <c r="B20" s="18">
        <v>9.0</v>
      </c>
      <c r="C20" s="18">
        <v>0.0</v>
      </c>
      <c r="D20" s="18">
        <v>1.0</v>
      </c>
      <c r="E20" s="19">
        <v>-0.4444444444444444</v>
      </c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sort(Stats!A1:A1000,Stats!W1:W1000,false)</f>
        <v>Player</v>
      </c>
      <c r="B1" s="18" t="str">
        <f t="array" ref="B1:B1000">sort(Stats!C1:C1000,Stats!W1:W1000,false)</f>
        <v>GP</v>
      </c>
      <c r="C1" s="2" t="str">
        <f t="array" ref="C1:E1000">sort(Stats!U1:W1000,Stats!W1:W1000,false)</f>
        <v>B TU</v>
      </c>
      <c r="D1" s="2" t="s">
        <v>65</v>
      </c>
      <c r="E1" s="2" t="s">
        <v>66</v>
      </c>
    </row>
    <row r="2">
      <c r="A2" s="2" t="s">
        <v>14</v>
      </c>
      <c r="B2" s="18">
        <v>10.0</v>
      </c>
      <c r="C2" s="18">
        <v>19.0</v>
      </c>
      <c r="D2" s="18">
        <v>0.0</v>
      </c>
      <c r="E2" s="2">
        <v>7.6</v>
      </c>
    </row>
    <row r="3">
      <c r="A3" s="2" t="s">
        <v>23</v>
      </c>
      <c r="B3" s="18">
        <v>9.0</v>
      </c>
      <c r="C3" s="18">
        <v>5.0</v>
      </c>
      <c r="D3" s="18">
        <v>0.0</v>
      </c>
      <c r="E3" s="19">
        <v>2.2222222222222223</v>
      </c>
    </row>
    <row r="4">
      <c r="A4" s="2" t="s">
        <v>24</v>
      </c>
      <c r="B4" s="18">
        <v>9.0</v>
      </c>
      <c r="C4" s="18">
        <v>4.0</v>
      </c>
      <c r="D4" s="18">
        <v>0.0</v>
      </c>
      <c r="E4" s="19">
        <v>1.7777777777777777</v>
      </c>
    </row>
    <row r="5">
      <c r="A5" s="2" t="s">
        <v>10</v>
      </c>
      <c r="B5" s="18">
        <v>10.0</v>
      </c>
      <c r="C5" s="18">
        <v>4.0</v>
      </c>
      <c r="D5" s="18">
        <v>1.0</v>
      </c>
      <c r="E5" s="2">
        <v>1.2</v>
      </c>
    </row>
    <row r="6">
      <c r="A6" s="2" t="s">
        <v>22</v>
      </c>
      <c r="B6" s="18">
        <v>9.0</v>
      </c>
      <c r="C6" s="18">
        <v>2.0</v>
      </c>
      <c r="D6" s="18">
        <v>0.0</v>
      </c>
      <c r="E6" s="19">
        <v>0.8888888888888888</v>
      </c>
    </row>
    <row r="7">
      <c r="A7" s="2" t="s">
        <v>16</v>
      </c>
      <c r="B7" s="18">
        <v>9.0</v>
      </c>
      <c r="C7" s="18">
        <v>2.0</v>
      </c>
      <c r="D7" s="18">
        <v>0.0</v>
      </c>
      <c r="E7" s="19">
        <v>0.8888888888888888</v>
      </c>
    </row>
    <row r="8">
      <c r="A8" s="2" t="s">
        <v>5</v>
      </c>
      <c r="B8" s="18">
        <v>10.0</v>
      </c>
      <c r="C8" s="18">
        <v>2.0</v>
      </c>
      <c r="D8" s="18">
        <v>0.0</v>
      </c>
      <c r="E8" s="2">
        <v>0.8</v>
      </c>
    </row>
    <row r="9">
      <c r="A9" s="2" t="s">
        <v>15</v>
      </c>
      <c r="B9" s="18">
        <v>10.0</v>
      </c>
      <c r="C9" s="18">
        <v>2.0</v>
      </c>
      <c r="D9" s="18">
        <v>0.0</v>
      </c>
      <c r="E9" s="2">
        <v>0.8</v>
      </c>
    </row>
    <row r="10">
      <c r="A10" s="2" t="s">
        <v>21</v>
      </c>
      <c r="B10" s="18">
        <v>9.0</v>
      </c>
      <c r="C10" s="18">
        <v>3.0</v>
      </c>
      <c r="D10" s="18">
        <v>2.0</v>
      </c>
      <c r="E10" s="19">
        <v>0.4444444444444444</v>
      </c>
    </row>
    <row r="11">
      <c r="A11" s="2" t="s">
        <v>12</v>
      </c>
      <c r="B11" s="18">
        <v>10.0</v>
      </c>
      <c r="C11" s="18">
        <v>1.0</v>
      </c>
      <c r="D11" s="18">
        <v>0.0</v>
      </c>
      <c r="E11" s="2">
        <v>0.4</v>
      </c>
    </row>
    <row r="12">
      <c r="A12" s="2" t="s">
        <v>11</v>
      </c>
      <c r="B12" s="18">
        <v>10.0</v>
      </c>
      <c r="C12" s="18">
        <v>0.0</v>
      </c>
      <c r="D12" s="18">
        <v>0.0</v>
      </c>
      <c r="E12" s="2">
        <v>0.0</v>
      </c>
    </row>
    <row r="13">
      <c r="A13" s="2" t="s">
        <v>6</v>
      </c>
      <c r="B13" s="18">
        <v>10.0</v>
      </c>
      <c r="C13" s="18">
        <v>0.0</v>
      </c>
      <c r="D13" s="18">
        <v>0.0</v>
      </c>
      <c r="E13" s="2">
        <v>0.0</v>
      </c>
    </row>
    <row r="14">
      <c r="A14" s="2" t="s">
        <v>8</v>
      </c>
      <c r="B14" s="18">
        <v>10.0</v>
      </c>
      <c r="C14" s="18">
        <v>0.0</v>
      </c>
      <c r="D14" s="18">
        <v>0.0</v>
      </c>
      <c r="E14" s="2">
        <v>0.0</v>
      </c>
    </row>
    <row r="15">
      <c r="A15" s="2" t="s">
        <v>13</v>
      </c>
      <c r="B15" s="18">
        <v>10.0</v>
      </c>
      <c r="C15" s="18">
        <v>0.0</v>
      </c>
      <c r="D15" s="18">
        <v>0.0</v>
      </c>
      <c r="E15" s="2">
        <v>0.0</v>
      </c>
    </row>
    <row r="16">
      <c r="A16" s="2" t="s">
        <v>4</v>
      </c>
      <c r="B16" s="18">
        <v>10.0</v>
      </c>
      <c r="C16" s="18">
        <v>0.0</v>
      </c>
      <c r="D16" s="18">
        <v>0.0</v>
      </c>
      <c r="E16" s="2">
        <v>0.0</v>
      </c>
    </row>
    <row r="17">
      <c r="A17" s="2" t="s">
        <v>19</v>
      </c>
      <c r="B17" s="18">
        <v>9.0</v>
      </c>
      <c r="C17" s="18">
        <v>0.0</v>
      </c>
      <c r="D17" s="18">
        <v>0.0</v>
      </c>
      <c r="E17" s="2">
        <v>0.0</v>
      </c>
    </row>
    <row r="18">
      <c r="A18" s="2" t="s">
        <v>25</v>
      </c>
      <c r="B18" s="18">
        <v>9.0</v>
      </c>
      <c r="C18" s="18">
        <v>0.0</v>
      </c>
      <c r="D18" s="18">
        <v>0.0</v>
      </c>
      <c r="E18" s="2">
        <v>0.0</v>
      </c>
    </row>
    <row r="19">
      <c r="A19" s="2" t="s">
        <v>17</v>
      </c>
      <c r="B19" s="18">
        <v>9.0</v>
      </c>
      <c r="C19" s="18">
        <v>0.0</v>
      </c>
      <c r="D19" s="18">
        <v>0.0</v>
      </c>
      <c r="E19" s="2">
        <v>0.0</v>
      </c>
    </row>
    <row r="20">
      <c r="A20" s="2" t="s">
        <v>20</v>
      </c>
      <c r="B20" s="18">
        <v>9.0</v>
      </c>
      <c r="C20" s="18">
        <v>1.0</v>
      </c>
      <c r="D20" s="18">
        <v>2.0</v>
      </c>
      <c r="E20" s="19">
        <v>-0.4444444444444444</v>
      </c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sort(Stats!A1:A1000,Stats!Z1:Z1000,false)</f>
        <v>Player</v>
      </c>
      <c r="B1" s="18" t="str">
        <f t="array" ref="B1:B1000">sort(Stats!C1:C1000,Stats!Z1:Z1000,false)</f>
        <v>GP</v>
      </c>
      <c r="C1" s="2" t="str">
        <f t="array" ref="C1:E1000">sort(Stats!X1:Z1000,Stats!Z1:Z1000,false)</f>
        <v>P TU</v>
      </c>
      <c r="D1" s="2" t="s">
        <v>68</v>
      </c>
      <c r="E1" s="2" t="s">
        <v>69</v>
      </c>
    </row>
    <row r="2">
      <c r="A2" s="2" t="s">
        <v>6</v>
      </c>
      <c r="B2" s="18">
        <v>10.0</v>
      </c>
      <c r="C2" s="18">
        <v>9.0</v>
      </c>
      <c r="D2" s="18">
        <v>0.0</v>
      </c>
      <c r="E2" s="2">
        <v>3.6</v>
      </c>
    </row>
    <row r="3">
      <c r="A3" s="2" t="s">
        <v>11</v>
      </c>
      <c r="B3" s="18">
        <v>10.0</v>
      </c>
      <c r="C3" s="18">
        <v>7.0</v>
      </c>
      <c r="D3" s="18">
        <v>0.0</v>
      </c>
      <c r="E3" s="2">
        <v>2.8</v>
      </c>
    </row>
    <row r="4">
      <c r="A4" s="2" t="s">
        <v>10</v>
      </c>
      <c r="B4" s="18">
        <v>10.0</v>
      </c>
      <c r="C4" s="18">
        <v>6.0</v>
      </c>
      <c r="D4" s="18">
        <v>0.0</v>
      </c>
      <c r="E4" s="2">
        <v>2.4</v>
      </c>
    </row>
    <row r="5">
      <c r="A5" s="2" t="s">
        <v>24</v>
      </c>
      <c r="B5" s="18">
        <v>9.0</v>
      </c>
      <c r="C5" s="18">
        <v>5.0</v>
      </c>
      <c r="D5" s="18">
        <v>0.0</v>
      </c>
      <c r="E5" s="19">
        <v>2.2222222222222223</v>
      </c>
    </row>
    <row r="6">
      <c r="A6" s="2" t="s">
        <v>22</v>
      </c>
      <c r="B6" s="18">
        <v>9.0</v>
      </c>
      <c r="C6" s="18">
        <v>5.0</v>
      </c>
      <c r="D6" s="18">
        <v>0.0</v>
      </c>
      <c r="E6" s="19">
        <v>2.2222222222222223</v>
      </c>
    </row>
    <row r="7">
      <c r="A7" s="2" t="s">
        <v>23</v>
      </c>
      <c r="B7" s="18">
        <v>9.0</v>
      </c>
      <c r="C7" s="18">
        <v>3.0</v>
      </c>
      <c r="D7" s="18">
        <v>0.0</v>
      </c>
      <c r="E7" s="19">
        <v>1.3333333333333333</v>
      </c>
    </row>
    <row r="8">
      <c r="A8" s="2" t="s">
        <v>13</v>
      </c>
      <c r="B8" s="18">
        <v>10.0</v>
      </c>
      <c r="C8" s="18">
        <v>3.0</v>
      </c>
      <c r="D8" s="18">
        <v>0.0</v>
      </c>
      <c r="E8" s="2">
        <v>1.2</v>
      </c>
    </row>
    <row r="9">
      <c r="A9" s="2" t="s">
        <v>21</v>
      </c>
      <c r="B9" s="18">
        <v>9.0</v>
      </c>
      <c r="C9" s="18">
        <v>3.0</v>
      </c>
      <c r="D9" s="18">
        <v>1.0</v>
      </c>
      <c r="E9" s="19">
        <v>0.8888888888888888</v>
      </c>
    </row>
    <row r="10">
      <c r="A10" s="2" t="s">
        <v>20</v>
      </c>
      <c r="B10" s="18">
        <v>9.0</v>
      </c>
      <c r="C10" s="18">
        <v>3.0</v>
      </c>
      <c r="D10" s="18">
        <v>1.0</v>
      </c>
      <c r="E10" s="19">
        <v>0.8888888888888888</v>
      </c>
    </row>
    <row r="11">
      <c r="A11" s="2" t="s">
        <v>5</v>
      </c>
      <c r="B11" s="18">
        <v>10.0</v>
      </c>
      <c r="C11" s="18">
        <v>1.0</v>
      </c>
      <c r="D11" s="18">
        <v>0.0</v>
      </c>
      <c r="E11" s="2">
        <v>0.4</v>
      </c>
    </row>
    <row r="12">
      <c r="A12" s="2" t="s">
        <v>4</v>
      </c>
      <c r="B12" s="18">
        <v>10.0</v>
      </c>
      <c r="C12" s="18">
        <v>1.0</v>
      </c>
      <c r="D12" s="18">
        <v>0.0</v>
      </c>
      <c r="E12" s="2">
        <v>0.4</v>
      </c>
    </row>
    <row r="13">
      <c r="A13" s="2" t="s">
        <v>14</v>
      </c>
      <c r="B13" s="18">
        <v>10.0</v>
      </c>
      <c r="C13" s="18">
        <v>0.0</v>
      </c>
      <c r="D13" s="18">
        <v>0.0</v>
      </c>
      <c r="E13" s="2">
        <v>0.0</v>
      </c>
    </row>
    <row r="14">
      <c r="A14" s="2" t="s">
        <v>8</v>
      </c>
      <c r="B14" s="18">
        <v>10.0</v>
      </c>
      <c r="C14" s="18">
        <v>0.0</v>
      </c>
      <c r="D14" s="18">
        <v>0.0</v>
      </c>
      <c r="E14" s="2">
        <v>0.0</v>
      </c>
    </row>
    <row r="15">
      <c r="A15" s="2" t="s">
        <v>15</v>
      </c>
      <c r="B15" s="18">
        <v>10.0</v>
      </c>
      <c r="C15" s="18">
        <v>0.0</v>
      </c>
      <c r="D15" s="18">
        <v>0.0</v>
      </c>
      <c r="E15" s="2">
        <v>0.0</v>
      </c>
    </row>
    <row r="16">
      <c r="A16" s="2" t="s">
        <v>25</v>
      </c>
      <c r="B16" s="18">
        <v>9.0</v>
      </c>
      <c r="C16" s="18">
        <v>0.0</v>
      </c>
      <c r="D16" s="18">
        <v>0.0</v>
      </c>
      <c r="E16" s="2">
        <v>0.0</v>
      </c>
    </row>
    <row r="17">
      <c r="A17" s="2" t="s">
        <v>12</v>
      </c>
      <c r="B17" s="18">
        <v>10.0</v>
      </c>
      <c r="C17" s="18">
        <v>0.0</v>
      </c>
      <c r="D17" s="18">
        <v>1.0</v>
      </c>
      <c r="E17" s="2">
        <v>-0.4</v>
      </c>
    </row>
    <row r="18">
      <c r="A18" s="2" t="s">
        <v>16</v>
      </c>
      <c r="B18" s="18">
        <v>9.0</v>
      </c>
      <c r="C18" s="18">
        <v>0.0</v>
      </c>
      <c r="D18" s="18">
        <v>1.0</v>
      </c>
      <c r="E18" s="19">
        <v>-0.4444444444444444</v>
      </c>
    </row>
    <row r="19">
      <c r="A19" s="2" t="s">
        <v>19</v>
      </c>
      <c r="B19" s="18">
        <v>9.0</v>
      </c>
      <c r="C19" s="18">
        <v>0.0</v>
      </c>
      <c r="D19" s="18">
        <v>1.0</v>
      </c>
      <c r="E19" s="19">
        <v>-0.4444444444444444</v>
      </c>
    </row>
    <row r="20">
      <c r="A20" s="2" t="s">
        <v>17</v>
      </c>
      <c r="B20" s="18">
        <v>9.0</v>
      </c>
      <c r="C20" s="18">
        <v>0.0</v>
      </c>
      <c r="D20" s="18">
        <v>2.0</v>
      </c>
      <c r="E20" s="19">
        <v>-0.8888888888888888</v>
      </c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